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130ca77e643667a/Документы/Учёба/Проект/"/>
    </mc:Choice>
  </mc:AlternateContent>
  <xr:revisionPtr revIDLastSave="0" documentId="8_{A86252AA-9B94-470F-8CE4-1BCD2F04D5BD}" xr6:coauthVersionLast="47" xr6:coauthVersionMax="47" xr10:uidLastSave="{00000000-0000-0000-0000-000000000000}"/>
  <bookViews>
    <workbookView xWindow="-108" yWindow="-108" windowWidth="23256" windowHeight="12456" tabRatio="860" xr2:uid="{00000000-000D-0000-FFFF-FFFF00000000}"/>
  </bookViews>
  <sheets>
    <sheet name="Содержание" sheetId="24" r:id="rId1"/>
    <sheet name="Карточка проекта" sheetId="1" r:id="rId2"/>
    <sheet name="Проверка" sheetId="20" r:id="rId3"/>
    <sheet name="Оценка трудоемкости" sheetId="9" r:id="rId4"/>
    <sheet name="Командировки" sheetId="4" r:id="rId5"/>
    <sheet name="Договоры ГПХ" sheetId="25" r:id="rId6"/>
    <sheet name="БДР" sheetId="15" r:id="rId7"/>
    <sheet name="БДР_Выручка" sheetId="17" r:id="rId8"/>
    <sheet name="БДР_Себестоимость и Расходы" sheetId="16" r:id="rId9"/>
    <sheet name="ДДС" sheetId="21" r:id="rId10"/>
    <sheet name="ДДС_Поступление" sheetId="22" r:id="rId11"/>
    <sheet name="ДДС_Расходование" sheetId="23" r:id="rId12"/>
    <sheet name="Справочник статей" sheetId="19" r:id="rId13"/>
    <sheet name="Справочник проектов" sheetId="10" r:id="rId14"/>
    <sheet name="Справочники" sheetId="7" r:id="rId15"/>
  </sheets>
  <externalReferences>
    <externalReference r:id="rId16"/>
    <externalReference r:id="rId17"/>
    <externalReference r:id="rId18"/>
    <externalReference r:id="rId19"/>
  </externalReferences>
  <definedNames>
    <definedName name="_xlnm._FilterDatabase" localSheetId="6" hidden="1">БДР!$I$6:$BQ$29</definedName>
    <definedName name="_xlnm._FilterDatabase" localSheetId="7" hidden="1">БДР_Выручка!$B$4:$K$139</definedName>
    <definedName name="_xlnm._FilterDatabase" localSheetId="8" hidden="1">'БДР_Себестоимость и Расходы'!$B$4:$K$141</definedName>
    <definedName name="_xlnm._FilterDatabase" localSheetId="9" hidden="1">ДДС!$I$6:$BQ$31</definedName>
    <definedName name="_xlnm._FilterDatabase" localSheetId="10" hidden="1">ДДС_Поступление!$B$4:$K$128</definedName>
    <definedName name="_xlnm._FilterDatabase" localSheetId="11" hidden="1">ДДС_Расходование!$B$4:$K$130</definedName>
    <definedName name="_xlnm._FilterDatabase" localSheetId="14" hidden="1">Справочники!$S$3:$V$22</definedName>
    <definedName name="Договор">[1]Справочники!$A$37:$A$38</definedName>
    <definedName name="Направление">[2]!Продуктовое_направление[Направление]</definedName>
    <definedName name="_xlnm.Print_Area" localSheetId="6">БДР!$E$1:$N$42</definedName>
    <definedName name="_xlnm.Print_Area" localSheetId="7">БДР_Выручка!$A$1:$K$10</definedName>
    <definedName name="_xlnm.Print_Area" localSheetId="8">'БДР_Себестоимость и Расходы'!$A$1:$K$11</definedName>
    <definedName name="_xlnm.Print_Area" localSheetId="9">ДДС!$E$1:$N$48</definedName>
    <definedName name="_xlnm.Print_Area" localSheetId="10">ДДС_Поступление!$A$1:$K$12</definedName>
    <definedName name="_xlnm.Print_Area" localSheetId="11">ДДС_Расходование!$A$1:$K$10</definedName>
    <definedName name="_xlnm.Print_Area" localSheetId="1">'Карточка проекта'!$A$1:$M$30</definedName>
    <definedName name="_xlnm.Print_Area" localSheetId="4">Командировки!$B$1:$T$14</definedName>
    <definedName name="Статья">[2]!Тип_статьи[Тип статьи]</definedName>
    <definedName name="Тип_ресурса">[3]Справочники!#REF!</definedName>
    <definedName name="ФИО">[4]!Ресурсы[[#All],[ФИО]]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" i="23" l="1"/>
  <c r="C10" i="16" l="1"/>
  <c r="C7" i="22"/>
  <c r="C6" i="22"/>
  <c r="C5" i="22"/>
  <c r="H6" i="16"/>
  <c r="H6" i="17"/>
  <c r="H129" i="23" l="1"/>
  <c r="G129" i="23" s="1"/>
  <c r="C129" i="23"/>
  <c r="A129" i="23"/>
  <c r="H128" i="23"/>
  <c r="G128" i="23" s="1"/>
  <c r="C128" i="23"/>
  <c r="A128" i="23"/>
  <c r="H127" i="23"/>
  <c r="G127" i="23" s="1"/>
  <c r="C127" i="23"/>
  <c r="A127" i="23"/>
  <c r="H126" i="23"/>
  <c r="G126" i="23" s="1"/>
  <c r="C126" i="23"/>
  <c r="A126" i="23"/>
  <c r="H125" i="23"/>
  <c r="G125" i="23" s="1"/>
  <c r="C125" i="23"/>
  <c r="A125" i="23"/>
  <c r="H124" i="23"/>
  <c r="G124" i="23" s="1"/>
  <c r="C124" i="23"/>
  <c r="A124" i="23"/>
  <c r="H123" i="23"/>
  <c r="G123" i="23" s="1"/>
  <c r="C123" i="23"/>
  <c r="A123" i="23"/>
  <c r="H122" i="23"/>
  <c r="G122" i="23"/>
  <c r="C122" i="23"/>
  <c r="A122" i="23"/>
  <c r="H121" i="23"/>
  <c r="G121" i="23"/>
  <c r="C121" i="23"/>
  <c r="A121" i="23"/>
  <c r="H120" i="23"/>
  <c r="G120" i="23"/>
  <c r="C120" i="23"/>
  <c r="A120" i="23"/>
  <c r="H119" i="23"/>
  <c r="G119" i="23"/>
  <c r="C119" i="23"/>
  <c r="A119" i="23"/>
  <c r="H118" i="23"/>
  <c r="G118" i="23" s="1"/>
  <c r="C118" i="23"/>
  <c r="A118" i="23"/>
  <c r="H117" i="23"/>
  <c r="G117" i="23" s="1"/>
  <c r="C117" i="23"/>
  <c r="A117" i="23"/>
  <c r="H116" i="23"/>
  <c r="G116" i="23" s="1"/>
  <c r="C116" i="23"/>
  <c r="A116" i="23"/>
  <c r="H115" i="23"/>
  <c r="G115" i="23" s="1"/>
  <c r="C115" i="23"/>
  <c r="A115" i="23"/>
  <c r="H114" i="23"/>
  <c r="G114" i="23" s="1"/>
  <c r="C114" i="23"/>
  <c r="A114" i="23"/>
  <c r="H113" i="23"/>
  <c r="G113" i="23" s="1"/>
  <c r="C113" i="23"/>
  <c r="A113" i="23"/>
  <c r="H112" i="23"/>
  <c r="G112" i="23" s="1"/>
  <c r="C112" i="23"/>
  <c r="A112" i="23"/>
  <c r="H111" i="23"/>
  <c r="G111" i="23" s="1"/>
  <c r="C111" i="23"/>
  <c r="A111" i="23"/>
  <c r="H110" i="23"/>
  <c r="G110" i="23" s="1"/>
  <c r="C110" i="23"/>
  <c r="A110" i="23"/>
  <c r="H109" i="23"/>
  <c r="G109" i="23" s="1"/>
  <c r="C109" i="23"/>
  <c r="A109" i="23"/>
  <c r="H108" i="23"/>
  <c r="G108" i="23" s="1"/>
  <c r="C108" i="23"/>
  <c r="A108" i="23"/>
  <c r="H107" i="23"/>
  <c r="G107" i="23" s="1"/>
  <c r="C107" i="23"/>
  <c r="A107" i="23"/>
  <c r="H106" i="23"/>
  <c r="G106" i="23" s="1"/>
  <c r="C106" i="23"/>
  <c r="A106" i="23"/>
  <c r="H105" i="23"/>
  <c r="G105" i="23" s="1"/>
  <c r="C105" i="23"/>
  <c r="A105" i="23"/>
  <c r="H104" i="23"/>
  <c r="G104" i="23" s="1"/>
  <c r="C104" i="23"/>
  <c r="A104" i="23"/>
  <c r="H103" i="23"/>
  <c r="G103" i="23" s="1"/>
  <c r="C103" i="23"/>
  <c r="A103" i="23"/>
  <c r="H102" i="23"/>
  <c r="G102" i="23" s="1"/>
  <c r="C102" i="23"/>
  <c r="A102" i="23"/>
  <c r="H101" i="23"/>
  <c r="G101" i="23" s="1"/>
  <c r="C101" i="23"/>
  <c r="A101" i="23"/>
  <c r="H100" i="23"/>
  <c r="G100" i="23" s="1"/>
  <c r="C100" i="23"/>
  <c r="A100" i="23"/>
  <c r="H99" i="23"/>
  <c r="G99" i="23" s="1"/>
  <c r="C99" i="23"/>
  <c r="A99" i="23"/>
  <c r="H98" i="23"/>
  <c r="G98" i="23" s="1"/>
  <c r="C98" i="23"/>
  <c r="A98" i="23"/>
  <c r="H97" i="23"/>
  <c r="G97" i="23" s="1"/>
  <c r="C97" i="23"/>
  <c r="A97" i="23"/>
  <c r="H96" i="23"/>
  <c r="G96" i="23" s="1"/>
  <c r="C96" i="23"/>
  <c r="A96" i="23"/>
  <c r="H95" i="23"/>
  <c r="G95" i="23" s="1"/>
  <c r="C95" i="23"/>
  <c r="A95" i="23"/>
  <c r="H94" i="23"/>
  <c r="G94" i="23" s="1"/>
  <c r="C94" i="23"/>
  <c r="A94" i="23"/>
  <c r="H93" i="23"/>
  <c r="G93" i="23" s="1"/>
  <c r="C93" i="23"/>
  <c r="A93" i="23"/>
  <c r="H92" i="23"/>
  <c r="G92" i="23"/>
  <c r="C92" i="23"/>
  <c r="A92" i="23"/>
  <c r="H91" i="23"/>
  <c r="G91" i="23" s="1"/>
  <c r="C91" i="23"/>
  <c r="A91" i="23"/>
  <c r="H90" i="23"/>
  <c r="G90" i="23" s="1"/>
  <c r="C90" i="23"/>
  <c r="A90" i="23"/>
  <c r="H89" i="23"/>
  <c r="G89" i="23" s="1"/>
  <c r="C89" i="23"/>
  <c r="A89" i="23"/>
  <c r="H88" i="23"/>
  <c r="G88" i="23" s="1"/>
  <c r="C88" i="23"/>
  <c r="A88" i="23"/>
  <c r="H87" i="23"/>
  <c r="G87" i="23" s="1"/>
  <c r="C87" i="23"/>
  <c r="A87" i="23"/>
  <c r="H86" i="23"/>
  <c r="G86" i="23" s="1"/>
  <c r="C86" i="23"/>
  <c r="A86" i="23"/>
  <c r="H85" i="23"/>
  <c r="G85" i="23" s="1"/>
  <c r="C85" i="23"/>
  <c r="A85" i="23"/>
  <c r="H84" i="23"/>
  <c r="G84" i="23" s="1"/>
  <c r="C84" i="23"/>
  <c r="A84" i="23"/>
  <c r="H83" i="23"/>
  <c r="G83" i="23" s="1"/>
  <c r="C83" i="23"/>
  <c r="A83" i="23"/>
  <c r="H82" i="23"/>
  <c r="G82" i="23" s="1"/>
  <c r="C82" i="23"/>
  <c r="A82" i="23"/>
  <c r="H81" i="23"/>
  <c r="G81" i="23"/>
  <c r="C81" i="23"/>
  <c r="A81" i="23"/>
  <c r="H80" i="23"/>
  <c r="G80" i="23"/>
  <c r="C80" i="23"/>
  <c r="A80" i="23"/>
  <c r="H79" i="23"/>
  <c r="G79" i="23" s="1"/>
  <c r="C79" i="23"/>
  <c r="A79" i="23"/>
  <c r="H78" i="23"/>
  <c r="G78" i="23" s="1"/>
  <c r="C78" i="23"/>
  <c r="A78" i="23"/>
  <c r="H77" i="23"/>
  <c r="G77" i="23" s="1"/>
  <c r="C77" i="23"/>
  <c r="A77" i="23"/>
  <c r="H76" i="23"/>
  <c r="G76" i="23" s="1"/>
  <c r="C76" i="23"/>
  <c r="A76" i="23"/>
  <c r="H75" i="23"/>
  <c r="G75" i="23"/>
  <c r="C75" i="23"/>
  <c r="A75" i="23"/>
  <c r="H74" i="23"/>
  <c r="G74" i="23" s="1"/>
  <c r="C74" i="23"/>
  <c r="A74" i="23"/>
  <c r="H73" i="23"/>
  <c r="G73" i="23" s="1"/>
  <c r="C73" i="23"/>
  <c r="A73" i="23"/>
  <c r="H72" i="23"/>
  <c r="G72" i="23" s="1"/>
  <c r="C72" i="23"/>
  <c r="A72" i="23"/>
  <c r="H71" i="23"/>
  <c r="G71" i="23" s="1"/>
  <c r="C71" i="23"/>
  <c r="A71" i="23"/>
  <c r="H70" i="23"/>
  <c r="G70" i="23" s="1"/>
  <c r="C70" i="23"/>
  <c r="A70" i="23"/>
  <c r="H69" i="23"/>
  <c r="G69" i="23" s="1"/>
  <c r="C69" i="23"/>
  <c r="A69" i="23"/>
  <c r="H68" i="23"/>
  <c r="G68" i="23"/>
  <c r="C68" i="23"/>
  <c r="A68" i="23"/>
  <c r="H67" i="23"/>
  <c r="G67" i="23"/>
  <c r="C67" i="23"/>
  <c r="A67" i="23"/>
  <c r="H66" i="23"/>
  <c r="G66" i="23"/>
  <c r="C66" i="23"/>
  <c r="A66" i="23"/>
  <c r="H65" i="23"/>
  <c r="G65" i="23"/>
  <c r="C65" i="23"/>
  <c r="A65" i="23"/>
  <c r="H64" i="23"/>
  <c r="G64" i="23" s="1"/>
  <c r="C64" i="23"/>
  <c r="A64" i="23"/>
  <c r="H63" i="23"/>
  <c r="G63" i="23" s="1"/>
  <c r="C63" i="23"/>
  <c r="A63" i="23"/>
  <c r="H62" i="23"/>
  <c r="G62" i="23" s="1"/>
  <c r="C62" i="23"/>
  <c r="A62" i="23"/>
  <c r="H61" i="23"/>
  <c r="G61" i="23" s="1"/>
  <c r="C61" i="23"/>
  <c r="A61" i="23"/>
  <c r="H60" i="23"/>
  <c r="G60" i="23"/>
  <c r="C60" i="23"/>
  <c r="A60" i="23"/>
  <c r="H59" i="23"/>
  <c r="G59" i="23" s="1"/>
  <c r="C59" i="23"/>
  <c r="A59" i="23"/>
  <c r="H58" i="23"/>
  <c r="G58" i="23" s="1"/>
  <c r="C58" i="23"/>
  <c r="A58" i="23"/>
  <c r="H57" i="23"/>
  <c r="G57" i="23" s="1"/>
  <c r="C57" i="23"/>
  <c r="A57" i="23"/>
  <c r="H56" i="23"/>
  <c r="G56" i="23" s="1"/>
  <c r="C56" i="23"/>
  <c r="A56" i="23"/>
  <c r="H55" i="23"/>
  <c r="G55" i="23" s="1"/>
  <c r="C55" i="23"/>
  <c r="A55" i="23"/>
  <c r="H54" i="23"/>
  <c r="G54" i="23" s="1"/>
  <c r="C54" i="23"/>
  <c r="A54" i="23"/>
  <c r="H53" i="23"/>
  <c r="G53" i="23" s="1"/>
  <c r="C53" i="23"/>
  <c r="A53" i="23"/>
  <c r="H52" i="23"/>
  <c r="G52" i="23" s="1"/>
  <c r="C52" i="23"/>
  <c r="A52" i="23"/>
  <c r="H51" i="23"/>
  <c r="G51" i="23" s="1"/>
  <c r="C51" i="23"/>
  <c r="A51" i="23"/>
  <c r="H50" i="23"/>
  <c r="G50" i="23" s="1"/>
  <c r="C50" i="23"/>
  <c r="A50" i="23"/>
  <c r="H49" i="23"/>
  <c r="G49" i="23"/>
  <c r="C49" i="23"/>
  <c r="A49" i="23"/>
  <c r="H48" i="23"/>
  <c r="G48" i="23" s="1"/>
  <c r="C48" i="23"/>
  <c r="A48" i="23"/>
  <c r="H47" i="23"/>
  <c r="G47" i="23" s="1"/>
  <c r="C47" i="23"/>
  <c r="A47" i="23"/>
  <c r="H46" i="23"/>
  <c r="G46" i="23" s="1"/>
  <c r="C46" i="23"/>
  <c r="A46" i="23"/>
  <c r="H45" i="23"/>
  <c r="G45" i="23" s="1"/>
  <c r="C45" i="23"/>
  <c r="A45" i="23"/>
  <c r="H44" i="23"/>
  <c r="G44" i="23" s="1"/>
  <c r="C44" i="23"/>
  <c r="A44" i="23"/>
  <c r="H43" i="23"/>
  <c r="G43" i="23"/>
  <c r="C43" i="23"/>
  <c r="A43" i="23"/>
  <c r="H42" i="23"/>
  <c r="G42" i="23" s="1"/>
  <c r="C42" i="23"/>
  <c r="A42" i="23"/>
  <c r="H41" i="23"/>
  <c r="G41" i="23" s="1"/>
  <c r="C41" i="23"/>
  <c r="A41" i="23"/>
  <c r="H40" i="23"/>
  <c r="G40" i="23" s="1"/>
  <c r="C40" i="23"/>
  <c r="A40" i="23"/>
  <c r="H39" i="23"/>
  <c r="G39" i="23" s="1"/>
  <c r="C39" i="23"/>
  <c r="A39" i="23"/>
  <c r="H38" i="23"/>
  <c r="G38" i="23"/>
  <c r="C38" i="23"/>
  <c r="A38" i="23"/>
  <c r="H37" i="23"/>
  <c r="G37" i="23"/>
  <c r="C37" i="23"/>
  <c r="A37" i="23"/>
  <c r="H36" i="23"/>
  <c r="G36" i="23" s="1"/>
  <c r="C36" i="23"/>
  <c r="A36" i="23"/>
  <c r="H35" i="23"/>
  <c r="G35" i="23" s="1"/>
  <c r="C35" i="23"/>
  <c r="A35" i="23"/>
  <c r="H34" i="23"/>
  <c r="G34" i="23" s="1"/>
  <c r="C34" i="23"/>
  <c r="A34" i="23"/>
  <c r="H33" i="23"/>
  <c r="G33" i="23" s="1"/>
  <c r="C33" i="23"/>
  <c r="A33" i="23"/>
  <c r="H32" i="23"/>
  <c r="G32" i="23" s="1"/>
  <c r="C32" i="23"/>
  <c r="A32" i="23"/>
  <c r="H31" i="23"/>
  <c r="G31" i="23" s="1"/>
  <c r="C31" i="23"/>
  <c r="A31" i="23"/>
  <c r="H30" i="23"/>
  <c r="G30" i="23" s="1"/>
  <c r="C30" i="23"/>
  <c r="A30" i="23"/>
  <c r="H127" i="22"/>
  <c r="G127" i="22" s="1"/>
  <c r="C127" i="22"/>
  <c r="A126" i="22"/>
  <c r="H126" i="22"/>
  <c r="G126" i="22" s="1"/>
  <c r="C126" i="22"/>
  <c r="A125" i="22"/>
  <c r="H125" i="22"/>
  <c r="G125" i="22" s="1"/>
  <c r="C125" i="22"/>
  <c r="A124" i="22"/>
  <c r="H124" i="22"/>
  <c r="G124" i="22" s="1"/>
  <c r="C124" i="22"/>
  <c r="A123" i="22"/>
  <c r="H123" i="22"/>
  <c r="G123" i="22" s="1"/>
  <c r="C123" i="22"/>
  <c r="A122" i="22"/>
  <c r="H122" i="22"/>
  <c r="G122" i="22" s="1"/>
  <c r="C122" i="22"/>
  <c r="A121" i="22"/>
  <c r="H121" i="22"/>
  <c r="G121" i="22" s="1"/>
  <c r="C121" i="22"/>
  <c r="A120" i="22"/>
  <c r="H120" i="22"/>
  <c r="G120" i="22" s="1"/>
  <c r="C120" i="22"/>
  <c r="A119" i="22"/>
  <c r="H119" i="22"/>
  <c r="G119" i="22" s="1"/>
  <c r="C119" i="22"/>
  <c r="A118" i="22"/>
  <c r="H118" i="22"/>
  <c r="G118" i="22" s="1"/>
  <c r="C118" i="22"/>
  <c r="A117" i="22"/>
  <c r="H117" i="22"/>
  <c r="G117" i="22" s="1"/>
  <c r="C117" i="22"/>
  <c r="A116" i="22"/>
  <c r="H116" i="22"/>
  <c r="G116" i="22" s="1"/>
  <c r="C116" i="22"/>
  <c r="A115" i="22"/>
  <c r="H115" i="22"/>
  <c r="G115" i="22" s="1"/>
  <c r="C115" i="22"/>
  <c r="A114" i="22"/>
  <c r="H114" i="22"/>
  <c r="G114" i="22" s="1"/>
  <c r="C114" i="22"/>
  <c r="A113" i="22"/>
  <c r="H113" i="22"/>
  <c r="G113" i="22" s="1"/>
  <c r="C113" i="22"/>
  <c r="A112" i="22"/>
  <c r="H112" i="22"/>
  <c r="G112" i="22"/>
  <c r="C112" i="22"/>
  <c r="A111" i="22"/>
  <c r="H111" i="22"/>
  <c r="G111" i="22" s="1"/>
  <c r="C111" i="22"/>
  <c r="A110" i="22"/>
  <c r="H110" i="22"/>
  <c r="G110" i="22" s="1"/>
  <c r="C110" i="22"/>
  <c r="A109" i="22"/>
  <c r="H109" i="22"/>
  <c r="G109" i="22" s="1"/>
  <c r="C109" i="22"/>
  <c r="A108" i="22"/>
  <c r="H108" i="22"/>
  <c r="G108" i="22" s="1"/>
  <c r="C108" i="22"/>
  <c r="A107" i="22"/>
  <c r="H107" i="22"/>
  <c r="G107" i="22" s="1"/>
  <c r="C107" i="22"/>
  <c r="A106" i="22"/>
  <c r="H106" i="22"/>
  <c r="G106" i="22" s="1"/>
  <c r="C106" i="22"/>
  <c r="A105" i="22"/>
  <c r="H105" i="22"/>
  <c r="G105" i="22" s="1"/>
  <c r="C105" i="22"/>
  <c r="A104" i="22"/>
  <c r="H104" i="22"/>
  <c r="G104" i="22" s="1"/>
  <c r="C104" i="22"/>
  <c r="A103" i="22"/>
  <c r="H103" i="22"/>
  <c r="G103" i="22" s="1"/>
  <c r="C103" i="22"/>
  <c r="A102" i="22"/>
  <c r="H102" i="22"/>
  <c r="G102" i="22" s="1"/>
  <c r="C102" i="22"/>
  <c r="A101" i="22"/>
  <c r="H101" i="22"/>
  <c r="G101" i="22"/>
  <c r="C101" i="22"/>
  <c r="A100" i="22"/>
  <c r="H100" i="22"/>
  <c r="G100" i="22" s="1"/>
  <c r="C100" i="22"/>
  <c r="A99" i="22"/>
  <c r="H99" i="22"/>
  <c r="G99" i="22" s="1"/>
  <c r="C99" i="22"/>
  <c r="A98" i="22"/>
  <c r="H98" i="22"/>
  <c r="G98" i="22" s="1"/>
  <c r="C98" i="22"/>
  <c r="A97" i="22"/>
  <c r="H97" i="22"/>
  <c r="G97" i="22" s="1"/>
  <c r="C97" i="22"/>
  <c r="A96" i="22"/>
  <c r="H96" i="22"/>
  <c r="G96" i="22" s="1"/>
  <c r="C96" i="22"/>
  <c r="A95" i="22"/>
  <c r="H95" i="22"/>
  <c r="G95" i="22" s="1"/>
  <c r="C95" i="22"/>
  <c r="A94" i="22"/>
  <c r="H94" i="22"/>
  <c r="G94" i="22" s="1"/>
  <c r="C94" i="22"/>
  <c r="A93" i="22"/>
  <c r="H93" i="22"/>
  <c r="G93" i="22" s="1"/>
  <c r="C93" i="22"/>
  <c r="A92" i="22"/>
  <c r="H92" i="22"/>
  <c r="G92" i="22" s="1"/>
  <c r="C92" i="22"/>
  <c r="A91" i="22"/>
  <c r="H91" i="22"/>
  <c r="G91" i="22" s="1"/>
  <c r="C91" i="22"/>
  <c r="A90" i="22"/>
  <c r="H90" i="22"/>
  <c r="G90" i="22" s="1"/>
  <c r="C90" i="22"/>
  <c r="A89" i="22"/>
  <c r="H89" i="22"/>
  <c r="G89" i="22" s="1"/>
  <c r="C89" i="22"/>
  <c r="A88" i="22"/>
  <c r="H88" i="22"/>
  <c r="G88" i="22" s="1"/>
  <c r="C88" i="22"/>
  <c r="A87" i="22"/>
  <c r="H87" i="22"/>
  <c r="G87" i="22" s="1"/>
  <c r="C87" i="22"/>
  <c r="A86" i="22"/>
  <c r="H86" i="22"/>
  <c r="G86" i="22" s="1"/>
  <c r="C86" i="22"/>
  <c r="A85" i="22"/>
  <c r="H85" i="22"/>
  <c r="G85" i="22" s="1"/>
  <c r="C85" i="22"/>
  <c r="A84" i="22"/>
  <c r="H84" i="22"/>
  <c r="G84" i="22" s="1"/>
  <c r="C84" i="22"/>
  <c r="A83" i="22"/>
  <c r="H83" i="22"/>
  <c r="G83" i="22" s="1"/>
  <c r="C83" i="22"/>
  <c r="A82" i="22"/>
  <c r="H82" i="22"/>
  <c r="G82" i="22" s="1"/>
  <c r="C82" i="22"/>
  <c r="A81" i="22"/>
  <c r="H81" i="22"/>
  <c r="G81" i="22" s="1"/>
  <c r="C81" i="22"/>
  <c r="A80" i="22"/>
  <c r="H80" i="22"/>
  <c r="G80" i="22" s="1"/>
  <c r="C80" i="22"/>
  <c r="A79" i="22"/>
  <c r="H79" i="22"/>
  <c r="G79" i="22" s="1"/>
  <c r="C79" i="22"/>
  <c r="A78" i="22"/>
  <c r="H78" i="22"/>
  <c r="G78" i="22" s="1"/>
  <c r="C78" i="22"/>
  <c r="A77" i="22"/>
  <c r="H77" i="22"/>
  <c r="G77" i="22" s="1"/>
  <c r="C77" i="22"/>
  <c r="A76" i="22"/>
  <c r="H76" i="22"/>
  <c r="G76" i="22" s="1"/>
  <c r="C76" i="22"/>
  <c r="A75" i="22"/>
  <c r="H75" i="22"/>
  <c r="G75" i="22" s="1"/>
  <c r="C75" i="22"/>
  <c r="A74" i="22"/>
  <c r="H74" i="22"/>
  <c r="G74" i="22" s="1"/>
  <c r="C74" i="22"/>
  <c r="A73" i="22"/>
  <c r="H73" i="22"/>
  <c r="G73" i="22" s="1"/>
  <c r="C73" i="22"/>
  <c r="A72" i="22"/>
  <c r="H72" i="22"/>
  <c r="G72" i="22" s="1"/>
  <c r="C72" i="22"/>
  <c r="A71" i="22"/>
  <c r="H71" i="22"/>
  <c r="G71" i="22" s="1"/>
  <c r="C71" i="22"/>
  <c r="A70" i="22"/>
  <c r="H70" i="22"/>
  <c r="G70" i="22" s="1"/>
  <c r="C70" i="22"/>
  <c r="A69" i="22"/>
  <c r="H69" i="22"/>
  <c r="G69" i="22" s="1"/>
  <c r="C69" i="22"/>
  <c r="A68" i="22"/>
  <c r="H68" i="22"/>
  <c r="G68" i="22" s="1"/>
  <c r="C68" i="22"/>
  <c r="A67" i="22"/>
  <c r="H67" i="22"/>
  <c r="G67" i="22" s="1"/>
  <c r="C67" i="22"/>
  <c r="A66" i="22"/>
  <c r="H66" i="22"/>
  <c r="G66" i="22" s="1"/>
  <c r="C66" i="22"/>
  <c r="A65" i="22"/>
  <c r="H65" i="22"/>
  <c r="G65" i="22" s="1"/>
  <c r="C65" i="22"/>
  <c r="A64" i="22"/>
  <c r="H64" i="22"/>
  <c r="G64" i="22" s="1"/>
  <c r="C64" i="22"/>
  <c r="A63" i="22"/>
  <c r="H63" i="22"/>
  <c r="G63" i="22" s="1"/>
  <c r="C63" i="22"/>
  <c r="A62" i="22"/>
  <c r="H62" i="22"/>
  <c r="G62" i="22" s="1"/>
  <c r="C62" i="22"/>
  <c r="A61" i="22"/>
  <c r="H61" i="22"/>
  <c r="G61" i="22" s="1"/>
  <c r="C61" i="22"/>
  <c r="A60" i="22"/>
  <c r="H60" i="22"/>
  <c r="G60" i="22" s="1"/>
  <c r="C60" i="22"/>
  <c r="A59" i="22"/>
  <c r="H59" i="22"/>
  <c r="G59" i="22" s="1"/>
  <c r="C59" i="22"/>
  <c r="A58" i="22"/>
  <c r="H58" i="22"/>
  <c r="G58" i="22" s="1"/>
  <c r="C58" i="22"/>
  <c r="A57" i="22"/>
  <c r="H57" i="22"/>
  <c r="G57" i="22" s="1"/>
  <c r="C57" i="22"/>
  <c r="A56" i="22"/>
  <c r="H56" i="22"/>
  <c r="G56" i="22" s="1"/>
  <c r="C56" i="22"/>
  <c r="A55" i="22"/>
  <c r="H55" i="22"/>
  <c r="G55" i="22" s="1"/>
  <c r="C55" i="22"/>
  <c r="A54" i="22"/>
  <c r="H54" i="22"/>
  <c r="G54" i="22" s="1"/>
  <c r="C54" i="22"/>
  <c r="A53" i="22"/>
  <c r="H53" i="22"/>
  <c r="G53" i="22" s="1"/>
  <c r="C53" i="22"/>
  <c r="A52" i="22"/>
  <c r="H52" i="22"/>
  <c r="G52" i="22" s="1"/>
  <c r="C52" i="22"/>
  <c r="A51" i="22"/>
  <c r="H51" i="22"/>
  <c r="G51" i="22" s="1"/>
  <c r="C51" i="22"/>
  <c r="A50" i="22"/>
  <c r="H50" i="22"/>
  <c r="G50" i="22" s="1"/>
  <c r="C50" i="22"/>
  <c r="A49" i="22"/>
  <c r="H49" i="22"/>
  <c r="G49" i="22" s="1"/>
  <c r="C49" i="22"/>
  <c r="A48" i="22"/>
  <c r="H48" i="22"/>
  <c r="G48" i="22" s="1"/>
  <c r="C48" i="22"/>
  <c r="A47" i="22"/>
  <c r="H47" i="22"/>
  <c r="G47" i="22" s="1"/>
  <c r="C47" i="22"/>
  <c r="A46" i="22"/>
  <c r="H46" i="22"/>
  <c r="G46" i="22" s="1"/>
  <c r="C46" i="22"/>
  <c r="A45" i="22"/>
  <c r="H45" i="22"/>
  <c r="G45" i="22" s="1"/>
  <c r="C45" i="22"/>
  <c r="A44" i="22"/>
  <c r="H44" i="22"/>
  <c r="G44" i="22" s="1"/>
  <c r="C44" i="22"/>
  <c r="A43" i="22"/>
  <c r="H43" i="22"/>
  <c r="G43" i="22" s="1"/>
  <c r="C43" i="22"/>
  <c r="A42" i="22"/>
  <c r="H42" i="22"/>
  <c r="G42" i="22" s="1"/>
  <c r="C42" i="22"/>
  <c r="A41" i="22"/>
  <c r="H41" i="22"/>
  <c r="G41" i="22" s="1"/>
  <c r="C41" i="22"/>
  <c r="A40" i="22"/>
  <c r="H40" i="22"/>
  <c r="G40" i="22" s="1"/>
  <c r="C40" i="22"/>
  <c r="A39" i="22"/>
  <c r="H39" i="22"/>
  <c r="G39" i="22" s="1"/>
  <c r="C39" i="22"/>
  <c r="A38" i="22"/>
  <c r="H38" i="22"/>
  <c r="G38" i="22" s="1"/>
  <c r="C38" i="22"/>
  <c r="A37" i="22"/>
  <c r="H37" i="22"/>
  <c r="G37" i="22" s="1"/>
  <c r="C37" i="22"/>
  <c r="A36" i="22"/>
  <c r="H36" i="22"/>
  <c r="G36" i="22" s="1"/>
  <c r="C36" i="22"/>
  <c r="A35" i="22"/>
  <c r="H35" i="22"/>
  <c r="G35" i="22" s="1"/>
  <c r="C35" i="22"/>
  <c r="A34" i="22"/>
  <c r="H34" i="22"/>
  <c r="G34" i="22" s="1"/>
  <c r="C34" i="22"/>
  <c r="A33" i="22"/>
  <c r="H33" i="22"/>
  <c r="G33" i="22" s="1"/>
  <c r="C33" i="22"/>
  <c r="A32" i="22"/>
  <c r="H32" i="22"/>
  <c r="G32" i="22" s="1"/>
  <c r="C32" i="22"/>
  <c r="A31" i="22"/>
  <c r="H31" i="22"/>
  <c r="G31" i="22" s="1"/>
  <c r="C31" i="22"/>
  <c r="A30" i="22"/>
  <c r="H30" i="22"/>
  <c r="G30" i="22"/>
  <c r="C30" i="22"/>
  <c r="A29" i="22"/>
  <c r="H29" i="22"/>
  <c r="G29" i="22" s="1"/>
  <c r="C29" i="22"/>
  <c r="A28" i="22"/>
  <c r="H28" i="22"/>
  <c r="G28" i="22"/>
  <c r="C28" i="22"/>
  <c r="A27" i="22"/>
  <c r="H140" i="16"/>
  <c r="G140" i="16" s="1"/>
  <c r="C140" i="16"/>
  <c r="A140" i="16"/>
  <c r="H139" i="16"/>
  <c r="G139" i="16" s="1"/>
  <c r="C139" i="16"/>
  <c r="A139" i="16"/>
  <c r="H138" i="16"/>
  <c r="G138" i="16" s="1"/>
  <c r="C138" i="16"/>
  <c r="A138" i="16"/>
  <c r="H137" i="16"/>
  <c r="G137" i="16" s="1"/>
  <c r="C137" i="16"/>
  <c r="A137" i="16"/>
  <c r="H136" i="16"/>
  <c r="G136" i="16" s="1"/>
  <c r="C136" i="16"/>
  <c r="A136" i="16"/>
  <c r="H135" i="16"/>
  <c r="G135" i="16" s="1"/>
  <c r="C135" i="16"/>
  <c r="A135" i="16"/>
  <c r="H134" i="16"/>
  <c r="G134" i="16" s="1"/>
  <c r="C134" i="16"/>
  <c r="A134" i="16"/>
  <c r="H133" i="16"/>
  <c r="G133" i="16" s="1"/>
  <c r="C133" i="16"/>
  <c r="A133" i="16"/>
  <c r="H132" i="16"/>
  <c r="G132" i="16" s="1"/>
  <c r="C132" i="16"/>
  <c r="A132" i="16"/>
  <c r="H131" i="16"/>
  <c r="G131" i="16" s="1"/>
  <c r="C131" i="16"/>
  <c r="A131" i="16"/>
  <c r="H130" i="16"/>
  <c r="G130" i="16"/>
  <c r="C130" i="16"/>
  <c r="A130" i="16"/>
  <c r="H129" i="16"/>
  <c r="G129" i="16" s="1"/>
  <c r="C129" i="16"/>
  <c r="A129" i="16"/>
  <c r="H128" i="16"/>
  <c r="G128" i="16" s="1"/>
  <c r="C128" i="16"/>
  <c r="A128" i="16"/>
  <c r="H127" i="16"/>
  <c r="G127" i="16" s="1"/>
  <c r="C127" i="16"/>
  <c r="A127" i="16"/>
  <c r="H126" i="16"/>
  <c r="G126" i="16" s="1"/>
  <c r="C126" i="16"/>
  <c r="A126" i="16"/>
  <c r="H125" i="16"/>
  <c r="G125" i="16" s="1"/>
  <c r="C125" i="16"/>
  <c r="A125" i="16"/>
  <c r="H124" i="16"/>
  <c r="G124" i="16" s="1"/>
  <c r="C124" i="16"/>
  <c r="A124" i="16"/>
  <c r="H123" i="16"/>
  <c r="G123" i="16" s="1"/>
  <c r="C123" i="16"/>
  <c r="A123" i="16"/>
  <c r="H122" i="16"/>
  <c r="G122" i="16" s="1"/>
  <c r="C122" i="16"/>
  <c r="A122" i="16"/>
  <c r="H121" i="16"/>
  <c r="G121" i="16" s="1"/>
  <c r="C121" i="16"/>
  <c r="A121" i="16"/>
  <c r="H120" i="16"/>
  <c r="G120" i="16"/>
  <c r="C120" i="16"/>
  <c r="A120" i="16"/>
  <c r="H119" i="16"/>
  <c r="G119" i="16" s="1"/>
  <c r="C119" i="16"/>
  <c r="A119" i="16"/>
  <c r="H118" i="16"/>
  <c r="G118" i="16" s="1"/>
  <c r="C118" i="16"/>
  <c r="A118" i="16"/>
  <c r="H117" i="16"/>
  <c r="G117" i="16" s="1"/>
  <c r="C117" i="16"/>
  <c r="A117" i="16"/>
  <c r="H116" i="16"/>
  <c r="G116" i="16" s="1"/>
  <c r="C116" i="16"/>
  <c r="A116" i="16"/>
  <c r="H115" i="16"/>
  <c r="G115" i="16" s="1"/>
  <c r="C115" i="16"/>
  <c r="A115" i="16"/>
  <c r="H114" i="16"/>
  <c r="G114" i="16" s="1"/>
  <c r="C114" i="16"/>
  <c r="A114" i="16"/>
  <c r="H113" i="16"/>
  <c r="G113" i="16" s="1"/>
  <c r="C113" i="16"/>
  <c r="A113" i="16"/>
  <c r="H112" i="16"/>
  <c r="G112" i="16" s="1"/>
  <c r="C112" i="16"/>
  <c r="A112" i="16"/>
  <c r="H111" i="16"/>
  <c r="G111" i="16" s="1"/>
  <c r="C111" i="16"/>
  <c r="A111" i="16"/>
  <c r="H110" i="16"/>
  <c r="G110" i="16" s="1"/>
  <c r="C110" i="16"/>
  <c r="A110" i="16"/>
  <c r="H109" i="16"/>
  <c r="G109" i="16" s="1"/>
  <c r="C109" i="16"/>
  <c r="A109" i="16"/>
  <c r="H108" i="16"/>
  <c r="G108" i="16" s="1"/>
  <c r="C108" i="16"/>
  <c r="A108" i="16"/>
  <c r="H107" i="16"/>
  <c r="G107" i="16" s="1"/>
  <c r="C107" i="16"/>
  <c r="A107" i="16"/>
  <c r="H106" i="16"/>
  <c r="G106" i="16" s="1"/>
  <c r="C106" i="16"/>
  <c r="A106" i="16"/>
  <c r="H105" i="16"/>
  <c r="G105" i="16" s="1"/>
  <c r="C105" i="16"/>
  <c r="A105" i="16"/>
  <c r="H104" i="16"/>
  <c r="G104" i="16" s="1"/>
  <c r="C104" i="16"/>
  <c r="A104" i="16"/>
  <c r="H103" i="16"/>
  <c r="G103" i="16" s="1"/>
  <c r="C103" i="16"/>
  <c r="A103" i="16"/>
  <c r="H102" i="16"/>
  <c r="G102" i="16" s="1"/>
  <c r="C102" i="16"/>
  <c r="A102" i="16"/>
  <c r="H101" i="16"/>
  <c r="G101" i="16" s="1"/>
  <c r="C101" i="16"/>
  <c r="A101" i="16"/>
  <c r="H100" i="16"/>
  <c r="G100" i="16" s="1"/>
  <c r="C100" i="16"/>
  <c r="A100" i="16"/>
  <c r="H99" i="16"/>
  <c r="G99" i="16" s="1"/>
  <c r="C99" i="16"/>
  <c r="A99" i="16"/>
  <c r="H98" i="16"/>
  <c r="G98" i="16" s="1"/>
  <c r="C98" i="16"/>
  <c r="A98" i="16"/>
  <c r="H97" i="16"/>
  <c r="G97" i="16" s="1"/>
  <c r="C97" i="16"/>
  <c r="A97" i="16"/>
  <c r="H96" i="16"/>
  <c r="G96" i="16" s="1"/>
  <c r="C96" i="16"/>
  <c r="A96" i="16"/>
  <c r="H95" i="16"/>
  <c r="G95" i="16" s="1"/>
  <c r="C95" i="16"/>
  <c r="A95" i="16"/>
  <c r="H94" i="16"/>
  <c r="G94" i="16" s="1"/>
  <c r="C94" i="16"/>
  <c r="A94" i="16"/>
  <c r="H93" i="16"/>
  <c r="G93" i="16" s="1"/>
  <c r="C93" i="16"/>
  <c r="A93" i="16"/>
  <c r="H92" i="16"/>
  <c r="G92" i="16" s="1"/>
  <c r="C92" i="16"/>
  <c r="A92" i="16"/>
  <c r="H91" i="16"/>
  <c r="G91" i="16" s="1"/>
  <c r="C91" i="16"/>
  <c r="A91" i="16"/>
  <c r="H90" i="16"/>
  <c r="G90" i="16" s="1"/>
  <c r="C90" i="16"/>
  <c r="A90" i="16"/>
  <c r="H89" i="16"/>
  <c r="G89" i="16" s="1"/>
  <c r="C89" i="16"/>
  <c r="A89" i="16"/>
  <c r="H88" i="16"/>
  <c r="G88" i="16" s="1"/>
  <c r="C88" i="16"/>
  <c r="A88" i="16"/>
  <c r="H87" i="16"/>
  <c r="G87" i="16" s="1"/>
  <c r="C87" i="16"/>
  <c r="A87" i="16"/>
  <c r="H86" i="16"/>
  <c r="G86" i="16" s="1"/>
  <c r="C86" i="16"/>
  <c r="A86" i="16"/>
  <c r="H85" i="16"/>
  <c r="G85" i="16" s="1"/>
  <c r="C85" i="16"/>
  <c r="A85" i="16"/>
  <c r="H84" i="16"/>
  <c r="G84" i="16" s="1"/>
  <c r="C84" i="16"/>
  <c r="A84" i="16"/>
  <c r="H83" i="16"/>
  <c r="G83" i="16" s="1"/>
  <c r="C83" i="16"/>
  <c r="A83" i="16"/>
  <c r="H82" i="16"/>
  <c r="G82" i="16" s="1"/>
  <c r="C82" i="16"/>
  <c r="A82" i="16"/>
  <c r="H81" i="16"/>
  <c r="G81" i="16" s="1"/>
  <c r="C81" i="16"/>
  <c r="A81" i="16"/>
  <c r="H80" i="16"/>
  <c r="G80" i="16" s="1"/>
  <c r="C80" i="16"/>
  <c r="A80" i="16"/>
  <c r="H79" i="16"/>
  <c r="G79" i="16" s="1"/>
  <c r="C79" i="16"/>
  <c r="A79" i="16"/>
  <c r="H78" i="16"/>
  <c r="G78" i="16" s="1"/>
  <c r="C78" i="16"/>
  <c r="A78" i="16"/>
  <c r="H77" i="16"/>
  <c r="G77" i="16" s="1"/>
  <c r="C77" i="16"/>
  <c r="A77" i="16"/>
  <c r="H76" i="16"/>
  <c r="G76" i="16" s="1"/>
  <c r="C76" i="16"/>
  <c r="A76" i="16"/>
  <c r="H75" i="16"/>
  <c r="G75" i="16" s="1"/>
  <c r="C75" i="16"/>
  <c r="A75" i="16"/>
  <c r="H74" i="16"/>
  <c r="G74" i="16" s="1"/>
  <c r="C74" i="16"/>
  <c r="A74" i="16"/>
  <c r="H73" i="16"/>
  <c r="G73" i="16" s="1"/>
  <c r="C73" i="16"/>
  <c r="A73" i="16"/>
  <c r="H72" i="16"/>
  <c r="G72" i="16" s="1"/>
  <c r="C72" i="16"/>
  <c r="A72" i="16"/>
  <c r="H71" i="16"/>
  <c r="G71" i="16" s="1"/>
  <c r="C71" i="16"/>
  <c r="A71" i="16"/>
  <c r="H70" i="16"/>
  <c r="G70" i="16" s="1"/>
  <c r="C70" i="16"/>
  <c r="A70" i="16"/>
  <c r="H69" i="16"/>
  <c r="G69" i="16" s="1"/>
  <c r="C69" i="16"/>
  <c r="A69" i="16"/>
  <c r="H68" i="16"/>
  <c r="G68" i="16" s="1"/>
  <c r="C68" i="16"/>
  <c r="A68" i="16"/>
  <c r="H67" i="16"/>
  <c r="G67" i="16" s="1"/>
  <c r="C67" i="16"/>
  <c r="A67" i="16"/>
  <c r="H66" i="16"/>
  <c r="G66" i="16" s="1"/>
  <c r="C66" i="16"/>
  <c r="A66" i="16"/>
  <c r="H65" i="16"/>
  <c r="G65" i="16" s="1"/>
  <c r="C65" i="16"/>
  <c r="A65" i="16"/>
  <c r="H64" i="16"/>
  <c r="G64" i="16" s="1"/>
  <c r="C64" i="16"/>
  <c r="A64" i="16"/>
  <c r="H63" i="16"/>
  <c r="G63" i="16" s="1"/>
  <c r="C63" i="16"/>
  <c r="A63" i="16"/>
  <c r="H62" i="16"/>
  <c r="G62" i="16" s="1"/>
  <c r="C62" i="16"/>
  <c r="A62" i="16"/>
  <c r="H61" i="16"/>
  <c r="G61" i="16" s="1"/>
  <c r="C61" i="16"/>
  <c r="A61" i="16"/>
  <c r="H60" i="16"/>
  <c r="G60" i="16" s="1"/>
  <c r="C60" i="16"/>
  <c r="A60" i="16"/>
  <c r="H59" i="16"/>
  <c r="G59" i="16" s="1"/>
  <c r="C59" i="16"/>
  <c r="A59" i="16"/>
  <c r="H58" i="16"/>
  <c r="G58" i="16" s="1"/>
  <c r="C58" i="16"/>
  <c r="A58" i="16"/>
  <c r="H57" i="16"/>
  <c r="G57" i="16" s="1"/>
  <c r="C57" i="16"/>
  <c r="A57" i="16"/>
  <c r="H56" i="16"/>
  <c r="G56" i="16" s="1"/>
  <c r="C56" i="16"/>
  <c r="A56" i="16"/>
  <c r="H55" i="16"/>
  <c r="G55" i="16" s="1"/>
  <c r="C55" i="16"/>
  <c r="A55" i="16"/>
  <c r="H54" i="16"/>
  <c r="G54" i="16" s="1"/>
  <c r="C54" i="16"/>
  <c r="A54" i="16"/>
  <c r="H53" i="16"/>
  <c r="G53" i="16" s="1"/>
  <c r="C53" i="16"/>
  <c r="A53" i="16"/>
  <c r="H52" i="16"/>
  <c r="G52" i="16" s="1"/>
  <c r="C52" i="16"/>
  <c r="A52" i="16"/>
  <c r="H51" i="16"/>
  <c r="G51" i="16" s="1"/>
  <c r="C51" i="16"/>
  <c r="A51" i="16"/>
  <c r="H50" i="16"/>
  <c r="G50" i="16" s="1"/>
  <c r="C50" i="16"/>
  <c r="A50" i="16"/>
  <c r="H49" i="16"/>
  <c r="G49" i="16" s="1"/>
  <c r="C49" i="16"/>
  <c r="A49" i="16"/>
  <c r="H48" i="16"/>
  <c r="G48" i="16" s="1"/>
  <c r="C48" i="16"/>
  <c r="A48" i="16"/>
  <c r="H47" i="16"/>
  <c r="G47" i="16" s="1"/>
  <c r="C47" i="16"/>
  <c r="A47" i="16"/>
  <c r="H46" i="16"/>
  <c r="G46" i="16" s="1"/>
  <c r="C46" i="16"/>
  <c r="A46" i="16"/>
  <c r="H45" i="16"/>
  <c r="G45" i="16"/>
  <c r="C45" i="16"/>
  <c r="A45" i="16"/>
  <c r="H44" i="16"/>
  <c r="G44" i="16" s="1"/>
  <c r="C44" i="16"/>
  <c r="A44" i="16"/>
  <c r="H43" i="16"/>
  <c r="G43" i="16" s="1"/>
  <c r="C43" i="16"/>
  <c r="A43" i="16"/>
  <c r="H42" i="16"/>
  <c r="G42" i="16" s="1"/>
  <c r="C42" i="16"/>
  <c r="A42" i="16"/>
  <c r="H41" i="16"/>
  <c r="G41" i="16" s="1"/>
  <c r="C41" i="16"/>
  <c r="A41" i="16"/>
  <c r="H40" i="16"/>
  <c r="G40" i="16" s="1"/>
  <c r="C40" i="16"/>
  <c r="A40" i="16"/>
  <c r="H39" i="16"/>
  <c r="G39" i="16" s="1"/>
  <c r="C39" i="16"/>
  <c r="A39" i="16"/>
  <c r="H38" i="16"/>
  <c r="G38" i="16" s="1"/>
  <c r="C38" i="16"/>
  <c r="A38" i="16"/>
  <c r="H37" i="16"/>
  <c r="G37" i="16" s="1"/>
  <c r="C37" i="16"/>
  <c r="A37" i="16"/>
  <c r="H36" i="16"/>
  <c r="G36" i="16" s="1"/>
  <c r="C36" i="16"/>
  <c r="A36" i="16"/>
  <c r="H35" i="16"/>
  <c r="G35" i="16" s="1"/>
  <c r="C35" i="16"/>
  <c r="A35" i="16"/>
  <c r="H34" i="16"/>
  <c r="G34" i="16" s="1"/>
  <c r="C34" i="16"/>
  <c r="A34" i="16"/>
  <c r="H33" i="16"/>
  <c r="G33" i="16" s="1"/>
  <c r="C33" i="16"/>
  <c r="A33" i="16"/>
  <c r="H32" i="16"/>
  <c r="G32" i="16" s="1"/>
  <c r="C32" i="16"/>
  <c r="A32" i="16"/>
  <c r="H31" i="16"/>
  <c r="G31" i="16" s="1"/>
  <c r="C31" i="16"/>
  <c r="A31" i="16"/>
  <c r="H42" i="17"/>
  <c r="G42" i="17" s="1"/>
  <c r="C42" i="17"/>
  <c r="A42" i="17"/>
  <c r="H41" i="17"/>
  <c r="G41" i="17" s="1"/>
  <c r="C41" i="17"/>
  <c r="A41" i="17"/>
  <c r="H40" i="17"/>
  <c r="G40" i="17"/>
  <c r="C40" i="17"/>
  <c r="A40" i="17"/>
  <c r="H39" i="17"/>
  <c r="G39" i="17" s="1"/>
  <c r="C39" i="17"/>
  <c r="A39" i="17"/>
  <c r="H38" i="17"/>
  <c r="G38" i="17" s="1"/>
  <c r="C38" i="17"/>
  <c r="A38" i="17"/>
  <c r="H37" i="17"/>
  <c r="G37" i="17" s="1"/>
  <c r="C37" i="17"/>
  <c r="A37" i="17"/>
  <c r="H36" i="17"/>
  <c r="G36" i="17" s="1"/>
  <c r="C36" i="17"/>
  <c r="A36" i="17"/>
  <c r="H35" i="17"/>
  <c r="G35" i="17" s="1"/>
  <c r="C35" i="17"/>
  <c r="A35" i="17"/>
  <c r="H34" i="17"/>
  <c r="G34" i="17" s="1"/>
  <c r="C34" i="17"/>
  <c r="A34" i="17"/>
  <c r="H33" i="17"/>
  <c r="G33" i="17" s="1"/>
  <c r="C33" i="17"/>
  <c r="A33" i="17"/>
  <c r="H138" i="17"/>
  <c r="G138" i="17" s="1"/>
  <c r="C138" i="17"/>
  <c r="A138" i="17"/>
  <c r="H137" i="17"/>
  <c r="G137" i="17" s="1"/>
  <c r="C137" i="17"/>
  <c r="A137" i="17"/>
  <c r="H136" i="17"/>
  <c r="G136" i="17" s="1"/>
  <c r="C136" i="17"/>
  <c r="A136" i="17"/>
  <c r="H135" i="17"/>
  <c r="G135" i="17" s="1"/>
  <c r="C135" i="17"/>
  <c r="A135" i="17"/>
  <c r="H134" i="17"/>
  <c r="G134" i="17" s="1"/>
  <c r="C134" i="17"/>
  <c r="A134" i="17"/>
  <c r="H133" i="17"/>
  <c r="G133" i="17" s="1"/>
  <c r="C133" i="17"/>
  <c r="A133" i="17"/>
  <c r="H132" i="17"/>
  <c r="G132" i="17" s="1"/>
  <c r="C132" i="17"/>
  <c r="A132" i="17"/>
  <c r="H131" i="17"/>
  <c r="G131" i="17" s="1"/>
  <c r="C131" i="17"/>
  <c r="A131" i="17"/>
  <c r="H130" i="17"/>
  <c r="G130" i="17" s="1"/>
  <c r="C130" i="17"/>
  <c r="A130" i="17"/>
  <c r="H129" i="17"/>
  <c r="G129" i="17" s="1"/>
  <c r="C129" i="17"/>
  <c r="A129" i="17"/>
  <c r="H128" i="17"/>
  <c r="G128" i="17" s="1"/>
  <c r="C128" i="17"/>
  <c r="A128" i="17"/>
  <c r="H127" i="17"/>
  <c r="G127" i="17" s="1"/>
  <c r="C127" i="17"/>
  <c r="A127" i="17"/>
  <c r="H126" i="17"/>
  <c r="G126" i="17" s="1"/>
  <c r="C126" i="17"/>
  <c r="A126" i="17"/>
  <c r="H125" i="17"/>
  <c r="G125" i="17" s="1"/>
  <c r="C125" i="17"/>
  <c r="A125" i="17"/>
  <c r="H124" i="17"/>
  <c r="G124" i="17" s="1"/>
  <c r="C124" i="17"/>
  <c r="A124" i="17"/>
  <c r="H123" i="17"/>
  <c r="G123" i="17" s="1"/>
  <c r="C123" i="17"/>
  <c r="A123" i="17"/>
  <c r="H122" i="17"/>
  <c r="G122" i="17" s="1"/>
  <c r="C122" i="17"/>
  <c r="A122" i="17"/>
  <c r="H121" i="17"/>
  <c r="G121" i="17" s="1"/>
  <c r="C121" i="17"/>
  <c r="A121" i="17"/>
  <c r="H120" i="17"/>
  <c r="G120" i="17" s="1"/>
  <c r="C120" i="17"/>
  <c r="A120" i="17"/>
  <c r="H119" i="17"/>
  <c r="G119" i="17" s="1"/>
  <c r="C119" i="17"/>
  <c r="A119" i="17"/>
  <c r="H118" i="17"/>
  <c r="G118" i="17" s="1"/>
  <c r="C118" i="17"/>
  <c r="A118" i="17"/>
  <c r="H117" i="17"/>
  <c r="G117" i="17" s="1"/>
  <c r="C117" i="17"/>
  <c r="A117" i="17"/>
  <c r="H116" i="17"/>
  <c r="G116" i="17" s="1"/>
  <c r="C116" i="17"/>
  <c r="A116" i="17"/>
  <c r="H115" i="17"/>
  <c r="G115" i="17" s="1"/>
  <c r="C115" i="17"/>
  <c r="A115" i="17"/>
  <c r="H114" i="17"/>
  <c r="G114" i="17" s="1"/>
  <c r="C114" i="17"/>
  <c r="A114" i="17"/>
  <c r="H113" i="17"/>
  <c r="G113" i="17" s="1"/>
  <c r="C113" i="17"/>
  <c r="A113" i="17"/>
  <c r="H112" i="17"/>
  <c r="G112" i="17" s="1"/>
  <c r="C112" i="17"/>
  <c r="A112" i="17"/>
  <c r="H111" i="17"/>
  <c r="G111" i="17" s="1"/>
  <c r="C111" i="17"/>
  <c r="A111" i="17"/>
  <c r="H110" i="17"/>
  <c r="G110" i="17" s="1"/>
  <c r="C110" i="17"/>
  <c r="A110" i="17"/>
  <c r="H109" i="17"/>
  <c r="G109" i="17" s="1"/>
  <c r="C109" i="17"/>
  <c r="A109" i="17"/>
  <c r="H108" i="17"/>
  <c r="G108" i="17" s="1"/>
  <c r="C108" i="17"/>
  <c r="A108" i="17"/>
  <c r="H107" i="17"/>
  <c r="G107" i="17" s="1"/>
  <c r="C107" i="17"/>
  <c r="A107" i="17"/>
  <c r="H106" i="17"/>
  <c r="G106" i="17" s="1"/>
  <c r="C106" i="17"/>
  <c r="A106" i="17"/>
  <c r="H105" i="17"/>
  <c r="G105" i="17" s="1"/>
  <c r="C105" i="17"/>
  <c r="A105" i="17"/>
  <c r="H104" i="17"/>
  <c r="G104" i="17" s="1"/>
  <c r="C104" i="17"/>
  <c r="A104" i="17"/>
  <c r="H103" i="17"/>
  <c r="G103" i="17" s="1"/>
  <c r="C103" i="17"/>
  <c r="A103" i="17"/>
  <c r="H102" i="17"/>
  <c r="G102" i="17" s="1"/>
  <c r="C102" i="17"/>
  <c r="A102" i="17"/>
  <c r="H101" i="17"/>
  <c r="G101" i="17" s="1"/>
  <c r="C101" i="17"/>
  <c r="A101" i="17"/>
  <c r="H100" i="17"/>
  <c r="G100" i="17" s="1"/>
  <c r="C100" i="17"/>
  <c r="A100" i="17"/>
  <c r="H99" i="17"/>
  <c r="G99" i="17" s="1"/>
  <c r="C99" i="17"/>
  <c r="A99" i="17"/>
  <c r="H98" i="17"/>
  <c r="G98" i="17" s="1"/>
  <c r="C98" i="17"/>
  <c r="A98" i="17"/>
  <c r="H97" i="17"/>
  <c r="G97" i="17" s="1"/>
  <c r="C97" i="17"/>
  <c r="A97" i="17"/>
  <c r="H96" i="17"/>
  <c r="G96" i="17" s="1"/>
  <c r="C96" i="17"/>
  <c r="A96" i="17"/>
  <c r="H95" i="17"/>
  <c r="G95" i="17" s="1"/>
  <c r="C95" i="17"/>
  <c r="A95" i="17"/>
  <c r="H94" i="17"/>
  <c r="G94" i="17"/>
  <c r="C94" i="17"/>
  <c r="A94" i="17"/>
  <c r="H93" i="17"/>
  <c r="G93" i="17"/>
  <c r="C93" i="17"/>
  <c r="A93" i="17"/>
  <c r="H92" i="17"/>
  <c r="G92" i="17"/>
  <c r="C92" i="17"/>
  <c r="A92" i="17"/>
  <c r="H91" i="17"/>
  <c r="G91" i="17" s="1"/>
  <c r="C91" i="17"/>
  <c r="A91" i="17"/>
  <c r="H90" i="17"/>
  <c r="G90" i="17" s="1"/>
  <c r="C90" i="17"/>
  <c r="A90" i="17"/>
  <c r="H89" i="17"/>
  <c r="G89" i="17" s="1"/>
  <c r="C89" i="17"/>
  <c r="A89" i="17"/>
  <c r="H88" i="17"/>
  <c r="G88" i="17" s="1"/>
  <c r="C88" i="17"/>
  <c r="A88" i="17"/>
  <c r="H87" i="17"/>
  <c r="G87" i="17" s="1"/>
  <c r="C87" i="17"/>
  <c r="A87" i="17"/>
  <c r="H86" i="17"/>
  <c r="G86" i="17" s="1"/>
  <c r="C86" i="17"/>
  <c r="A86" i="17"/>
  <c r="H85" i="17"/>
  <c r="G85" i="17" s="1"/>
  <c r="C85" i="17"/>
  <c r="A85" i="17"/>
  <c r="H84" i="17"/>
  <c r="G84" i="17" s="1"/>
  <c r="C84" i="17"/>
  <c r="A84" i="17"/>
  <c r="H83" i="17"/>
  <c r="G83" i="17" s="1"/>
  <c r="C83" i="17"/>
  <c r="A83" i="17"/>
  <c r="H82" i="17"/>
  <c r="G82" i="17" s="1"/>
  <c r="C82" i="17"/>
  <c r="A82" i="17"/>
  <c r="H81" i="17"/>
  <c r="G81" i="17" s="1"/>
  <c r="C81" i="17"/>
  <c r="A81" i="17"/>
  <c r="H80" i="17"/>
  <c r="G80" i="17" s="1"/>
  <c r="C80" i="17"/>
  <c r="A80" i="17"/>
  <c r="H79" i="17"/>
  <c r="G79" i="17" s="1"/>
  <c r="C79" i="17"/>
  <c r="A79" i="17"/>
  <c r="H78" i="17"/>
  <c r="G78" i="17" s="1"/>
  <c r="C78" i="17"/>
  <c r="A78" i="17"/>
  <c r="H77" i="17"/>
  <c r="G77" i="17"/>
  <c r="C77" i="17"/>
  <c r="A77" i="17"/>
  <c r="H76" i="17"/>
  <c r="G76" i="17" s="1"/>
  <c r="C76" i="17"/>
  <c r="A76" i="17"/>
  <c r="H75" i="17"/>
  <c r="G75" i="17" s="1"/>
  <c r="C75" i="17"/>
  <c r="A75" i="17"/>
  <c r="H74" i="17"/>
  <c r="G74" i="17" s="1"/>
  <c r="C74" i="17"/>
  <c r="A74" i="17"/>
  <c r="H73" i="17"/>
  <c r="G73" i="17" s="1"/>
  <c r="C73" i="17"/>
  <c r="A73" i="17"/>
  <c r="H72" i="17"/>
  <c r="G72" i="17" s="1"/>
  <c r="C72" i="17"/>
  <c r="A72" i="17"/>
  <c r="H71" i="17"/>
  <c r="G71" i="17" s="1"/>
  <c r="C71" i="17"/>
  <c r="A71" i="17"/>
  <c r="H70" i="17"/>
  <c r="G70" i="17" s="1"/>
  <c r="C70" i="17"/>
  <c r="A70" i="17"/>
  <c r="H69" i="17"/>
  <c r="G69" i="17" s="1"/>
  <c r="C69" i="17"/>
  <c r="A69" i="17"/>
  <c r="H68" i="17"/>
  <c r="G68" i="17" s="1"/>
  <c r="C68" i="17"/>
  <c r="A68" i="17"/>
  <c r="H67" i="17"/>
  <c r="G67" i="17" s="1"/>
  <c r="C67" i="17"/>
  <c r="A67" i="17"/>
  <c r="H66" i="17"/>
  <c r="G66" i="17" s="1"/>
  <c r="C66" i="17"/>
  <c r="A66" i="17"/>
  <c r="H65" i="17"/>
  <c r="G65" i="17" s="1"/>
  <c r="C65" i="17"/>
  <c r="A65" i="17"/>
  <c r="H64" i="17"/>
  <c r="G64" i="17" s="1"/>
  <c r="C64" i="17"/>
  <c r="A64" i="17"/>
  <c r="H63" i="17"/>
  <c r="G63" i="17" s="1"/>
  <c r="C63" i="17"/>
  <c r="A63" i="17"/>
  <c r="H62" i="17"/>
  <c r="G62" i="17" s="1"/>
  <c r="C62" i="17"/>
  <c r="A62" i="17"/>
  <c r="H61" i="17"/>
  <c r="G61" i="17" s="1"/>
  <c r="C61" i="17"/>
  <c r="A61" i="17"/>
  <c r="H60" i="17"/>
  <c r="G60" i="17" s="1"/>
  <c r="C60" i="17"/>
  <c r="A60" i="17"/>
  <c r="H59" i="17"/>
  <c r="G59" i="17" s="1"/>
  <c r="C59" i="17"/>
  <c r="A59" i="17"/>
  <c r="H58" i="17"/>
  <c r="G58" i="17" s="1"/>
  <c r="C58" i="17"/>
  <c r="A58" i="17"/>
  <c r="H57" i="17"/>
  <c r="G57" i="17" s="1"/>
  <c r="C57" i="17"/>
  <c r="A57" i="17"/>
  <c r="H56" i="17"/>
  <c r="G56" i="17" s="1"/>
  <c r="C56" i="17"/>
  <c r="A56" i="17"/>
  <c r="H55" i="17"/>
  <c r="G55" i="17" s="1"/>
  <c r="C55" i="17"/>
  <c r="A55" i="17"/>
  <c r="H54" i="17"/>
  <c r="G54" i="17"/>
  <c r="C54" i="17"/>
  <c r="A54" i="17"/>
  <c r="H53" i="17"/>
  <c r="G53" i="17" s="1"/>
  <c r="C53" i="17"/>
  <c r="A53" i="17"/>
  <c r="H52" i="17"/>
  <c r="G52" i="17" s="1"/>
  <c r="C52" i="17"/>
  <c r="A52" i="17"/>
  <c r="H51" i="17"/>
  <c r="G51" i="17" s="1"/>
  <c r="C51" i="17"/>
  <c r="A51" i="17"/>
  <c r="H50" i="17"/>
  <c r="G50" i="17"/>
  <c r="C50" i="17"/>
  <c r="A50" i="17"/>
  <c r="H49" i="17"/>
  <c r="G49" i="17" s="1"/>
  <c r="C49" i="17"/>
  <c r="A49" i="17"/>
  <c r="H48" i="17"/>
  <c r="G48" i="17" s="1"/>
  <c r="C48" i="17"/>
  <c r="A48" i="17"/>
  <c r="H47" i="17"/>
  <c r="G47" i="17" s="1"/>
  <c r="C47" i="17"/>
  <c r="A47" i="17"/>
  <c r="H46" i="17"/>
  <c r="G46" i="17" s="1"/>
  <c r="C46" i="17"/>
  <c r="A46" i="17"/>
  <c r="H45" i="17"/>
  <c r="G45" i="17" s="1"/>
  <c r="C45" i="17"/>
  <c r="A45" i="17"/>
  <c r="H44" i="17"/>
  <c r="G44" i="17" s="1"/>
  <c r="C44" i="17"/>
  <c r="A44" i="17"/>
  <c r="H43" i="17"/>
  <c r="G43" i="17" s="1"/>
  <c r="C43" i="17"/>
  <c r="A43" i="17"/>
  <c r="H32" i="17"/>
  <c r="G32" i="17" s="1"/>
  <c r="C32" i="17"/>
  <c r="A32" i="17"/>
  <c r="H31" i="17"/>
  <c r="G31" i="17" s="1"/>
  <c r="C31" i="17"/>
  <c r="A31" i="17"/>
  <c r="H30" i="17"/>
  <c r="G30" i="17" s="1"/>
  <c r="C30" i="17"/>
  <c r="A30" i="17"/>
  <c r="H29" i="17"/>
  <c r="G29" i="17" s="1"/>
  <c r="C29" i="17"/>
  <c r="A29" i="17"/>
  <c r="M15" i="4" l="1"/>
  <c r="Q15" i="4" s="1"/>
  <c r="L15" i="4"/>
  <c r="P15" i="4" s="1"/>
  <c r="K15" i="4"/>
  <c r="E15" i="4"/>
  <c r="C15" i="4"/>
  <c r="N15" i="4" l="1"/>
  <c r="O15" i="4"/>
  <c r="S15" i="4" s="1"/>
  <c r="M16" i="4"/>
  <c r="Q16" i="4" s="1"/>
  <c r="L16" i="4"/>
  <c r="P16" i="4" s="1"/>
  <c r="K16" i="4"/>
  <c r="M14" i="4"/>
  <c r="Q14" i="4" s="1"/>
  <c r="L14" i="4"/>
  <c r="P14" i="4" s="1"/>
  <c r="K14" i="4"/>
  <c r="L13" i="4"/>
  <c r="P13" i="4" s="1"/>
  <c r="K13" i="4"/>
  <c r="L12" i="4"/>
  <c r="P12" i="4" s="1"/>
  <c r="K12" i="4"/>
  <c r="M11" i="4"/>
  <c r="Q11" i="4" s="1"/>
  <c r="L11" i="4"/>
  <c r="P11" i="4" s="1"/>
  <c r="K11" i="4"/>
  <c r="M10" i="4"/>
  <c r="Q10" i="4" s="1"/>
  <c r="L10" i="4"/>
  <c r="P10" i="4" s="1"/>
  <c r="K10" i="4"/>
  <c r="M9" i="4"/>
  <c r="Q9" i="4" s="1"/>
  <c r="L9" i="4"/>
  <c r="P9" i="4" s="1"/>
  <c r="K9" i="4"/>
  <c r="M8" i="4"/>
  <c r="Q8" i="4" s="1"/>
  <c r="L8" i="4"/>
  <c r="P8" i="4" s="1"/>
  <c r="K8" i="4"/>
  <c r="L7" i="4"/>
  <c r="P7" i="4" s="1"/>
  <c r="K7" i="4"/>
  <c r="E16" i="4"/>
  <c r="C16" i="4"/>
  <c r="K6" i="4"/>
  <c r="O6" i="4" s="1"/>
  <c r="N8" i="4" l="1"/>
  <c r="N10" i="4"/>
  <c r="N14" i="4"/>
  <c r="N9" i="4"/>
  <c r="N11" i="4"/>
  <c r="N16" i="4"/>
  <c r="O9" i="4"/>
  <c r="S9" i="4" s="1"/>
  <c r="O10" i="4"/>
  <c r="S10" i="4" s="1"/>
  <c r="O11" i="4"/>
  <c r="S11" i="4" s="1"/>
  <c r="O12" i="4"/>
  <c r="O13" i="4"/>
  <c r="O14" i="4"/>
  <c r="S14" i="4" s="1"/>
  <c r="O16" i="4"/>
  <c r="S16" i="4" s="1"/>
  <c r="O8" i="4"/>
  <c r="S8" i="4" s="1"/>
  <c r="O7" i="4"/>
  <c r="H29" i="23"/>
  <c r="G29" i="23" s="1"/>
  <c r="C29" i="23"/>
  <c r="A29" i="23"/>
  <c r="H30" i="16"/>
  <c r="G30" i="16" s="1"/>
  <c r="C30" i="16"/>
  <c r="A30" i="16"/>
  <c r="L6" i="4" l="1"/>
  <c r="P6" i="4" s="1"/>
  <c r="D60" i="9" l="1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BW55" i="25" l="1"/>
  <c r="BV55" i="25"/>
  <c r="BU55" i="25"/>
  <c r="BT55" i="25"/>
  <c r="BS55" i="25"/>
  <c r="BR55" i="25"/>
  <c r="BQ55" i="25"/>
  <c r="BP55" i="25"/>
  <c r="BO55" i="25"/>
  <c r="BN55" i="25"/>
  <c r="BM55" i="25"/>
  <c r="BL55" i="25"/>
  <c r="BW53" i="25"/>
  <c r="BV53" i="25"/>
  <c r="BU53" i="25"/>
  <c r="BT53" i="25"/>
  <c r="BS53" i="25"/>
  <c r="BR53" i="25"/>
  <c r="BQ53" i="25"/>
  <c r="BP53" i="25"/>
  <c r="BO53" i="25"/>
  <c r="BN53" i="25"/>
  <c r="BM53" i="25"/>
  <c r="BL53" i="25"/>
  <c r="BW51" i="25"/>
  <c r="BV51" i="25"/>
  <c r="BU51" i="25"/>
  <c r="BT51" i="25"/>
  <c r="BS51" i="25"/>
  <c r="BR51" i="25"/>
  <c r="BQ51" i="25"/>
  <c r="BP51" i="25"/>
  <c r="BO51" i="25"/>
  <c r="BN51" i="25"/>
  <c r="BM51" i="25"/>
  <c r="BL51" i="25"/>
  <c r="BW49" i="25"/>
  <c r="BV49" i="25"/>
  <c r="BU49" i="25"/>
  <c r="BT49" i="25"/>
  <c r="BS49" i="25"/>
  <c r="BR49" i="25"/>
  <c r="BQ49" i="25"/>
  <c r="BP49" i="25"/>
  <c r="BO49" i="25"/>
  <c r="BN49" i="25"/>
  <c r="BM49" i="25"/>
  <c r="BL49" i="25"/>
  <c r="BW47" i="25"/>
  <c r="BV47" i="25"/>
  <c r="BU47" i="25"/>
  <c r="BT47" i="25"/>
  <c r="BS47" i="25"/>
  <c r="BR47" i="25"/>
  <c r="BQ47" i="25"/>
  <c r="BP47" i="25"/>
  <c r="BO47" i="25"/>
  <c r="BN47" i="25"/>
  <c r="BM47" i="25"/>
  <c r="BL47" i="25"/>
  <c r="BW45" i="25"/>
  <c r="BV45" i="25"/>
  <c r="BU45" i="25"/>
  <c r="BT45" i="25"/>
  <c r="BS45" i="25"/>
  <c r="BR45" i="25"/>
  <c r="BQ45" i="25"/>
  <c r="BP45" i="25"/>
  <c r="BO45" i="25"/>
  <c r="BN45" i="25"/>
  <c r="BM45" i="25"/>
  <c r="BL45" i="25"/>
  <c r="BW43" i="25"/>
  <c r="BV43" i="25"/>
  <c r="BU43" i="25"/>
  <c r="BT43" i="25"/>
  <c r="BS43" i="25"/>
  <c r="BR43" i="25"/>
  <c r="BQ43" i="25"/>
  <c r="BP43" i="25"/>
  <c r="BO43" i="25"/>
  <c r="BN43" i="25"/>
  <c r="BM43" i="25"/>
  <c r="BL43" i="25"/>
  <c r="BW41" i="25"/>
  <c r="BV41" i="25"/>
  <c r="BU41" i="25"/>
  <c r="BT41" i="25"/>
  <c r="BS41" i="25"/>
  <c r="BR41" i="25"/>
  <c r="BQ41" i="25"/>
  <c r="BP41" i="25"/>
  <c r="BO41" i="25"/>
  <c r="BN41" i="25"/>
  <c r="BM41" i="25"/>
  <c r="BL41" i="25"/>
  <c r="BW39" i="25"/>
  <c r="BV39" i="25"/>
  <c r="BU39" i="25"/>
  <c r="BT39" i="25"/>
  <c r="BS39" i="25"/>
  <c r="BR39" i="25"/>
  <c r="BQ39" i="25"/>
  <c r="BP39" i="25"/>
  <c r="BO39" i="25"/>
  <c r="BN39" i="25"/>
  <c r="BM39" i="25"/>
  <c r="BL39" i="25"/>
  <c r="BW37" i="25"/>
  <c r="BV37" i="25"/>
  <c r="BU37" i="25"/>
  <c r="BT37" i="25"/>
  <c r="BS37" i="25"/>
  <c r="BR37" i="25"/>
  <c r="BQ37" i="25"/>
  <c r="BP37" i="25"/>
  <c r="BO37" i="25"/>
  <c r="BN37" i="25"/>
  <c r="BM37" i="25"/>
  <c r="BL37" i="25"/>
  <c r="BW35" i="25"/>
  <c r="BV35" i="25"/>
  <c r="BU35" i="25"/>
  <c r="BT35" i="25"/>
  <c r="BS35" i="25"/>
  <c r="BR35" i="25"/>
  <c r="BQ35" i="25"/>
  <c r="BP35" i="25"/>
  <c r="BO35" i="25"/>
  <c r="BN35" i="25"/>
  <c r="BM35" i="25"/>
  <c r="BL35" i="25"/>
  <c r="BW33" i="25"/>
  <c r="BV33" i="25"/>
  <c r="BU33" i="25"/>
  <c r="BT33" i="25"/>
  <c r="BS33" i="25"/>
  <c r="BR33" i="25"/>
  <c r="BQ33" i="25"/>
  <c r="BP33" i="25"/>
  <c r="BO33" i="25"/>
  <c r="BN33" i="25"/>
  <c r="BM33" i="25"/>
  <c r="BL33" i="25"/>
  <c r="BW31" i="25"/>
  <c r="BV31" i="25"/>
  <c r="BU31" i="25"/>
  <c r="BT31" i="25"/>
  <c r="BS31" i="25"/>
  <c r="BR31" i="25"/>
  <c r="BQ31" i="25"/>
  <c r="BP31" i="25"/>
  <c r="BO31" i="25"/>
  <c r="BN31" i="25"/>
  <c r="BM31" i="25"/>
  <c r="BL31" i="25"/>
  <c r="BW29" i="25"/>
  <c r="BV29" i="25"/>
  <c r="BU29" i="25"/>
  <c r="BT29" i="25"/>
  <c r="BS29" i="25"/>
  <c r="BR29" i="25"/>
  <c r="BQ29" i="25"/>
  <c r="BP29" i="25"/>
  <c r="BO29" i="25"/>
  <c r="BN29" i="25"/>
  <c r="BM29" i="25"/>
  <c r="BL29" i="25"/>
  <c r="BW27" i="25"/>
  <c r="BV27" i="25"/>
  <c r="BU27" i="25"/>
  <c r="BT27" i="25"/>
  <c r="BS27" i="25"/>
  <c r="BR27" i="25"/>
  <c r="BQ27" i="25"/>
  <c r="BP27" i="25"/>
  <c r="BO27" i="25"/>
  <c r="BN27" i="25"/>
  <c r="BM27" i="25"/>
  <c r="BL27" i="25"/>
  <c r="BW25" i="25"/>
  <c r="BV25" i="25"/>
  <c r="BU25" i="25"/>
  <c r="BT25" i="25"/>
  <c r="BS25" i="25"/>
  <c r="BR25" i="25"/>
  <c r="BQ25" i="25"/>
  <c r="BP25" i="25"/>
  <c r="BO25" i="25"/>
  <c r="BN25" i="25"/>
  <c r="BM25" i="25"/>
  <c r="BL25" i="25"/>
  <c r="BW23" i="25"/>
  <c r="BV23" i="25"/>
  <c r="BU23" i="25"/>
  <c r="BT23" i="25"/>
  <c r="BS23" i="25"/>
  <c r="BR23" i="25"/>
  <c r="BQ23" i="25"/>
  <c r="BP23" i="25"/>
  <c r="BO23" i="25"/>
  <c r="BN23" i="25"/>
  <c r="BM23" i="25"/>
  <c r="BL23" i="25"/>
  <c r="BW21" i="25"/>
  <c r="BV21" i="25"/>
  <c r="BU21" i="25"/>
  <c r="BT21" i="25"/>
  <c r="BS21" i="25"/>
  <c r="BR21" i="25"/>
  <c r="BQ21" i="25"/>
  <c r="BP21" i="25"/>
  <c r="BO21" i="25"/>
  <c r="BN21" i="25"/>
  <c r="BM21" i="25"/>
  <c r="BL21" i="25"/>
  <c r="BW19" i="25"/>
  <c r="BV19" i="25"/>
  <c r="BU19" i="25"/>
  <c r="BT19" i="25"/>
  <c r="BS19" i="25"/>
  <c r="BR19" i="25"/>
  <c r="BQ19" i="25"/>
  <c r="BP19" i="25"/>
  <c r="BO19" i="25"/>
  <c r="BN19" i="25"/>
  <c r="BM19" i="25"/>
  <c r="BL19" i="25"/>
  <c r="BW17" i="25"/>
  <c r="BV17" i="25"/>
  <c r="BU17" i="25"/>
  <c r="BT17" i="25"/>
  <c r="BS17" i="25"/>
  <c r="BR17" i="25"/>
  <c r="BQ17" i="25"/>
  <c r="BP17" i="25"/>
  <c r="BO17" i="25"/>
  <c r="BN17" i="25"/>
  <c r="BM17" i="25"/>
  <c r="BL17" i="25"/>
  <c r="BW15" i="25"/>
  <c r="BV15" i="25"/>
  <c r="BU15" i="25"/>
  <c r="BT15" i="25"/>
  <c r="BS15" i="25"/>
  <c r="BR15" i="25"/>
  <c r="BQ15" i="25"/>
  <c r="BP15" i="25"/>
  <c r="BO15" i="25"/>
  <c r="BN15" i="25"/>
  <c r="BM15" i="25"/>
  <c r="BL15" i="25"/>
  <c r="BW13" i="25"/>
  <c r="BV13" i="25"/>
  <c r="BU13" i="25"/>
  <c r="BT13" i="25"/>
  <c r="BS13" i="25"/>
  <c r="BR13" i="25"/>
  <c r="BQ13" i="25"/>
  <c r="BP13" i="25"/>
  <c r="BO13" i="25"/>
  <c r="BN13" i="25"/>
  <c r="BM13" i="25"/>
  <c r="BL13" i="25"/>
  <c r="AX13" i="25"/>
  <c r="BI55" i="25"/>
  <c r="BH55" i="25"/>
  <c r="BG55" i="25"/>
  <c r="BF55" i="25"/>
  <c r="BE55" i="25"/>
  <c r="BD55" i="25"/>
  <c r="BC55" i="25"/>
  <c r="BB55" i="25"/>
  <c r="BA55" i="25"/>
  <c r="AZ55" i="25"/>
  <c r="AY55" i="25"/>
  <c r="AX55" i="25"/>
  <c r="BI53" i="25"/>
  <c r="BH53" i="25"/>
  <c r="BG53" i="25"/>
  <c r="BF53" i="25"/>
  <c r="BE53" i="25"/>
  <c r="BD53" i="25"/>
  <c r="BC53" i="25"/>
  <c r="BB53" i="25"/>
  <c r="BA53" i="25"/>
  <c r="AZ53" i="25"/>
  <c r="AY53" i="25"/>
  <c r="AX53" i="25"/>
  <c r="BI51" i="25"/>
  <c r="BH51" i="25"/>
  <c r="BG51" i="25"/>
  <c r="BF51" i="25"/>
  <c r="BE51" i="25"/>
  <c r="BD51" i="25"/>
  <c r="BC51" i="25"/>
  <c r="BB51" i="25"/>
  <c r="BA51" i="25"/>
  <c r="AZ51" i="25"/>
  <c r="AY51" i="25"/>
  <c r="AX51" i="25"/>
  <c r="BI49" i="25"/>
  <c r="BH49" i="25"/>
  <c r="BG49" i="25"/>
  <c r="BF49" i="25"/>
  <c r="BE49" i="25"/>
  <c r="BD49" i="25"/>
  <c r="BC49" i="25"/>
  <c r="BB49" i="25"/>
  <c r="BA49" i="25"/>
  <c r="AZ49" i="25"/>
  <c r="AY49" i="25"/>
  <c r="AX49" i="25"/>
  <c r="BI47" i="25"/>
  <c r="BH47" i="25"/>
  <c r="BG47" i="25"/>
  <c r="BF47" i="25"/>
  <c r="BE47" i="25"/>
  <c r="BD47" i="25"/>
  <c r="BC47" i="25"/>
  <c r="BB47" i="25"/>
  <c r="BA47" i="25"/>
  <c r="AZ47" i="25"/>
  <c r="AY47" i="25"/>
  <c r="AX47" i="25"/>
  <c r="BI45" i="25"/>
  <c r="BH45" i="25"/>
  <c r="BG45" i="25"/>
  <c r="BF45" i="25"/>
  <c r="BE45" i="25"/>
  <c r="BD45" i="25"/>
  <c r="BC45" i="25"/>
  <c r="BB45" i="25"/>
  <c r="BA45" i="25"/>
  <c r="AZ45" i="25"/>
  <c r="AY45" i="25"/>
  <c r="AX45" i="25"/>
  <c r="BI43" i="25"/>
  <c r="BH43" i="25"/>
  <c r="BG43" i="25"/>
  <c r="BF43" i="25"/>
  <c r="BE43" i="25"/>
  <c r="BD43" i="25"/>
  <c r="BC43" i="25"/>
  <c r="BB43" i="25"/>
  <c r="BA43" i="25"/>
  <c r="AZ43" i="25"/>
  <c r="AY43" i="25"/>
  <c r="AX43" i="25"/>
  <c r="BI41" i="25"/>
  <c r="BH41" i="25"/>
  <c r="BG41" i="25"/>
  <c r="BF41" i="25"/>
  <c r="BE41" i="25"/>
  <c r="BD41" i="25"/>
  <c r="BC41" i="25"/>
  <c r="BB41" i="25"/>
  <c r="BA41" i="25"/>
  <c r="AZ41" i="25"/>
  <c r="AY41" i="25"/>
  <c r="AX41" i="25"/>
  <c r="BI39" i="25"/>
  <c r="BH39" i="25"/>
  <c r="BG39" i="25"/>
  <c r="BF39" i="25"/>
  <c r="BE39" i="25"/>
  <c r="BD39" i="25"/>
  <c r="BC39" i="25"/>
  <c r="BB39" i="25"/>
  <c r="BA39" i="25"/>
  <c r="AZ39" i="25"/>
  <c r="AY39" i="25"/>
  <c r="AX39" i="25"/>
  <c r="BI37" i="25"/>
  <c r="BH37" i="25"/>
  <c r="BG37" i="25"/>
  <c r="BF37" i="25"/>
  <c r="BE37" i="25"/>
  <c r="BD37" i="25"/>
  <c r="BC37" i="25"/>
  <c r="BB37" i="25"/>
  <c r="BA37" i="25"/>
  <c r="AZ37" i="25"/>
  <c r="AY37" i="25"/>
  <c r="AX37" i="25"/>
  <c r="BI35" i="25"/>
  <c r="BH35" i="25"/>
  <c r="BG35" i="25"/>
  <c r="BF35" i="25"/>
  <c r="BE35" i="25"/>
  <c r="BD35" i="25"/>
  <c r="BC35" i="25"/>
  <c r="BB35" i="25"/>
  <c r="BA35" i="25"/>
  <c r="AZ35" i="25"/>
  <c r="AY35" i="25"/>
  <c r="AX35" i="25"/>
  <c r="BI33" i="25"/>
  <c r="BH33" i="25"/>
  <c r="BG33" i="25"/>
  <c r="BF33" i="25"/>
  <c r="BE33" i="25"/>
  <c r="BD33" i="25"/>
  <c r="BC33" i="25"/>
  <c r="BB33" i="25"/>
  <c r="BA33" i="25"/>
  <c r="AZ33" i="25"/>
  <c r="AY33" i="25"/>
  <c r="AX33" i="25"/>
  <c r="BI31" i="25"/>
  <c r="BH31" i="25"/>
  <c r="BG31" i="25"/>
  <c r="BF31" i="25"/>
  <c r="BE31" i="25"/>
  <c r="BD31" i="25"/>
  <c r="BC31" i="25"/>
  <c r="BB31" i="25"/>
  <c r="BA31" i="25"/>
  <c r="AZ31" i="25"/>
  <c r="AY31" i="25"/>
  <c r="AX31" i="25"/>
  <c r="BI29" i="25"/>
  <c r="BH29" i="25"/>
  <c r="BG29" i="25"/>
  <c r="BF29" i="25"/>
  <c r="BE29" i="25"/>
  <c r="BD29" i="25"/>
  <c r="BC29" i="25"/>
  <c r="BB29" i="25"/>
  <c r="BA29" i="25"/>
  <c r="AZ29" i="25"/>
  <c r="AY29" i="25"/>
  <c r="AX29" i="25"/>
  <c r="BI27" i="25"/>
  <c r="BH27" i="25"/>
  <c r="BG27" i="25"/>
  <c r="BF27" i="25"/>
  <c r="BE27" i="25"/>
  <c r="BD27" i="25"/>
  <c r="BC27" i="25"/>
  <c r="BB27" i="25"/>
  <c r="BA27" i="25"/>
  <c r="AZ27" i="25"/>
  <c r="AY27" i="25"/>
  <c r="AX27" i="25"/>
  <c r="BI25" i="25"/>
  <c r="BH25" i="25"/>
  <c r="BG25" i="25"/>
  <c r="BF25" i="25"/>
  <c r="BE25" i="25"/>
  <c r="BD25" i="25"/>
  <c r="BC25" i="25"/>
  <c r="BB25" i="25"/>
  <c r="BA25" i="25"/>
  <c r="AZ25" i="25"/>
  <c r="AY25" i="25"/>
  <c r="AX25" i="25"/>
  <c r="BI23" i="25"/>
  <c r="BH23" i="25"/>
  <c r="BG23" i="25"/>
  <c r="BF23" i="25"/>
  <c r="BE23" i="25"/>
  <c r="BD23" i="25"/>
  <c r="BC23" i="25"/>
  <c r="BB23" i="25"/>
  <c r="BA23" i="25"/>
  <c r="AZ23" i="25"/>
  <c r="AY23" i="25"/>
  <c r="AX23" i="25"/>
  <c r="BI21" i="25"/>
  <c r="BH21" i="25"/>
  <c r="BG21" i="25"/>
  <c r="BF21" i="25"/>
  <c r="BE21" i="25"/>
  <c r="BD21" i="25"/>
  <c r="BC21" i="25"/>
  <c r="BB21" i="25"/>
  <c r="BA21" i="25"/>
  <c r="AZ21" i="25"/>
  <c r="AY21" i="25"/>
  <c r="AX21" i="25"/>
  <c r="BI19" i="25"/>
  <c r="BH19" i="25"/>
  <c r="BG19" i="25"/>
  <c r="BF19" i="25"/>
  <c r="BE19" i="25"/>
  <c r="BD19" i="25"/>
  <c r="BC19" i="25"/>
  <c r="BB19" i="25"/>
  <c r="BA19" i="25"/>
  <c r="AZ19" i="25"/>
  <c r="AY19" i="25"/>
  <c r="AX19" i="25"/>
  <c r="BI17" i="25"/>
  <c r="BH17" i="25"/>
  <c r="BG17" i="25"/>
  <c r="BF17" i="25"/>
  <c r="BE17" i="25"/>
  <c r="BD17" i="25"/>
  <c r="BC17" i="25"/>
  <c r="BB17" i="25"/>
  <c r="BA17" i="25"/>
  <c r="AZ17" i="25"/>
  <c r="AY17" i="25"/>
  <c r="AX17" i="25"/>
  <c r="BI15" i="25"/>
  <c r="BH15" i="25"/>
  <c r="BG15" i="25"/>
  <c r="BF15" i="25"/>
  <c r="BE15" i="25"/>
  <c r="BD15" i="25"/>
  <c r="BC15" i="25"/>
  <c r="BB15" i="25"/>
  <c r="BA15" i="25"/>
  <c r="AZ15" i="25"/>
  <c r="AY15" i="25"/>
  <c r="AX15" i="25"/>
  <c r="BI13" i="25"/>
  <c r="BH13" i="25"/>
  <c r="BG13" i="25"/>
  <c r="BF13" i="25"/>
  <c r="BE13" i="25"/>
  <c r="BD13" i="25"/>
  <c r="BC13" i="25"/>
  <c r="BB13" i="25"/>
  <c r="BA13" i="25"/>
  <c r="AZ13" i="25"/>
  <c r="AY13" i="25"/>
  <c r="AJ13" i="25"/>
  <c r="AU55" i="25"/>
  <c r="AT55" i="25"/>
  <c r="AS55" i="25"/>
  <c r="AR55" i="25"/>
  <c r="AQ55" i="25"/>
  <c r="AP55" i="25"/>
  <c r="AO55" i="25"/>
  <c r="AN55" i="25"/>
  <c r="AM55" i="25"/>
  <c r="AL55" i="25"/>
  <c r="AK55" i="25"/>
  <c r="AJ55" i="25"/>
  <c r="AU53" i="25"/>
  <c r="AT53" i="25"/>
  <c r="AS53" i="25"/>
  <c r="AR53" i="25"/>
  <c r="AQ53" i="25"/>
  <c r="AP53" i="25"/>
  <c r="AO53" i="25"/>
  <c r="AN53" i="25"/>
  <c r="AM53" i="25"/>
  <c r="AL53" i="25"/>
  <c r="AK53" i="25"/>
  <c r="AJ53" i="25"/>
  <c r="AU51" i="25"/>
  <c r="AT51" i="25"/>
  <c r="AS51" i="25"/>
  <c r="AR51" i="25"/>
  <c r="AQ51" i="25"/>
  <c r="AP51" i="25"/>
  <c r="AO51" i="25"/>
  <c r="AN51" i="25"/>
  <c r="AM51" i="25"/>
  <c r="AL51" i="25"/>
  <c r="AK51" i="25"/>
  <c r="AJ51" i="25"/>
  <c r="AU49" i="25"/>
  <c r="AT49" i="25"/>
  <c r="AS49" i="25"/>
  <c r="AR49" i="25"/>
  <c r="AQ49" i="25"/>
  <c r="AP49" i="25"/>
  <c r="AO49" i="25"/>
  <c r="AN49" i="25"/>
  <c r="AM49" i="25"/>
  <c r="AL49" i="25"/>
  <c r="AK49" i="25"/>
  <c r="AJ49" i="25"/>
  <c r="AU47" i="25"/>
  <c r="AT47" i="25"/>
  <c r="AS47" i="25"/>
  <c r="AR47" i="25"/>
  <c r="AQ47" i="25"/>
  <c r="AP47" i="25"/>
  <c r="AO47" i="25"/>
  <c r="AN47" i="25"/>
  <c r="AM47" i="25"/>
  <c r="AL47" i="25"/>
  <c r="AK47" i="25"/>
  <c r="AJ47" i="25"/>
  <c r="AU45" i="25"/>
  <c r="AT45" i="25"/>
  <c r="AS45" i="25"/>
  <c r="AR45" i="25"/>
  <c r="AQ45" i="25"/>
  <c r="AP45" i="25"/>
  <c r="AO45" i="25"/>
  <c r="AN45" i="25"/>
  <c r="AM45" i="25"/>
  <c r="AL45" i="25"/>
  <c r="AK45" i="25"/>
  <c r="AJ45" i="25"/>
  <c r="AU43" i="25"/>
  <c r="AT43" i="25"/>
  <c r="AS43" i="25"/>
  <c r="AR43" i="25"/>
  <c r="AQ43" i="25"/>
  <c r="AP43" i="25"/>
  <c r="AO43" i="25"/>
  <c r="AN43" i="25"/>
  <c r="AM43" i="25"/>
  <c r="AL43" i="25"/>
  <c r="AK43" i="25"/>
  <c r="AJ43" i="25"/>
  <c r="AU41" i="25"/>
  <c r="AT41" i="25"/>
  <c r="AS41" i="25"/>
  <c r="AR41" i="25"/>
  <c r="AQ41" i="25"/>
  <c r="AP41" i="25"/>
  <c r="AO41" i="25"/>
  <c r="AN41" i="25"/>
  <c r="AM41" i="25"/>
  <c r="AL41" i="25"/>
  <c r="AK41" i="25"/>
  <c r="AJ41" i="25"/>
  <c r="AU39" i="25"/>
  <c r="AT39" i="25"/>
  <c r="AS39" i="25"/>
  <c r="AR39" i="25"/>
  <c r="AQ39" i="25"/>
  <c r="AP39" i="25"/>
  <c r="AO39" i="25"/>
  <c r="AN39" i="25"/>
  <c r="AM39" i="25"/>
  <c r="AL39" i="25"/>
  <c r="AK39" i="25"/>
  <c r="AJ39" i="25"/>
  <c r="AU37" i="25"/>
  <c r="AT37" i="25"/>
  <c r="AS37" i="25"/>
  <c r="AR37" i="25"/>
  <c r="AQ37" i="25"/>
  <c r="AP37" i="25"/>
  <c r="AO37" i="25"/>
  <c r="AN37" i="25"/>
  <c r="AM37" i="25"/>
  <c r="AL37" i="25"/>
  <c r="AK37" i="25"/>
  <c r="AJ37" i="25"/>
  <c r="AU35" i="25"/>
  <c r="AT35" i="25"/>
  <c r="AS35" i="25"/>
  <c r="AR35" i="25"/>
  <c r="AQ35" i="25"/>
  <c r="AP35" i="25"/>
  <c r="AO35" i="25"/>
  <c r="AN35" i="25"/>
  <c r="AM35" i="25"/>
  <c r="AL35" i="25"/>
  <c r="AK35" i="25"/>
  <c r="AJ35" i="25"/>
  <c r="AU33" i="25"/>
  <c r="AT33" i="25"/>
  <c r="AS33" i="25"/>
  <c r="AR33" i="25"/>
  <c r="AQ33" i="25"/>
  <c r="AP33" i="25"/>
  <c r="AO33" i="25"/>
  <c r="AN33" i="25"/>
  <c r="AM33" i="25"/>
  <c r="AL33" i="25"/>
  <c r="AK33" i="25"/>
  <c r="AJ33" i="25"/>
  <c r="AU31" i="25"/>
  <c r="AT31" i="25"/>
  <c r="AS31" i="25"/>
  <c r="AR31" i="25"/>
  <c r="AQ31" i="25"/>
  <c r="AP31" i="25"/>
  <c r="AO31" i="25"/>
  <c r="AN31" i="25"/>
  <c r="AM31" i="25"/>
  <c r="AL31" i="25"/>
  <c r="AK31" i="25"/>
  <c r="AJ31" i="25"/>
  <c r="AU29" i="25"/>
  <c r="AT29" i="25"/>
  <c r="AS29" i="25"/>
  <c r="AR29" i="25"/>
  <c r="AQ29" i="25"/>
  <c r="AP29" i="25"/>
  <c r="AO29" i="25"/>
  <c r="AN29" i="25"/>
  <c r="AM29" i="25"/>
  <c r="AL29" i="25"/>
  <c r="AK29" i="25"/>
  <c r="AJ29" i="25"/>
  <c r="AU27" i="25"/>
  <c r="AT27" i="25"/>
  <c r="AS27" i="25"/>
  <c r="AR27" i="25"/>
  <c r="AQ27" i="25"/>
  <c r="AP27" i="25"/>
  <c r="AO27" i="25"/>
  <c r="AN27" i="25"/>
  <c r="AM27" i="25"/>
  <c r="AL27" i="25"/>
  <c r="AK27" i="25"/>
  <c r="AJ27" i="25"/>
  <c r="AU25" i="25"/>
  <c r="AT25" i="25"/>
  <c r="AS25" i="25"/>
  <c r="AR25" i="25"/>
  <c r="AQ25" i="25"/>
  <c r="AP25" i="25"/>
  <c r="AO25" i="25"/>
  <c r="AN25" i="25"/>
  <c r="AM25" i="25"/>
  <c r="AL25" i="25"/>
  <c r="AK25" i="25"/>
  <c r="AJ25" i="25"/>
  <c r="AU23" i="25"/>
  <c r="AT23" i="25"/>
  <c r="AS23" i="25"/>
  <c r="AR23" i="25"/>
  <c r="AQ23" i="25"/>
  <c r="AP23" i="25"/>
  <c r="AO23" i="25"/>
  <c r="AN23" i="25"/>
  <c r="AM23" i="25"/>
  <c r="AL23" i="25"/>
  <c r="AK23" i="25"/>
  <c r="AJ23" i="25"/>
  <c r="AU21" i="25"/>
  <c r="AT21" i="25"/>
  <c r="AS21" i="25"/>
  <c r="AR21" i="25"/>
  <c r="AQ21" i="25"/>
  <c r="AP21" i="25"/>
  <c r="AO21" i="25"/>
  <c r="AN21" i="25"/>
  <c r="AM21" i="25"/>
  <c r="AL21" i="25"/>
  <c r="AK21" i="25"/>
  <c r="AJ21" i="25"/>
  <c r="AU19" i="25"/>
  <c r="AT19" i="25"/>
  <c r="AS19" i="25"/>
  <c r="AR19" i="25"/>
  <c r="AQ19" i="25"/>
  <c r="AP19" i="25"/>
  <c r="AO19" i="25"/>
  <c r="AN19" i="25"/>
  <c r="AM19" i="25"/>
  <c r="AL19" i="25"/>
  <c r="AK19" i="25"/>
  <c r="AJ19" i="25"/>
  <c r="AU17" i="25"/>
  <c r="AT17" i="25"/>
  <c r="AS17" i="25"/>
  <c r="AR17" i="25"/>
  <c r="AQ17" i="25"/>
  <c r="AP17" i="25"/>
  <c r="AO17" i="25"/>
  <c r="AN17" i="25"/>
  <c r="AM17" i="25"/>
  <c r="AL17" i="25"/>
  <c r="AK17" i="25"/>
  <c r="AJ17" i="25"/>
  <c r="AU15" i="25"/>
  <c r="AT15" i="25"/>
  <c r="AS15" i="25"/>
  <c r="AR15" i="25"/>
  <c r="AQ15" i="25"/>
  <c r="AP15" i="25"/>
  <c r="AO15" i="25"/>
  <c r="AN15" i="25"/>
  <c r="AM15" i="25"/>
  <c r="AL15" i="25"/>
  <c r="AK15" i="25"/>
  <c r="AJ15" i="25"/>
  <c r="AU13" i="25"/>
  <c r="AT13" i="25"/>
  <c r="AS13" i="25"/>
  <c r="AR13" i="25"/>
  <c r="AQ13" i="25"/>
  <c r="AP13" i="25"/>
  <c r="AO13" i="25"/>
  <c r="AN13" i="25"/>
  <c r="AM13" i="25"/>
  <c r="AL13" i="25"/>
  <c r="AK13" i="25"/>
  <c r="AG55" i="25"/>
  <c r="AF55" i="25"/>
  <c r="AE55" i="25"/>
  <c r="AD55" i="25"/>
  <c r="AC55" i="25"/>
  <c r="AB55" i="25"/>
  <c r="AA55" i="25"/>
  <c r="Z55" i="25"/>
  <c r="Y55" i="25"/>
  <c r="X55" i="25"/>
  <c r="W55" i="25"/>
  <c r="V55" i="25"/>
  <c r="AG53" i="25"/>
  <c r="AF53" i="25"/>
  <c r="AE53" i="25"/>
  <c r="AD53" i="25"/>
  <c r="AC53" i="25"/>
  <c r="AB53" i="25"/>
  <c r="AA53" i="25"/>
  <c r="Z53" i="25"/>
  <c r="Y53" i="25"/>
  <c r="X53" i="25"/>
  <c r="W53" i="25"/>
  <c r="V53" i="25"/>
  <c r="AG51" i="25"/>
  <c r="AF51" i="25"/>
  <c r="AE51" i="25"/>
  <c r="AD51" i="25"/>
  <c r="AC51" i="25"/>
  <c r="AB51" i="25"/>
  <c r="AA51" i="25"/>
  <c r="Z51" i="25"/>
  <c r="Y51" i="25"/>
  <c r="X51" i="25"/>
  <c r="W51" i="25"/>
  <c r="V51" i="25"/>
  <c r="AG49" i="25"/>
  <c r="AF49" i="25"/>
  <c r="AE49" i="25"/>
  <c r="AD49" i="25"/>
  <c r="AC49" i="25"/>
  <c r="AB49" i="25"/>
  <c r="AA49" i="25"/>
  <c r="Z49" i="25"/>
  <c r="Y49" i="25"/>
  <c r="X49" i="25"/>
  <c r="W49" i="25"/>
  <c r="V49" i="25"/>
  <c r="AG47" i="25"/>
  <c r="AF47" i="25"/>
  <c r="AE47" i="25"/>
  <c r="AD47" i="25"/>
  <c r="AC47" i="25"/>
  <c r="AB47" i="25"/>
  <c r="AA47" i="25"/>
  <c r="Z47" i="25"/>
  <c r="Y47" i="25"/>
  <c r="X47" i="25"/>
  <c r="W47" i="25"/>
  <c r="V47" i="25"/>
  <c r="AG45" i="25"/>
  <c r="AF45" i="25"/>
  <c r="AE45" i="25"/>
  <c r="AD45" i="25"/>
  <c r="AC45" i="25"/>
  <c r="AB45" i="25"/>
  <c r="AA45" i="25"/>
  <c r="Z45" i="25"/>
  <c r="Y45" i="25"/>
  <c r="X45" i="25"/>
  <c r="W45" i="25"/>
  <c r="V45" i="25"/>
  <c r="AG43" i="25"/>
  <c r="AF43" i="25"/>
  <c r="AE43" i="25"/>
  <c r="AD43" i="25"/>
  <c r="AC43" i="25"/>
  <c r="AB43" i="25"/>
  <c r="AA43" i="25"/>
  <c r="Z43" i="25"/>
  <c r="Y43" i="25"/>
  <c r="X43" i="25"/>
  <c r="W43" i="25"/>
  <c r="V43" i="25"/>
  <c r="AG41" i="25"/>
  <c r="AF41" i="25"/>
  <c r="AE41" i="25"/>
  <c r="AD41" i="25"/>
  <c r="AC41" i="25"/>
  <c r="AB41" i="25"/>
  <c r="AA41" i="25"/>
  <c r="Z41" i="25"/>
  <c r="Y41" i="25"/>
  <c r="X41" i="25"/>
  <c r="W41" i="25"/>
  <c r="V41" i="25"/>
  <c r="AG39" i="25"/>
  <c r="AF39" i="25"/>
  <c r="AE39" i="25"/>
  <c r="AD39" i="25"/>
  <c r="AC39" i="25"/>
  <c r="AB39" i="25"/>
  <c r="AA39" i="25"/>
  <c r="Z39" i="25"/>
  <c r="Y39" i="25"/>
  <c r="X39" i="25"/>
  <c r="W39" i="25"/>
  <c r="V39" i="25"/>
  <c r="AG37" i="25"/>
  <c r="AF37" i="25"/>
  <c r="AE37" i="25"/>
  <c r="AD37" i="25"/>
  <c r="AC37" i="25"/>
  <c r="AB37" i="25"/>
  <c r="AA37" i="25"/>
  <c r="Z37" i="25"/>
  <c r="Y37" i="25"/>
  <c r="X37" i="25"/>
  <c r="W37" i="25"/>
  <c r="V37" i="25"/>
  <c r="AG35" i="25"/>
  <c r="AF35" i="25"/>
  <c r="AE35" i="25"/>
  <c r="AD35" i="25"/>
  <c r="AC35" i="25"/>
  <c r="AB35" i="25"/>
  <c r="AA35" i="25"/>
  <c r="Z35" i="25"/>
  <c r="Y35" i="25"/>
  <c r="X35" i="25"/>
  <c r="W35" i="25"/>
  <c r="V35" i="25"/>
  <c r="AG33" i="25"/>
  <c r="AF33" i="25"/>
  <c r="AE33" i="25"/>
  <c r="AD33" i="25"/>
  <c r="AC33" i="25"/>
  <c r="AB33" i="25"/>
  <c r="AA33" i="25"/>
  <c r="Z33" i="25"/>
  <c r="Y33" i="25"/>
  <c r="X33" i="25"/>
  <c r="W33" i="25"/>
  <c r="V33" i="25"/>
  <c r="AG31" i="25"/>
  <c r="AF31" i="25"/>
  <c r="AE31" i="25"/>
  <c r="AD31" i="25"/>
  <c r="AC31" i="25"/>
  <c r="AB31" i="25"/>
  <c r="AA31" i="25"/>
  <c r="Z31" i="25"/>
  <c r="Y31" i="25"/>
  <c r="X31" i="25"/>
  <c r="W31" i="25"/>
  <c r="V31" i="25"/>
  <c r="AG29" i="25"/>
  <c r="AF29" i="25"/>
  <c r="AE29" i="25"/>
  <c r="AD29" i="25"/>
  <c r="AC29" i="25"/>
  <c r="AB29" i="25"/>
  <c r="AA29" i="25"/>
  <c r="Z29" i="25"/>
  <c r="Y29" i="25"/>
  <c r="X29" i="25"/>
  <c r="W29" i="25"/>
  <c r="V29" i="25"/>
  <c r="AG27" i="25"/>
  <c r="AF27" i="25"/>
  <c r="AE27" i="25"/>
  <c r="AD27" i="25"/>
  <c r="AC27" i="25"/>
  <c r="AB27" i="25"/>
  <c r="AA27" i="25"/>
  <c r="Z27" i="25"/>
  <c r="Y27" i="25"/>
  <c r="X27" i="25"/>
  <c r="W27" i="25"/>
  <c r="V27" i="25"/>
  <c r="AG25" i="25"/>
  <c r="AF25" i="25"/>
  <c r="AE25" i="25"/>
  <c r="AD25" i="25"/>
  <c r="AC25" i="25"/>
  <c r="AB25" i="25"/>
  <c r="AA25" i="25"/>
  <c r="Z25" i="25"/>
  <c r="Y25" i="25"/>
  <c r="X25" i="25"/>
  <c r="W25" i="25"/>
  <c r="V25" i="25"/>
  <c r="AG23" i="25"/>
  <c r="AF23" i="25"/>
  <c r="AE23" i="25"/>
  <c r="AD23" i="25"/>
  <c r="AC23" i="25"/>
  <c r="AB23" i="25"/>
  <c r="AA23" i="25"/>
  <c r="Z23" i="25"/>
  <c r="Y23" i="25"/>
  <c r="X23" i="25"/>
  <c r="W23" i="25"/>
  <c r="V23" i="25"/>
  <c r="AG21" i="25"/>
  <c r="AF21" i="25"/>
  <c r="AE21" i="25"/>
  <c r="AD21" i="25"/>
  <c r="AC21" i="25"/>
  <c r="AB21" i="25"/>
  <c r="AA21" i="25"/>
  <c r="Z21" i="25"/>
  <c r="Y21" i="25"/>
  <c r="X21" i="25"/>
  <c r="W21" i="25"/>
  <c r="V21" i="25"/>
  <c r="AG19" i="25"/>
  <c r="AF19" i="25"/>
  <c r="AE19" i="25"/>
  <c r="AD19" i="25"/>
  <c r="AC19" i="25"/>
  <c r="AB19" i="25"/>
  <c r="AA19" i="25"/>
  <c r="Z19" i="25"/>
  <c r="Y19" i="25"/>
  <c r="X19" i="25"/>
  <c r="W19" i="25"/>
  <c r="V19" i="25"/>
  <c r="AG17" i="25"/>
  <c r="AF17" i="25"/>
  <c r="AE17" i="25"/>
  <c r="AD17" i="25"/>
  <c r="AC17" i="25"/>
  <c r="AB17" i="25"/>
  <c r="AA17" i="25"/>
  <c r="Z17" i="25"/>
  <c r="Y17" i="25"/>
  <c r="X17" i="25"/>
  <c r="W17" i="25"/>
  <c r="V17" i="25"/>
  <c r="AG15" i="25"/>
  <c r="AF15" i="25"/>
  <c r="AE15" i="25"/>
  <c r="AD15" i="25"/>
  <c r="AC15" i="25"/>
  <c r="AB15" i="25"/>
  <c r="AA15" i="25"/>
  <c r="Z15" i="25"/>
  <c r="Y15" i="25"/>
  <c r="X15" i="25"/>
  <c r="W15" i="25"/>
  <c r="V15" i="25"/>
  <c r="AG13" i="25"/>
  <c r="AF13" i="25"/>
  <c r="AE13" i="25"/>
  <c r="AD13" i="25"/>
  <c r="AC13" i="25"/>
  <c r="AB13" i="25"/>
  <c r="AA13" i="25"/>
  <c r="Z13" i="25"/>
  <c r="Y13" i="25"/>
  <c r="X13" i="25"/>
  <c r="W13" i="25"/>
  <c r="V13" i="25"/>
  <c r="S55" i="25"/>
  <c r="R55" i="25"/>
  <c r="Q55" i="25"/>
  <c r="P55" i="25"/>
  <c r="O55" i="25"/>
  <c r="N55" i="25"/>
  <c r="M55" i="25"/>
  <c r="L55" i="25"/>
  <c r="K55" i="25"/>
  <c r="J55" i="25"/>
  <c r="I55" i="25"/>
  <c r="H55" i="25"/>
  <c r="S53" i="25"/>
  <c r="R53" i="25"/>
  <c r="Q53" i="25"/>
  <c r="P53" i="25"/>
  <c r="O53" i="25"/>
  <c r="N53" i="25"/>
  <c r="M53" i="25"/>
  <c r="L53" i="25"/>
  <c r="K53" i="25"/>
  <c r="J53" i="25"/>
  <c r="I53" i="25"/>
  <c r="H53" i="25"/>
  <c r="S51" i="25"/>
  <c r="R51" i="25"/>
  <c r="Q51" i="25"/>
  <c r="P51" i="25"/>
  <c r="O51" i="25"/>
  <c r="N51" i="25"/>
  <c r="M51" i="25"/>
  <c r="L51" i="25"/>
  <c r="K51" i="25"/>
  <c r="J51" i="25"/>
  <c r="I51" i="25"/>
  <c r="H51" i="25"/>
  <c r="S49" i="25"/>
  <c r="R49" i="25"/>
  <c r="Q49" i="25"/>
  <c r="P49" i="25"/>
  <c r="O49" i="25"/>
  <c r="N49" i="25"/>
  <c r="M49" i="25"/>
  <c r="L49" i="25"/>
  <c r="K49" i="25"/>
  <c r="J49" i="25"/>
  <c r="I49" i="25"/>
  <c r="H49" i="25"/>
  <c r="S47" i="25"/>
  <c r="R47" i="25"/>
  <c r="Q47" i="25"/>
  <c r="P47" i="25"/>
  <c r="O47" i="25"/>
  <c r="N47" i="25"/>
  <c r="M47" i="25"/>
  <c r="L47" i="25"/>
  <c r="K47" i="25"/>
  <c r="J47" i="25"/>
  <c r="I47" i="25"/>
  <c r="H47" i="25"/>
  <c r="S45" i="25"/>
  <c r="R45" i="25"/>
  <c r="Q45" i="25"/>
  <c r="P45" i="25"/>
  <c r="O45" i="25"/>
  <c r="N45" i="25"/>
  <c r="M45" i="25"/>
  <c r="L45" i="25"/>
  <c r="K45" i="25"/>
  <c r="J45" i="25"/>
  <c r="I45" i="25"/>
  <c r="H45" i="25"/>
  <c r="S43" i="25"/>
  <c r="R43" i="25"/>
  <c r="Q43" i="25"/>
  <c r="P43" i="25"/>
  <c r="O43" i="25"/>
  <c r="N43" i="25"/>
  <c r="M43" i="25"/>
  <c r="L43" i="25"/>
  <c r="K43" i="25"/>
  <c r="J43" i="25"/>
  <c r="I43" i="25"/>
  <c r="H43" i="25"/>
  <c r="S41" i="25"/>
  <c r="R41" i="25"/>
  <c r="Q41" i="25"/>
  <c r="P41" i="25"/>
  <c r="O41" i="25"/>
  <c r="N41" i="25"/>
  <c r="M41" i="25"/>
  <c r="L41" i="25"/>
  <c r="K41" i="25"/>
  <c r="J41" i="25"/>
  <c r="I41" i="25"/>
  <c r="H41" i="25"/>
  <c r="S39" i="25"/>
  <c r="R39" i="25"/>
  <c r="Q39" i="25"/>
  <c r="P39" i="25"/>
  <c r="O39" i="25"/>
  <c r="N39" i="25"/>
  <c r="M39" i="25"/>
  <c r="L39" i="25"/>
  <c r="K39" i="25"/>
  <c r="J39" i="25"/>
  <c r="I39" i="25"/>
  <c r="H39" i="25"/>
  <c r="S37" i="25"/>
  <c r="R37" i="25"/>
  <c r="Q37" i="25"/>
  <c r="P37" i="25"/>
  <c r="O37" i="25"/>
  <c r="N37" i="25"/>
  <c r="M37" i="25"/>
  <c r="L37" i="25"/>
  <c r="K37" i="25"/>
  <c r="J37" i="25"/>
  <c r="I37" i="25"/>
  <c r="H37" i="25"/>
  <c r="S35" i="25"/>
  <c r="R35" i="25"/>
  <c r="Q35" i="25"/>
  <c r="P35" i="25"/>
  <c r="O35" i="25"/>
  <c r="N35" i="25"/>
  <c r="M35" i="25"/>
  <c r="L35" i="25"/>
  <c r="K35" i="25"/>
  <c r="J35" i="25"/>
  <c r="I35" i="25"/>
  <c r="H35" i="25"/>
  <c r="S33" i="25"/>
  <c r="R33" i="25"/>
  <c r="Q33" i="25"/>
  <c r="P33" i="25"/>
  <c r="O33" i="25"/>
  <c r="N33" i="25"/>
  <c r="M33" i="25"/>
  <c r="L33" i="25"/>
  <c r="K33" i="25"/>
  <c r="J33" i="25"/>
  <c r="I33" i="25"/>
  <c r="H33" i="25"/>
  <c r="S31" i="25"/>
  <c r="R31" i="25"/>
  <c r="Q31" i="25"/>
  <c r="P31" i="25"/>
  <c r="O31" i="25"/>
  <c r="N31" i="25"/>
  <c r="M31" i="25"/>
  <c r="L31" i="25"/>
  <c r="K31" i="25"/>
  <c r="J31" i="25"/>
  <c r="I31" i="25"/>
  <c r="H31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S23" i="25"/>
  <c r="R23" i="25"/>
  <c r="Q23" i="25"/>
  <c r="P23" i="25"/>
  <c r="O23" i="25"/>
  <c r="N23" i="25"/>
  <c r="M23" i="25"/>
  <c r="L23" i="25"/>
  <c r="K23" i="25"/>
  <c r="J23" i="25"/>
  <c r="I23" i="25"/>
  <c r="H23" i="25"/>
  <c r="S21" i="25"/>
  <c r="R21" i="25"/>
  <c r="Q21" i="25"/>
  <c r="P21" i="25"/>
  <c r="O21" i="25"/>
  <c r="N21" i="25"/>
  <c r="M21" i="25"/>
  <c r="L21" i="25"/>
  <c r="K21" i="25"/>
  <c r="J21" i="25"/>
  <c r="I21" i="25"/>
  <c r="H21" i="25"/>
  <c r="S19" i="25"/>
  <c r="R19" i="25"/>
  <c r="Q19" i="25"/>
  <c r="P19" i="25"/>
  <c r="O19" i="25"/>
  <c r="N19" i="25"/>
  <c r="M19" i="25"/>
  <c r="L19" i="25"/>
  <c r="K19" i="25"/>
  <c r="J19" i="25"/>
  <c r="I19" i="25"/>
  <c r="H19" i="25"/>
  <c r="S17" i="25"/>
  <c r="R17" i="25"/>
  <c r="Q17" i="25"/>
  <c r="P17" i="25"/>
  <c r="O17" i="25"/>
  <c r="N17" i="25"/>
  <c r="M17" i="25"/>
  <c r="L17" i="25"/>
  <c r="K17" i="25"/>
  <c r="J17" i="25"/>
  <c r="I17" i="25"/>
  <c r="H17" i="25"/>
  <c r="S15" i="25"/>
  <c r="R15" i="25"/>
  <c r="Q15" i="25"/>
  <c r="P15" i="25"/>
  <c r="O15" i="25"/>
  <c r="N15" i="25"/>
  <c r="M15" i="25"/>
  <c r="L15" i="25"/>
  <c r="K15" i="25"/>
  <c r="J15" i="25"/>
  <c r="I15" i="25"/>
  <c r="H15" i="25"/>
  <c r="S13" i="25"/>
  <c r="R13" i="25"/>
  <c r="Q13" i="25"/>
  <c r="P13" i="25"/>
  <c r="O13" i="25"/>
  <c r="N13" i="25"/>
  <c r="M13" i="25"/>
  <c r="L13" i="25"/>
  <c r="K13" i="25"/>
  <c r="J13" i="25"/>
  <c r="I13" i="25"/>
  <c r="H13" i="25"/>
  <c r="BV8" i="25" l="1"/>
  <c r="BU8" i="25"/>
  <c r="BT8" i="25"/>
  <c r="BS8" i="25"/>
  <c r="BR8" i="25"/>
  <c r="BQ8" i="25"/>
  <c r="BP8" i="25"/>
  <c r="BO8" i="25"/>
  <c r="BN8" i="25"/>
  <c r="BM8" i="25"/>
  <c r="BL8" i="25"/>
  <c r="BW8" i="25"/>
  <c r="BX8" i="25"/>
  <c r="BH8" i="25"/>
  <c r="BG8" i="25"/>
  <c r="BF8" i="25"/>
  <c r="BE8" i="25"/>
  <c r="BD8" i="25"/>
  <c r="BC8" i="25"/>
  <c r="BB8" i="25"/>
  <c r="BA8" i="25"/>
  <c r="AZ8" i="25"/>
  <c r="AY8" i="25"/>
  <c r="AX8" i="25"/>
  <c r="BI8" i="25"/>
  <c r="BJ8" i="25"/>
  <c r="AT8" i="25" l="1"/>
  <c r="AS8" i="25"/>
  <c r="AR8" i="25"/>
  <c r="AQ8" i="25"/>
  <c r="AP8" i="25"/>
  <c r="AO8" i="25"/>
  <c r="AN8" i="25"/>
  <c r="AM8" i="25"/>
  <c r="AL8" i="25"/>
  <c r="AK8" i="25"/>
  <c r="AJ8" i="25"/>
  <c r="AU8" i="25"/>
  <c r="AV8" i="25"/>
  <c r="AF8" i="25"/>
  <c r="AE8" i="25"/>
  <c r="AD8" i="25"/>
  <c r="AC8" i="25"/>
  <c r="AB8" i="25"/>
  <c r="AA8" i="25"/>
  <c r="Z8" i="25"/>
  <c r="Y8" i="25"/>
  <c r="X8" i="25"/>
  <c r="W8" i="25"/>
  <c r="V8" i="25"/>
  <c r="AG8" i="25"/>
  <c r="AH8" i="25"/>
  <c r="T8" i="25"/>
  <c r="BY59" i="9"/>
  <c r="BK59" i="9"/>
  <c r="AW59" i="9"/>
  <c r="AI59" i="9"/>
  <c r="U59" i="9"/>
  <c r="EQ8" i="9"/>
  <c r="EP8" i="9"/>
  <c r="EO8" i="9"/>
  <c r="EN8" i="9"/>
  <c r="EM8" i="9"/>
  <c r="EL8" i="9"/>
  <c r="EK8" i="9"/>
  <c r="EJ8" i="9"/>
  <c r="EI8" i="9"/>
  <c r="EH8" i="9"/>
  <c r="EG8" i="9"/>
  <c r="ER8" i="9"/>
  <c r="ES8" i="9"/>
  <c r="EC8" i="9"/>
  <c r="EB8" i="9"/>
  <c r="EA8" i="9"/>
  <c r="DZ8" i="9"/>
  <c r="DY8" i="9"/>
  <c r="DX8" i="9"/>
  <c r="DW8" i="9"/>
  <c r="DV8" i="9"/>
  <c r="DU8" i="9"/>
  <c r="DT8" i="9"/>
  <c r="DS8" i="9"/>
  <c r="ED8" i="9"/>
  <c r="EE8" i="9"/>
  <c r="DO8" i="9"/>
  <c r="DN8" i="9"/>
  <c r="DM8" i="9"/>
  <c r="DL8" i="9"/>
  <c r="DK8" i="9"/>
  <c r="DJ8" i="9"/>
  <c r="DI8" i="9"/>
  <c r="DH8" i="9"/>
  <c r="DG8" i="9"/>
  <c r="DF8" i="9"/>
  <c r="DE8" i="9"/>
  <c r="DP8" i="9"/>
  <c r="DQ8" i="9"/>
  <c r="DA8" i="9"/>
  <c r="CZ8" i="9"/>
  <c r="CY8" i="9"/>
  <c r="CX8" i="9"/>
  <c r="CW8" i="9"/>
  <c r="CV8" i="9"/>
  <c r="CU8" i="9"/>
  <c r="CT8" i="9"/>
  <c r="CS8" i="9"/>
  <c r="CR8" i="9"/>
  <c r="CQ8" i="9"/>
  <c r="DB8" i="9"/>
  <c r="DC8" i="9"/>
  <c r="CO8" i="9"/>
  <c r="BW8" i="9"/>
  <c r="BV8" i="9"/>
  <c r="BU8" i="9"/>
  <c r="BT8" i="9"/>
  <c r="BS8" i="9"/>
  <c r="BR8" i="9"/>
  <c r="BQ8" i="9"/>
  <c r="BP8" i="9"/>
  <c r="BO8" i="9"/>
  <c r="BN8" i="9"/>
  <c r="BM8" i="9"/>
  <c r="BX8" i="9"/>
  <c r="BY8" i="9"/>
  <c r="BI8" i="9"/>
  <c r="BH8" i="9"/>
  <c r="BG8" i="9"/>
  <c r="BF8" i="9"/>
  <c r="BE8" i="9"/>
  <c r="BD8" i="9"/>
  <c r="BC8" i="9"/>
  <c r="BB8" i="9"/>
  <c r="BA8" i="9"/>
  <c r="AZ8" i="9"/>
  <c r="AY8" i="9"/>
  <c r="BK8" i="9"/>
  <c r="BJ8" i="9"/>
  <c r="AU8" i="9"/>
  <c r="AT8" i="9"/>
  <c r="AS8" i="9"/>
  <c r="AR8" i="9"/>
  <c r="AQ8" i="9"/>
  <c r="AP8" i="9"/>
  <c r="AO8" i="9"/>
  <c r="AN8" i="9"/>
  <c r="AM8" i="9"/>
  <c r="AL8" i="9"/>
  <c r="AK8" i="9"/>
  <c r="AV8" i="9"/>
  <c r="AW8" i="9"/>
  <c r="AI8" i="9"/>
  <c r="U8" i="9"/>
  <c r="AH8" i="9"/>
  <c r="AG8" i="9"/>
  <c r="AF8" i="9"/>
  <c r="AE8" i="9"/>
  <c r="AD8" i="9"/>
  <c r="AC8" i="9"/>
  <c r="AB8" i="9"/>
  <c r="AA8" i="9"/>
  <c r="Z8" i="9"/>
  <c r="Y8" i="9"/>
  <c r="X8" i="9"/>
  <c r="W8" i="9"/>
  <c r="G59" i="9" l="1"/>
  <c r="C14" i="4"/>
  <c r="C13" i="4"/>
  <c r="C12" i="4"/>
  <c r="C11" i="4"/>
  <c r="C10" i="4"/>
  <c r="C9" i="4"/>
  <c r="C8" i="4"/>
  <c r="C7" i="4"/>
  <c r="C6" i="4"/>
  <c r="E6" i="4"/>
  <c r="E19" i="1" l="1"/>
  <c r="F9" i="21" l="1"/>
  <c r="F8" i="21"/>
  <c r="F11" i="21"/>
  <c r="BY58" i="9" l="1"/>
  <c r="BK58" i="9"/>
  <c r="AW58" i="9"/>
  <c r="AI58" i="9"/>
  <c r="U58" i="9"/>
  <c r="C23" i="20"/>
  <c r="F22" i="15"/>
  <c r="B22" i="15" s="1"/>
  <c r="F24" i="21"/>
  <c r="B24" i="21" s="1"/>
  <c r="G58" i="9" l="1"/>
  <c r="E15" i="1"/>
  <c r="C21" i="20" l="1"/>
  <c r="F22" i="21" l="1"/>
  <c r="B22" i="21" s="1"/>
  <c r="H29" i="16" l="1"/>
  <c r="G29" i="16" s="1"/>
  <c r="C29" i="16"/>
  <c r="A29" i="16"/>
  <c r="H28" i="23"/>
  <c r="G28" i="23" s="1"/>
  <c r="C28" i="23"/>
  <c r="A28" i="23"/>
  <c r="C14" i="25"/>
  <c r="C16" i="25" s="1"/>
  <c r="BX54" i="25"/>
  <c r="BJ54" i="25"/>
  <c r="AV54" i="25"/>
  <c r="AH54" i="25"/>
  <c r="T54" i="25"/>
  <c r="BX52" i="25"/>
  <c r="BJ52" i="25"/>
  <c r="AV52" i="25"/>
  <c r="AH52" i="25"/>
  <c r="T52" i="25"/>
  <c r="BX50" i="25"/>
  <c r="BJ50" i="25"/>
  <c r="AV50" i="25"/>
  <c r="AH50" i="25"/>
  <c r="T50" i="25"/>
  <c r="BX48" i="25"/>
  <c r="BJ48" i="25"/>
  <c r="AV48" i="25"/>
  <c r="AH48" i="25"/>
  <c r="T48" i="25"/>
  <c r="BX46" i="25"/>
  <c r="BJ46" i="25"/>
  <c r="AV46" i="25"/>
  <c r="AH46" i="25"/>
  <c r="T46" i="25"/>
  <c r="BX44" i="25"/>
  <c r="BJ44" i="25"/>
  <c r="AV44" i="25"/>
  <c r="AH44" i="25"/>
  <c r="T44" i="25"/>
  <c r="BX42" i="25"/>
  <c r="BJ42" i="25"/>
  <c r="AV42" i="25"/>
  <c r="AH42" i="25"/>
  <c r="T42" i="25"/>
  <c r="BX40" i="25"/>
  <c r="BJ40" i="25"/>
  <c r="AV40" i="25"/>
  <c r="AH40" i="25"/>
  <c r="T40" i="25"/>
  <c r="BX38" i="25"/>
  <c r="BJ38" i="25"/>
  <c r="AV38" i="25"/>
  <c r="AH38" i="25"/>
  <c r="T38" i="25"/>
  <c r="BX36" i="25"/>
  <c r="BJ36" i="25"/>
  <c r="AV36" i="25"/>
  <c r="AH36" i="25"/>
  <c r="T36" i="25"/>
  <c r="BX34" i="25"/>
  <c r="BJ34" i="25"/>
  <c r="AV34" i="25"/>
  <c r="AH34" i="25"/>
  <c r="T34" i="25"/>
  <c r="BX32" i="25"/>
  <c r="BJ32" i="25"/>
  <c r="AV32" i="25"/>
  <c r="AH32" i="25"/>
  <c r="T32" i="25"/>
  <c r="BX30" i="25"/>
  <c r="BJ30" i="25"/>
  <c r="AV30" i="25"/>
  <c r="AH30" i="25"/>
  <c r="T30" i="25"/>
  <c r="BX28" i="25"/>
  <c r="BJ28" i="25"/>
  <c r="AV28" i="25"/>
  <c r="AH28" i="25"/>
  <c r="T28" i="25"/>
  <c r="BX26" i="25"/>
  <c r="BJ26" i="25"/>
  <c r="AV26" i="25"/>
  <c r="AH26" i="25"/>
  <c r="T26" i="25"/>
  <c r="BX24" i="25"/>
  <c r="BJ24" i="25"/>
  <c r="AV24" i="25"/>
  <c r="AH24" i="25"/>
  <c r="T24" i="25"/>
  <c r="BX22" i="25"/>
  <c r="BJ22" i="25"/>
  <c r="AV22" i="25"/>
  <c r="AH22" i="25"/>
  <c r="T22" i="25"/>
  <c r="BX20" i="25"/>
  <c r="BJ20" i="25"/>
  <c r="AV20" i="25"/>
  <c r="AH20" i="25"/>
  <c r="T20" i="25"/>
  <c r="BX18" i="25"/>
  <c r="BJ18" i="25"/>
  <c r="AV18" i="25"/>
  <c r="AH18" i="25"/>
  <c r="T18" i="25"/>
  <c r="BX16" i="25"/>
  <c r="BJ16" i="25"/>
  <c r="AV16" i="25"/>
  <c r="AH16" i="25"/>
  <c r="T16" i="25"/>
  <c r="BX14" i="25"/>
  <c r="BJ14" i="25"/>
  <c r="AV14" i="25"/>
  <c r="AH14" i="25"/>
  <c r="T14" i="25"/>
  <c r="BL7" i="25"/>
  <c r="AX7" i="25"/>
  <c r="AJ7" i="25"/>
  <c r="V7" i="25"/>
  <c r="H7" i="25"/>
  <c r="BX12" i="25"/>
  <c r="BJ12" i="25"/>
  <c r="AV12" i="25"/>
  <c r="AH12" i="25"/>
  <c r="T12" i="25"/>
  <c r="S8" i="25"/>
  <c r="R8" i="25"/>
  <c r="Q8" i="25"/>
  <c r="P8" i="25"/>
  <c r="O8" i="25"/>
  <c r="N8" i="25"/>
  <c r="M8" i="25"/>
  <c r="L8" i="25"/>
  <c r="K8" i="25"/>
  <c r="J8" i="25"/>
  <c r="I8" i="25"/>
  <c r="H8" i="25"/>
  <c r="BW4" i="25"/>
  <c r="BV4" i="25"/>
  <c r="BU4" i="25"/>
  <c r="BT4" i="25"/>
  <c r="BS4" i="25"/>
  <c r="BR4" i="25"/>
  <c r="BQ4" i="25"/>
  <c r="BP4" i="25"/>
  <c r="BO4" i="25"/>
  <c r="BN4" i="25"/>
  <c r="BM4" i="25"/>
  <c r="BL4" i="25"/>
  <c r="BI4" i="25"/>
  <c r="BH4" i="25"/>
  <c r="BG4" i="25"/>
  <c r="BF4" i="25"/>
  <c r="BE4" i="25"/>
  <c r="BD4" i="25"/>
  <c r="BC4" i="25"/>
  <c r="BB4" i="25"/>
  <c r="BA4" i="25"/>
  <c r="AZ4" i="25"/>
  <c r="AY4" i="25"/>
  <c r="AX4" i="25"/>
  <c r="AU4" i="25"/>
  <c r="AT4" i="25"/>
  <c r="AS4" i="25"/>
  <c r="AR4" i="25"/>
  <c r="AQ4" i="25"/>
  <c r="AP4" i="25"/>
  <c r="AO4" i="25"/>
  <c r="AN4" i="25"/>
  <c r="AM4" i="25"/>
  <c r="AL4" i="25"/>
  <c r="AK4" i="25"/>
  <c r="AJ4" i="25"/>
  <c r="AG4" i="25"/>
  <c r="AF4" i="25"/>
  <c r="AE4" i="25"/>
  <c r="AD4" i="25"/>
  <c r="AC4" i="25"/>
  <c r="AB4" i="25"/>
  <c r="AA4" i="25"/>
  <c r="Z4" i="25"/>
  <c r="Y4" i="25"/>
  <c r="X4" i="25"/>
  <c r="W4" i="25"/>
  <c r="V4" i="25"/>
  <c r="S4" i="25"/>
  <c r="R4" i="25"/>
  <c r="Q4" i="25"/>
  <c r="P4" i="25"/>
  <c r="O4" i="25"/>
  <c r="N4" i="25"/>
  <c r="M4" i="25"/>
  <c r="L4" i="25"/>
  <c r="K4" i="25"/>
  <c r="J4" i="25"/>
  <c r="I4" i="25"/>
  <c r="H4" i="25"/>
  <c r="T31" i="25" l="1"/>
  <c r="AH31" i="25"/>
  <c r="T39" i="25"/>
  <c r="AH39" i="25"/>
  <c r="AV39" i="25"/>
  <c r="T47" i="25"/>
  <c r="AH47" i="25"/>
  <c r="AV47" i="25"/>
  <c r="T55" i="25"/>
  <c r="AH55" i="25"/>
  <c r="AV55" i="25"/>
  <c r="BJ55" i="25"/>
  <c r="BX55" i="25"/>
  <c r="T21" i="25"/>
  <c r="AH21" i="25"/>
  <c r="AV21" i="25"/>
  <c r="BJ21" i="25"/>
  <c r="F22" i="25"/>
  <c r="AH29" i="25"/>
  <c r="T45" i="25"/>
  <c r="AH45" i="25"/>
  <c r="AV45" i="25"/>
  <c r="BJ45" i="25"/>
  <c r="T17" i="25"/>
  <c r="AH17" i="25"/>
  <c r="AV17" i="25"/>
  <c r="BJ17" i="25"/>
  <c r="T33" i="25"/>
  <c r="AH33" i="25"/>
  <c r="AV33" i="25"/>
  <c r="T49" i="25"/>
  <c r="AH49" i="25"/>
  <c r="AV49" i="25"/>
  <c r="BJ49" i="25"/>
  <c r="T27" i="25"/>
  <c r="AH27" i="25"/>
  <c r="T35" i="25"/>
  <c r="AH35" i="25"/>
  <c r="AV35" i="25"/>
  <c r="BJ35" i="25"/>
  <c r="BX35" i="25"/>
  <c r="F36" i="25"/>
  <c r="T43" i="25"/>
  <c r="AH43" i="25"/>
  <c r="AV43" i="25"/>
  <c r="T51" i="25"/>
  <c r="AH51" i="25"/>
  <c r="AV31" i="25"/>
  <c r="T25" i="25"/>
  <c r="AH25" i="25"/>
  <c r="BJ33" i="25"/>
  <c r="T41" i="25"/>
  <c r="BX49" i="25"/>
  <c r="AV27" i="25"/>
  <c r="F28" i="25"/>
  <c r="BJ43" i="25"/>
  <c r="AV29" i="25"/>
  <c r="BX45" i="25"/>
  <c r="F18" i="25"/>
  <c r="AV25" i="25"/>
  <c r="BJ25" i="25"/>
  <c r="F26" i="25"/>
  <c r="F34" i="25"/>
  <c r="AH41" i="25"/>
  <c r="AV41" i="25"/>
  <c r="BJ41" i="25"/>
  <c r="BX41" i="25"/>
  <c r="F42" i="25"/>
  <c r="F50" i="25"/>
  <c r="T19" i="25"/>
  <c r="AH19" i="25"/>
  <c r="F20" i="25"/>
  <c r="BX43" i="25"/>
  <c r="F44" i="25"/>
  <c r="AV51" i="25"/>
  <c r="BJ51" i="25"/>
  <c r="F52" i="25"/>
  <c r="F14" i="25"/>
  <c r="T29" i="25"/>
  <c r="BJ29" i="25"/>
  <c r="F30" i="25"/>
  <c r="F38" i="25"/>
  <c r="F46" i="25"/>
  <c r="T53" i="25"/>
  <c r="AH53" i="25"/>
  <c r="F54" i="25"/>
  <c r="F16" i="25"/>
  <c r="F24" i="25"/>
  <c r="F32" i="25"/>
  <c r="BJ39" i="25"/>
  <c r="F40" i="25"/>
  <c r="BJ47" i="25"/>
  <c r="F48" i="25"/>
  <c r="T23" i="25"/>
  <c r="AH23" i="25"/>
  <c r="AV23" i="25"/>
  <c r="BJ23" i="25"/>
  <c r="BX23" i="25"/>
  <c r="BJ31" i="25"/>
  <c r="BX31" i="25"/>
  <c r="BX39" i="25"/>
  <c r="BX47" i="25"/>
  <c r="BX17" i="25"/>
  <c r="BX25" i="25"/>
  <c r="BX33" i="25"/>
  <c r="AV19" i="25"/>
  <c r="BJ19" i="25"/>
  <c r="BX19" i="25"/>
  <c r="BJ27" i="25"/>
  <c r="BX27" i="25"/>
  <c r="BX51" i="25"/>
  <c r="BX21" i="25"/>
  <c r="BX29" i="25"/>
  <c r="T37" i="25"/>
  <c r="AH37" i="25"/>
  <c r="AV37" i="25"/>
  <c r="BJ37" i="25"/>
  <c r="BX37" i="25"/>
  <c r="AV53" i="25"/>
  <c r="BJ53" i="25"/>
  <c r="BX53" i="25"/>
  <c r="T15" i="25"/>
  <c r="AH15" i="25"/>
  <c r="AV15" i="25"/>
  <c r="BJ15" i="25"/>
  <c r="BX15" i="25"/>
  <c r="AH13" i="25"/>
  <c r="AV13" i="25"/>
  <c r="BJ13" i="25"/>
  <c r="BX13" i="25"/>
  <c r="C18" i="25"/>
  <c r="T13" i="25"/>
  <c r="F12" i="25"/>
  <c r="E30" i="1"/>
  <c r="E27" i="1"/>
  <c r="D27" i="1"/>
  <c r="E23" i="1"/>
  <c r="E22" i="1"/>
  <c r="E21" i="1"/>
  <c r="E45" i="25" l="1"/>
  <c r="F9" i="25"/>
  <c r="E29" i="25"/>
  <c r="E33" i="25"/>
  <c r="E39" i="25"/>
  <c r="E43" i="25"/>
  <c r="E55" i="25"/>
  <c r="E21" i="25"/>
  <c r="E25" i="25"/>
  <c r="E47" i="25"/>
  <c r="E49" i="25"/>
  <c r="E35" i="25"/>
  <c r="E53" i="25"/>
  <c r="E51" i="25"/>
  <c r="E17" i="25"/>
  <c r="E41" i="25"/>
  <c r="E31" i="25"/>
  <c r="E19" i="25"/>
  <c r="E27" i="25"/>
  <c r="E37" i="25"/>
  <c r="E23" i="25"/>
  <c r="E13" i="25"/>
  <c r="E15" i="25"/>
  <c r="C20" i="25"/>
  <c r="F28" i="21"/>
  <c r="B28" i="21" s="1"/>
  <c r="F27" i="21"/>
  <c r="B27" i="21" s="1"/>
  <c r="F26" i="21"/>
  <c r="B26" i="21" s="1"/>
  <c r="F25" i="21"/>
  <c r="B25" i="21" s="1"/>
  <c r="F23" i="21"/>
  <c r="B23" i="21" s="1"/>
  <c r="F20" i="21"/>
  <c r="B20" i="21" s="1"/>
  <c r="R5" i="4"/>
  <c r="P5" i="4" l="1"/>
  <c r="C22" i="25"/>
  <c r="H28" i="16"/>
  <c r="G28" i="16" s="1"/>
  <c r="C28" i="16"/>
  <c r="A28" i="16"/>
  <c r="O5" i="4" l="1"/>
  <c r="C24" i="25"/>
  <c r="BY57" i="9"/>
  <c r="BK57" i="9"/>
  <c r="AW57" i="9"/>
  <c r="AI57" i="9"/>
  <c r="U57" i="9"/>
  <c r="E12" i="24"/>
  <c r="E11" i="24"/>
  <c r="E10" i="24"/>
  <c r="E9" i="24"/>
  <c r="E8" i="24"/>
  <c r="E7" i="24"/>
  <c r="E6" i="24"/>
  <c r="E5" i="24"/>
  <c r="C26" i="25" l="1"/>
  <c r="G57" i="9"/>
  <c r="E12" i="1"/>
  <c r="C28" i="25" l="1"/>
  <c r="C30" i="20"/>
  <c r="C29" i="20"/>
  <c r="C28" i="20"/>
  <c r="C27" i="20"/>
  <c r="C26" i="20"/>
  <c r="C25" i="20"/>
  <c r="C24" i="20"/>
  <c r="C22" i="20"/>
  <c r="C20" i="20"/>
  <c r="C19" i="20"/>
  <c r="C18" i="20"/>
  <c r="C17" i="20"/>
  <c r="C16" i="20"/>
  <c r="C14" i="20"/>
  <c r="C13" i="20"/>
  <c r="C12" i="20"/>
  <c r="C11" i="20"/>
  <c r="C10" i="20"/>
  <c r="E14" i="4"/>
  <c r="E13" i="4"/>
  <c r="DD46" i="21"/>
  <c r="CY46" i="21"/>
  <c r="CT46" i="21"/>
  <c r="CP46" i="21"/>
  <c r="DD40" i="15"/>
  <c r="CY40" i="15"/>
  <c r="CT40" i="15"/>
  <c r="CP40" i="15"/>
  <c r="CJ40" i="15"/>
  <c r="CE40" i="15"/>
  <c r="BZ40" i="15"/>
  <c r="BV40" i="15"/>
  <c r="C30" i="25" l="1"/>
  <c r="CA40" i="15"/>
  <c r="CF40" i="15" s="1"/>
  <c r="CK40" i="15" s="1"/>
  <c r="CU46" i="21"/>
  <c r="CZ46" i="21" s="1"/>
  <c r="DE46" i="21" s="1"/>
  <c r="CU40" i="15"/>
  <c r="CZ40" i="15" s="1"/>
  <c r="DE40" i="15" s="1"/>
  <c r="C32" i="25" l="1"/>
  <c r="C34" i="25" l="1"/>
  <c r="H27" i="16"/>
  <c r="G27" i="16" s="1"/>
  <c r="C27" i="16"/>
  <c r="A27" i="16"/>
  <c r="BY56" i="9"/>
  <c r="BK56" i="9"/>
  <c r="AW56" i="9"/>
  <c r="AI56" i="9"/>
  <c r="U56" i="9"/>
  <c r="BY55" i="9"/>
  <c r="BK55" i="9"/>
  <c r="AW55" i="9"/>
  <c r="AI55" i="9"/>
  <c r="U55" i="9"/>
  <c r="BY54" i="9"/>
  <c r="BK54" i="9"/>
  <c r="AW54" i="9"/>
  <c r="AI54" i="9"/>
  <c r="U54" i="9"/>
  <c r="C36" i="25" l="1"/>
  <c r="G56" i="9"/>
  <c r="G55" i="9"/>
  <c r="G54" i="9"/>
  <c r="BY53" i="9"/>
  <c r="BK53" i="9"/>
  <c r="AW53" i="9"/>
  <c r="AI53" i="9"/>
  <c r="U53" i="9"/>
  <c r="BY52" i="9"/>
  <c r="BK52" i="9"/>
  <c r="AW52" i="9"/>
  <c r="AI52" i="9"/>
  <c r="U52" i="9"/>
  <c r="BY50" i="9"/>
  <c r="BK50" i="9"/>
  <c r="AW50" i="9"/>
  <c r="AI50" i="9"/>
  <c r="U50" i="9"/>
  <c r="BY49" i="9"/>
  <c r="BK49" i="9"/>
  <c r="AW49" i="9"/>
  <c r="AI49" i="9"/>
  <c r="U49" i="9"/>
  <c r="BY48" i="9"/>
  <c r="BK48" i="9"/>
  <c r="AW48" i="9"/>
  <c r="AI48" i="9"/>
  <c r="U48" i="9"/>
  <c r="BY47" i="9"/>
  <c r="BK47" i="9"/>
  <c r="AW47" i="9"/>
  <c r="AI47" i="9"/>
  <c r="U47" i="9"/>
  <c r="BY46" i="9"/>
  <c r="BK46" i="9"/>
  <c r="AW46" i="9"/>
  <c r="AI46" i="9"/>
  <c r="U46" i="9"/>
  <c r="BY45" i="9"/>
  <c r="BK45" i="9"/>
  <c r="AW45" i="9"/>
  <c r="AI45" i="9"/>
  <c r="U45" i="9"/>
  <c r="BY44" i="9"/>
  <c r="BK44" i="9"/>
  <c r="AW44" i="9"/>
  <c r="AI44" i="9"/>
  <c r="U44" i="9"/>
  <c r="BY43" i="9"/>
  <c r="BK43" i="9"/>
  <c r="AW43" i="9"/>
  <c r="AI43" i="9"/>
  <c r="U43" i="9"/>
  <c r="BY42" i="9"/>
  <c r="BK42" i="9"/>
  <c r="AW42" i="9"/>
  <c r="AI42" i="9"/>
  <c r="U42" i="9"/>
  <c r="BY41" i="9"/>
  <c r="BK41" i="9"/>
  <c r="AW41" i="9"/>
  <c r="AI41" i="9"/>
  <c r="U41" i="9"/>
  <c r="BY40" i="9"/>
  <c r="BK40" i="9"/>
  <c r="AW40" i="9"/>
  <c r="AI40" i="9"/>
  <c r="U40" i="9"/>
  <c r="BY39" i="9"/>
  <c r="BK39" i="9"/>
  <c r="AW39" i="9"/>
  <c r="AI39" i="9"/>
  <c r="U39" i="9"/>
  <c r="BY38" i="9"/>
  <c r="BK38" i="9"/>
  <c r="AW38" i="9"/>
  <c r="AI38" i="9"/>
  <c r="U38" i="9"/>
  <c r="BY37" i="9"/>
  <c r="BK37" i="9"/>
  <c r="AW37" i="9"/>
  <c r="AI37" i="9"/>
  <c r="U37" i="9"/>
  <c r="BY36" i="9"/>
  <c r="BK36" i="9"/>
  <c r="AW36" i="9"/>
  <c r="AI36" i="9"/>
  <c r="U36" i="9"/>
  <c r="BY35" i="9"/>
  <c r="BK35" i="9"/>
  <c r="AW35" i="9"/>
  <c r="AI35" i="9"/>
  <c r="U35" i="9"/>
  <c r="BY34" i="9"/>
  <c r="BK34" i="9"/>
  <c r="AW34" i="9"/>
  <c r="AI34" i="9"/>
  <c r="U34" i="9"/>
  <c r="BY33" i="9"/>
  <c r="BK33" i="9"/>
  <c r="AW33" i="9"/>
  <c r="AI33" i="9"/>
  <c r="U33" i="9"/>
  <c r="BY32" i="9"/>
  <c r="BK32" i="9"/>
  <c r="AW32" i="9"/>
  <c r="AI32" i="9"/>
  <c r="U32" i="9"/>
  <c r="BY31" i="9"/>
  <c r="BK31" i="9"/>
  <c r="AW31" i="9"/>
  <c r="AI31" i="9"/>
  <c r="U31" i="9"/>
  <c r="BY30" i="9"/>
  <c r="BK30" i="9"/>
  <c r="AW30" i="9"/>
  <c r="AI30" i="9"/>
  <c r="U30" i="9"/>
  <c r="BY29" i="9"/>
  <c r="BK29" i="9"/>
  <c r="AW29" i="9"/>
  <c r="AI29" i="9"/>
  <c r="U29" i="9"/>
  <c r="BY28" i="9"/>
  <c r="BK28" i="9"/>
  <c r="AW28" i="9"/>
  <c r="AI28" i="9"/>
  <c r="U28" i="9"/>
  <c r="BY27" i="9"/>
  <c r="BK27" i="9"/>
  <c r="AW27" i="9"/>
  <c r="AI27" i="9"/>
  <c r="U27" i="9"/>
  <c r="BY26" i="9"/>
  <c r="BK26" i="9"/>
  <c r="AW26" i="9"/>
  <c r="AI26" i="9"/>
  <c r="U26" i="9"/>
  <c r="BY25" i="9"/>
  <c r="BK25" i="9"/>
  <c r="AW25" i="9"/>
  <c r="AI25" i="9"/>
  <c r="U25" i="9"/>
  <c r="BM7" i="9"/>
  <c r="AY7" i="9"/>
  <c r="AK7" i="9"/>
  <c r="W7" i="9"/>
  <c r="I7" i="9"/>
  <c r="C38" i="25" l="1"/>
  <c r="C40" i="25" s="1"/>
  <c r="C42" i="25" s="1"/>
  <c r="C44" i="25" s="1"/>
  <c r="C46" i="25" s="1"/>
  <c r="C48" i="25" s="1"/>
  <c r="C50" i="25" s="1"/>
  <c r="C52" i="25" s="1"/>
  <c r="C54" i="25" s="1"/>
  <c r="G52" i="9"/>
  <c r="G53" i="9"/>
  <c r="G49" i="9"/>
  <c r="G26" i="9"/>
  <c r="G27" i="9"/>
  <c r="G45" i="9"/>
  <c r="G35" i="9"/>
  <c r="G30" i="9"/>
  <c r="G31" i="9"/>
  <c r="G37" i="9"/>
  <c r="G33" i="9"/>
  <c r="G38" i="9"/>
  <c r="G28" i="9"/>
  <c r="G32" i="9"/>
  <c r="G39" i="9"/>
  <c r="G43" i="9"/>
  <c r="G48" i="9"/>
  <c r="G44" i="9"/>
  <c r="G34" i="9"/>
  <c r="G36" i="9"/>
  <c r="G40" i="9"/>
  <c r="G47" i="9"/>
  <c r="G29" i="9"/>
  <c r="G25" i="9"/>
  <c r="G41" i="9"/>
  <c r="G42" i="9"/>
  <c r="G46" i="9"/>
  <c r="G50" i="9"/>
  <c r="J9" i="9"/>
  <c r="I9" i="9"/>
  <c r="U60" i="9"/>
  <c r="U51" i="9"/>
  <c r="U24" i="9"/>
  <c r="U23" i="9"/>
  <c r="U22" i="9"/>
  <c r="U21" i="9"/>
  <c r="U20" i="9"/>
  <c r="U19" i="9"/>
  <c r="U18" i="9"/>
  <c r="U17" i="9"/>
  <c r="AH9" i="9"/>
  <c r="AG9" i="9"/>
  <c r="AF9" i="9"/>
  <c r="AE9" i="9"/>
  <c r="AD9" i="9"/>
  <c r="AC9" i="9"/>
  <c r="AB9" i="9"/>
  <c r="AA9" i="9"/>
  <c r="Z9" i="9"/>
  <c r="Y9" i="9"/>
  <c r="X9" i="9"/>
  <c r="W9" i="9"/>
  <c r="AI60" i="9"/>
  <c r="AI51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V9" i="9"/>
  <c r="AU9" i="9"/>
  <c r="AT9" i="9"/>
  <c r="AS9" i="9"/>
  <c r="AR9" i="9"/>
  <c r="AQ9" i="9"/>
  <c r="AP9" i="9"/>
  <c r="AO9" i="9"/>
  <c r="AN9" i="9"/>
  <c r="AM9" i="9"/>
  <c r="AL9" i="9"/>
  <c r="AK9" i="9"/>
  <c r="AW60" i="9"/>
  <c r="AW51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BJ9" i="9"/>
  <c r="BI9" i="9"/>
  <c r="BH9" i="9"/>
  <c r="BG9" i="9"/>
  <c r="BF9" i="9"/>
  <c r="BE9" i="9"/>
  <c r="BD9" i="9"/>
  <c r="BC9" i="9"/>
  <c r="BB9" i="9"/>
  <c r="BA9" i="9"/>
  <c r="AZ9" i="9"/>
  <c r="AY9" i="9"/>
  <c r="BK60" i="9"/>
  <c r="BK51" i="9"/>
  <c r="BK24" i="9"/>
  <c r="BK23" i="9"/>
  <c r="BK22" i="9"/>
  <c r="BK21" i="9"/>
  <c r="BK20" i="9"/>
  <c r="BK19" i="9"/>
  <c r="BK18" i="9"/>
  <c r="BK17" i="9"/>
  <c r="BK16" i="9"/>
  <c r="BK15" i="9"/>
  <c r="BK14" i="9"/>
  <c r="BK13" i="9"/>
  <c r="BK12" i="9"/>
  <c r="BX9" i="9"/>
  <c r="BW9" i="9"/>
  <c r="BV9" i="9"/>
  <c r="BU9" i="9"/>
  <c r="BT9" i="9"/>
  <c r="BS9" i="9"/>
  <c r="BR9" i="9"/>
  <c r="BQ9" i="9"/>
  <c r="BP9" i="9"/>
  <c r="BO9" i="9"/>
  <c r="BN9" i="9"/>
  <c r="BM9" i="9"/>
  <c r="BY60" i="9"/>
  <c r="BY51" i="9"/>
  <c r="BY24" i="9"/>
  <c r="BY23" i="9"/>
  <c r="BY22" i="9"/>
  <c r="BY21" i="9"/>
  <c r="BY20" i="9"/>
  <c r="BY19" i="9"/>
  <c r="BY18" i="9"/>
  <c r="BY17" i="9"/>
  <c r="BY16" i="9"/>
  <c r="BY15" i="9"/>
  <c r="BY14" i="9"/>
  <c r="BY13" i="9"/>
  <c r="BY12" i="9"/>
  <c r="EG7" i="9"/>
  <c r="DS7" i="9"/>
  <c r="DE7" i="9"/>
  <c r="CQ7" i="9"/>
  <c r="CC7" i="9"/>
  <c r="CN8" i="9"/>
  <c r="CM8" i="9"/>
  <c r="CL8" i="9"/>
  <c r="CK8" i="9"/>
  <c r="CJ8" i="9"/>
  <c r="CI8" i="9"/>
  <c r="CH8" i="9"/>
  <c r="CG8" i="9"/>
  <c r="CF8" i="9"/>
  <c r="CE8" i="9"/>
  <c r="CD8" i="9"/>
  <c r="CC8" i="9"/>
  <c r="ER4" i="9"/>
  <c r="EQ4" i="9"/>
  <c r="EP4" i="9"/>
  <c r="EO4" i="9"/>
  <c r="EN4" i="9"/>
  <c r="EM4" i="9"/>
  <c r="EL4" i="9"/>
  <c r="EK4" i="9"/>
  <c r="EJ4" i="9"/>
  <c r="EI4" i="9"/>
  <c r="EH4" i="9"/>
  <c r="EG4" i="9"/>
  <c r="ED4" i="9"/>
  <c r="EC4" i="9"/>
  <c r="EB4" i="9"/>
  <c r="EA4" i="9"/>
  <c r="DZ4" i="9"/>
  <c r="DY4" i="9"/>
  <c r="DX4" i="9"/>
  <c r="DW4" i="9"/>
  <c r="DV4" i="9"/>
  <c r="DU4" i="9"/>
  <c r="DT4" i="9"/>
  <c r="DS4" i="9"/>
  <c r="DP4" i="9"/>
  <c r="DO4" i="9"/>
  <c r="DN4" i="9"/>
  <c r="DM4" i="9"/>
  <c r="DL4" i="9"/>
  <c r="DK4" i="9"/>
  <c r="DJ4" i="9"/>
  <c r="DI4" i="9"/>
  <c r="DH4" i="9"/>
  <c r="DG4" i="9"/>
  <c r="DF4" i="9"/>
  <c r="DE4" i="9"/>
  <c r="DB4" i="9"/>
  <c r="DA4" i="9"/>
  <c r="CZ4" i="9"/>
  <c r="CY4" i="9"/>
  <c r="CX4" i="9"/>
  <c r="CW4" i="9"/>
  <c r="CV4" i="9"/>
  <c r="CU4" i="9"/>
  <c r="CT4" i="9"/>
  <c r="CS4" i="9"/>
  <c r="CR4" i="9"/>
  <c r="CQ4" i="9"/>
  <c r="CN4" i="9"/>
  <c r="CM4" i="9"/>
  <c r="CL4" i="9"/>
  <c r="CK4" i="9"/>
  <c r="CJ4" i="9"/>
  <c r="CI4" i="9"/>
  <c r="CH4" i="9"/>
  <c r="CG4" i="9"/>
  <c r="CF4" i="9"/>
  <c r="CE4" i="9"/>
  <c r="CD4" i="9"/>
  <c r="CC4" i="9"/>
  <c r="T8" i="9"/>
  <c r="S8" i="9"/>
  <c r="R8" i="9"/>
  <c r="Q8" i="9"/>
  <c r="P8" i="9"/>
  <c r="O8" i="9"/>
  <c r="N8" i="9"/>
  <c r="M8" i="9"/>
  <c r="L8" i="9"/>
  <c r="K8" i="9"/>
  <c r="J8" i="9"/>
  <c r="I8" i="9"/>
  <c r="K5" i="21"/>
  <c r="BR11" i="25" l="1"/>
  <c r="BL11" i="25"/>
  <c r="BM11" i="25"/>
  <c r="BP11" i="25"/>
  <c r="BO11" i="25"/>
  <c r="BV11" i="25"/>
  <c r="BU11" i="25"/>
  <c r="BN11" i="25"/>
  <c r="BT11" i="25"/>
  <c r="BS11" i="25"/>
  <c r="BW11" i="25"/>
  <c r="BQ11" i="25"/>
  <c r="BH11" i="25"/>
  <c r="BC11" i="25"/>
  <c r="BG11" i="25"/>
  <c r="BD11" i="25"/>
  <c r="BE11" i="25"/>
  <c r="BF11" i="25"/>
  <c r="BI11" i="25"/>
  <c r="BA11" i="25"/>
  <c r="BB11" i="25"/>
  <c r="AZ11" i="25"/>
  <c r="AY11" i="25"/>
  <c r="AX11" i="25"/>
  <c r="AQ11" i="25"/>
  <c r="AJ11" i="25"/>
  <c r="AN11" i="25"/>
  <c r="AR11" i="25"/>
  <c r="AU11" i="25"/>
  <c r="AT11" i="25"/>
  <c r="AM11" i="25"/>
  <c r="AO11" i="25"/>
  <c r="AL11" i="25"/>
  <c r="AP11" i="25"/>
  <c r="AS11" i="25"/>
  <c r="AK11" i="25"/>
  <c r="E11" i="25"/>
  <c r="E9" i="25" s="1"/>
  <c r="AA11" i="25"/>
  <c r="AE11" i="25"/>
  <c r="AC11" i="25"/>
  <c r="AB11" i="25"/>
  <c r="Z11" i="25"/>
  <c r="AF11" i="25"/>
  <c r="X11" i="25"/>
  <c r="AG11" i="25"/>
  <c r="W11" i="25"/>
  <c r="Y11" i="25"/>
  <c r="V11" i="25"/>
  <c r="AD11" i="25"/>
  <c r="H11" i="25"/>
  <c r="H10" i="25" s="1"/>
  <c r="R11" i="25"/>
  <c r="K11" i="25"/>
  <c r="P11" i="25"/>
  <c r="S11" i="25"/>
  <c r="N11" i="25"/>
  <c r="L11" i="25"/>
  <c r="I11" i="25"/>
  <c r="Q11" i="25"/>
  <c r="M11" i="25"/>
  <c r="O11" i="25"/>
  <c r="J11" i="25"/>
  <c r="G17" i="9"/>
  <c r="G21" i="9"/>
  <c r="AW9" i="9"/>
  <c r="G18" i="9"/>
  <c r="G22" i="9"/>
  <c r="G20" i="9"/>
  <c r="BY9" i="9"/>
  <c r="AI9" i="9"/>
  <c r="G19" i="9"/>
  <c r="G23" i="9"/>
  <c r="G51" i="9"/>
  <c r="G24" i="9"/>
  <c r="G60" i="9"/>
  <c r="BK9" i="9"/>
  <c r="D16" i="1" l="1"/>
  <c r="E16" i="1"/>
  <c r="E14" i="1" s="1"/>
  <c r="BN9" i="25"/>
  <c r="BN10" i="25"/>
  <c r="BP10" i="25"/>
  <c r="BP9" i="25"/>
  <c r="BW9" i="25"/>
  <c r="BW10" i="25"/>
  <c r="BU10" i="25"/>
  <c r="BU9" i="25"/>
  <c r="BM10" i="25"/>
  <c r="BM9" i="25"/>
  <c r="BQ10" i="25"/>
  <c r="BQ9" i="25"/>
  <c r="BS9" i="25"/>
  <c r="BS10" i="25"/>
  <c r="BV9" i="25"/>
  <c r="BV10" i="25"/>
  <c r="BX11" i="25"/>
  <c r="BL10" i="25"/>
  <c r="BL9" i="25"/>
  <c r="BT10" i="25"/>
  <c r="BT9" i="25"/>
  <c r="BO9" i="25"/>
  <c r="BO10" i="25"/>
  <c r="BR9" i="25"/>
  <c r="BR10" i="25"/>
  <c r="BJ11" i="25"/>
  <c r="AX10" i="25"/>
  <c r="AX9" i="25"/>
  <c r="BD9" i="25"/>
  <c r="BD10" i="25"/>
  <c r="AY10" i="25"/>
  <c r="AY9" i="25"/>
  <c r="BI9" i="25"/>
  <c r="BI10" i="25"/>
  <c r="BG10" i="25"/>
  <c r="BG9" i="25"/>
  <c r="BA9" i="25"/>
  <c r="BA10" i="25"/>
  <c r="AZ9" i="25"/>
  <c r="AZ10" i="25"/>
  <c r="BF10" i="25"/>
  <c r="BF9" i="25"/>
  <c r="BC10" i="25"/>
  <c r="BC9" i="25"/>
  <c r="BB10" i="25"/>
  <c r="BB9" i="25"/>
  <c r="BE9" i="25"/>
  <c r="BE10" i="25"/>
  <c r="BH9" i="25"/>
  <c r="BH10" i="25"/>
  <c r="AR10" i="25"/>
  <c r="AR9" i="25"/>
  <c r="AS10" i="25"/>
  <c r="AS9" i="25"/>
  <c r="AM10" i="25"/>
  <c r="AM9" i="25"/>
  <c r="AN10" i="25"/>
  <c r="AN9" i="25"/>
  <c r="AO10" i="25"/>
  <c r="AO9" i="25"/>
  <c r="AP9" i="25"/>
  <c r="AP10" i="25"/>
  <c r="AT9" i="25"/>
  <c r="AT10" i="25"/>
  <c r="AV11" i="25"/>
  <c r="AJ10" i="25"/>
  <c r="AJ9" i="25"/>
  <c r="AK10" i="25"/>
  <c r="AK9" i="25"/>
  <c r="AL9" i="25"/>
  <c r="AL10" i="25"/>
  <c r="AU10" i="25"/>
  <c r="AU9" i="25"/>
  <c r="AQ10" i="25"/>
  <c r="AQ9" i="25"/>
  <c r="X9" i="25"/>
  <c r="X10" i="25"/>
  <c r="AE10" i="25"/>
  <c r="AE9" i="25"/>
  <c r="W10" i="25"/>
  <c r="W9" i="25"/>
  <c r="Z10" i="25"/>
  <c r="Z9" i="25"/>
  <c r="AA10" i="25"/>
  <c r="AA9" i="25"/>
  <c r="AH11" i="25"/>
  <c r="V10" i="25"/>
  <c r="V9" i="25"/>
  <c r="AC9" i="25"/>
  <c r="AC10" i="25"/>
  <c r="Y9" i="25"/>
  <c r="Y10" i="25"/>
  <c r="AF9" i="25"/>
  <c r="AF10" i="25"/>
  <c r="AD10" i="25"/>
  <c r="AD9" i="25"/>
  <c r="AG9" i="25"/>
  <c r="AG10" i="25"/>
  <c r="AB9" i="25"/>
  <c r="AB10" i="25"/>
  <c r="Q9" i="25"/>
  <c r="Q10" i="25"/>
  <c r="I9" i="25"/>
  <c r="I10" i="25"/>
  <c r="N9" i="25"/>
  <c r="N10" i="25"/>
  <c r="S10" i="25"/>
  <c r="S9" i="25"/>
  <c r="P10" i="25"/>
  <c r="P9" i="25"/>
  <c r="K10" i="25"/>
  <c r="K9" i="25"/>
  <c r="O10" i="25"/>
  <c r="O9" i="25"/>
  <c r="J9" i="25"/>
  <c r="J10" i="25"/>
  <c r="M9" i="25"/>
  <c r="M10" i="25"/>
  <c r="L10" i="25"/>
  <c r="L9" i="25"/>
  <c r="R9" i="25"/>
  <c r="R10" i="25"/>
  <c r="H9" i="25"/>
  <c r="T11" i="25"/>
  <c r="BX9" i="25" l="1"/>
  <c r="BX10" i="25"/>
  <c r="BJ9" i="25"/>
  <c r="BJ10" i="25"/>
  <c r="AV10" i="25"/>
  <c r="AV9" i="25"/>
  <c r="AH10" i="25"/>
  <c r="T10" i="25"/>
  <c r="AH9" i="25"/>
  <c r="T9" i="25"/>
  <c r="BX4" i="9"/>
  <c r="BX6" i="9" s="1"/>
  <c r="BW4" i="9"/>
  <c r="BW6" i="9" s="1"/>
  <c r="BV4" i="9"/>
  <c r="BV6" i="9" s="1"/>
  <c r="BU4" i="9"/>
  <c r="BU6" i="9" s="1"/>
  <c r="BT4" i="9"/>
  <c r="BT6" i="9" s="1"/>
  <c r="BS4" i="9"/>
  <c r="BS6" i="9" s="1"/>
  <c r="BR4" i="9"/>
  <c r="BR6" i="9" s="1"/>
  <c r="BQ4" i="9"/>
  <c r="BQ6" i="9" s="1"/>
  <c r="BP4" i="9"/>
  <c r="BP6" i="9" s="1"/>
  <c r="BO4" i="9"/>
  <c r="BO6" i="9" s="1"/>
  <c r="BN4" i="9"/>
  <c r="BN6" i="9" s="1"/>
  <c r="BM4" i="9"/>
  <c r="BM6" i="9" s="1"/>
  <c r="BJ4" i="9"/>
  <c r="BJ6" i="9" s="1"/>
  <c r="BI4" i="9"/>
  <c r="BI6" i="9" s="1"/>
  <c r="BH4" i="9"/>
  <c r="BH6" i="9" s="1"/>
  <c r="BG4" i="9"/>
  <c r="BG6" i="9" s="1"/>
  <c r="BF4" i="9"/>
  <c r="BF6" i="9" s="1"/>
  <c r="BE4" i="9"/>
  <c r="BE6" i="9" s="1"/>
  <c r="BD4" i="9"/>
  <c r="BD6" i="9" s="1"/>
  <c r="BC4" i="9"/>
  <c r="BC6" i="9" s="1"/>
  <c r="BB4" i="9"/>
  <c r="BB6" i="9" s="1"/>
  <c r="BA4" i="9"/>
  <c r="BA6" i="9" s="1"/>
  <c r="AZ4" i="9"/>
  <c r="AZ6" i="9" s="1"/>
  <c r="AY4" i="9"/>
  <c r="AY6" i="9" s="1"/>
  <c r="AV4" i="9"/>
  <c r="AV6" i="9" s="1"/>
  <c r="AU4" i="9"/>
  <c r="AU6" i="9" s="1"/>
  <c r="AT4" i="9"/>
  <c r="AT6" i="9" s="1"/>
  <c r="AS4" i="9"/>
  <c r="AS6" i="9" s="1"/>
  <c r="AR4" i="9"/>
  <c r="AR6" i="9" s="1"/>
  <c r="AQ4" i="9"/>
  <c r="AQ6" i="9" s="1"/>
  <c r="AP4" i="9"/>
  <c r="AP6" i="9" s="1"/>
  <c r="AO4" i="9"/>
  <c r="AO6" i="9" s="1"/>
  <c r="AN4" i="9"/>
  <c r="AN6" i="9" s="1"/>
  <c r="AM4" i="9"/>
  <c r="AM6" i="9" s="1"/>
  <c r="AL4" i="9"/>
  <c r="AL6" i="9" s="1"/>
  <c r="AK4" i="9"/>
  <c r="AK6" i="9" s="1"/>
  <c r="AH4" i="9"/>
  <c r="AH6" i="9" s="1"/>
  <c r="AG4" i="9"/>
  <c r="AG6" i="9" s="1"/>
  <c r="AF4" i="9"/>
  <c r="AF6" i="9" s="1"/>
  <c r="AE4" i="9"/>
  <c r="AE6" i="9" s="1"/>
  <c r="AD4" i="9"/>
  <c r="AD6" i="9" s="1"/>
  <c r="AC4" i="9"/>
  <c r="AC6" i="9" s="1"/>
  <c r="AB4" i="9"/>
  <c r="AB6" i="9" s="1"/>
  <c r="AA4" i="9"/>
  <c r="AA6" i="9" s="1"/>
  <c r="Z4" i="9"/>
  <c r="Z6" i="9" s="1"/>
  <c r="Y4" i="9"/>
  <c r="Y6" i="9" s="1"/>
  <c r="X4" i="9"/>
  <c r="X6" i="9" s="1"/>
  <c r="W4" i="9"/>
  <c r="W6" i="9" s="1"/>
  <c r="T4" i="9"/>
  <c r="T6" i="9" s="1"/>
  <c r="S4" i="9"/>
  <c r="S6" i="9" s="1"/>
  <c r="R4" i="9"/>
  <c r="R6" i="9" s="1"/>
  <c r="Q4" i="9"/>
  <c r="Q6" i="9" s="1"/>
  <c r="P4" i="9"/>
  <c r="P6" i="9" s="1"/>
  <c r="O4" i="9"/>
  <c r="O6" i="9" s="1"/>
  <c r="N4" i="9"/>
  <c r="N6" i="9" s="1"/>
  <c r="M4" i="9"/>
  <c r="M6" i="9" s="1"/>
  <c r="L4" i="9"/>
  <c r="L6" i="9" s="1"/>
  <c r="K4" i="9"/>
  <c r="K6" i="9" s="1"/>
  <c r="J4" i="9"/>
  <c r="J6" i="9" s="1"/>
  <c r="I4" i="9"/>
  <c r="I6" i="9" s="1"/>
  <c r="S15" i="9" l="1"/>
  <c r="Q12" i="9"/>
  <c r="Q15" i="9"/>
  <c r="R15" i="9"/>
  <c r="CS58" i="9"/>
  <c r="CS59" i="9"/>
  <c r="DK58" i="9"/>
  <c r="DK59" i="9"/>
  <c r="DO58" i="9"/>
  <c r="DO59" i="9"/>
  <c r="DU58" i="9"/>
  <c r="DU59" i="9"/>
  <c r="DY58" i="9"/>
  <c r="DY59" i="9"/>
  <c r="EC58" i="9"/>
  <c r="EC59" i="9"/>
  <c r="EI58" i="9"/>
  <c r="EI59" i="9"/>
  <c r="EM58" i="9"/>
  <c r="EM59" i="9"/>
  <c r="EQ58" i="9"/>
  <c r="EQ59" i="9"/>
  <c r="CI58" i="9"/>
  <c r="CI59" i="9"/>
  <c r="CW58" i="9"/>
  <c r="CW59" i="9"/>
  <c r="CF58" i="9"/>
  <c r="CF59" i="9"/>
  <c r="CJ58" i="9"/>
  <c r="CJ59" i="9"/>
  <c r="CN58" i="9"/>
  <c r="CN59" i="9"/>
  <c r="CT58" i="9"/>
  <c r="CT59" i="9"/>
  <c r="CX58" i="9"/>
  <c r="CX59" i="9"/>
  <c r="DB58" i="9"/>
  <c r="DB59" i="9"/>
  <c r="DH58" i="9"/>
  <c r="DH59" i="9"/>
  <c r="DL58" i="9"/>
  <c r="DL59" i="9"/>
  <c r="DP58" i="9"/>
  <c r="DP59" i="9"/>
  <c r="DV58" i="9"/>
  <c r="DV59" i="9"/>
  <c r="DZ58" i="9"/>
  <c r="DZ59" i="9"/>
  <c r="ED58" i="9"/>
  <c r="ED59" i="9"/>
  <c r="EJ58" i="9"/>
  <c r="EJ59" i="9"/>
  <c r="EN58" i="9"/>
  <c r="EN59" i="9"/>
  <c r="ER58" i="9"/>
  <c r="ER59" i="9"/>
  <c r="CM58" i="9"/>
  <c r="CM59" i="9"/>
  <c r="DA58" i="9"/>
  <c r="DA59" i="9"/>
  <c r="CC58" i="9"/>
  <c r="CC59" i="9"/>
  <c r="CK58" i="9"/>
  <c r="CK59" i="9"/>
  <c r="CQ58" i="9"/>
  <c r="CQ59" i="9"/>
  <c r="CU58" i="9"/>
  <c r="CU59" i="9"/>
  <c r="CY58" i="9"/>
  <c r="CY59" i="9"/>
  <c r="DE58" i="9"/>
  <c r="DE59" i="9"/>
  <c r="DI58" i="9"/>
  <c r="DI59" i="9"/>
  <c r="DM58" i="9"/>
  <c r="DM59" i="9"/>
  <c r="DS58" i="9"/>
  <c r="DS59" i="9"/>
  <c r="DW58" i="9"/>
  <c r="DW59" i="9"/>
  <c r="EA58" i="9"/>
  <c r="EA59" i="9"/>
  <c r="EG58" i="9"/>
  <c r="EG59" i="9"/>
  <c r="EK58" i="9"/>
  <c r="EK59" i="9"/>
  <c r="EO58" i="9"/>
  <c r="EO59" i="9"/>
  <c r="CE58" i="9"/>
  <c r="CE59" i="9"/>
  <c r="DG58" i="9"/>
  <c r="DG59" i="9"/>
  <c r="CG58" i="9"/>
  <c r="CG59" i="9"/>
  <c r="CD58" i="9"/>
  <c r="CD59" i="9"/>
  <c r="CH58" i="9"/>
  <c r="CH59" i="9"/>
  <c r="CL58" i="9"/>
  <c r="CL59" i="9"/>
  <c r="CR58" i="9"/>
  <c r="CR59" i="9"/>
  <c r="CV58" i="9"/>
  <c r="CV59" i="9"/>
  <c r="CZ58" i="9"/>
  <c r="CZ59" i="9"/>
  <c r="DF58" i="9"/>
  <c r="DF59" i="9"/>
  <c r="DJ58" i="9"/>
  <c r="DJ59" i="9"/>
  <c r="DN58" i="9"/>
  <c r="DN59" i="9"/>
  <c r="DT58" i="9"/>
  <c r="DT59" i="9"/>
  <c r="DX58" i="9"/>
  <c r="DX59" i="9"/>
  <c r="EB58" i="9"/>
  <c r="EB59" i="9"/>
  <c r="EH58" i="9"/>
  <c r="EH59" i="9"/>
  <c r="EL58" i="9"/>
  <c r="EL59" i="9"/>
  <c r="EP58" i="9"/>
  <c r="EP59" i="9"/>
  <c r="CS56" i="9"/>
  <c r="CS57" i="9"/>
  <c r="CC56" i="9"/>
  <c r="CC57" i="9"/>
  <c r="CG56" i="9"/>
  <c r="CG57" i="9"/>
  <c r="CK56" i="9"/>
  <c r="CK57" i="9"/>
  <c r="CQ56" i="9"/>
  <c r="CQ57" i="9"/>
  <c r="CU56" i="9"/>
  <c r="CU57" i="9"/>
  <c r="CY56" i="9"/>
  <c r="CY57" i="9"/>
  <c r="DE56" i="9"/>
  <c r="DE57" i="9"/>
  <c r="DI56" i="9"/>
  <c r="DI57" i="9"/>
  <c r="DM56" i="9"/>
  <c r="DM57" i="9"/>
  <c r="DS56" i="9"/>
  <c r="DS57" i="9"/>
  <c r="DW56" i="9"/>
  <c r="DW57" i="9"/>
  <c r="EA56" i="9"/>
  <c r="EA57" i="9"/>
  <c r="EG56" i="9"/>
  <c r="EG57" i="9"/>
  <c r="EK56" i="9"/>
  <c r="EK57" i="9"/>
  <c r="EO56" i="9"/>
  <c r="EO57" i="9"/>
  <c r="CW56" i="9"/>
  <c r="CW57" i="9"/>
  <c r="CD56" i="9"/>
  <c r="CD57" i="9"/>
  <c r="CH56" i="9"/>
  <c r="CH57" i="9"/>
  <c r="CL56" i="9"/>
  <c r="CL57" i="9"/>
  <c r="CR56" i="9"/>
  <c r="CR57" i="9"/>
  <c r="CV56" i="9"/>
  <c r="CV57" i="9"/>
  <c r="CZ56" i="9"/>
  <c r="CZ57" i="9"/>
  <c r="DF56" i="9"/>
  <c r="DF57" i="9"/>
  <c r="DJ56" i="9"/>
  <c r="DJ57" i="9"/>
  <c r="DN56" i="9"/>
  <c r="DN57" i="9"/>
  <c r="DT56" i="9"/>
  <c r="DT57" i="9"/>
  <c r="DX56" i="9"/>
  <c r="DX57" i="9"/>
  <c r="EB56" i="9"/>
  <c r="EB57" i="9"/>
  <c r="EH56" i="9"/>
  <c r="EH57" i="9"/>
  <c r="EL56" i="9"/>
  <c r="EL57" i="9"/>
  <c r="EP56" i="9"/>
  <c r="EP57" i="9"/>
  <c r="CI56" i="9"/>
  <c r="CI57" i="9"/>
  <c r="DA56" i="9"/>
  <c r="DA57" i="9"/>
  <c r="DG56" i="9"/>
  <c r="DG57" i="9"/>
  <c r="DK56" i="9"/>
  <c r="DK57" i="9"/>
  <c r="DO56" i="9"/>
  <c r="DO57" i="9"/>
  <c r="DU56" i="9"/>
  <c r="DU57" i="9"/>
  <c r="DY56" i="9"/>
  <c r="DY57" i="9"/>
  <c r="EC56" i="9"/>
  <c r="EC57" i="9"/>
  <c r="EI56" i="9"/>
  <c r="EI57" i="9"/>
  <c r="EM56" i="9"/>
  <c r="EM57" i="9"/>
  <c r="EQ56" i="9"/>
  <c r="EQ57" i="9"/>
  <c r="CE56" i="9"/>
  <c r="CE57" i="9"/>
  <c r="CM56" i="9"/>
  <c r="CM57" i="9"/>
  <c r="CF56" i="9"/>
  <c r="CF57" i="9"/>
  <c r="CJ56" i="9"/>
  <c r="CJ57" i="9"/>
  <c r="CN56" i="9"/>
  <c r="CN57" i="9"/>
  <c r="CT56" i="9"/>
  <c r="CT57" i="9"/>
  <c r="CX56" i="9"/>
  <c r="CX57" i="9"/>
  <c r="DB56" i="9"/>
  <c r="DB57" i="9"/>
  <c r="DH56" i="9"/>
  <c r="DH57" i="9"/>
  <c r="DL56" i="9"/>
  <c r="DL57" i="9"/>
  <c r="DP56" i="9"/>
  <c r="DP57" i="9"/>
  <c r="DV56" i="9"/>
  <c r="DV57" i="9"/>
  <c r="DZ56" i="9"/>
  <c r="DZ57" i="9"/>
  <c r="ED56" i="9"/>
  <c r="ED57" i="9"/>
  <c r="EJ56" i="9"/>
  <c r="EJ57" i="9"/>
  <c r="EN56" i="9"/>
  <c r="EN57" i="9"/>
  <c r="ER56" i="9"/>
  <c r="ER57" i="9"/>
  <c r="CG54" i="9"/>
  <c r="CG55" i="9"/>
  <c r="CU54" i="9"/>
  <c r="CU55" i="9"/>
  <c r="CY54" i="9"/>
  <c r="CY55" i="9"/>
  <c r="DS54" i="9"/>
  <c r="DS55" i="9"/>
  <c r="EA54" i="9"/>
  <c r="EA55" i="9"/>
  <c r="EK54" i="9"/>
  <c r="EK55" i="9"/>
  <c r="EO54" i="9"/>
  <c r="EO55" i="9"/>
  <c r="CD54" i="9"/>
  <c r="CD55" i="9"/>
  <c r="CH54" i="9"/>
  <c r="CH55" i="9"/>
  <c r="CL54" i="9"/>
  <c r="CL55" i="9"/>
  <c r="CR54" i="9"/>
  <c r="CR55" i="9"/>
  <c r="CV54" i="9"/>
  <c r="CV55" i="9"/>
  <c r="CZ54" i="9"/>
  <c r="CZ55" i="9"/>
  <c r="DF54" i="9"/>
  <c r="DF55" i="9"/>
  <c r="DJ54" i="9"/>
  <c r="DJ55" i="9"/>
  <c r="DN54" i="9"/>
  <c r="DN55" i="9"/>
  <c r="DT54" i="9"/>
  <c r="DT55" i="9"/>
  <c r="DX54" i="9"/>
  <c r="DX55" i="9"/>
  <c r="EB54" i="9"/>
  <c r="EB55" i="9"/>
  <c r="EH54" i="9"/>
  <c r="EH55" i="9"/>
  <c r="EL54" i="9"/>
  <c r="EL55" i="9"/>
  <c r="EP54" i="9"/>
  <c r="EP55" i="9"/>
  <c r="CC54" i="9"/>
  <c r="CC55" i="9"/>
  <c r="CQ54" i="9"/>
  <c r="CQ55" i="9"/>
  <c r="DE54" i="9"/>
  <c r="DE55" i="9"/>
  <c r="DM54" i="9"/>
  <c r="DM55" i="9"/>
  <c r="EG54" i="9"/>
  <c r="EG55" i="9"/>
  <c r="CI54" i="9"/>
  <c r="CI55" i="9"/>
  <c r="CW54" i="9"/>
  <c r="CW55" i="9"/>
  <c r="DG54" i="9"/>
  <c r="DG55" i="9"/>
  <c r="DK54" i="9"/>
  <c r="DK55" i="9"/>
  <c r="DO54" i="9"/>
  <c r="DO55" i="9"/>
  <c r="DU54" i="9"/>
  <c r="DU55" i="9"/>
  <c r="DY54" i="9"/>
  <c r="DY55" i="9"/>
  <c r="EC54" i="9"/>
  <c r="EC55" i="9"/>
  <c r="EI54" i="9"/>
  <c r="EI55" i="9"/>
  <c r="EM54" i="9"/>
  <c r="EM55" i="9"/>
  <c r="EQ54" i="9"/>
  <c r="EQ55" i="9"/>
  <c r="CK54" i="9"/>
  <c r="CK55" i="9"/>
  <c r="DI54" i="9"/>
  <c r="DI55" i="9"/>
  <c r="DW54" i="9"/>
  <c r="DW55" i="9"/>
  <c r="CE54" i="9"/>
  <c r="CE55" i="9"/>
  <c r="CM54" i="9"/>
  <c r="CM55" i="9"/>
  <c r="CS54" i="9"/>
  <c r="CS55" i="9"/>
  <c r="DA54" i="9"/>
  <c r="DA55" i="9"/>
  <c r="CF54" i="9"/>
  <c r="CF55" i="9"/>
  <c r="CJ54" i="9"/>
  <c r="CJ55" i="9"/>
  <c r="CN54" i="9"/>
  <c r="CN55" i="9"/>
  <c r="CT54" i="9"/>
  <c r="CT55" i="9"/>
  <c r="CX54" i="9"/>
  <c r="CX55" i="9"/>
  <c r="DB54" i="9"/>
  <c r="DB55" i="9"/>
  <c r="DH54" i="9"/>
  <c r="DH55" i="9"/>
  <c r="DL54" i="9"/>
  <c r="DL55" i="9"/>
  <c r="DP54" i="9"/>
  <c r="DP55" i="9"/>
  <c r="DV54" i="9"/>
  <c r="DV55" i="9"/>
  <c r="DZ54" i="9"/>
  <c r="DZ55" i="9"/>
  <c r="ED54" i="9"/>
  <c r="ED55" i="9"/>
  <c r="EJ54" i="9"/>
  <c r="EJ55" i="9"/>
  <c r="EN54" i="9"/>
  <c r="EN55" i="9"/>
  <c r="ER54" i="9"/>
  <c r="ER55" i="9"/>
  <c r="CD52" i="9"/>
  <c r="CD53" i="9"/>
  <c r="CL52" i="9"/>
  <c r="CL53" i="9"/>
  <c r="CR52" i="9"/>
  <c r="CR53" i="9"/>
  <c r="DF52" i="9"/>
  <c r="DF53" i="9"/>
  <c r="DT52" i="9"/>
  <c r="DT53" i="9"/>
  <c r="EL52" i="9"/>
  <c r="EL53" i="9"/>
  <c r="CI52" i="9"/>
  <c r="CI53" i="9"/>
  <c r="CW52" i="9"/>
  <c r="CW53" i="9"/>
  <c r="CF52" i="9"/>
  <c r="CF53" i="9"/>
  <c r="CN52" i="9"/>
  <c r="CN53" i="9"/>
  <c r="CC52" i="9"/>
  <c r="CC53" i="9"/>
  <c r="CG52" i="9"/>
  <c r="CG53" i="9"/>
  <c r="CK52" i="9"/>
  <c r="CK53" i="9"/>
  <c r="CQ52" i="9"/>
  <c r="CQ53" i="9"/>
  <c r="CU52" i="9"/>
  <c r="CU53" i="9"/>
  <c r="CY52" i="9"/>
  <c r="CY53" i="9"/>
  <c r="DE52" i="9"/>
  <c r="DE53" i="9"/>
  <c r="DI52" i="9"/>
  <c r="DI53" i="9"/>
  <c r="DM52" i="9"/>
  <c r="DM53" i="9"/>
  <c r="DS52" i="9"/>
  <c r="DS53" i="9"/>
  <c r="DW52" i="9"/>
  <c r="DW53" i="9"/>
  <c r="EA52" i="9"/>
  <c r="EA53" i="9"/>
  <c r="EG52" i="9"/>
  <c r="EG53" i="9"/>
  <c r="EK52" i="9"/>
  <c r="EK53" i="9"/>
  <c r="EO52" i="9"/>
  <c r="EO53" i="9"/>
  <c r="CV52" i="9"/>
  <c r="CV53" i="9"/>
  <c r="CZ52" i="9"/>
  <c r="CZ53" i="9"/>
  <c r="DN52" i="9"/>
  <c r="DN53" i="9"/>
  <c r="EB52" i="9"/>
  <c r="EB53" i="9"/>
  <c r="EP52" i="9"/>
  <c r="EP53" i="9"/>
  <c r="CS52" i="9"/>
  <c r="CS53" i="9"/>
  <c r="DG52" i="9"/>
  <c r="DG53" i="9"/>
  <c r="DK52" i="9"/>
  <c r="DK53" i="9"/>
  <c r="DO52" i="9"/>
  <c r="DO53" i="9"/>
  <c r="DU52" i="9"/>
  <c r="DU53" i="9"/>
  <c r="DY52" i="9"/>
  <c r="DY53" i="9"/>
  <c r="EC52" i="9"/>
  <c r="EC53" i="9"/>
  <c r="EI52" i="9"/>
  <c r="EI53" i="9"/>
  <c r="EM52" i="9"/>
  <c r="EM53" i="9"/>
  <c r="EQ52" i="9"/>
  <c r="EQ53" i="9"/>
  <c r="CH52" i="9"/>
  <c r="CH53" i="9"/>
  <c r="DJ52" i="9"/>
  <c r="DJ53" i="9"/>
  <c r="DX52" i="9"/>
  <c r="DX53" i="9"/>
  <c r="EH52" i="9"/>
  <c r="EH53" i="9"/>
  <c r="CE52" i="9"/>
  <c r="CE53" i="9"/>
  <c r="CM52" i="9"/>
  <c r="CM53" i="9"/>
  <c r="DA52" i="9"/>
  <c r="DA53" i="9"/>
  <c r="CJ52" i="9"/>
  <c r="CJ53" i="9"/>
  <c r="CT52" i="9"/>
  <c r="CT53" i="9"/>
  <c r="CX52" i="9"/>
  <c r="CX53" i="9"/>
  <c r="DB52" i="9"/>
  <c r="DB53" i="9"/>
  <c r="DH52" i="9"/>
  <c r="DH53" i="9"/>
  <c r="DL52" i="9"/>
  <c r="DL53" i="9"/>
  <c r="DP52" i="9"/>
  <c r="DP53" i="9"/>
  <c r="DV52" i="9"/>
  <c r="DV53" i="9"/>
  <c r="DZ52" i="9"/>
  <c r="DZ53" i="9"/>
  <c r="ED52" i="9"/>
  <c r="ED53" i="9"/>
  <c r="EJ52" i="9"/>
  <c r="EJ53" i="9"/>
  <c r="EN52" i="9"/>
  <c r="EN53" i="9"/>
  <c r="ER52" i="9"/>
  <c r="ER53" i="9"/>
  <c r="CL39" i="9"/>
  <c r="CL34" i="9"/>
  <c r="CL28" i="9"/>
  <c r="CL38" i="9"/>
  <c r="CL30" i="9"/>
  <c r="CL26" i="9"/>
  <c r="CL36" i="9"/>
  <c r="CL37" i="9"/>
  <c r="CL45" i="9"/>
  <c r="CL35" i="9"/>
  <c r="CL29" i="9"/>
  <c r="CL27" i="9"/>
  <c r="CL31" i="9"/>
  <c r="CL33" i="9"/>
  <c r="CL32" i="9"/>
  <c r="CL44" i="9"/>
  <c r="CL43" i="9"/>
  <c r="CL47" i="9"/>
  <c r="CL42" i="9"/>
  <c r="CL46" i="9"/>
  <c r="CL50" i="9"/>
  <c r="CL25" i="9"/>
  <c r="CL40" i="9"/>
  <c r="CL41" i="9"/>
  <c r="CL48" i="9"/>
  <c r="CL49" i="9"/>
  <c r="DJ34" i="9"/>
  <c r="DJ38" i="9"/>
  <c r="DJ36" i="9"/>
  <c r="DJ37" i="9"/>
  <c r="DJ50" i="9"/>
  <c r="DJ29" i="9"/>
  <c r="DJ25" i="9"/>
  <c r="DJ48" i="9"/>
  <c r="DJ27" i="9"/>
  <c r="DJ33" i="9"/>
  <c r="DJ32" i="9"/>
  <c r="DJ45" i="9"/>
  <c r="DJ28" i="9"/>
  <c r="DJ47" i="9"/>
  <c r="DJ49" i="9"/>
  <c r="DJ31" i="9"/>
  <c r="DJ35" i="9"/>
  <c r="DJ44" i="9"/>
  <c r="DJ39" i="9"/>
  <c r="DJ46" i="9"/>
  <c r="DJ26" i="9"/>
  <c r="DJ30" i="9"/>
  <c r="DJ40" i="9"/>
  <c r="DJ43" i="9"/>
  <c r="DJ41" i="9"/>
  <c r="DJ42" i="9"/>
  <c r="DX49" i="9"/>
  <c r="DX35" i="9"/>
  <c r="DX27" i="9"/>
  <c r="DX33" i="9"/>
  <c r="DX38" i="9"/>
  <c r="DX31" i="9"/>
  <c r="DX29" i="9"/>
  <c r="DX26" i="9"/>
  <c r="DX25" i="9"/>
  <c r="DX28" i="9"/>
  <c r="DX37" i="9"/>
  <c r="DX32" i="9"/>
  <c r="DX36" i="9"/>
  <c r="DX42" i="9"/>
  <c r="DX46" i="9"/>
  <c r="DX43" i="9"/>
  <c r="DX47" i="9"/>
  <c r="DX50" i="9"/>
  <c r="DX39" i="9"/>
  <c r="DX30" i="9"/>
  <c r="DX44" i="9"/>
  <c r="DX48" i="9"/>
  <c r="DX34" i="9"/>
  <c r="DX40" i="9"/>
  <c r="DX41" i="9"/>
  <c r="DX45" i="9"/>
  <c r="EH43" i="9"/>
  <c r="EH44" i="9"/>
  <c r="EH28" i="9"/>
  <c r="EH32" i="9"/>
  <c r="EH34" i="9"/>
  <c r="EH31" i="9"/>
  <c r="EH30" i="9"/>
  <c r="EH26" i="9"/>
  <c r="EH36" i="9"/>
  <c r="EH29" i="9"/>
  <c r="EH25" i="9"/>
  <c r="EH33" i="9"/>
  <c r="EH47" i="9"/>
  <c r="EH45" i="9"/>
  <c r="EH27" i="9"/>
  <c r="EH50" i="9"/>
  <c r="EH35" i="9"/>
  <c r="EH37" i="9"/>
  <c r="EH49" i="9"/>
  <c r="EH48" i="9"/>
  <c r="EH38" i="9"/>
  <c r="EH41" i="9"/>
  <c r="EH39" i="9"/>
  <c r="EH42" i="9"/>
  <c r="EH46" i="9"/>
  <c r="EH40" i="9"/>
  <c r="CI42" i="9"/>
  <c r="CI40" i="9"/>
  <c r="CI43" i="9"/>
  <c r="CI41" i="9"/>
  <c r="CI28" i="9"/>
  <c r="CI32" i="9"/>
  <c r="CI34" i="9"/>
  <c r="CI46" i="9"/>
  <c r="CI30" i="9"/>
  <c r="CI36" i="9"/>
  <c r="CI38" i="9"/>
  <c r="CI50" i="9"/>
  <c r="CI31" i="9"/>
  <c r="CI33" i="9"/>
  <c r="CI29" i="9"/>
  <c r="CI27" i="9"/>
  <c r="CI26" i="9"/>
  <c r="CI25" i="9"/>
  <c r="CI48" i="9"/>
  <c r="CI35" i="9"/>
  <c r="CI39" i="9"/>
  <c r="CI47" i="9"/>
  <c r="CI49" i="9"/>
  <c r="CI37" i="9"/>
  <c r="CI44" i="9"/>
  <c r="CI45" i="9"/>
  <c r="CW34" i="9"/>
  <c r="CW46" i="9"/>
  <c r="CW36" i="9"/>
  <c r="CW38" i="9"/>
  <c r="CW45" i="9"/>
  <c r="CW32" i="9"/>
  <c r="CW27" i="9"/>
  <c r="CW31" i="9"/>
  <c r="CW28" i="9"/>
  <c r="CW48" i="9"/>
  <c r="CW25" i="9"/>
  <c r="CW35" i="9"/>
  <c r="CW29" i="9"/>
  <c r="CW30" i="9"/>
  <c r="CW42" i="9"/>
  <c r="CW37" i="9"/>
  <c r="CW41" i="9"/>
  <c r="CW33" i="9"/>
  <c r="CW40" i="9"/>
  <c r="CW43" i="9"/>
  <c r="CW47" i="9"/>
  <c r="CW44" i="9"/>
  <c r="CW39" i="9"/>
  <c r="CW50" i="9"/>
  <c r="CW26" i="9"/>
  <c r="CW49" i="9"/>
  <c r="CJ45" i="9"/>
  <c r="CJ34" i="9"/>
  <c r="CJ38" i="9"/>
  <c r="CJ32" i="9"/>
  <c r="CJ36" i="9"/>
  <c r="CJ48" i="9"/>
  <c r="CJ35" i="9"/>
  <c r="CJ37" i="9"/>
  <c r="CJ50" i="9"/>
  <c r="CJ29" i="9"/>
  <c r="CJ27" i="9"/>
  <c r="CJ31" i="9"/>
  <c r="CJ26" i="9"/>
  <c r="CJ28" i="9"/>
  <c r="CJ30" i="9"/>
  <c r="CJ39" i="9"/>
  <c r="CJ46" i="9"/>
  <c r="CJ33" i="9"/>
  <c r="CJ44" i="9"/>
  <c r="CJ40" i="9"/>
  <c r="CJ42" i="9"/>
  <c r="CJ43" i="9"/>
  <c r="CJ47" i="9"/>
  <c r="CJ49" i="9"/>
  <c r="CJ25" i="9"/>
  <c r="CJ41" i="9"/>
  <c r="CT49" i="9"/>
  <c r="CT46" i="9"/>
  <c r="CT39" i="9"/>
  <c r="CT31" i="9"/>
  <c r="CT26" i="9"/>
  <c r="CT27" i="9"/>
  <c r="CT29" i="9"/>
  <c r="CT30" i="9"/>
  <c r="CT35" i="9"/>
  <c r="CT37" i="9"/>
  <c r="CT38" i="9"/>
  <c r="CT42" i="9"/>
  <c r="CT50" i="9"/>
  <c r="CT44" i="9"/>
  <c r="CT36" i="9"/>
  <c r="CT47" i="9"/>
  <c r="CT33" i="9"/>
  <c r="CT25" i="9"/>
  <c r="CT28" i="9"/>
  <c r="CT45" i="9"/>
  <c r="CT32" i="9"/>
  <c r="CT41" i="9"/>
  <c r="CT48" i="9"/>
  <c r="CT34" i="9"/>
  <c r="CT40" i="9"/>
  <c r="CT43" i="9"/>
  <c r="CC49" i="9"/>
  <c r="CC44" i="9"/>
  <c r="CC31" i="9"/>
  <c r="CC39" i="9"/>
  <c r="CC27" i="9"/>
  <c r="CC25" i="9"/>
  <c r="CC29" i="9"/>
  <c r="CC28" i="9"/>
  <c r="CC26" i="9"/>
  <c r="CC46" i="9"/>
  <c r="CC30" i="9"/>
  <c r="CC34" i="9"/>
  <c r="CC40" i="9"/>
  <c r="CC45" i="9"/>
  <c r="CC37" i="9"/>
  <c r="CC43" i="9"/>
  <c r="CC33" i="9"/>
  <c r="CC32" i="9"/>
  <c r="CC36" i="9"/>
  <c r="CC35" i="9"/>
  <c r="CC38" i="9"/>
  <c r="CC42" i="9"/>
  <c r="CC50" i="9"/>
  <c r="CC48" i="9"/>
  <c r="CC41" i="9"/>
  <c r="CC47" i="9"/>
  <c r="CG31" i="9"/>
  <c r="CG27" i="9"/>
  <c r="CG25" i="9"/>
  <c r="CG39" i="9"/>
  <c r="CG49" i="9"/>
  <c r="CG30" i="9"/>
  <c r="CG37" i="9"/>
  <c r="CG28" i="9"/>
  <c r="CG26" i="9"/>
  <c r="CG29" i="9"/>
  <c r="CG35" i="9"/>
  <c r="CG42" i="9"/>
  <c r="CG48" i="9"/>
  <c r="CG34" i="9"/>
  <c r="CG38" i="9"/>
  <c r="CG40" i="9"/>
  <c r="CG41" i="9"/>
  <c r="CG44" i="9"/>
  <c r="CG43" i="9"/>
  <c r="CG46" i="9"/>
  <c r="CG50" i="9"/>
  <c r="CG36" i="9"/>
  <c r="CG47" i="9"/>
  <c r="CG45" i="9"/>
  <c r="CG33" i="9"/>
  <c r="CG32" i="9"/>
  <c r="CK49" i="9"/>
  <c r="CK35" i="9"/>
  <c r="CK27" i="9"/>
  <c r="CK37" i="9"/>
  <c r="CK39" i="9"/>
  <c r="CK30" i="9"/>
  <c r="CK28" i="9"/>
  <c r="CK46" i="9"/>
  <c r="CK25" i="9"/>
  <c r="CK33" i="9"/>
  <c r="CK32" i="9"/>
  <c r="CK36" i="9"/>
  <c r="CK41" i="9"/>
  <c r="CK31" i="9"/>
  <c r="CK42" i="9"/>
  <c r="CK45" i="9"/>
  <c r="CK34" i="9"/>
  <c r="CK38" i="9"/>
  <c r="CK40" i="9"/>
  <c r="CK43" i="9"/>
  <c r="CK47" i="9"/>
  <c r="CK26" i="9"/>
  <c r="CK29" i="9"/>
  <c r="CK44" i="9"/>
  <c r="CK48" i="9"/>
  <c r="CK50" i="9"/>
  <c r="CQ39" i="9"/>
  <c r="CQ30" i="9"/>
  <c r="CQ35" i="9"/>
  <c r="CQ32" i="9"/>
  <c r="CQ34" i="9"/>
  <c r="CQ26" i="9"/>
  <c r="CQ37" i="9"/>
  <c r="CQ45" i="9"/>
  <c r="CQ36" i="9"/>
  <c r="CQ28" i="9"/>
  <c r="CQ38" i="9"/>
  <c r="CQ29" i="9"/>
  <c r="CQ27" i="9"/>
  <c r="CQ47" i="9"/>
  <c r="CQ25" i="9"/>
  <c r="CQ41" i="9"/>
  <c r="CQ42" i="9"/>
  <c r="CQ46" i="9"/>
  <c r="CQ48" i="9"/>
  <c r="CQ33" i="9"/>
  <c r="CQ40" i="9"/>
  <c r="CQ49" i="9"/>
  <c r="CQ31" i="9"/>
  <c r="CQ44" i="9"/>
  <c r="CQ43" i="9"/>
  <c r="CQ50" i="9"/>
  <c r="CU47" i="9"/>
  <c r="CU34" i="9"/>
  <c r="CU32" i="9"/>
  <c r="CU28" i="9"/>
  <c r="CU33" i="9"/>
  <c r="CU38" i="9"/>
  <c r="CU36" i="9"/>
  <c r="CU35" i="9"/>
  <c r="CU30" i="9"/>
  <c r="CU29" i="9"/>
  <c r="CU25" i="9"/>
  <c r="CU26" i="9"/>
  <c r="CU31" i="9"/>
  <c r="CU27" i="9"/>
  <c r="CU37" i="9"/>
  <c r="CU43" i="9"/>
  <c r="CU50" i="9"/>
  <c r="CU45" i="9"/>
  <c r="CU40" i="9"/>
  <c r="CU42" i="9"/>
  <c r="CU44" i="9"/>
  <c r="CU41" i="9"/>
  <c r="CU39" i="9"/>
  <c r="CU49" i="9"/>
  <c r="CU48" i="9"/>
  <c r="CU46" i="9"/>
  <c r="CY47" i="9"/>
  <c r="CY36" i="9"/>
  <c r="CY32" i="9"/>
  <c r="CY28" i="9"/>
  <c r="CY30" i="9"/>
  <c r="CY34" i="9"/>
  <c r="CY26" i="9"/>
  <c r="CY27" i="9"/>
  <c r="CY31" i="9"/>
  <c r="CY25" i="9"/>
  <c r="CY39" i="9"/>
  <c r="CY44" i="9"/>
  <c r="CY29" i="9"/>
  <c r="CY40" i="9"/>
  <c r="CY41" i="9"/>
  <c r="CY35" i="9"/>
  <c r="CY45" i="9"/>
  <c r="CY33" i="9"/>
  <c r="CY37" i="9"/>
  <c r="CY42" i="9"/>
  <c r="CY46" i="9"/>
  <c r="CY50" i="9"/>
  <c r="CY48" i="9"/>
  <c r="CY38" i="9"/>
  <c r="CY49" i="9"/>
  <c r="CY43" i="9"/>
  <c r="DE50" i="9"/>
  <c r="DE36" i="9"/>
  <c r="DE28" i="9"/>
  <c r="DE48" i="9"/>
  <c r="DE26" i="9"/>
  <c r="DE32" i="9"/>
  <c r="DE34" i="9"/>
  <c r="DE38" i="9"/>
  <c r="DE40" i="9"/>
  <c r="DE29" i="9"/>
  <c r="DE25" i="9"/>
  <c r="DE35" i="9"/>
  <c r="DE27" i="9"/>
  <c r="DE31" i="9"/>
  <c r="DE30" i="9"/>
  <c r="DE42" i="9"/>
  <c r="DE41" i="9"/>
  <c r="DE43" i="9"/>
  <c r="DE44" i="9"/>
  <c r="DE47" i="9"/>
  <c r="DE33" i="9"/>
  <c r="DE49" i="9"/>
  <c r="DE39" i="9"/>
  <c r="DE37" i="9"/>
  <c r="DE46" i="9"/>
  <c r="DE45" i="9"/>
  <c r="DI43" i="9"/>
  <c r="DI41" i="9"/>
  <c r="DI42" i="9"/>
  <c r="DI34" i="9"/>
  <c r="DI40" i="9"/>
  <c r="DI32" i="9"/>
  <c r="DI36" i="9"/>
  <c r="DI48" i="9"/>
  <c r="DI50" i="9"/>
  <c r="DI39" i="9"/>
  <c r="DI28" i="9"/>
  <c r="DI46" i="9"/>
  <c r="DI30" i="9"/>
  <c r="DI27" i="9"/>
  <c r="DI29" i="9"/>
  <c r="DI31" i="9"/>
  <c r="DI26" i="9"/>
  <c r="DI25" i="9"/>
  <c r="DI35" i="9"/>
  <c r="DI45" i="9"/>
  <c r="DI33" i="9"/>
  <c r="DI38" i="9"/>
  <c r="DI37" i="9"/>
  <c r="DI44" i="9"/>
  <c r="DI47" i="9"/>
  <c r="DI49" i="9"/>
  <c r="DM42" i="9"/>
  <c r="DM48" i="9"/>
  <c r="DM50" i="9"/>
  <c r="DM32" i="9"/>
  <c r="DM28" i="9"/>
  <c r="DM30" i="9"/>
  <c r="DM36" i="9"/>
  <c r="DM39" i="9"/>
  <c r="DM41" i="9"/>
  <c r="DM25" i="9"/>
  <c r="DM34" i="9"/>
  <c r="DM38" i="9"/>
  <c r="DM40" i="9"/>
  <c r="DM29" i="9"/>
  <c r="DM27" i="9"/>
  <c r="DM31" i="9"/>
  <c r="DM33" i="9"/>
  <c r="DM37" i="9"/>
  <c r="DM47" i="9"/>
  <c r="DM49" i="9"/>
  <c r="DM43" i="9"/>
  <c r="DM35" i="9"/>
  <c r="DM44" i="9"/>
  <c r="DM26" i="9"/>
  <c r="DM45" i="9"/>
  <c r="DM46" i="9"/>
  <c r="DS36" i="9"/>
  <c r="DS33" i="9"/>
  <c r="DS32" i="9"/>
  <c r="DS48" i="9"/>
  <c r="DS50" i="9"/>
  <c r="DS45" i="9"/>
  <c r="DS25" i="9"/>
  <c r="DS35" i="9"/>
  <c r="DS31" i="9"/>
  <c r="DS34" i="9"/>
  <c r="DS38" i="9"/>
  <c r="DS29" i="9"/>
  <c r="DS27" i="9"/>
  <c r="DS30" i="9"/>
  <c r="DS28" i="9"/>
  <c r="DS41" i="9"/>
  <c r="DS39" i="9"/>
  <c r="DS37" i="9"/>
  <c r="DS26" i="9"/>
  <c r="DS40" i="9"/>
  <c r="DS42" i="9"/>
  <c r="DS43" i="9"/>
  <c r="DS47" i="9"/>
  <c r="DS44" i="9"/>
  <c r="DS46" i="9"/>
  <c r="DS49" i="9"/>
  <c r="DW48" i="9"/>
  <c r="DW50" i="9"/>
  <c r="DW38" i="9"/>
  <c r="DW34" i="9"/>
  <c r="DW36" i="9"/>
  <c r="DW46" i="9"/>
  <c r="DW45" i="9"/>
  <c r="DW26" i="9"/>
  <c r="DW30" i="9"/>
  <c r="DW32" i="9"/>
  <c r="DW31" i="9"/>
  <c r="DW25" i="9"/>
  <c r="DW35" i="9"/>
  <c r="DW39" i="9"/>
  <c r="DW40" i="9"/>
  <c r="DW41" i="9"/>
  <c r="DW43" i="9"/>
  <c r="DW44" i="9"/>
  <c r="DW42" i="9"/>
  <c r="DW47" i="9"/>
  <c r="DW27" i="9"/>
  <c r="DW33" i="9"/>
  <c r="DW28" i="9"/>
  <c r="DW49" i="9"/>
  <c r="DW29" i="9"/>
  <c r="DW37" i="9"/>
  <c r="EA34" i="9"/>
  <c r="EA32" i="9"/>
  <c r="EA45" i="9"/>
  <c r="EA36" i="9"/>
  <c r="EA29" i="9"/>
  <c r="EA25" i="9"/>
  <c r="EA43" i="9"/>
  <c r="EA38" i="9"/>
  <c r="EA48" i="9"/>
  <c r="EA27" i="9"/>
  <c r="EA37" i="9"/>
  <c r="EA31" i="9"/>
  <c r="EA33" i="9"/>
  <c r="EA26" i="9"/>
  <c r="EA47" i="9"/>
  <c r="EA49" i="9"/>
  <c r="EA40" i="9"/>
  <c r="EA44" i="9"/>
  <c r="EA30" i="9"/>
  <c r="EA39" i="9"/>
  <c r="EA46" i="9"/>
  <c r="EA41" i="9"/>
  <c r="EA42" i="9"/>
  <c r="EA50" i="9"/>
  <c r="EA28" i="9"/>
  <c r="EA35" i="9"/>
  <c r="EG49" i="9"/>
  <c r="EG25" i="9"/>
  <c r="EG27" i="9"/>
  <c r="EG38" i="9"/>
  <c r="EG29" i="9"/>
  <c r="EG37" i="9"/>
  <c r="EG39" i="9"/>
  <c r="EG31" i="9"/>
  <c r="EG28" i="9"/>
  <c r="EG30" i="9"/>
  <c r="EG33" i="9"/>
  <c r="EG26" i="9"/>
  <c r="EG44" i="9"/>
  <c r="EG34" i="9"/>
  <c r="EG41" i="9"/>
  <c r="EG45" i="9"/>
  <c r="EG40" i="9"/>
  <c r="EG50" i="9"/>
  <c r="EG32" i="9"/>
  <c r="EG35" i="9"/>
  <c r="EG36" i="9"/>
  <c r="EG42" i="9"/>
  <c r="EG47" i="9"/>
  <c r="EG48" i="9"/>
  <c r="EG43" i="9"/>
  <c r="EG46" i="9"/>
  <c r="EK35" i="9"/>
  <c r="EK49" i="9"/>
  <c r="EK41" i="9"/>
  <c r="EK42" i="9"/>
  <c r="EK30" i="9"/>
  <c r="EK40" i="9"/>
  <c r="EK29" i="9"/>
  <c r="EK27" i="9"/>
  <c r="EK31" i="9"/>
  <c r="EK28" i="9"/>
  <c r="EK37" i="9"/>
  <c r="EK25" i="9"/>
  <c r="EK43" i="9"/>
  <c r="EK47" i="9"/>
  <c r="EK48" i="9"/>
  <c r="EK26" i="9"/>
  <c r="EK33" i="9"/>
  <c r="EK36" i="9"/>
  <c r="EK39" i="9"/>
  <c r="EK34" i="9"/>
  <c r="EK46" i="9"/>
  <c r="EK44" i="9"/>
  <c r="EK32" i="9"/>
  <c r="EK38" i="9"/>
  <c r="EK45" i="9"/>
  <c r="EK50" i="9"/>
  <c r="EO39" i="9"/>
  <c r="EO49" i="9"/>
  <c r="EO38" i="9"/>
  <c r="EO35" i="9"/>
  <c r="EO33" i="9"/>
  <c r="EO27" i="9"/>
  <c r="EO37" i="9"/>
  <c r="EO48" i="9"/>
  <c r="EO50" i="9"/>
  <c r="EO32" i="9"/>
  <c r="EO36" i="9"/>
  <c r="EO31" i="9"/>
  <c r="EO45" i="9"/>
  <c r="EO25" i="9"/>
  <c r="EO30" i="9"/>
  <c r="EO26" i="9"/>
  <c r="EO40" i="9"/>
  <c r="EO47" i="9"/>
  <c r="EO46" i="9"/>
  <c r="EO41" i="9"/>
  <c r="EO42" i="9"/>
  <c r="EO34" i="9"/>
  <c r="EO43" i="9"/>
  <c r="EO44" i="9"/>
  <c r="EO29" i="9"/>
  <c r="EO28" i="9"/>
  <c r="CD47" i="9"/>
  <c r="CD38" i="9"/>
  <c r="CD33" i="9"/>
  <c r="CD32" i="9"/>
  <c r="CD34" i="9"/>
  <c r="CD28" i="9"/>
  <c r="CD35" i="9"/>
  <c r="CD30" i="9"/>
  <c r="CD26" i="9"/>
  <c r="CD29" i="9"/>
  <c r="CD25" i="9"/>
  <c r="CD36" i="9"/>
  <c r="CD31" i="9"/>
  <c r="CD45" i="9"/>
  <c r="CD43" i="9"/>
  <c r="CD49" i="9"/>
  <c r="CD50" i="9"/>
  <c r="CD27" i="9"/>
  <c r="CD41" i="9"/>
  <c r="CD37" i="9"/>
  <c r="CD44" i="9"/>
  <c r="CD40" i="9"/>
  <c r="CD42" i="9"/>
  <c r="CD46" i="9"/>
  <c r="CD48" i="9"/>
  <c r="CD39" i="9"/>
  <c r="CV42" i="9"/>
  <c r="CV50" i="9"/>
  <c r="CV48" i="9"/>
  <c r="CV32" i="9"/>
  <c r="CV28" i="9"/>
  <c r="CV26" i="9"/>
  <c r="CV34" i="9"/>
  <c r="CV38" i="9"/>
  <c r="CV36" i="9"/>
  <c r="CV30" i="9"/>
  <c r="CV40" i="9"/>
  <c r="CV39" i="9"/>
  <c r="CV43" i="9"/>
  <c r="CV25" i="9"/>
  <c r="CV37" i="9"/>
  <c r="CV47" i="9"/>
  <c r="CV49" i="9"/>
  <c r="CV41" i="9"/>
  <c r="CV35" i="9"/>
  <c r="CV45" i="9"/>
  <c r="CV29" i="9"/>
  <c r="CV27" i="9"/>
  <c r="CV44" i="9"/>
  <c r="CV46" i="9"/>
  <c r="CV31" i="9"/>
  <c r="CV33" i="9"/>
  <c r="CZ42" i="9"/>
  <c r="CZ40" i="9"/>
  <c r="CZ41" i="9"/>
  <c r="CZ43" i="9"/>
  <c r="CZ32" i="9"/>
  <c r="CZ34" i="9"/>
  <c r="CZ30" i="9"/>
  <c r="CZ28" i="9"/>
  <c r="CZ26" i="9"/>
  <c r="CZ36" i="9"/>
  <c r="CZ38" i="9"/>
  <c r="CZ46" i="9"/>
  <c r="CZ48" i="9"/>
  <c r="CZ31" i="9"/>
  <c r="CZ33" i="9"/>
  <c r="CZ29" i="9"/>
  <c r="CZ27" i="9"/>
  <c r="CZ50" i="9"/>
  <c r="CZ25" i="9"/>
  <c r="CZ37" i="9"/>
  <c r="CZ44" i="9"/>
  <c r="CZ39" i="9"/>
  <c r="CZ47" i="9"/>
  <c r="CZ45" i="9"/>
  <c r="CZ35" i="9"/>
  <c r="CZ49" i="9"/>
  <c r="DN35" i="9"/>
  <c r="DN32" i="9"/>
  <c r="DN34" i="9"/>
  <c r="DN37" i="9"/>
  <c r="DN46" i="9"/>
  <c r="DN27" i="9"/>
  <c r="DN31" i="9"/>
  <c r="DN28" i="9"/>
  <c r="DN45" i="9"/>
  <c r="DN50" i="9"/>
  <c r="DN29" i="9"/>
  <c r="DN36" i="9"/>
  <c r="DN25" i="9"/>
  <c r="DN33" i="9"/>
  <c r="DN38" i="9"/>
  <c r="DN42" i="9"/>
  <c r="DN26" i="9"/>
  <c r="DN30" i="9"/>
  <c r="DN48" i="9"/>
  <c r="DN44" i="9"/>
  <c r="DN41" i="9"/>
  <c r="DN39" i="9"/>
  <c r="DN49" i="9"/>
  <c r="DN40" i="9"/>
  <c r="DN43" i="9"/>
  <c r="DN47" i="9"/>
  <c r="EL32" i="9"/>
  <c r="EL36" i="9"/>
  <c r="EL28" i="9"/>
  <c r="EL34" i="9"/>
  <c r="EL26" i="9"/>
  <c r="EL37" i="9"/>
  <c r="EL45" i="9"/>
  <c r="EL27" i="9"/>
  <c r="EL30" i="9"/>
  <c r="EL29" i="9"/>
  <c r="EL33" i="9"/>
  <c r="EL35" i="9"/>
  <c r="EL44" i="9"/>
  <c r="EL40" i="9"/>
  <c r="EL25" i="9"/>
  <c r="EL38" i="9"/>
  <c r="EL39" i="9"/>
  <c r="EL42" i="9"/>
  <c r="EL43" i="9"/>
  <c r="EL47" i="9"/>
  <c r="EL46" i="9"/>
  <c r="EL50" i="9"/>
  <c r="EL31" i="9"/>
  <c r="EL41" i="9"/>
  <c r="EL48" i="9"/>
  <c r="EL49" i="9"/>
  <c r="CE42" i="9"/>
  <c r="CE48" i="9"/>
  <c r="CE34" i="9"/>
  <c r="CE50" i="9"/>
  <c r="CE39" i="9"/>
  <c r="CE32" i="9"/>
  <c r="CE28" i="9"/>
  <c r="CE30" i="9"/>
  <c r="CE41" i="9"/>
  <c r="CE43" i="9"/>
  <c r="CE40" i="9"/>
  <c r="CE38" i="9"/>
  <c r="CE26" i="9"/>
  <c r="CE29" i="9"/>
  <c r="CE27" i="9"/>
  <c r="CE31" i="9"/>
  <c r="CE37" i="9"/>
  <c r="CE47" i="9"/>
  <c r="CE46" i="9"/>
  <c r="CE49" i="9"/>
  <c r="CE36" i="9"/>
  <c r="CE33" i="9"/>
  <c r="CE44" i="9"/>
  <c r="CE35" i="9"/>
  <c r="CE25" i="9"/>
  <c r="CE45" i="9"/>
  <c r="CM48" i="9"/>
  <c r="CM50" i="9"/>
  <c r="CM28" i="9"/>
  <c r="CM38" i="9"/>
  <c r="CM32" i="9"/>
  <c r="CM36" i="9"/>
  <c r="CM34" i="9"/>
  <c r="CM39" i="9"/>
  <c r="CM40" i="9"/>
  <c r="CM42" i="9"/>
  <c r="CM30" i="9"/>
  <c r="CM41" i="9"/>
  <c r="CM29" i="9"/>
  <c r="CM25" i="9"/>
  <c r="CM35" i="9"/>
  <c r="CM31" i="9"/>
  <c r="CM26" i="9"/>
  <c r="CM27" i="9"/>
  <c r="CM44" i="9"/>
  <c r="CM43" i="9"/>
  <c r="CM33" i="9"/>
  <c r="CM47" i="9"/>
  <c r="CM45" i="9"/>
  <c r="CM49" i="9"/>
  <c r="CM37" i="9"/>
  <c r="CM46" i="9"/>
  <c r="DA45" i="9"/>
  <c r="DA35" i="9"/>
  <c r="DA34" i="9"/>
  <c r="DA32" i="9"/>
  <c r="DA33" i="9"/>
  <c r="DA38" i="9"/>
  <c r="DA50" i="9"/>
  <c r="DA36" i="9"/>
  <c r="DA48" i="9"/>
  <c r="DA31" i="9"/>
  <c r="DA25" i="9"/>
  <c r="DA26" i="9"/>
  <c r="DA44" i="9"/>
  <c r="DA40" i="9"/>
  <c r="DA42" i="9"/>
  <c r="DA43" i="9"/>
  <c r="DA47" i="9"/>
  <c r="DA30" i="9"/>
  <c r="DA39" i="9"/>
  <c r="DA49" i="9"/>
  <c r="DA28" i="9"/>
  <c r="DA29" i="9"/>
  <c r="DA37" i="9"/>
  <c r="DA41" i="9"/>
  <c r="DA27" i="9"/>
  <c r="DA46" i="9"/>
  <c r="DG49" i="9"/>
  <c r="DG31" i="9"/>
  <c r="DG33" i="9"/>
  <c r="DG35" i="9"/>
  <c r="DG27" i="9"/>
  <c r="DG25" i="9"/>
  <c r="DG38" i="9"/>
  <c r="DG28" i="9"/>
  <c r="DG26" i="9"/>
  <c r="DG30" i="9"/>
  <c r="DG32" i="9"/>
  <c r="DG36" i="9"/>
  <c r="DG40" i="9"/>
  <c r="DG47" i="9"/>
  <c r="DG46" i="9"/>
  <c r="DG37" i="9"/>
  <c r="DG44" i="9"/>
  <c r="DG34" i="9"/>
  <c r="DG39" i="9"/>
  <c r="DG41" i="9"/>
  <c r="DG42" i="9"/>
  <c r="DG50" i="9"/>
  <c r="DG29" i="9"/>
  <c r="DG45" i="9"/>
  <c r="DG43" i="9"/>
  <c r="DG48" i="9"/>
  <c r="DK49" i="9"/>
  <c r="DK27" i="9"/>
  <c r="DK39" i="9"/>
  <c r="DK31" i="9"/>
  <c r="DK38" i="9"/>
  <c r="DK46" i="9"/>
  <c r="DK26" i="9"/>
  <c r="DK33" i="9"/>
  <c r="DK30" i="9"/>
  <c r="DK28" i="9"/>
  <c r="DK25" i="9"/>
  <c r="DK40" i="9"/>
  <c r="DK50" i="9"/>
  <c r="DK32" i="9"/>
  <c r="DK37" i="9"/>
  <c r="DK34" i="9"/>
  <c r="DK41" i="9"/>
  <c r="DK29" i="9"/>
  <c r="DK44" i="9"/>
  <c r="DK36" i="9"/>
  <c r="DK43" i="9"/>
  <c r="DK47" i="9"/>
  <c r="DK48" i="9"/>
  <c r="DK45" i="9"/>
  <c r="DK35" i="9"/>
  <c r="DK42" i="9"/>
  <c r="DO49" i="9"/>
  <c r="DO39" i="9"/>
  <c r="DO31" i="9"/>
  <c r="DO29" i="9"/>
  <c r="DO25" i="9"/>
  <c r="DO27" i="9"/>
  <c r="DO28" i="9"/>
  <c r="DO37" i="9"/>
  <c r="DO30" i="9"/>
  <c r="DO38" i="9"/>
  <c r="DO35" i="9"/>
  <c r="DO44" i="9"/>
  <c r="DO34" i="9"/>
  <c r="DO45" i="9"/>
  <c r="DO46" i="9"/>
  <c r="DO36" i="9"/>
  <c r="DO47" i="9"/>
  <c r="DO26" i="9"/>
  <c r="DO33" i="9"/>
  <c r="DO32" i="9"/>
  <c r="DO43" i="9"/>
  <c r="DO48" i="9"/>
  <c r="DO41" i="9"/>
  <c r="DO40" i="9"/>
  <c r="DO50" i="9"/>
  <c r="DO42" i="9"/>
  <c r="DU45" i="9"/>
  <c r="DU34" i="9"/>
  <c r="DU32" i="9"/>
  <c r="DU39" i="9"/>
  <c r="DU37" i="9"/>
  <c r="DU28" i="9"/>
  <c r="DU36" i="9"/>
  <c r="DU26" i="9"/>
  <c r="DU27" i="9"/>
  <c r="DU31" i="9"/>
  <c r="DU33" i="9"/>
  <c r="DU29" i="9"/>
  <c r="DU25" i="9"/>
  <c r="DU40" i="9"/>
  <c r="DU47" i="9"/>
  <c r="DU49" i="9"/>
  <c r="DU38" i="9"/>
  <c r="DU42" i="9"/>
  <c r="DU44" i="9"/>
  <c r="DU35" i="9"/>
  <c r="DU41" i="9"/>
  <c r="DU30" i="9"/>
  <c r="DU43" i="9"/>
  <c r="DU48" i="9"/>
  <c r="DU46" i="9"/>
  <c r="DU50" i="9"/>
  <c r="DY47" i="9"/>
  <c r="DY28" i="9"/>
  <c r="DY35" i="9"/>
  <c r="DY32" i="9"/>
  <c r="DY36" i="9"/>
  <c r="DY37" i="9"/>
  <c r="DY44" i="9"/>
  <c r="DY30" i="9"/>
  <c r="DY34" i="9"/>
  <c r="DY26" i="9"/>
  <c r="DY33" i="9"/>
  <c r="DY25" i="9"/>
  <c r="DY31" i="9"/>
  <c r="DY39" i="9"/>
  <c r="DY29" i="9"/>
  <c r="DY27" i="9"/>
  <c r="DY38" i="9"/>
  <c r="DY40" i="9"/>
  <c r="DY41" i="9"/>
  <c r="DY43" i="9"/>
  <c r="DY48" i="9"/>
  <c r="DY45" i="9"/>
  <c r="DY42" i="9"/>
  <c r="DY46" i="9"/>
  <c r="DY50" i="9"/>
  <c r="DY49" i="9"/>
  <c r="EC47" i="9"/>
  <c r="EC45" i="9"/>
  <c r="EC30" i="9"/>
  <c r="EC36" i="9"/>
  <c r="EC33" i="9"/>
  <c r="EC26" i="9"/>
  <c r="EC34" i="9"/>
  <c r="EC32" i="9"/>
  <c r="EC28" i="9"/>
  <c r="EC31" i="9"/>
  <c r="EC25" i="9"/>
  <c r="EC44" i="9"/>
  <c r="EC41" i="9"/>
  <c r="EC42" i="9"/>
  <c r="EC46" i="9"/>
  <c r="EC48" i="9"/>
  <c r="EC35" i="9"/>
  <c r="EC43" i="9"/>
  <c r="EC37" i="9"/>
  <c r="EC49" i="9"/>
  <c r="EC27" i="9"/>
  <c r="EC29" i="9"/>
  <c r="EC38" i="9"/>
  <c r="EC39" i="9"/>
  <c r="EC40" i="9"/>
  <c r="EC50" i="9"/>
  <c r="EI39" i="9"/>
  <c r="EI48" i="9"/>
  <c r="EI32" i="9"/>
  <c r="EI34" i="9"/>
  <c r="EI28" i="9"/>
  <c r="EI26" i="9"/>
  <c r="EI36" i="9"/>
  <c r="EI30" i="9"/>
  <c r="EI38" i="9"/>
  <c r="EI29" i="9"/>
  <c r="EI27" i="9"/>
  <c r="EI41" i="9"/>
  <c r="EI42" i="9"/>
  <c r="EI31" i="9"/>
  <c r="EI25" i="9"/>
  <c r="EI50" i="9"/>
  <c r="EI35" i="9"/>
  <c r="EI37" i="9"/>
  <c r="EI47" i="9"/>
  <c r="EI46" i="9"/>
  <c r="EI49" i="9"/>
  <c r="EI40" i="9"/>
  <c r="EI33" i="9"/>
  <c r="EI44" i="9"/>
  <c r="EI43" i="9"/>
  <c r="EI45" i="9"/>
  <c r="EM42" i="9"/>
  <c r="EM40" i="9"/>
  <c r="EM50" i="9"/>
  <c r="EM32" i="9"/>
  <c r="EM41" i="9"/>
  <c r="EM38" i="9"/>
  <c r="EM30" i="9"/>
  <c r="EM28" i="9"/>
  <c r="EM36" i="9"/>
  <c r="EM26" i="9"/>
  <c r="EM43" i="9"/>
  <c r="EM34" i="9"/>
  <c r="EM33" i="9"/>
  <c r="EM31" i="9"/>
  <c r="EM25" i="9"/>
  <c r="EM39" i="9"/>
  <c r="EM29" i="9"/>
  <c r="EM27" i="9"/>
  <c r="EM35" i="9"/>
  <c r="EM46" i="9"/>
  <c r="EM48" i="9"/>
  <c r="EM44" i="9"/>
  <c r="EM37" i="9"/>
  <c r="EM47" i="9"/>
  <c r="EM45" i="9"/>
  <c r="EM49" i="9"/>
  <c r="EQ36" i="9"/>
  <c r="EQ28" i="9"/>
  <c r="EQ48" i="9"/>
  <c r="EQ32" i="9"/>
  <c r="EQ30" i="9"/>
  <c r="EQ41" i="9"/>
  <c r="EQ39" i="9"/>
  <c r="EQ34" i="9"/>
  <c r="EQ42" i="9"/>
  <c r="EQ29" i="9"/>
  <c r="EQ31" i="9"/>
  <c r="EQ25" i="9"/>
  <c r="EQ35" i="9"/>
  <c r="EQ40" i="9"/>
  <c r="EQ50" i="9"/>
  <c r="EQ33" i="9"/>
  <c r="EQ44" i="9"/>
  <c r="EQ38" i="9"/>
  <c r="EQ43" i="9"/>
  <c r="EQ45" i="9"/>
  <c r="EQ26" i="9"/>
  <c r="EQ37" i="9"/>
  <c r="EQ27" i="9"/>
  <c r="EQ49" i="9"/>
  <c r="EQ47" i="9"/>
  <c r="EQ46" i="9"/>
  <c r="CH47" i="9"/>
  <c r="CH39" i="9"/>
  <c r="CH36" i="9"/>
  <c r="CH32" i="9"/>
  <c r="CH26" i="9"/>
  <c r="CH30" i="9"/>
  <c r="CH38" i="9"/>
  <c r="CH45" i="9"/>
  <c r="CH44" i="9"/>
  <c r="CH27" i="9"/>
  <c r="CH31" i="9"/>
  <c r="CH35" i="9"/>
  <c r="CH34" i="9"/>
  <c r="CH28" i="9"/>
  <c r="CH25" i="9"/>
  <c r="CH33" i="9"/>
  <c r="CH40" i="9"/>
  <c r="CH49" i="9"/>
  <c r="CH29" i="9"/>
  <c r="CH37" i="9"/>
  <c r="CH43" i="9"/>
  <c r="CH48" i="9"/>
  <c r="CH41" i="9"/>
  <c r="CH50" i="9"/>
  <c r="CH42" i="9"/>
  <c r="CH46" i="9"/>
  <c r="CR43" i="9"/>
  <c r="CR41" i="9"/>
  <c r="CR40" i="9"/>
  <c r="CR36" i="9"/>
  <c r="CR34" i="9"/>
  <c r="CR42" i="9"/>
  <c r="CR28" i="9"/>
  <c r="CR30" i="9"/>
  <c r="CR32" i="9"/>
  <c r="CR46" i="9"/>
  <c r="CR50" i="9"/>
  <c r="CR39" i="9"/>
  <c r="CR27" i="9"/>
  <c r="CR48" i="9"/>
  <c r="CR25" i="9"/>
  <c r="CR38" i="9"/>
  <c r="CR29" i="9"/>
  <c r="CR31" i="9"/>
  <c r="CR33" i="9"/>
  <c r="CR45" i="9"/>
  <c r="CR26" i="9"/>
  <c r="CR35" i="9"/>
  <c r="CR37" i="9"/>
  <c r="CR49" i="9"/>
  <c r="CR44" i="9"/>
  <c r="CR47" i="9"/>
  <c r="DF36" i="9"/>
  <c r="DF32" i="9"/>
  <c r="DF38" i="9"/>
  <c r="DF46" i="9"/>
  <c r="DF34" i="9"/>
  <c r="DF35" i="9"/>
  <c r="DF26" i="9"/>
  <c r="DF30" i="9"/>
  <c r="DF48" i="9"/>
  <c r="DF29" i="9"/>
  <c r="DF27" i="9"/>
  <c r="DF45" i="9"/>
  <c r="DF50" i="9"/>
  <c r="DF31" i="9"/>
  <c r="DF39" i="9"/>
  <c r="DF40" i="9"/>
  <c r="DF41" i="9"/>
  <c r="DF43" i="9"/>
  <c r="DF33" i="9"/>
  <c r="DF37" i="9"/>
  <c r="DF25" i="9"/>
  <c r="DF28" i="9"/>
  <c r="DF42" i="9"/>
  <c r="DF47" i="9"/>
  <c r="DF49" i="9"/>
  <c r="DF44" i="9"/>
  <c r="DT39" i="9"/>
  <c r="DT35" i="9"/>
  <c r="DT46" i="9"/>
  <c r="DT31" i="9"/>
  <c r="DT29" i="9"/>
  <c r="DT30" i="9"/>
  <c r="DT37" i="9"/>
  <c r="DT49" i="9"/>
  <c r="DT27" i="9"/>
  <c r="DT25" i="9"/>
  <c r="DT26" i="9"/>
  <c r="DT41" i="9"/>
  <c r="DT48" i="9"/>
  <c r="DT32" i="9"/>
  <c r="DT40" i="9"/>
  <c r="DT43" i="9"/>
  <c r="DT28" i="9"/>
  <c r="DT34" i="9"/>
  <c r="DT36" i="9"/>
  <c r="DT38" i="9"/>
  <c r="DT45" i="9"/>
  <c r="DT33" i="9"/>
  <c r="DT42" i="9"/>
  <c r="DT50" i="9"/>
  <c r="DT44" i="9"/>
  <c r="DT47" i="9"/>
  <c r="EB49" i="9"/>
  <c r="EB27" i="9"/>
  <c r="EB25" i="9"/>
  <c r="EB39" i="9"/>
  <c r="EB31" i="9"/>
  <c r="EB38" i="9"/>
  <c r="EB26" i="9"/>
  <c r="EB35" i="9"/>
  <c r="EB28" i="9"/>
  <c r="EB29" i="9"/>
  <c r="EB30" i="9"/>
  <c r="EB42" i="9"/>
  <c r="EB50" i="9"/>
  <c r="EB44" i="9"/>
  <c r="EB34" i="9"/>
  <c r="EB36" i="9"/>
  <c r="EB32" i="9"/>
  <c r="EB40" i="9"/>
  <c r="EB47" i="9"/>
  <c r="EB33" i="9"/>
  <c r="EB37" i="9"/>
  <c r="EB43" i="9"/>
  <c r="EB46" i="9"/>
  <c r="EB45" i="9"/>
  <c r="EB41" i="9"/>
  <c r="EB48" i="9"/>
  <c r="EP47" i="9"/>
  <c r="EP36" i="9"/>
  <c r="EP34" i="9"/>
  <c r="EP28" i="9"/>
  <c r="EP26" i="9"/>
  <c r="EP32" i="9"/>
  <c r="EP37" i="9"/>
  <c r="EP35" i="9"/>
  <c r="EP30" i="9"/>
  <c r="EP43" i="9"/>
  <c r="EP29" i="9"/>
  <c r="EP27" i="9"/>
  <c r="EP31" i="9"/>
  <c r="EP44" i="9"/>
  <c r="EP25" i="9"/>
  <c r="EP38" i="9"/>
  <c r="EP39" i="9"/>
  <c r="EP42" i="9"/>
  <c r="EP45" i="9"/>
  <c r="EP33" i="9"/>
  <c r="EP40" i="9"/>
  <c r="EP41" i="9"/>
  <c r="EP48" i="9"/>
  <c r="EP46" i="9"/>
  <c r="EP50" i="9"/>
  <c r="EP49" i="9"/>
  <c r="CS45" i="9"/>
  <c r="CS38" i="9"/>
  <c r="CS36" i="9"/>
  <c r="CS32" i="9"/>
  <c r="CS34" i="9"/>
  <c r="CS29" i="9"/>
  <c r="CS25" i="9"/>
  <c r="CS33" i="9"/>
  <c r="CS50" i="9"/>
  <c r="CS31" i="9"/>
  <c r="CS37" i="9"/>
  <c r="CS48" i="9"/>
  <c r="CS27" i="9"/>
  <c r="CS47" i="9"/>
  <c r="CS49" i="9"/>
  <c r="CS46" i="9"/>
  <c r="CS35" i="9"/>
  <c r="CS26" i="9"/>
  <c r="CS28" i="9"/>
  <c r="CS30" i="9"/>
  <c r="CS41" i="9"/>
  <c r="CS42" i="9"/>
  <c r="CS44" i="9"/>
  <c r="CS39" i="9"/>
  <c r="CS40" i="9"/>
  <c r="CS43" i="9"/>
  <c r="CF36" i="9"/>
  <c r="CF45" i="9"/>
  <c r="CF34" i="9"/>
  <c r="CF35" i="9"/>
  <c r="CF27" i="9"/>
  <c r="CF31" i="9"/>
  <c r="CF28" i="9"/>
  <c r="CF33" i="9"/>
  <c r="CF32" i="9"/>
  <c r="CF46" i="9"/>
  <c r="CF50" i="9"/>
  <c r="CF48" i="9"/>
  <c r="CF25" i="9"/>
  <c r="CF26" i="9"/>
  <c r="CF42" i="9"/>
  <c r="CF37" i="9"/>
  <c r="CF29" i="9"/>
  <c r="CF44" i="9"/>
  <c r="CF40" i="9"/>
  <c r="CF43" i="9"/>
  <c r="CF38" i="9"/>
  <c r="CF39" i="9"/>
  <c r="CF49" i="9"/>
  <c r="CF30" i="9"/>
  <c r="CF41" i="9"/>
  <c r="CF47" i="9"/>
  <c r="CN32" i="9"/>
  <c r="CN36" i="9"/>
  <c r="CN38" i="9"/>
  <c r="CN34" i="9"/>
  <c r="CN46" i="9"/>
  <c r="CN45" i="9"/>
  <c r="CN48" i="9"/>
  <c r="CN50" i="9"/>
  <c r="CN33" i="9"/>
  <c r="CN26" i="9"/>
  <c r="CN30" i="9"/>
  <c r="CN29" i="9"/>
  <c r="CN27" i="9"/>
  <c r="CN25" i="9"/>
  <c r="CN28" i="9"/>
  <c r="CN44" i="9"/>
  <c r="CN39" i="9"/>
  <c r="CN40" i="9"/>
  <c r="CN41" i="9"/>
  <c r="CN43" i="9"/>
  <c r="CN35" i="9"/>
  <c r="CN37" i="9"/>
  <c r="CN31" i="9"/>
  <c r="CN49" i="9"/>
  <c r="CN47" i="9"/>
  <c r="CN42" i="9"/>
  <c r="CX49" i="9"/>
  <c r="CX39" i="9"/>
  <c r="CX27" i="9"/>
  <c r="CX25" i="9"/>
  <c r="CX31" i="9"/>
  <c r="CX37" i="9"/>
  <c r="CX29" i="9"/>
  <c r="CX28" i="9"/>
  <c r="CX33" i="9"/>
  <c r="CX26" i="9"/>
  <c r="CX44" i="9"/>
  <c r="CX34" i="9"/>
  <c r="CX41" i="9"/>
  <c r="CX43" i="9"/>
  <c r="CX45" i="9"/>
  <c r="CX30" i="9"/>
  <c r="CX32" i="9"/>
  <c r="CX42" i="9"/>
  <c r="CX38" i="9"/>
  <c r="CX36" i="9"/>
  <c r="CX40" i="9"/>
  <c r="CX48" i="9"/>
  <c r="CX35" i="9"/>
  <c r="CX46" i="9"/>
  <c r="CX50" i="9"/>
  <c r="CX47" i="9"/>
  <c r="DB39" i="9"/>
  <c r="DB35" i="9"/>
  <c r="DB37" i="9"/>
  <c r="DB46" i="9"/>
  <c r="DB49" i="9"/>
  <c r="DB29" i="9"/>
  <c r="DB30" i="9"/>
  <c r="DB33" i="9"/>
  <c r="DB26" i="9"/>
  <c r="DB31" i="9"/>
  <c r="DB28" i="9"/>
  <c r="DB43" i="9"/>
  <c r="DB47" i="9"/>
  <c r="DB48" i="9"/>
  <c r="DB25" i="9"/>
  <c r="DB41" i="9"/>
  <c r="DB27" i="9"/>
  <c r="DB44" i="9"/>
  <c r="DB32" i="9"/>
  <c r="DB42" i="9"/>
  <c r="DB34" i="9"/>
  <c r="DB38" i="9"/>
  <c r="DB40" i="9"/>
  <c r="DB50" i="9"/>
  <c r="DB36" i="9"/>
  <c r="DB45" i="9"/>
  <c r="DH47" i="9"/>
  <c r="DH28" i="9"/>
  <c r="DH39" i="9"/>
  <c r="DH32" i="9"/>
  <c r="DH34" i="9"/>
  <c r="DH26" i="9"/>
  <c r="DH35" i="9"/>
  <c r="DH31" i="9"/>
  <c r="DH37" i="9"/>
  <c r="DH30" i="9"/>
  <c r="DH45" i="9"/>
  <c r="DH36" i="9"/>
  <c r="DH44" i="9"/>
  <c r="DH25" i="9"/>
  <c r="DH38" i="9"/>
  <c r="DH29" i="9"/>
  <c r="DH43" i="9"/>
  <c r="DH48" i="9"/>
  <c r="DH27" i="9"/>
  <c r="DH40" i="9"/>
  <c r="DH41" i="9"/>
  <c r="DH49" i="9"/>
  <c r="DH50" i="9"/>
  <c r="DH33" i="9"/>
  <c r="DH42" i="9"/>
  <c r="DH46" i="9"/>
  <c r="DL28" i="9"/>
  <c r="DL32" i="9"/>
  <c r="DL45" i="9"/>
  <c r="DL36" i="9"/>
  <c r="DL35" i="9"/>
  <c r="DL34" i="9"/>
  <c r="DL30" i="9"/>
  <c r="DL26" i="9"/>
  <c r="DL33" i="9"/>
  <c r="DL37" i="9"/>
  <c r="DL29" i="9"/>
  <c r="DL27" i="9"/>
  <c r="DL31" i="9"/>
  <c r="DL39" i="9"/>
  <c r="DL41" i="9"/>
  <c r="DL42" i="9"/>
  <c r="DL46" i="9"/>
  <c r="DL48" i="9"/>
  <c r="DL47" i="9"/>
  <c r="DL43" i="9"/>
  <c r="DL25" i="9"/>
  <c r="DL44" i="9"/>
  <c r="DL50" i="9"/>
  <c r="DL49" i="9"/>
  <c r="DL38" i="9"/>
  <c r="DL40" i="9"/>
  <c r="DP36" i="9"/>
  <c r="DP34" i="9"/>
  <c r="DP30" i="9"/>
  <c r="DP47" i="9"/>
  <c r="DP28" i="9"/>
  <c r="DP32" i="9"/>
  <c r="DP45" i="9"/>
  <c r="DP26" i="9"/>
  <c r="DP29" i="9"/>
  <c r="DP25" i="9"/>
  <c r="DP27" i="9"/>
  <c r="DP33" i="9"/>
  <c r="DP37" i="9"/>
  <c r="DP43" i="9"/>
  <c r="DP49" i="9"/>
  <c r="DP50" i="9"/>
  <c r="DP44" i="9"/>
  <c r="DP31" i="9"/>
  <c r="DP38" i="9"/>
  <c r="DP40" i="9"/>
  <c r="DP42" i="9"/>
  <c r="DP46" i="9"/>
  <c r="DP39" i="9"/>
  <c r="DP35" i="9"/>
  <c r="DP48" i="9"/>
  <c r="DP41" i="9"/>
  <c r="DV42" i="9"/>
  <c r="DV40" i="9"/>
  <c r="DV41" i="9"/>
  <c r="DV39" i="9"/>
  <c r="DV32" i="9"/>
  <c r="DV43" i="9"/>
  <c r="DV28" i="9"/>
  <c r="DV30" i="9"/>
  <c r="DV48" i="9"/>
  <c r="DV26" i="9"/>
  <c r="DV36" i="9"/>
  <c r="DV34" i="9"/>
  <c r="DV31" i="9"/>
  <c r="DV33" i="9"/>
  <c r="DV38" i="9"/>
  <c r="DV25" i="9"/>
  <c r="DV27" i="9"/>
  <c r="DV29" i="9"/>
  <c r="DV35" i="9"/>
  <c r="DV37" i="9"/>
  <c r="DV44" i="9"/>
  <c r="DV49" i="9"/>
  <c r="DV45" i="9"/>
  <c r="DV50" i="9"/>
  <c r="DV46" i="9"/>
  <c r="DV47" i="9"/>
  <c r="DZ28" i="9"/>
  <c r="DZ34" i="9"/>
  <c r="DZ39" i="9"/>
  <c r="DZ32" i="9"/>
  <c r="DZ30" i="9"/>
  <c r="DZ36" i="9"/>
  <c r="DZ40" i="9"/>
  <c r="DZ26" i="9"/>
  <c r="DZ48" i="9"/>
  <c r="DZ50" i="9"/>
  <c r="DZ29" i="9"/>
  <c r="DZ25" i="9"/>
  <c r="DZ35" i="9"/>
  <c r="DZ42" i="9"/>
  <c r="DZ41" i="9"/>
  <c r="DZ27" i="9"/>
  <c r="DZ44" i="9"/>
  <c r="DZ37" i="9"/>
  <c r="DZ47" i="9"/>
  <c r="DZ45" i="9"/>
  <c r="DZ46" i="9"/>
  <c r="DZ38" i="9"/>
  <c r="DZ33" i="9"/>
  <c r="DZ31" i="9"/>
  <c r="DZ43" i="9"/>
  <c r="DZ49" i="9"/>
  <c r="ED41" i="9"/>
  <c r="ED42" i="9"/>
  <c r="ED39" i="9"/>
  <c r="ED36" i="9"/>
  <c r="ED28" i="9"/>
  <c r="ED40" i="9"/>
  <c r="ED32" i="9"/>
  <c r="ED34" i="9"/>
  <c r="ED38" i="9"/>
  <c r="ED30" i="9"/>
  <c r="ED50" i="9"/>
  <c r="ED27" i="9"/>
  <c r="ED35" i="9"/>
  <c r="ED48" i="9"/>
  <c r="ED29" i="9"/>
  <c r="ED26" i="9"/>
  <c r="ED45" i="9"/>
  <c r="ED31" i="9"/>
  <c r="ED44" i="9"/>
  <c r="ED47" i="9"/>
  <c r="ED43" i="9"/>
  <c r="ED49" i="9"/>
  <c r="ED25" i="9"/>
  <c r="ED37" i="9"/>
  <c r="ED46" i="9"/>
  <c r="ED33" i="9"/>
  <c r="EJ34" i="9"/>
  <c r="EJ33" i="9"/>
  <c r="EJ38" i="9"/>
  <c r="EJ32" i="9"/>
  <c r="EJ35" i="9"/>
  <c r="EJ45" i="9"/>
  <c r="EJ27" i="9"/>
  <c r="EJ37" i="9"/>
  <c r="EJ28" i="9"/>
  <c r="EJ46" i="9"/>
  <c r="EJ29" i="9"/>
  <c r="EJ36" i="9"/>
  <c r="EJ48" i="9"/>
  <c r="EJ31" i="9"/>
  <c r="EJ44" i="9"/>
  <c r="EJ42" i="9"/>
  <c r="EJ43" i="9"/>
  <c r="EJ50" i="9"/>
  <c r="EJ25" i="9"/>
  <c r="EJ39" i="9"/>
  <c r="EJ49" i="9"/>
  <c r="EJ26" i="9"/>
  <c r="EJ30" i="9"/>
  <c r="EJ40" i="9"/>
  <c r="EJ47" i="9"/>
  <c r="EJ41" i="9"/>
  <c r="EN45" i="9"/>
  <c r="EN32" i="9"/>
  <c r="EN34" i="9"/>
  <c r="EN36" i="9"/>
  <c r="EN38" i="9"/>
  <c r="EN46" i="9"/>
  <c r="EN29" i="9"/>
  <c r="EN27" i="9"/>
  <c r="EN31" i="9"/>
  <c r="EN25" i="9"/>
  <c r="EN28" i="9"/>
  <c r="EN37" i="9"/>
  <c r="EN44" i="9"/>
  <c r="EN50" i="9"/>
  <c r="EN48" i="9"/>
  <c r="EN35" i="9"/>
  <c r="EN41" i="9"/>
  <c r="EN33" i="9"/>
  <c r="EN26" i="9"/>
  <c r="EN30" i="9"/>
  <c r="EN39" i="9"/>
  <c r="EN49" i="9"/>
  <c r="EN42" i="9"/>
  <c r="EN40" i="9"/>
  <c r="EN43" i="9"/>
  <c r="EN47" i="9"/>
  <c r="ER43" i="9"/>
  <c r="ER34" i="9"/>
  <c r="ER32" i="9"/>
  <c r="ER30" i="9"/>
  <c r="ER38" i="9"/>
  <c r="ER45" i="9"/>
  <c r="ER28" i="9"/>
  <c r="ER26" i="9"/>
  <c r="ER37" i="9"/>
  <c r="ER48" i="9"/>
  <c r="ER25" i="9"/>
  <c r="ER33" i="9"/>
  <c r="ER31" i="9"/>
  <c r="ER29" i="9"/>
  <c r="ER27" i="9"/>
  <c r="ER39" i="9"/>
  <c r="ER40" i="9"/>
  <c r="ER41" i="9"/>
  <c r="ER35" i="9"/>
  <c r="ER44" i="9"/>
  <c r="ER42" i="9"/>
  <c r="ER47" i="9"/>
  <c r="ER50" i="9"/>
  <c r="ER36" i="9"/>
  <c r="ER46" i="9"/>
  <c r="ER49" i="9"/>
  <c r="DM13" i="9"/>
  <c r="CY22" i="9"/>
  <c r="DI24" i="9"/>
  <c r="CK51" i="9"/>
  <c r="DA60" i="9"/>
  <c r="N9" i="9" l="1"/>
  <c r="R9" i="9"/>
  <c r="M9" i="9"/>
  <c r="U16" i="9"/>
  <c r="G16" i="9" s="1"/>
  <c r="P9" i="9"/>
  <c r="S9" i="9"/>
  <c r="K9" i="9"/>
  <c r="U12" i="9"/>
  <c r="T9" i="9"/>
  <c r="L9" i="9"/>
  <c r="U14" i="9"/>
  <c r="G14" i="9" s="1"/>
  <c r="O9" i="9"/>
  <c r="Q9" i="9"/>
  <c r="U15" i="9"/>
  <c r="G15" i="9" s="1"/>
  <c r="U13" i="9"/>
  <c r="G13" i="9" s="1"/>
  <c r="EE58" i="9"/>
  <c r="CO58" i="9"/>
  <c r="DQ58" i="9"/>
  <c r="DC58" i="9"/>
  <c r="ES58" i="9"/>
  <c r="ES59" i="9"/>
  <c r="DQ59" i="9"/>
  <c r="EE59" i="9"/>
  <c r="DC59" i="9"/>
  <c r="CO59" i="9"/>
  <c r="DQ56" i="9"/>
  <c r="EE56" i="9"/>
  <c r="DC56" i="9"/>
  <c r="CO56" i="9"/>
  <c r="ES56" i="9"/>
  <c r="ES57" i="9"/>
  <c r="DQ57" i="9"/>
  <c r="CO57" i="9"/>
  <c r="EE57" i="9"/>
  <c r="DC57" i="9"/>
  <c r="CO54" i="9"/>
  <c r="DC54" i="9"/>
  <c r="ES54" i="9"/>
  <c r="DQ54" i="9"/>
  <c r="EE54" i="9"/>
  <c r="DQ52" i="9"/>
  <c r="EE55" i="9"/>
  <c r="DC55" i="9"/>
  <c r="ES55" i="9"/>
  <c r="DQ55" i="9"/>
  <c r="CO55" i="9"/>
  <c r="CO52" i="9"/>
  <c r="ES52" i="9"/>
  <c r="EE52" i="9"/>
  <c r="DC52" i="9"/>
  <c r="EE53" i="9"/>
  <c r="DC53" i="9"/>
  <c r="ES53" i="9"/>
  <c r="DQ53" i="9"/>
  <c r="CO53" i="9"/>
  <c r="EE33" i="9"/>
  <c r="CO39" i="9"/>
  <c r="ES45" i="9"/>
  <c r="EE35" i="9"/>
  <c r="EE44" i="9"/>
  <c r="EE29" i="9"/>
  <c r="DQ46" i="9"/>
  <c r="DQ40" i="9"/>
  <c r="DC50" i="9"/>
  <c r="CO43" i="9"/>
  <c r="CO34" i="9"/>
  <c r="CO28" i="9"/>
  <c r="DC36" i="9"/>
  <c r="DC38" i="9"/>
  <c r="ES37" i="9"/>
  <c r="DQ43" i="9"/>
  <c r="DC39" i="9"/>
  <c r="DC30" i="9"/>
  <c r="EE32" i="9"/>
  <c r="CO44" i="9"/>
  <c r="ES46" i="9"/>
  <c r="ES47" i="9"/>
  <c r="ES32" i="9"/>
  <c r="ES41" i="9"/>
  <c r="ES33" i="9"/>
  <c r="ES27" i="9"/>
  <c r="EE47" i="9"/>
  <c r="EE26" i="9"/>
  <c r="EE28" i="9"/>
  <c r="EE25" i="9"/>
  <c r="DQ37" i="9"/>
  <c r="DQ47" i="9"/>
  <c r="DQ35" i="9"/>
  <c r="DQ38" i="9"/>
  <c r="DQ48" i="9"/>
  <c r="DC43" i="9"/>
  <c r="DC40" i="9"/>
  <c r="DC42" i="9"/>
  <c r="CO47" i="9"/>
  <c r="CO50" i="9"/>
  <c r="CO36" i="9"/>
  <c r="CO37" i="9"/>
  <c r="CO30" i="9"/>
  <c r="CO29" i="9"/>
  <c r="CO31" i="9"/>
  <c r="ES38" i="9"/>
  <c r="ES29" i="9"/>
  <c r="ES35" i="9"/>
  <c r="ES31" i="9"/>
  <c r="EE40" i="9"/>
  <c r="DQ33" i="9"/>
  <c r="DQ27" i="9"/>
  <c r="DC46" i="9"/>
  <c r="DC37" i="9"/>
  <c r="CO35" i="9"/>
  <c r="DC28" i="9"/>
  <c r="EE48" i="9"/>
  <c r="DQ42" i="9"/>
  <c r="DQ39" i="9"/>
  <c r="DQ30" i="9"/>
  <c r="DC47" i="9"/>
  <c r="DC35" i="9"/>
  <c r="ES25" i="9"/>
  <c r="CO46" i="9"/>
  <c r="ES43" i="9"/>
  <c r="ES42" i="9"/>
  <c r="ES50" i="9"/>
  <c r="ES34" i="9"/>
  <c r="ES30" i="9"/>
  <c r="EE49" i="9"/>
  <c r="EE43" i="9"/>
  <c r="EE37" i="9"/>
  <c r="EE30" i="9"/>
  <c r="EE34" i="9"/>
  <c r="EE45" i="9"/>
  <c r="DQ44" i="9"/>
  <c r="DQ25" i="9"/>
  <c r="DC44" i="9"/>
  <c r="DC33" i="9"/>
  <c r="DC41" i="9"/>
  <c r="DC27" i="9"/>
  <c r="CO41" i="9"/>
  <c r="CO42" i="9"/>
  <c r="CO32" i="9"/>
  <c r="CO45" i="9"/>
  <c r="CO25" i="9"/>
  <c r="DC34" i="9"/>
  <c r="EE36" i="9"/>
  <c r="DQ34" i="9"/>
  <c r="DQ50" i="9"/>
  <c r="DQ32" i="9"/>
  <c r="ES26" i="9"/>
  <c r="EE41" i="9"/>
  <c r="DQ41" i="9"/>
  <c r="DC49" i="9"/>
  <c r="DC32" i="9"/>
  <c r="DC26" i="9"/>
  <c r="EE38" i="9"/>
  <c r="DQ28" i="9"/>
  <c r="DQ26" i="9"/>
  <c r="DQ36" i="9"/>
  <c r="ES48" i="9"/>
  <c r="ES36" i="9"/>
  <c r="ES40" i="9"/>
  <c r="ES44" i="9"/>
  <c r="ES28" i="9"/>
  <c r="EE46" i="9"/>
  <c r="EE42" i="9"/>
  <c r="EE39" i="9"/>
  <c r="EE27" i="9"/>
  <c r="EE31" i="9"/>
  <c r="DQ45" i="9"/>
  <c r="DQ49" i="9"/>
  <c r="DQ31" i="9"/>
  <c r="DQ29" i="9"/>
  <c r="DC31" i="9"/>
  <c r="DC48" i="9"/>
  <c r="DC25" i="9"/>
  <c r="DC29" i="9"/>
  <c r="DC45" i="9"/>
  <c r="CO48" i="9"/>
  <c r="CO38" i="9"/>
  <c r="CO33" i="9"/>
  <c r="CO40" i="9"/>
  <c r="CO26" i="9"/>
  <c r="CO27" i="9"/>
  <c r="CO49" i="9"/>
  <c r="ES39" i="9"/>
  <c r="ES49" i="9"/>
  <c r="EE50" i="9"/>
  <c r="CE51" i="9"/>
  <c r="EA60" i="9"/>
  <c r="EC60" i="9"/>
  <c r="DY60" i="9"/>
  <c r="DN60" i="9"/>
  <c r="CM51" i="9"/>
  <c r="CR60" i="9"/>
  <c r="DJ60" i="9"/>
  <c r="EQ60" i="9"/>
  <c r="EO18" i="9"/>
  <c r="DL18" i="9"/>
  <c r="EN18" i="9"/>
  <c r="ER18" i="9"/>
  <c r="EJ18" i="9"/>
  <c r="DV18" i="9"/>
  <c r="DO18" i="9"/>
  <c r="DG18" i="9"/>
  <c r="CT18" i="9"/>
  <c r="DK18" i="9"/>
  <c r="DB18" i="9"/>
  <c r="CJ18" i="9"/>
  <c r="EK18" i="9"/>
  <c r="DH18" i="9"/>
  <c r="DA18" i="9"/>
  <c r="CI18" i="9"/>
  <c r="CN18" i="9"/>
  <c r="DZ18" i="9"/>
  <c r="DP18" i="9"/>
  <c r="CM18" i="9"/>
  <c r="CE18" i="9"/>
  <c r="ED18" i="9"/>
  <c r="CX18" i="9"/>
  <c r="CF18" i="9"/>
  <c r="CQ18" i="9"/>
  <c r="DM18" i="9"/>
  <c r="CW18" i="9"/>
  <c r="EH18" i="9"/>
  <c r="CY18" i="9"/>
  <c r="CD18" i="9"/>
  <c r="DT18" i="9"/>
  <c r="CL18" i="9"/>
  <c r="EB18" i="9"/>
  <c r="DX18" i="9"/>
  <c r="EG18" i="9"/>
  <c r="DE18" i="9"/>
  <c r="DS18" i="9"/>
  <c r="DI18" i="9"/>
  <c r="CU18" i="9"/>
  <c r="CS18" i="9"/>
  <c r="EA18" i="9"/>
  <c r="CH18" i="9"/>
  <c r="EP18" i="9"/>
  <c r="EM18" i="9"/>
  <c r="EL18" i="9"/>
  <c r="EI18" i="9"/>
  <c r="EC18" i="9"/>
  <c r="DN18" i="9"/>
  <c r="CZ18" i="9"/>
  <c r="DW18" i="9"/>
  <c r="EQ18" i="9"/>
  <c r="DU18" i="9"/>
  <c r="DF18" i="9"/>
  <c r="CR18" i="9"/>
  <c r="CG18" i="9"/>
  <c r="CC18" i="9"/>
  <c r="DY18" i="9"/>
  <c r="DJ18" i="9"/>
  <c r="CV18" i="9"/>
  <c r="CK18" i="9"/>
  <c r="ER17" i="9"/>
  <c r="EJ17" i="9"/>
  <c r="ED17" i="9"/>
  <c r="DP17" i="9"/>
  <c r="DH17" i="9"/>
  <c r="EO17" i="9"/>
  <c r="EG17" i="9"/>
  <c r="EK17" i="9"/>
  <c r="DV17" i="9"/>
  <c r="DK17" i="9"/>
  <c r="CW17" i="9"/>
  <c r="EB17" i="9"/>
  <c r="DA17" i="9"/>
  <c r="CN17" i="9"/>
  <c r="CH17" i="9"/>
  <c r="DO17" i="9"/>
  <c r="CL17" i="9"/>
  <c r="DZ17" i="9"/>
  <c r="CX17" i="9"/>
  <c r="CM17" i="9"/>
  <c r="CF17" i="9"/>
  <c r="CT17" i="9"/>
  <c r="DL17" i="9"/>
  <c r="DB17" i="9"/>
  <c r="CS17" i="9"/>
  <c r="CJ17" i="9"/>
  <c r="CD17" i="9"/>
  <c r="EN17" i="9"/>
  <c r="CE17" i="9"/>
  <c r="DI17" i="9"/>
  <c r="EA17" i="9"/>
  <c r="DS17" i="9"/>
  <c r="CU17" i="9"/>
  <c r="EH17" i="9"/>
  <c r="EP17" i="9"/>
  <c r="CI17" i="9"/>
  <c r="DE17" i="9"/>
  <c r="CQ17" i="9"/>
  <c r="CG17" i="9"/>
  <c r="DG17" i="9"/>
  <c r="EI17" i="9"/>
  <c r="DY17" i="9"/>
  <c r="DJ17" i="9"/>
  <c r="CV17" i="9"/>
  <c r="CK17" i="9"/>
  <c r="DM17" i="9"/>
  <c r="DT17" i="9"/>
  <c r="EC17" i="9"/>
  <c r="DN17" i="9"/>
  <c r="CZ17" i="9"/>
  <c r="CC17" i="9"/>
  <c r="EL17" i="9"/>
  <c r="EM17" i="9"/>
  <c r="DX17" i="9"/>
  <c r="EQ17" i="9"/>
  <c r="CY17" i="9"/>
  <c r="DU17" i="9"/>
  <c r="DW17" i="9"/>
  <c r="DF17" i="9"/>
  <c r="CR17" i="9"/>
  <c r="ER60" i="9"/>
  <c r="EJ60" i="9"/>
  <c r="DX60" i="9"/>
  <c r="DL60" i="9"/>
  <c r="CX60" i="9"/>
  <c r="EO60" i="9"/>
  <c r="DW60" i="9"/>
  <c r="EK60" i="9"/>
  <c r="DZ60" i="9"/>
  <c r="DO60" i="9"/>
  <c r="DG60" i="9"/>
  <c r="DB60" i="9"/>
  <c r="CS60" i="9"/>
  <c r="CJ60" i="9"/>
  <c r="DK60" i="9"/>
  <c r="CW60" i="9"/>
  <c r="CN60" i="9"/>
  <c r="DH60" i="9"/>
  <c r="CT60" i="9"/>
  <c r="CM60" i="9"/>
  <c r="ED60" i="9"/>
  <c r="CF60" i="9"/>
  <c r="EN60" i="9"/>
  <c r="DV60" i="9"/>
  <c r="DP60" i="9"/>
  <c r="CE60" i="9"/>
  <c r="CH60" i="9"/>
  <c r="EP60" i="9"/>
  <c r="DS60" i="9"/>
  <c r="CU60" i="9"/>
  <c r="DM60" i="9"/>
  <c r="DE60" i="9"/>
  <c r="CG60" i="9"/>
  <c r="CQ60" i="9"/>
  <c r="EB60" i="9"/>
  <c r="EL60" i="9"/>
  <c r="DI60" i="9"/>
  <c r="CY60" i="9"/>
  <c r="EH60" i="9"/>
  <c r="CD60" i="9"/>
  <c r="CK60" i="9"/>
  <c r="CC60" i="9"/>
  <c r="DT60" i="9"/>
  <c r="CL60" i="9"/>
  <c r="EN24" i="9"/>
  <c r="ED24" i="9"/>
  <c r="DO24" i="9"/>
  <c r="DG24" i="9"/>
  <c r="CW24" i="9"/>
  <c r="EJ24" i="9"/>
  <c r="DZ24" i="9"/>
  <c r="EO24" i="9"/>
  <c r="DP24" i="9"/>
  <c r="DH24" i="9"/>
  <c r="CX24" i="9"/>
  <c r="ER24" i="9"/>
  <c r="CT24" i="9"/>
  <c r="CN24" i="9"/>
  <c r="CF24" i="9"/>
  <c r="CJ24" i="9"/>
  <c r="EG24" i="9"/>
  <c r="CQ24" i="9"/>
  <c r="CM24" i="9"/>
  <c r="DL24" i="9"/>
  <c r="DK24" i="9"/>
  <c r="DB24" i="9"/>
  <c r="CI24" i="9"/>
  <c r="DV24" i="9"/>
  <c r="CS24" i="9"/>
  <c r="EA24" i="9"/>
  <c r="DW24" i="9"/>
  <c r="DA24" i="9"/>
  <c r="DS24" i="9"/>
  <c r="CE24" i="9"/>
  <c r="CD24" i="9"/>
  <c r="CL24" i="9"/>
  <c r="DT24" i="9"/>
  <c r="DX24" i="9"/>
  <c r="DE24" i="9"/>
  <c r="EH24" i="9"/>
  <c r="EB24" i="9"/>
  <c r="EL24" i="9"/>
  <c r="DU24" i="9"/>
  <c r="DF24" i="9"/>
  <c r="CR24" i="9"/>
  <c r="CC24" i="9"/>
  <c r="CY24" i="9"/>
  <c r="EI24" i="9"/>
  <c r="DY24" i="9"/>
  <c r="DJ24" i="9"/>
  <c r="CV24" i="9"/>
  <c r="EP24" i="9"/>
  <c r="DM24" i="9"/>
  <c r="EM24" i="9"/>
  <c r="EC24" i="9"/>
  <c r="DN24" i="9"/>
  <c r="CZ24" i="9"/>
  <c r="CG24" i="9"/>
  <c r="CH24" i="9"/>
  <c r="CK24" i="9"/>
  <c r="EQ24" i="9"/>
  <c r="CU24" i="9"/>
  <c r="EP20" i="9"/>
  <c r="EJ20" i="9"/>
  <c r="DV20" i="9"/>
  <c r="DL20" i="9"/>
  <c r="DE20" i="9"/>
  <c r="EO20" i="9"/>
  <c r="ER20" i="9"/>
  <c r="EK20" i="9"/>
  <c r="DZ20" i="9"/>
  <c r="DO20" i="9"/>
  <c r="DG20" i="9"/>
  <c r="DA20" i="9"/>
  <c r="CS20" i="9"/>
  <c r="DS20" i="9"/>
  <c r="CT20" i="9"/>
  <c r="CJ20" i="9"/>
  <c r="ED20" i="9"/>
  <c r="CF20" i="9"/>
  <c r="DP20" i="9"/>
  <c r="DB20" i="9"/>
  <c r="CH20" i="9"/>
  <c r="EN20" i="9"/>
  <c r="CX20" i="9"/>
  <c r="CN20" i="9"/>
  <c r="EA20" i="9"/>
  <c r="DH20" i="9"/>
  <c r="CW20" i="9"/>
  <c r="CM20" i="9"/>
  <c r="CE20" i="9"/>
  <c r="DK20" i="9"/>
  <c r="CI20" i="9"/>
  <c r="EG20" i="9"/>
  <c r="DI20" i="9"/>
  <c r="CU20" i="9"/>
  <c r="DM20" i="9"/>
  <c r="DW20" i="9"/>
  <c r="CL20" i="9"/>
  <c r="EB20" i="9"/>
  <c r="EL20" i="9"/>
  <c r="CQ20" i="9"/>
  <c r="DT20" i="9"/>
  <c r="EI20" i="9"/>
  <c r="DU20" i="9"/>
  <c r="DF20" i="9"/>
  <c r="CR20" i="9"/>
  <c r="CG20" i="9"/>
  <c r="EM20" i="9"/>
  <c r="DY20" i="9"/>
  <c r="DJ20" i="9"/>
  <c r="CV20" i="9"/>
  <c r="CK20" i="9"/>
  <c r="CY20" i="9"/>
  <c r="CD20" i="9"/>
  <c r="EQ20" i="9"/>
  <c r="EC20" i="9"/>
  <c r="DN20" i="9"/>
  <c r="CZ20" i="9"/>
  <c r="DX20" i="9"/>
  <c r="CC20" i="9"/>
  <c r="EH20" i="9"/>
  <c r="EN16" i="9"/>
  <c r="ED16" i="9"/>
  <c r="DK16" i="9"/>
  <c r="EK16" i="9"/>
  <c r="EP16" i="9"/>
  <c r="DS16" i="9"/>
  <c r="DL16" i="9"/>
  <c r="DA16" i="9"/>
  <c r="CS16" i="9"/>
  <c r="EJ16" i="9"/>
  <c r="DP16" i="9"/>
  <c r="DB16" i="9"/>
  <c r="CN16" i="9"/>
  <c r="CE16" i="9"/>
  <c r="DO16" i="9"/>
  <c r="CX16" i="9"/>
  <c r="CM16" i="9"/>
  <c r="DZ16" i="9"/>
  <c r="CJ16" i="9"/>
  <c r="ER16" i="9"/>
  <c r="DV16" i="9"/>
  <c r="DG16" i="9"/>
  <c r="CT16" i="9"/>
  <c r="CF16" i="9"/>
  <c r="DH16" i="9"/>
  <c r="CW16" i="9"/>
  <c r="CU16" i="9"/>
  <c r="DM16" i="9"/>
  <c r="EH16" i="9"/>
  <c r="EO16" i="9"/>
  <c r="DI16" i="9"/>
  <c r="DE16" i="9"/>
  <c r="DT16" i="9"/>
  <c r="CH16" i="9"/>
  <c r="EM16" i="9"/>
  <c r="DU16" i="9"/>
  <c r="DF16" i="9"/>
  <c r="CR16" i="9"/>
  <c r="CI16" i="9"/>
  <c r="CQ16" i="9"/>
  <c r="DX16" i="9"/>
  <c r="DW16" i="9"/>
  <c r="CY16" i="9"/>
  <c r="EB16" i="9"/>
  <c r="CL16" i="9"/>
  <c r="EL16" i="9"/>
  <c r="EQ16" i="9"/>
  <c r="DY16" i="9"/>
  <c r="DJ16" i="9"/>
  <c r="CV16" i="9"/>
  <c r="EA16" i="9"/>
  <c r="EC16" i="9"/>
  <c r="DN16" i="9"/>
  <c r="CZ16" i="9"/>
  <c r="CG16" i="9"/>
  <c r="EI16" i="9"/>
  <c r="EG16" i="9"/>
  <c r="CD16" i="9"/>
  <c r="CK16" i="9"/>
  <c r="CC16" i="9"/>
  <c r="ER12" i="9"/>
  <c r="EJ12" i="9"/>
  <c r="DZ12" i="9"/>
  <c r="DK12" i="9"/>
  <c r="EO12" i="9"/>
  <c r="EG12" i="9"/>
  <c r="EK12" i="9"/>
  <c r="ED12" i="9"/>
  <c r="DL12" i="9"/>
  <c r="CW12" i="9"/>
  <c r="DP12" i="9"/>
  <c r="DB12" i="9"/>
  <c r="CJ12" i="9"/>
  <c r="DH12" i="9"/>
  <c r="CX12" i="9"/>
  <c r="CN12" i="9"/>
  <c r="EN12" i="9"/>
  <c r="DO12" i="9"/>
  <c r="DA12" i="9"/>
  <c r="CH12" i="9"/>
  <c r="DG12" i="9"/>
  <c r="CT12" i="9"/>
  <c r="CM12" i="9"/>
  <c r="CE12" i="9"/>
  <c r="DV12" i="9"/>
  <c r="CF12" i="9"/>
  <c r="CI12" i="9"/>
  <c r="DS12" i="9"/>
  <c r="DW12" i="9"/>
  <c r="CU12" i="9"/>
  <c r="DM12" i="9"/>
  <c r="DI12" i="9"/>
  <c r="DE12" i="9"/>
  <c r="CY12" i="9"/>
  <c r="EA12" i="9"/>
  <c r="EB12" i="9"/>
  <c r="EL12" i="9"/>
  <c r="EM12" i="9"/>
  <c r="CS12" i="9"/>
  <c r="EP12" i="9"/>
  <c r="CQ12" i="9"/>
  <c r="CD12" i="9"/>
  <c r="EH12" i="9"/>
  <c r="EC12" i="9"/>
  <c r="DF12" i="9"/>
  <c r="CR12" i="9"/>
  <c r="CG12" i="9"/>
  <c r="DT12" i="9"/>
  <c r="EI12" i="9"/>
  <c r="DJ12" i="9"/>
  <c r="CV12" i="9"/>
  <c r="CK12" i="9"/>
  <c r="CL12" i="9"/>
  <c r="EQ12" i="9"/>
  <c r="DU12" i="9"/>
  <c r="DN12" i="9"/>
  <c r="CZ12" i="9"/>
  <c r="DX12" i="9"/>
  <c r="DY12" i="9"/>
  <c r="CC12" i="9"/>
  <c r="CV60" i="9"/>
  <c r="EM60" i="9"/>
  <c r="DU60" i="9"/>
  <c r="DF60" i="9"/>
  <c r="EG60" i="9"/>
  <c r="ER22" i="9"/>
  <c r="EJ22" i="9"/>
  <c r="DV22" i="9"/>
  <c r="DO22" i="9"/>
  <c r="DG22" i="9"/>
  <c r="EO22" i="9"/>
  <c r="EH22" i="9"/>
  <c r="EK22" i="9"/>
  <c r="DZ22" i="9"/>
  <c r="DP22" i="9"/>
  <c r="DH22" i="9"/>
  <c r="CT22" i="9"/>
  <c r="EG22" i="9"/>
  <c r="DL22" i="9"/>
  <c r="CF22" i="9"/>
  <c r="CM22" i="9"/>
  <c r="DK22" i="9"/>
  <c r="DB22" i="9"/>
  <c r="CN22" i="9"/>
  <c r="CE22" i="9"/>
  <c r="CX22" i="9"/>
  <c r="EN22" i="9"/>
  <c r="ED22" i="9"/>
  <c r="CW22" i="9"/>
  <c r="CJ22" i="9"/>
  <c r="DS22" i="9"/>
  <c r="CH22" i="9"/>
  <c r="EA22" i="9"/>
  <c r="CS22" i="9"/>
  <c r="EL22" i="9"/>
  <c r="CI22" i="9"/>
  <c r="DA22" i="9"/>
  <c r="CQ22" i="9"/>
  <c r="DW22" i="9"/>
  <c r="CD22" i="9"/>
  <c r="EM22" i="9"/>
  <c r="EP22" i="9"/>
  <c r="EC22" i="9"/>
  <c r="DN22" i="9"/>
  <c r="CZ22" i="9"/>
  <c r="CG22" i="9"/>
  <c r="CC22" i="9"/>
  <c r="DE22" i="9"/>
  <c r="DI22" i="9"/>
  <c r="CL22" i="9"/>
  <c r="EB22" i="9"/>
  <c r="EI22" i="9"/>
  <c r="CK22" i="9"/>
  <c r="CU22" i="9"/>
  <c r="DM22" i="9"/>
  <c r="EQ22" i="9"/>
  <c r="DU22" i="9"/>
  <c r="DF22" i="9"/>
  <c r="CR22" i="9"/>
  <c r="DT22" i="9"/>
  <c r="DX22" i="9"/>
  <c r="DJ22" i="9"/>
  <c r="CV22" i="9"/>
  <c r="DY22" i="9"/>
  <c r="EK14" i="9"/>
  <c r="EA14" i="9"/>
  <c r="DL14" i="9"/>
  <c r="ER14" i="9"/>
  <c r="EJ14" i="9"/>
  <c r="EN14" i="9"/>
  <c r="ED14" i="9"/>
  <c r="DO14" i="9"/>
  <c r="DA14" i="9"/>
  <c r="DK14" i="9"/>
  <c r="CT14" i="9"/>
  <c r="CF14" i="9"/>
  <c r="EO14" i="9"/>
  <c r="DZ14" i="9"/>
  <c r="DH14" i="9"/>
  <c r="DB14" i="9"/>
  <c r="CN14" i="9"/>
  <c r="CE14" i="9"/>
  <c r="CX14" i="9"/>
  <c r="EG14" i="9"/>
  <c r="DV14" i="9"/>
  <c r="DP14" i="9"/>
  <c r="CW14" i="9"/>
  <c r="CJ14" i="9"/>
  <c r="CM14" i="9"/>
  <c r="DE14" i="9"/>
  <c r="EH14" i="9"/>
  <c r="CQ14" i="9"/>
  <c r="DW14" i="9"/>
  <c r="DI14" i="9"/>
  <c r="DS14" i="9"/>
  <c r="CI14" i="9"/>
  <c r="DM14" i="9"/>
  <c r="CU14" i="9"/>
  <c r="CL14" i="9"/>
  <c r="EL14" i="9"/>
  <c r="CD14" i="9"/>
  <c r="EM14" i="9"/>
  <c r="DY14" i="9"/>
  <c r="CY14" i="9"/>
  <c r="CS14" i="9"/>
  <c r="DT14" i="9"/>
  <c r="DX14" i="9"/>
  <c r="EI14" i="9"/>
  <c r="EC14" i="9"/>
  <c r="DN14" i="9"/>
  <c r="CZ14" i="9"/>
  <c r="CG14" i="9"/>
  <c r="CC14" i="9"/>
  <c r="DG14" i="9"/>
  <c r="EP14" i="9"/>
  <c r="EQ14" i="9"/>
  <c r="CK14" i="9"/>
  <c r="EB14" i="9"/>
  <c r="DF14" i="9"/>
  <c r="CR14" i="9"/>
  <c r="CH14" i="9"/>
  <c r="DU14" i="9"/>
  <c r="DJ14" i="9"/>
  <c r="CV14" i="9"/>
  <c r="EN21" i="9"/>
  <c r="DV21" i="9"/>
  <c r="DK21" i="9"/>
  <c r="EK21" i="9"/>
  <c r="ER21" i="9"/>
  <c r="DZ21" i="9"/>
  <c r="DL21" i="9"/>
  <c r="CW21" i="9"/>
  <c r="ED21" i="9"/>
  <c r="DH21" i="9"/>
  <c r="DB21" i="9"/>
  <c r="CS21" i="9"/>
  <c r="CI21" i="9"/>
  <c r="DP21" i="9"/>
  <c r="EJ21" i="9"/>
  <c r="EB21" i="9"/>
  <c r="DA21" i="9"/>
  <c r="CF21" i="9"/>
  <c r="DO21" i="9"/>
  <c r="CT21" i="9"/>
  <c r="CJ21" i="9"/>
  <c r="CX21" i="9"/>
  <c r="CN21" i="9"/>
  <c r="EG21" i="9"/>
  <c r="CU21" i="9"/>
  <c r="CE21" i="9"/>
  <c r="DM21" i="9"/>
  <c r="EO21" i="9"/>
  <c r="CK21" i="9"/>
  <c r="CD21" i="9"/>
  <c r="EL21" i="9"/>
  <c r="DW21" i="9"/>
  <c r="CG21" i="9"/>
  <c r="CY21" i="9"/>
  <c r="DI21" i="9"/>
  <c r="DX21" i="9"/>
  <c r="CL21" i="9"/>
  <c r="DT21" i="9"/>
  <c r="EI21" i="9"/>
  <c r="CQ21" i="9"/>
  <c r="EQ21" i="9"/>
  <c r="DY21" i="9"/>
  <c r="DJ21" i="9"/>
  <c r="CV21" i="9"/>
  <c r="EA21" i="9"/>
  <c r="EH21" i="9"/>
  <c r="EC21" i="9"/>
  <c r="DN21" i="9"/>
  <c r="CZ21" i="9"/>
  <c r="CM21" i="9"/>
  <c r="DE21" i="9"/>
  <c r="CH21" i="9"/>
  <c r="DG21" i="9"/>
  <c r="DU21" i="9"/>
  <c r="DF21" i="9"/>
  <c r="CR21" i="9"/>
  <c r="CC21" i="9"/>
  <c r="EP21" i="9"/>
  <c r="DS21" i="9"/>
  <c r="EM21" i="9"/>
  <c r="EO13" i="9"/>
  <c r="EA13" i="9"/>
  <c r="DO13" i="9"/>
  <c r="DG13" i="9"/>
  <c r="EN13" i="9"/>
  <c r="ER13" i="9"/>
  <c r="EJ13" i="9"/>
  <c r="ED13" i="9"/>
  <c r="DP13" i="9"/>
  <c r="DH13" i="9"/>
  <c r="DB13" i="9"/>
  <c r="CS13" i="9"/>
  <c r="EK13" i="9"/>
  <c r="DZ13" i="9"/>
  <c r="CI13" i="9"/>
  <c r="DV13" i="9"/>
  <c r="DA13" i="9"/>
  <c r="CF13" i="9"/>
  <c r="CN13" i="9"/>
  <c r="DK13" i="9"/>
  <c r="CT13" i="9"/>
  <c r="CJ13" i="9"/>
  <c r="DL13" i="9"/>
  <c r="CX13" i="9"/>
  <c r="CW13" i="9"/>
  <c r="CQ13" i="9"/>
  <c r="CE13" i="9"/>
  <c r="EG13" i="9"/>
  <c r="DS13" i="9"/>
  <c r="CK13" i="9"/>
  <c r="CY13" i="9"/>
  <c r="DW13" i="9"/>
  <c r="CG13" i="9"/>
  <c r="DX13" i="9"/>
  <c r="DT13" i="9"/>
  <c r="EQ13" i="9"/>
  <c r="CH13" i="9"/>
  <c r="EL13" i="9"/>
  <c r="EI13" i="9"/>
  <c r="DU13" i="9"/>
  <c r="CM13" i="9"/>
  <c r="EB13" i="9"/>
  <c r="EP13" i="9"/>
  <c r="DJ13" i="9"/>
  <c r="CV13" i="9"/>
  <c r="DI13" i="9"/>
  <c r="DY13" i="9"/>
  <c r="DN13" i="9"/>
  <c r="CZ13" i="9"/>
  <c r="EH13" i="9"/>
  <c r="CD13" i="9"/>
  <c r="EC13" i="9"/>
  <c r="DE13" i="9"/>
  <c r="CC13" i="9"/>
  <c r="CL13" i="9"/>
  <c r="EM13" i="9"/>
  <c r="DF13" i="9"/>
  <c r="CR13" i="9"/>
  <c r="CU13" i="9"/>
  <c r="EL51" i="9"/>
  <c r="DZ51" i="9"/>
  <c r="DP51" i="9"/>
  <c r="DH51" i="9"/>
  <c r="DB51" i="9"/>
  <c r="CT51" i="9"/>
  <c r="ER51" i="9"/>
  <c r="EJ51" i="9"/>
  <c r="DV51" i="9"/>
  <c r="EN51" i="9"/>
  <c r="ED51" i="9"/>
  <c r="DK51" i="9"/>
  <c r="CX51" i="9"/>
  <c r="CJ51" i="9"/>
  <c r="EO51" i="9"/>
  <c r="CS51" i="9"/>
  <c r="CN51" i="9"/>
  <c r="EG51" i="9"/>
  <c r="CI51" i="9"/>
  <c r="DA51" i="9"/>
  <c r="DL51" i="9"/>
  <c r="CY51" i="9"/>
  <c r="DO51" i="9"/>
  <c r="CF51" i="9"/>
  <c r="DS51" i="9"/>
  <c r="EB51" i="9"/>
  <c r="CU51" i="9"/>
  <c r="EA51" i="9"/>
  <c r="CQ51" i="9"/>
  <c r="DT51" i="9"/>
  <c r="EP51" i="9"/>
  <c r="CH51" i="9"/>
  <c r="CL51" i="9"/>
  <c r="DE51" i="9"/>
  <c r="CD51" i="9"/>
  <c r="EQ51" i="9"/>
  <c r="EK51" i="9"/>
  <c r="DI51" i="9"/>
  <c r="CG51" i="9"/>
  <c r="EI51" i="9"/>
  <c r="DX51" i="9"/>
  <c r="EH51" i="9"/>
  <c r="EM51" i="9"/>
  <c r="DU51" i="9"/>
  <c r="DF51" i="9"/>
  <c r="CR51" i="9"/>
  <c r="DG51" i="9"/>
  <c r="DW51" i="9"/>
  <c r="DY51" i="9"/>
  <c r="DJ51" i="9"/>
  <c r="CV51" i="9"/>
  <c r="EC51" i="9"/>
  <c r="DM51" i="9"/>
  <c r="DN51" i="9"/>
  <c r="CZ51" i="9"/>
  <c r="EO23" i="9"/>
  <c r="DZ23" i="9"/>
  <c r="DK23" i="9"/>
  <c r="EN23" i="9"/>
  <c r="DV23" i="9"/>
  <c r="ER23" i="9"/>
  <c r="EJ23" i="9"/>
  <c r="ED23" i="9"/>
  <c r="DL23" i="9"/>
  <c r="DB23" i="9"/>
  <c r="CS23" i="9"/>
  <c r="DP23" i="9"/>
  <c r="CT23" i="9"/>
  <c r="CF23" i="9"/>
  <c r="EK23" i="9"/>
  <c r="DO23" i="9"/>
  <c r="CN23" i="9"/>
  <c r="DG23" i="9"/>
  <c r="CX23" i="9"/>
  <c r="CI23" i="9"/>
  <c r="DH23" i="9"/>
  <c r="DA23" i="9"/>
  <c r="CJ23" i="9"/>
  <c r="CE23" i="9"/>
  <c r="EL23" i="9"/>
  <c r="DS23" i="9"/>
  <c r="CM23" i="9"/>
  <c r="EG23" i="9"/>
  <c r="CD23" i="9"/>
  <c r="DE23" i="9"/>
  <c r="CL23" i="9"/>
  <c r="DX23" i="9"/>
  <c r="EH23" i="9"/>
  <c r="EB23" i="9"/>
  <c r="EA23" i="9"/>
  <c r="DI23" i="9"/>
  <c r="DM23" i="9"/>
  <c r="CY23" i="9"/>
  <c r="DW23" i="9"/>
  <c r="CU23" i="9"/>
  <c r="EQ23" i="9"/>
  <c r="CQ23" i="9"/>
  <c r="EM23" i="9"/>
  <c r="CG23" i="9"/>
  <c r="DT23" i="9"/>
  <c r="DU23" i="9"/>
  <c r="DF23" i="9"/>
  <c r="CR23" i="9"/>
  <c r="CK23" i="9"/>
  <c r="CW23" i="9"/>
  <c r="EP23" i="9"/>
  <c r="DY23" i="9"/>
  <c r="DJ23" i="9"/>
  <c r="CV23" i="9"/>
  <c r="EI23" i="9"/>
  <c r="CH23" i="9"/>
  <c r="EC23" i="9"/>
  <c r="DN23" i="9"/>
  <c r="CZ23" i="9"/>
  <c r="CC23" i="9"/>
  <c r="EK19" i="9"/>
  <c r="DV19" i="9"/>
  <c r="DK19" i="9"/>
  <c r="ER19" i="9"/>
  <c r="EJ19" i="9"/>
  <c r="EN19" i="9"/>
  <c r="DZ19" i="9"/>
  <c r="DL19" i="9"/>
  <c r="CT19" i="9"/>
  <c r="EG19" i="9"/>
  <c r="DP19" i="9"/>
  <c r="CN19" i="9"/>
  <c r="CF19" i="9"/>
  <c r="DA19" i="9"/>
  <c r="ED19" i="9"/>
  <c r="DO19" i="9"/>
  <c r="DB19" i="9"/>
  <c r="CM19" i="9"/>
  <c r="CE19" i="9"/>
  <c r="DH19" i="9"/>
  <c r="EO19" i="9"/>
  <c r="CX19" i="9"/>
  <c r="CI19" i="9"/>
  <c r="CJ19" i="9"/>
  <c r="DG19" i="9"/>
  <c r="DT19" i="9"/>
  <c r="DI19" i="9"/>
  <c r="DM19" i="9"/>
  <c r="CY19" i="9"/>
  <c r="CQ19" i="9"/>
  <c r="EL19" i="9"/>
  <c r="DW19" i="9"/>
  <c r="EA19" i="9"/>
  <c r="EP19" i="9"/>
  <c r="EQ19" i="9"/>
  <c r="CS19" i="9"/>
  <c r="DS19" i="9"/>
  <c r="CH19" i="9"/>
  <c r="CW19" i="9"/>
  <c r="CL19" i="9"/>
  <c r="DU19" i="9"/>
  <c r="DF19" i="9"/>
  <c r="CR19" i="9"/>
  <c r="DE19" i="9"/>
  <c r="DX19" i="9"/>
  <c r="EH19" i="9"/>
  <c r="EB19" i="9"/>
  <c r="EI19" i="9"/>
  <c r="DY19" i="9"/>
  <c r="DJ19" i="9"/>
  <c r="CV19" i="9"/>
  <c r="CG19" i="9"/>
  <c r="CC19" i="9"/>
  <c r="EC19" i="9"/>
  <c r="DN19" i="9"/>
  <c r="CZ19" i="9"/>
  <c r="CU19" i="9"/>
  <c r="EM19" i="9"/>
  <c r="CD19" i="9"/>
  <c r="CK19" i="9"/>
  <c r="EO15" i="9"/>
  <c r="EJ15" i="9"/>
  <c r="ED15" i="9"/>
  <c r="DO15" i="9"/>
  <c r="DH15" i="9"/>
  <c r="EN15" i="9"/>
  <c r="ER15" i="9"/>
  <c r="EK15" i="9"/>
  <c r="DP15" i="9"/>
  <c r="DK15" i="9"/>
  <c r="CW15" i="9"/>
  <c r="DZ15" i="9"/>
  <c r="DM15" i="9"/>
  <c r="DB15" i="9"/>
  <c r="CS15" i="9"/>
  <c r="CF15" i="9"/>
  <c r="CX15" i="9"/>
  <c r="CJ15" i="9"/>
  <c r="EL15" i="9"/>
  <c r="DV15" i="9"/>
  <c r="DL15" i="9"/>
  <c r="DA15" i="9"/>
  <c r="CN15" i="9"/>
  <c r="DG15" i="9"/>
  <c r="CT15" i="9"/>
  <c r="CI15" i="9"/>
  <c r="CE15" i="9"/>
  <c r="CQ15" i="9"/>
  <c r="CM15" i="9"/>
  <c r="DI15" i="9"/>
  <c r="CH15" i="9"/>
  <c r="CD15" i="9"/>
  <c r="EI15" i="9"/>
  <c r="DS15" i="9"/>
  <c r="DT15" i="9"/>
  <c r="CY15" i="9"/>
  <c r="DX15" i="9"/>
  <c r="EH15" i="9"/>
  <c r="EB15" i="9"/>
  <c r="EQ15" i="9"/>
  <c r="CL15" i="9"/>
  <c r="DE15" i="9"/>
  <c r="EA15" i="9"/>
  <c r="CG15" i="9"/>
  <c r="CC15" i="9"/>
  <c r="DU15" i="9"/>
  <c r="DF15" i="9"/>
  <c r="CR15" i="9"/>
  <c r="CK15" i="9"/>
  <c r="EG15" i="9"/>
  <c r="DW15" i="9"/>
  <c r="CU15" i="9"/>
  <c r="EM15" i="9"/>
  <c r="DY15" i="9"/>
  <c r="DJ15" i="9"/>
  <c r="CV15" i="9"/>
  <c r="EP15" i="9"/>
  <c r="EC15" i="9"/>
  <c r="DN15" i="9"/>
  <c r="CZ15" i="9"/>
  <c r="CW51" i="9"/>
  <c r="EK24" i="9"/>
  <c r="EI60" i="9"/>
  <c r="CI60" i="9"/>
  <c r="CZ60" i="9"/>
  <c r="CC51" i="9"/>
  <c r="A130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1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141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13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H5" i="17"/>
  <c r="C5" i="17"/>
  <c r="G12" i="9" l="1"/>
  <c r="G9" i="9" s="1"/>
  <c r="U9" i="9"/>
  <c r="CA58" i="9"/>
  <c r="CA59" i="9"/>
  <c r="EP10" i="9"/>
  <c r="DA22" i="21" s="1"/>
  <c r="EP9" i="9"/>
  <c r="EI9" i="9"/>
  <c r="EI10" i="9"/>
  <c r="CO22" i="21" s="1"/>
  <c r="EL10" i="9"/>
  <c r="CS22" i="21" s="1"/>
  <c r="EL9" i="9"/>
  <c r="ER9" i="9"/>
  <c r="DC20" i="21" s="1"/>
  <c r="ER10" i="9"/>
  <c r="DC22" i="21" s="1"/>
  <c r="EH10" i="9"/>
  <c r="CN22" i="21" s="1"/>
  <c r="EH9" i="9"/>
  <c r="EK10" i="9"/>
  <c r="CR22" i="21" s="1"/>
  <c r="EK9" i="9"/>
  <c r="EN10" i="9"/>
  <c r="CW22" i="21" s="1"/>
  <c r="EN9" i="9"/>
  <c r="EO10" i="9"/>
  <c r="CX22" i="21" s="1"/>
  <c r="EO9" i="9"/>
  <c r="EQ9" i="9"/>
  <c r="EQ10" i="9"/>
  <c r="DB22" i="21" s="1"/>
  <c r="EM9" i="9"/>
  <c r="EM10" i="9"/>
  <c r="CV22" i="21" s="1"/>
  <c r="EG10" i="9"/>
  <c r="CM22" i="21" s="1"/>
  <c r="EG9" i="9"/>
  <c r="EJ9" i="9"/>
  <c r="EJ10" i="9"/>
  <c r="CQ22" i="21" s="1"/>
  <c r="DW9" i="9"/>
  <c r="BX20" i="21" s="1"/>
  <c r="DW10" i="9"/>
  <c r="BX22" i="21" s="1"/>
  <c r="DT10" i="9"/>
  <c r="BT22" i="21" s="1"/>
  <c r="DT9" i="9"/>
  <c r="EC9" i="9"/>
  <c r="EC10" i="9"/>
  <c r="CH22" i="21" s="1"/>
  <c r="EB10" i="9"/>
  <c r="CG22" i="21" s="1"/>
  <c r="EB9" i="9"/>
  <c r="DS9" i="9"/>
  <c r="DS10" i="9"/>
  <c r="BS22" i="21" s="1"/>
  <c r="ED10" i="9"/>
  <c r="CI22" i="21" s="1"/>
  <c r="ED9" i="9"/>
  <c r="DY9" i="9"/>
  <c r="DY10" i="9"/>
  <c r="CB22" i="21" s="1"/>
  <c r="DU9" i="9"/>
  <c r="DU10" i="9"/>
  <c r="BU22" i="21" s="1"/>
  <c r="EA9" i="9"/>
  <c r="CD20" i="21" s="1"/>
  <c r="EA10" i="9"/>
  <c r="CD22" i="21" s="1"/>
  <c r="DZ10" i="9"/>
  <c r="CC22" i="21" s="1"/>
  <c r="DZ9" i="9"/>
  <c r="DV10" i="9"/>
  <c r="BW22" i="21" s="1"/>
  <c r="DV9" i="9"/>
  <c r="DX10" i="9"/>
  <c r="BY22" i="21" s="1"/>
  <c r="DX9" i="9"/>
  <c r="DF10" i="9"/>
  <c r="AZ22" i="21" s="1"/>
  <c r="DF9" i="9"/>
  <c r="AZ20" i="21" s="1"/>
  <c r="DE9" i="9"/>
  <c r="DE10" i="9"/>
  <c r="AY22" i="21" s="1"/>
  <c r="DN10" i="9"/>
  <c r="BM22" i="21" s="1"/>
  <c r="DN9" i="9"/>
  <c r="DI9" i="9"/>
  <c r="BD20" i="21" s="1"/>
  <c r="DI10" i="9"/>
  <c r="BD22" i="21" s="1"/>
  <c r="DK9" i="9"/>
  <c r="DK10" i="9"/>
  <c r="BH22" i="21" s="1"/>
  <c r="DM9" i="9"/>
  <c r="DM10" i="9"/>
  <c r="BJ22" i="21" s="1"/>
  <c r="DP10" i="9"/>
  <c r="BO22" i="21" s="1"/>
  <c r="DP9" i="9"/>
  <c r="DG9" i="9"/>
  <c r="DG10" i="9"/>
  <c r="BA22" i="21" s="1"/>
  <c r="DL10" i="9"/>
  <c r="BI22" i="21" s="1"/>
  <c r="DL9" i="9"/>
  <c r="DJ10" i="9"/>
  <c r="BE22" i="21" s="1"/>
  <c r="DJ9" i="9"/>
  <c r="DO9" i="9"/>
  <c r="DO10" i="9"/>
  <c r="BN22" i="21" s="1"/>
  <c r="DH10" i="9"/>
  <c r="BC22" i="21" s="1"/>
  <c r="DH9" i="9"/>
  <c r="CZ10" i="9"/>
  <c r="AS22" i="21" s="1"/>
  <c r="CZ9" i="9"/>
  <c r="DB10" i="9"/>
  <c r="AU22" i="21" s="1"/>
  <c r="DB9" i="9"/>
  <c r="CV10" i="9"/>
  <c r="AK22" i="21" s="1"/>
  <c r="CV9" i="9"/>
  <c r="CS9" i="9"/>
  <c r="AG20" i="21" s="1"/>
  <c r="CS10" i="9"/>
  <c r="AG22" i="21" s="1"/>
  <c r="DA9" i="9"/>
  <c r="DA10" i="9"/>
  <c r="AT22" i="21" s="1"/>
  <c r="CX10" i="9"/>
  <c r="AO22" i="21" s="1"/>
  <c r="CX9" i="9"/>
  <c r="CQ9" i="9"/>
  <c r="CQ10" i="9"/>
  <c r="AE22" i="21" s="1"/>
  <c r="CR9" i="9"/>
  <c r="AF20" i="21" s="1"/>
  <c r="CR10" i="9"/>
  <c r="AF22" i="21" s="1"/>
  <c r="CY10" i="9"/>
  <c r="AP22" i="21" s="1"/>
  <c r="CY9" i="9"/>
  <c r="CU9" i="9"/>
  <c r="AJ20" i="21" s="1"/>
  <c r="CU10" i="9"/>
  <c r="AJ22" i="21" s="1"/>
  <c r="CT10" i="9"/>
  <c r="AI22" i="21" s="1"/>
  <c r="CT9" i="9"/>
  <c r="CW10" i="9"/>
  <c r="AN22" i="21" s="1"/>
  <c r="CW9" i="9"/>
  <c r="CJ9" i="9"/>
  <c r="CK9" i="9"/>
  <c r="CE9" i="9"/>
  <c r="CH9" i="9"/>
  <c r="CN9" i="9"/>
  <c r="CG9" i="9"/>
  <c r="CI9" i="9"/>
  <c r="CM9" i="9"/>
  <c r="CL9" i="9"/>
  <c r="CD9" i="9"/>
  <c r="CF9" i="9"/>
  <c r="O20" i="21" s="1"/>
  <c r="CJ10" i="9"/>
  <c r="U22" i="21" s="1"/>
  <c r="CK10" i="9"/>
  <c r="V22" i="21" s="1"/>
  <c r="CE10" i="9"/>
  <c r="M22" i="21" s="1"/>
  <c r="CH10" i="9"/>
  <c r="Q22" i="21" s="1"/>
  <c r="CN10" i="9"/>
  <c r="AA22" i="21" s="1"/>
  <c r="CL10" i="9"/>
  <c r="Y22" i="21" s="1"/>
  <c r="CG10" i="9"/>
  <c r="P22" i="21" s="1"/>
  <c r="CI10" i="9"/>
  <c r="T22" i="21" s="1"/>
  <c r="CM10" i="9"/>
  <c r="Z22" i="21" s="1"/>
  <c r="CD10" i="9"/>
  <c r="L22" i="21" s="1"/>
  <c r="CF10" i="9"/>
  <c r="O22" i="21" s="1"/>
  <c r="CC10" i="9"/>
  <c r="K22" i="21" s="1"/>
  <c r="CC9" i="9"/>
  <c r="CA57" i="9"/>
  <c r="CA56" i="9"/>
  <c r="G5" i="17"/>
  <c r="CA54" i="9"/>
  <c r="CA55" i="9"/>
  <c r="CA52" i="9"/>
  <c r="CA53" i="9"/>
  <c r="CA33" i="9"/>
  <c r="CA32" i="9"/>
  <c r="CA29" i="9"/>
  <c r="CA40" i="9"/>
  <c r="CA45" i="9"/>
  <c r="CA25" i="9"/>
  <c r="CA44" i="9"/>
  <c r="CA43" i="9"/>
  <c r="CA49" i="9"/>
  <c r="CA46" i="9"/>
  <c r="CA31" i="9"/>
  <c r="CA36" i="9"/>
  <c r="CA27" i="9"/>
  <c r="CA38" i="9"/>
  <c r="CA50" i="9"/>
  <c r="CA28" i="9"/>
  <c r="CA41" i="9"/>
  <c r="CA37" i="9"/>
  <c r="CA26" i="9"/>
  <c r="CA48" i="9"/>
  <c r="CA39" i="9"/>
  <c r="CA42" i="9"/>
  <c r="CA35" i="9"/>
  <c r="CA30" i="9"/>
  <c r="CA47" i="9"/>
  <c r="CA34" i="9"/>
  <c r="CO21" i="9"/>
  <c r="EE60" i="9"/>
  <c r="CO51" i="9"/>
  <c r="DC15" i="9"/>
  <c r="DQ19" i="9"/>
  <c r="ES18" i="9"/>
  <c r="DC21" i="9"/>
  <c r="DC20" i="9"/>
  <c r="EE24" i="9"/>
  <c r="ES17" i="9"/>
  <c r="CO19" i="9"/>
  <c r="EE23" i="9"/>
  <c r="DC13" i="9"/>
  <c r="CO14" i="9"/>
  <c r="EE14" i="9"/>
  <c r="ES14" i="9"/>
  <c r="DC22" i="9"/>
  <c r="ES12" i="9"/>
  <c r="EE19" i="9"/>
  <c r="DQ23" i="9"/>
  <c r="ES51" i="9"/>
  <c r="DC51" i="9"/>
  <c r="ES13" i="9"/>
  <c r="DQ13" i="9"/>
  <c r="ES21" i="9"/>
  <c r="DQ60" i="9"/>
  <c r="ES60" i="9"/>
  <c r="CO17" i="9"/>
  <c r="EE18" i="9"/>
  <c r="DQ18" i="9"/>
  <c r="EE15" i="9"/>
  <c r="DC19" i="9"/>
  <c r="DC23" i="9"/>
  <c r="ES23" i="9"/>
  <c r="DQ51" i="9"/>
  <c r="CO13" i="9"/>
  <c r="EE13" i="9"/>
  <c r="EE21" i="9"/>
  <c r="DQ21" i="9"/>
  <c r="DQ14" i="9"/>
  <c r="CO22" i="9"/>
  <c r="EE22" i="9"/>
  <c r="ES20" i="9"/>
  <c r="CO24" i="9"/>
  <c r="ES24" i="9"/>
  <c r="CO60" i="9"/>
  <c r="DC60" i="9"/>
  <c r="DC17" i="9"/>
  <c r="CO15" i="9"/>
  <c r="ES15" i="9"/>
  <c r="DQ15" i="9"/>
  <c r="ES19" i="9"/>
  <c r="CO23" i="9"/>
  <c r="EE51" i="9"/>
  <c r="DC14" i="9"/>
  <c r="DQ22" i="9"/>
  <c r="ES22" i="9"/>
  <c r="CO20" i="9"/>
  <c r="EE20" i="9"/>
  <c r="DQ20" i="9"/>
  <c r="DC24" i="9"/>
  <c r="DQ24" i="9"/>
  <c r="DQ17" i="9"/>
  <c r="EE17" i="9"/>
  <c r="CO18" i="9"/>
  <c r="DC18" i="9"/>
  <c r="DC12" i="9"/>
  <c r="EE12" i="9"/>
  <c r="DQ12" i="9"/>
  <c r="CO12" i="9"/>
  <c r="CO16" i="9"/>
  <c r="DQ16" i="9"/>
  <c r="DC16" i="9"/>
  <c r="EE16" i="9"/>
  <c r="ES16" i="9"/>
  <c r="CT22" i="21" l="1"/>
  <c r="CY22" i="21"/>
  <c r="BZ22" i="21"/>
  <c r="CP22" i="21"/>
  <c r="DD22" i="21"/>
  <c r="CJ22" i="21"/>
  <c r="CE22" i="21"/>
  <c r="BV22" i="21"/>
  <c r="AQ22" i="21"/>
  <c r="BF22" i="21"/>
  <c r="BB22" i="21"/>
  <c r="BK22" i="21"/>
  <c r="BP22" i="21"/>
  <c r="AH22" i="21"/>
  <c r="AL22" i="21"/>
  <c r="AV22" i="21"/>
  <c r="W22" i="21"/>
  <c r="AB22" i="21"/>
  <c r="R22" i="21"/>
  <c r="N22" i="21"/>
  <c r="K20" i="21"/>
  <c r="DA19" i="15"/>
  <c r="DA20" i="21"/>
  <c r="CI19" i="15"/>
  <c r="CG19" i="15"/>
  <c r="CX19" i="15"/>
  <c r="CR19" i="15"/>
  <c r="DC19" i="15"/>
  <c r="DB20" i="21"/>
  <c r="DB19" i="15"/>
  <c r="CW20" i="21"/>
  <c r="CW19" i="15"/>
  <c r="CV20" i="21"/>
  <c r="CV19" i="15"/>
  <c r="CS20" i="21"/>
  <c r="CS19" i="15"/>
  <c r="CQ20" i="21"/>
  <c r="CQ19" i="15"/>
  <c r="CO20" i="21"/>
  <c r="CO19" i="15"/>
  <c r="CN20" i="21"/>
  <c r="CN19" i="15"/>
  <c r="CM20" i="21"/>
  <c r="CM19" i="15"/>
  <c r="CD19" i="15"/>
  <c r="CB19" i="15"/>
  <c r="CH20" i="21"/>
  <c r="CH19" i="15"/>
  <c r="CB20" i="21"/>
  <c r="BY19" i="15"/>
  <c r="CC19" i="15"/>
  <c r="BT19" i="15"/>
  <c r="BX19" i="15"/>
  <c r="BW20" i="21"/>
  <c r="BW19" i="15"/>
  <c r="BU20" i="21"/>
  <c r="BU19" i="15"/>
  <c r="AN19" i="15"/>
  <c r="AO19" i="15"/>
  <c r="AU19" i="15"/>
  <c r="BC19" i="15"/>
  <c r="BE19" i="15"/>
  <c r="BS20" i="21"/>
  <c r="BS19" i="15"/>
  <c r="BO20" i="21"/>
  <c r="BO19" i="15"/>
  <c r="BN20" i="21"/>
  <c r="BN19" i="15"/>
  <c r="BM20" i="21"/>
  <c r="BM19" i="15"/>
  <c r="BJ20" i="21"/>
  <c r="BJ19" i="15"/>
  <c r="BI20" i="21"/>
  <c r="BI19" i="15"/>
  <c r="BH20" i="21"/>
  <c r="BH19" i="15"/>
  <c r="BD19" i="15"/>
  <c r="AZ19" i="15"/>
  <c r="BA20" i="21"/>
  <c r="BA19" i="15"/>
  <c r="AY20" i="21"/>
  <c r="AY19" i="15"/>
  <c r="AP19" i="15"/>
  <c r="AT20" i="21"/>
  <c r="AT19" i="15"/>
  <c r="AS20" i="21"/>
  <c r="AS19" i="15"/>
  <c r="AK19" i="15"/>
  <c r="AJ19" i="15"/>
  <c r="AI20" i="21"/>
  <c r="AI19" i="15"/>
  <c r="AG19" i="15"/>
  <c r="AF19" i="15"/>
  <c r="AE20" i="21"/>
  <c r="AH20" i="21" s="1"/>
  <c r="AE19" i="15"/>
  <c r="Z19" i="15"/>
  <c r="AA20" i="21"/>
  <c r="AA19" i="15"/>
  <c r="Y20" i="21"/>
  <c r="Y19" i="15"/>
  <c r="V20" i="21"/>
  <c r="V19" i="15"/>
  <c r="U20" i="21"/>
  <c r="U19" i="15"/>
  <c r="T19" i="15"/>
  <c r="Q19" i="15"/>
  <c r="CW11" i="9"/>
  <c r="CX11" i="9"/>
  <c r="DB11" i="9"/>
  <c r="DH11" i="9"/>
  <c r="DJ11" i="9"/>
  <c r="DX11" i="9"/>
  <c r="DZ11" i="9"/>
  <c r="ED11" i="9"/>
  <c r="EB11" i="9"/>
  <c r="DT11" i="9"/>
  <c r="EO11" i="9"/>
  <c r="EK11" i="9"/>
  <c r="P20" i="21"/>
  <c r="P19" i="15"/>
  <c r="O19" i="15"/>
  <c r="L19" i="15"/>
  <c r="M19" i="15"/>
  <c r="EQ11" i="9"/>
  <c r="CC11" i="9"/>
  <c r="K19" i="15"/>
  <c r="CX20" i="21"/>
  <c r="EJ11" i="9"/>
  <c r="EM11" i="9"/>
  <c r="ER11" i="9"/>
  <c r="EI11" i="9"/>
  <c r="CR20" i="21"/>
  <c r="CG20" i="21"/>
  <c r="DV11" i="9"/>
  <c r="EG11" i="9"/>
  <c r="ES9" i="9"/>
  <c r="EN11" i="9"/>
  <c r="EH11" i="9"/>
  <c r="EL11" i="9"/>
  <c r="EP11" i="9"/>
  <c r="BY20" i="21"/>
  <c r="ES10" i="9"/>
  <c r="BT20" i="21"/>
  <c r="DU11" i="9"/>
  <c r="CC20" i="21"/>
  <c r="CE20" i="21" s="1"/>
  <c r="EE10" i="9"/>
  <c r="CI20" i="21"/>
  <c r="DO11" i="9"/>
  <c r="DK11" i="9"/>
  <c r="EA11" i="9"/>
  <c r="DY11" i="9"/>
  <c r="DS11" i="9"/>
  <c r="EE9" i="9"/>
  <c r="EC11" i="9"/>
  <c r="DW11" i="9"/>
  <c r="AO20" i="21"/>
  <c r="AN20" i="21"/>
  <c r="AU20" i="21"/>
  <c r="BE20" i="21"/>
  <c r="DG11" i="9"/>
  <c r="DM11" i="9"/>
  <c r="DI11" i="9"/>
  <c r="DE11" i="9"/>
  <c r="DQ9" i="9"/>
  <c r="DQ10" i="9"/>
  <c r="BC20" i="21"/>
  <c r="CK11" i="9"/>
  <c r="CT11" i="9"/>
  <c r="CY11" i="9"/>
  <c r="DC10" i="9"/>
  <c r="CV11" i="9"/>
  <c r="CZ11" i="9"/>
  <c r="DL11" i="9"/>
  <c r="DP11" i="9"/>
  <c r="DN11" i="9"/>
  <c r="DF11" i="9"/>
  <c r="AK20" i="21"/>
  <c r="CU11" i="9"/>
  <c r="CR11" i="9"/>
  <c r="CS11" i="9"/>
  <c r="AP20" i="21"/>
  <c r="DC9" i="9"/>
  <c r="CQ11" i="9"/>
  <c r="DA11" i="9"/>
  <c r="Z20" i="21"/>
  <c r="CM11" i="9"/>
  <c r="Q20" i="21"/>
  <c r="CH11" i="9"/>
  <c r="CF11" i="9"/>
  <c r="T20" i="21"/>
  <c r="CI11" i="9"/>
  <c r="M20" i="21"/>
  <c r="CE11" i="9"/>
  <c r="L20" i="21"/>
  <c r="CD11" i="9"/>
  <c r="CG11" i="9"/>
  <c r="CL11" i="9"/>
  <c r="CN11" i="9"/>
  <c r="CJ11" i="9"/>
  <c r="CO9" i="9"/>
  <c r="CO10" i="9"/>
  <c r="CA14" i="9"/>
  <c r="CA15" i="9"/>
  <c r="CA60" i="9"/>
  <c r="CA17" i="9"/>
  <c r="CA51" i="9"/>
  <c r="CA21" i="9"/>
  <c r="CA24" i="9"/>
  <c r="CA23" i="9"/>
  <c r="CA22" i="9"/>
  <c r="CA13" i="9"/>
  <c r="CA18" i="9"/>
  <c r="CA20" i="9"/>
  <c r="CA19" i="9"/>
  <c r="CA12" i="9"/>
  <c r="CA16" i="9"/>
  <c r="R20" i="21" l="1"/>
  <c r="CA9" i="9"/>
  <c r="CA10" i="9"/>
  <c r="CU22" i="21"/>
  <c r="CZ22" i="21" s="1"/>
  <c r="DE22" i="21" s="1"/>
  <c r="CA22" i="21"/>
  <c r="CF22" i="21" s="1"/>
  <c r="CK22" i="21" s="1"/>
  <c r="AM22" i="21"/>
  <c r="AR22" i="21" s="1"/>
  <c r="AW22" i="21" s="1"/>
  <c r="BG22" i="21"/>
  <c r="BL22" i="21" s="1"/>
  <c r="BQ22" i="21" s="1"/>
  <c r="S22" i="21"/>
  <c r="X22" i="21" s="1"/>
  <c r="AC22" i="21" s="1"/>
  <c r="DD20" i="21"/>
  <c r="CY20" i="21"/>
  <c r="CP20" i="21"/>
  <c r="CT20" i="21"/>
  <c r="BV20" i="21"/>
  <c r="BP20" i="21"/>
  <c r="BZ20" i="21"/>
  <c r="BK20" i="21"/>
  <c r="BB20" i="21"/>
  <c r="AV20" i="21"/>
  <c r="AL20" i="21"/>
  <c r="AM20" i="21" s="1"/>
  <c r="W20" i="21"/>
  <c r="AB20" i="21"/>
  <c r="CJ20" i="21"/>
  <c r="BF20" i="21"/>
  <c r="N20" i="21"/>
  <c r="ES11" i="9"/>
  <c r="EE11" i="9"/>
  <c r="DC11" i="9"/>
  <c r="DQ11" i="9"/>
  <c r="AQ20" i="21"/>
  <c r="CO11" i="9"/>
  <c r="S20" i="21" l="1"/>
  <c r="X20" i="21" s="1"/>
  <c r="AC20" i="21" s="1"/>
  <c r="CA11" i="9"/>
  <c r="I22" i="21"/>
  <c r="CU20" i="21"/>
  <c r="CZ20" i="21" s="1"/>
  <c r="DE20" i="21" s="1"/>
  <c r="CA20" i="21"/>
  <c r="CF20" i="21" s="1"/>
  <c r="CK20" i="21" s="1"/>
  <c r="BG20" i="21"/>
  <c r="BL20" i="21" s="1"/>
  <c r="BQ20" i="21" s="1"/>
  <c r="AR20" i="21"/>
  <c r="AW20" i="21" s="1"/>
  <c r="H130" i="23"/>
  <c r="G130" i="23" s="1"/>
  <c r="C130" i="23"/>
  <c r="H27" i="23"/>
  <c r="G27" i="23" s="1"/>
  <c r="C27" i="23"/>
  <c r="H26" i="23"/>
  <c r="G26" i="23" s="1"/>
  <c r="C26" i="23"/>
  <c r="H25" i="23"/>
  <c r="G25" i="23" s="1"/>
  <c r="C25" i="23"/>
  <c r="H24" i="23"/>
  <c r="G24" i="23" s="1"/>
  <c r="C24" i="23"/>
  <c r="H23" i="23"/>
  <c r="G23" i="23" s="1"/>
  <c r="C23" i="23"/>
  <c r="H22" i="23"/>
  <c r="G22" i="23" s="1"/>
  <c r="C22" i="23"/>
  <c r="H21" i="23"/>
  <c r="G21" i="23" s="1"/>
  <c r="C21" i="23"/>
  <c r="H20" i="23"/>
  <c r="G20" i="23" s="1"/>
  <c r="C20" i="23"/>
  <c r="H19" i="23"/>
  <c r="G19" i="23" s="1"/>
  <c r="C19" i="23"/>
  <c r="H18" i="23"/>
  <c r="G18" i="23" s="1"/>
  <c r="C18" i="23"/>
  <c r="H17" i="23"/>
  <c r="G17" i="23" s="1"/>
  <c r="C17" i="23"/>
  <c r="H16" i="23"/>
  <c r="G16" i="23" s="1"/>
  <c r="C16" i="23"/>
  <c r="H15" i="23"/>
  <c r="G15" i="23" s="1"/>
  <c r="C15" i="23"/>
  <c r="H14" i="23"/>
  <c r="G14" i="23" s="1"/>
  <c r="C14" i="23"/>
  <c r="H13" i="23"/>
  <c r="G13" i="23" s="1"/>
  <c r="C13" i="23"/>
  <c r="G12" i="23"/>
  <c r="C12" i="23"/>
  <c r="H11" i="23"/>
  <c r="G11" i="23" s="1"/>
  <c r="C11" i="23"/>
  <c r="H10" i="23"/>
  <c r="G10" i="23" s="1"/>
  <c r="C10" i="23"/>
  <c r="H9" i="23"/>
  <c r="G9" i="23" s="1"/>
  <c r="C9" i="23"/>
  <c r="H8" i="23"/>
  <c r="G8" i="23" s="1"/>
  <c r="C8" i="23"/>
  <c r="H7" i="23"/>
  <c r="G7" i="23" s="1"/>
  <c r="C7" i="23"/>
  <c r="H6" i="23"/>
  <c r="G6" i="23" s="1"/>
  <c r="C6" i="23"/>
  <c r="H5" i="23"/>
  <c r="G5" i="23" s="1"/>
  <c r="C5" i="23"/>
  <c r="H128" i="22"/>
  <c r="G128" i="22" s="1"/>
  <c r="C128" i="22"/>
  <c r="H27" i="22"/>
  <c r="G27" i="22" s="1"/>
  <c r="C27" i="22"/>
  <c r="H26" i="22"/>
  <c r="G26" i="22" s="1"/>
  <c r="C26" i="22"/>
  <c r="H25" i="22"/>
  <c r="G25" i="22" s="1"/>
  <c r="C25" i="22"/>
  <c r="H24" i="22"/>
  <c r="G24" i="22" s="1"/>
  <c r="C24" i="22"/>
  <c r="H23" i="22"/>
  <c r="G23" i="22" s="1"/>
  <c r="C23" i="22"/>
  <c r="H22" i="22"/>
  <c r="G22" i="22" s="1"/>
  <c r="C22" i="22"/>
  <c r="H21" i="22"/>
  <c r="G21" i="22" s="1"/>
  <c r="C21" i="22"/>
  <c r="H20" i="22"/>
  <c r="G20" i="22" s="1"/>
  <c r="C20" i="22"/>
  <c r="H19" i="22"/>
  <c r="G19" i="22" s="1"/>
  <c r="C19" i="22"/>
  <c r="H18" i="22"/>
  <c r="G18" i="22" s="1"/>
  <c r="C18" i="22"/>
  <c r="H17" i="22"/>
  <c r="G17" i="22" s="1"/>
  <c r="C17" i="22"/>
  <c r="H16" i="22"/>
  <c r="G16" i="22" s="1"/>
  <c r="C16" i="22"/>
  <c r="H15" i="22"/>
  <c r="G15" i="22" s="1"/>
  <c r="C15" i="22"/>
  <c r="H14" i="22"/>
  <c r="G14" i="22" s="1"/>
  <c r="C14" i="22"/>
  <c r="H13" i="22"/>
  <c r="G13" i="22" s="1"/>
  <c r="C13" i="22"/>
  <c r="H12" i="22"/>
  <c r="G12" i="22" s="1"/>
  <c r="C12" i="22"/>
  <c r="H11" i="22"/>
  <c r="G11" i="22" s="1"/>
  <c r="C11" i="22"/>
  <c r="H10" i="22"/>
  <c r="G10" i="22" s="1"/>
  <c r="C10" i="22"/>
  <c r="H8" i="22"/>
  <c r="G8" i="22" s="1"/>
  <c r="C8" i="22"/>
  <c r="H7" i="22"/>
  <c r="G7" i="22" s="1"/>
  <c r="H6" i="22"/>
  <c r="G6" i="22" s="1"/>
  <c r="H5" i="22"/>
  <c r="G5" i="22" s="1"/>
  <c r="F31" i="21"/>
  <c r="B31" i="21" s="1"/>
  <c r="F30" i="21"/>
  <c r="B30" i="21" s="1"/>
  <c r="F29" i="21"/>
  <c r="B29" i="21" s="1"/>
  <c r="F21" i="21"/>
  <c r="B21" i="21" s="1"/>
  <c r="F19" i="21"/>
  <c r="B19" i="21" s="1"/>
  <c r="F18" i="21"/>
  <c r="B18" i="21" s="1"/>
  <c r="F17" i="21"/>
  <c r="B17" i="21" s="1"/>
  <c r="F15" i="21"/>
  <c r="B15" i="21" s="1"/>
  <c r="F14" i="21"/>
  <c r="B14" i="21" s="1"/>
  <c r="F13" i="21"/>
  <c r="B13" i="21" s="1"/>
  <c r="F12" i="21"/>
  <c r="B12" i="21" s="1"/>
  <c r="B11" i="21"/>
  <c r="DE5" i="21"/>
  <c r="DD5" i="21"/>
  <c r="DC5" i="21"/>
  <c r="DB5" i="21"/>
  <c r="DA5" i="21"/>
  <c r="CZ5" i="21"/>
  <c r="CY5" i="21"/>
  <c r="CX5" i="21"/>
  <c r="CW5" i="21"/>
  <c r="CV5" i="21"/>
  <c r="CU5" i="21"/>
  <c r="CT5" i="21"/>
  <c r="CS5" i="21"/>
  <c r="CR5" i="21"/>
  <c r="CQ5" i="21"/>
  <c r="CP5" i="21"/>
  <c r="CO5" i="21"/>
  <c r="CN5" i="21"/>
  <c r="CM5" i="21"/>
  <c r="CK5" i="21"/>
  <c r="CJ5" i="21"/>
  <c r="CI5" i="21"/>
  <c r="CH5" i="21"/>
  <c r="CG5" i="21"/>
  <c r="CF5" i="21"/>
  <c r="CE5" i="21"/>
  <c r="CD5" i="21"/>
  <c r="CC5" i="21"/>
  <c r="CB5" i="21"/>
  <c r="CA5" i="21"/>
  <c r="BZ5" i="21"/>
  <c r="BY5" i="21"/>
  <c r="BX5" i="21"/>
  <c r="BW5" i="21"/>
  <c r="BV5" i="21"/>
  <c r="BU5" i="21"/>
  <c r="BT5" i="21"/>
  <c r="BS5" i="21"/>
  <c r="BQ5" i="21"/>
  <c r="BP5" i="21"/>
  <c r="BO5" i="21"/>
  <c r="BN5" i="21"/>
  <c r="BM5" i="21"/>
  <c r="BL5" i="21"/>
  <c r="BK5" i="21"/>
  <c r="BJ5" i="21"/>
  <c r="BI5" i="21"/>
  <c r="BH5" i="21"/>
  <c r="BG5" i="21"/>
  <c r="BF5" i="21"/>
  <c r="BE5" i="21"/>
  <c r="BD5" i="21"/>
  <c r="BC5" i="21"/>
  <c r="BB5" i="21"/>
  <c r="BA5" i="21"/>
  <c r="AZ5" i="21"/>
  <c r="AY5" i="21"/>
  <c r="AW5" i="21"/>
  <c r="AV5" i="21"/>
  <c r="AU5" i="21"/>
  <c r="AT5" i="21"/>
  <c r="AS5" i="21"/>
  <c r="AR5" i="21"/>
  <c r="AQ5" i="21"/>
  <c r="AP5" i="21"/>
  <c r="AO5" i="21"/>
  <c r="AN5" i="21"/>
  <c r="AM5" i="21"/>
  <c r="AL5" i="21"/>
  <c r="AK5" i="21"/>
  <c r="AJ5" i="21"/>
  <c r="AI5" i="21"/>
  <c r="AH5" i="21"/>
  <c r="AG5" i="21"/>
  <c r="AF5" i="21"/>
  <c r="AE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DC3" i="21"/>
  <c r="DB3" i="21"/>
  <c r="DA3" i="21"/>
  <c r="CX3" i="21"/>
  <c r="CW3" i="21"/>
  <c r="CV3" i="21"/>
  <c r="CS3" i="21"/>
  <c r="CR3" i="21"/>
  <c r="CQ3" i="21"/>
  <c r="CO3" i="21"/>
  <c r="CN3" i="21"/>
  <c r="CM3" i="21"/>
  <c r="CI3" i="21"/>
  <c r="CH3" i="21"/>
  <c r="CG3" i="21"/>
  <c r="CD3" i="21"/>
  <c r="CC3" i="21"/>
  <c r="CB3" i="21"/>
  <c r="BY3" i="21"/>
  <c r="BX3" i="21"/>
  <c r="BW3" i="21"/>
  <c r="BU3" i="21"/>
  <c r="BT3" i="21"/>
  <c r="BS3" i="21"/>
  <c r="BO3" i="21"/>
  <c r="BN3" i="21"/>
  <c r="BM3" i="21"/>
  <c r="BJ3" i="21"/>
  <c r="BI3" i="21"/>
  <c r="BH3" i="21"/>
  <c r="BE3" i="21"/>
  <c r="BD3" i="21"/>
  <c r="BC3" i="21"/>
  <c r="BA3" i="21"/>
  <c r="AZ3" i="21"/>
  <c r="AY3" i="21"/>
  <c r="AU3" i="21"/>
  <c r="AT3" i="21"/>
  <c r="AS3" i="21"/>
  <c r="AP3" i="21"/>
  <c r="AO3" i="21"/>
  <c r="AN3" i="21"/>
  <c r="AK3" i="21"/>
  <c r="AJ3" i="21"/>
  <c r="AI3" i="21"/>
  <c r="AG3" i="21"/>
  <c r="AF3" i="21"/>
  <c r="AE3" i="21"/>
  <c r="AA3" i="21"/>
  <c r="Z3" i="21"/>
  <c r="Y3" i="21"/>
  <c r="V3" i="21"/>
  <c r="U3" i="21"/>
  <c r="T3" i="21"/>
  <c r="Q3" i="21"/>
  <c r="P3" i="21"/>
  <c r="O3" i="21"/>
  <c r="M3" i="21"/>
  <c r="L3" i="21"/>
  <c r="K3" i="21"/>
  <c r="DC23" i="21" l="1"/>
  <c r="CW23" i="21"/>
  <c r="CQ23" i="21"/>
  <c r="CI23" i="21"/>
  <c r="CC23" i="21"/>
  <c r="BW23" i="21"/>
  <c r="BO23" i="21"/>
  <c r="BI23" i="21"/>
  <c r="BC23" i="21"/>
  <c r="AU23" i="21"/>
  <c r="AO23" i="21"/>
  <c r="AI23" i="21"/>
  <c r="AA23" i="21"/>
  <c r="U23" i="21"/>
  <c r="O23" i="21"/>
  <c r="CR23" i="21"/>
  <c r="BX23" i="21"/>
  <c r="BD23" i="21"/>
  <c r="AE23" i="21"/>
  <c r="V23" i="21"/>
  <c r="DB23" i="21"/>
  <c r="CV23" i="21"/>
  <c r="CO23" i="21"/>
  <c r="CH23" i="21"/>
  <c r="CB23" i="21"/>
  <c r="BU23" i="21"/>
  <c r="BN23" i="21"/>
  <c r="BH23" i="21"/>
  <c r="BA23" i="21"/>
  <c r="AT23" i="21"/>
  <c r="AN23" i="21"/>
  <c r="AG23" i="21"/>
  <c r="Z23" i="21"/>
  <c r="T23" i="21"/>
  <c r="M23" i="21"/>
  <c r="CM23" i="21"/>
  <c r="BS23" i="21"/>
  <c r="AY23" i="21"/>
  <c r="AJ23" i="21"/>
  <c r="P23" i="21"/>
  <c r="DA23" i="21"/>
  <c r="CS23" i="21"/>
  <c r="CN23" i="21"/>
  <c r="CG23" i="21"/>
  <c r="BY23" i="21"/>
  <c r="BT23" i="21"/>
  <c r="BM23" i="21"/>
  <c r="BE23" i="21"/>
  <c r="AZ23" i="21"/>
  <c r="AS23" i="21"/>
  <c r="AK23" i="21"/>
  <c r="AF23" i="21"/>
  <c r="Y23" i="21"/>
  <c r="Q23" i="21"/>
  <c r="L23" i="21"/>
  <c r="CX23" i="21"/>
  <c r="CD23" i="21"/>
  <c r="BJ23" i="21"/>
  <c r="AP23" i="21"/>
  <c r="K23" i="21"/>
  <c r="K21" i="21"/>
  <c r="K19" i="21"/>
  <c r="K24" i="21"/>
  <c r="V19" i="21"/>
  <c r="V24" i="21"/>
  <c r="L19" i="21"/>
  <c r="L24" i="21"/>
  <c r="Q19" i="21"/>
  <c r="Q24" i="21"/>
  <c r="Y19" i="21"/>
  <c r="Y24" i="21"/>
  <c r="AF19" i="21"/>
  <c r="AF24" i="21"/>
  <c r="AK19" i="21"/>
  <c r="AK24" i="21"/>
  <c r="AS19" i="21"/>
  <c r="AS24" i="21"/>
  <c r="AZ19" i="21"/>
  <c r="AZ24" i="21"/>
  <c r="BE19" i="21"/>
  <c r="BE24" i="21"/>
  <c r="BM19" i="21"/>
  <c r="BM24" i="21"/>
  <c r="BT19" i="21"/>
  <c r="BT24" i="21"/>
  <c r="BY19" i="21"/>
  <c r="BY24" i="21"/>
  <c r="CG19" i="21"/>
  <c r="CG24" i="21"/>
  <c r="CN19" i="21"/>
  <c r="CN24" i="21"/>
  <c r="CS19" i="21"/>
  <c r="CS24" i="21"/>
  <c r="DA19" i="21"/>
  <c r="DA24" i="21"/>
  <c r="M19" i="21"/>
  <c r="M24" i="21"/>
  <c r="Z19" i="21"/>
  <c r="Z24" i="21"/>
  <c r="AG19" i="21"/>
  <c r="AG24" i="21"/>
  <c r="AN19" i="21"/>
  <c r="AN24" i="21"/>
  <c r="AT19" i="21"/>
  <c r="AT24" i="21"/>
  <c r="BA19" i="21"/>
  <c r="BA24" i="21"/>
  <c r="BH19" i="21"/>
  <c r="BH24" i="21"/>
  <c r="BN19" i="21"/>
  <c r="BN24" i="21"/>
  <c r="BU19" i="21"/>
  <c r="BU24" i="21"/>
  <c r="CB19" i="21"/>
  <c r="CB24" i="21"/>
  <c r="CH19" i="21"/>
  <c r="CH24" i="21"/>
  <c r="CO19" i="21"/>
  <c r="CO24" i="21"/>
  <c r="CV19" i="21"/>
  <c r="CV24" i="21"/>
  <c r="DB19" i="21"/>
  <c r="DB24" i="21"/>
  <c r="T19" i="21"/>
  <c r="T24" i="21"/>
  <c r="O19" i="21"/>
  <c r="O24" i="21"/>
  <c r="U19" i="21"/>
  <c r="U24" i="21"/>
  <c r="AA19" i="21"/>
  <c r="AA24" i="21"/>
  <c r="AI19" i="21"/>
  <c r="AI24" i="21"/>
  <c r="AO19" i="21"/>
  <c r="AO24" i="21"/>
  <c r="AU19" i="21"/>
  <c r="AU24" i="21"/>
  <c r="BC19" i="21"/>
  <c r="BC24" i="21"/>
  <c r="BI19" i="21"/>
  <c r="BI24" i="21"/>
  <c r="BO19" i="21"/>
  <c r="BO24" i="21"/>
  <c r="BW19" i="21"/>
  <c r="BW24" i="21"/>
  <c r="CC19" i="21"/>
  <c r="CC24" i="21"/>
  <c r="CI19" i="21"/>
  <c r="CI24" i="21"/>
  <c r="CQ19" i="21"/>
  <c r="CQ24" i="21"/>
  <c r="CW19" i="21"/>
  <c r="CW24" i="21"/>
  <c r="DC19" i="21"/>
  <c r="DC24" i="21"/>
  <c r="P19" i="21"/>
  <c r="P24" i="21"/>
  <c r="AE19" i="21"/>
  <c r="AE24" i="21"/>
  <c r="AJ19" i="21"/>
  <c r="AJ24" i="21"/>
  <c r="AP19" i="21"/>
  <c r="AP24" i="21"/>
  <c r="AY19" i="21"/>
  <c r="AY24" i="21"/>
  <c r="BD19" i="21"/>
  <c r="BD24" i="21"/>
  <c r="BJ19" i="21"/>
  <c r="BJ24" i="21"/>
  <c r="BS19" i="21"/>
  <c r="BS24" i="21"/>
  <c r="BX19" i="21"/>
  <c r="BX24" i="21"/>
  <c r="CD19" i="21"/>
  <c r="CD24" i="21"/>
  <c r="CM19" i="21"/>
  <c r="CM24" i="21"/>
  <c r="CR19" i="21"/>
  <c r="CR24" i="21"/>
  <c r="CX19" i="21"/>
  <c r="CX24" i="21"/>
  <c r="H21" i="20"/>
  <c r="J21" i="20" s="1"/>
  <c r="Y17" i="21"/>
  <c r="Y18" i="21"/>
  <c r="AS17" i="21"/>
  <c r="AS18" i="21"/>
  <c r="BM17" i="21"/>
  <c r="BM18" i="21"/>
  <c r="CG17" i="21"/>
  <c r="CG18" i="21"/>
  <c r="CS17" i="21"/>
  <c r="CS18" i="21"/>
  <c r="M17" i="21"/>
  <c r="M18" i="21"/>
  <c r="T17" i="21"/>
  <c r="T18" i="21"/>
  <c r="Z17" i="21"/>
  <c r="Z18" i="21"/>
  <c r="AG17" i="21"/>
  <c r="AG18" i="21"/>
  <c r="AN17" i="21"/>
  <c r="AN18" i="21"/>
  <c r="AT17" i="21"/>
  <c r="AT18" i="21"/>
  <c r="BA17" i="21"/>
  <c r="BA18" i="21"/>
  <c r="BH17" i="21"/>
  <c r="BH18" i="21"/>
  <c r="BN17" i="21"/>
  <c r="BN18" i="21"/>
  <c r="BU17" i="21"/>
  <c r="BU18" i="21"/>
  <c r="CB17" i="21"/>
  <c r="CB18" i="21"/>
  <c r="CH17" i="21"/>
  <c r="CH18" i="21"/>
  <c r="CO17" i="21"/>
  <c r="CO18" i="21"/>
  <c r="CV17" i="21"/>
  <c r="CV18" i="21"/>
  <c r="DB17" i="21"/>
  <c r="DB18" i="21"/>
  <c r="Q17" i="21"/>
  <c r="Q18" i="21"/>
  <c r="AK17" i="21"/>
  <c r="AK18" i="21"/>
  <c r="BE17" i="21"/>
  <c r="BE18" i="21"/>
  <c r="BY17" i="21"/>
  <c r="BY18" i="21"/>
  <c r="DA17" i="21"/>
  <c r="DA18" i="21"/>
  <c r="O17" i="21"/>
  <c r="O18" i="21"/>
  <c r="AA17" i="21"/>
  <c r="AA18" i="21"/>
  <c r="AO17" i="21"/>
  <c r="AO18" i="21"/>
  <c r="BC17" i="21"/>
  <c r="BC18" i="21"/>
  <c r="BO17" i="21"/>
  <c r="BO18" i="21"/>
  <c r="CC17" i="21"/>
  <c r="CC18" i="21"/>
  <c r="CQ17" i="21"/>
  <c r="CQ18" i="21"/>
  <c r="DC17" i="21"/>
  <c r="DC18" i="21"/>
  <c r="L17" i="21"/>
  <c r="L18" i="21"/>
  <c r="AF17" i="21"/>
  <c r="AF18" i="21"/>
  <c r="AZ17" i="21"/>
  <c r="AZ18" i="21"/>
  <c r="BT17" i="21"/>
  <c r="BT18" i="21"/>
  <c r="CN17" i="21"/>
  <c r="CN18" i="21"/>
  <c r="U17" i="21"/>
  <c r="U18" i="21"/>
  <c r="AI17" i="21"/>
  <c r="AI18" i="21"/>
  <c r="AU17" i="21"/>
  <c r="AU18" i="21"/>
  <c r="BI17" i="21"/>
  <c r="BI18" i="21"/>
  <c r="BW17" i="21"/>
  <c r="BW18" i="21"/>
  <c r="CI17" i="21"/>
  <c r="CI18" i="21"/>
  <c r="CW17" i="21"/>
  <c r="CW18" i="21"/>
  <c r="K17" i="21"/>
  <c r="K18" i="21"/>
  <c r="N18" i="21" s="1"/>
  <c r="P17" i="21"/>
  <c r="P18" i="21"/>
  <c r="V17" i="21"/>
  <c r="V18" i="21"/>
  <c r="AE17" i="21"/>
  <c r="AE18" i="21"/>
  <c r="AJ17" i="21"/>
  <c r="AJ18" i="21"/>
  <c r="AP17" i="21"/>
  <c r="AP18" i="21"/>
  <c r="AY17" i="21"/>
  <c r="AY18" i="21"/>
  <c r="BB18" i="21" s="1"/>
  <c r="BD17" i="21"/>
  <c r="BD18" i="21"/>
  <c r="BJ17" i="21"/>
  <c r="BJ18" i="21"/>
  <c r="BS17" i="21"/>
  <c r="BS18" i="21"/>
  <c r="BX17" i="21"/>
  <c r="BX18" i="21"/>
  <c r="CD17" i="21"/>
  <c r="CD18" i="21"/>
  <c r="CM17" i="21"/>
  <c r="CM18" i="21"/>
  <c r="CP18" i="21" s="1"/>
  <c r="CR17" i="21"/>
  <c r="CR18" i="21"/>
  <c r="CX17" i="21"/>
  <c r="CX18" i="21"/>
  <c r="I20" i="21"/>
  <c r="Q27" i="21"/>
  <c r="Q26" i="21"/>
  <c r="Q28" i="21"/>
  <c r="Q25" i="21"/>
  <c r="M26" i="21"/>
  <c r="M28" i="21"/>
  <c r="M25" i="21"/>
  <c r="T27" i="21"/>
  <c r="T26" i="21"/>
  <c r="T28" i="21"/>
  <c r="T25" i="21"/>
  <c r="Z27" i="21"/>
  <c r="Z26" i="21"/>
  <c r="Z28" i="21"/>
  <c r="Z25" i="21"/>
  <c r="AG27" i="21"/>
  <c r="AG26" i="21"/>
  <c r="AG28" i="21"/>
  <c r="AG25" i="21"/>
  <c r="AN27" i="21"/>
  <c r="AN26" i="21"/>
  <c r="AN28" i="21"/>
  <c r="AN25" i="21"/>
  <c r="AT27" i="21"/>
  <c r="AT26" i="21"/>
  <c r="AT28" i="21"/>
  <c r="AT25" i="21"/>
  <c r="BA27" i="21"/>
  <c r="BA26" i="21"/>
  <c r="BA28" i="21"/>
  <c r="BA25" i="21"/>
  <c r="BH27" i="21"/>
  <c r="BH26" i="21"/>
  <c r="BH28" i="21"/>
  <c r="BH25" i="21"/>
  <c r="BN27" i="21"/>
  <c r="BN26" i="21"/>
  <c r="BN28" i="21"/>
  <c r="BN25" i="21"/>
  <c r="BU27" i="21"/>
  <c r="BU26" i="21"/>
  <c r="BU28" i="21"/>
  <c r="BU25" i="21"/>
  <c r="CB27" i="21"/>
  <c r="CB26" i="21"/>
  <c r="CB28" i="21"/>
  <c r="CB25" i="21"/>
  <c r="CH27" i="21"/>
  <c r="CH26" i="21"/>
  <c r="CH28" i="21"/>
  <c r="CH25" i="21"/>
  <c r="CO27" i="21"/>
  <c r="CO26" i="21"/>
  <c r="CO28" i="21"/>
  <c r="CO25" i="21"/>
  <c r="CV28" i="21"/>
  <c r="CV27" i="21"/>
  <c r="CV25" i="21"/>
  <c r="CV26" i="21"/>
  <c r="DB28" i="21"/>
  <c r="DB27" i="21"/>
  <c r="DB26" i="21"/>
  <c r="DB25" i="21"/>
  <c r="L27" i="21"/>
  <c r="L26" i="21"/>
  <c r="L25" i="21"/>
  <c r="L28" i="21"/>
  <c r="AF26" i="21"/>
  <c r="AF28" i="21"/>
  <c r="AF25" i="21"/>
  <c r="U28" i="21"/>
  <c r="U25" i="21"/>
  <c r="U27" i="21"/>
  <c r="U26" i="21"/>
  <c r="AI28" i="21"/>
  <c r="AI25" i="21"/>
  <c r="AI27" i="21"/>
  <c r="AI26" i="21"/>
  <c r="AO28" i="21"/>
  <c r="AO25" i="21"/>
  <c r="AO27" i="21"/>
  <c r="AO26" i="21"/>
  <c r="AU28" i="21"/>
  <c r="AU25" i="21"/>
  <c r="AU27" i="21"/>
  <c r="AU26" i="21"/>
  <c r="BC28" i="21"/>
  <c r="BC25" i="21"/>
  <c r="BC27" i="21"/>
  <c r="BC26" i="21"/>
  <c r="BI28" i="21"/>
  <c r="BI25" i="21"/>
  <c r="BI27" i="21"/>
  <c r="BI26" i="21"/>
  <c r="BO28" i="21"/>
  <c r="BO25" i="21"/>
  <c r="BO27" i="21"/>
  <c r="BO26" i="21"/>
  <c r="BW28" i="21"/>
  <c r="BW25" i="21"/>
  <c r="BW27" i="21"/>
  <c r="BW26" i="21"/>
  <c r="CC28" i="21"/>
  <c r="CC25" i="21"/>
  <c r="CC27" i="21"/>
  <c r="CC26" i="21"/>
  <c r="CI28" i="21"/>
  <c r="CI25" i="21"/>
  <c r="CI27" i="21"/>
  <c r="CI26" i="21"/>
  <c r="CQ28" i="21"/>
  <c r="CQ25" i="21"/>
  <c r="CQ26" i="21"/>
  <c r="CQ27" i="21"/>
  <c r="CW26" i="21"/>
  <c r="CW25" i="21"/>
  <c r="CW28" i="21"/>
  <c r="CW27" i="21"/>
  <c r="DC26" i="21"/>
  <c r="DC25" i="21"/>
  <c r="DC28" i="21"/>
  <c r="DC27" i="21"/>
  <c r="O28" i="21"/>
  <c r="O25" i="21"/>
  <c r="O27" i="21"/>
  <c r="O26" i="21"/>
  <c r="AA28" i="21"/>
  <c r="AA25" i="21"/>
  <c r="AA27" i="21"/>
  <c r="AA26" i="21"/>
  <c r="K28" i="21"/>
  <c r="K25" i="21"/>
  <c r="K27" i="21"/>
  <c r="K26" i="21"/>
  <c r="P28" i="21"/>
  <c r="P25" i="21"/>
  <c r="P27" i="21"/>
  <c r="P26" i="21"/>
  <c r="V28" i="21"/>
  <c r="V25" i="21"/>
  <c r="V26" i="21"/>
  <c r="AE28" i="21"/>
  <c r="AE25" i="21"/>
  <c r="AE27" i="21"/>
  <c r="AE26" i="21"/>
  <c r="AJ28" i="21"/>
  <c r="AJ25" i="21"/>
  <c r="AJ26" i="21"/>
  <c r="AJ27" i="21"/>
  <c r="AP28" i="21"/>
  <c r="AP25" i="21"/>
  <c r="AP27" i="21"/>
  <c r="AP26" i="21"/>
  <c r="AY28" i="21"/>
  <c r="AY25" i="21"/>
  <c r="AY26" i="21"/>
  <c r="AY27" i="21"/>
  <c r="BD28" i="21"/>
  <c r="BD25" i="21"/>
  <c r="BD27" i="21"/>
  <c r="BD26" i="21"/>
  <c r="BJ28" i="21"/>
  <c r="BJ25" i="21"/>
  <c r="BJ27" i="21"/>
  <c r="BJ26" i="21"/>
  <c r="BS28" i="21"/>
  <c r="BS25" i="21"/>
  <c r="BS27" i="21"/>
  <c r="BS26" i="21"/>
  <c r="BX28" i="21"/>
  <c r="BX25" i="21"/>
  <c r="BX27" i="21"/>
  <c r="BX26" i="21"/>
  <c r="CD28" i="21"/>
  <c r="CD25" i="21"/>
  <c r="CD27" i="21"/>
  <c r="CD26" i="21"/>
  <c r="CM28" i="21"/>
  <c r="CM25" i="21"/>
  <c r="CM26" i="21"/>
  <c r="CM27" i="21"/>
  <c r="CR25" i="21"/>
  <c r="CR26" i="21"/>
  <c r="CR28" i="21"/>
  <c r="CR27" i="21"/>
  <c r="CX26" i="21"/>
  <c r="CX25" i="21"/>
  <c r="CX28" i="21"/>
  <c r="CX27" i="21"/>
  <c r="Y26" i="21"/>
  <c r="Y25" i="21"/>
  <c r="Y28" i="21"/>
  <c r="AK27" i="21"/>
  <c r="AK26" i="21"/>
  <c r="AK25" i="21"/>
  <c r="AK28" i="21"/>
  <c r="AS27" i="21"/>
  <c r="AS26" i="21"/>
  <c r="AS28" i="21"/>
  <c r="AS25" i="21"/>
  <c r="AZ27" i="21"/>
  <c r="AZ26" i="21"/>
  <c r="AZ25" i="21"/>
  <c r="AZ28" i="21"/>
  <c r="BE27" i="21"/>
  <c r="BE26" i="21"/>
  <c r="BE28" i="21"/>
  <c r="BE25" i="21"/>
  <c r="BM27" i="21"/>
  <c r="BM26" i="21"/>
  <c r="BM25" i="21"/>
  <c r="BM28" i="21"/>
  <c r="BT27" i="21"/>
  <c r="BT26" i="21"/>
  <c r="BT28" i="21"/>
  <c r="BT25" i="21"/>
  <c r="BY27" i="21"/>
  <c r="BY26" i="21"/>
  <c r="BY25" i="21"/>
  <c r="BY28" i="21"/>
  <c r="CG27" i="21"/>
  <c r="CG26" i="21"/>
  <c r="CG28" i="21"/>
  <c r="CG25" i="21"/>
  <c r="CN27" i="21"/>
  <c r="CN26" i="21"/>
  <c r="CN25" i="21"/>
  <c r="CN28" i="21"/>
  <c r="CS26" i="21"/>
  <c r="CS27" i="21"/>
  <c r="CS28" i="21"/>
  <c r="CS25" i="21"/>
  <c r="DA28" i="21"/>
  <c r="DA27" i="21"/>
  <c r="DA26" i="21"/>
  <c r="DA25" i="21"/>
  <c r="K35" i="21"/>
  <c r="K13" i="21"/>
  <c r="K40" i="21"/>
  <c r="K30" i="21"/>
  <c r="K15" i="21"/>
  <c r="K38" i="21"/>
  <c r="K29" i="21"/>
  <c r="K14" i="21"/>
  <c r="K41" i="21"/>
  <c r="K31" i="21"/>
  <c r="L41" i="21"/>
  <c r="L38" i="21"/>
  <c r="L37" i="21" s="1"/>
  <c r="L31" i="21"/>
  <c r="L29" i="21"/>
  <c r="L40" i="21"/>
  <c r="L35" i="21"/>
  <c r="L30" i="21"/>
  <c r="L21" i="21"/>
  <c r="L14" i="21"/>
  <c r="L11" i="21"/>
  <c r="L15" i="21"/>
  <c r="L13" i="21"/>
  <c r="M35" i="21"/>
  <c r="M40" i="21"/>
  <c r="M30" i="21"/>
  <c r="M38" i="21"/>
  <c r="M37" i="21" s="1"/>
  <c r="M29" i="21"/>
  <c r="M21" i="21"/>
  <c r="M14" i="21"/>
  <c r="M11" i="21"/>
  <c r="M13" i="21"/>
  <c r="M41" i="21"/>
  <c r="M15" i="21"/>
  <c r="M31" i="21"/>
  <c r="O35" i="21"/>
  <c r="O31" i="21"/>
  <c r="O21" i="21"/>
  <c r="O11" i="21"/>
  <c r="O40" i="21"/>
  <c r="O29" i="21"/>
  <c r="O14" i="21"/>
  <c r="O41" i="21"/>
  <c r="O30" i="21"/>
  <c r="O15" i="21"/>
  <c r="O38" i="21"/>
  <c r="O13" i="21"/>
  <c r="P38" i="21"/>
  <c r="P37" i="21" s="1"/>
  <c r="P13" i="21"/>
  <c r="P41" i="21"/>
  <c r="P30" i="21"/>
  <c r="P15" i="21"/>
  <c r="P35" i="21"/>
  <c r="P31" i="21"/>
  <c r="P21" i="21"/>
  <c r="P11" i="21"/>
  <c r="P14" i="21"/>
  <c r="P29" i="21"/>
  <c r="P40" i="21"/>
  <c r="Q40" i="21"/>
  <c r="Q29" i="21"/>
  <c r="Q14" i="21"/>
  <c r="Q35" i="21"/>
  <c r="Q31" i="21"/>
  <c r="Q21" i="21"/>
  <c r="Q11" i="21"/>
  <c r="Q13" i="21"/>
  <c r="Q38" i="21"/>
  <c r="Q37" i="21" s="1"/>
  <c r="Q41" i="21"/>
  <c r="Q30" i="21"/>
  <c r="Q15" i="21"/>
  <c r="T38" i="21"/>
  <c r="T13" i="21"/>
  <c r="T41" i="21"/>
  <c r="T30" i="21"/>
  <c r="T15" i="21"/>
  <c r="T29" i="21"/>
  <c r="T31" i="21"/>
  <c r="T21" i="21"/>
  <c r="T11" i="21"/>
  <c r="T35" i="21"/>
  <c r="T14" i="21"/>
  <c r="T40" i="21"/>
  <c r="U40" i="21"/>
  <c r="U29" i="21"/>
  <c r="U14" i="21"/>
  <c r="U35" i="21"/>
  <c r="U31" i="21"/>
  <c r="U21" i="21"/>
  <c r="U11" i="21"/>
  <c r="U38" i="21"/>
  <c r="U37" i="21" s="1"/>
  <c r="U15" i="21"/>
  <c r="U41" i="21"/>
  <c r="U30" i="21"/>
  <c r="U13" i="21"/>
  <c r="V41" i="21"/>
  <c r="V30" i="21"/>
  <c r="V15" i="21"/>
  <c r="V38" i="21"/>
  <c r="V37" i="21" s="1"/>
  <c r="V13" i="21"/>
  <c r="V31" i="21"/>
  <c r="V21" i="21"/>
  <c r="V11" i="21"/>
  <c r="V35" i="21"/>
  <c r="V40" i="21"/>
  <c r="V29" i="21"/>
  <c r="V14" i="21"/>
  <c r="Y40" i="21"/>
  <c r="Y29" i="21"/>
  <c r="Y14" i="21"/>
  <c r="Y35" i="21"/>
  <c r="Y31" i="21"/>
  <c r="Y21" i="21"/>
  <c r="Y11" i="21"/>
  <c r="Y38" i="21"/>
  <c r="Y41" i="21"/>
  <c r="Y30" i="21"/>
  <c r="Y13" i="21"/>
  <c r="Y15" i="21"/>
  <c r="Z41" i="21"/>
  <c r="Z30" i="21"/>
  <c r="Z15" i="21"/>
  <c r="Z38" i="21"/>
  <c r="Z37" i="21" s="1"/>
  <c r="Z13" i="21"/>
  <c r="Z14" i="21"/>
  <c r="Z35" i="21"/>
  <c r="Z40" i="21"/>
  <c r="Z29" i="21"/>
  <c r="Z31" i="21"/>
  <c r="Z21" i="21"/>
  <c r="Z11" i="21"/>
  <c r="AA35" i="21"/>
  <c r="AA31" i="21"/>
  <c r="AA21" i="21"/>
  <c r="AA11" i="21"/>
  <c r="AA40" i="21"/>
  <c r="AA29" i="21"/>
  <c r="AA14" i="21"/>
  <c r="AA41" i="21"/>
  <c r="AA30" i="21"/>
  <c r="AA13" i="21"/>
  <c r="AA15" i="21"/>
  <c r="AA38" i="21"/>
  <c r="AA37" i="21" s="1"/>
  <c r="AE41" i="21"/>
  <c r="AE40" i="21"/>
  <c r="AE38" i="21"/>
  <c r="AE35" i="21"/>
  <c r="AE30" i="21"/>
  <c r="AE15" i="21"/>
  <c r="AE13" i="21"/>
  <c r="AE31" i="21"/>
  <c r="AE29" i="21"/>
  <c r="AE21" i="21"/>
  <c r="AE14" i="21"/>
  <c r="AE11" i="21"/>
  <c r="AF38" i="21"/>
  <c r="AF37" i="21" s="1"/>
  <c r="AF35" i="21"/>
  <c r="AF41" i="21"/>
  <c r="AF31" i="21"/>
  <c r="AF30" i="21"/>
  <c r="AF29" i="21"/>
  <c r="AF21" i="21"/>
  <c r="AF15" i="21"/>
  <c r="AF14" i="21"/>
  <c r="AF13" i="21"/>
  <c r="AF11" i="21"/>
  <c r="AF40" i="21"/>
  <c r="AG40" i="21"/>
  <c r="AG35" i="21"/>
  <c r="AG30" i="21"/>
  <c r="AG15" i="21"/>
  <c r="AG13" i="21"/>
  <c r="AG41" i="21"/>
  <c r="AG38" i="21"/>
  <c r="AG37" i="21" s="1"/>
  <c r="AG31" i="21"/>
  <c r="AG29" i="21"/>
  <c r="AG21" i="21"/>
  <c r="AG14" i="21"/>
  <c r="AG11" i="21"/>
  <c r="AI41" i="21"/>
  <c r="AI31" i="21"/>
  <c r="AI30" i="21"/>
  <c r="AI29" i="21"/>
  <c r="AI21" i="21"/>
  <c r="AI15" i="21"/>
  <c r="AI14" i="21"/>
  <c r="AI13" i="21"/>
  <c r="AI11" i="21"/>
  <c r="AI38" i="21"/>
  <c r="AI35" i="21"/>
  <c r="AI40" i="21"/>
  <c r="AJ41" i="21"/>
  <c r="AJ40" i="21"/>
  <c r="AJ38" i="21"/>
  <c r="AJ37" i="21" s="1"/>
  <c r="AJ35" i="21"/>
  <c r="AJ31" i="21"/>
  <c r="AJ29" i="21"/>
  <c r="AJ21" i="21"/>
  <c r="AJ14" i="21"/>
  <c r="AJ11" i="21"/>
  <c r="AJ30" i="21"/>
  <c r="AJ15" i="21"/>
  <c r="AJ13" i="21"/>
  <c r="AK40" i="21"/>
  <c r="AK31" i="21"/>
  <c r="AK30" i="21"/>
  <c r="AK29" i="21"/>
  <c r="AK21" i="21"/>
  <c r="AK15" i="21"/>
  <c r="AK14" i="21"/>
  <c r="AK13" i="21"/>
  <c r="AK11" i="21"/>
  <c r="AK41" i="21"/>
  <c r="AK38" i="21"/>
  <c r="AK37" i="21" s="1"/>
  <c r="AK35" i="21"/>
  <c r="AN38" i="21"/>
  <c r="AN35" i="21"/>
  <c r="AN41" i="21"/>
  <c r="AN40" i="21"/>
  <c r="AN31" i="21"/>
  <c r="AN29" i="21"/>
  <c r="AN21" i="21"/>
  <c r="AN14" i="21"/>
  <c r="AN11" i="21"/>
  <c r="AN30" i="21"/>
  <c r="AN15" i="21"/>
  <c r="AN13" i="21"/>
  <c r="AO31" i="21"/>
  <c r="AO30" i="21"/>
  <c r="AO29" i="21"/>
  <c r="AO21" i="21"/>
  <c r="AO15" i="21"/>
  <c r="AO14" i="21"/>
  <c r="AO13" i="21"/>
  <c r="AO11" i="21"/>
  <c r="AO40" i="21"/>
  <c r="AO38" i="21"/>
  <c r="AO37" i="21" s="1"/>
  <c r="AO35" i="21"/>
  <c r="AO41" i="21"/>
  <c r="AP41" i="21"/>
  <c r="AP40" i="21"/>
  <c r="AP38" i="21"/>
  <c r="AP37" i="21" s="1"/>
  <c r="AP35" i="21"/>
  <c r="AP30" i="21"/>
  <c r="AP15" i="21"/>
  <c r="AP13" i="21"/>
  <c r="AP31" i="21"/>
  <c r="AP29" i="21"/>
  <c r="AP21" i="21"/>
  <c r="AP14" i="21"/>
  <c r="AP11" i="21"/>
  <c r="AS41" i="21"/>
  <c r="AS38" i="21"/>
  <c r="AS35" i="21"/>
  <c r="AS31" i="21"/>
  <c r="AS30" i="21"/>
  <c r="AS29" i="21"/>
  <c r="AS21" i="21"/>
  <c r="AS15" i="21"/>
  <c r="AS14" i="21"/>
  <c r="AS13" i="21"/>
  <c r="AS11" i="21"/>
  <c r="AS40" i="21"/>
  <c r="AT40" i="21"/>
  <c r="AT30" i="21"/>
  <c r="AT15" i="21"/>
  <c r="AT13" i="21"/>
  <c r="AT35" i="21"/>
  <c r="AT41" i="21"/>
  <c r="AT31" i="21"/>
  <c r="AT29" i="21"/>
  <c r="AT21" i="21"/>
  <c r="AT14" i="21"/>
  <c r="AT11" i="21"/>
  <c r="AT38" i="21"/>
  <c r="AT37" i="21" s="1"/>
  <c r="AU38" i="21"/>
  <c r="AU37" i="21" s="1"/>
  <c r="AU35" i="21"/>
  <c r="AU31" i="21"/>
  <c r="AU30" i="21"/>
  <c r="AU29" i="21"/>
  <c r="AU21" i="21"/>
  <c r="AU15" i="21"/>
  <c r="AU14" i="21"/>
  <c r="AU13" i="21"/>
  <c r="AU11" i="21"/>
  <c r="AU41" i="21"/>
  <c r="AU40" i="21"/>
  <c r="AY31" i="21"/>
  <c r="AY30" i="21"/>
  <c r="AY29" i="21"/>
  <c r="AY21" i="21"/>
  <c r="AY15" i="21"/>
  <c r="AY14" i="21"/>
  <c r="AY13" i="21"/>
  <c r="AY11" i="21"/>
  <c r="AY35" i="21"/>
  <c r="AY40" i="21"/>
  <c r="AY38" i="21"/>
  <c r="AY41" i="21"/>
  <c r="AZ41" i="21"/>
  <c r="AZ40" i="21"/>
  <c r="AZ38" i="21"/>
  <c r="AZ37" i="21" s="1"/>
  <c r="AZ35" i="21"/>
  <c r="AZ29" i="21"/>
  <c r="AZ31" i="21"/>
  <c r="AZ21" i="21"/>
  <c r="AZ30" i="21"/>
  <c r="AZ13" i="21"/>
  <c r="AZ15" i="21"/>
  <c r="AZ14" i="21"/>
  <c r="AZ11" i="21"/>
  <c r="BA41" i="21"/>
  <c r="BA38" i="21"/>
  <c r="BA37" i="21" s="1"/>
  <c r="BA30" i="21"/>
  <c r="BA29" i="21"/>
  <c r="BA11" i="21"/>
  <c r="BA35" i="21"/>
  <c r="BA14" i="21"/>
  <c r="BA31" i="21"/>
  <c r="BA13" i="21"/>
  <c r="BA40" i="21"/>
  <c r="BA21" i="21"/>
  <c r="BA15" i="21"/>
  <c r="BC40" i="21"/>
  <c r="BC31" i="21"/>
  <c r="BC35" i="21"/>
  <c r="BC29" i="21"/>
  <c r="BC41" i="21"/>
  <c r="BC15" i="21"/>
  <c r="BC21" i="21"/>
  <c r="BC13" i="21"/>
  <c r="BC11" i="21"/>
  <c r="BC30" i="21"/>
  <c r="BC38" i="21"/>
  <c r="BC14" i="21"/>
  <c r="BD31" i="21"/>
  <c r="BD30" i="21"/>
  <c r="BD29" i="21"/>
  <c r="BD21" i="21"/>
  <c r="BD15" i="21"/>
  <c r="BD14" i="21"/>
  <c r="BD13" i="21"/>
  <c r="BD11" i="21"/>
  <c r="BD38" i="21"/>
  <c r="BD37" i="21" s="1"/>
  <c r="BD41" i="21"/>
  <c r="BD40" i="21"/>
  <c r="BD35" i="21"/>
  <c r="BE41" i="21"/>
  <c r="BE40" i="21"/>
  <c r="BE38" i="21"/>
  <c r="BE37" i="21" s="1"/>
  <c r="BE35" i="21"/>
  <c r="BE30" i="21"/>
  <c r="BE14" i="21"/>
  <c r="BE31" i="21"/>
  <c r="BE11" i="21"/>
  <c r="BE29" i="21"/>
  <c r="BE21" i="21"/>
  <c r="BE15" i="21"/>
  <c r="BE13" i="21"/>
  <c r="BH35" i="21"/>
  <c r="BH29" i="21"/>
  <c r="BH40" i="21"/>
  <c r="BH31" i="21"/>
  <c r="BH21" i="21"/>
  <c r="BH38" i="21"/>
  <c r="BH13" i="21"/>
  <c r="BH30" i="21"/>
  <c r="BH15" i="21"/>
  <c r="BH41" i="21"/>
  <c r="BH14" i="21"/>
  <c r="BH11" i="21"/>
  <c r="BI41" i="21"/>
  <c r="BI38" i="21"/>
  <c r="BI37" i="21" s="1"/>
  <c r="BI30" i="21"/>
  <c r="BI15" i="21"/>
  <c r="BI35" i="21"/>
  <c r="BI21" i="21"/>
  <c r="BI11" i="21"/>
  <c r="BI29" i="21"/>
  <c r="BI14" i="21"/>
  <c r="BI40" i="21"/>
  <c r="BI13" i="21"/>
  <c r="BI31" i="21"/>
  <c r="BJ31" i="21"/>
  <c r="BJ30" i="21"/>
  <c r="BJ29" i="21"/>
  <c r="BJ21" i="21"/>
  <c r="BJ15" i="21"/>
  <c r="BJ14" i="21"/>
  <c r="BJ13" i="21"/>
  <c r="BJ11" i="21"/>
  <c r="BJ40" i="21"/>
  <c r="BJ35" i="21"/>
  <c r="BJ41" i="21"/>
  <c r="BJ38" i="21"/>
  <c r="BJ37" i="21" s="1"/>
  <c r="BM41" i="21"/>
  <c r="BM40" i="21"/>
  <c r="BM38" i="21"/>
  <c r="BM35" i="21"/>
  <c r="BM31" i="21"/>
  <c r="BM29" i="21"/>
  <c r="BM13" i="21"/>
  <c r="BM21" i="21"/>
  <c r="BM30" i="21"/>
  <c r="BM15" i="21"/>
  <c r="BM14" i="21"/>
  <c r="BM11" i="21"/>
  <c r="BN38" i="21"/>
  <c r="BN37" i="21" s="1"/>
  <c r="BN30" i="21"/>
  <c r="BN41" i="21"/>
  <c r="BN31" i="21"/>
  <c r="BN15" i="21"/>
  <c r="BN14" i="21"/>
  <c r="BN40" i="21"/>
  <c r="BN21" i="21"/>
  <c r="BN11" i="21"/>
  <c r="BN35" i="21"/>
  <c r="BN13" i="21"/>
  <c r="BN29" i="21"/>
  <c r="BO35" i="21"/>
  <c r="BO29" i="21"/>
  <c r="BO40" i="21"/>
  <c r="BO31" i="21"/>
  <c r="BO21" i="21"/>
  <c r="BO30" i="21"/>
  <c r="BO13" i="21"/>
  <c r="BO38" i="21"/>
  <c r="BO37" i="21" s="1"/>
  <c r="BO15" i="21"/>
  <c r="BO14" i="21"/>
  <c r="BO41" i="21"/>
  <c r="BO11" i="21"/>
  <c r="BS35" i="21"/>
  <c r="BS30" i="21"/>
  <c r="BS29" i="21"/>
  <c r="BS21" i="21"/>
  <c r="BS15" i="21"/>
  <c r="BS14" i="21"/>
  <c r="BS13" i="21"/>
  <c r="BS11" i="21"/>
  <c r="BS41" i="21"/>
  <c r="BS38" i="21"/>
  <c r="BS40" i="21"/>
  <c r="BS31" i="21"/>
  <c r="BT41" i="21"/>
  <c r="BT40" i="21"/>
  <c r="BT38" i="21"/>
  <c r="BT37" i="21" s="1"/>
  <c r="BT31" i="21"/>
  <c r="BT30" i="21"/>
  <c r="BT15" i="21"/>
  <c r="BT13" i="21"/>
  <c r="BT35" i="21"/>
  <c r="BT29" i="21"/>
  <c r="BT21" i="21"/>
  <c r="BT14" i="21"/>
  <c r="BT11" i="21"/>
  <c r="BU35" i="21"/>
  <c r="BU31" i="21"/>
  <c r="BU30" i="21"/>
  <c r="BU41" i="21"/>
  <c r="BU40" i="21"/>
  <c r="BU38" i="21"/>
  <c r="BU37" i="21" s="1"/>
  <c r="BU11" i="21"/>
  <c r="BU13" i="21"/>
  <c r="BU15" i="21"/>
  <c r="BU21" i="21"/>
  <c r="BU14" i="21"/>
  <c r="BU29" i="21"/>
  <c r="BW35" i="21"/>
  <c r="BW31" i="21"/>
  <c r="BW30" i="21"/>
  <c r="BW41" i="21"/>
  <c r="BW38" i="21"/>
  <c r="BW29" i="21"/>
  <c r="BW21" i="21"/>
  <c r="BW15" i="21"/>
  <c r="BW14" i="21"/>
  <c r="BW13" i="21"/>
  <c r="BW40" i="21"/>
  <c r="BW11" i="21"/>
  <c r="BX31" i="21"/>
  <c r="BX29" i="21"/>
  <c r="BX21" i="21"/>
  <c r="BX15" i="21"/>
  <c r="BX14" i="21"/>
  <c r="BX13" i="21"/>
  <c r="BX11" i="21"/>
  <c r="BX40" i="21"/>
  <c r="BX41" i="21"/>
  <c r="BX38" i="21"/>
  <c r="BX37" i="21" s="1"/>
  <c r="BX30" i="21"/>
  <c r="BX35" i="21"/>
  <c r="BY41" i="21"/>
  <c r="BY40" i="21"/>
  <c r="BY38" i="21"/>
  <c r="BY37" i="21" s="1"/>
  <c r="BY35" i="21"/>
  <c r="BY30" i="21"/>
  <c r="BY31" i="21"/>
  <c r="BY29" i="21"/>
  <c r="BY21" i="21"/>
  <c r="BY14" i="21"/>
  <c r="BY11" i="21"/>
  <c r="BY15" i="21"/>
  <c r="BY13" i="21"/>
  <c r="CB35" i="21"/>
  <c r="CB31" i="21"/>
  <c r="CB30" i="21"/>
  <c r="CB41" i="21"/>
  <c r="CB40" i="21"/>
  <c r="CB38" i="21"/>
  <c r="CB29" i="21"/>
  <c r="CB14" i="21"/>
  <c r="CB21" i="21"/>
  <c r="CB11" i="21"/>
  <c r="CB13" i="21"/>
  <c r="CB15" i="21"/>
  <c r="CC35" i="21"/>
  <c r="CC31" i="21"/>
  <c r="CC30" i="21"/>
  <c r="CC40" i="21"/>
  <c r="CC29" i="21"/>
  <c r="CC21" i="21"/>
  <c r="CC15" i="21"/>
  <c r="CC14" i="21"/>
  <c r="CC13" i="21"/>
  <c r="CC11" i="21"/>
  <c r="CC41" i="21"/>
  <c r="CC38" i="21"/>
  <c r="CC37" i="21" s="1"/>
  <c r="CD35" i="21"/>
  <c r="CD30" i="21"/>
  <c r="CD29" i="21"/>
  <c r="CD21" i="21"/>
  <c r="CD15" i="21"/>
  <c r="CD14" i="21"/>
  <c r="CD13" i="21"/>
  <c r="CD11" i="21"/>
  <c r="CD41" i="21"/>
  <c r="CD38" i="21"/>
  <c r="CD37" i="21" s="1"/>
  <c r="CD40" i="21"/>
  <c r="CD31" i="21"/>
  <c r="CG41" i="21"/>
  <c r="CG40" i="21"/>
  <c r="CG38" i="21"/>
  <c r="CG31" i="21"/>
  <c r="CG35" i="21"/>
  <c r="CG15" i="21"/>
  <c r="CG13" i="21"/>
  <c r="CG30" i="21"/>
  <c r="CG29" i="21"/>
  <c r="CG21" i="21"/>
  <c r="CG14" i="21"/>
  <c r="CG11" i="21"/>
  <c r="CH35" i="21"/>
  <c r="CH31" i="21"/>
  <c r="CH30" i="21"/>
  <c r="CH41" i="21"/>
  <c r="CH40" i="21"/>
  <c r="CH38" i="21"/>
  <c r="CH37" i="21" s="1"/>
  <c r="CH15" i="21"/>
  <c r="CH13" i="21"/>
  <c r="CH14" i="21"/>
  <c r="CH29" i="21"/>
  <c r="CH21" i="21"/>
  <c r="CH11" i="21"/>
  <c r="CI35" i="21"/>
  <c r="CI31" i="21"/>
  <c r="CI30" i="21"/>
  <c r="CI41" i="21"/>
  <c r="CI38" i="21"/>
  <c r="CI37" i="21" s="1"/>
  <c r="CI29" i="21"/>
  <c r="CI21" i="21"/>
  <c r="CI15" i="21"/>
  <c r="CI14" i="21"/>
  <c r="CI13" i="21"/>
  <c r="CI11" i="21"/>
  <c r="CI40" i="21"/>
  <c r="CM41" i="21"/>
  <c r="CM40" i="21"/>
  <c r="CM35" i="21"/>
  <c r="CM30" i="21"/>
  <c r="CM15" i="21"/>
  <c r="CM13" i="21"/>
  <c r="CM29" i="21"/>
  <c r="CM14" i="21"/>
  <c r="CM31" i="21"/>
  <c r="CM21" i="21"/>
  <c r="CM11" i="21"/>
  <c r="CM38" i="21"/>
  <c r="CN31" i="21"/>
  <c r="CN30" i="21"/>
  <c r="CN29" i="21"/>
  <c r="CN21" i="21"/>
  <c r="CN15" i="21"/>
  <c r="CN14" i="21"/>
  <c r="CN13" i="21"/>
  <c r="CN11" i="21"/>
  <c r="CN41" i="21"/>
  <c r="CN40" i="21"/>
  <c r="CN35" i="21"/>
  <c r="CN38" i="21"/>
  <c r="CN37" i="21" s="1"/>
  <c r="CO38" i="21"/>
  <c r="CO37" i="21" s="1"/>
  <c r="CO31" i="21"/>
  <c r="CO30" i="21"/>
  <c r="CO29" i="21"/>
  <c r="CO21" i="21"/>
  <c r="CO15" i="21"/>
  <c r="CO14" i="21"/>
  <c r="CO13" i="21"/>
  <c r="CO11" i="21"/>
  <c r="CO41" i="21"/>
  <c r="CO35" i="21"/>
  <c r="CO40" i="21"/>
  <c r="CQ38" i="21"/>
  <c r="CQ30" i="21"/>
  <c r="CQ15" i="21"/>
  <c r="CQ13" i="21"/>
  <c r="CQ40" i="21"/>
  <c r="CQ41" i="21"/>
  <c r="CQ35" i="21"/>
  <c r="CQ29" i="21"/>
  <c r="CQ14" i="21"/>
  <c r="CQ31" i="21"/>
  <c r="CQ11" i="21"/>
  <c r="CQ21" i="21"/>
  <c r="CR41" i="21"/>
  <c r="CR40" i="21"/>
  <c r="CR35" i="21"/>
  <c r="CR38" i="21"/>
  <c r="CR37" i="21" s="1"/>
  <c r="CR31" i="21"/>
  <c r="CR29" i="21"/>
  <c r="CR21" i="21"/>
  <c r="CR14" i="21"/>
  <c r="CR11" i="21"/>
  <c r="CR30" i="21"/>
  <c r="CR15" i="21"/>
  <c r="CR13" i="21"/>
  <c r="CS31" i="21"/>
  <c r="CS30" i="21"/>
  <c r="CS29" i="21"/>
  <c r="CS21" i="21"/>
  <c r="CS15" i="21"/>
  <c r="CS14" i="21"/>
  <c r="CS13" i="21"/>
  <c r="CS11" i="21"/>
  <c r="CS41" i="21"/>
  <c r="CS40" i="21"/>
  <c r="CS35" i="21"/>
  <c r="CS38" i="21"/>
  <c r="CS37" i="21" s="1"/>
  <c r="CV38" i="21"/>
  <c r="CV31" i="21"/>
  <c r="CV30" i="21"/>
  <c r="CV29" i="21"/>
  <c r="CV21" i="21"/>
  <c r="CV15" i="21"/>
  <c r="CV14" i="21"/>
  <c r="CV13" i="21"/>
  <c r="CV11" i="21"/>
  <c r="CV40" i="21"/>
  <c r="CV41" i="21"/>
  <c r="CV35" i="21"/>
  <c r="CW38" i="21"/>
  <c r="CW37" i="21" s="1"/>
  <c r="CW31" i="21"/>
  <c r="CW29" i="21"/>
  <c r="CW21" i="21"/>
  <c r="CW14" i="21"/>
  <c r="CW11" i="21"/>
  <c r="CW41" i="21"/>
  <c r="CW35" i="21"/>
  <c r="CW40" i="21"/>
  <c r="CW15" i="21"/>
  <c r="CW30" i="21"/>
  <c r="CW13" i="21"/>
  <c r="CX41" i="21"/>
  <c r="CX40" i="21"/>
  <c r="CX35" i="21"/>
  <c r="CX30" i="21"/>
  <c r="CX15" i="21"/>
  <c r="CX13" i="21"/>
  <c r="CX31" i="21"/>
  <c r="CX21" i="21"/>
  <c r="CX11" i="21"/>
  <c r="CX29" i="21"/>
  <c r="CX14" i="21"/>
  <c r="CX38" i="21"/>
  <c r="CX37" i="21" s="1"/>
  <c r="DA31" i="21"/>
  <c r="DA30" i="21"/>
  <c r="DA29" i="21"/>
  <c r="DA21" i="21"/>
  <c r="DA15" i="21"/>
  <c r="DA14" i="21"/>
  <c r="DA13" i="21"/>
  <c r="DA11" i="21"/>
  <c r="DA41" i="21"/>
  <c r="DA40" i="21"/>
  <c r="DA35" i="21"/>
  <c r="DA38" i="21"/>
  <c r="DB38" i="21"/>
  <c r="DB37" i="21" s="1"/>
  <c r="DB31" i="21"/>
  <c r="DB30" i="21"/>
  <c r="DB29" i="21"/>
  <c r="DB21" i="21"/>
  <c r="DB15" i="21"/>
  <c r="DB14" i="21"/>
  <c r="DB13" i="21"/>
  <c r="DB11" i="21"/>
  <c r="DB41" i="21"/>
  <c r="DB35" i="21"/>
  <c r="DB40" i="21"/>
  <c r="DC38" i="21"/>
  <c r="DC37" i="21" s="1"/>
  <c r="DC30" i="21"/>
  <c r="DC15" i="21"/>
  <c r="DC13" i="21"/>
  <c r="DC40" i="21"/>
  <c r="DC35" i="21"/>
  <c r="DC41" i="21"/>
  <c r="DC31" i="21"/>
  <c r="DC21" i="21"/>
  <c r="DC11" i="21"/>
  <c r="DC29" i="21"/>
  <c r="DC14" i="21"/>
  <c r="DA45" i="21"/>
  <c r="CX45" i="21"/>
  <c r="CR45" i="21"/>
  <c r="CM45" i="21"/>
  <c r="CI45" i="21"/>
  <c r="CC45" i="21"/>
  <c r="BW45" i="21"/>
  <c r="BO45" i="21"/>
  <c r="BI45" i="21"/>
  <c r="BC45" i="21"/>
  <c r="AS45" i="21"/>
  <c r="AK45" i="21"/>
  <c r="AF45" i="21"/>
  <c r="DC45" i="21"/>
  <c r="CW45" i="21"/>
  <c r="CQ45" i="21"/>
  <c r="CH45" i="21"/>
  <c r="CB45" i="21"/>
  <c r="BU45" i="21"/>
  <c r="BN45" i="21"/>
  <c r="BH45" i="21"/>
  <c r="BA45" i="21"/>
  <c r="AP45" i="21"/>
  <c r="AJ45" i="21"/>
  <c r="AE45" i="21"/>
  <c r="DB45" i="21"/>
  <c r="CV45" i="21"/>
  <c r="CO45" i="21"/>
  <c r="CG45" i="21"/>
  <c r="BY45" i="21"/>
  <c r="BT45" i="21"/>
  <c r="BM45" i="21"/>
  <c r="BE45" i="21"/>
  <c r="AZ45" i="21"/>
  <c r="BX45" i="21"/>
  <c r="AY45" i="21"/>
  <c r="AT45" i="21"/>
  <c r="AG45" i="21"/>
  <c r="Z45" i="21"/>
  <c r="U45" i="21"/>
  <c r="P45" i="21"/>
  <c r="BS45" i="21"/>
  <c r="AO45" i="21"/>
  <c r="Y45" i="21"/>
  <c r="T45" i="21"/>
  <c r="O45" i="21"/>
  <c r="M45" i="21"/>
  <c r="CS45" i="21"/>
  <c r="BJ45" i="21"/>
  <c r="AN45" i="21"/>
  <c r="L45" i="21"/>
  <c r="CD45" i="21"/>
  <c r="AA45" i="21"/>
  <c r="V45" i="21"/>
  <c r="K45" i="21"/>
  <c r="CN45" i="21"/>
  <c r="AU45" i="21"/>
  <c r="Q45" i="21"/>
  <c r="BD45" i="21"/>
  <c r="AI45" i="21"/>
  <c r="CX44" i="21"/>
  <c r="CR44" i="21"/>
  <c r="CM44" i="21"/>
  <c r="DA12" i="21"/>
  <c r="CS12" i="21"/>
  <c r="CN12" i="21"/>
  <c r="CI44" i="21"/>
  <c r="CC44" i="21"/>
  <c r="BW44" i="21"/>
  <c r="CD12" i="21"/>
  <c r="BX12" i="21"/>
  <c r="BS12" i="21"/>
  <c r="BO44" i="21"/>
  <c r="BJ44" i="21"/>
  <c r="BD44" i="21"/>
  <c r="AY44" i="21"/>
  <c r="BM12" i="21"/>
  <c r="BE12" i="21"/>
  <c r="AZ12" i="21"/>
  <c r="AS44" i="21"/>
  <c r="AK44" i="21"/>
  <c r="AF44" i="21"/>
  <c r="DC44" i="21"/>
  <c r="CW44" i="21"/>
  <c r="CQ44" i="21"/>
  <c r="CX12" i="21"/>
  <c r="CR12" i="21"/>
  <c r="CM12" i="21"/>
  <c r="CH44" i="21"/>
  <c r="CB44" i="21"/>
  <c r="BU44" i="21"/>
  <c r="CI12" i="21"/>
  <c r="CC12" i="21"/>
  <c r="BW12" i="21"/>
  <c r="BN44" i="21"/>
  <c r="BI44" i="21"/>
  <c r="BC44" i="21"/>
  <c r="BJ12" i="21"/>
  <c r="BD12" i="21"/>
  <c r="AY12" i="21"/>
  <c r="AP44" i="21"/>
  <c r="AJ44" i="21"/>
  <c r="AE44" i="21"/>
  <c r="DB44" i="21"/>
  <c r="CV44" i="21"/>
  <c r="CO44" i="21"/>
  <c r="DC12" i="21"/>
  <c r="CW12" i="21"/>
  <c r="CQ12" i="21"/>
  <c r="CG44" i="21"/>
  <c r="BY44" i="21"/>
  <c r="BT44" i="21"/>
  <c r="CH12" i="21"/>
  <c r="CB12" i="21"/>
  <c r="BU12" i="21"/>
  <c r="BM44" i="21"/>
  <c r="BH44" i="21"/>
  <c r="BA44" i="21"/>
  <c r="DA44" i="21"/>
  <c r="CV12" i="21"/>
  <c r="BS44" i="21"/>
  <c r="BH12" i="21"/>
  <c r="AN44" i="21"/>
  <c r="AT12" i="21"/>
  <c r="AN12" i="21"/>
  <c r="AG12" i="21"/>
  <c r="Y44" i="21"/>
  <c r="Z12" i="21"/>
  <c r="T44" i="21"/>
  <c r="V12" i="21"/>
  <c r="O44" i="21"/>
  <c r="Q12" i="21"/>
  <c r="L44" i="21"/>
  <c r="CS44" i="21"/>
  <c r="CO12" i="21"/>
  <c r="CG12" i="21"/>
  <c r="BO12" i="21"/>
  <c r="BC12" i="21"/>
  <c r="AU44" i="21"/>
  <c r="AI44" i="21"/>
  <c r="AS12" i="21"/>
  <c r="AK12" i="21"/>
  <c r="AF12" i="21"/>
  <c r="Y12" i="21"/>
  <c r="U12" i="21"/>
  <c r="P12" i="21"/>
  <c r="CN44" i="21"/>
  <c r="CD44" i="21"/>
  <c r="BY12" i="21"/>
  <c r="BE44" i="21"/>
  <c r="BN12" i="21"/>
  <c r="BA12" i="21"/>
  <c r="AT44" i="21"/>
  <c r="AG44" i="21"/>
  <c r="AP12" i="21"/>
  <c r="AJ12" i="21"/>
  <c r="AE12" i="21"/>
  <c r="AA44" i="21"/>
  <c r="V44" i="21"/>
  <c r="T12" i="21"/>
  <c r="Q44" i="21"/>
  <c r="O12" i="21"/>
  <c r="M12" i="21"/>
  <c r="K12" i="21"/>
  <c r="AZ44" i="21"/>
  <c r="AO44" i="21"/>
  <c r="M44" i="21"/>
  <c r="BX44" i="21"/>
  <c r="BT12" i="21"/>
  <c r="BI12" i="21"/>
  <c r="AU12" i="21"/>
  <c r="Z44" i="21"/>
  <c r="U44" i="21"/>
  <c r="L12" i="21"/>
  <c r="AO12" i="21"/>
  <c r="P44" i="21"/>
  <c r="DB12" i="21"/>
  <c r="AI12" i="21"/>
  <c r="AA12" i="21"/>
  <c r="K11" i="21"/>
  <c r="K44" i="21"/>
  <c r="DC3" i="15"/>
  <c r="DB3" i="15"/>
  <c r="DA3" i="15"/>
  <c r="CX3" i="15"/>
  <c r="CW3" i="15"/>
  <c r="CV3" i="15"/>
  <c r="CS3" i="15"/>
  <c r="CR3" i="15"/>
  <c r="CQ3" i="15"/>
  <c r="CO3" i="15"/>
  <c r="CN3" i="15"/>
  <c r="CM3" i="15"/>
  <c r="CI3" i="15"/>
  <c r="CH3" i="15"/>
  <c r="CG3" i="15"/>
  <c r="CD3" i="15"/>
  <c r="CC3" i="15"/>
  <c r="CB3" i="15"/>
  <c r="BY3" i="15"/>
  <c r="BX3" i="15"/>
  <c r="BW3" i="15"/>
  <c r="BU3" i="15"/>
  <c r="BT3" i="15"/>
  <c r="BS3" i="15"/>
  <c r="BO3" i="15"/>
  <c r="BN3" i="15"/>
  <c r="BM3" i="15"/>
  <c r="BJ3" i="15"/>
  <c r="BI3" i="15"/>
  <c r="BH3" i="15"/>
  <c r="BE3" i="15"/>
  <c r="BD3" i="15"/>
  <c r="BC3" i="15"/>
  <c r="BA3" i="15"/>
  <c r="AZ3" i="15"/>
  <c r="AY3" i="15"/>
  <c r="AU3" i="15"/>
  <c r="AT3" i="15"/>
  <c r="AS3" i="15"/>
  <c r="AP3" i="15"/>
  <c r="AO3" i="15"/>
  <c r="AN3" i="15"/>
  <c r="AK3" i="15"/>
  <c r="AJ3" i="15"/>
  <c r="AI3" i="15"/>
  <c r="AG3" i="15"/>
  <c r="AF3" i="15"/>
  <c r="AE3" i="15"/>
  <c r="AA3" i="15"/>
  <c r="Z3" i="15"/>
  <c r="Y3" i="15"/>
  <c r="V3" i="15"/>
  <c r="U3" i="15"/>
  <c r="T3" i="15"/>
  <c r="Q3" i="15"/>
  <c r="P3" i="15"/>
  <c r="O3" i="15"/>
  <c r="M3" i="15"/>
  <c r="F28" i="15"/>
  <c r="B28" i="15" s="1"/>
  <c r="AH18" i="21" l="1"/>
  <c r="AQ19" i="21"/>
  <c r="BV18" i="21"/>
  <c r="CQ29" i="15"/>
  <c r="AH23" i="21"/>
  <c r="W23" i="21"/>
  <c r="AV23" i="21"/>
  <c r="BP23" i="21"/>
  <c r="CE23" i="21"/>
  <c r="AL23" i="21"/>
  <c r="N23" i="21"/>
  <c r="CP23" i="21"/>
  <c r="AQ23" i="21"/>
  <c r="R23" i="21"/>
  <c r="CT23" i="21"/>
  <c r="BV23" i="21"/>
  <c r="AB23" i="21"/>
  <c r="DD23" i="21"/>
  <c r="BK23" i="21"/>
  <c r="BZ23" i="21"/>
  <c r="BB23" i="21"/>
  <c r="CJ23" i="21"/>
  <c r="CY23" i="21"/>
  <c r="BF23" i="21"/>
  <c r="AB19" i="21"/>
  <c r="CJ45" i="21"/>
  <c r="CP24" i="21"/>
  <c r="BB24" i="21"/>
  <c r="CE19" i="21"/>
  <c r="BP19" i="21"/>
  <c r="DD19" i="21"/>
  <c r="CP19" i="21"/>
  <c r="BB19" i="21"/>
  <c r="R19" i="21"/>
  <c r="N19" i="21"/>
  <c r="W19" i="21"/>
  <c r="CY19" i="21"/>
  <c r="CJ19" i="21"/>
  <c r="CT19" i="21"/>
  <c r="BZ19" i="21"/>
  <c r="AL19" i="21"/>
  <c r="BK19" i="21"/>
  <c r="BV19" i="21"/>
  <c r="BF19" i="21"/>
  <c r="AV19" i="21"/>
  <c r="AH19" i="21"/>
  <c r="AH24" i="21"/>
  <c r="BZ24" i="21"/>
  <c r="AL24" i="21"/>
  <c r="W24" i="21"/>
  <c r="CY24" i="21"/>
  <c r="BK24" i="21"/>
  <c r="AV24" i="21"/>
  <c r="CJ24" i="21"/>
  <c r="BV24" i="21"/>
  <c r="CT24" i="21"/>
  <c r="BF24" i="21"/>
  <c r="R24" i="21"/>
  <c r="CE24" i="21"/>
  <c r="AQ24" i="21"/>
  <c r="DD24" i="21"/>
  <c r="BP24" i="21"/>
  <c r="AB24" i="21"/>
  <c r="N24" i="21"/>
  <c r="CT18" i="21"/>
  <c r="CU18" i="21" s="1"/>
  <c r="R18" i="21"/>
  <c r="S18" i="21" s="1"/>
  <c r="CE18" i="21"/>
  <c r="AV18" i="21"/>
  <c r="AQ18" i="21"/>
  <c r="BZ18" i="21"/>
  <c r="BF18" i="21"/>
  <c r="BG18" i="21" s="1"/>
  <c r="DD18" i="21"/>
  <c r="CY18" i="21"/>
  <c r="BK18" i="21"/>
  <c r="W18" i="21"/>
  <c r="BP18" i="21"/>
  <c r="AB18" i="21"/>
  <c r="AL18" i="21"/>
  <c r="CJ18" i="21"/>
  <c r="CJ17" i="21"/>
  <c r="AV17" i="21"/>
  <c r="AB17" i="21"/>
  <c r="DD17" i="21"/>
  <c r="AL45" i="21"/>
  <c r="BP45" i="21"/>
  <c r="BP17" i="21"/>
  <c r="BP28" i="21"/>
  <c r="BF25" i="21"/>
  <c r="AB28" i="21"/>
  <c r="CJ26" i="21"/>
  <c r="BP26" i="21"/>
  <c r="AV26" i="21"/>
  <c r="AB26" i="21"/>
  <c r="CJ28" i="21"/>
  <c r="AV28" i="21"/>
  <c r="AH26" i="21"/>
  <c r="R26" i="21"/>
  <c r="N26" i="21"/>
  <c r="N45" i="21"/>
  <c r="CJ25" i="21"/>
  <c r="AV25" i="21"/>
  <c r="BP25" i="21"/>
  <c r="CJ27" i="21"/>
  <c r="BP27" i="21"/>
  <c r="AV27" i="21"/>
  <c r="W17" i="21"/>
  <c r="BV17" i="21"/>
  <c r="N17" i="21"/>
  <c r="BK17" i="21"/>
  <c r="CP17" i="21"/>
  <c r="AL17" i="21"/>
  <c r="AQ17" i="21"/>
  <c r="AH17" i="21"/>
  <c r="R17" i="21"/>
  <c r="CT17" i="21"/>
  <c r="BB17" i="21"/>
  <c r="CY17" i="21"/>
  <c r="BZ17" i="21"/>
  <c r="CE17" i="21"/>
  <c r="BF17" i="21"/>
  <c r="BA39" i="21"/>
  <c r="BA36" i="21" s="1"/>
  <c r="DD27" i="21"/>
  <c r="AH25" i="21"/>
  <c r="N28" i="21"/>
  <c r="DD28" i="21"/>
  <c r="DD26" i="21"/>
  <c r="DD25" i="21"/>
  <c r="CP25" i="21"/>
  <c r="N25" i="21"/>
  <c r="BN39" i="21"/>
  <c r="BN36" i="21" s="1"/>
  <c r="AH28" i="21"/>
  <c r="M23" i="15"/>
  <c r="M26" i="15"/>
  <c r="M24" i="15"/>
  <c r="Z24" i="15"/>
  <c r="Z26" i="15"/>
  <c r="Z23" i="15"/>
  <c r="Z25" i="15"/>
  <c r="AN23" i="15"/>
  <c r="AN25" i="15"/>
  <c r="AN26" i="15"/>
  <c r="AN24" i="15"/>
  <c r="BA25" i="15"/>
  <c r="BA26" i="15"/>
  <c r="BA23" i="15"/>
  <c r="BA24" i="15"/>
  <c r="BH26" i="15"/>
  <c r="BH25" i="15"/>
  <c r="BH23" i="15"/>
  <c r="BH24" i="15"/>
  <c r="BN23" i="15"/>
  <c r="BN26" i="15"/>
  <c r="BN24" i="15"/>
  <c r="BN25" i="15"/>
  <c r="BU24" i="15"/>
  <c r="BU25" i="15"/>
  <c r="BU26" i="15"/>
  <c r="BU23" i="15"/>
  <c r="CB26" i="15"/>
  <c r="CB23" i="15"/>
  <c r="CB24" i="15"/>
  <c r="CB25" i="15"/>
  <c r="CH23" i="15"/>
  <c r="CH24" i="15"/>
  <c r="CH25" i="15"/>
  <c r="CH26" i="15"/>
  <c r="O23" i="15"/>
  <c r="O25" i="15"/>
  <c r="O26" i="15"/>
  <c r="O24" i="15"/>
  <c r="AA25" i="15"/>
  <c r="AA23" i="15"/>
  <c r="AA24" i="15"/>
  <c r="AA26" i="15"/>
  <c r="AU25" i="15"/>
  <c r="AU23" i="15"/>
  <c r="AU24" i="15"/>
  <c r="AU26" i="15"/>
  <c r="V23" i="15"/>
  <c r="V24" i="15"/>
  <c r="V26" i="15"/>
  <c r="Q25" i="15"/>
  <c r="Q23" i="15"/>
  <c r="Q26" i="15"/>
  <c r="Q24" i="15"/>
  <c r="Y23" i="15"/>
  <c r="Y26" i="15"/>
  <c r="Y24" i="15"/>
  <c r="AF24" i="15"/>
  <c r="AF26" i="15"/>
  <c r="AF23" i="15"/>
  <c r="AK25" i="15"/>
  <c r="AK23" i="15"/>
  <c r="AK24" i="15"/>
  <c r="AK26" i="15"/>
  <c r="AS23" i="15"/>
  <c r="AS25" i="15"/>
  <c r="AS26" i="15"/>
  <c r="AS24" i="15"/>
  <c r="AZ24" i="15"/>
  <c r="AZ26" i="15"/>
  <c r="AZ25" i="15"/>
  <c r="AZ23" i="15"/>
  <c r="BE24" i="15"/>
  <c r="BE23" i="15"/>
  <c r="BE26" i="15"/>
  <c r="BE25" i="15"/>
  <c r="BM26" i="15"/>
  <c r="BM23" i="15"/>
  <c r="BM25" i="15"/>
  <c r="BM24" i="15"/>
  <c r="BT23" i="15"/>
  <c r="BT24" i="15"/>
  <c r="BT25" i="15"/>
  <c r="BT26" i="15"/>
  <c r="BY24" i="15"/>
  <c r="BY25" i="15"/>
  <c r="BY26" i="15"/>
  <c r="BY23" i="15"/>
  <c r="CG26" i="15"/>
  <c r="CG23" i="15"/>
  <c r="CG24" i="15"/>
  <c r="CG25" i="15"/>
  <c r="CP26" i="21"/>
  <c r="BV27" i="21"/>
  <c r="BB26" i="21"/>
  <c r="R27" i="21"/>
  <c r="CT26" i="21"/>
  <c r="BZ27" i="21"/>
  <c r="BF27" i="21"/>
  <c r="CE25" i="21"/>
  <c r="BK25" i="21"/>
  <c r="BB25" i="21"/>
  <c r="AQ25" i="21"/>
  <c r="W25" i="21"/>
  <c r="BV25" i="21"/>
  <c r="R25" i="21"/>
  <c r="CT25" i="21"/>
  <c r="BZ25" i="21"/>
  <c r="AL25" i="21"/>
  <c r="CY25" i="21"/>
  <c r="CE28" i="21"/>
  <c r="BK28" i="21"/>
  <c r="AQ28" i="21"/>
  <c r="W28" i="21"/>
  <c r="U24" i="15"/>
  <c r="U26" i="15"/>
  <c r="U23" i="15"/>
  <c r="U25" i="15"/>
  <c r="AO24" i="15"/>
  <c r="AO26" i="15"/>
  <c r="AO25" i="15"/>
  <c r="AO23" i="15"/>
  <c r="BI23" i="15"/>
  <c r="BI26" i="15"/>
  <c r="BI24" i="15"/>
  <c r="BI25" i="15"/>
  <c r="BO24" i="15"/>
  <c r="BO23" i="15"/>
  <c r="BO26" i="15"/>
  <c r="BO25" i="15"/>
  <c r="BW26" i="15"/>
  <c r="BW23" i="15"/>
  <c r="BW24" i="15"/>
  <c r="BW25" i="15"/>
  <c r="CC23" i="15"/>
  <c r="CC24" i="15"/>
  <c r="CC25" i="15"/>
  <c r="CC26" i="15"/>
  <c r="CI24" i="15"/>
  <c r="CI25" i="15"/>
  <c r="CI26" i="15"/>
  <c r="CI23" i="15"/>
  <c r="AB25" i="21"/>
  <c r="CP28" i="21"/>
  <c r="BV28" i="21"/>
  <c r="BB28" i="21"/>
  <c r="R28" i="21"/>
  <c r="CY26" i="21"/>
  <c r="CT28" i="21"/>
  <c r="BZ28" i="21"/>
  <c r="BF28" i="21"/>
  <c r="AL28" i="21"/>
  <c r="CY27" i="21"/>
  <c r="CE26" i="21"/>
  <c r="BK26" i="21"/>
  <c r="AQ26" i="21"/>
  <c r="W26" i="21"/>
  <c r="T23" i="15"/>
  <c r="T25" i="15"/>
  <c r="T24" i="15"/>
  <c r="T26" i="15"/>
  <c r="AG25" i="15"/>
  <c r="AG23" i="15"/>
  <c r="AG24" i="15"/>
  <c r="AG26" i="15"/>
  <c r="AT24" i="15"/>
  <c r="AT26" i="15"/>
  <c r="AT23" i="15"/>
  <c r="AT25" i="15"/>
  <c r="AI23" i="15"/>
  <c r="AI25" i="15"/>
  <c r="AI26" i="15"/>
  <c r="AI24" i="15"/>
  <c r="BC26" i="15"/>
  <c r="BC24" i="15"/>
  <c r="BC23" i="15"/>
  <c r="BC25" i="15"/>
  <c r="P24" i="15"/>
  <c r="P26" i="15"/>
  <c r="P23" i="15"/>
  <c r="P25" i="15"/>
  <c r="AE23" i="15"/>
  <c r="AE25" i="15"/>
  <c r="AE24" i="15"/>
  <c r="AE26" i="15"/>
  <c r="AJ24" i="15"/>
  <c r="AJ26" i="15"/>
  <c r="AJ23" i="15"/>
  <c r="AJ25" i="15"/>
  <c r="AP25" i="15"/>
  <c r="AP23" i="15"/>
  <c r="AP24" i="15"/>
  <c r="AP26" i="15"/>
  <c r="AY26" i="15"/>
  <c r="AY23" i="15"/>
  <c r="AY25" i="15"/>
  <c r="AY24" i="15"/>
  <c r="BD23" i="15"/>
  <c r="BD25" i="15"/>
  <c r="BD26" i="15"/>
  <c r="BD24" i="15"/>
  <c r="BJ24" i="15"/>
  <c r="BJ26" i="15"/>
  <c r="BJ25" i="15"/>
  <c r="BJ23" i="15"/>
  <c r="BS26" i="15"/>
  <c r="BS24" i="15"/>
  <c r="BS23" i="15"/>
  <c r="BS25" i="15"/>
  <c r="BX23" i="15"/>
  <c r="BX24" i="15"/>
  <c r="BX25" i="15"/>
  <c r="BX26" i="15"/>
  <c r="CD24" i="15"/>
  <c r="CD25" i="15"/>
  <c r="CD26" i="15"/>
  <c r="CD23" i="15"/>
  <c r="CP27" i="21"/>
  <c r="BV26" i="21"/>
  <c r="BB27" i="21"/>
  <c r="AL27" i="21"/>
  <c r="CT27" i="21"/>
  <c r="BZ26" i="21"/>
  <c r="BF26" i="21"/>
  <c r="AL26" i="21"/>
  <c r="CY28" i="21"/>
  <c r="CE27" i="21"/>
  <c r="BK27" i="21"/>
  <c r="AQ27" i="21"/>
  <c r="AA10" i="21"/>
  <c r="M10" i="21"/>
  <c r="V10" i="21"/>
  <c r="CE45" i="21"/>
  <c r="BI10" i="21"/>
  <c r="CW43" i="21"/>
  <c r="CR43" i="21"/>
  <c r="L39" i="21"/>
  <c r="L36" i="21" s="1"/>
  <c r="CX43" i="21"/>
  <c r="DC43" i="21"/>
  <c r="BF45" i="21"/>
  <c r="CY45" i="21"/>
  <c r="CO39" i="21"/>
  <c r="CO36" i="21" s="1"/>
  <c r="BY39" i="21"/>
  <c r="BY36" i="21" s="1"/>
  <c r="BU39" i="21"/>
  <c r="BU36" i="21" s="1"/>
  <c r="BT39" i="21"/>
  <c r="BT36" i="21" s="1"/>
  <c r="CH39" i="21"/>
  <c r="CH36" i="21" s="1"/>
  <c r="BE39" i="21"/>
  <c r="BE36" i="21" s="1"/>
  <c r="DC16" i="21"/>
  <c r="DD29" i="21"/>
  <c r="CW39" i="21"/>
  <c r="CW36" i="21" s="1"/>
  <c r="CY21" i="21"/>
  <c r="CS39" i="21"/>
  <c r="CS36" i="21" s="1"/>
  <c r="CT21" i="21"/>
  <c r="CO16" i="21"/>
  <c r="CN39" i="21"/>
  <c r="CN36" i="21" s="1"/>
  <c r="CP30" i="21"/>
  <c r="CI39" i="21"/>
  <c r="CI36" i="21" s="1"/>
  <c r="V39" i="21"/>
  <c r="V36" i="21" s="1"/>
  <c r="CX39" i="21"/>
  <c r="CX36" i="21" s="1"/>
  <c r="CR39" i="21"/>
  <c r="CR36" i="21" s="1"/>
  <c r="DB16" i="21"/>
  <c r="P39" i="21"/>
  <c r="P36" i="21" s="1"/>
  <c r="DB39" i="21"/>
  <c r="DB36" i="21" s="1"/>
  <c r="AZ39" i="21"/>
  <c r="AZ36" i="21" s="1"/>
  <c r="AP16" i="21"/>
  <c r="AK16" i="21"/>
  <c r="BJ39" i="21"/>
  <c r="BJ36" i="21" s="1"/>
  <c r="BI39" i="21"/>
  <c r="BI36" i="21" s="1"/>
  <c r="AP39" i="21"/>
  <c r="AP36" i="21" s="1"/>
  <c r="AJ39" i="21"/>
  <c r="AJ36" i="21" s="1"/>
  <c r="AF39" i="21"/>
  <c r="AF36" i="21" s="1"/>
  <c r="Z39" i="21"/>
  <c r="Z36" i="21" s="1"/>
  <c r="AU10" i="21"/>
  <c r="AO10" i="21"/>
  <c r="AP10" i="21"/>
  <c r="AF10" i="21"/>
  <c r="L10" i="21"/>
  <c r="P10" i="21"/>
  <c r="AK10" i="21"/>
  <c r="BC10" i="21"/>
  <c r="AG10" i="21"/>
  <c r="BJ10" i="21"/>
  <c r="BE10" i="21"/>
  <c r="CD10" i="21"/>
  <c r="BN10" i="21"/>
  <c r="BU10" i="21"/>
  <c r="AZ10" i="21"/>
  <c r="BX10" i="21"/>
  <c r="BT10" i="21"/>
  <c r="BY10" i="21"/>
  <c r="U10" i="21"/>
  <c r="BO10" i="21"/>
  <c r="CH10" i="21"/>
  <c r="CC10" i="21"/>
  <c r="AJ10" i="21"/>
  <c r="BA10" i="21"/>
  <c r="Q10" i="21"/>
  <c r="Z10" i="21"/>
  <c r="AT10" i="21"/>
  <c r="CW10" i="21"/>
  <c r="CI10" i="21"/>
  <c r="CT13" i="21"/>
  <c r="CT29" i="21"/>
  <c r="CP11" i="21"/>
  <c r="N44" i="21"/>
  <c r="DB10" i="21"/>
  <c r="CS10" i="21"/>
  <c r="DC39" i="21"/>
  <c r="DC36" i="21" s="1"/>
  <c r="DD13" i="21"/>
  <c r="CY15" i="21"/>
  <c r="CY30" i="21"/>
  <c r="CT31" i="21"/>
  <c r="CT30" i="21"/>
  <c r="CP41" i="21"/>
  <c r="CJ14" i="21"/>
  <c r="DD14" i="21"/>
  <c r="CY11" i="21"/>
  <c r="CP29" i="21"/>
  <c r="CN43" i="21"/>
  <c r="CO10" i="21"/>
  <c r="DC10" i="21"/>
  <c r="CR10" i="21"/>
  <c r="DD41" i="21"/>
  <c r="DD15" i="21"/>
  <c r="DD30" i="21"/>
  <c r="CX16" i="21"/>
  <c r="CW16" i="21"/>
  <c r="CY13" i="21"/>
  <c r="CR16" i="21"/>
  <c r="CT14" i="21"/>
  <c r="CT15" i="21"/>
  <c r="CP14" i="21"/>
  <c r="CP13" i="21"/>
  <c r="CI16" i="21"/>
  <c r="CH16" i="21"/>
  <c r="CJ29" i="21"/>
  <c r="CY31" i="21"/>
  <c r="CP31" i="21"/>
  <c r="CS43" i="21"/>
  <c r="CO43" i="21"/>
  <c r="CX10" i="21"/>
  <c r="CN10" i="21"/>
  <c r="BV45" i="21"/>
  <c r="DD11" i="21"/>
  <c r="DD21" i="21"/>
  <c r="DD31" i="21"/>
  <c r="CY41" i="21"/>
  <c r="CY14" i="21"/>
  <c r="CY29" i="21"/>
  <c r="CS16" i="21"/>
  <c r="CT11" i="21"/>
  <c r="CT41" i="21"/>
  <c r="CN16" i="21"/>
  <c r="CP21" i="21"/>
  <c r="CP15" i="21"/>
  <c r="CJ11" i="21"/>
  <c r="CJ21" i="21"/>
  <c r="CJ30" i="21"/>
  <c r="CJ13" i="21"/>
  <c r="CJ31" i="21"/>
  <c r="CD16" i="21"/>
  <c r="CE13" i="21"/>
  <c r="CE29" i="21"/>
  <c r="CE30" i="21"/>
  <c r="BY16" i="21"/>
  <c r="BX39" i="21"/>
  <c r="BX36" i="21" s="1"/>
  <c r="BZ14" i="21"/>
  <c r="BZ29" i="21"/>
  <c r="BZ31" i="21"/>
  <c r="BU16" i="21"/>
  <c r="BV31" i="21"/>
  <c r="BV11" i="21"/>
  <c r="BV21" i="21"/>
  <c r="BP30" i="21"/>
  <c r="BJ16" i="21"/>
  <c r="BI16" i="21"/>
  <c r="BK14" i="21"/>
  <c r="BK30" i="21"/>
  <c r="BE16" i="21"/>
  <c r="BD16" i="21"/>
  <c r="BF13" i="21"/>
  <c r="BF15" i="21"/>
  <c r="BF31" i="21"/>
  <c r="BB41" i="21"/>
  <c r="BB11" i="21"/>
  <c r="BB21" i="21"/>
  <c r="BB31" i="21"/>
  <c r="AV11" i="21"/>
  <c r="AV21" i="21"/>
  <c r="AV31" i="21"/>
  <c r="AO39" i="21"/>
  <c r="AO36" i="21" s="1"/>
  <c r="AQ41" i="21"/>
  <c r="AL11" i="21"/>
  <c r="AL21" i="21"/>
  <c r="AL31" i="21"/>
  <c r="AG16" i="21"/>
  <c r="AH11" i="21"/>
  <c r="AH21" i="21"/>
  <c r="AH31" i="21"/>
  <c r="AH30" i="21"/>
  <c r="AH41" i="21"/>
  <c r="Z16" i="21"/>
  <c r="AB30" i="21"/>
  <c r="U16" i="21"/>
  <c r="W11" i="21"/>
  <c r="W29" i="21"/>
  <c r="W30" i="21"/>
  <c r="P16" i="21"/>
  <c r="R11" i="21"/>
  <c r="R31" i="21"/>
  <c r="CJ15" i="21"/>
  <c r="CD39" i="21"/>
  <c r="CD36" i="21" s="1"/>
  <c r="CE11" i="21"/>
  <c r="CE14" i="21"/>
  <c r="CE31" i="21"/>
  <c r="BX16" i="21"/>
  <c r="BZ11" i="21"/>
  <c r="BZ15" i="21"/>
  <c r="BT16" i="21"/>
  <c r="BV13" i="21"/>
  <c r="BN16" i="21"/>
  <c r="BP21" i="21"/>
  <c r="BP29" i="21"/>
  <c r="BK15" i="21"/>
  <c r="BK13" i="21"/>
  <c r="BK21" i="21"/>
  <c r="BK29" i="21"/>
  <c r="BD39" i="21"/>
  <c r="BD36" i="21" s="1"/>
  <c r="BF14" i="21"/>
  <c r="BF30" i="21"/>
  <c r="BF29" i="21"/>
  <c r="BB13" i="21"/>
  <c r="AU39" i="21"/>
  <c r="AU36" i="21" s="1"/>
  <c r="AT16" i="21"/>
  <c r="AV13" i="21"/>
  <c r="AO16" i="21"/>
  <c r="AQ30" i="21"/>
  <c r="AQ29" i="21"/>
  <c r="AL13" i="21"/>
  <c r="AL41" i="21"/>
  <c r="AH14" i="21"/>
  <c r="AH13" i="21"/>
  <c r="AA16" i="21"/>
  <c r="AB13" i="21"/>
  <c r="AB41" i="21"/>
  <c r="AB11" i="21"/>
  <c r="AB31" i="21"/>
  <c r="U39" i="21"/>
  <c r="U36" i="21" s="1"/>
  <c r="W14" i="21"/>
  <c r="W21" i="21"/>
  <c r="W15" i="21"/>
  <c r="W41" i="21"/>
  <c r="R13" i="21"/>
  <c r="R30" i="21"/>
  <c r="CC39" i="21"/>
  <c r="CC36" i="21" s="1"/>
  <c r="CE15" i="21"/>
  <c r="BZ21" i="21"/>
  <c r="BZ41" i="21"/>
  <c r="BV14" i="21"/>
  <c r="BV29" i="21"/>
  <c r="BP14" i="21"/>
  <c r="BP13" i="21"/>
  <c r="BK11" i="21"/>
  <c r="BF21" i="21"/>
  <c r="BF41" i="21"/>
  <c r="BB14" i="21"/>
  <c r="BB29" i="21"/>
  <c r="AT39" i="21"/>
  <c r="AT36" i="21" s="1"/>
  <c r="AV14" i="21"/>
  <c r="AV29" i="21"/>
  <c r="AQ13" i="21"/>
  <c r="AQ11" i="21"/>
  <c r="AQ21" i="21"/>
  <c r="AQ31" i="21"/>
  <c r="AJ16" i="21"/>
  <c r="AL14" i="21"/>
  <c r="AL29" i="21"/>
  <c r="AG39" i="21"/>
  <c r="AG36" i="21" s="1"/>
  <c r="AH15" i="21"/>
  <c r="AB29" i="21"/>
  <c r="W31" i="21"/>
  <c r="W13" i="21"/>
  <c r="Q16" i="21"/>
  <c r="R15" i="21"/>
  <c r="R41" i="21"/>
  <c r="R29" i="21"/>
  <c r="R21" i="21"/>
  <c r="CJ41" i="21"/>
  <c r="CC16" i="21"/>
  <c r="CE21" i="21"/>
  <c r="CE41" i="21"/>
  <c r="BZ13" i="21"/>
  <c r="BZ30" i="21"/>
  <c r="BV41" i="21"/>
  <c r="BV15" i="21"/>
  <c r="BV30" i="21"/>
  <c r="BO16" i="21"/>
  <c r="BO39" i="21"/>
  <c r="BO36" i="21" s="1"/>
  <c r="BP11" i="21"/>
  <c r="BP15" i="21"/>
  <c r="BP31" i="21"/>
  <c r="BP41" i="21"/>
  <c r="BK41" i="21"/>
  <c r="BK31" i="21"/>
  <c r="BF11" i="21"/>
  <c r="BA16" i="21"/>
  <c r="AZ16" i="21"/>
  <c r="BB15" i="21"/>
  <c r="BB30" i="21"/>
  <c r="AU16" i="21"/>
  <c r="AV15" i="21"/>
  <c r="AV30" i="21"/>
  <c r="AV41" i="21"/>
  <c r="AQ15" i="21"/>
  <c r="AQ14" i="21"/>
  <c r="AK39" i="21"/>
  <c r="AK36" i="21" s="1"/>
  <c r="AL15" i="21"/>
  <c r="AL30" i="21"/>
  <c r="AH29" i="21"/>
  <c r="AA39" i="21"/>
  <c r="AA36" i="21" s="1"/>
  <c r="AB15" i="21"/>
  <c r="AB21" i="21"/>
  <c r="AB14" i="21"/>
  <c r="Q39" i="21"/>
  <c r="Q36" i="21" s="1"/>
  <c r="R14" i="21"/>
  <c r="M39" i="21"/>
  <c r="L16" i="21"/>
  <c r="N41" i="21"/>
  <c r="DA37" i="21"/>
  <c r="DD38" i="21"/>
  <c r="DD35" i="21"/>
  <c r="DD40" i="21"/>
  <c r="DA39" i="21"/>
  <c r="DA16" i="21"/>
  <c r="CY35" i="21"/>
  <c r="CV39" i="21"/>
  <c r="CY40" i="21"/>
  <c r="CV16" i="21"/>
  <c r="CV37" i="21"/>
  <c r="CY38" i="21"/>
  <c r="CQ16" i="21"/>
  <c r="CT35" i="21"/>
  <c r="CQ39" i="21"/>
  <c r="CT40" i="21"/>
  <c r="CQ37" i="21"/>
  <c r="CT38" i="21"/>
  <c r="CM37" i="21"/>
  <c r="CP38" i="21"/>
  <c r="CM16" i="21"/>
  <c r="CP35" i="21"/>
  <c r="CP40" i="21"/>
  <c r="CM39" i="21"/>
  <c r="CG16" i="21"/>
  <c r="CJ35" i="21"/>
  <c r="CG37" i="21"/>
  <c r="CJ38" i="21"/>
  <c r="CG39" i="21"/>
  <c r="CJ40" i="21"/>
  <c r="CB16" i="21"/>
  <c r="CB37" i="21"/>
  <c r="CE38" i="21"/>
  <c r="CB39" i="21"/>
  <c r="CE40" i="21"/>
  <c r="CE35" i="21"/>
  <c r="BW39" i="21"/>
  <c r="BZ40" i="21"/>
  <c r="BW16" i="21"/>
  <c r="BW37" i="21"/>
  <c r="BZ38" i="21"/>
  <c r="BZ35" i="21"/>
  <c r="BS39" i="21"/>
  <c r="BV40" i="21"/>
  <c r="BS37" i="21"/>
  <c r="BV38" i="21"/>
  <c r="BS16" i="21"/>
  <c r="BV35" i="21"/>
  <c r="BM16" i="21"/>
  <c r="BP35" i="21"/>
  <c r="BM37" i="21"/>
  <c r="BP38" i="21"/>
  <c r="BM39" i="21"/>
  <c r="BP40" i="21"/>
  <c r="BH37" i="21"/>
  <c r="BK37" i="21" s="1"/>
  <c r="BK38" i="21"/>
  <c r="BH16" i="21"/>
  <c r="BH39" i="21"/>
  <c r="BK40" i="21"/>
  <c r="BK35" i="21"/>
  <c r="BC16" i="21"/>
  <c r="BC37" i="21"/>
  <c r="BF38" i="21"/>
  <c r="BF35" i="21"/>
  <c r="BC39" i="21"/>
  <c r="BF40" i="21"/>
  <c r="BB38" i="21"/>
  <c r="AY37" i="21"/>
  <c r="AY39" i="21"/>
  <c r="BB40" i="21"/>
  <c r="BB35" i="21"/>
  <c r="AY16" i="21"/>
  <c r="AV40" i="21"/>
  <c r="AS39" i="21"/>
  <c r="AS16" i="21"/>
  <c r="AV35" i="21"/>
  <c r="AS37" i="21"/>
  <c r="AV37" i="21" s="1"/>
  <c r="AV38" i="21"/>
  <c r="AN16" i="21"/>
  <c r="AN39" i="21"/>
  <c r="AQ40" i="21"/>
  <c r="AQ35" i="21"/>
  <c r="AN37" i="21"/>
  <c r="AQ38" i="21"/>
  <c r="AL40" i="21"/>
  <c r="AI39" i="21"/>
  <c r="AL35" i="21"/>
  <c r="AI37" i="21"/>
  <c r="AL38" i="21"/>
  <c r="AI16" i="21"/>
  <c r="AE16" i="21"/>
  <c r="AH35" i="21"/>
  <c r="AE37" i="21"/>
  <c r="AH38" i="21"/>
  <c r="AH40" i="21"/>
  <c r="AE39" i="21"/>
  <c r="Y37" i="21"/>
  <c r="AB38" i="21"/>
  <c r="AB35" i="21"/>
  <c r="AB40" i="21"/>
  <c r="Y39" i="21"/>
  <c r="T16" i="21"/>
  <c r="T39" i="21"/>
  <c r="W40" i="21"/>
  <c r="W35" i="21"/>
  <c r="T37" i="21"/>
  <c r="W38" i="21"/>
  <c r="O37" i="21"/>
  <c r="R38" i="21"/>
  <c r="R40" i="21"/>
  <c r="O39" i="21"/>
  <c r="O16" i="21"/>
  <c r="R35" i="21"/>
  <c r="K37" i="21"/>
  <c r="N38" i="21"/>
  <c r="N40" i="21"/>
  <c r="K39" i="21"/>
  <c r="N35" i="21"/>
  <c r="Y32" i="15"/>
  <c r="AF32" i="15"/>
  <c r="AK32" i="15"/>
  <c r="AS32" i="15"/>
  <c r="AZ32" i="15"/>
  <c r="BE32" i="15"/>
  <c r="BM32" i="15"/>
  <c r="BT34" i="15"/>
  <c r="BT32" i="15"/>
  <c r="BY32" i="15"/>
  <c r="CG32" i="15"/>
  <c r="CN32" i="15"/>
  <c r="CS34" i="15"/>
  <c r="CS32" i="15"/>
  <c r="DA32" i="15"/>
  <c r="Q32" i="15"/>
  <c r="M32" i="15"/>
  <c r="T34" i="15"/>
  <c r="T32" i="15"/>
  <c r="Z32" i="15"/>
  <c r="AG32" i="15"/>
  <c r="AN32" i="15"/>
  <c r="AT34" i="15"/>
  <c r="AT32" i="15"/>
  <c r="BA32" i="15"/>
  <c r="BH32" i="15"/>
  <c r="BN32" i="15"/>
  <c r="BU34" i="15"/>
  <c r="BU32" i="15"/>
  <c r="CB32" i="15"/>
  <c r="CH32" i="15"/>
  <c r="CO32" i="15"/>
  <c r="CV34" i="15"/>
  <c r="CV32" i="15"/>
  <c r="DB32" i="15"/>
  <c r="O32" i="15"/>
  <c r="U32" i="15"/>
  <c r="AA34" i="15"/>
  <c r="AA32" i="15"/>
  <c r="AI32" i="15"/>
  <c r="AO32" i="15"/>
  <c r="AU32" i="15"/>
  <c r="BC32" i="15"/>
  <c r="BI32" i="15"/>
  <c r="BO32" i="15"/>
  <c r="BW32" i="15"/>
  <c r="CC34" i="15"/>
  <c r="CC32" i="15"/>
  <c r="CI32" i="15"/>
  <c r="CQ32" i="15"/>
  <c r="CW32" i="15"/>
  <c r="DC34" i="15"/>
  <c r="DC32" i="15"/>
  <c r="P32" i="15"/>
  <c r="V32" i="15"/>
  <c r="AE32" i="15"/>
  <c r="AJ34" i="15"/>
  <c r="AJ32" i="15"/>
  <c r="AP32" i="15"/>
  <c r="AY32" i="15"/>
  <c r="BD32" i="15"/>
  <c r="BJ34" i="15"/>
  <c r="BJ32" i="15"/>
  <c r="BS32" i="15"/>
  <c r="BX32" i="15"/>
  <c r="CD32" i="15"/>
  <c r="CM34" i="15"/>
  <c r="CM32" i="15"/>
  <c r="CR32" i="15"/>
  <c r="CX32" i="15"/>
  <c r="AQ45" i="21"/>
  <c r="T10" i="21"/>
  <c r="W12" i="21"/>
  <c r="Y10" i="21"/>
  <c r="AB12" i="21"/>
  <c r="AL44" i="21"/>
  <c r="CJ12" i="21"/>
  <c r="CG10" i="21"/>
  <c r="CY12" i="21"/>
  <c r="CV10" i="21"/>
  <c r="BP44" i="21"/>
  <c r="BB12" i="21"/>
  <c r="AY10" i="21"/>
  <c r="CP12" i="21"/>
  <c r="CM10" i="21"/>
  <c r="AV44" i="21"/>
  <c r="BB44" i="21"/>
  <c r="BS10" i="21"/>
  <c r="BV12" i="21"/>
  <c r="DD12" i="21"/>
  <c r="DA10" i="21"/>
  <c r="AB45" i="21"/>
  <c r="BB45" i="21"/>
  <c r="CT45" i="21"/>
  <c r="CP45" i="21"/>
  <c r="R44" i="21"/>
  <c r="AB44" i="21"/>
  <c r="AQ44" i="21"/>
  <c r="DA43" i="21"/>
  <c r="DD44" i="21"/>
  <c r="AH44" i="21"/>
  <c r="BF12" i="21"/>
  <c r="BD10" i="21"/>
  <c r="CM43" i="21"/>
  <c r="CP44" i="21"/>
  <c r="AV45" i="21"/>
  <c r="BZ45" i="21"/>
  <c r="R12" i="21"/>
  <c r="O10" i="21"/>
  <c r="BH10" i="21"/>
  <c r="BK12" i="21"/>
  <c r="CE12" i="21"/>
  <c r="CB10" i="21"/>
  <c r="CJ44" i="21"/>
  <c r="BW10" i="21"/>
  <c r="BZ12" i="21"/>
  <c r="CE44" i="21"/>
  <c r="R45" i="21"/>
  <c r="DB43" i="21"/>
  <c r="AL12" i="21"/>
  <c r="AI10" i="21"/>
  <c r="AH12" i="21"/>
  <c r="AE10" i="21"/>
  <c r="AV12" i="21"/>
  <c r="AS10" i="21"/>
  <c r="W44" i="21"/>
  <c r="AN10" i="21"/>
  <c r="AQ12" i="21"/>
  <c r="BV44" i="21"/>
  <c r="BK44" i="21"/>
  <c r="CQ10" i="21"/>
  <c r="CT12" i="21"/>
  <c r="CV43" i="21"/>
  <c r="CY44" i="21"/>
  <c r="BF44" i="21"/>
  <c r="CQ43" i="21"/>
  <c r="CT44" i="21"/>
  <c r="BM10" i="21"/>
  <c r="BP12" i="21"/>
  <c r="BZ44" i="21"/>
  <c r="W45" i="21"/>
  <c r="AH45" i="21"/>
  <c r="BK45" i="21"/>
  <c r="DD45" i="21"/>
  <c r="M10" i="15"/>
  <c r="M29" i="15"/>
  <c r="M11" i="15"/>
  <c r="M14" i="15"/>
  <c r="T29" i="15"/>
  <c r="T11" i="15"/>
  <c r="T14" i="15"/>
  <c r="T10" i="15"/>
  <c r="Z14" i="15"/>
  <c r="Z10" i="15"/>
  <c r="Z29" i="15"/>
  <c r="Z11" i="15"/>
  <c r="AG10" i="15"/>
  <c r="AG14" i="15"/>
  <c r="AG29" i="15"/>
  <c r="AG11" i="15"/>
  <c r="AN29" i="15"/>
  <c r="AN14" i="15"/>
  <c r="AN10" i="15"/>
  <c r="AN11" i="15"/>
  <c r="AT11" i="15"/>
  <c r="AT10" i="15"/>
  <c r="AT14" i="15"/>
  <c r="AT29" i="15"/>
  <c r="BA29" i="15"/>
  <c r="BA14" i="15"/>
  <c r="BA11" i="15"/>
  <c r="BA10" i="15"/>
  <c r="BH29" i="15"/>
  <c r="BH14" i="15"/>
  <c r="BH11" i="15"/>
  <c r="BH10" i="15"/>
  <c r="BN29" i="15"/>
  <c r="BN14" i="15"/>
  <c r="BN11" i="15"/>
  <c r="BN10" i="15"/>
  <c r="BU14" i="15"/>
  <c r="BU10" i="15"/>
  <c r="BU29" i="15"/>
  <c r="BU11" i="15"/>
  <c r="CB14" i="15"/>
  <c r="CB10" i="15"/>
  <c r="CB29" i="15"/>
  <c r="CB11" i="15"/>
  <c r="CH29" i="15"/>
  <c r="CH10" i="15"/>
  <c r="CH11" i="15"/>
  <c r="CH14" i="15"/>
  <c r="CO14" i="15"/>
  <c r="CO11" i="15"/>
  <c r="CO10" i="15"/>
  <c r="CO29" i="15"/>
  <c r="CO26" i="15"/>
  <c r="CO25" i="15"/>
  <c r="CO24" i="15"/>
  <c r="CO23" i="15"/>
  <c r="CV14" i="15"/>
  <c r="CV11" i="15"/>
  <c r="CV10" i="15"/>
  <c r="CV29" i="15"/>
  <c r="CV26" i="15"/>
  <c r="CV25" i="15"/>
  <c r="CV24" i="15"/>
  <c r="CV23" i="15"/>
  <c r="DB14" i="15"/>
  <c r="DB11" i="15"/>
  <c r="DB10" i="15"/>
  <c r="DB29" i="15"/>
  <c r="DB26" i="15"/>
  <c r="DB25" i="15"/>
  <c r="DB24" i="15"/>
  <c r="DB23" i="15"/>
  <c r="O29" i="15"/>
  <c r="O14" i="15"/>
  <c r="O10" i="15"/>
  <c r="O11" i="15"/>
  <c r="U10" i="15"/>
  <c r="U14" i="15"/>
  <c r="U29" i="15"/>
  <c r="U11" i="15"/>
  <c r="AA29" i="15"/>
  <c r="AA11" i="15"/>
  <c r="AA14" i="15"/>
  <c r="AA10" i="15"/>
  <c r="AI29" i="15"/>
  <c r="AI11" i="15"/>
  <c r="AI14" i="15"/>
  <c r="AI10" i="15"/>
  <c r="AO29" i="15"/>
  <c r="AO11" i="15"/>
  <c r="AO14" i="15"/>
  <c r="AO10" i="15"/>
  <c r="AU29" i="15"/>
  <c r="AU14" i="15"/>
  <c r="AU10" i="15"/>
  <c r="AU11" i="15"/>
  <c r="BC14" i="15"/>
  <c r="BC29" i="15"/>
  <c r="BC11" i="15"/>
  <c r="BC10" i="15"/>
  <c r="BI29" i="15"/>
  <c r="BI14" i="15"/>
  <c r="BI11" i="15"/>
  <c r="BI10" i="15"/>
  <c r="BO14" i="15"/>
  <c r="BO29" i="15"/>
  <c r="BO11" i="15"/>
  <c r="BO10" i="15"/>
  <c r="BW29" i="15"/>
  <c r="BW11" i="15"/>
  <c r="BW10" i="15"/>
  <c r="BW14" i="15"/>
  <c r="CC29" i="15"/>
  <c r="CC11" i="15"/>
  <c r="CC14" i="15"/>
  <c r="CC10" i="15"/>
  <c r="CI29" i="15"/>
  <c r="CI14" i="15"/>
  <c r="CI11" i="15"/>
  <c r="CI10" i="15"/>
  <c r="CQ26" i="15"/>
  <c r="CQ25" i="15"/>
  <c r="CQ24" i="15"/>
  <c r="CQ23" i="15"/>
  <c r="CQ14" i="15"/>
  <c r="CQ11" i="15"/>
  <c r="CQ10" i="15"/>
  <c r="CW29" i="15"/>
  <c r="CW26" i="15"/>
  <c r="CW25" i="15"/>
  <c r="CW24" i="15"/>
  <c r="CW23" i="15"/>
  <c r="CW14" i="15"/>
  <c r="CW11" i="15"/>
  <c r="CW10" i="15"/>
  <c r="DC29" i="15"/>
  <c r="DC26" i="15"/>
  <c r="DC25" i="15"/>
  <c r="DC24" i="15"/>
  <c r="DC23" i="15"/>
  <c r="DC14" i="15"/>
  <c r="DC11" i="15"/>
  <c r="DC10" i="15"/>
  <c r="P11" i="15"/>
  <c r="P10" i="15"/>
  <c r="P29" i="15"/>
  <c r="P14" i="15"/>
  <c r="V29" i="15"/>
  <c r="V11" i="15"/>
  <c r="V14" i="15"/>
  <c r="V10" i="15"/>
  <c r="AE29" i="15"/>
  <c r="AE11" i="15"/>
  <c r="AE14" i="15"/>
  <c r="AE10" i="15"/>
  <c r="AJ14" i="15"/>
  <c r="AJ10" i="15"/>
  <c r="AJ11" i="15"/>
  <c r="AJ29" i="15"/>
  <c r="AP29" i="15"/>
  <c r="AP14" i="15"/>
  <c r="AP10" i="15"/>
  <c r="AP11" i="15"/>
  <c r="AY29" i="15"/>
  <c r="AY14" i="15"/>
  <c r="AY10" i="15"/>
  <c r="AY11" i="15"/>
  <c r="BD29" i="15"/>
  <c r="BD14" i="15"/>
  <c r="BD11" i="15"/>
  <c r="BD10" i="15"/>
  <c r="BJ29" i="15"/>
  <c r="BJ14" i="15"/>
  <c r="BJ10" i="15"/>
  <c r="BJ11" i="15"/>
  <c r="BS29" i="15"/>
  <c r="BS14" i="15"/>
  <c r="BS11" i="15"/>
  <c r="BS10" i="15"/>
  <c r="BX29" i="15"/>
  <c r="BX14" i="15"/>
  <c r="BX10" i="15"/>
  <c r="BX11" i="15"/>
  <c r="CD29" i="15"/>
  <c r="CD14" i="15"/>
  <c r="CD10" i="15"/>
  <c r="CD11" i="15"/>
  <c r="CM29" i="15"/>
  <c r="CM26" i="15"/>
  <c r="CM25" i="15"/>
  <c r="CM24" i="15"/>
  <c r="CM23" i="15"/>
  <c r="CM11" i="15"/>
  <c r="CM14" i="15"/>
  <c r="CM10" i="15"/>
  <c r="CR29" i="15"/>
  <c r="CR26" i="15"/>
  <c r="CR25" i="15"/>
  <c r="CR24" i="15"/>
  <c r="CR23" i="15"/>
  <c r="CR10" i="15"/>
  <c r="CR14" i="15"/>
  <c r="CR11" i="15"/>
  <c r="CX29" i="15"/>
  <c r="CX26" i="15"/>
  <c r="CX25" i="15"/>
  <c r="CX24" i="15"/>
  <c r="CX23" i="15"/>
  <c r="CX14" i="15"/>
  <c r="CX11" i="15"/>
  <c r="CX10" i="15"/>
  <c r="Q29" i="15"/>
  <c r="Q11" i="15"/>
  <c r="Q14" i="15"/>
  <c r="Q10" i="15"/>
  <c r="Y29" i="15"/>
  <c r="Y11" i="15"/>
  <c r="Y14" i="15"/>
  <c r="Y10" i="15"/>
  <c r="AF14" i="15"/>
  <c r="AF29" i="15"/>
  <c r="AF11" i="15"/>
  <c r="AF10" i="15"/>
  <c r="AK29" i="15"/>
  <c r="AK10" i="15"/>
  <c r="AK11" i="15"/>
  <c r="AK14" i="15"/>
  <c r="AS11" i="15"/>
  <c r="AS29" i="15"/>
  <c r="AS14" i="15"/>
  <c r="AS10" i="15"/>
  <c r="AZ29" i="15"/>
  <c r="AZ11" i="15"/>
  <c r="AZ10" i="15"/>
  <c r="AZ14" i="15"/>
  <c r="BE14" i="15"/>
  <c r="BE11" i="15"/>
  <c r="BE10" i="15"/>
  <c r="BE29" i="15"/>
  <c r="BM29" i="15"/>
  <c r="BM11" i="15"/>
  <c r="BM10" i="15"/>
  <c r="BM14" i="15"/>
  <c r="BT11" i="15"/>
  <c r="BT14" i="15"/>
  <c r="BT29" i="15"/>
  <c r="BT10" i="15"/>
  <c r="BY11" i="15"/>
  <c r="BY10" i="15"/>
  <c r="BY29" i="15"/>
  <c r="BY14" i="15"/>
  <c r="CG14" i="15"/>
  <c r="CG11" i="15"/>
  <c r="CG10" i="15"/>
  <c r="CG29" i="15"/>
  <c r="CN14" i="15"/>
  <c r="CN26" i="15"/>
  <c r="CN11" i="15"/>
  <c r="CN23" i="15"/>
  <c r="CN24" i="15"/>
  <c r="CN10" i="15"/>
  <c r="CN25" i="15"/>
  <c r="CN29" i="15"/>
  <c r="CS14" i="15"/>
  <c r="CS23" i="15"/>
  <c r="CS10" i="15"/>
  <c r="CS24" i="15"/>
  <c r="CS29" i="15"/>
  <c r="CS25" i="15"/>
  <c r="CS11" i="15"/>
  <c r="CS26" i="15"/>
  <c r="DA14" i="15"/>
  <c r="DA24" i="15"/>
  <c r="DA11" i="15"/>
  <c r="DA29" i="15"/>
  <c r="DA25" i="15"/>
  <c r="DA26" i="15"/>
  <c r="DA10" i="15"/>
  <c r="DA23" i="15"/>
  <c r="N21" i="21"/>
  <c r="N14" i="21"/>
  <c r="N30" i="21"/>
  <c r="N12" i="21"/>
  <c r="N13" i="21"/>
  <c r="K16" i="21"/>
  <c r="N11" i="21"/>
  <c r="K10" i="21"/>
  <c r="N31" i="21"/>
  <c r="N29" i="21"/>
  <c r="N15" i="21"/>
  <c r="L3" i="15"/>
  <c r="C141" i="16"/>
  <c r="C26" i="16"/>
  <c r="C25" i="16"/>
  <c r="C24" i="16"/>
  <c r="C23" i="16"/>
  <c r="C22" i="16"/>
  <c r="C21" i="16"/>
  <c r="C20" i="16"/>
  <c r="C19" i="16"/>
  <c r="C18" i="16"/>
  <c r="C17" i="16"/>
  <c r="C16" i="16"/>
  <c r="C15" i="16"/>
  <c r="C14" i="16"/>
  <c r="AS34" i="15"/>
  <c r="C12" i="16"/>
  <c r="AZ16" i="15" s="1"/>
  <c r="C11" i="16"/>
  <c r="AK17" i="15" s="1"/>
  <c r="C9" i="16"/>
  <c r="CB28" i="15" s="1"/>
  <c r="C8" i="16"/>
  <c r="Q18" i="15" s="1"/>
  <c r="C7" i="16"/>
  <c r="Z21" i="15" s="1"/>
  <c r="C6" i="16"/>
  <c r="Y22" i="15" s="1"/>
  <c r="C5" i="16"/>
  <c r="BA27" i="15" s="1"/>
  <c r="C13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T13" i="15" s="1"/>
  <c r="C6" i="17"/>
  <c r="AG12" i="15" s="1"/>
  <c r="K3" i="15"/>
  <c r="K5" i="15"/>
  <c r="H141" i="16"/>
  <c r="G141" i="16" s="1"/>
  <c r="H26" i="16"/>
  <c r="G26" i="16" s="1"/>
  <c r="H25" i="16"/>
  <c r="G25" i="16" s="1"/>
  <c r="H24" i="16"/>
  <c r="G24" i="16" s="1"/>
  <c r="H23" i="16"/>
  <c r="G23" i="16" s="1"/>
  <c r="H22" i="16"/>
  <c r="G22" i="16" s="1"/>
  <c r="H21" i="16"/>
  <c r="G21" i="16" s="1"/>
  <c r="H20" i="16"/>
  <c r="G20" i="16" s="1"/>
  <c r="H19" i="16"/>
  <c r="G19" i="16" s="1"/>
  <c r="H18" i="16"/>
  <c r="G18" i="16" s="1"/>
  <c r="H17" i="16"/>
  <c r="G17" i="16" s="1"/>
  <c r="H16" i="16"/>
  <c r="G16" i="16" s="1"/>
  <c r="H15" i="16"/>
  <c r="G15" i="16" s="1"/>
  <c r="H14" i="16"/>
  <c r="G14" i="16" s="1"/>
  <c r="H12" i="16"/>
  <c r="G12" i="16" s="1"/>
  <c r="H11" i="16"/>
  <c r="G11" i="16" s="1"/>
  <c r="H10" i="16"/>
  <c r="H9" i="16"/>
  <c r="H8" i="16"/>
  <c r="H7" i="16"/>
  <c r="D19" i="1"/>
  <c r="H5" i="16"/>
  <c r="D21" i="1" s="1"/>
  <c r="F29" i="15"/>
  <c r="F27" i="15"/>
  <c r="F26" i="15"/>
  <c r="F25" i="15"/>
  <c r="F24" i="15"/>
  <c r="F23" i="15"/>
  <c r="F21" i="15"/>
  <c r="F20" i="15"/>
  <c r="F19" i="15"/>
  <c r="F18" i="15"/>
  <c r="F17" i="15"/>
  <c r="F16" i="15"/>
  <c r="F14" i="15"/>
  <c r="F13" i="15"/>
  <c r="F12" i="15"/>
  <c r="F11" i="15"/>
  <c r="F10" i="15"/>
  <c r="AM18" i="21" l="1"/>
  <c r="CG28" i="15"/>
  <c r="AA28" i="15"/>
  <c r="U28" i="15"/>
  <c r="BH28" i="15"/>
  <c r="BD28" i="15"/>
  <c r="AF28" i="15"/>
  <c r="CW28" i="15"/>
  <c r="AZ28" i="15"/>
  <c r="AN28" i="15"/>
  <c r="D30" i="1"/>
  <c r="AU34" i="15"/>
  <c r="AN34" i="15"/>
  <c r="AK34" i="15"/>
  <c r="CD34" i="15"/>
  <c r="BD34" i="15"/>
  <c r="AE34" i="15"/>
  <c r="CW34" i="15"/>
  <c r="BW34" i="15"/>
  <c r="U34" i="15"/>
  <c r="CO34" i="15"/>
  <c r="BN34" i="15"/>
  <c r="M34" i="15"/>
  <c r="CN34" i="15"/>
  <c r="CP34" i="15" s="1"/>
  <c r="BM34" i="15"/>
  <c r="AF34" i="15"/>
  <c r="CX34" i="15"/>
  <c r="BX34" i="15"/>
  <c r="AY34" i="15"/>
  <c r="V34" i="15"/>
  <c r="CQ34" i="15"/>
  <c r="BO34" i="15"/>
  <c r="AO34" i="15"/>
  <c r="O34" i="15"/>
  <c r="CH34" i="15"/>
  <c r="BH34" i="15"/>
  <c r="AG34" i="15"/>
  <c r="Q34" i="15"/>
  <c r="CG34" i="15"/>
  <c r="BE34" i="15"/>
  <c r="AP34" i="15"/>
  <c r="AI34" i="15"/>
  <c r="DA34" i="15"/>
  <c r="CR34" i="15"/>
  <c r="BS34" i="15"/>
  <c r="P34" i="15"/>
  <c r="CI34" i="15"/>
  <c r="BI34" i="15"/>
  <c r="BK34" i="15" s="1"/>
  <c r="DB34" i="15"/>
  <c r="CB34" i="15"/>
  <c r="BA34" i="15"/>
  <c r="Z34" i="15"/>
  <c r="BY34" i="15"/>
  <c r="AZ34" i="15"/>
  <c r="Y34" i="15"/>
  <c r="BC34" i="15"/>
  <c r="BF34" i="15" s="1"/>
  <c r="DC16" i="15"/>
  <c r="BC16" i="15"/>
  <c r="Y16" i="15"/>
  <c r="BH16" i="15"/>
  <c r="DA16" i="15"/>
  <c r="CD16" i="15"/>
  <c r="AE16" i="15"/>
  <c r="AK16" i="15"/>
  <c r="CW16" i="15"/>
  <c r="AU16" i="15"/>
  <c r="DB16" i="15"/>
  <c r="BA16" i="15"/>
  <c r="CN16" i="15"/>
  <c r="BX16" i="15"/>
  <c r="V16" i="15"/>
  <c r="Q16" i="15"/>
  <c r="CQ16" i="15"/>
  <c r="AO16" i="15"/>
  <c r="CV16" i="15"/>
  <c r="AT16" i="15"/>
  <c r="BT16" i="15"/>
  <c r="BS16" i="15"/>
  <c r="P16" i="15"/>
  <c r="CI16" i="15"/>
  <c r="AI16" i="15"/>
  <c r="CO16" i="15"/>
  <c r="AN16" i="15"/>
  <c r="BE16" i="15"/>
  <c r="BJ16" i="15"/>
  <c r="O16" i="15"/>
  <c r="CC16" i="15"/>
  <c r="AA16" i="15"/>
  <c r="CH16" i="15"/>
  <c r="AG16" i="15"/>
  <c r="AF16" i="15"/>
  <c r="BD16" i="15"/>
  <c r="CS16" i="15"/>
  <c r="BW16" i="15"/>
  <c r="U16" i="15"/>
  <c r="CB16" i="15"/>
  <c r="Z16" i="15"/>
  <c r="CX16" i="15"/>
  <c r="AY16" i="15"/>
  <c r="CG16" i="15"/>
  <c r="BO16" i="15"/>
  <c r="BY16" i="15"/>
  <c r="BU16" i="15"/>
  <c r="T16" i="15"/>
  <c r="CR16" i="15"/>
  <c r="AP16" i="15"/>
  <c r="BM16" i="15"/>
  <c r="BI16" i="15"/>
  <c r="AS16" i="15"/>
  <c r="BN16" i="15"/>
  <c r="M16" i="15"/>
  <c r="CM16" i="15"/>
  <c r="AJ16" i="15"/>
  <c r="BW17" i="15"/>
  <c r="DB17" i="15"/>
  <c r="Z17" i="15"/>
  <c r="CX17" i="15"/>
  <c r="AY17" i="15"/>
  <c r="CG17" i="15"/>
  <c r="AU17" i="15"/>
  <c r="CB17" i="15"/>
  <c r="BA17" i="15"/>
  <c r="CN17" i="15"/>
  <c r="BX17" i="15"/>
  <c r="V17" i="15"/>
  <c r="Q17" i="15"/>
  <c r="CQ17" i="15"/>
  <c r="BO17" i="15"/>
  <c r="AO17" i="15"/>
  <c r="BY17" i="15"/>
  <c r="CV17" i="15"/>
  <c r="BU17" i="15"/>
  <c r="AT17" i="15"/>
  <c r="T17" i="15"/>
  <c r="BT17" i="15"/>
  <c r="CR17" i="15"/>
  <c r="BS17" i="15"/>
  <c r="AP17" i="15"/>
  <c r="P17" i="15"/>
  <c r="BM17" i="15"/>
  <c r="U17" i="15"/>
  <c r="CI17" i="15"/>
  <c r="BI17" i="15"/>
  <c r="AI17" i="15"/>
  <c r="AS17" i="15"/>
  <c r="CO17" i="15"/>
  <c r="BN17" i="15"/>
  <c r="AN17" i="15"/>
  <c r="M17" i="15"/>
  <c r="BE17" i="15"/>
  <c r="CM17" i="15"/>
  <c r="BJ17" i="15"/>
  <c r="AJ17" i="15"/>
  <c r="O17" i="15"/>
  <c r="AZ17" i="15"/>
  <c r="BB17" i="15" s="1"/>
  <c r="CW17" i="15"/>
  <c r="DC17" i="15"/>
  <c r="CC17" i="15"/>
  <c r="BC17" i="15"/>
  <c r="AA17" i="15"/>
  <c r="Y17" i="15"/>
  <c r="CH17" i="15"/>
  <c r="BH17" i="15"/>
  <c r="AG17" i="15"/>
  <c r="DA17" i="15"/>
  <c r="AF17" i="15"/>
  <c r="CD17" i="15"/>
  <c r="BD17" i="15"/>
  <c r="AE17" i="15"/>
  <c r="CS17" i="15"/>
  <c r="G10" i="16"/>
  <c r="D23" i="1"/>
  <c r="G9" i="16"/>
  <c r="D22" i="1"/>
  <c r="BX28" i="15"/>
  <c r="CQ28" i="15"/>
  <c r="BI28" i="15"/>
  <c r="O28" i="15"/>
  <c r="CS28" i="15"/>
  <c r="CN28" i="15"/>
  <c r="AE28" i="15"/>
  <c r="CC28" i="15"/>
  <c r="DB28" i="15"/>
  <c r="Z28" i="15"/>
  <c r="DA28" i="15"/>
  <c r="BT28" i="15"/>
  <c r="BJ28" i="15"/>
  <c r="AI28" i="15"/>
  <c r="CV28" i="15"/>
  <c r="BN28" i="15"/>
  <c r="AT28" i="15"/>
  <c r="Q28" i="15"/>
  <c r="CD28" i="15"/>
  <c r="AU28" i="15"/>
  <c r="CO28" i="15"/>
  <c r="CH28" i="15"/>
  <c r="BU28" i="15"/>
  <c r="T28" i="15"/>
  <c r="M28" i="15"/>
  <c r="AK28" i="15"/>
  <c r="Y28" i="15"/>
  <c r="AY28" i="15"/>
  <c r="BO28" i="15"/>
  <c r="BA28" i="15"/>
  <c r="AG28" i="15"/>
  <c r="AS28" i="15"/>
  <c r="CX28" i="15"/>
  <c r="BY28" i="15"/>
  <c r="CR28" i="15"/>
  <c r="BS28" i="15"/>
  <c r="CI28" i="15"/>
  <c r="BM28" i="15"/>
  <c r="BE28" i="15"/>
  <c r="CM28" i="15"/>
  <c r="AP28" i="15"/>
  <c r="AJ28" i="15"/>
  <c r="V28" i="15"/>
  <c r="P28" i="15"/>
  <c r="DC28" i="15"/>
  <c r="BW28" i="15"/>
  <c r="BC28" i="15"/>
  <c r="AO28" i="15"/>
  <c r="G8" i="16"/>
  <c r="D15" i="1"/>
  <c r="D14" i="1" s="1"/>
  <c r="CM18" i="15"/>
  <c r="AJ18" i="15"/>
  <c r="BW18" i="15"/>
  <c r="U18" i="15"/>
  <c r="BN18" i="15"/>
  <c r="M18" i="15"/>
  <c r="BM18" i="15"/>
  <c r="CD18" i="15"/>
  <c r="AE18" i="15"/>
  <c r="BO18" i="15"/>
  <c r="O18" i="15"/>
  <c r="BH18" i="15"/>
  <c r="P18" i="15"/>
  <c r="BE18" i="15"/>
  <c r="BX18" i="15"/>
  <c r="V18" i="15"/>
  <c r="BI18" i="15"/>
  <c r="DB18" i="15"/>
  <c r="BA18" i="15"/>
  <c r="DA18" i="15"/>
  <c r="AZ18" i="15"/>
  <c r="BS18" i="15"/>
  <c r="DC18" i="15"/>
  <c r="BC18" i="15"/>
  <c r="CV18" i="15"/>
  <c r="AT18" i="15"/>
  <c r="CS18" i="15"/>
  <c r="AS18" i="15"/>
  <c r="BJ18" i="15"/>
  <c r="CW18" i="15"/>
  <c r="AU18" i="15"/>
  <c r="CO18" i="15"/>
  <c r="AN18" i="15"/>
  <c r="CN18" i="15"/>
  <c r="AK18" i="15"/>
  <c r="BD18" i="15"/>
  <c r="CQ18" i="15"/>
  <c r="AO18" i="15"/>
  <c r="CH18" i="15"/>
  <c r="AG18" i="15"/>
  <c r="CG18" i="15"/>
  <c r="AF18" i="15"/>
  <c r="CX18" i="15"/>
  <c r="AY18" i="15"/>
  <c r="CI18" i="15"/>
  <c r="AI18" i="15"/>
  <c r="CB18" i="15"/>
  <c r="Z18" i="15"/>
  <c r="BY18" i="15"/>
  <c r="Y18" i="15"/>
  <c r="CR18" i="15"/>
  <c r="AP18" i="15"/>
  <c r="CC18" i="15"/>
  <c r="AA18" i="15"/>
  <c r="BU18" i="15"/>
  <c r="T18" i="15"/>
  <c r="BT18" i="15"/>
  <c r="CM20" i="15"/>
  <c r="CB20" i="15"/>
  <c r="BD20" i="15"/>
  <c r="AJ20" i="15"/>
  <c r="CC20" i="15"/>
  <c r="AF20" i="15"/>
  <c r="AU20" i="15"/>
  <c r="CR20" i="15"/>
  <c r="CN21" i="15"/>
  <c r="BJ21" i="15"/>
  <c r="BI21" i="15"/>
  <c r="AG21" i="15"/>
  <c r="Q21" i="15"/>
  <c r="P21" i="15"/>
  <c r="O21" i="15"/>
  <c r="L21" i="15"/>
  <c r="AP20" i="15"/>
  <c r="P20" i="15"/>
  <c r="CI20" i="15"/>
  <c r="U20" i="15"/>
  <c r="AK20" i="15"/>
  <c r="M20" i="15"/>
  <c r="DC20" i="15"/>
  <c r="BY21" i="15"/>
  <c r="AY21" i="15"/>
  <c r="AU21" i="15"/>
  <c r="T21" i="15"/>
  <c r="M21" i="15"/>
  <c r="Y21" i="15"/>
  <c r="DB21" i="15"/>
  <c r="CG20" i="15"/>
  <c r="BW20" i="15"/>
  <c r="O20" i="15"/>
  <c r="BH20" i="15"/>
  <c r="AN20" i="15"/>
  <c r="AG20" i="15"/>
  <c r="V20" i="15"/>
  <c r="BN20" i="15"/>
  <c r="CW20" i="15"/>
  <c r="BM21" i="15"/>
  <c r="AJ21" i="15"/>
  <c r="AI21" i="15"/>
  <c r="CS21" i="15"/>
  <c r="CR21" i="15"/>
  <c r="DC21" i="15"/>
  <c r="CO21" i="15"/>
  <c r="T20" i="15"/>
  <c r="BX20" i="15"/>
  <c r="BJ20" i="15"/>
  <c r="BE20" i="15"/>
  <c r="AZ20" i="15"/>
  <c r="BA20" i="15"/>
  <c r="DB20" i="15"/>
  <c r="CQ21" i="15"/>
  <c r="AZ21" i="15"/>
  <c r="V21" i="15"/>
  <c r="CV21" i="15"/>
  <c r="CG21" i="15"/>
  <c r="CD21" i="15"/>
  <c r="CC21" i="15"/>
  <c r="CB21" i="15"/>
  <c r="BC20" i="15"/>
  <c r="AI20" i="15"/>
  <c r="AO20" i="15"/>
  <c r="BT20" i="15"/>
  <c r="CO20" i="15"/>
  <c r="AK21" i="15"/>
  <c r="U21" i="15"/>
  <c r="CH21" i="15"/>
  <c r="BT21" i="15"/>
  <c r="BS21" i="15"/>
  <c r="BO21" i="15"/>
  <c r="BN21" i="15"/>
  <c r="AS20" i="15"/>
  <c r="Y20" i="15"/>
  <c r="CQ20" i="15"/>
  <c r="BY20" i="15"/>
  <c r="AA20" i="15"/>
  <c r="CH20" i="15"/>
  <c r="CS20" i="15"/>
  <c r="CX21" i="15"/>
  <c r="CW21" i="15"/>
  <c r="BU21" i="15"/>
  <c r="BE21" i="15"/>
  <c r="BD21" i="15"/>
  <c r="BC21" i="15"/>
  <c r="BA21" i="15"/>
  <c r="BS20" i="15"/>
  <c r="AY20" i="15"/>
  <c r="CD20" i="15"/>
  <c r="AT20" i="15"/>
  <c r="Q20" i="15"/>
  <c r="BU20" i="15"/>
  <c r="Z20" i="15"/>
  <c r="CN20" i="15"/>
  <c r="CM21" i="15"/>
  <c r="CI21" i="15"/>
  <c r="BH21" i="15"/>
  <c r="AS21" i="15"/>
  <c r="AP21" i="15"/>
  <c r="AO21" i="15"/>
  <c r="AN21" i="15"/>
  <c r="DA20" i="15"/>
  <c r="BM20" i="15"/>
  <c r="AE20" i="15"/>
  <c r="CV20" i="15"/>
  <c r="BO20" i="15"/>
  <c r="BI20" i="15"/>
  <c r="CX20" i="15"/>
  <c r="DA21" i="15"/>
  <c r="BX21" i="15"/>
  <c r="BW21" i="15"/>
  <c r="AT21" i="15"/>
  <c r="AF21" i="15"/>
  <c r="AE21" i="15"/>
  <c r="AA21" i="15"/>
  <c r="CA18" i="21"/>
  <c r="CF18" i="21" s="1"/>
  <c r="CK18" i="21" s="1"/>
  <c r="CS12" i="15"/>
  <c r="BT13" i="15"/>
  <c r="BE13" i="15"/>
  <c r="BX13" i="15"/>
  <c r="CN13" i="15"/>
  <c r="BY13" i="15"/>
  <c r="BM13" i="15"/>
  <c r="AF13" i="15"/>
  <c r="Y13" i="15"/>
  <c r="Q13" i="15"/>
  <c r="CR13" i="15"/>
  <c r="CD13" i="15"/>
  <c r="BD13" i="15"/>
  <c r="AE13" i="15"/>
  <c r="V13" i="15"/>
  <c r="CC13" i="15"/>
  <c r="BI13" i="15"/>
  <c r="AA13" i="15"/>
  <c r="O13" i="15"/>
  <c r="CV13" i="15"/>
  <c r="CH13" i="15"/>
  <c r="AN13" i="15"/>
  <c r="AG13" i="15"/>
  <c r="DA13" i="15"/>
  <c r="CG13" i="15"/>
  <c r="AZ13" i="15"/>
  <c r="CM13" i="15"/>
  <c r="BS13" i="15"/>
  <c r="AY13" i="15"/>
  <c r="AP13" i="15"/>
  <c r="DC13" i="15"/>
  <c r="CI13" i="15"/>
  <c r="BO13" i="15"/>
  <c r="DB13" i="15"/>
  <c r="BN13" i="15"/>
  <c r="CX13" i="15"/>
  <c r="CQ13" i="15"/>
  <c r="BC13" i="15"/>
  <c r="AI13" i="15"/>
  <c r="CO13" i="15"/>
  <c r="BU13" i="15"/>
  <c r="BA13" i="15"/>
  <c r="AT13" i="15"/>
  <c r="Z13" i="15"/>
  <c r="M13" i="15"/>
  <c r="CS13" i="15"/>
  <c r="AK13" i="15"/>
  <c r="AS13" i="15"/>
  <c r="BJ13" i="15"/>
  <c r="AJ13" i="15"/>
  <c r="AL13" i="15" s="1"/>
  <c r="P13" i="15"/>
  <c r="CW13" i="15"/>
  <c r="BW13" i="15"/>
  <c r="AU13" i="15"/>
  <c r="AO13" i="15"/>
  <c r="U13" i="15"/>
  <c r="CB13" i="15"/>
  <c r="BH13" i="15"/>
  <c r="BK13" i="15" s="1"/>
  <c r="BC12" i="15"/>
  <c r="AA12" i="15"/>
  <c r="CB12" i="15"/>
  <c r="BU12" i="15"/>
  <c r="BN12" i="15"/>
  <c r="T12" i="15"/>
  <c r="T9" i="15" s="1"/>
  <c r="T31" i="15" s="1"/>
  <c r="T40" i="15" s="1"/>
  <c r="BM12" i="15"/>
  <c r="BM9" i="15" s="1"/>
  <c r="BM31" i="15" s="1"/>
  <c r="BM40" i="15" s="1"/>
  <c r="AS12" i="15"/>
  <c r="BD12" i="15"/>
  <c r="BT12" i="15"/>
  <c r="AK12" i="15"/>
  <c r="Y12" i="15"/>
  <c r="Q12" i="15"/>
  <c r="CR12" i="15"/>
  <c r="CM12" i="15"/>
  <c r="CD12" i="15"/>
  <c r="CD9" i="15" s="1"/>
  <c r="BI12" i="15"/>
  <c r="AO12" i="15"/>
  <c r="U12" i="15"/>
  <c r="CO12" i="15"/>
  <c r="AN12" i="15"/>
  <c r="DA12" i="15"/>
  <c r="DA9" i="15" s="1"/>
  <c r="BX12" i="15"/>
  <c r="BX9" i="15" s="1"/>
  <c r="CN12" i="15"/>
  <c r="CN9" i="15" s="1"/>
  <c r="BY12" i="15"/>
  <c r="BS12" i="15"/>
  <c r="BJ12" i="15"/>
  <c r="AY12" i="15"/>
  <c r="AJ12" i="15"/>
  <c r="AE12" i="15"/>
  <c r="V12" i="15"/>
  <c r="V9" i="15" s="1"/>
  <c r="P12" i="15"/>
  <c r="CW12" i="15"/>
  <c r="CW9" i="15" s="1"/>
  <c r="CQ12" i="15"/>
  <c r="BW12" i="15"/>
  <c r="BO12" i="15"/>
  <c r="AI12" i="15"/>
  <c r="O12" i="15"/>
  <c r="DB12" i="15"/>
  <c r="CV12" i="15"/>
  <c r="CV9" i="15" s="1"/>
  <c r="AT12" i="15"/>
  <c r="Z12" i="15"/>
  <c r="M12" i="15"/>
  <c r="CG12" i="15"/>
  <c r="BE12" i="15"/>
  <c r="AZ12" i="15"/>
  <c r="AF12" i="15"/>
  <c r="CX12" i="15"/>
  <c r="CX9" i="15" s="1"/>
  <c r="AP12" i="15"/>
  <c r="DC12" i="15"/>
  <c r="CI12" i="15"/>
  <c r="CC12" i="15"/>
  <c r="AU12" i="15"/>
  <c r="CH12" i="15"/>
  <c r="BH12" i="15"/>
  <c r="BA12" i="15"/>
  <c r="BA9" i="15" s="1"/>
  <c r="BY27" i="15"/>
  <c r="AS27" i="15"/>
  <c r="AK27" i="15"/>
  <c r="BT27" i="15"/>
  <c r="Q27" i="15"/>
  <c r="CX27" i="15"/>
  <c r="CR27" i="15"/>
  <c r="CS27" i="15"/>
  <c r="CM27" i="15"/>
  <c r="DC27" i="15"/>
  <c r="CW27" i="15"/>
  <c r="CC27" i="15"/>
  <c r="BW27" i="15"/>
  <c r="BC27" i="15"/>
  <c r="CV27" i="15"/>
  <c r="CO27" i="15"/>
  <c r="CH27" i="15"/>
  <c r="BU27" i="15"/>
  <c r="Z27" i="15"/>
  <c r="T27" i="15"/>
  <c r="CD27" i="15"/>
  <c r="BX27" i="15"/>
  <c r="AP27" i="15"/>
  <c r="P27" i="15"/>
  <c r="CQ27" i="15"/>
  <c r="CI27" i="15"/>
  <c r="AT27" i="15"/>
  <c r="AN27" i="15"/>
  <c r="DA27" i="15"/>
  <c r="CN27" i="15"/>
  <c r="BM27" i="15"/>
  <c r="BE27" i="15"/>
  <c r="Y27" i="15"/>
  <c r="BS27" i="15"/>
  <c r="BJ27" i="15"/>
  <c r="BD27" i="15"/>
  <c r="AJ27" i="15"/>
  <c r="V27" i="15"/>
  <c r="BI27" i="15"/>
  <c r="AO27" i="15"/>
  <c r="AI27" i="15"/>
  <c r="O27" i="15"/>
  <c r="BN27" i="15"/>
  <c r="AG27" i="15"/>
  <c r="M27" i="15"/>
  <c r="CG27" i="15"/>
  <c r="AZ27" i="15"/>
  <c r="AF27" i="15"/>
  <c r="AY27" i="15"/>
  <c r="AE27" i="15"/>
  <c r="BO27" i="15"/>
  <c r="AU27" i="15"/>
  <c r="AA27" i="15"/>
  <c r="U27" i="15"/>
  <c r="DB27" i="15"/>
  <c r="CB27" i="15"/>
  <c r="BH27" i="15"/>
  <c r="CD22" i="15"/>
  <c r="AE22" i="15"/>
  <c r="BO22" i="15"/>
  <c r="O22" i="15"/>
  <c r="BH22" i="15"/>
  <c r="P22" i="15"/>
  <c r="BT22" i="15"/>
  <c r="CR22" i="15"/>
  <c r="AP22" i="15"/>
  <c r="CC22" i="15"/>
  <c r="AA22" i="15"/>
  <c r="BU22" i="15"/>
  <c r="T22" i="15"/>
  <c r="CG22" i="15"/>
  <c r="BD22" i="15"/>
  <c r="CQ22" i="15"/>
  <c r="AO22" i="15"/>
  <c r="CH22" i="15"/>
  <c r="AG22" i="15"/>
  <c r="BS22" i="15"/>
  <c r="DC22" i="15"/>
  <c r="BC22" i="15"/>
  <c r="CV22" i="15"/>
  <c r="AT22" i="15"/>
  <c r="AG8" i="21"/>
  <c r="BY8" i="21"/>
  <c r="BG35" i="21"/>
  <c r="BL35" i="21" s="1"/>
  <c r="BQ35" i="21" s="1"/>
  <c r="P8" i="21"/>
  <c r="S25" i="21"/>
  <c r="X25" i="21" s="1"/>
  <c r="AC25" i="21" s="1"/>
  <c r="AA8" i="21"/>
  <c r="AU8" i="21"/>
  <c r="BO8" i="21"/>
  <c r="S28" i="21"/>
  <c r="X28" i="21" s="1"/>
  <c r="AC28" i="21" s="1"/>
  <c r="K20" i="15"/>
  <c r="K21" i="15"/>
  <c r="AM23" i="21"/>
  <c r="AR23" i="21" s="1"/>
  <c r="AW23" i="21" s="1"/>
  <c r="CU23" i="21"/>
  <c r="CZ23" i="21" s="1"/>
  <c r="DE23" i="21" s="1"/>
  <c r="BG23" i="21"/>
  <c r="BL23" i="21" s="1"/>
  <c r="BQ23" i="21" s="1"/>
  <c r="CA23" i="21"/>
  <c r="CF23" i="21" s="1"/>
  <c r="CK23" i="21" s="1"/>
  <c r="S23" i="21"/>
  <c r="X23" i="21" s="1"/>
  <c r="AC23" i="21" s="1"/>
  <c r="S19" i="21"/>
  <c r="X19" i="21" s="1"/>
  <c r="AC19" i="21" s="1"/>
  <c r="BG24" i="21"/>
  <c r="BL24" i="21" s="1"/>
  <c r="BQ24" i="21" s="1"/>
  <c r="CC8" i="21"/>
  <c r="BE8" i="21"/>
  <c r="AT8" i="21"/>
  <c r="CU24" i="21"/>
  <c r="CZ24" i="21" s="1"/>
  <c r="DE24" i="21" s="1"/>
  <c r="BI8" i="21"/>
  <c r="AM24" i="21"/>
  <c r="AR24" i="21" s="1"/>
  <c r="AW24" i="21" s="1"/>
  <c r="BG19" i="21"/>
  <c r="BL19" i="21" s="1"/>
  <c r="BQ19" i="21" s="1"/>
  <c r="BN8" i="21"/>
  <c r="AO8" i="21"/>
  <c r="CA19" i="21"/>
  <c r="CF19" i="21" s="1"/>
  <c r="CK19" i="21" s="1"/>
  <c r="CU19" i="21"/>
  <c r="CZ19" i="21" s="1"/>
  <c r="DE19" i="21" s="1"/>
  <c r="AM19" i="21"/>
  <c r="AR19" i="21" s="1"/>
  <c r="AW19" i="21" s="1"/>
  <c r="CS22" i="15"/>
  <c r="BE22" i="15"/>
  <c r="AS22" i="15"/>
  <c r="AF22" i="15"/>
  <c r="Q22" i="15"/>
  <c r="CX22" i="15"/>
  <c r="CM22" i="15"/>
  <c r="BX22" i="15"/>
  <c r="BJ22" i="15"/>
  <c r="AY22" i="15"/>
  <c r="AJ22" i="15"/>
  <c r="V22" i="15"/>
  <c r="CW22" i="15"/>
  <c r="CI22" i="15"/>
  <c r="BW22" i="15"/>
  <c r="BI22" i="15"/>
  <c r="AU22" i="15"/>
  <c r="AI22" i="15"/>
  <c r="U22" i="15"/>
  <c r="DB22" i="15"/>
  <c r="CO22" i="15"/>
  <c r="CB22" i="15"/>
  <c r="BN22" i="15"/>
  <c r="BA22" i="15"/>
  <c r="AN22" i="15"/>
  <c r="Z22" i="15"/>
  <c r="M22" i="15"/>
  <c r="DA22" i="15"/>
  <c r="CN22" i="15"/>
  <c r="BY22" i="15"/>
  <c r="BM22" i="15"/>
  <c r="AZ22" i="15"/>
  <c r="AK22" i="15"/>
  <c r="K8" i="21"/>
  <c r="K9" i="21" s="1"/>
  <c r="BC8" i="21"/>
  <c r="L8" i="21"/>
  <c r="BX8" i="21"/>
  <c r="CH8" i="21"/>
  <c r="AZ8" i="21"/>
  <c r="Q8" i="21"/>
  <c r="AJ8" i="21"/>
  <c r="BT8" i="21"/>
  <c r="U8" i="21"/>
  <c r="CD8" i="21"/>
  <c r="CN8" i="21"/>
  <c r="CI8" i="21"/>
  <c r="AK8" i="21"/>
  <c r="CO8" i="21"/>
  <c r="BA8" i="21"/>
  <c r="O8" i="21"/>
  <c r="AS8" i="21"/>
  <c r="CQ8" i="21"/>
  <c r="DA8" i="21"/>
  <c r="BU8" i="21"/>
  <c r="CS8" i="21"/>
  <c r="CW8" i="21"/>
  <c r="CA24" i="21"/>
  <c r="CF24" i="21" s="1"/>
  <c r="CK24" i="21" s="1"/>
  <c r="AE8" i="21"/>
  <c r="BH8" i="21"/>
  <c r="BS8" i="21"/>
  <c r="CX8" i="21"/>
  <c r="AI8" i="21"/>
  <c r="BM8" i="21"/>
  <c r="BW8" i="21"/>
  <c r="CG8" i="21"/>
  <c r="BD8" i="21"/>
  <c r="CR8" i="21"/>
  <c r="AP8" i="21"/>
  <c r="DB8" i="21"/>
  <c r="S24" i="21"/>
  <c r="X24" i="21" s="1"/>
  <c r="AC24" i="21" s="1"/>
  <c r="T8" i="21"/>
  <c r="AN8" i="21"/>
  <c r="AY8" i="21"/>
  <c r="CB8" i="21"/>
  <c r="CM8" i="21"/>
  <c r="CV8" i="21"/>
  <c r="Z8" i="21"/>
  <c r="BJ8" i="21"/>
  <c r="DC8" i="21"/>
  <c r="L18" i="15"/>
  <c r="L22" i="15"/>
  <c r="K18" i="15"/>
  <c r="K22" i="15"/>
  <c r="AR18" i="21"/>
  <c r="AW18" i="21" s="1"/>
  <c r="CZ18" i="21"/>
  <c r="DE18" i="21" s="1"/>
  <c r="X18" i="21"/>
  <c r="AC18" i="21" s="1"/>
  <c r="BL18" i="21"/>
  <c r="BQ18" i="21" s="1"/>
  <c r="AM45" i="21"/>
  <c r="AR45" i="21" s="1"/>
  <c r="AW45" i="21" s="1"/>
  <c r="W17" i="15"/>
  <c r="K16" i="15"/>
  <c r="K17" i="15"/>
  <c r="L16" i="15"/>
  <c r="L17" i="15"/>
  <c r="AM26" i="21"/>
  <c r="AR26" i="21" s="1"/>
  <c r="AW26" i="21" s="1"/>
  <c r="BG25" i="21"/>
  <c r="BL25" i="21" s="1"/>
  <c r="BQ25" i="21" s="1"/>
  <c r="S26" i="21"/>
  <c r="X26" i="21" s="1"/>
  <c r="AC26" i="21" s="1"/>
  <c r="S45" i="21"/>
  <c r="X45" i="21" s="1"/>
  <c r="AC45" i="21" s="1"/>
  <c r="AM28" i="21"/>
  <c r="AR28" i="21" s="1"/>
  <c r="AW28" i="21" s="1"/>
  <c r="AM25" i="21"/>
  <c r="AR25" i="21" s="1"/>
  <c r="AW25" i="21" s="1"/>
  <c r="CU25" i="21"/>
  <c r="CZ25" i="21" s="1"/>
  <c r="DE25" i="21" s="1"/>
  <c r="S38" i="21"/>
  <c r="X38" i="21" s="1"/>
  <c r="AC38" i="21" s="1"/>
  <c r="AM38" i="21"/>
  <c r="AR38" i="21" s="1"/>
  <c r="AW38" i="21" s="1"/>
  <c r="CA17" i="21"/>
  <c r="CF17" i="21" s="1"/>
  <c r="CK17" i="21" s="1"/>
  <c r="S30" i="21"/>
  <c r="X30" i="21" s="1"/>
  <c r="AC30" i="21" s="1"/>
  <c r="S40" i="21"/>
  <c r="X40" i="21" s="1"/>
  <c r="AC40" i="21" s="1"/>
  <c r="CA35" i="21"/>
  <c r="CF35" i="21" s="1"/>
  <c r="CK35" i="21" s="1"/>
  <c r="S17" i="21"/>
  <c r="X17" i="21" s="1"/>
  <c r="AC17" i="21" s="1"/>
  <c r="CU17" i="21"/>
  <c r="CZ17" i="21" s="1"/>
  <c r="DE17" i="21" s="1"/>
  <c r="AM17" i="21"/>
  <c r="AR17" i="21" s="1"/>
  <c r="AW17" i="21" s="1"/>
  <c r="BG17" i="21"/>
  <c r="BL17" i="21" s="1"/>
  <c r="BQ17" i="21" s="1"/>
  <c r="CA40" i="21"/>
  <c r="CF40" i="21" s="1"/>
  <c r="CK40" i="21" s="1"/>
  <c r="G6" i="16"/>
  <c r="M39" i="15" s="1"/>
  <c r="BG28" i="21"/>
  <c r="BL28" i="21" s="1"/>
  <c r="BQ28" i="21" s="1"/>
  <c r="CU27" i="21"/>
  <c r="CZ27" i="21" s="1"/>
  <c r="DE27" i="21" s="1"/>
  <c r="CU28" i="21"/>
  <c r="CZ28" i="21" s="1"/>
  <c r="DE28" i="21" s="1"/>
  <c r="CA25" i="21"/>
  <c r="CF25" i="21" s="1"/>
  <c r="CK25" i="21" s="1"/>
  <c r="BG26" i="21"/>
  <c r="BL26" i="21" s="1"/>
  <c r="BQ26" i="21" s="1"/>
  <c r="CA28" i="21"/>
  <c r="CF28" i="21" s="1"/>
  <c r="CK28" i="21" s="1"/>
  <c r="L25" i="15"/>
  <c r="L23" i="15"/>
  <c r="L20" i="15"/>
  <c r="L26" i="15"/>
  <c r="L24" i="15"/>
  <c r="CA27" i="21"/>
  <c r="CF27" i="21" s="1"/>
  <c r="CK27" i="21" s="1"/>
  <c r="K23" i="15"/>
  <c r="K25" i="15"/>
  <c r="K26" i="15"/>
  <c r="K24" i="15"/>
  <c r="CA26" i="21"/>
  <c r="CF26" i="21" s="1"/>
  <c r="CK26" i="21" s="1"/>
  <c r="BG27" i="21"/>
  <c r="BL27" i="21" s="1"/>
  <c r="BQ27" i="21" s="1"/>
  <c r="CU26" i="21"/>
  <c r="CZ26" i="21" s="1"/>
  <c r="DE26" i="21" s="1"/>
  <c r="BG40" i="21"/>
  <c r="BL40" i="21" s="1"/>
  <c r="BQ40" i="21" s="1"/>
  <c r="S12" i="21"/>
  <c r="X12" i="21" s="1"/>
  <c r="AC12" i="21" s="1"/>
  <c r="S21" i="21"/>
  <c r="X21" i="21" s="1"/>
  <c r="AC21" i="21" s="1"/>
  <c r="BP14" i="15"/>
  <c r="AV14" i="15"/>
  <c r="G7" i="16"/>
  <c r="K39" i="15" s="1"/>
  <c r="CU13" i="21"/>
  <c r="CZ13" i="21" s="1"/>
  <c r="DE13" i="21" s="1"/>
  <c r="CA41" i="21"/>
  <c r="CF41" i="21" s="1"/>
  <c r="CK41" i="21" s="1"/>
  <c r="DD39" i="21"/>
  <c r="BG13" i="21"/>
  <c r="BL13" i="21" s="1"/>
  <c r="BQ13" i="21" s="1"/>
  <c r="CA30" i="21"/>
  <c r="CF30" i="21" s="1"/>
  <c r="CK30" i="21" s="1"/>
  <c r="CU30" i="21"/>
  <c r="CZ30" i="21" s="1"/>
  <c r="DE30" i="21" s="1"/>
  <c r="CJ39" i="21"/>
  <c r="CU31" i="21"/>
  <c r="CZ31" i="21" s="1"/>
  <c r="DE31" i="21" s="1"/>
  <c r="AM15" i="21"/>
  <c r="AR15" i="21" s="1"/>
  <c r="AW15" i="21" s="1"/>
  <c r="CA45" i="21"/>
  <c r="CF45" i="21" s="1"/>
  <c r="CK45" i="21" s="1"/>
  <c r="W39" i="21"/>
  <c r="AL39" i="21"/>
  <c r="BG45" i="21"/>
  <c r="BL45" i="21" s="1"/>
  <c r="BQ45" i="21" s="1"/>
  <c r="CY10" i="21"/>
  <c r="BV39" i="21"/>
  <c r="S44" i="21"/>
  <c r="X44" i="21" s="1"/>
  <c r="AC44" i="21" s="1"/>
  <c r="AQ39" i="21"/>
  <c r="BG15" i="21"/>
  <c r="BL15" i="21" s="1"/>
  <c r="BQ15" i="21" s="1"/>
  <c r="BB39" i="21"/>
  <c r="CY39" i="21"/>
  <c r="BZ39" i="21"/>
  <c r="BG30" i="21"/>
  <c r="BL30" i="21" s="1"/>
  <c r="BQ30" i="21" s="1"/>
  <c r="CA38" i="21"/>
  <c r="CF38" i="21" s="1"/>
  <c r="CK38" i="21" s="1"/>
  <c r="CA29" i="21"/>
  <c r="CF29" i="21" s="1"/>
  <c r="CK29" i="21" s="1"/>
  <c r="CU44" i="21"/>
  <c r="CZ44" i="21" s="1"/>
  <c r="DE44" i="21" s="1"/>
  <c r="CA31" i="21"/>
  <c r="CF31" i="21" s="1"/>
  <c r="CK31" i="21" s="1"/>
  <c r="AM31" i="21"/>
  <c r="AR31" i="21" s="1"/>
  <c r="AW31" i="21" s="1"/>
  <c r="G5" i="16"/>
  <c r="CJ23" i="15"/>
  <c r="CP32" i="15"/>
  <c r="BB32" i="15"/>
  <c r="DD11" i="15"/>
  <c r="CT39" i="21"/>
  <c r="CU21" i="21"/>
  <c r="CZ21" i="21" s="1"/>
  <c r="DE21" i="21" s="1"/>
  <c r="CP39" i="21"/>
  <c r="BG29" i="21"/>
  <c r="BL29" i="21" s="1"/>
  <c r="BQ29" i="21" s="1"/>
  <c r="BP16" i="21"/>
  <c r="CJ16" i="21"/>
  <c r="CT16" i="21"/>
  <c r="S31" i="21"/>
  <c r="X31" i="21" s="1"/>
  <c r="AC31" i="21" s="1"/>
  <c r="R39" i="21"/>
  <c r="AB39" i="21"/>
  <c r="AH39" i="21"/>
  <c r="AV16" i="21"/>
  <c r="BK16" i="21"/>
  <c r="DD16" i="21"/>
  <c r="S41" i="21"/>
  <c r="X41" i="21" s="1"/>
  <c r="AC41" i="21" s="1"/>
  <c r="AM41" i="21"/>
  <c r="AR41" i="21" s="1"/>
  <c r="AW41" i="21" s="1"/>
  <c r="AM21" i="21"/>
  <c r="AR21" i="21" s="1"/>
  <c r="AW21" i="21" s="1"/>
  <c r="CU41" i="21"/>
  <c r="CZ41" i="21" s="1"/>
  <c r="DE41" i="21" s="1"/>
  <c r="S29" i="21"/>
  <c r="X29" i="21" s="1"/>
  <c r="AC29" i="21" s="1"/>
  <c r="CY16" i="21"/>
  <c r="AM40" i="21"/>
  <c r="AR40" i="21" s="1"/>
  <c r="AW40" i="21" s="1"/>
  <c r="AL16" i="21"/>
  <c r="BF39" i="21"/>
  <c r="BZ16" i="21"/>
  <c r="CU40" i="21"/>
  <c r="CZ40" i="21" s="1"/>
  <c r="DE40" i="21" s="1"/>
  <c r="AV25" i="15"/>
  <c r="CJ29" i="15"/>
  <c r="BP29" i="15"/>
  <c r="BP24" i="15"/>
  <c r="DD24" i="15"/>
  <c r="CJ14" i="15"/>
  <c r="BP11" i="15"/>
  <c r="BF14" i="15"/>
  <c r="DD14" i="15"/>
  <c r="CJ11" i="15"/>
  <c r="S13" i="21"/>
  <c r="X13" i="21" s="1"/>
  <c r="AC13" i="21" s="1"/>
  <c r="CA15" i="21"/>
  <c r="CF15" i="21" s="1"/>
  <c r="CK15" i="21" s="1"/>
  <c r="BV10" i="21"/>
  <c r="AH10" i="21"/>
  <c r="S15" i="21"/>
  <c r="X15" i="21" s="1"/>
  <c r="AC15" i="21" s="1"/>
  <c r="S14" i="21"/>
  <c r="X14" i="21" s="1"/>
  <c r="AC14" i="21" s="1"/>
  <c r="AQ10" i="21"/>
  <c r="CE10" i="21"/>
  <c r="R10" i="21"/>
  <c r="CP10" i="21"/>
  <c r="CJ10" i="21"/>
  <c r="AM13" i="21"/>
  <c r="AR13" i="21" s="1"/>
  <c r="AW13" i="21" s="1"/>
  <c r="BF10" i="21"/>
  <c r="AB10" i="21"/>
  <c r="BP10" i="21"/>
  <c r="AV10" i="21"/>
  <c r="DD10" i="21"/>
  <c r="W10" i="21"/>
  <c r="CA14" i="21"/>
  <c r="CF14" i="21" s="1"/>
  <c r="CK14" i="21" s="1"/>
  <c r="DD25" i="15"/>
  <c r="AV24" i="15"/>
  <c r="AV29" i="15"/>
  <c r="AV26" i="15"/>
  <c r="CJ25" i="15"/>
  <c r="DD29" i="15"/>
  <c r="CJ24" i="15"/>
  <c r="BP23" i="15"/>
  <c r="BV32" i="15"/>
  <c r="DD23" i="15"/>
  <c r="CJ26" i="15"/>
  <c r="BK24" i="15"/>
  <c r="DD26" i="15"/>
  <c r="BV34" i="15"/>
  <c r="R16" i="21"/>
  <c r="BG38" i="21"/>
  <c r="BL38" i="21" s="1"/>
  <c r="BQ38" i="21" s="1"/>
  <c r="BF16" i="21"/>
  <c r="CE39" i="21"/>
  <c r="CE16" i="21"/>
  <c r="CU35" i="21"/>
  <c r="CZ35" i="21" s="1"/>
  <c r="DE35" i="21" s="1"/>
  <c r="BP39" i="21"/>
  <c r="BG14" i="21"/>
  <c r="BL14" i="21" s="1"/>
  <c r="BQ14" i="21" s="1"/>
  <c r="BG31" i="21"/>
  <c r="BL31" i="21" s="1"/>
  <c r="BQ31" i="21" s="1"/>
  <c r="BG41" i="21"/>
  <c r="BL41" i="21" s="1"/>
  <c r="BQ41" i="21" s="1"/>
  <c r="CA11" i="21"/>
  <c r="CF11" i="21" s="1"/>
  <c r="CK11" i="21" s="1"/>
  <c r="CU29" i="21"/>
  <c r="CZ29" i="21" s="1"/>
  <c r="DE29" i="21" s="1"/>
  <c r="CU15" i="21"/>
  <c r="CZ15" i="21" s="1"/>
  <c r="DE15" i="21" s="1"/>
  <c r="AM35" i="21"/>
  <c r="AR35" i="21" s="1"/>
  <c r="AW35" i="21" s="1"/>
  <c r="AM29" i="21"/>
  <c r="AR29" i="21" s="1"/>
  <c r="AW29" i="21" s="1"/>
  <c r="CA13" i="21"/>
  <c r="CF13" i="21" s="1"/>
  <c r="CK13" i="21" s="1"/>
  <c r="BG21" i="21"/>
  <c r="BL21" i="21" s="1"/>
  <c r="BQ21" i="21" s="1"/>
  <c r="S35" i="21"/>
  <c r="X35" i="21" s="1"/>
  <c r="AC35" i="21" s="1"/>
  <c r="AQ16" i="21"/>
  <c r="CU38" i="21"/>
  <c r="CZ38" i="21" s="1"/>
  <c r="DE38" i="21" s="1"/>
  <c r="N39" i="21"/>
  <c r="AM14" i="21"/>
  <c r="AR14" i="21" s="1"/>
  <c r="AW14" i="21" s="1"/>
  <c r="M36" i="21"/>
  <c r="AM30" i="21"/>
  <c r="AR30" i="21" s="1"/>
  <c r="AW30" i="21" s="1"/>
  <c r="AM11" i="21"/>
  <c r="AR11" i="21" s="1"/>
  <c r="AW11" i="21" s="1"/>
  <c r="BG11" i="21"/>
  <c r="BL11" i="21" s="1"/>
  <c r="BQ11" i="21" s="1"/>
  <c r="CA21" i="21"/>
  <c r="CF21" i="21" s="1"/>
  <c r="CK21" i="21" s="1"/>
  <c r="CU14" i="21"/>
  <c r="CZ14" i="21" s="1"/>
  <c r="DE14" i="21" s="1"/>
  <c r="CU11" i="21"/>
  <c r="CZ11" i="21" s="1"/>
  <c r="DE11" i="21" s="1"/>
  <c r="N37" i="21"/>
  <c r="K36" i="21"/>
  <c r="O36" i="21"/>
  <c r="R36" i="21" s="1"/>
  <c r="R37" i="21"/>
  <c r="W37" i="21"/>
  <c r="T36" i="21"/>
  <c r="W36" i="21" s="1"/>
  <c r="AB37" i="21"/>
  <c r="Y36" i="21"/>
  <c r="AB36" i="21" s="1"/>
  <c r="AH37" i="21"/>
  <c r="AE36" i="21"/>
  <c r="AH36" i="21" s="1"/>
  <c r="AI36" i="21"/>
  <c r="AL36" i="21" s="1"/>
  <c r="AL37" i="21"/>
  <c r="AN36" i="21"/>
  <c r="AQ36" i="21" s="1"/>
  <c r="AQ37" i="21"/>
  <c r="AS36" i="21"/>
  <c r="AV36" i="21" s="1"/>
  <c r="AV39" i="21"/>
  <c r="BB16" i="21"/>
  <c r="BB37" i="21"/>
  <c r="AY36" i="21"/>
  <c r="BB36" i="21" s="1"/>
  <c r="BC36" i="21"/>
  <c r="BF36" i="21" s="1"/>
  <c r="BF37" i="21"/>
  <c r="BH36" i="21"/>
  <c r="BK36" i="21" s="1"/>
  <c r="BK39" i="21"/>
  <c r="BM36" i="21"/>
  <c r="BP36" i="21" s="1"/>
  <c r="BP37" i="21"/>
  <c r="BV16" i="21"/>
  <c r="BV37" i="21"/>
  <c r="BS36" i="21"/>
  <c r="BV36" i="21" s="1"/>
  <c r="BZ37" i="21"/>
  <c r="BW36" i="21"/>
  <c r="BZ36" i="21" s="1"/>
  <c r="CE37" i="21"/>
  <c r="CB36" i="21"/>
  <c r="CE36" i="21" s="1"/>
  <c r="CJ37" i="21"/>
  <c r="CG36" i="21"/>
  <c r="CJ36" i="21" s="1"/>
  <c r="CP16" i="21"/>
  <c r="CP37" i="21"/>
  <c r="CM36" i="21"/>
  <c r="CP36" i="21" s="1"/>
  <c r="CT37" i="21"/>
  <c r="CQ36" i="21"/>
  <c r="CT36" i="21" s="1"/>
  <c r="CY37" i="21"/>
  <c r="CV36" i="21"/>
  <c r="CY36" i="21" s="1"/>
  <c r="DD37" i="21"/>
  <c r="DA36" i="21"/>
  <c r="DD36" i="21" s="1"/>
  <c r="CT32" i="15"/>
  <c r="R32" i="15"/>
  <c r="CY32" i="15"/>
  <c r="BK32" i="15"/>
  <c r="W32" i="15"/>
  <c r="CJ32" i="15"/>
  <c r="AV34" i="15"/>
  <c r="CT34" i="15"/>
  <c r="BF32" i="15"/>
  <c r="R34" i="15"/>
  <c r="W34" i="15"/>
  <c r="AV32" i="15"/>
  <c r="K34" i="15"/>
  <c r="K32" i="15"/>
  <c r="L34" i="15"/>
  <c r="L32" i="15"/>
  <c r="BZ32" i="15"/>
  <c r="CE32" i="15"/>
  <c r="BP32" i="15"/>
  <c r="AB32" i="15"/>
  <c r="BZ34" i="15"/>
  <c r="AL32" i="15"/>
  <c r="AQ32" i="15"/>
  <c r="DD32" i="15"/>
  <c r="AB34" i="15"/>
  <c r="BG44" i="21"/>
  <c r="BL44" i="21" s="1"/>
  <c r="BQ44" i="21" s="1"/>
  <c r="CA44" i="21"/>
  <c r="CF44" i="21" s="1"/>
  <c r="CK44" i="21" s="1"/>
  <c r="Q39" i="15"/>
  <c r="L39" i="15"/>
  <c r="DB39" i="15"/>
  <c r="CV39" i="15"/>
  <c r="CO39" i="15"/>
  <c r="CI39" i="15"/>
  <c r="CC39" i="15"/>
  <c r="BW39" i="15"/>
  <c r="Z39" i="15"/>
  <c r="U39" i="15"/>
  <c r="P39" i="15"/>
  <c r="DA39" i="15"/>
  <c r="CS39" i="15"/>
  <c r="CN39" i="15"/>
  <c r="CH39" i="15"/>
  <c r="CB39" i="15"/>
  <c r="BU39" i="15"/>
  <c r="BO39" i="15"/>
  <c r="BJ39" i="15"/>
  <c r="BD39" i="15"/>
  <c r="AY39" i="15"/>
  <c r="AT39" i="15"/>
  <c r="Y39" i="15"/>
  <c r="T39" i="15"/>
  <c r="O39" i="15"/>
  <c r="CX39" i="15"/>
  <c r="CR39" i="15"/>
  <c r="CM39" i="15"/>
  <c r="CG39" i="15"/>
  <c r="CQ39" i="15"/>
  <c r="CD39" i="15"/>
  <c r="BS39" i="15"/>
  <c r="BM39" i="15"/>
  <c r="BE39" i="15"/>
  <c r="AS39" i="15"/>
  <c r="AN39" i="15"/>
  <c r="AJ39" i="15"/>
  <c r="AG39" i="15"/>
  <c r="BY39" i="15"/>
  <c r="BC39" i="15"/>
  <c r="AI39" i="15"/>
  <c r="BA39" i="15"/>
  <c r="AP39" i="15"/>
  <c r="AE39" i="15"/>
  <c r="AF39" i="15"/>
  <c r="DC39" i="15"/>
  <c r="BX39" i="15"/>
  <c r="BI39" i="15"/>
  <c r="CW39" i="15"/>
  <c r="BT39" i="15"/>
  <c r="BN39" i="15"/>
  <c r="BH39" i="15"/>
  <c r="AZ39" i="15"/>
  <c r="AU39" i="15"/>
  <c r="AO39" i="15"/>
  <c r="AK39" i="15"/>
  <c r="CT43" i="21"/>
  <c r="CA12" i="21"/>
  <c r="BZ10" i="21"/>
  <c r="AM44" i="21"/>
  <c r="AR44" i="21" s="1"/>
  <c r="AW44" i="21" s="1"/>
  <c r="CY43" i="21"/>
  <c r="CP43" i="21"/>
  <c r="CU45" i="21"/>
  <c r="CZ45" i="21" s="1"/>
  <c r="DE45" i="21" s="1"/>
  <c r="BG12" i="21"/>
  <c r="BL12" i="21" s="1"/>
  <c r="BB10" i="21"/>
  <c r="CU12" i="21"/>
  <c r="CT10" i="21"/>
  <c r="AM12" i="21"/>
  <c r="AL10" i="21"/>
  <c r="BK10" i="21"/>
  <c r="DD43" i="21"/>
  <c r="Y38" i="15"/>
  <c r="CI38" i="15"/>
  <c r="CS38" i="15"/>
  <c r="BW38" i="15"/>
  <c r="AS38" i="15"/>
  <c r="L38" i="15"/>
  <c r="AI38" i="15"/>
  <c r="AU38" i="15"/>
  <c r="AT38" i="15"/>
  <c r="CG38" i="15"/>
  <c r="AY38" i="15"/>
  <c r="BI38" i="15"/>
  <c r="AG38" i="15"/>
  <c r="DB38" i="15"/>
  <c r="CD38" i="15"/>
  <c r="Q38" i="15"/>
  <c r="CN38" i="15"/>
  <c r="BJ38" i="15"/>
  <c r="CX38" i="15"/>
  <c r="BY38" i="15"/>
  <c r="AF38" i="15"/>
  <c r="AE38" i="15"/>
  <c r="AK38" i="15"/>
  <c r="BN38" i="15"/>
  <c r="K38" i="15"/>
  <c r="BC38" i="15"/>
  <c r="CW38" i="15"/>
  <c r="CV38" i="15"/>
  <c r="BX38" i="15"/>
  <c r="CH38" i="15"/>
  <c r="BE38" i="15"/>
  <c r="U38" i="15"/>
  <c r="CR38" i="15"/>
  <c r="BO38" i="15"/>
  <c r="BU38" i="15"/>
  <c r="BT38" i="15"/>
  <c r="T38" i="15"/>
  <c r="AP38" i="15"/>
  <c r="CQ38" i="15"/>
  <c r="AN38" i="15"/>
  <c r="BM38" i="15"/>
  <c r="CO38" i="15"/>
  <c r="BS38" i="15"/>
  <c r="DA38" i="15"/>
  <c r="CC38" i="15"/>
  <c r="BA38" i="15"/>
  <c r="P38" i="15"/>
  <c r="CM38" i="15"/>
  <c r="BH38" i="15"/>
  <c r="AZ38" i="15"/>
  <c r="BD38" i="15"/>
  <c r="DC38" i="15"/>
  <c r="O38" i="15"/>
  <c r="CB38" i="15"/>
  <c r="AJ38" i="15"/>
  <c r="AO38" i="15"/>
  <c r="BE9" i="15"/>
  <c r="K29" i="15"/>
  <c r="K11" i="15"/>
  <c r="K27" i="15"/>
  <c r="K28" i="15"/>
  <c r="K13" i="15"/>
  <c r="K14" i="15"/>
  <c r="K10" i="15"/>
  <c r="K12" i="15"/>
  <c r="CP10" i="15"/>
  <c r="CP23" i="15"/>
  <c r="BV26" i="15"/>
  <c r="BB25" i="15"/>
  <c r="BB29" i="15"/>
  <c r="BB24" i="15"/>
  <c r="CE29" i="15"/>
  <c r="BZ26" i="15"/>
  <c r="BF10" i="15"/>
  <c r="BF28" i="15"/>
  <c r="BF23" i="15"/>
  <c r="BF24" i="15"/>
  <c r="AL26" i="15"/>
  <c r="AL12" i="15"/>
  <c r="AL11" i="15"/>
  <c r="AL29" i="15"/>
  <c r="CY25" i="15"/>
  <c r="CY29" i="15"/>
  <c r="CY10" i="15"/>
  <c r="CE26" i="15"/>
  <c r="CE14" i="15"/>
  <c r="BK29" i="15"/>
  <c r="AQ23" i="15"/>
  <c r="AQ14" i="15"/>
  <c r="AQ29" i="15"/>
  <c r="L27" i="15"/>
  <c r="L12" i="15"/>
  <c r="L28" i="15"/>
  <c r="L13" i="15"/>
  <c r="L14" i="15"/>
  <c r="L10" i="15"/>
  <c r="L29" i="15"/>
  <c r="L11" i="15"/>
  <c r="BP10" i="15"/>
  <c r="AV10" i="15"/>
  <c r="CT11" i="15"/>
  <c r="CP14" i="15"/>
  <c r="CP11" i="15"/>
  <c r="CP24" i="15"/>
  <c r="BV10" i="15"/>
  <c r="BS9" i="15"/>
  <c r="BV23" i="15"/>
  <c r="BB11" i="15"/>
  <c r="BB26" i="15"/>
  <c r="CQ9" i="15"/>
  <c r="CQ31" i="15" s="1"/>
  <c r="CT10" i="15"/>
  <c r="CT14" i="15"/>
  <c r="CT25" i="15"/>
  <c r="CT29" i="15"/>
  <c r="BZ14" i="15"/>
  <c r="BZ23" i="15"/>
  <c r="BP25" i="15"/>
  <c r="BK23" i="15"/>
  <c r="BF11" i="15"/>
  <c r="BF25" i="15"/>
  <c r="AQ11" i="15"/>
  <c r="AL24" i="15"/>
  <c r="AL14" i="15"/>
  <c r="CY26" i="15"/>
  <c r="CY11" i="15"/>
  <c r="CE11" i="15"/>
  <c r="CE23" i="15"/>
  <c r="BK10" i="15"/>
  <c r="BK26" i="15"/>
  <c r="Z9" i="15"/>
  <c r="DD10" i="15"/>
  <c r="CJ10" i="15"/>
  <c r="AK9" i="15"/>
  <c r="CP25" i="15"/>
  <c r="CP29" i="15"/>
  <c r="BV11" i="15"/>
  <c r="BV24" i="15"/>
  <c r="AH28" i="15"/>
  <c r="AH32" i="15"/>
  <c r="DC9" i="15"/>
  <c r="CT26" i="15"/>
  <c r="BW9" i="15"/>
  <c r="BZ10" i="15"/>
  <c r="BZ24" i="15"/>
  <c r="AO9" i="15"/>
  <c r="AI9" i="15"/>
  <c r="AI31" i="15" s="1"/>
  <c r="AI40" i="15" s="1"/>
  <c r="AL10" i="15"/>
  <c r="AL23" i="15"/>
  <c r="CY23" i="15"/>
  <c r="CE24" i="15"/>
  <c r="CE10" i="15"/>
  <c r="CB9" i="15"/>
  <c r="CB31" i="15" s="1"/>
  <c r="BK11" i="15"/>
  <c r="CT24" i="15"/>
  <c r="CP26" i="15"/>
  <c r="BZ11" i="15"/>
  <c r="BV14" i="15"/>
  <c r="BV25" i="15"/>
  <c r="BV29" i="15"/>
  <c r="BB10" i="15"/>
  <c r="BB23" i="15"/>
  <c r="CY14" i="15"/>
  <c r="CT23" i="15"/>
  <c r="BZ25" i="15"/>
  <c r="BZ29" i="15"/>
  <c r="BK25" i="15"/>
  <c r="BF29" i="15"/>
  <c r="BF26" i="15"/>
  <c r="AQ24" i="15"/>
  <c r="AL25" i="15"/>
  <c r="CY24" i="15"/>
  <c r="CY28" i="15"/>
  <c r="CY13" i="15"/>
  <c r="CE25" i="15"/>
  <c r="BP26" i="15"/>
  <c r="BK14" i="15"/>
  <c r="BB14" i="15"/>
  <c r="AV11" i="15"/>
  <c r="AV23" i="15"/>
  <c r="AQ26" i="15"/>
  <c r="AQ10" i="15"/>
  <c r="AQ25" i="15"/>
  <c r="AG9" i="15"/>
  <c r="S11" i="21"/>
  <c r="N10" i="21"/>
  <c r="R17" i="15" l="1"/>
  <c r="CE34" i="15"/>
  <c r="AL34" i="15"/>
  <c r="BV17" i="15"/>
  <c r="BP34" i="15"/>
  <c r="AA39" i="15"/>
  <c r="AB39" i="15" s="1"/>
  <c r="CJ17" i="15"/>
  <c r="AQ34" i="15"/>
  <c r="BB34" i="15"/>
  <c r="BZ18" i="15"/>
  <c r="CY17" i="15"/>
  <c r="CP17" i="15"/>
  <c r="DD17" i="15"/>
  <c r="DD34" i="15"/>
  <c r="CJ34" i="15"/>
  <c r="BZ17" i="15"/>
  <c r="CA17" i="15" s="1"/>
  <c r="CF17" i="15" s="1"/>
  <c r="CK17" i="15" s="1"/>
  <c r="AH34" i="15"/>
  <c r="CY34" i="15"/>
  <c r="CE28" i="15"/>
  <c r="BF17" i="15"/>
  <c r="BG17" i="15" s="1"/>
  <c r="BK17" i="15"/>
  <c r="BP17" i="15"/>
  <c r="AH17" i="15"/>
  <c r="AJ9" i="15"/>
  <c r="BB13" i="15"/>
  <c r="AA9" i="15"/>
  <c r="BT9" i="15"/>
  <c r="BH9" i="15"/>
  <c r="DB9" i="15"/>
  <c r="CJ18" i="15"/>
  <c r="AB28" i="15"/>
  <c r="AB17" i="15"/>
  <c r="AL17" i="15"/>
  <c r="AV17" i="15"/>
  <c r="BK28" i="15"/>
  <c r="AQ17" i="15"/>
  <c r="CE17" i="15"/>
  <c r="BV28" i="15"/>
  <c r="CT17" i="15"/>
  <c r="AQ28" i="15"/>
  <c r="DD28" i="15"/>
  <c r="AH18" i="15"/>
  <c r="CP18" i="15"/>
  <c r="CE18" i="15"/>
  <c r="AV20" i="15"/>
  <c r="R28" i="15"/>
  <c r="BZ28" i="15"/>
  <c r="AV18" i="15"/>
  <c r="DD18" i="15"/>
  <c r="BB28" i="15"/>
  <c r="BG28" i="15" s="1"/>
  <c r="CJ28" i="15"/>
  <c r="AL28" i="15"/>
  <c r="AM28" i="15" s="1"/>
  <c r="CP20" i="15"/>
  <c r="CT28" i="15"/>
  <c r="AV28" i="15"/>
  <c r="BK20" i="15"/>
  <c r="CP28" i="15"/>
  <c r="W28" i="15"/>
  <c r="BP28" i="15"/>
  <c r="CT20" i="15"/>
  <c r="AL20" i="15"/>
  <c r="CT18" i="15"/>
  <c r="R18" i="15"/>
  <c r="BP18" i="15"/>
  <c r="BB20" i="15"/>
  <c r="AQ20" i="15"/>
  <c r="CJ20" i="15"/>
  <c r="BK21" i="15"/>
  <c r="BB18" i="15"/>
  <c r="BK18" i="15"/>
  <c r="W18" i="15"/>
  <c r="CY20" i="15"/>
  <c r="AB18" i="15"/>
  <c r="AL18" i="15"/>
  <c r="AQ18" i="15"/>
  <c r="CY18" i="15"/>
  <c r="BV18" i="15"/>
  <c r="CA18" i="15" s="1"/>
  <c r="BF18" i="15"/>
  <c r="BJ9" i="15"/>
  <c r="BJ31" i="15" s="1"/>
  <c r="BV13" i="15"/>
  <c r="BF20" i="15"/>
  <c r="DD20" i="15"/>
  <c r="CE20" i="15"/>
  <c r="BI9" i="15"/>
  <c r="CG9" i="15"/>
  <c r="BO9" i="15"/>
  <c r="Y9" i="15"/>
  <c r="Y31" i="15" s="1"/>
  <c r="Y40" i="15" s="1"/>
  <c r="Y37" i="15" s="1"/>
  <c r="DD21" i="15"/>
  <c r="AL21" i="15"/>
  <c r="CE21" i="15"/>
  <c r="AV21" i="15"/>
  <c r="CJ21" i="15"/>
  <c r="AL27" i="15"/>
  <c r="BP20" i="15"/>
  <c r="BV20" i="15"/>
  <c r="CP21" i="15"/>
  <c r="BV21" i="15"/>
  <c r="CY21" i="15"/>
  <c r="AQ21" i="15"/>
  <c r="BF21" i="15"/>
  <c r="BZ21" i="15"/>
  <c r="BB21" i="15"/>
  <c r="CT21" i="15"/>
  <c r="BP21" i="15"/>
  <c r="BZ20" i="15"/>
  <c r="CE12" i="15"/>
  <c r="AY9" i="15"/>
  <c r="AY31" i="15" s="1"/>
  <c r="AQ12" i="15"/>
  <c r="BD9" i="15"/>
  <c r="BD31" i="15" s="1"/>
  <c r="BP13" i="15"/>
  <c r="CM9" i="15"/>
  <c r="CM31" i="15" s="1"/>
  <c r="CM34" i="21" s="1"/>
  <c r="CH9" i="15"/>
  <c r="CH31" i="15" s="1"/>
  <c r="CH34" i="21" s="1"/>
  <c r="BU9" i="15"/>
  <c r="BN9" i="15"/>
  <c r="BN31" i="15" s="1"/>
  <c r="BK12" i="15"/>
  <c r="BK9" i="15" s="1"/>
  <c r="CR9" i="15"/>
  <c r="CR31" i="15" s="1"/>
  <c r="CR34" i="21" s="1"/>
  <c r="CR33" i="21" s="1"/>
  <c r="CR47" i="21" s="1"/>
  <c r="CR42" i="21" s="1"/>
  <c r="CR48" i="21" s="1"/>
  <c r="CP12" i="15"/>
  <c r="CT13" i="15"/>
  <c r="BF13" i="15"/>
  <c r="BG13" i="15" s="1"/>
  <c r="BL13" i="15" s="1"/>
  <c r="BQ13" i="15" s="1"/>
  <c r="V39" i="15"/>
  <c r="W39" i="15" s="1"/>
  <c r="AU9" i="15"/>
  <c r="AU31" i="15" s="1"/>
  <c r="AN9" i="15"/>
  <c r="AN31" i="15" s="1"/>
  <c r="BZ13" i="15"/>
  <c r="AV12" i="15"/>
  <c r="BZ12" i="15"/>
  <c r="BF12" i="15"/>
  <c r="AT9" i="15"/>
  <c r="AT31" i="15" s="1"/>
  <c r="BY9" i="15"/>
  <c r="BY31" i="15" s="1"/>
  <c r="BY34" i="21" s="1"/>
  <c r="CY27" i="15"/>
  <c r="CE13" i="15"/>
  <c r="AQ27" i="15"/>
  <c r="AP9" i="15"/>
  <c r="AP31" i="15" s="1"/>
  <c r="AQ13" i="15"/>
  <c r="AE9" i="15"/>
  <c r="AE31" i="15" s="1"/>
  <c r="BC9" i="15"/>
  <c r="BC31" i="15" s="1"/>
  <c r="BC40" i="15" s="1"/>
  <c r="BC37" i="15" s="1"/>
  <c r="BV12" i="15"/>
  <c r="BV9" i="15" s="1"/>
  <c r="CS9" i="15"/>
  <c r="CS31" i="15" s="1"/>
  <c r="CS34" i="21" s="1"/>
  <c r="CS33" i="21" s="1"/>
  <c r="CS47" i="21" s="1"/>
  <c r="CS42" i="21" s="1"/>
  <c r="CS48" i="21" s="1"/>
  <c r="AB22" i="15"/>
  <c r="CE27" i="15"/>
  <c r="CJ27" i="15"/>
  <c r="BZ27" i="15"/>
  <c r="BB12" i="15"/>
  <c r="BG12" i="15" s="1"/>
  <c r="U9" i="15"/>
  <c r="U31" i="15" s="1"/>
  <c r="AS9" i="15"/>
  <c r="AS31" i="15" s="1"/>
  <c r="CO9" i="15"/>
  <c r="CO31" i="15" s="1"/>
  <c r="CO34" i="21" s="1"/>
  <c r="CO33" i="21" s="1"/>
  <c r="CO47" i="21" s="1"/>
  <c r="CO42" i="21" s="1"/>
  <c r="CO48" i="21" s="1"/>
  <c r="CI9" i="15"/>
  <c r="CI31" i="15" s="1"/>
  <c r="CI34" i="21" s="1"/>
  <c r="DD13" i="15"/>
  <c r="CC9" i="15"/>
  <c r="CC31" i="15" s="1"/>
  <c r="CC34" i="21" s="1"/>
  <c r="AF9" i="15"/>
  <c r="AF31" i="15" s="1"/>
  <c r="AZ9" i="15"/>
  <c r="AZ31" i="15" s="1"/>
  <c r="AV13" i="15"/>
  <c r="BP12" i="15"/>
  <c r="CT12" i="15"/>
  <c r="DD12" i="15"/>
  <c r="CJ13" i="15"/>
  <c r="CP13" i="15"/>
  <c r="CU13" i="15" s="1"/>
  <c r="CZ13" i="15" s="1"/>
  <c r="CY12" i="15"/>
  <c r="CY9" i="15" s="1"/>
  <c r="BF27" i="15"/>
  <c r="AV27" i="15"/>
  <c r="CJ12" i="15"/>
  <c r="CP27" i="15"/>
  <c r="CT27" i="15"/>
  <c r="BV27" i="15"/>
  <c r="BV22" i="15"/>
  <c r="CT22" i="15"/>
  <c r="DD27" i="15"/>
  <c r="AH22" i="15"/>
  <c r="BB27" i="15"/>
  <c r="BP27" i="15"/>
  <c r="BK27" i="15"/>
  <c r="R22" i="15"/>
  <c r="CE22" i="15"/>
  <c r="CJ22" i="15"/>
  <c r="BF22" i="15"/>
  <c r="AQ22" i="15"/>
  <c r="AG31" i="15"/>
  <c r="DB31" i="15"/>
  <c r="DB34" i="21" s="1"/>
  <c r="DB33" i="21" s="1"/>
  <c r="DB47" i="21" s="1"/>
  <c r="DB42" i="21" s="1"/>
  <c r="DB48" i="21" s="1"/>
  <c r="BI31" i="15"/>
  <c r="DC31" i="15"/>
  <c r="DC34" i="21" s="1"/>
  <c r="DC33" i="21" s="1"/>
  <c r="DC47" i="21" s="1"/>
  <c r="DC42" i="21" s="1"/>
  <c r="DC48" i="21" s="1"/>
  <c r="BU31" i="15"/>
  <c r="BU34" i="21" s="1"/>
  <c r="DA31" i="15"/>
  <c r="DA34" i="21" s="1"/>
  <c r="AJ31" i="15"/>
  <c r="BS31" i="15"/>
  <c r="BS34" i="21" s="1"/>
  <c r="BS46" i="21" s="1"/>
  <c r="BS43" i="21" s="1"/>
  <c r="BE31" i="15"/>
  <c r="V31" i="15"/>
  <c r="AK31" i="15"/>
  <c r="BH31" i="15"/>
  <c r="CN31" i="15"/>
  <c r="CN34" i="21" s="1"/>
  <c r="CN33" i="21" s="1"/>
  <c r="CN47" i="21" s="1"/>
  <c r="CN42" i="21" s="1"/>
  <c r="CN48" i="21" s="1"/>
  <c r="CV31" i="15"/>
  <c r="CV34" i="21" s="1"/>
  <c r="CW31" i="15"/>
  <c r="CW34" i="21" s="1"/>
  <c r="CW33" i="21" s="1"/>
  <c r="CW47" i="21" s="1"/>
  <c r="CW42" i="21" s="1"/>
  <c r="CW48" i="21" s="1"/>
  <c r="BO31" i="15"/>
  <c r="AO31" i="15"/>
  <c r="BA31" i="15"/>
  <c r="AA31" i="15"/>
  <c r="BT31" i="15"/>
  <c r="BT34" i="21" s="1"/>
  <c r="BW31" i="15"/>
  <c r="BW34" i="21" s="1"/>
  <c r="BW46" i="21" s="1"/>
  <c r="BW43" i="21" s="1"/>
  <c r="CG31" i="15"/>
  <c r="CG34" i="21" s="1"/>
  <c r="CG46" i="21" s="1"/>
  <c r="Z31" i="15"/>
  <c r="CX31" i="15"/>
  <c r="CX34" i="21" s="1"/>
  <c r="CX33" i="21" s="1"/>
  <c r="CX47" i="21" s="1"/>
  <c r="CX42" i="21" s="1"/>
  <c r="CX48" i="21" s="1"/>
  <c r="BX31" i="15"/>
  <c r="BX34" i="21" s="1"/>
  <c r="CD31" i="15"/>
  <c r="CD34" i="21" s="1"/>
  <c r="AI34" i="21"/>
  <c r="AI46" i="21" s="1"/>
  <c r="AI43" i="21" s="1"/>
  <c r="BM34" i="21"/>
  <c r="BM46" i="21" s="1"/>
  <c r="CB34" i="21"/>
  <c r="CB46" i="21" s="1"/>
  <c r="CQ34" i="21"/>
  <c r="T34" i="21"/>
  <c r="T46" i="21" s="1"/>
  <c r="K9" i="15"/>
  <c r="K31" i="15" s="1"/>
  <c r="K40" i="15" s="1"/>
  <c r="CE8" i="21"/>
  <c r="I23" i="21"/>
  <c r="H22" i="20" s="1"/>
  <c r="BP22" i="15"/>
  <c r="BZ39" i="15"/>
  <c r="DD22" i="15"/>
  <c r="I19" i="21"/>
  <c r="H18" i="20" s="1"/>
  <c r="AV22" i="15"/>
  <c r="CP8" i="21"/>
  <c r="DD8" i="21"/>
  <c r="N18" i="15"/>
  <c r="CY22" i="15"/>
  <c r="N22" i="15"/>
  <c r="AL22" i="15"/>
  <c r="W22" i="15"/>
  <c r="BZ22" i="15"/>
  <c r="BK22" i="15"/>
  <c r="BB22" i="15"/>
  <c r="CP22" i="15"/>
  <c r="CY8" i="21"/>
  <c r="BP8" i="21"/>
  <c r="I24" i="21"/>
  <c r="H23" i="20" s="1"/>
  <c r="AQ8" i="21"/>
  <c r="L9" i="21"/>
  <c r="BV8" i="21"/>
  <c r="BK8" i="21"/>
  <c r="BB8" i="21"/>
  <c r="R8" i="21"/>
  <c r="AL8" i="21"/>
  <c r="AV8" i="21"/>
  <c r="CT8" i="21"/>
  <c r="BF8" i="21"/>
  <c r="CJ8" i="21"/>
  <c r="BZ8" i="21"/>
  <c r="I18" i="21"/>
  <c r="H17" i="20" s="1"/>
  <c r="AL39" i="15"/>
  <c r="N17" i="15"/>
  <c r="S17" i="15" s="1"/>
  <c r="X17" i="15" s="1"/>
  <c r="I26" i="21"/>
  <c r="H25" i="20" s="1"/>
  <c r="I28" i="21"/>
  <c r="H27" i="20" s="1"/>
  <c r="I25" i="21"/>
  <c r="H24" i="20" s="1"/>
  <c r="CP19" i="15"/>
  <c r="BF19" i="15"/>
  <c r="AL19" i="15"/>
  <c r="DA15" i="15"/>
  <c r="DA8" i="15" s="1"/>
  <c r="CY19" i="15"/>
  <c r="BZ19" i="15"/>
  <c r="BK19" i="15"/>
  <c r="CE19" i="15"/>
  <c r="T15" i="15"/>
  <c r="T8" i="15" s="1"/>
  <c r="T33" i="15" s="1"/>
  <c r="T35" i="15" s="1"/>
  <c r="BC15" i="15"/>
  <c r="CJ19" i="15"/>
  <c r="CT19" i="15"/>
  <c r="BP19" i="15"/>
  <c r="BB19" i="15"/>
  <c r="DD19" i="15"/>
  <c r="AQ19" i="15"/>
  <c r="AV19" i="15"/>
  <c r="BV19" i="15"/>
  <c r="BJ15" i="15"/>
  <c r="CR15" i="15"/>
  <c r="BO15" i="15"/>
  <c r="BO8" i="15" s="1"/>
  <c r="DB15" i="15"/>
  <c r="DB8" i="15" s="1"/>
  <c r="BW15" i="15"/>
  <c r="BW8" i="15" s="1"/>
  <c r="CI15" i="15"/>
  <c r="AK15" i="15"/>
  <c r="AK8" i="15" s="1"/>
  <c r="BH15" i="15"/>
  <c r="BH8" i="15" s="1"/>
  <c r="BX15" i="15"/>
  <c r="BX8" i="15" s="1"/>
  <c r="BY15" i="15"/>
  <c r="AY15" i="15"/>
  <c r="Z15" i="15"/>
  <c r="Z8" i="15" s="1"/>
  <c r="CN15" i="15"/>
  <c r="CN8" i="15" s="1"/>
  <c r="BE15" i="15"/>
  <c r="BE8" i="15" s="1"/>
  <c r="AN15" i="15"/>
  <c r="CG15" i="15"/>
  <c r="CG8" i="15" s="1"/>
  <c r="BI15" i="15"/>
  <c r="CQ15" i="15"/>
  <c r="CQ8" i="15" s="1"/>
  <c r="CQ33" i="15" s="1"/>
  <c r="BU15" i="15"/>
  <c r="BN15" i="15"/>
  <c r="CO15" i="15"/>
  <c r="AP15" i="15"/>
  <c r="AZ15" i="15"/>
  <c r="AA15" i="15"/>
  <c r="AA8" i="15" s="1"/>
  <c r="AE15" i="15"/>
  <c r="CV15" i="15"/>
  <c r="CV8" i="15" s="1"/>
  <c r="AJ15" i="15"/>
  <c r="AJ8" i="15" s="1"/>
  <c r="AT15" i="15"/>
  <c r="AO15" i="15"/>
  <c r="AO8" i="15" s="1"/>
  <c r="BT15" i="15"/>
  <c r="BT8" i="15" s="1"/>
  <c r="CS15" i="15"/>
  <c r="BM15" i="15"/>
  <c r="BM8" i="15" s="1"/>
  <c r="BM33" i="15" s="1"/>
  <c r="BA15" i="15"/>
  <c r="BA8" i="15" s="1"/>
  <c r="AU15" i="15"/>
  <c r="AU8" i="15" s="1"/>
  <c r="CX15" i="15"/>
  <c r="CX8" i="15" s="1"/>
  <c r="CC15" i="15"/>
  <c r="AG15" i="15"/>
  <c r="AG8" i="15" s="1"/>
  <c r="AS15" i="15"/>
  <c r="AM39" i="21"/>
  <c r="AR39" i="21" s="1"/>
  <c r="AW39" i="21" s="1"/>
  <c r="BS15" i="15"/>
  <c r="BS8" i="15" s="1"/>
  <c r="U15" i="15"/>
  <c r="CB15" i="15"/>
  <c r="CB8" i="15" s="1"/>
  <c r="CB33" i="15" s="1"/>
  <c r="DC37" i="15"/>
  <c r="DB37" i="15"/>
  <c r="BU37" i="15"/>
  <c r="BG39" i="21"/>
  <c r="BL39" i="21" s="1"/>
  <c r="BQ39" i="21" s="1"/>
  <c r="CU43" i="21"/>
  <c r="CZ43" i="21" s="1"/>
  <c r="DE43" i="21" s="1"/>
  <c r="CA39" i="21"/>
  <c r="CF39" i="21" s="1"/>
  <c r="CK39" i="21" s="1"/>
  <c r="H19" i="20"/>
  <c r="I45" i="21"/>
  <c r="H42" i="20" s="1"/>
  <c r="I30" i="21"/>
  <c r="H29" i="20" s="1"/>
  <c r="CU39" i="21"/>
  <c r="CZ39" i="21" s="1"/>
  <c r="DE39" i="21" s="1"/>
  <c r="CD37" i="15"/>
  <c r="BG29" i="15"/>
  <c r="BL29" i="15" s="1"/>
  <c r="BQ29" i="15" s="1"/>
  <c r="CU32" i="15"/>
  <c r="CZ32" i="15" s="1"/>
  <c r="DE32" i="15" s="1"/>
  <c r="CO37" i="15"/>
  <c r="T37" i="15"/>
  <c r="BG32" i="15"/>
  <c r="BL32" i="15" s="1"/>
  <c r="BQ32" i="15" s="1"/>
  <c r="BG14" i="15"/>
  <c r="BL14" i="15" s="1"/>
  <c r="BQ14" i="15" s="1"/>
  <c r="I31" i="21"/>
  <c r="H30" i="20" s="1"/>
  <c r="S39" i="21"/>
  <c r="X39" i="21" s="1"/>
  <c r="AC39" i="21" s="1"/>
  <c r="I21" i="21"/>
  <c r="H20" i="20" s="1"/>
  <c r="BK16" i="15"/>
  <c r="BG34" i="15"/>
  <c r="BL34" i="15" s="1"/>
  <c r="BQ34" i="15" s="1"/>
  <c r="I29" i="21"/>
  <c r="H28" i="20" s="1"/>
  <c r="I41" i="21"/>
  <c r="H38" i="20" s="1"/>
  <c r="BF16" i="15"/>
  <c r="CP16" i="15"/>
  <c r="CA32" i="15"/>
  <c r="CF32" i="15" s="1"/>
  <c r="CK32" i="15" s="1"/>
  <c r="AL16" i="15"/>
  <c r="DD16" i="15"/>
  <c r="CA14" i="15"/>
  <c r="CF14" i="15" s="1"/>
  <c r="CK14" i="15" s="1"/>
  <c r="I14" i="21"/>
  <c r="H13" i="20" s="1"/>
  <c r="BG10" i="21"/>
  <c r="BG36" i="21"/>
  <c r="BL36" i="21" s="1"/>
  <c r="BQ36" i="21" s="1"/>
  <c r="I13" i="21"/>
  <c r="H12" i="20" s="1"/>
  <c r="BG37" i="21"/>
  <c r="BL37" i="21" s="1"/>
  <c r="BQ37" i="21" s="1"/>
  <c r="AM36" i="21"/>
  <c r="AR36" i="21" s="1"/>
  <c r="AW36" i="21" s="1"/>
  <c r="AM37" i="21"/>
  <c r="AR37" i="21" s="1"/>
  <c r="AW37" i="21" s="1"/>
  <c r="I15" i="21"/>
  <c r="H14" i="20" s="1"/>
  <c r="BT37" i="15"/>
  <c r="BX37" i="15"/>
  <c r="CY39" i="15"/>
  <c r="AI15" i="15"/>
  <c r="AI8" i="15" s="1"/>
  <c r="AI33" i="15" s="1"/>
  <c r="BY37" i="15"/>
  <c r="N32" i="15"/>
  <c r="S32" i="15" s="1"/>
  <c r="X32" i="15" s="1"/>
  <c r="AC32" i="15" s="1"/>
  <c r="BV16" i="15"/>
  <c r="CH37" i="15"/>
  <c r="CU34" i="15"/>
  <c r="CZ34" i="15" s="1"/>
  <c r="CS37" i="15"/>
  <c r="BG23" i="15"/>
  <c r="BL23" i="15" s="1"/>
  <c r="BQ23" i="15" s="1"/>
  <c r="CQ37" i="15"/>
  <c r="CN37" i="15"/>
  <c r="BZ16" i="15"/>
  <c r="CW37" i="15"/>
  <c r="CX37" i="15"/>
  <c r="CI37" i="15"/>
  <c r="BF39" i="15"/>
  <c r="CP39" i="15"/>
  <c r="N34" i="15"/>
  <c r="S34" i="15" s="1"/>
  <c r="X34" i="15" s="1"/>
  <c r="AC34" i="15" s="1"/>
  <c r="R39" i="15"/>
  <c r="CM15" i="15"/>
  <c r="BD15" i="15"/>
  <c r="BD8" i="15" s="1"/>
  <c r="DC15" i="15"/>
  <c r="DC8" i="15" s="1"/>
  <c r="BP16" i="15"/>
  <c r="BB16" i="15"/>
  <c r="CE16" i="15"/>
  <c r="CC37" i="15"/>
  <c r="BM37" i="15"/>
  <c r="AI37" i="15"/>
  <c r="CY16" i="15"/>
  <c r="CJ16" i="15"/>
  <c r="AV39" i="15"/>
  <c r="BV39" i="15"/>
  <c r="CA34" i="15"/>
  <c r="CF34" i="15" s="1"/>
  <c r="CW15" i="15"/>
  <c r="CW8" i="15" s="1"/>
  <c r="AQ16" i="15"/>
  <c r="CH15" i="15"/>
  <c r="CD15" i="15"/>
  <c r="CD8" i="15" s="1"/>
  <c r="CT16" i="15"/>
  <c r="CU37" i="21"/>
  <c r="CZ37" i="21" s="1"/>
  <c r="DE37" i="21" s="1"/>
  <c r="CA37" i="21"/>
  <c r="CF37" i="21" s="1"/>
  <c r="CK37" i="21" s="1"/>
  <c r="I40" i="21"/>
  <c r="H37" i="20" s="1"/>
  <c r="N36" i="21"/>
  <c r="S36" i="21" s="1"/>
  <c r="X36" i="21" s="1"/>
  <c r="AC36" i="21" s="1"/>
  <c r="I38" i="21"/>
  <c r="CU36" i="21"/>
  <c r="CZ36" i="21" s="1"/>
  <c r="DE36" i="21" s="1"/>
  <c r="CA36" i="21"/>
  <c r="CF36" i="21" s="1"/>
  <c r="CK36" i="21" s="1"/>
  <c r="S37" i="21"/>
  <c r="X37" i="21" s="1"/>
  <c r="AC37" i="21" s="1"/>
  <c r="I35" i="21"/>
  <c r="H33" i="20" s="1"/>
  <c r="CU16" i="21"/>
  <c r="CA16" i="21"/>
  <c r="BG16" i="21"/>
  <c r="CA24" i="15"/>
  <c r="CF24" i="15" s="1"/>
  <c r="CK24" i="15" s="1"/>
  <c r="CU11" i="15"/>
  <c r="CZ11" i="15" s="1"/>
  <c r="DE11" i="15" s="1"/>
  <c r="R38" i="15"/>
  <c r="BK38" i="15"/>
  <c r="CT38" i="15"/>
  <c r="CR37" i="15"/>
  <c r="BF38" i="15"/>
  <c r="AH38" i="15"/>
  <c r="BB38" i="15"/>
  <c r="BZ38" i="15"/>
  <c r="BW37" i="15"/>
  <c r="CF12" i="21"/>
  <c r="CA10" i="21"/>
  <c r="BK39" i="15"/>
  <c r="BP39" i="15"/>
  <c r="CJ39" i="15"/>
  <c r="BB39" i="15"/>
  <c r="CT39" i="15"/>
  <c r="CP38" i="15"/>
  <c r="CM37" i="15"/>
  <c r="DD38" i="15"/>
  <c r="DA37" i="15"/>
  <c r="AQ38" i="15"/>
  <c r="CG37" i="15"/>
  <c r="CJ38" i="15"/>
  <c r="BQ12" i="21"/>
  <c r="BQ10" i="21" s="1"/>
  <c r="BL10" i="21"/>
  <c r="CZ12" i="21"/>
  <c r="CU10" i="21"/>
  <c r="I44" i="21"/>
  <c r="H41" i="20" s="1"/>
  <c r="AV16" i="15"/>
  <c r="AH39" i="15"/>
  <c r="AQ39" i="15"/>
  <c r="CE39" i="15"/>
  <c r="DD39" i="15"/>
  <c r="BV38" i="15"/>
  <c r="BS37" i="15"/>
  <c r="CY38" i="15"/>
  <c r="CV37" i="15"/>
  <c r="BP38" i="15"/>
  <c r="N39" i="15"/>
  <c r="CE38" i="15"/>
  <c r="CB37" i="15"/>
  <c r="AL38" i="15"/>
  <c r="AV38" i="15"/>
  <c r="AR12" i="21"/>
  <c r="AM10" i="21"/>
  <c r="CU26" i="15"/>
  <c r="CZ26" i="15" s="1"/>
  <c r="DE26" i="15" s="1"/>
  <c r="CU29" i="15"/>
  <c r="CZ29" i="15" s="1"/>
  <c r="DE29" i="15" s="1"/>
  <c r="CU25" i="15"/>
  <c r="CZ25" i="15" s="1"/>
  <c r="DE25" i="15" s="1"/>
  <c r="CU14" i="15"/>
  <c r="CZ14" i="15" s="1"/>
  <c r="DE14" i="15" s="1"/>
  <c r="CA25" i="15"/>
  <c r="CF25" i="15" s="1"/>
  <c r="CK25" i="15" s="1"/>
  <c r="BG11" i="15"/>
  <c r="BL11" i="15" s="1"/>
  <c r="BQ11" i="15" s="1"/>
  <c r="CA23" i="15"/>
  <c r="CF23" i="15" s="1"/>
  <c r="CK23" i="15" s="1"/>
  <c r="CA10" i="15"/>
  <c r="CA26" i="15"/>
  <c r="CF26" i="15" s="1"/>
  <c r="CK26" i="15" s="1"/>
  <c r="CU10" i="15"/>
  <c r="AM32" i="15"/>
  <c r="AR32" i="15" s="1"/>
  <c r="AW32" i="15" s="1"/>
  <c r="CU24" i="15"/>
  <c r="CZ24" i="15" s="1"/>
  <c r="DE24" i="15" s="1"/>
  <c r="BG10" i="15"/>
  <c r="BG26" i="15"/>
  <c r="BL26" i="15" s="1"/>
  <c r="BQ26" i="15" s="1"/>
  <c r="AL9" i="15"/>
  <c r="BG24" i="15"/>
  <c r="BL24" i="15" s="1"/>
  <c r="BQ24" i="15" s="1"/>
  <c r="BG25" i="15"/>
  <c r="BL25" i="15" s="1"/>
  <c r="BQ25" i="15" s="1"/>
  <c r="CU23" i="15"/>
  <c r="CZ23" i="15" s="1"/>
  <c r="DE23" i="15" s="1"/>
  <c r="CA29" i="15"/>
  <c r="CF29" i="15" s="1"/>
  <c r="CK29" i="15" s="1"/>
  <c r="CA11" i="15"/>
  <c r="CF11" i="15" s="1"/>
  <c r="CK11" i="15" s="1"/>
  <c r="N28" i="15"/>
  <c r="X11" i="21"/>
  <c r="S10" i="21"/>
  <c r="DE5" i="15"/>
  <c r="DD5" i="15"/>
  <c r="DC5" i="15"/>
  <c r="DB5" i="15"/>
  <c r="DA5" i="15"/>
  <c r="CZ5" i="15"/>
  <c r="CY5" i="15"/>
  <c r="CX5" i="15"/>
  <c r="CW5" i="15"/>
  <c r="CV5" i="15"/>
  <c r="CU5" i="15"/>
  <c r="CT5" i="15"/>
  <c r="CS5" i="15"/>
  <c r="CR5" i="15"/>
  <c r="CQ5" i="15"/>
  <c r="CP5" i="15"/>
  <c r="CO5" i="15"/>
  <c r="CN5" i="15"/>
  <c r="CM5" i="15"/>
  <c r="CK5" i="15"/>
  <c r="CJ5" i="15"/>
  <c r="CI5" i="15"/>
  <c r="CH5" i="15"/>
  <c r="CG5" i="15"/>
  <c r="CF5" i="15"/>
  <c r="CE5" i="15"/>
  <c r="CD5" i="15"/>
  <c r="CC5" i="15"/>
  <c r="CB5" i="15"/>
  <c r="CA5" i="15"/>
  <c r="BZ5" i="15"/>
  <c r="BY5" i="15"/>
  <c r="BX5" i="15"/>
  <c r="BW5" i="15"/>
  <c r="BV5" i="15"/>
  <c r="BU5" i="15"/>
  <c r="BT5" i="15"/>
  <c r="BS5" i="15"/>
  <c r="BQ5" i="15"/>
  <c r="BP5" i="15"/>
  <c r="BO5" i="15"/>
  <c r="BN5" i="15"/>
  <c r="BM5" i="15"/>
  <c r="BL5" i="15"/>
  <c r="BK5" i="15"/>
  <c r="BJ5" i="15"/>
  <c r="BI5" i="15"/>
  <c r="BH5" i="15"/>
  <c r="BG5" i="15"/>
  <c r="BF5" i="15"/>
  <c r="BE5" i="15"/>
  <c r="BD5" i="15"/>
  <c r="BC5" i="15"/>
  <c r="BB5" i="15"/>
  <c r="BA5" i="15"/>
  <c r="AZ5" i="15"/>
  <c r="AY5" i="15"/>
  <c r="AW5" i="15"/>
  <c r="AV5" i="15"/>
  <c r="AU5" i="15"/>
  <c r="AT5" i="15"/>
  <c r="AS5" i="15"/>
  <c r="AR5" i="15"/>
  <c r="AQ5" i="15"/>
  <c r="AP5" i="15"/>
  <c r="AO5" i="15"/>
  <c r="AN5" i="15"/>
  <c r="AM5" i="15"/>
  <c r="AL5" i="15"/>
  <c r="AK5" i="15"/>
  <c r="AJ5" i="15"/>
  <c r="AI5" i="15"/>
  <c r="AH5" i="15"/>
  <c r="AG5" i="15"/>
  <c r="AF5" i="15"/>
  <c r="AE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H139" i="17"/>
  <c r="G139" i="17" s="1"/>
  <c r="H28" i="17"/>
  <c r="G28" i="17" s="1"/>
  <c r="H27" i="17"/>
  <c r="G27" i="17" s="1"/>
  <c r="H26" i="17"/>
  <c r="G26" i="17" s="1"/>
  <c r="H25" i="17"/>
  <c r="G25" i="17" s="1"/>
  <c r="H24" i="17"/>
  <c r="G24" i="17" s="1"/>
  <c r="H23" i="17"/>
  <c r="G23" i="17" s="1"/>
  <c r="H22" i="17"/>
  <c r="G22" i="17" s="1"/>
  <c r="H21" i="17"/>
  <c r="G21" i="17" s="1"/>
  <c r="H20" i="17"/>
  <c r="G20" i="17" s="1"/>
  <c r="H19" i="17"/>
  <c r="G19" i="17" s="1"/>
  <c r="H18" i="17"/>
  <c r="G18" i="17" s="1"/>
  <c r="H17" i="17"/>
  <c r="G17" i="17" s="1"/>
  <c r="H16" i="17"/>
  <c r="G16" i="17" s="1"/>
  <c r="H15" i="17"/>
  <c r="G15" i="17" s="1"/>
  <c r="H14" i="17"/>
  <c r="G14" i="17" s="1"/>
  <c r="H13" i="17"/>
  <c r="G13" i="17" s="1"/>
  <c r="H12" i="17"/>
  <c r="G12" i="17" s="1"/>
  <c r="H11" i="17"/>
  <c r="G11" i="17" s="1"/>
  <c r="H10" i="17"/>
  <c r="G10" i="17" s="1"/>
  <c r="H9" i="17"/>
  <c r="G9" i="17" s="1"/>
  <c r="H8" i="17"/>
  <c r="G8" i="17" s="1"/>
  <c r="Z38" i="15" s="1"/>
  <c r="H7" i="17"/>
  <c r="G7" i="17" s="1"/>
  <c r="AB29" i="15"/>
  <c r="W29" i="15"/>
  <c r="R29" i="15"/>
  <c r="N29" i="15"/>
  <c r="B29" i="15"/>
  <c r="AB27" i="15"/>
  <c r="W27" i="15"/>
  <c r="R27" i="15"/>
  <c r="N27" i="15"/>
  <c r="B27" i="15"/>
  <c r="AB26" i="15"/>
  <c r="W26" i="15"/>
  <c r="R26" i="15"/>
  <c r="N26" i="15"/>
  <c r="B26" i="15"/>
  <c r="R25" i="15"/>
  <c r="B25" i="15"/>
  <c r="AB24" i="15"/>
  <c r="W24" i="15"/>
  <c r="R24" i="15"/>
  <c r="N24" i="15"/>
  <c r="B24" i="15"/>
  <c r="AB23" i="15"/>
  <c r="W23" i="15"/>
  <c r="R23" i="15"/>
  <c r="N23" i="15"/>
  <c r="B23" i="15"/>
  <c r="AB21" i="15"/>
  <c r="W21" i="15"/>
  <c r="R21" i="15"/>
  <c r="N21" i="15"/>
  <c r="B21" i="15"/>
  <c r="AB20" i="15"/>
  <c r="W20" i="15"/>
  <c r="R20" i="15"/>
  <c r="N20" i="15"/>
  <c r="B20" i="15"/>
  <c r="AB19" i="15"/>
  <c r="W19" i="15"/>
  <c r="R19" i="15"/>
  <c r="N19" i="15"/>
  <c r="B19" i="15"/>
  <c r="B18" i="15"/>
  <c r="B17" i="15"/>
  <c r="AB16" i="15"/>
  <c r="W16" i="15"/>
  <c r="R16" i="15"/>
  <c r="N16" i="15"/>
  <c r="B16" i="15"/>
  <c r="Q15" i="15"/>
  <c r="P15" i="15"/>
  <c r="O15" i="15"/>
  <c r="L15" i="15"/>
  <c r="K15" i="15"/>
  <c r="AB14" i="15"/>
  <c r="W14" i="15"/>
  <c r="R14" i="15"/>
  <c r="N14" i="15"/>
  <c r="B14" i="15"/>
  <c r="AB13" i="15"/>
  <c r="W13" i="15"/>
  <c r="R13" i="15"/>
  <c r="N13" i="15"/>
  <c r="B13" i="15"/>
  <c r="AB12" i="15"/>
  <c r="W12" i="15"/>
  <c r="R12" i="15"/>
  <c r="N12" i="15"/>
  <c r="B12" i="15"/>
  <c r="AB11" i="15"/>
  <c r="W11" i="15"/>
  <c r="R11" i="15"/>
  <c r="N11" i="15"/>
  <c r="B11" i="15"/>
  <c r="AB10" i="15"/>
  <c r="W10" i="15"/>
  <c r="R10" i="15"/>
  <c r="N10" i="15"/>
  <c r="B10" i="15"/>
  <c r="Q9" i="15"/>
  <c r="P9" i="15"/>
  <c r="O9" i="15"/>
  <c r="O31" i="15" s="1"/>
  <c r="O40" i="15" s="1"/>
  <c r="M9" i="15"/>
  <c r="L9" i="15"/>
  <c r="AM34" i="15" l="1"/>
  <c r="AR34" i="15"/>
  <c r="AW34" i="15" s="1"/>
  <c r="BL17" i="15"/>
  <c r="BQ17" i="15" s="1"/>
  <c r="DE34" i="15"/>
  <c r="S28" i="15"/>
  <c r="CA28" i="15"/>
  <c r="CF28" i="15" s="1"/>
  <c r="CK28" i="15" s="1"/>
  <c r="CU17" i="15"/>
  <c r="CZ17" i="15" s="1"/>
  <c r="DE17" i="15" s="1"/>
  <c r="CK34" i="15"/>
  <c r="AM17" i="15"/>
  <c r="AR17" i="15" s="1"/>
  <c r="AW17" i="15" s="1"/>
  <c r="AC17" i="15"/>
  <c r="BP9" i="15"/>
  <c r="BL28" i="15"/>
  <c r="BQ28" i="15" s="1"/>
  <c r="AR28" i="15"/>
  <c r="AW28" i="15" s="1"/>
  <c r="AM18" i="15"/>
  <c r="AR18" i="15" s="1"/>
  <c r="AW18" i="15" s="1"/>
  <c r="X28" i="15"/>
  <c r="AC28" i="15" s="1"/>
  <c r="CF18" i="15"/>
  <c r="CK18" i="15" s="1"/>
  <c r="BG20" i="15"/>
  <c r="BL20" i="15" s="1"/>
  <c r="CU18" i="15"/>
  <c r="CZ18" i="15" s="1"/>
  <c r="DE18" i="15" s="1"/>
  <c r="CU20" i="15"/>
  <c r="CZ20" i="15" s="1"/>
  <c r="DE20" i="15" s="1"/>
  <c r="CU28" i="15"/>
  <c r="CZ28" i="15" s="1"/>
  <c r="DE28" i="15" s="1"/>
  <c r="BG18" i="15"/>
  <c r="BL18" i="15" s="1"/>
  <c r="BQ18" i="15" s="1"/>
  <c r="S18" i="15"/>
  <c r="X18" i="15" s="1"/>
  <c r="AC18" i="15" s="1"/>
  <c r="BQ20" i="15"/>
  <c r="BG21" i="15"/>
  <c r="BL21" i="15" s="1"/>
  <c r="BQ21" i="15" s="1"/>
  <c r="U8" i="15"/>
  <c r="U33" i="15" s="1"/>
  <c r="U35" i="15" s="1"/>
  <c r="BI8" i="15"/>
  <c r="BI33" i="15" s="1"/>
  <c r="BI35" i="15" s="1"/>
  <c r="BJ8" i="15"/>
  <c r="BJ33" i="15" s="1"/>
  <c r="BJ35" i="15" s="1"/>
  <c r="CA13" i="15"/>
  <c r="Y34" i="21"/>
  <c r="Y46" i="21" s="1"/>
  <c r="Y43" i="21" s="1"/>
  <c r="BZ9" i="15"/>
  <c r="AY8" i="15"/>
  <c r="AY33" i="15" s="1"/>
  <c r="DE13" i="15"/>
  <c r="CA20" i="15"/>
  <c r="CF20" i="15" s="1"/>
  <c r="CK20" i="15" s="1"/>
  <c r="CU21" i="15"/>
  <c r="CZ21" i="15" s="1"/>
  <c r="DE21" i="15" s="1"/>
  <c r="BC8" i="15"/>
  <c r="BC33" i="15" s="1"/>
  <c r="BC35" i="15" s="1"/>
  <c r="CM8" i="15"/>
  <c r="CM33" i="15" s="1"/>
  <c r="CM35" i="15" s="1"/>
  <c r="AT8" i="15"/>
  <c r="AT33" i="15" s="1"/>
  <c r="AT35" i="15" s="1"/>
  <c r="BF9" i="15"/>
  <c r="CE9" i="15"/>
  <c r="CA21" i="15"/>
  <c r="CF21" i="15" s="1"/>
  <c r="CK21" i="15" s="1"/>
  <c r="CR8" i="15"/>
  <c r="CR33" i="15" s="1"/>
  <c r="CR35" i="15" s="1"/>
  <c r="CR41" i="15" s="1"/>
  <c r="CR36" i="15" s="1"/>
  <c r="CR42" i="15" s="1"/>
  <c r="CH8" i="15"/>
  <c r="CH33" i="15" s="1"/>
  <c r="CH35" i="15" s="1"/>
  <c r="CH41" i="15" s="1"/>
  <c r="CH36" i="15" s="1"/>
  <c r="CH42" i="15" s="1"/>
  <c r="AV9" i="15"/>
  <c r="BN8" i="15"/>
  <c r="BN33" i="15" s="1"/>
  <c r="BN35" i="15" s="1"/>
  <c r="BL12" i="15"/>
  <c r="BQ12" i="15" s="1"/>
  <c r="BU8" i="15"/>
  <c r="BU33" i="15" s="1"/>
  <c r="BU35" i="15" s="1"/>
  <c r="BU41" i="15" s="1"/>
  <c r="BU36" i="15" s="1"/>
  <c r="BU42" i="15" s="1"/>
  <c r="AQ9" i="15"/>
  <c r="CP9" i="15"/>
  <c r="CU12" i="15"/>
  <c r="CZ12" i="15" s="1"/>
  <c r="DE12" i="15" s="1"/>
  <c r="M38" i="15"/>
  <c r="N38" i="15" s="1"/>
  <c r="S38" i="15" s="1"/>
  <c r="V38" i="15"/>
  <c r="W38" i="15" s="1"/>
  <c r="CF13" i="15"/>
  <c r="CK13" i="15" s="1"/>
  <c r="BY8" i="15"/>
  <c r="BY33" i="15" s="1"/>
  <c r="BY35" i="15" s="1"/>
  <c r="BY41" i="15" s="1"/>
  <c r="BY36" i="15" s="1"/>
  <c r="BY42" i="15" s="1"/>
  <c r="AN8" i="15"/>
  <c r="AN33" i="15" s="1"/>
  <c r="CA12" i="15"/>
  <c r="CF12" i="15" s="1"/>
  <c r="CK12" i="15" s="1"/>
  <c r="CT9" i="15"/>
  <c r="CS8" i="15"/>
  <c r="CS33" i="15" s="1"/>
  <c r="CS35" i="15" s="1"/>
  <c r="CS41" i="15" s="1"/>
  <c r="CS36" i="15" s="1"/>
  <c r="CS42" i="15" s="1"/>
  <c r="CO8" i="15"/>
  <c r="CO33" i="15" s="1"/>
  <c r="CO35" i="15" s="1"/>
  <c r="CO41" i="15" s="1"/>
  <c r="CO36" i="15" s="1"/>
  <c r="CO42" i="15" s="1"/>
  <c r="AE8" i="15"/>
  <c r="AE33" i="15" s="1"/>
  <c r="AE35" i="15" s="1"/>
  <c r="CI8" i="15"/>
  <c r="CI33" i="15" s="1"/>
  <c r="CI35" i="15" s="1"/>
  <c r="CI41" i="15" s="1"/>
  <c r="CI36" i="15" s="1"/>
  <c r="CI42" i="15" s="1"/>
  <c r="CC8" i="15"/>
  <c r="CC33" i="15" s="1"/>
  <c r="CC35" i="15" s="1"/>
  <c r="CC41" i="15" s="1"/>
  <c r="CC36" i="15" s="1"/>
  <c r="CC42" i="15" s="1"/>
  <c r="AS8" i="15"/>
  <c r="AS33" i="15" s="1"/>
  <c r="AS35" i="15" s="1"/>
  <c r="AP8" i="15"/>
  <c r="AP33" i="15" s="1"/>
  <c r="AP35" i="15" s="1"/>
  <c r="CU27" i="15"/>
  <c r="CZ27" i="15" s="1"/>
  <c r="DE27" i="15" s="1"/>
  <c r="S22" i="15"/>
  <c r="X22" i="15" s="1"/>
  <c r="AC22" i="15" s="1"/>
  <c r="BC34" i="21"/>
  <c r="BC46" i="21" s="1"/>
  <c r="BC43" i="21" s="1"/>
  <c r="BB9" i="15"/>
  <c r="CA27" i="15"/>
  <c r="CF27" i="15" s="1"/>
  <c r="CK27" i="15" s="1"/>
  <c r="DD9" i="15"/>
  <c r="BG27" i="15"/>
  <c r="BL27" i="15" s="1"/>
  <c r="BQ27" i="15" s="1"/>
  <c r="AZ8" i="15"/>
  <c r="AZ33" i="15" s="1"/>
  <c r="AZ35" i="15" s="1"/>
  <c r="CJ9" i="15"/>
  <c r="CU22" i="15"/>
  <c r="CZ22" i="15" s="1"/>
  <c r="DE22" i="15" s="1"/>
  <c r="CA22" i="15"/>
  <c r="CF22" i="15" s="1"/>
  <c r="CK22" i="15" s="1"/>
  <c r="AM22" i="15"/>
  <c r="AR22" i="15" s="1"/>
  <c r="AW22" i="15" s="1"/>
  <c r="BG22" i="15"/>
  <c r="BL22" i="15" s="1"/>
  <c r="BQ22" i="15" s="1"/>
  <c r="CB43" i="21"/>
  <c r="AZ34" i="21"/>
  <c r="AZ40" i="15"/>
  <c r="AZ37" i="15" s="1"/>
  <c r="BX33" i="21"/>
  <c r="BX46" i="21"/>
  <c r="CG43" i="21"/>
  <c r="AA34" i="21"/>
  <c r="AA40" i="15"/>
  <c r="AT34" i="21"/>
  <c r="AT40" i="15"/>
  <c r="AT37" i="15" s="1"/>
  <c r="BH34" i="21"/>
  <c r="BH46" i="21" s="1"/>
  <c r="BH40" i="15"/>
  <c r="AN34" i="21"/>
  <c r="AN46" i="21" s="1"/>
  <c r="AN43" i="21" s="1"/>
  <c r="AN40" i="15"/>
  <c r="CC33" i="21"/>
  <c r="CC46" i="21"/>
  <c r="CC43" i="21" s="1"/>
  <c r="BD34" i="21"/>
  <c r="BD40" i="15"/>
  <c r="AY34" i="21"/>
  <c r="AY46" i="21" s="1"/>
  <c r="AY43" i="21" s="1"/>
  <c r="AY40" i="15"/>
  <c r="BI34" i="21"/>
  <c r="BI40" i="15"/>
  <c r="BI37" i="15" s="1"/>
  <c r="AE34" i="21"/>
  <c r="AE46" i="21" s="1"/>
  <c r="AE43" i="21" s="1"/>
  <c r="AE40" i="15"/>
  <c r="BJ34" i="21"/>
  <c r="BJ40" i="15"/>
  <c r="BJ37" i="15" s="1"/>
  <c r="BA34" i="21"/>
  <c r="BA40" i="15"/>
  <c r="BA37" i="15" s="1"/>
  <c r="AO34" i="21"/>
  <c r="AO40" i="15"/>
  <c r="AO37" i="15" s="1"/>
  <c r="AK34" i="21"/>
  <c r="AK40" i="15"/>
  <c r="AK37" i="15" s="1"/>
  <c r="V34" i="21"/>
  <c r="V40" i="15"/>
  <c r="AJ34" i="21"/>
  <c r="AJ40" i="15"/>
  <c r="CI33" i="21"/>
  <c r="CI46" i="21"/>
  <c r="CI43" i="21" s="1"/>
  <c r="T43" i="21"/>
  <c r="BM43" i="21"/>
  <c r="CD33" i="21"/>
  <c r="CD46" i="21"/>
  <c r="CD43" i="21" s="1"/>
  <c r="AF34" i="21"/>
  <c r="AF40" i="15"/>
  <c r="AF37" i="15" s="1"/>
  <c r="BO34" i="21"/>
  <c r="BO40" i="15"/>
  <c r="BO37" i="15" s="1"/>
  <c r="AU34" i="21"/>
  <c r="AU40" i="15"/>
  <c r="AU37" i="15" s="1"/>
  <c r="BE34" i="21"/>
  <c r="BE40" i="15"/>
  <c r="BE37" i="15" s="1"/>
  <c r="BY33" i="21"/>
  <c r="BY46" i="21"/>
  <c r="BY43" i="21" s="1"/>
  <c r="BU33" i="21"/>
  <c r="BU46" i="21"/>
  <c r="BU43" i="21" s="1"/>
  <c r="AG34" i="21"/>
  <c r="AG40" i="15"/>
  <c r="AG37" i="15" s="1"/>
  <c r="Z34" i="21"/>
  <c r="Z40" i="15"/>
  <c r="BT33" i="21"/>
  <c r="BT46" i="21"/>
  <c r="AP34" i="21"/>
  <c r="AP40" i="15"/>
  <c r="AP37" i="15" s="1"/>
  <c r="AS34" i="21"/>
  <c r="AS46" i="21" s="1"/>
  <c r="AS40" i="15"/>
  <c r="CH33" i="21"/>
  <c r="CH46" i="21"/>
  <c r="CH43" i="21" s="1"/>
  <c r="BN34" i="21"/>
  <c r="BN40" i="15"/>
  <c r="U34" i="21"/>
  <c r="U40" i="15"/>
  <c r="O37" i="15"/>
  <c r="K37" i="15"/>
  <c r="BE33" i="15"/>
  <c r="BE35" i="15" s="1"/>
  <c r="CD33" i="15"/>
  <c r="CD35" i="15" s="1"/>
  <c r="CD41" i="15" s="1"/>
  <c r="CD36" i="15" s="1"/>
  <c r="CD42" i="15" s="1"/>
  <c r="CX33" i="15"/>
  <c r="CX35" i="15" s="1"/>
  <c r="CX41" i="15" s="1"/>
  <c r="CX36" i="15" s="1"/>
  <c r="CX42" i="15" s="1"/>
  <c r="BK31" i="15"/>
  <c r="CP31" i="15"/>
  <c r="BD33" i="15"/>
  <c r="BD35" i="15" s="1"/>
  <c r="BH33" i="15"/>
  <c r="BH35" i="15" s="1"/>
  <c r="BF31" i="15"/>
  <c r="CG33" i="15"/>
  <c r="CG35" i="15" s="1"/>
  <c r="BA33" i="15"/>
  <c r="BA35" i="15" s="1"/>
  <c r="AO33" i="15"/>
  <c r="AO35" i="15" s="1"/>
  <c r="DB33" i="15"/>
  <c r="DB35" i="15" s="1"/>
  <c r="DB41" i="15" s="1"/>
  <c r="DB36" i="15" s="1"/>
  <c r="DB42" i="15" s="1"/>
  <c r="BV31" i="15"/>
  <c r="BS33" i="15"/>
  <c r="BS35" i="15" s="1"/>
  <c r="Z33" i="15"/>
  <c r="Z35" i="15" s="1"/>
  <c r="BP31" i="15"/>
  <c r="AJ33" i="15"/>
  <c r="AJ35" i="15" s="1"/>
  <c r="BB31" i="15"/>
  <c r="AL31" i="15"/>
  <c r="CY31" i="15"/>
  <c r="AH31" i="15"/>
  <c r="W31" i="15"/>
  <c r="BS33" i="21"/>
  <c r="BV34" i="21"/>
  <c r="CJ34" i="21"/>
  <c r="CG33" i="21"/>
  <c r="BZ34" i="21"/>
  <c r="BW33" i="21"/>
  <c r="CY34" i="21"/>
  <c r="CV33" i="21"/>
  <c r="CY33" i="21" s="1"/>
  <c r="CP34" i="21"/>
  <c r="CM33" i="21"/>
  <c r="CP33" i="21" s="1"/>
  <c r="DD34" i="21"/>
  <c r="DA33" i="21"/>
  <c r="DD33" i="21" s="1"/>
  <c r="L31" i="15"/>
  <c r="L40" i="15" s="1"/>
  <c r="Q31" i="15"/>
  <c r="Q40" i="15" s="1"/>
  <c r="M31" i="15"/>
  <c r="M40" i="15" s="1"/>
  <c r="DC33" i="15"/>
  <c r="DC35" i="15" s="1"/>
  <c r="DC41" i="15" s="1"/>
  <c r="DC36" i="15" s="1"/>
  <c r="DC42" i="15" s="1"/>
  <c r="AA33" i="15"/>
  <c r="AA35" i="15" s="1"/>
  <c r="AK33" i="15"/>
  <c r="AK35" i="15" s="1"/>
  <c r="BO33" i="15"/>
  <c r="BO35" i="15" s="1"/>
  <c r="AB31" i="15"/>
  <c r="AV31" i="15"/>
  <c r="BZ31" i="15"/>
  <c r="CT31" i="15"/>
  <c r="P31" i="15"/>
  <c r="P40" i="15" s="1"/>
  <c r="CW33" i="15"/>
  <c r="CW35" i="15" s="1"/>
  <c r="CW41" i="15" s="1"/>
  <c r="CW36" i="15" s="1"/>
  <c r="CW42" i="15" s="1"/>
  <c r="AG33" i="15"/>
  <c r="AG35" i="15" s="1"/>
  <c r="AU33" i="15"/>
  <c r="AU35" i="15" s="1"/>
  <c r="BT33" i="15"/>
  <c r="BT35" i="15" s="1"/>
  <c r="BT41" i="15" s="1"/>
  <c r="BT36" i="15" s="1"/>
  <c r="BT42" i="15" s="1"/>
  <c r="CV33" i="15"/>
  <c r="CV35" i="15" s="1"/>
  <c r="CV41" i="15" s="1"/>
  <c r="CN33" i="15"/>
  <c r="CN35" i="15" s="1"/>
  <c r="CN41" i="15" s="1"/>
  <c r="CN36" i="15" s="1"/>
  <c r="CN42" i="15" s="1"/>
  <c r="BX33" i="15"/>
  <c r="BX35" i="15" s="1"/>
  <c r="BX41" i="15" s="1"/>
  <c r="BX36" i="15" s="1"/>
  <c r="BX42" i="15" s="1"/>
  <c r="BW33" i="15"/>
  <c r="BW35" i="15" s="1"/>
  <c r="DA33" i="15"/>
  <c r="DA35" i="15" s="1"/>
  <c r="AQ31" i="15"/>
  <c r="CJ31" i="15"/>
  <c r="DD31" i="15"/>
  <c r="CE31" i="15"/>
  <c r="CT34" i="21"/>
  <c r="CQ33" i="21"/>
  <c r="AI33" i="21"/>
  <c r="BM33" i="21"/>
  <c r="CE34" i="21"/>
  <c r="CB33" i="21"/>
  <c r="O34" i="21"/>
  <c r="O46" i="21" s="1"/>
  <c r="T33" i="21"/>
  <c r="K34" i="21"/>
  <c r="K46" i="21" s="1"/>
  <c r="CA39" i="15"/>
  <c r="CF39" i="15" s="1"/>
  <c r="CK39" i="15" s="1"/>
  <c r="CA8" i="21"/>
  <c r="CU8" i="21"/>
  <c r="BG8" i="21"/>
  <c r="AM39" i="15"/>
  <c r="AR39" i="15" s="1"/>
  <c r="AW39" i="15" s="1"/>
  <c r="CU19" i="15"/>
  <c r="CZ19" i="15" s="1"/>
  <c r="DE19" i="15" s="1"/>
  <c r="H35" i="20"/>
  <c r="H34" i="20" s="1"/>
  <c r="J34" i="20" s="1"/>
  <c r="D35" i="1"/>
  <c r="BG19" i="15"/>
  <c r="BL19" i="15" s="1"/>
  <c r="BQ19" i="15" s="1"/>
  <c r="CA19" i="15"/>
  <c r="CF19" i="15" s="1"/>
  <c r="CK19" i="15" s="1"/>
  <c r="BF15" i="15"/>
  <c r="CY15" i="15"/>
  <c r="CY8" i="15" s="1"/>
  <c r="CE15" i="15"/>
  <c r="DD15" i="15"/>
  <c r="AV15" i="15"/>
  <c r="CJ15" i="15"/>
  <c r="BK15" i="15"/>
  <c r="BK8" i="15" s="1"/>
  <c r="CT15" i="15"/>
  <c r="AQ15" i="15"/>
  <c r="AL15" i="15"/>
  <c r="AL8" i="15" s="1"/>
  <c r="BV15" i="15"/>
  <c r="BV8" i="15" s="1"/>
  <c r="CP15" i="15"/>
  <c r="BP15" i="15"/>
  <c r="BP8" i="15" s="1"/>
  <c r="BG39" i="15"/>
  <c r="BL39" i="15" s="1"/>
  <c r="BQ39" i="15" s="1"/>
  <c r="H36" i="20"/>
  <c r="G6" i="17"/>
  <c r="AA38" i="15" s="1"/>
  <c r="AB38" i="15" s="1"/>
  <c r="D12" i="1"/>
  <c r="I39" i="21"/>
  <c r="BG16" i="15"/>
  <c r="BL16" i="15" s="1"/>
  <c r="BB15" i="15"/>
  <c r="CU16" i="15"/>
  <c r="CZ16" i="15" s="1"/>
  <c r="CA16" i="15"/>
  <c r="CF16" i="15" s="1"/>
  <c r="BG38" i="15"/>
  <c r="BL38" i="15" s="1"/>
  <c r="BQ38" i="15" s="1"/>
  <c r="CT37" i="15"/>
  <c r="I37" i="21"/>
  <c r="I36" i="21"/>
  <c r="CU39" i="15"/>
  <c r="CZ39" i="15" s="1"/>
  <c r="DE39" i="15" s="1"/>
  <c r="BZ15" i="15"/>
  <c r="S39" i="15"/>
  <c r="X39" i="15" s="1"/>
  <c r="AC39" i="15" s="1"/>
  <c r="BL16" i="21"/>
  <c r="BL8" i="21" s="1"/>
  <c r="BQ16" i="21"/>
  <c r="BQ8" i="21" s="1"/>
  <c r="CK16" i="21"/>
  <c r="CF16" i="21"/>
  <c r="DE16" i="21"/>
  <c r="CZ16" i="21"/>
  <c r="AM38" i="15"/>
  <c r="AR38" i="15" s="1"/>
  <c r="AW38" i="15" s="1"/>
  <c r="CA38" i="15"/>
  <c r="CF38" i="15" s="1"/>
  <c r="CK38" i="15" s="1"/>
  <c r="DD37" i="15"/>
  <c r="CK12" i="21"/>
  <c r="CK10" i="21" s="1"/>
  <c r="CF10" i="21"/>
  <c r="AW12" i="21"/>
  <c r="AR10" i="21"/>
  <c r="CE37" i="15"/>
  <c r="DE12" i="21"/>
  <c r="DE10" i="21" s="1"/>
  <c r="CZ10" i="21"/>
  <c r="CJ37" i="15"/>
  <c r="BZ37" i="15"/>
  <c r="AI35" i="15"/>
  <c r="CB35" i="15"/>
  <c r="CY37" i="15"/>
  <c r="CP37" i="15"/>
  <c r="BM35" i="15"/>
  <c r="CQ35" i="15"/>
  <c r="BV37" i="15"/>
  <c r="CU38" i="15"/>
  <c r="CZ38" i="15" s="1"/>
  <c r="DE38" i="15" s="1"/>
  <c r="T41" i="15"/>
  <c r="I32" i="15"/>
  <c r="F33" i="20" s="1"/>
  <c r="J33" i="20" s="1"/>
  <c r="CZ10" i="15"/>
  <c r="CU9" i="15"/>
  <c r="CF10" i="15"/>
  <c r="BL10" i="15"/>
  <c r="BG9" i="15"/>
  <c r="X10" i="21"/>
  <c r="AC11" i="21"/>
  <c r="O8" i="15"/>
  <c r="O33" i="15" s="1"/>
  <c r="L8" i="15"/>
  <c r="S21" i="15"/>
  <c r="X21" i="15" s="1"/>
  <c r="AC21" i="15" s="1"/>
  <c r="S26" i="15"/>
  <c r="X26" i="15" s="1"/>
  <c r="AC26" i="15" s="1"/>
  <c r="Q8" i="15"/>
  <c r="S29" i="15"/>
  <c r="X29" i="15" s="1"/>
  <c r="AC29" i="15" s="1"/>
  <c r="P8" i="15"/>
  <c r="R15" i="15"/>
  <c r="S24" i="15"/>
  <c r="X24" i="15" s="1"/>
  <c r="AC24" i="15" s="1"/>
  <c r="K8" i="15"/>
  <c r="K33" i="15" s="1"/>
  <c r="S11" i="15"/>
  <c r="S13" i="15"/>
  <c r="X13" i="15" s="1"/>
  <c r="AC13" i="15" s="1"/>
  <c r="S14" i="15"/>
  <c r="X14" i="15" s="1"/>
  <c r="AC14" i="15" s="1"/>
  <c r="S20" i="15"/>
  <c r="X20" i="15" s="1"/>
  <c r="AC20" i="15" s="1"/>
  <c r="R9" i="15"/>
  <c r="AB9" i="15"/>
  <c r="S23" i="15"/>
  <c r="X23" i="15" s="1"/>
  <c r="AC23" i="15" s="1"/>
  <c r="S10" i="15"/>
  <c r="X10" i="15" s="1"/>
  <c r="S19" i="15"/>
  <c r="X19" i="15" s="1"/>
  <c r="AC19" i="15" s="1"/>
  <c r="S27" i="15"/>
  <c r="X27" i="15" s="1"/>
  <c r="AC27" i="15" s="1"/>
  <c r="S16" i="15"/>
  <c r="S12" i="15"/>
  <c r="X12" i="15" s="1"/>
  <c r="AC12" i="15" s="1"/>
  <c r="N9" i="15"/>
  <c r="W9" i="15"/>
  <c r="I17" i="15" l="1"/>
  <c r="I34" i="15"/>
  <c r="BZ8" i="15"/>
  <c r="BF8" i="15"/>
  <c r="Y33" i="21"/>
  <c r="AQ8" i="15"/>
  <c r="I28" i="15"/>
  <c r="F29" i="20" s="1"/>
  <c r="J29" i="20" s="1"/>
  <c r="I18" i="15"/>
  <c r="CP8" i="15"/>
  <c r="CT8" i="15"/>
  <c r="AV8" i="15"/>
  <c r="DD8" i="15"/>
  <c r="CE8" i="15"/>
  <c r="CA9" i="15"/>
  <c r="CM47" i="21"/>
  <c r="CP47" i="21" s="1"/>
  <c r="X38" i="15"/>
  <c r="AC38" i="15" s="1"/>
  <c r="I38" i="15" s="1"/>
  <c r="F41" i="20" s="1"/>
  <c r="J41" i="20" s="1"/>
  <c r="V37" i="15"/>
  <c r="BC33" i="21"/>
  <c r="BC47" i="21" s="1"/>
  <c r="CJ8" i="15"/>
  <c r="BB8" i="15"/>
  <c r="W34" i="21"/>
  <c r="AP41" i="15"/>
  <c r="AP36" i="15" s="1"/>
  <c r="AP42" i="15" s="1"/>
  <c r="AO41" i="15"/>
  <c r="AO36" i="15" s="1"/>
  <c r="AO42" i="15" s="1"/>
  <c r="AL34" i="21"/>
  <c r="AA37" i="15"/>
  <c r="AA41" i="15" s="1"/>
  <c r="AA36" i="15" s="1"/>
  <c r="AA42" i="15" s="1"/>
  <c r="AH34" i="21"/>
  <c r="AT41" i="15"/>
  <c r="AT36" i="15" s="1"/>
  <c r="AT42" i="15" s="1"/>
  <c r="BB34" i="21"/>
  <c r="AS33" i="21"/>
  <c r="AU41" i="15"/>
  <c r="AU36" i="15" s="1"/>
  <c r="AU42" i="15" s="1"/>
  <c r="AG41" i="15"/>
  <c r="AG36" i="15" s="1"/>
  <c r="AG42" i="15" s="1"/>
  <c r="AY33" i="21"/>
  <c r="AY47" i="21" s="1"/>
  <c r="AY42" i="21" s="1"/>
  <c r="CU31" i="15"/>
  <c r="CZ31" i="15" s="1"/>
  <c r="DE31" i="15" s="1"/>
  <c r="BH33" i="21"/>
  <c r="BV33" i="21"/>
  <c r="CH47" i="21"/>
  <c r="CH42" i="21" s="1"/>
  <c r="CH48" i="21" s="1"/>
  <c r="BP34" i="21"/>
  <c r="BK34" i="21"/>
  <c r="BF34" i="21"/>
  <c r="BJ41" i="15"/>
  <c r="BJ36" i="15" s="1"/>
  <c r="BJ42" i="15" s="1"/>
  <c r="AQ34" i="21"/>
  <c r="CJ43" i="21"/>
  <c r="O43" i="21"/>
  <c r="BO41" i="15"/>
  <c r="BO36" i="15" s="1"/>
  <c r="BO42" i="15" s="1"/>
  <c r="W40" i="15"/>
  <c r="U37" i="15"/>
  <c r="BN33" i="21"/>
  <c r="BN46" i="21"/>
  <c r="AS43" i="21"/>
  <c r="BB40" i="15"/>
  <c r="AY37" i="15"/>
  <c r="BB37" i="15" s="1"/>
  <c r="BK40" i="15"/>
  <c r="BH37" i="15"/>
  <c r="BK37" i="15" s="1"/>
  <c r="BZ46" i="21"/>
  <c r="BX43" i="21"/>
  <c r="BZ43" i="21" s="1"/>
  <c r="CE43" i="21"/>
  <c r="AK41" i="15"/>
  <c r="AK36" i="15" s="1"/>
  <c r="AK42" i="15" s="1"/>
  <c r="AE33" i="21"/>
  <c r="AN33" i="21"/>
  <c r="AN47" i="21" s="1"/>
  <c r="AV34" i="21"/>
  <c r="BA41" i="15"/>
  <c r="BA36" i="15" s="1"/>
  <c r="BA42" i="15" s="1"/>
  <c r="BE41" i="15"/>
  <c r="BE36" i="15" s="1"/>
  <c r="BE42" i="15" s="1"/>
  <c r="U33" i="21"/>
  <c r="U46" i="21"/>
  <c r="AB40" i="15"/>
  <c r="Z37" i="15"/>
  <c r="AG33" i="21"/>
  <c r="AG46" i="21"/>
  <c r="BY47" i="21"/>
  <c r="BY42" i="21" s="1"/>
  <c r="BY48" i="21" s="1"/>
  <c r="AU33" i="21"/>
  <c r="AU46" i="21"/>
  <c r="AU43" i="21" s="1"/>
  <c r="AF33" i="21"/>
  <c r="AF46" i="21"/>
  <c r="AF43" i="21" s="1"/>
  <c r="CI47" i="21"/>
  <c r="CI42" i="21" s="1"/>
  <c r="CI48" i="21" s="1"/>
  <c r="V33" i="21"/>
  <c r="V46" i="21"/>
  <c r="V43" i="21" s="1"/>
  <c r="AO33" i="21"/>
  <c r="AO46" i="21"/>
  <c r="CC47" i="21"/>
  <c r="CC42" i="21" s="1"/>
  <c r="CC48" i="21" s="1"/>
  <c r="BH43" i="21"/>
  <c r="AA33" i="21"/>
  <c r="AA46" i="21"/>
  <c r="AA43" i="21" s="1"/>
  <c r="CE46" i="21"/>
  <c r="AP33" i="21"/>
  <c r="AP46" i="21"/>
  <c r="AP43" i="21" s="1"/>
  <c r="Z33" i="21"/>
  <c r="Z46" i="21"/>
  <c r="AL40" i="15"/>
  <c r="AJ37" i="15"/>
  <c r="AL37" i="15" s="1"/>
  <c r="BJ33" i="21"/>
  <c r="BJ46" i="21"/>
  <c r="BJ43" i="21" s="1"/>
  <c r="BF40" i="15"/>
  <c r="BD37" i="15"/>
  <c r="BF37" i="15" s="1"/>
  <c r="AQ40" i="15"/>
  <c r="AN37" i="15"/>
  <c r="AQ37" i="15" s="1"/>
  <c r="K43" i="21"/>
  <c r="AB34" i="21"/>
  <c r="AZ41" i="15"/>
  <c r="AZ36" i="15" s="1"/>
  <c r="AZ42" i="15" s="1"/>
  <c r="BI41" i="15"/>
  <c r="BI36" i="15" s="1"/>
  <c r="BI42" i="15" s="1"/>
  <c r="BN37" i="15"/>
  <c r="BP37" i="15" s="1"/>
  <c r="BP40" i="15"/>
  <c r="AV40" i="15"/>
  <c r="AS37" i="15"/>
  <c r="AV37" i="15" s="1"/>
  <c r="BV46" i="21"/>
  <c r="BT43" i="21"/>
  <c r="BV43" i="21" s="1"/>
  <c r="BU47" i="21"/>
  <c r="BU42" i="21" s="1"/>
  <c r="BU48" i="21" s="1"/>
  <c r="BE33" i="21"/>
  <c r="BE46" i="21"/>
  <c r="BE43" i="21" s="1"/>
  <c r="BO33" i="21"/>
  <c r="BO46" i="21"/>
  <c r="BO43" i="21" s="1"/>
  <c r="CD47" i="21"/>
  <c r="CD42" i="21" s="1"/>
  <c r="CD48" i="21" s="1"/>
  <c r="AJ33" i="21"/>
  <c r="AJ46" i="21"/>
  <c r="AJ43" i="21" s="1"/>
  <c r="AK33" i="21"/>
  <c r="AK46" i="21"/>
  <c r="BA33" i="21"/>
  <c r="BA46" i="21"/>
  <c r="BA43" i="21" s="1"/>
  <c r="AH40" i="15"/>
  <c r="AE37" i="15"/>
  <c r="AH37" i="15" s="1"/>
  <c r="BI33" i="21"/>
  <c r="BI46" i="21"/>
  <c r="BI43" i="21" s="1"/>
  <c r="BD33" i="21"/>
  <c r="BD46" i="21"/>
  <c r="AT33" i="21"/>
  <c r="AT46" i="21"/>
  <c r="AT43" i="21" s="1"/>
  <c r="CJ46" i="21"/>
  <c r="AZ33" i="21"/>
  <c r="AZ46" i="21"/>
  <c r="L34" i="21"/>
  <c r="M34" i="21"/>
  <c r="M37" i="15"/>
  <c r="R31" i="15"/>
  <c r="Q34" i="21"/>
  <c r="Q37" i="15"/>
  <c r="CV47" i="21"/>
  <c r="CY47" i="21" s="1"/>
  <c r="BF33" i="15"/>
  <c r="BS47" i="21"/>
  <c r="BS42" i="21" s="1"/>
  <c r="BG31" i="15"/>
  <c r="BL31" i="15" s="1"/>
  <c r="BQ31" i="15" s="1"/>
  <c r="Q33" i="15"/>
  <c r="Q35" i="15" s="1"/>
  <c r="CT33" i="15"/>
  <c r="P33" i="15"/>
  <c r="P35" i="15" s="1"/>
  <c r="AQ33" i="15"/>
  <c r="AM31" i="15"/>
  <c r="AR31" i="15" s="1"/>
  <c r="AW31" i="15" s="1"/>
  <c r="CA31" i="15"/>
  <c r="CF31" i="15" s="1"/>
  <c r="CK31" i="15" s="1"/>
  <c r="CU34" i="21"/>
  <c r="CZ34" i="21" s="1"/>
  <c r="DE34" i="21" s="1"/>
  <c r="CA34" i="21"/>
  <c r="CF34" i="21" s="1"/>
  <c r="CK34" i="21" s="1"/>
  <c r="L33" i="15"/>
  <c r="L35" i="15" s="1"/>
  <c r="N31" i="15"/>
  <c r="BP33" i="15"/>
  <c r="DD33" i="15"/>
  <c r="BK35" i="15"/>
  <c r="BB33" i="15"/>
  <c r="AL33" i="15"/>
  <c r="CP33" i="15"/>
  <c r="AY35" i="15"/>
  <c r="CY35" i="15"/>
  <c r="CY33" i="15"/>
  <c r="AN35" i="15"/>
  <c r="AQ35" i="15" s="1"/>
  <c r="AV33" i="15"/>
  <c r="CE33" i="15"/>
  <c r="BV33" i="15"/>
  <c r="BK33" i="15"/>
  <c r="CJ33" i="15"/>
  <c r="BZ33" i="21"/>
  <c r="BW47" i="21"/>
  <c r="DA47" i="21"/>
  <c r="DA42" i="21" s="1"/>
  <c r="P34" i="21"/>
  <c r="CJ33" i="21"/>
  <c r="CG47" i="21"/>
  <c r="BZ33" i="15"/>
  <c r="CE33" i="21"/>
  <c r="CB47" i="21"/>
  <c r="BM47" i="21"/>
  <c r="CT33" i="21"/>
  <c r="CU33" i="21" s="1"/>
  <c r="CZ33" i="21" s="1"/>
  <c r="DE33" i="21" s="1"/>
  <c r="CQ47" i="21"/>
  <c r="AI47" i="21"/>
  <c r="K33" i="21"/>
  <c r="T47" i="21"/>
  <c r="O33" i="21"/>
  <c r="I22" i="15"/>
  <c r="F23" i="20" s="1"/>
  <c r="J23" i="20" s="1"/>
  <c r="CF8" i="21"/>
  <c r="CK8" i="21"/>
  <c r="CZ8" i="21"/>
  <c r="DE8" i="21"/>
  <c r="CU37" i="15"/>
  <c r="CZ37" i="15" s="1"/>
  <c r="DE37" i="15" s="1"/>
  <c r="F38" i="20"/>
  <c r="J38" i="20" s="1"/>
  <c r="BG15" i="15"/>
  <c r="BG8" i="15" s="1"/>
  <c r="CU15" i="15"/>
  <c r="CU8" i="15" s="1"/>
  <c r="CA15" i="15"/>
  <c r="I17" i="21"/>
  <c r="H16" i="20" s="1"/>
  <c r="I39" i="15"/>
  <c r="F42" i="20" s="1"/>
  <c r="J42" i="20" s="1"/>
  <c r="CA37" i="15"/>
  <c r="CF37" i="15" s="1"/>
  <c r="CK37" i="15" s="1"/>
  <c r="K35" i="15"/>
  <c r="O35" i="15"/>
  <c r="BZ35" i="15"/>
  <c r="BW41" i="15"/>
  <c r="CP35" i="15"/>
  <c r="CM41" i="15"/>
  <c r="CJ35" i="15"/>
  <c r="CG41" i="15"/>
  <c r="AV35" i="15"/>
  <c r="T36" i="15"/>
  <c r="AL35" i="15"/>
  <c r="AI41" i="15"/>
  <c r="AW10" i="21"/>
  <c r="I12" i="21"/>
  <c r="H11" i="20" s="1"/>
  <c r="BC41" i="15"/>
  <c r="BF35" i="15"/>
  <c r="BM41" i="15"/>
  <c r="BP35" i="15"/>
  <c r="CB41" i="15"/>
  <c r="CE35" i="15"/>
  <c r="CY41" i="15"/>
  <c r="CT35" i="15"/>
  <c r="CQ41" i="15"/>
  <c r="CV36" i="15"/>
  <c r="BS41" i="15"/>
  <c r="BV35" i="15"/>
  <c r="DD35" i="15"/>
  <c r="DA41" i="15"/>
  <c r="BL9" i="15"/>
  <c r="BQ10" i="15"/>
  <c r="BQ9" i="15" s="1"/>
  <c r="BQ16" i="15"/>
  <c r="BQ15" i="15" s="1"/>
  <c r="BL15" i="15"/>
  <c r="CK10" i="15"/>
  <c r="CK9" i="15" s="1"/>
  <c r="CF9" i="15"/>
  <c r="CZ9" i="15"/>
  <c r="DE10" i="15"/>
  <c r="DE9" i="15" s="1"/>
  <c r="DE16" i="15"/>
  <c r="DE15" i="15" s="1"/>
  <c r="CZ15" i="15"/>
  <c r="CF15" i="15"/>
  <c r="CK16" i="15"/>
  <c r="CK15" i="15" s="1"/>
  <c r="I11" i="21"/>
  <c r="H10" i="20" s="1"/>
  <c r="AC10" i="21"/>
  <c r="S9" i="15"/>
  <c r="X11" i="15"/>
  <c r="AC11" i="15" s="1"/>
  <c r="R8" i="15"/>
  <c r="X16" i="15"/>
  <c r="AH13" i="15"/>
  <c r="AC10" i="15"/>
  <c r="AH10" i="15"/>
  <c r="AH23" i="15"/>
  <c r="AH12" i="15"/>
  <c r="AH16" i="15"/>
  <c r="AH21" i="15"/>
  <c r="AH27" i="15"/>
  <c r="AH11" i="15"/>
  <c r="AH14" i="15"/>
  <c r="AH24" i="15"/>
  <c r="AH29" i="15"/>
  <c r="AH19" i="15"/>
  <c r="AH20" i="15"/>
  <c r="AH26" i="15"/>
  <c r="CA8" i="15" l="1"/>
  <c r="CM42" i="21"/>
  <c r="CM48" i="21" s="1"/>
  <c r="CP48" i="21" s="1"/>
  <c r="W37" i="15"/>
  <c r="BH47" i="21"/>
  <c r="BH42" i="21" s="1"/>
  <c r="BH48" i="21" s="1"/>
  <c r="BG34" i="21"/>
  <c r="BL34" i="21" s="1"/>
  <c r="BQ34" i="21" s="1"/>
  <c r="AM34" i="21"/>
  <c r="AR34" i="21" s="1"/>
  <c r="AW34" i="21" s="1"/>
  <c r="AB37" i="15"/>
  <c r="CA46" i="21"/>
  <c r="CF46" i="21" s="1"/>
  <c r="CK46" i="21" s="1"/>
  <c r="CA33" i="21"/>
  <c r="CF33" i="21" s="1"/>
  <c r="CK33" i="21" s="1"/>
  <c r="AB33" i="21"/>
  <c r="AS47" i="21"/>
  <c r="AS42" i="21" s="1"/>
  <c r="AS48" i="21" s="1"/>
  <c r="BF33" i="21"/>
  <c r="W33" i="21"/>
  <c r="AL33" i="21"/>
  <c r="S31" i="15"/>
  <c r="X31" i="15" s="1"/>
  <c r="AC31" i="15" s="1"/>
  <c r="I31" i="15" s="1"/>
  <c r="AM40" i="15"/>
  <c r="AR40" i="15" s="1"/>
  <c r="AW40" i="15" s="1"/>
  <c r="N34" i="21"/>
  <c r="BP33" i="21"/>
  <c r="AE41" i="15"/>
  <c r="AE36" i="15" s="1"/>
  <c r="AE42" i="15" s="1"/>
  <c r="AM37" i="15"/>
  <c r="AR37" i="15" s="1"/>
  <c r="AW37" i="15" s="1"/>
  <c r="AH33" i="21"/>
  <c r="BG37" i="15"/>
  <c r="BL37" i="15" s="1"/>
  <c r="BQ37" i="15" s="1"/>
  <c r="Z41" i="15"/>
  <c r="Z36" i="15" s="1"/>
  <c r="Z42" i="15" s="1"/>
  <c r="AP47" i="21"/>
  <c r="AP42" i="21" s="1"/>
  <c r="AP48" i="21" s="1"/>
  <c r="AA47" i="21"/>
  <c r="AA42" i="21" s="1"/>
  <c r="AA48" i="21" s="1"/>
  <c r="BT47" i="21"/>
  <c r="BT42" i="21" s="1"/>
  <c r="BT48" i="21" s="1"/>
  <c r="AS41" i="15"/>
  <c r="AV41" i="15" s="1"/>
  <c r="BI47" i="21"/>
  <c r="BI42" i="21" s="1"/>
  <c r="BI48" i="21" s="1"/>
  <c r="BA47" i="21"/>
  <c r="BA42" i="21" s="1"/>
  <c r="BA48" i="21" s="1"/>
  <c r="AJ47" i="21"/>
  <c r="AJ42" i="21" s="1"/>
  <c r="AJ48" i="21" s="1"/>
  <c r="BX47" i="21"/>
  <c r="BX42" i="21" s="1"/>
  <c r="BX48" i="21" s="1"/>
  <c r="P33" i="21"/>
  <c r="P46" i="21"/>
  <c r="AV46" i="21"/>
  <c r="AE47" i="21"/>
  <c r="AE42" i="21" s="1"/>
  <c r="AE48" i="21" s="1"/>
  <c r="AY41" i="15"/>
  <c r="BB41" i="15" s="1"/>
  <c r="M33" i="21"/>
  <c r="M46" i="21"/>
  <c r="M43" i="21" s="1"/>
  <c r="BF46" i="21"/>
  <c r="BD43" i="21"/>
  <c r="BF43" i="21" s="1"/>
  <c r="AL46" i="21"/>
  <c r="AK43" i="21"/>
  <c r="AK47" i="21" s="1"/>
  <c r="BE47" i="21"/>
  <c r="BE42" i="21" s="1"/>
  <c r="BE48" i="21" s="1"/>
  <c r="BD41" i="15"/>
  <c r="BD36" i="15" s="1"/>
  <c r="BD42" i="15" s="1"/>
  <c r="BK33" i="21"/>
  <c r="BJ47" i="21"/>
  <c r="BJ42" i="21" s="1"/>
  <c r="BJ48" i="21" s="1"/>
  <c r="Z43" i="21"/>
  <c r="AB43" i="21" s="1"/>
  <c r="AB46" i="21"/>
  <c r="BK43" i="21"/>
  <c r="AQ46" i="21"/>
  <c r="AO43" i="21"/>
  <c r="AQ43" i="21" s="1"/>
  <c r="AU47" i="21"/>
  <c r="AU42" i="21" s="1"/>
  <c r="AU48" i="21" s="1"/>
  <c r="AQ33" i="21"/>
  <c r="BN43" i="21"/>
  <c r="BP43" i="21" s="1"/>
  <c r="BP46" i="21"/>
  <c r="BB33" i="21"/>
  <c r="Q33" i="21"/>
  <c r="Q46" i="21"/>
  <c r="Q43" i="21" s="1"/>
  <c r="L33" i="21"/>
  <c r="L46" i="21"/>
  <c r="BK46" i="21"/>
  <c r="BH41" i="15"/>
  <c r="BK41" i="15" s="1"/>
  <c r="BB46" i="21"/>
  <c r="AZ43" i="21"/>
  <c r="BB43" i="21" s="1"/>
  <c r="AT47" i="21"/>
  <c r="AT42" i="21" s="1"/>
  <c r="AT48" i="21" s="1"/>
  <c r="BO47" i="21"/>
  <c r="BO42" i="21" s="1"/>
  <c r="BO48" i="21" s="1"/>
  <c r="CA43" i="21"/>
  <c r="CF43" i="21" s="1"/>
  <c r="CK43" i="21" s="1"/>
  <c r="BN41" i="15"/>
  <c r="BN36" i="15" s="1"/>
  <c r="BN42" i="15" s="1"/>
  <c r="AH46" i="21"/>
  <c r="AG43" i="21"/>
  <c r="AH43" i="21" s="1"/>
  <c r="U43" i="21"/>
  <c r="W43" i="21" s="1"/>
  <c r="W46" i="21"/>
  <c r="AJ41" i="15"/>
  <c r="AJ36" i="15" s="1"/>
  <c r="AJ42" i="15" s="1"/>
  <c r="BG40" i="15"/>
  <c r="BL40" i="15" s="1"/>
  <c r="BQ40" i="15" s="1"/>
  <c r="AV43" i="21"/>
  <c r="U41" i="15"/>
  <c r="AV33" i="21"/>
  <c r="Q41" i="15"/>
  <c r="Q36" i="15" s="1"/>
  <c r="Q42" i="15" s="1"/>
  <c r="P37" i="15"/>
  <c r="R37" i="15" s="1"/>
  <c r="R40" i="15"/>
  <c r="L37" i="15"/>
  <c r="N37" i="15" s="1"/>
  <c r="N40" i="15"/>
  <c r="CU33" i="15"/>
  <c r="CZ33" i="15" s="1"/>
  <c r="DE33" i="15" s="1"/>
  <c r="CV42" i="21"/>
  <c r="CY42" i="21" s="1"/>
  <c r="BG33" i="15"/>
  <c r="BL33" i="15" s="1"/>
  <c r="BQ33" i="15" s="1"/>
  <c r="BS48" i="21"/>
  <c r="AY48" i="21"/>
  <c r="R33" i="15"/>
  <c r="R34" i="21"/>
  <c r="BB35" i="15"/>
  <c r="BG35" i="15" s="1"/>
  <c r="AN41" i="15"/>
  <c r="AQ41" i="15" s="1"/>
  <c r="CA33" i="15"/>
  <c r="CF33" i="15" s="1"/>
  <c r="CK33" i="15" s="1"/>
  <c r="DD47" i="21"/>
  <c r="AN42" i="21"/>
  <c r="CG42" i="21"/>
  <c r="CJ47" i="21"/>
  <c r="BW42" i="21"/>
  <c r="DA48" i="21"/>
  <c r="DD48" i="21" s="1"/>
  <c r="DD42" i="21"/>
  <c r="AI42" i="21"/>
  <c r="BM42" i="21"/>
  <c r="BC42" i="21"/>
  <c r="CT47" i="21"/>
  <c r="CU47" i="21" s="1"/>
  <c r="CZ47" i="21" s="1"/>
  <c r="CQ42" i="21"/>
  <c r="CB42" i="21"/>
  <c r="CE47" i="21"/>
  <c r="T42" i="21"/>
  <c r="K47" i="21"/>
  <c r="O47" i="21"/>
  <c r="F36" i="20"/>
  <c r="J36" i="20" s="1"/>
  <c r="CK8" i="15"/>
  <c r="H9" i="20"/>
  <c r="K41" i="15"/>
  <c r="AI36" i="15"/>
  <c r="CJ41" i="15"/>
  <c r="CG36" i="15"/>
  <c r="CP41" i="15"/>
  <c r="CM36" i="15"/>
  <c r="CT41" i="15"/>
  <c r="CQ36" i="15"/>
  <c r="CA35" i="15"/>
  <c r="BC36" i="15"/>
  <c r="CU35" i="15"/>
  <c r="I10" i="21"/>
  <c r="CY36" i="15"/>
  <c r="CY42" i="15" s="1"/>
  <c r="CV42" i="15"/>
  <c r="BM36" i="15"/>
  <c r="CF8" i="15"/>
  <c r="DD41" i="15"/>
  <c r="DA36" i="15"/>
  <c r="BV41" i="15"/>
  <c r="BS36" i="15"/>
  <c r="CE41" i="15"/>
  <c r="CB36" i="15"/>
  <c r="T42" i="15"/>
  <c r="BZ41" i="15"/>
  <c r="BW36" i="15"/>
  <c r="O41" i="15"/>
  <c r="R35" i="15"/>
  <c r="BL8" i="15"/>
  <c r="DE8" i="15"/>
  <c r="CZ8" i="15"/>
  <c r="BQ8" i="15"/>
  <c r="AM20" i="15"/>
  <c r="AR20" i="15" s="1"/>
  <c r="AW20" i="15" s="1"/>
  <c r="X9" i="15"/>
  <c r="AM29" i="15"/>
  <c r="AR29" i="15" s="1"/>
  <c r="AW29" i="15" s="1"/>
  <c r="AM19" i="15"/>
  <c r="AR19" i="15" s="1"/>
  <c r="AW19" i="15" s="1"/>
  <c r="AM13" i="15"/>
  <c r="AR13" i="15" s="1"/>
  <c r="AW13" i="15" s="1"/>
  <c r="AM24" i="15"/>
  <c r="AR24" i="15" s="1"/>
  <c r="AW24" i="15" s="1"/>
  <c r="AC16" i="15"/>
  <c r="AM26" i="15"/>
  <c r="AR26" i="15" s="1"/>
  <c r="AW26" i="15" s="1"/>
  <c r="AM23" i="15"/>
  <c r="AR23" i="15" s="1"/>
  <c r="AW23" i="15" s="1"/>
  <c r="AM21" i="15"/>
  <c r="AR21" i="15" s="1"/>
  <c r="AW21" i="15" s="1"/>
  <c r="AM11" i="15"/>
  <c r="AR11" i="15" s="1"/>
  <c r="AW11" i="15" s="1"/>
  <c r="I11" i="15" s="1"/>
  <c r="F11" i="20" s="1"/>
  <c r="J11" i="20" s="1"/>
  <c r="AM27" i="15"/>
  <c r="AR27" i="15" s="1"/>
  <c r="AW27" i="15" s="1"/>
  <c r="AM12" i="15"/>
  <c r="AR12" i="15" s="1"/>
  <c r="AW12" i="15" s="1"/>
  <c r="AC9" i="15"/>
  <c r="AM10" i="15"/>
  <c r="AH9" i="15"/>
  <c r="AM14" i="15"/>
  <c r="AR14" i="15" s="1"/>
  <c r="AW14" i="15" s="1"/>
  <c r="I14" i="15" s="1"/>
  <c r="F14" i="20" s="1"/>
  <c r="J14" i="20" s="1"/>
  <c r="AM16" i="15"/>
  <c r="CP42" i="21" l="1"/>
  <c r="BN47" i="21"/>
  <c r="BN42" i="21" s="1"/>
  <c r="BN48" i="21" s="1"/>
  <c r="BG33" i="21"/>
  <c r="BL33" i="21" s="1"/>
  <c r="BQ33" i="21" s="1"/>
  <c r="BP41" i="15"/>
  <c r="BK48" i="21"/>
  <c r="AL43" i="21"/>
  <c r="AM43" i="21" s="1"/>
  <c r="AR43" i="21" s="1"/>
  <c r="AW43" i="21" s="1"/>
  <c r="AM33" i="21"/>
  <c r="AR33" i="21" s="1"/>
  <c r="AW33" i="21" s="1"/>
  <c r="BZ47" i="21"/>
  <c r="AV47" i="21"/>
  <c r="AS36" i="15"/>
  <c r="AV36" i="15" s="1"/>
  <c r="AV42" i="15" s="1"/>
  <c r="S34" i="21"/>
  <c r="X34" i="21" s="1"/>
  <c r="AC34" i="21" s="1"/>
  <c r="I34" i="21" s="1"/>
  <c r="H32" i="20" s="1"/>
  <c r="BV47" i="21"/>
  <c r="BG46" i="21"/>
  <c r="BL46" i="21" s="1"/>
  <c r="BQ46" i="21" s="1"/>
  <c r="AO47" i="21"/>
  <c r="AO42" i="21" s="1"/>
  <c r="AO48" i="21" s="1"/>
  <c r="BH36" i="15"/>
  <c r="BK36" i="15" s="1"/>
  <c r="BK42" i="15" s="1"/>
  <c r="AM46" i="21"/>
  <c r="AR46" i="21" s="1"/>
  <c r="AW46" i="21" s="1"/>
  <c r="BV42" i="21"/>
  <c r="AV42" i="21"/>
  <c r="AL41" i="15"/>
  <c r="DE47" i="21"/>
  <c r="AV48" i="21"/>
  <c r="BV48" i="21"/>
  <c r="AY36" i="15"/>
  <c r="BB36" i="15" s="1"/>
  <c r="BG43" i="21"/>
  <c r="BL43" i="21" s="1"/>
  <c r="BQ43" i="21" s="1"/>
  <c r="BD47" i="21"/>
  <c r="BD42" i="21" s="1"/>
  <c r="BD48" i="21" s="1"/>
  <c r="Q47" i="21"/>
  <c r="Q42" i="21" s="1"/>
  <c r="Q48" i="21" s="1"/>
  <c r="R33" i="21"/>
  <c r="AK42" i="21"/>
  <c r="AK48" i="21" s="1"/>
  <c r="AL47" i="21"/>
  <c r="Z47" i="21"/>
  <c r="U47" i="21"/>
  <c r="BF41" i="15"/>
  <c r="BG41" i="15" s="1"/>
  <c r="BL41" i="15" s="1"/>
  <c r="N33" i="21"/>
  <c r="AG47" i="21"/>
  <c r="AG42" i="21" s="1"/>
  <c r="AG48" i="21" s="1"/>
  <c r="P43" i="21"/>
  <c r="R43" i="21" s="1"/>
  <c r="R46" i="21"/>
  <c r="F32" i="20"/>
  <c r="AZ47" i="21"/>
  <c r="U36" i="15"/>
  <c r="L43" i="21"/>
  <c r="N43" i="21" s="1"/>
  <c r="N46" i="21"/>
  <c r="BK47" i="21"/>
  <c r="P41" i="15"/>
  <c r="P36" i="15" s="1"/>
  <c r="P42" i="15" s="1"/>
  <c r="S37" i="15"/>
  <c r="X37" i="15" s="1"/>
  <c r="AC37" i="15" s="1"/>
  <c r="S40" i="15"/>
  <c r="X40" i="15" s="1"/>
  <c r="AC40" i="15" s="1"/>
  <c r="I40" i="15" s="1"/>
  <c r="F43" i="20" s="1"/>
  <c r="L41" i="15"/>
  <c r="L36" i="15" s="1"/>
  <c r="L42" i="15" s="1"/>
  <c r="CV48" i="21"/>
  <c r="CY48" i="21" s="1"/>
  <c r="BK42" i="21"/>
  <c r="E26" i="1"/>
  <c r="AN36" i="15"/>
  <c r="AN42" i="15" s="1"/>
  <c r="AN48" i="21"/>
  <c r="BZ42" i="21"/>
  <c r="BW48" i="21"/>
  <c r="BZ48" i="21" s="1"/>
  <c r="CG48" i="21"/>
  <c r="CJ48" i="21" s="1"/>
  <c r="CJ42" i="21"/>
  <c r="AI48" i="21"/>
  <c r="CB48" i="21"/>
  <c r="CE48" i="21" s="1"/>
  <c r="CE42" i="21"/>
  <c r="BC48" i="21"/>
  <c r="CQ48" i="21"/>
  <c r="CT48" i="21" s="1"/>
  <c r="CT42" i="21"/>
  <c r="BM48" i="21"/>
  <c r="O42" i="21"/>
  <c r="K42" i="21"/>
  <c r="T48" i="21"/>
  <c r="CA41" i="15"/>
  <c r="CF41" i="15" s="1"/>
  <c r="CK41" i="15" s="1"/>
  <c r="O36" i="15"/>
  <c r="CE36" i="15"/>
  <c r="CE42" i="15" s="1"/>
  <c r="CB42" i="15"/>
  <c r="DD36" i="15"/>
  <c r="DD42" i="15" s="1"/>
  <c r="DA42" i="15"/>
  <c r="BL35" i="15"/>
  <c r="CF35" i="15"/>
  <c r="CJ36" i="15"/>
  <c r="CJ42" i="15" s="1"/>
  <c r="CG42" i="15"/>
  <c r="K36" i="15"/>
  <c r="BV36" i="15"/>
  <c r="BS42" i="15"/>
  <c r="BF36" i="15"/>
  <c r="BF42" i="15" s="1"/>
  <c r="BC42" i="15"/>
  <c r="BZ36" i="15"/>
  <c r="BZ42" i="15" s="1"/>
  <c r="BW42" i="15"/>
  <c r="CZ35" i="15"/>
  <c r="CP36" i="15"/>
  <c r="CM42" i="15"/>
  <c r="BP36" i="15"/>
  <c r="BP42" i="15" s="1"/>
  <c r="BM42" i="15"/>
  <c r="CT36" i="15"/>
  <c r="CT42" i="15" s="1"/>
  <c r="CQ42" i="15"/>
  <c r="CU41" i="15"/>
  <c r="CZ41" i="15" s="1"/>
  <c r="DE41" i="15" s="1"/>
  <c r="AL36" i="15"/>
  <c r="AL42" i="15" s="1"/>
  <c r="AI42" i="15"/>
  <c r="I12" i="15"/>
  <c r="F12" i="20" s="1"/>
  <c r="J12" i="20" s="1"/>
  <c r="I26" i="15"/>
  <c r="F27" i="20" s="1"/>
  <c r="J27" i="20" s="1"/>
  <c r="F17" i="20"/>
  <c r="J17" i="20" s="1"/>
  <c r="I21" i="15"/>
  <c r="D18" i="1" s="1"/>
  <c r="F18" i="20"/>
  <c r="J18" i="20" s="1"/>
  <c r="I23" i="15"/>
  <c r="F24" i="20" s="1"/>
  <c r="J24" i="20" s="1"/>
  <c r="I19" i="15"/>
  <c r="F19" i="20" s="1"/>
  <c r="J19" i="20" s="1"/>
  <c r="I24" i="15"/>
  <c r="F25" i="20" s="1"/>
  <c r="J25" i="20" s="1"/>
  <c r="I29" i="15"/>
  <c r="F30" i="20" s="1"/>
  <c r="J30" i="20" s="1"/>
  <c r="I27" i="15"/>
  <c r="F28" i="20" s="1"/>
  <c r="J28" i="20" s="1"/>
  <c r="I13" i="15"/>
  <c r="F13" i="20" s="1"/>
  <c r="J13" i="20" s="1"/>
  <c r="I20" i="15"/>
  <c r="AR16" i="15"/>
  <c r="AR10" i="15"/>
  <c r="AM9" i="15"/>
  <c r="CU42" i="21" l="1"/>
  <c r="CZ42" i="21" s="1"/>
  <c r="CZ48" i="21" s="1"/>
  <c r="BP42" i="21"/>
  <c r="BP47" i="21"/>
  <c r="BP48" i="21"/>
  <c r="J32" i="20"/>
  <c r="P47" i="21"/>
  <c r="P42" i="21" s="1"/>
  <c r="P48" i="21" s="1"/>
  <c r="BQ41" i="15"/>
  <c r="AS42" i="15"/>
  <c r="BF42" i="21"/>
  <c r="CA47" i="21"/>
  <c r="CF47" i="21" s="1"/>
  <c r="CK47" i="21" s="1"/>
  <c r="AQ48" i="21"/>
  <c r="BF47" i="21"/>
  <c r="BF48" i="21"/>
  <c r="AQ47" i="21"/>
  <c r="AQ42" i="21"/>
  <c r="AL42" i="21"/>
  <c r="S43" i="21"/>
  <c r="X43" i="21" s="1"/>
  <c r="AC43" i="21" s="1"/>
  <c r="I43" i="21" s="1"/>
  <c r="S33" i="21"/>
  <c r="X33" i="21" s="1"/>
  <c r="AY42" i="15"/>
  <c r="BH42" i="15"/>
  <c r="AL48" i="21"/>
  <c r="CA42" i="21"/>
  <c r="CA48" i="21" s="1"/>
  <c r="L47" i="21"/>
  <c r="S46" i="21"/>
  <c r="X46" i="21" s="1"/>
  <c r="AC46" i="21" s="1"/>
  <c r="I46" i="21" s="1"/>
  <c r="H43" i="20" s="1"/>
  <c r="H40" i="20" s="1"/>
  <c r="AZ42" i="21"/>
  <c r="BB47" i="21"/>
  <c r="Z42" i="21"/>
  <c r="D26" i="1"/>
  <c r="U42" i="21"/>
  <c r="U42" i="15"/>
  <c r="F40" i="20"/>
  <c r="R41" i="15"/>
  <c r="CU48" i="21"/>
  <c r="AQ36" i="15"/>
  <c r="AQ42" i="15" s="1"/>
  <c r="K48" i="21"/>
  <c r="O48" i="21"/>
  <c r="F22" i="20"/>
  <c r="J22" i="20" s="1"/>
  <c r="E18" i="1"/>
  <c r="F20" i="20"/>
  <c r="J20" i="20" s="1"/>
  <c r="E17" i="1"/>
  <c r="D17" i="1"/>
  <c r="DE35" i="15"/>
  <c r="CA36" i="15"/>
  <c r="BV42" i="15"/>
  <c r="K42" i="15"/>
  <c r="BQ35" i="15"/>
  <c r="CU36" i="15"/>
  <c r="CP42" i="15"/>
  <c r="R36" i="15"/>
  <c r="R42" i="15" s="1"/>
  <c r="O42" i="15"/>
  <c r="CK35" i="15"/>
  <c r="BG36" i="15"/>
  <c r="BB42" i="15"/>
  <c r="AW10" i="15"/>
  <c r="AR9" i="15"/>
  <c r="AW16" i="15"/>
  <c r="DE42" i="21" l="1"/>
  <c r="DE48" i="21" s="1"/>
  <c r="R47" i="21"/>
  <c r="R48" i="21"/>
  <c r="R42" i="21"/>
  <c r="CF42" i="21"/>
  <c r="CK42" i="21" s="1"/>
  <c r="CK48" i="21" s="1"/>
  <c r="BG47" i="21"/>
  <c r="BL47" i="21" s="1"/>
  <c r="BQ47" i="21" s="1"/>
  <c r="J43" i="20"/>
  <c r="J40" i="20"/>
  <c r="L42" i="21"/>
  <c r="U48" i="21"/>
  <c r="Z48" i="21"/>
  <c r="AZ48" i="21"/>
  <c r="BB48" i="21" s="1"/>
  <c r="BB42" i="21"/>
  <c r="BG42" i="21" s="1"/>
  <c r="AC33" i="21"/>
  <c r="CZ36" i="15"/>
  <c r="CU42" i="15"/>
  <c r="CF36" i="15"/>
  <c r="CA42" i="15"/>
  <c r="BL36" i="15"/>
  <c r="BG42" i="15"/>
  <c r="I10" i="15"/>
  <c r="F10" i="20" s="1"/>
  <c r="J10" i="20" s="1"/>
  <c r="I16" i="15"/>
  <c r="F16" i="20" s="1"/>
  <c r="J16" i="20" s="1"/>
  <c r="AW9" i="15"/>
  <c r="CF48" i="21" l="1"/>
  <c r="L48" i="21"/>
  <c r="BG48" i="21"/>
  <c r="BL42" i="21"/>
  <c r="I33" i="21"/>
  <c r="F9" i="20"/>
  <c r="J9" i="20" s="1"/>
  <c r="BQ36" i="15"/>
  <c r="BQ42" i="15" s="1"/>
  <c r="BL42" i="15"/>
  <c r="CK36" i="15"/>
  <c r="CK42" i="15" s="1"/>
  <c r="CF42" i="15"/>
  <c r="DE36" i="15"/>
  <c r="DE42" i="15" s="1"/>
  <c r="CZ42" i="15"/>
  <c r="I9" i="15"/>
  <c r="BQ42" i="21" l="1"/>
  <c r="BQ48" i="21" s="1"/>
  <c r="BL48" i="21"/>
  <c r="E7" i="4" l="1"/>
  <c r="E8" i="4"/>
  <c r="E9" i="4"/>
  <c r="E10" i="4"/>
  <c r="E11" i="4"/>
  <c r="E12" i="4"/>
  <c r="D24" i="7" l="1"/>
  <c r="D23" i="7"/>
  <c r="D22" i="7"/>
  <c r="D18" i="7"/>
  <c r="D17" i="7"/>
  <c r="D16" i="7"/>
  <c r="D6" i="7"/>
  <c r="D5" i="7"/>
  <c r="D4" i="7"/>
  <c r="D21" i="7"/>
  <c r="M13" i="4" s="1"/>
  <c r="D20" i="7"/>
  <c r="D19" i="7"/>
  <c r="D15" i="7"/>
  <c r="D14" i="7"/>
  <c r="D13" i="7"/>
  <c r="D12" i="7"/>
  <c r="D11" i="7"/>
  <c r="D10" i="7"/>
  <c r="D9" i="7"/>
  <c r="D8" i="7"/>
  <c r="M12" i="4" s="1"/>
  <c r="D7" i="7"/>
  <c r="M7" i="4" l="1"/>
  <c r="Q7" i="4" s="1"/>
  <c r="Q12" i="4"/>
  <c r="S12" i="4" s="1"/>
  <c r="N12" i="4"/>
  <c r="Q13" i="4"/>
  <c r="S13" i="4" s="1"/>
  <c r="N13" i="4"/>
  <c r="M6" i="4"/>
  <c r="K5" i="4"/>
  <c r="L5" i="4"/>
  <c r="N7" i="4" l="1"/>
  <c r="S7" i="4"/>
  <c r="Y27" i="21"/>
  <c r="Y25" i="15"/>
  <c r="Q6" i="4"/>
  <c r="N6" i="4"/>
  <c r="M5" i="4"/>
  <c r="V27" i="21" l="1"/>
  <c r="V25" i="15"/>
  <c r="Y15" i="15"/>
  <c r="Y8" i="15" s="1"/>
  <c r="Y33" i="15" s="1"/>
  <c r="AB25" i="15"/>
  <c r="AB15" i="15" s="1"/>
  <c r="AB8" i="15" s="1"/>
  <c r="AB27" i="21"/>
  <c r="AB16" i="21" s="1"/>
  <c r="AB8" i="21" s="1"/>
  <c r="Y16" i="21"/>
  <c r="Y8" i="21" s="1"/>
  <c r="S6" i="4"/>
  <c r="S5" i="4" s="1"/>
  <c r="M27" i="21"/>
  <c r="M25" i="15"/>
  <c r="N5" i="4"/>
  <c r="Q5" i="4"/>
  <c r="AF27" i="21"/>
  <c r="AF25" i="15"/>
  <c r="I37" i="15"/>
  <c r="D36" i="1" s="1"/>
  <c r="Y47" i="21" l="1"/>
  <c r="Y35" i="15"/>
  <c r="AB33" i="15"/>
  <c r="V15" i="15"/>
  <c r="V8" i="15" s="1"/>
  <c r="V33" i="15" s="1"/>
  <c r="W25" i="15"/>
  <c r="W15" i="15" s="1"/>
  <c r="W8" i="15" s="1"/>
  <c r="V16" i="21"/>
  <c r="V8" i="21" s="1"/>
  <c r="V47" i="21" s="1"/>
  <c r="W27" i="21"/>
  <c r="W16" i="21" s="1"/>
  <c r="W8" i="21" s="1"/>
  <c r="N25" i="15"/>
  <c r="M15" i="15"/>
  <c r="M8" i="15" s="1"/>
  <c r="M33" i="15" s="1"/>
  <c r="M16" i="21"/>
  <c r="M8" i="21" s="1"/>
  <c r="N27" i="21"/>
  <c r="AH27" i="21"/>
  <c r="AF16" i="21"/>
  <c r="AF8" i="21" s="1"/>
  <c r="AF15" i="15"/>
  <c r="AF8" i="15" s="1"/>
  <c r="AF33" i="15" s="1"/>
  <c r="AH25" i="15"/>
  <c r="E20" i="1"/>
  <c r="E13" i="1" s="1"/>
  <c r="E24" i="1" s="1"/>
  <c r="D20" i="1"/>
  <c r="D13" i="1" l="1"/>
  <c r="D24" i="1" s="1"/>
  <c r="V35" i="15"/>
  <c r="W33" i="15"/>
  <c r="Y41" i="15"/>
  <c r="AB35" i="15"/>
  <c r="V42" i="21"/>
  <c r="W47" i="21"/>
  <c r="Y42" i="21"/>
  <c r="AB47" i="21"/>
  <c r="N16" i="21"/>
  <c r="N8" i="21" s="1"/>
  <c r="N9" i="21" s="1"/>
  <c r="R9" i="21" s="1"/>
  <c r="W9" i="21" s="1"/>
  <c r="AB9" i="21" s="1"/>
  <c r="S27" i="21"/>
  <c r="M9" i="21"/>
  <c r="O9" i="21" s="1"/>
  <c r="P9" i="21" s="1"/>
  <c r="Q9" i="21" s="1"/>
  <c r="T9" i="21" s="1"/>
  <c r="U9" i="21" s="1"/>
  <c r="V9" i="21" s="1"/>
  <c r="Y9" i="21" s="1"/>
  <c r="Z9" i="21" s="1"/>
  <c r="AA9" i="21" s="1"/>
  <c r="M47" i="21"/>
  <c r="M35" i="15"/>
  <c r="N33" i="15"/>
  <c r="S33" i="15" s="1"/>
  <c r="N15" i="15"/>
  <c r="N8" i="15" s="1"/>
  <c r="S25" i="15"/>
  <c r="E28" i="1"/>
  <c r="E25" i="1"/>
  <c r="AF47" i="21"/>
  <c r="AF35" i="15"/>
  <c r="AH33" i="15"/>
  <c r="AM33" i="15" s="1"/>
  <c r="AR33" i="15" s="1"/>
  <c r="AW33" i="15" s="1"/>
  <c r="AH15" i="15"/>
  <c r="AH8" i="15" s="1"/>
  <c r="AM25" i="15"/>
  <c r="AM27" i="21"/>
  <c r="AH16" i="21"/>
  <c r="AH8" i="21" s="1"/>
  <c r="D25" i="1" l="1"/>
  <c r="D28" i="1"/>
  <c r="D29" i="1" s="1"/>
  <c r="X33" i="15"/>
  <c r="AC33" i="15" s="1"/>
  <c r="I33" i="15" s="1"/>
  <c r="AB42" i="21"/>
  <c r="Y48" i="21"/>
  <c r="AB48" i="21" s="1"/>
  <c r="V48" i="21"/>
  <c r="W48" i="21" s="1"/>
  <c r="W42" i="21"/>
  <c r="Y36" i="15"/>
  <c r="AB41" i="15"/>
  <c r="W35" i="15"/>
  <c r="V41" i="15"/>
  <c r="X25" i="15"/>
  <c r="S15" i="15"/>
  <c r="S8" i="15" s="1"/>
  <c r="M42" i="21"/>
  <c r="N47" i="21"/>
  <c r="S47" i="21" s="1"/>
  <c r="X47" i="21" s="1"/>
  <c r="AC47" i="21" s="1"/>
  <c r="N35" i="15"/>
  <c r="M41" i="15"/>
  <c r="X27" i="21"/>
  <c r="S16" i="21"/>
  <c r="S8" i="21" s="1"/>
  <c r="AR27" i="21"/>
  <c r="AM16" i="21"/>
  <c r="AM8" i="21" s="1"/>
  <c r="AH35" i="15"/>
  <c r="AF41" i="15"/>
  <c r="AR25" i="15"/>
  <c r="AM15" i="15"/>
  <c r="AM8" i="15" s="1"/>
  <c r="AF42" i="21"/>
  <c r="AH47" i="21"/>
  <c r="AM47" i="21" s="1"/>
  <c r="AR47" i="21" s="1"/>
  <c r="AW47" i="21" s="1"/>
  <c r="E29" i="1"/>
  <c r="V36" i="15" l="1"/>
  <c r="W41" i="15"/>
  <c r="AB36" i="15"/>
  <c r="AB42" i="15" s="1"/>
  <c r="Y42" i="15"/>
  <c r="M48" i="21"/>
  <c r="N48" i="21" s="1"/>
  <c r="N42" i="21"/>
  <c r="S42" i="21" s="1"/>
  <c r="X42" i="21" s="1"/>
  <c r="AC42" i="21" s="1"/>
  <c r="M36" i="15"/>
  <c r="N41" i="15"/>
  <c r="S41" i="15" s="1"/>
  <c r="AC27" i="21"/>
  <c r="AC16" i="21" s="1"/>
  <c r="AC8" i="21" s="1"/>
  <c r="AC9" i="21" s="1"/>
  <c r="X16" i="21"/>
  <c r="X8" i="21" s="1"/>
  <c r="I47" i="21"/>
  <c r="H44" i="20" s="1"/>
  <c r="H39" i="20" s="1"/>
  <c r="S9" i="21"/>
  <c r="S35" i="15"/>
  <c r="AC25" i="15"/>
  <c r="AC15" i="15" s="1"/>
  <c r="AC8" i="15" s="1"/>
  <c r="X15" i="15"/>
  <c r="X8" i="15" s="1"/>
  <c r="AF36" i="15"/>
  <c r="AH41" i="15"/>
  <c r="AM41" i="15" s="1"/>
  <c r="AR41" i="15" s="1"/>
  <c r="AW41" i="15" s="1"/>
  <c r="AF48" i="21"/>
  <c r="AH48" i="21" s="1"/>
  <c r="AH42" i="21"/>
  <c r="AM42" i="21" s="1"/>
  <c r="AR42" i="21" s="1"/>
  <c r="AW42" i="21" s="1"/>
  <c r="AM35" i="15"/>
  <c r="AW25" i="15"/>
  <c r="AR15" i="15"/>
  <c r="AR8" i="15" s="1"/>
  <c r="AW27" i="21"/>
  <c r="AR16" i="21"/>
  <c r="AR8" i="21" s="1"/>
  <c r="X41" i="15" l="1"/>
  <c r="AC41" i="15" s="1"/>
  <c r="I41" i="15" s="1"/>
  <c r="F44" i="20" s="1"/>
  <c r="V42" i="15"/>
  <c r="W36" i="15"/>
  <c r="W42" i="15" s="1"/>
  <c r="S48" i="21"/>
  <c r="AE9" i="21"/>
  <c r="AF9" i="21" s="1"/>
  <c r="AG9" i="21" s="1"/>
  <c r="AI9" i="21" s="1"/>
  <c r="AJ9" i="21" s="1"/>
  <c r="AK9" i="21" s="1"/>
  <c r="AN9" i="21" s="1"/>
  <c r="AO9" i="21" s="1"/>
  <c r="AP9" i="21" s="1"/>
  <c r="AS9" i="21" s="1"/>
  <c r="AT9" i="21" s="1"/>
  <c r="AU9" i="21" s="1"/>
  <c r="AH9" i="21"/>
  <c r="AL9" i="21" s="1"/>
  <c r="AQ9" i="21" s="1"/>
  <c r="AV9" i="21" s="1"/>
  <c r="M42" i="15"/>
  <c r="N36" i="15"/>
  <c r="AM9" i="21"/>
  <c r="X35" i="15"/>
  <c r="X9" i="21"/>
  <c r="X48" i="21"/>
  <c r="AC48" i="21"/>
  <c r="I42" i="21"/>
  <c r="I27" i="21"/>
  <c r="H26" i="20" s="1"/>
  <c r="H15" i="20" s="1"/>
  <c r="H8" i="20" s="1"/>
  <c r="AW16" i="21"/>
  <c r="AM48" i="21"/>
  <c r="AR48" i="21"/>
  <c r="AR9" i="21"/>
  <c r="I25" i="15"/>
  <c r="AW15" i="15"/>
  <c r="AW8" i="15" s="1"/>
  <c r="AR35" i="15"/>
  <c r="AF42" i="15"/>
  <c r="AH36" i="15"/>
  <c r="D37" i="1" l="1"/>
  <c r="D31" i="1" s="1"/>
  <c r="D32" i="1" s="1"/>
  <c r="AC35" i="15"/>
  <c r="S36" i="15"/>
  <c r="N42" i="15"/>
  <c r="AW8" i="21"/>
  <c r="I16" i="21"/>
  <c r="I8" i="21" s="1"/>
  <c r="I9" i="21" s="1"/>
  <c r="AM36" i="15"/>
  <c r="AH42" i="15"/>
  <c r="J44" i="20"/>
  <c r="F39" i="20"/>
  <c r="J39" i="20" s="1"/>
  <c r="F26" i="20"/>
  <c r="I15" i="15"/>
  <c r="I8" i="15" s="1"/>
  <c r="AW35" i="15"/>
  <c r="I35" i="15" l="1"/>
  <c r="E32" i="1"/>
  <c r="X36" i="15"/>
  <c r="S42" i="15"/>
  <c r="J26" i="20"/>
  <c r="F15" i="20"/>
  <c r="AR36" i="15"/>
  <c r="AM42" i="15"/>
  <c r="AW9" i="21"/>
  <c r="AW48" i="21"/>
  <c r="I48" i="21" s="1"/>
  <c r="H45" i="20" s="1"/>
  <c r="AC36" i="15" l="1"/>
  <c r="AC42" i="15" s="1"/>
  <c r="X42" i="15"/>
  <c r="AW36" i="15"/>
  <c r="AR42" i="15"/>
  <c r="J15" i="20"/>
  <c r="F8" i="20"/>
  <c r="J8" i="20" s="1"/>
  <c r="AY9" i="21"/>
  <c r="AZ9" i="21" s="1"/>
  <c r="BA9" i="21" s="1"/>
  <c r="BC9" i="21" s="1"/>
  <c r="BD9" i="21" s="1"/>
  <c r="BE9" i="21" s="1"/>
  <c r="BH9" i="21" s="1"/>
  <c r="BI9" i="21" s="1"/>
  <c r="BJ9" i="21" s="1"/>
  <c r="BM9" i="21" s="1"/>
  <c r="BN9" i="21" s="1"/>
  <c r="BO9" i="21" s="1"/>
  <c r="BB9" i="21"/>
  <c r="BF9" i="21" s="1"/>
  <c r="BK9" i="21" s="1"/>
  <c r="BP9" i="21" s="1"/>
  <c r="BQ9" i="21"/>
  <c r="BG9" i="21"/>
  <c r="BL9" i="21"/>
  <c r="CF9" i="21" l="1"/>
  <c r="CK9" i="21"/>
  <c r="BV9" i="21"/>
  <c r="BZ9" i="21" s="1"/>
  <c r="CE9" i="21" s="1"/>
  <c r="CJ9" i="21" s="1"/>
  <c r="BS9" i="21"/>
  <c r="BT9" i="21" s="1"/>
  <c r="BU9" i="21" s="1"/>
  <c r="BW9" i="21" s="1"/>
  <c r="BX9" i="21" s="1"/>
  <c r="BY9" i="21" s="1"/>
  <c r="CB9" i="21" s="1"/>
  <c r="CC9" i="21" s="1"/>
  <c r="CD9" i="21" s="1"/>
  <c r="CG9" i="21" s="1"/>
  <c r="CH9" i="21" s="1"/>
  <c r="CI9" i="21" s="1"/>
  <c r="CA9" i="21"/>
  <c r="AW42" i="15"/>
  <c r="I42" i="15" s="1"/>
  <c r="F45" i="20" s="1"/>
  <c r="I36" i="15"/>
  <c r="J45" i="20" l="1"/>
  <c r="CZ9" i="21"/>
  <c r="CU9" i="21"/>
  <c r="CP9" i="21"/>
  <c r="CT9" i="21" s="1"/>
  <c r="CY9" i="21" s="1"/>
  <c r="DD9" i="21" s="1"/>
  <c r="DE9" i="21"/>
  <c r="CM9" i="21"/>
  <c r="CN9" i="21" s="1"/>
  <c r="CO9" i="21" s="1"/>
  <c r="CQ9" i="21" s="1"/>
  <c r="CR9" i="21" s="1"/>
  <c r="CS9" i="21" s="1"/>
  <c r="CV9" i="21" s="1"/>
  <c r="CW9" i="21" s="1"/>
  <c r="CX9" i="21" s="1"/>
  <c r="DA9" i="21" s="1"/>
  <c r="DB9" i="21" s="1"/>
  <c r="DC9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Скребнев Сергей Владимирович</author>
  </authors>
  <commentList>
    <comment ref="A22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БГ на возврат авансового платежа, БГ на исполнение договора и т.д.</t>
        </r>
      </text>
    </comment>
    <comment ref="A27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Конкурсные БГ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Скребнев Сергей Владимирович</author>
  </authors>
  <commentList>
    <comment ref="J16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В ДДС НДФЛ по ГПХ распределяется на отдельную статью "20 ФОТ - НДФЛ".</t>
        </r>
      </text>
    </comment>
    <comment ref="J17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В ДДС НДФЛ по ГПХ распределяется на отдельную статью "20 ФОТ - НДФЛ".</t>
        </r>
      </text>
    </comment>
    <comment ref="J18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204"/>
          </rPr>
          <t>В ДДС НДФЛ по ГПХ распределяется на отдельную статью "20 ФОТ - НДФЛ".</t>
        </r>
      </text>
    </comment>
    <comment ref="J19" authorId="0" shapeId="0" xr:uid="{00000000-0006-0000-0200-000004000000}">
      <text>
        <r>
          <rPr>
            <b/>
            <sz val="9"/>
            <color indexed="81"/>
            <rFont val="Tahoma"/>
            <family val="2"/>
            <charset val="204"/>
          </rPr>
          <t>В ДДС НДФЛ по собственным сотрудникам распределяется на отдельную статью "20 ФОТ - НДФЛ".</t>
        </r>
      </text>
    </comment>
    <comment ref="J21" authorId="0" shapeId="0" xr:uid="{00000000-0006-0000-0200-000005000000}">
      <text>
        <r>
          <rPr>
            <b/>
            <sz val="9"/>
            <color indexed="81"/>
            <rFont val="Tahoma"/>
            <family val="2"/>
            <charset val="204"/>
          </rPr>
          <t>В ДДС НДФЛ по собственным сотрудникам и ГПХ распределяется на отдельную статью "20 ФОТ - НДФЛ".</t>
        </r>
      </text>
    </comment>
  </commentList>
</comments>
</file>

<file path=xl/sharedStrings.xml><?xml version="1.0" encoding="utf-8"?>
<sst xmlns="http://schemas.openxmlformats.org/spreadsheetml/2006/main" count="2046" uniqueCount="535">
  <si>
    <t>Заказчик</t>
  </si>
  <si>
    <t>Продуктовое направление</t>
  </si>
  <si>
    <t>ПЭС</t>
  </si>
  <si>
    <t>ПСК</t>
  </si>
  <si>
    <t>МЭС</t>
  </si>
  <si>
    <t>ОЭ</t>
  </si>
  <si>
    <t>Томск</t>
  </si>
  <si>
    <t>РЦ</t>
  </si>
  <si>
    <t>Омск</t>
  </si>
  <si>
    <t>Орел</t>
  </si>
  <si>
    <t>МОЭСК</t>
  </si>
  <si>
    <t>Сопровождение</t>
  </si>
  <si>
    <t>№ договора</t>
  </si>
  <si>
    <t>Вид деятельности</t>
  </si>
  <si>
    <t>Проект</t>
  </si>
  <si>
    <t>Сроки выполнения работ</t>
  </si>
  <si>
    <t>Командировки</t>
  </si>
  <si>
    <t>Категория исполнителей</t>
  </si>
  <si>
    <t>Кол-во исполнителей</t>
  </si>
  <si>
    <t>Стоимость билетов</t>
  </si>
  <si>
    <t>Проживание</t>
  </si>
  <si>
    <t>Суточные</t>
  </si>
  <si>
    <t>Комментарий</t>
  </si>
  <si>
    <t>Кол-во командировок</t>
  </si>
  <si>
    <t>Длительность</t>
  </si>
  <si>
    <t>Город</t>
  </si>
  <si>
    <t>Москва</t>
  </si>
  <si>
    <t>Сотрудник</t>
  </si>
  <si>
    <t>Биллинг ФЛ</t>
  </si>
  <si>
    <t>Биллинг ЮЛ</t>
  </si>
  <si>
    <t>Заказная разработка</t>
  </si>
  <si>
    <t>ПАК и инфраструктура</t>
  </si>
  <si>
    <t>Управление закупками</t>
  </si>
  <si>
    <t>Управление энергоданными</t>
  </si>
  <si>
    <t>МРСК Урала</t>
  </si>
  <si>
    <t>Продукт</t>
  </si>
  <si>
    <t>Директор</t>
  </si>
  <si>
    <t>Менеджер</t>
  </si>
  <si>
    <t>Стоимость проезда в обе стороны</t>
  </si>
  <si>
    <t>Месяц</t>
  </si>
  <si>
    <t>МЭС ЕБ внедрение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</si>
  <si>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</si>
  <si>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</si>
  <si>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</si>
  <si>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</si>
  <si>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</si>
  <si>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</si>
  <si>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</si>
  <si>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</si>
  <si>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</si>
  <si>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Саратов</t>
  </si>
  <si>
    <t>Уфа</t>
  </si>
  <si>
    <t>Октябрь</t>
  </si>
  <si>
    <t>Ноябрь</t>
  </si>
  <si>
    <t>Декабрь</t>
  </si>
  <si>
    <t>БашРТС</t>
  </si>
  <si>
    <t>Итого:</t>
  </si>
  <si>
    <t>БашРТС Биллинговая система внедрение</t>
  </si>
  <si>
    <t>ИРАО ИТ Аудит инф. безопасность</t>
  </si>
  <si>
    <t>ИРАО ИТ ЕИСЗ сопровождение</t>
  </si>
  <si>
    <t>МОЭСК сопровождение системы подготовки ТУ на ТП</t>
  </si>
  <si>
    <t>МРСК Урала SAP Лицензии и ТП</t>
  </si>
  <si>
    <t>МРСК Урала МСФО внедрение</t>
  </si>
  <si>
    <t>МЭС Сайт сопровождение</t>
  </si>
  <si>
    <t>Орел ЕБ сопровождение</t>
  </si>
  <si>
    <t>ОЭ Сопровождение комплексное обслуживание</t>
  </si>
  <si>
    <t>ОЭК ЕБ сопровождение</t>
  </si>
  <si>
    <t>ОЭК ИАС развитие</t>
  </si>
  <si>
    <t>ОЭК ИАС сопровождение</t>
  </si>
  <si>
    <t>ОЭК ИСУСЭ развитие</t>
  </si>
  <si>
    <t>ОЭК ИСУСЭ сопровождение</t>
  </si>
  <si>
    <t>ПСК ЕБ внедрение</t>
  </si>
  <si>
    <t>ПСК ИВО сопровождение ПАК</t>
  </si>
  <si>
    <t>ПСК ИКУС развитие</t>
  </si>
  <si>
    <t>ПЭС АСКИП сопровождение</t>
  </si>
  <si>
    <t>ПЭС Единая ферма виртуализации ТС создание</t>
  </si>
  <si>
    <t>ПЭС Единая ферма виртуализации ТС сопровождение</t>
  </si>
  <si>
    <t>ПЭС ИКУС развитие</t>
  </si>
  <si>
    <t>ПЭС ИКУС сопровождение ПАК тест. стенд</t>
  </si>
  <si>
    <t>ПЭС ИС ПЭС (ТП, ПАК) сопровождение</t>
  </si>
  <si>
    <t>ПЭС ИСУСЭ развитие</t>
  </si>
  <si>
    <t>ПЭС ИСУСЭ сопровождение ПАК тест. стенд</t>
  </si>
  <si>
    <t>ПЭС ПУМА сопровождение</t>
  </si>
  <si>
    <t>ПЭС САО, Naumen сопровождение</t>
  </si>
  <si>
    <t>РЦ Обслуживание инфраструктуры сопровождение</t>
  </si>
  <si>
    <t>РЦ СВТ сопровождение</t>
  </si>
  <si>
    <t>Томск ЕБ внедрение</t>
  </si>
  <si>
    <t>МЭС ИАС развитие</t>
  </si>
  <si>
    <t>МЭС Предбиллинг развитие</t>
  </si>
  <si>
    <t>МЭС Предбиллинг сопровождение</t>
  </si>
  <si>
    <t>ОЭК ИКУС развитие</t>
  </si>
  <si>
    <t>ОЭК ИКУС сопровождение</t>
  </si>
  <si>
    <t>ПСК ПАК ИАС создание</t>
  </si>
  <si>
    <t>Этапы/Работы/Требования</t>
  </si>
  <si>
    <t>МЭС ИАС внедрение</t>
  </si>
  <si>
    <t>ОЭК ЕБ внедрение</t>
  </si>
  <si>
    <t>ОЭК ЕБ развитие</t>
  </si>
  <si>
    <t>ПЭС Единая ферма виртуализации ПС создание</t>
  </si>
  <si>
    <t>СИГМА Инвест</t>
  </si>
  <si>
    <t>СИГМА сопровождение инфраструктуры</t>
  </si>
  <si>
    <t>СИГМА</t>
  </si>
  <si>
    <t>Информационно-аналитические системы</t>
  </si>
  <si>
    <t>ИКУС</t>
  </si>
  <si>
    <t>АСКИП</t>
  </si>
  <si>
    <t>ИС ПЭС</t>
  </si>
  <si>
    <t>ПУМА</t>
  </si>
  <si>
    <t>Внутренний</t>
  </si>
  <si>
    <t>Соловьева Елизавета Владимировна</t>
  </si>
  <si>
    <t>Буркат Марина Александровна</t>
  </si>
  <si>
    <t>Пестунов Александр Владиславович</t>
  </si>
  <si>
    <t>Равикович Наталья Феликсовна</t>
  </si>
  <si>
    <t>Шушин Сергей Андреевич</t>
  </si>
  <si>
    <t>Третьяков Ярослав Юрьевич</t>
  </si>
  <si>
    <t>Ильюшко Ирина Станиславовна</t>
  </si>
  <si>
    <t>Зуев Андрей Константинович</t>
  </si>
  <si>
    <t>Зайков Александр Николаевич</t>
  </si>
  <si>
    <t>Лапин Александр Владимирович</t>
  </si>
  <si>
    <t>Корбут Анастасия Валерьевна</t>
  </si>
  <si>
    <t>Котов Дмитрий Анатольевич</t>
  </si>
  <si>
    <t>Коновалов Дмитрий Евгеньевич</t>
  </si>
  <si>
    <t>Бояренко Виталий Олегович</t>
  </si>
  <si>
    <t>Пружина Александр Александрович</t>
  </si>
  <si>
    <t>Туричев Кирилл Викторович</t>
  </si>
  <si>
    <t>Оценка трудоемкости</t>
  </si>
  <si>
    <t>Внедрение и развитие</t>
  </si>
  <si>
    <t>Руководитель проекта</t>
  </si>
  <si>
    <t>ИРИТ</t>
  </si>
  <si>
    <t>ОЭК</t>
  </si>
  <si>
    <t>Внешние ТМЦ и НМА</t>
  </si>
  <si>
    <t>Интеграция</t>
  </si>
  <si>
    <t>Продукт2</t>
  </si>
  <si>
    <t>Наименование</t>
  </si>
  <si>
    <t>-</t>
  </si>
  <si>
    <t>ИРАО ИТ АСКП BI разработка</t>
  </si>
  <si>
    <t>ИРАО ИТ ЕИСЗ перевод на открытое ПО</t>
  </si>
  <si>
    <t>МОЭСК обеспечение горячего резервирования</t>
  </si>
  <si>
    <t>МОЭСК сопровождение EMC Documentum</t>
  </si>
  <si>
    <t>МОЭСК тиражирование АС ТУ на ТП</t>
  </si>
  <si>
    <t>МРСК Урала SAP ERP модернизация</t>
  </si>
  <si>
    <t>Торговая деятельность</t>
  </si>
  <si>
    <t>МРСК Урала инвестиционная деятельность</t>
  </si>
  <si>
    <t>МЭС ИАС сопровождение</t>
  </si>
  <si>
    <t>МЭС поставка Exadata</t>
  </si>
  <si>
    <t>МЭС Предбиллинг внедрение</t>
  </si>
  <si>
    <t>МЭС Предбиллинг лицензии</t>
  </si>
  <si>
    <t>МЭС ЭАД создание</t>
  </si>
  <si>
    <t>ОЭК ИСУСЭ внедрение</t>
  </si>
  <si>
    <t>ОЭК ИСУСЭ, ИАС ПАК сопровождение</t>
  </si>
  <si>
    <t>ОЭК ИСУСЭ, ИАС ПАК ТС сопровождение</t>
  </si>
  <si>
    <t>ПСК БСРЮЛ развитие</t>
  </si>
  <si>
    <t>ПСК БСРЮЛ сопровождение</t>
  </si>
  <si>
    <t>ПСК ИАС развитие</t>
  </si>
  <si>
    <t>ПСК ИАС сопровождение</t>
  </si>
  <si>
    <t>ПСК ИКУС сопровождение</t>
  </si>
  <si>
    <t>ПСК ИСУСЭ развитие</t>
  </si>
  <si>
    <t>ПСК ИСУСЭ сопровождение</t>
  </si>
  <si>
    <t>ПСК САО, Naumen сопровождение</t>
  </si>
  <si>
    <t>ПЭС ИКУС, ПАК сопровождение</t>
  </si>
  <si>
    <t>ПЭС ИСУСЭ Подсистема ДЗ развитие</t>
  </si>
  <si>
    <t>ПЭС ИСУСЭ Подсистема ДЗ сопровождение</t>
  </si>
  <si>
    <t>ПЭС ИСУСЭ, ПАК сопровождение</t>
  </si>
  <si>
    <t>СИГМА Отпуск</t>
  </si>
  <si>
    <t>Селиверстова Елена Александровна</t>
  </si>
  <si>
    <t>СИГМА развитие системы бюджетирования</t>
  </si>
  <si>
    <t>Томск ЕБ сопровождение</t>
  </si>
  <si>
    <t>Екатеринбург</t>
  </si>
  <si>
    <t>Нормативные расходы</t>
  </si>
  <si>
    <t>Дата составления сметы</t>
  </si>
  <si>
    <t>без НДС</t>
  </si>
  <si>
    <t>с НДС</t>
  </si>
  <si>
    <t>Бюджет проекта</t>
  </si>
  <si>
    <t>ФОТ проекта</t>
  </si>
  <si>
    <t>_ _</t>
  </si>
  <si>
    <t>Дата</t>
  </si>
  <si>
    <t>Контрагент</t>
  </si>
  <si>
    <t>Ответственный</t>
  </si>
  <si>
    <t>Статья</t>
  </si>
  <si>
    <t>202056 Закупка ПО</t>
  </si>
  <si>
    <t>201047 Внедрение ИТ-услуг</t>
  </si>
  <si>
    <t>202047 Внедрение ИТ-услуг</t>
  </si>
  <si>
    <t>201077 Сопровождение ИТ-услуг</t>
  </si>
  <si>
    <t>202077 Сопровождение ИТ-услуг</t>
  </si>
  <si>
    <t>Вид</t>
  </si>
  <si>
    <t>Поставка</t>
  </si>
  <si>
    <t>Закупка</t>
  </si>
  <si>
    <t>Внедрение. Доход</t>
  </si>
  <si>
    <t>Внедрение. Расход</t>
  </si>
  <si>
    <t>Сопровождение. Доход</t>
  </si>
  <si>
    <t>Сопровождение. Расход</t>
  </si>
  <si>
    <t>Тип дней</t>
  </si>
  <si>
    <t>Банковские</t>
  </si>
  <si>
    <t>Календарные</t>
  </si>
  <si>
    <t>201057 Поставка ПО</t>
  </si>
  <si>
    <t>Отчет о прибылях и убытках</t>
  </si>
  <si>
    <t>Выручка</t>
  </si>
  <si>
    <t>Себестоимость</t>
  </si>
  <si>
    <t>Ключ</t>
  </si>
  <si>
    <t>Код статьи</t>
  </si>
  <si>
    <t>Наименование проекта</t>
  </si>
  <si>
    <t>Статья БДР</t>
  </si>
  <si>
    <t>ИТОГО</t>
  </si>
  <si>
    <t>план</t>
  </si>
  <si>
    <t>201051 Поставка оборудования</t>
  </si>
  <si>
    <t>Поставка оборудования</t>
  </si>
  <si>
    <t>Сопровождение ИТ-услуг</t>
  </si>
  <si>
    <t>Внедрение ИТ-услуг</t>
  </si>
  <si>
    <t>Поставка ПО</t>
  </si>
  <si>
    <t>201900 Прочее</t>
  </si>
  <si>
    <t>Прочее</t>
  </si>
  <si>
    <t>Закупка ПО</t>
  </si>
  <si>
    <t>203181 20 ФОТ - Оплата труда - Окладная часть</t>
  </si>
  <si>
    <t>20 ФОТ - Оплата труда - Окладная часть</t>
  </si>
  <si>
    <t>203182 20 ФОТ - Оплата труда - Премиальная часть</t>
  </si>
  <si>
    <t>20 ФОТ - Оплата труда - Премиальная часть</t>
  </si>
  <si>
    <t>203150 20 ФОТ - Страховые взносы</t>
  </si>
  <si>
    <t>20 ФОТ - Страховые взносы</t>
  </si>
  <si>
    <t>203031 20 Командировочные расходы - Суточные</t>
  </si>
  <si>
    <t>20 Командировочные расходы - Суточные</t>
  </si>
  <si>
    <t>203032 20 Командировочные расходы - Проживание</t>
  </si>
  <si>
    <t>20 Командировочные расходы - Проживание</t>
  </si>
  <si>
    <t>203033 20 Командировочные расходы - Транспорт</t>
  </si>
  <si>
    <t>20 Командировочные расходы - Транспорт</t>
  </si>
  <si>
    <t>203034 20 Командировочные расходы - Прочее</t>
  </si>
  <si>
    <t>20 Командировочные расходы - Прочее</t>
  </si>
  <si>
    <t>203120 20 Материальные расходы</t>
  </si>
  <si>
    <t>20 Материальные расходы</t>
  </si>
  <si>
    <t>202900 20 Прочие расходы</t>
  </si>
  <si>
    <t>20 Прочие расходы</t>
  </si>
  <si>
    <t>Проверка</t>
  </si>
  <si>
    <t>Период</t>
  </si>
  <si>
    <t>Ставка НДС</t>
  </si>
  <si>
    <t>Сумма без НДС</t>
  </si>
  <si>
    <t>Сумма с НДС</t>
  </si>
  <si>
    <t xml:space="preserve">1 кв. </t>
  </si>
  <si>
    <t xml:space="preserve">2 кв. </t>
  </si>
  <si>
    <t xml:space="preserve">6 мес. </t>
  </si>
  <si>
    <t xml:space="preserve">3 кв. </t>
  </si>
  <si>
    <t xml:space="preserve">9 мес. </t>
  </si>
  <si>
    <t xml:space="preserve">4 кв. </t>
  </si>
  <si>
    <t>янв.</t>
  </si>
  <si>
    <t>фев.</t>
  </si>
  <si>
    <t>мар.</t>
  </si>
  <si>
    <t>апр.</t>
  </si>
  <si>
    <t>май.</t>
  </si>
  <si>
    <t>июн.</t>
  </si>
  <si>
    <t>июл.</t>
  </si>
  <si>
    <t>авг.</t>
  </si>
  <si>
    <t>сен.</t>
  </si>
  <si>
    <t>окт.</t>
  </si>
  <si>
    <t>ноя.</t>
  </si>
  <si>
    <t>дек.</t>
  </si>
  <si>
    <t xml:space="preserve"> год</t>
  </si>
  <si>
    <t>Валовая прибыль</t>
  </si>
  <si>
    <t>Наименование справочника</t>
  </si>
  <si>
    <t>Наименование статьи</t>
  </si>
  <si>
    <t>Код + наименование статьи</t>
  </si>
  <si>
    <t>Знак</t>
  </si>
  <si>
    <t>Поступления по проектам</t>
  </si>
  <si>
    <t>+</t>
  </si>
  <si>
    <t>Расходования по проектам</t>
  </si>
  <si>
    <t>Комиссия за выдачу конкурсных БГ</t>
  </si>
  <si>
    <t>255190 Комиссия за выдачу конкурсных БГ</t>
  </si>
  <si>
    <t>Оплата процентов по кредиту</t>
  </si>
  <si>
    <t>802232 Оплата процентов по кредиту</t>
  </si>
  <si>
    <t>НДС</t>
  </si>
  <si>
    <t>Налог на прибыль</t>
  </si>
  <si>
    <t>Код</t>
  </si>
  <si>
    <t>По кварталам</t>
  </si>
  <si>
    <t>По кварталам накопленным итогом</t>
  </si>
  <si>
    <t>Все</t>
  </si>
  <si>
    <t>Сумма НДС</t>
  </si>
  <si>
    <t>НДС с реализации</t>
  </si>
  <si>
    <t>НДС с поставщиков</t>
  </si>
  <si>
    <t>Прибыль по проекту</t>
  </si>
  <si>
    <t>Налоги</t>
  </si>
  <si>
    <t>НДС с накладных</t>
  </si>
  <si>
    <t>Накладные расходы</t>
  </si>
  <si>
    <t>Командировочные расходы</t>
  </si>
  <si>
    <t>Операционная прибыль</t>
  </si>
  <si>
    <t>205190 20 Комиссия за выдачу БГ</t>
  </si>
  <si>
    <t>20 Комиссия за выдачу БГ</t>
  </si>
  <si>
    <t>Движение денежных средств</t>
  </si>
  <si>
    <t>801192 Поступление кредитов</t>
  </si>
  <si>
    <t>802192 Возврат кредитов</t>
  </si>
  <si>
    <t>ФД_Поступления</t>
  </si>
  <si>
    <t>ФД_Расходования</t>
  </si>
  <si>
    <t>Статьи для ДДС</t>
  </si>
  <si>
    <t>Поступление кредитов</t>
  </si>
  <si>
    <t>Возврат кредитов</t>
  </si>
  <si>
    <t>Отток денежных средств</t>
  </si>
  <si>
    <t>ДП по финансовой деятельности</t>
  </si>
  <si>
    <t>Поступления по финансовой деятельности</t>
  </si>
  <si>
    <t>Расходования по финансовой деятельности</t>
  </si>
  <si>
    <t>Поступление</t>
  </si>
  <si>
    <t>Расходование</t>
  </si>
  <si>
    <t xml:space="preserve"> Должность (специальность, профессия), разряд, класс (категория) квалификации</t>
  </si>
  <si>
    <t>Ф.И.О.</t>
  </si>
  <si>
    <t>Ведущий специалист</t>
  </si>
  <si>
    <t>Старший специалист</t>
  </si>
  <si>
    <t>Руководитель направления</t>
  </si>
  <si>
    <t>Цыбульская Валерия Михайловна</t>
  </si>
  <si>
    <t>Ведущий инженер</t>
  </si>
  <si>
    <t>Инженер</t>
  </si>
  <si>
    <t>Старший аналитик</t>
  </si>
  <si>
    <t>Ведущий разработчик-эксперт</t>
  </si>
  <si>
    <t>Старший разработчик</t>
  </si>
  <si>
    <t>Средний ФОТ по должностям</t>
  </si>
  <si>
    <t>ФИО сотрудника</t>
  </si>
  <si>
    <t>Средняя ЗП</t>
  </si>
  <si>
    <t>Среднемесячная ЗП</t>
  </si>
  <si>
    <t>Итого трудоемкость (ЧД)</t>
  </si>
  <si>
    <t>месяц</t>
  </si>
  <si>
    <t>Январь_2019</t>
  </si>
  <si>
    <t>Февраль_2019</t>
  </si>
  <si>
    <t>Март_2019</t>
  </si>
  <si>
    <t>Апрель_2019</t>
  </si>
  <si>
    <t>Май_2019</t>
  </si>
  <si>
    <t>Июнь_2019</t>
  </si>
  <si>
    <t>Июль_2019</t>
  </si>
  <si>
    <t>Август_2019</t>
  </si>
  <si>
    <t>Сентябрь_2019</t>
  </si>
  <si>
    <t>Октябрь_2019</t>
  </si>
  <si>
    <t>Ноябрь_2019</t>
  </si>
  <si>
    <t>Декабрь_2019</t>
  </si>
  <si>
    <t>Январь_2020</t>
  </si>
  <si>
    <t>Февраль_2020</t>
  </si>
  <si>
    <t>Март_2020</t>
  </si>
  <si>
    <t>Апрель_2020</t>
  </si>
  <si>
    <t>Май_2020</t>
  </si>
  <si>
    <t>Июнь_2020</t>
  </si>
  <si>
    <t>Июль_2020</t>
  </si>
  <si>
    <t>Август_2020</t>
  </si>
  <si>
    <t>Сентябрь_2020</t>
  </si>
  <si>
    <t>Октябрь_2020</t>
  </si>
  <si>
    <t>Ноябрь_2020</t>
  </si>
  <si>
    <t>кол-во раб. Дней</t>
  </si>
  <si>
    <t>Мес</t>
  </si>
  <si>
    <t>Кол-во раб дней в мес</t>
  </si>
  <si>
    <t>Признак ГПХ</t>
  </si>
  <si>
    <t>Проценты по кредитам и займам</t>
  </si>
  <si>
    <t>Прибыль (убыток) до налогообложения</t>
  </si>
  <si>
    <t>Чистая прибыль (убыток)</t>
  </si>
  <si>
    <t>ИТОГО ДДС</t>
  </si>
  <si>
    <t>ИТОГО БДР</t>
  </si>
  <si>
    <t>Отклонение</t>
  </si>
  <si>
    <t>Сальдо по проекту</t>
  </si>
  <si>
    <t>Период для формирования БДР и ДДС</t>
  </si>
  <si>
    <t>Кол-во рбочих дней в месяце для оценки трудоемкости</t>
  </si>
  <si>
    <t>Проверка итогов БДР и ДДС</t>
  </si>
  <si>
    <t>п.п.</t>
  </si>
  <si>
    <t>1.</t>
  </si>
  <si>
    <t>2.</t>
  </si>
  <si>
    <t>3.</t>
  </si>
  <si>
    <t>4.</t>
  </si>
  <si>
    <t>5.</t>
  </si>
  <si>
    <t>6.</t>
  </si>
  <si>
    <t>7.</t>
  </si>
  <si>
    <t>Наименование листа</t>
  </si>
  <si>
    <t>Описание листа</t>
  </si>
  <si>
    <t>Ссылка</t>
  </si>
  <si>
    <t>Навигация по листам</t>
  </si>
  <si>
    <t>Карточка проекта</t>
  </si>
  <si>
    <t>БДР</t>
  </si>
  <si>
    <t>БДР_Выручка</t>
  </si>
  <si>
    <t>БДР_Себестоимость и Расходы</t>
  </si>
  <si>
    <t>ДДС</t>
  </si>
  <si>
    <t>ДДС_Поступление</t>
  </si>
  <si>
    <t>ДДС_Расходование</t>
  </si>
  <si>
    <t>8.</t>
  </si>
  <si>
    <t>9.</t>
  </si>
  <si>
    <t>10.</t>
  </si>
  <si>
    <t>Ссылка на лист</t>
  </si>
  <si>
    <t>Проверка итогов по БДР и ДДС</t>
  </si>
  <si>
    <t>Лист для расчета трудоемкости по проекту</t>
  </si>
  <si>
    <t>Лист для расчета расходов на команлировки по проекту</t>
  </si>
  <si>
    <t>Бюджет доходов и расходов по проекту</t>
  </si>
  <si>
    <t>Форма для ввода данных по поступлений по проекту для формирования ДДС</t>
  </si>
  <si>
    <t>Форма для ввода данных по себестоимости и расходам по проекту для формирования БДР</t>
  </si>
  <si>
    <t>Форма для ввода данных по выручке по проекту для формирования БДР</t>
  </si>
  <si>
    <t>Бюджет движения денежных средств</t>
  </si>
  <si>
    <t>Форма для ввода данных по расходованиям по проекту для формирования ДДС</t>
  </si>
  <si>
    <t>ПАСПОРТ ПРОЕКТА</t>
  </si>
  <si>
    <t>Себестоимость и расходы</t>
  </si>
  <si>
    <t>Договор ГПХ</t>
  </si>
  <si>
    <t>ФОТ - Оплата труда</t>
  </si>
  <si>
    <t>ФОТ - Страховые взносы</t>
  </si>
  <si>
    <t>Материальные расходы</t>
  </si>
  <si>
    <t>Комиссия за выдачу БГ</t>
  </si>
  <si>
    <t>Прочие расходы</t>
  </si>
  <si>
    <t>Затраты на договоры ГПХ</t>
  </si>
  <si>
    <t>Затраты на субподряд, в т.ч.</t>
  </si>
  <si>
    <t>Основные затраты на субподряд</t>
  </si>
  <si>
    <t>Справочно:</t>
  </si>
  <si>
    <t>Операционная прибыль (EBIT)</t>
  </si>
  <si>
    <t>Валовая прибыль (Gross Profit)</t>
  </si>
  <si>
    <t>Валовая рентабельность (Gross Margin)</t>
  </si>
  <si>
    <t>Итого ФОТ:</t>
  </si>
  <si>
    <t>Итого страховые взносы:</t>
  </si>
  <si>
    <t>Стоимость 1 командировки</t>
  </si>
  <si>
    <t>Итого суточные</t>
  </si>
  <si>
    <t>Итого проживание</t>
  </si>
  <si>
    <t>Итого стоимость билетов</t>
  </si>
  <si>
    <t>Итого стоимость командировок</t>
  </si>
  <si>
    <t>Чистая прибыль (Net income)</t>
  </si>
  <si>
    <t>Чистая рентабельность (Net Margin)</t>
  </si>
  <si>
    <t>Операционная рентабельность (EBIT Margin)</t>
  </si>
  <si>
    <t>Привлекаемые кредитные средства</t>
  </si>
  <si>
    <t>Проверка разнесения</t>
  </si>
  <si>
    <t>Страховые взносы</t>
  </si>
  <si>
    <t>Договоры ГПХ</t>
  </si>
  <si>
    <t>Сумма Итого</t>
  </si>
  <si>
    <t>20 ФОТ - НДФЛ</t>
  </si>
  <si>
    <t>203140</t>
  </si>
  <si>
    <t>203140 20 ФОТ - НДФЛ</t>
  </si>
  <si>
    <t>Итого НДФЛ:</t>
  </si>
  <si>
    <t>Итого стоимость работников:</t>
  </si>
  <si>
    <t>11.</t>
  </si>
  <si>
    <t>Лист для расходов на сотрудников с договором ГПХ</t>
  </si>
  <si>
    <t>203010 20 Аренда помещений</t>
  </si>
  <si>
    <t>20 Аренда помещений</t>
  </si>
  <si>
    <t>ДП по основной деятельности за период</t>
  </si>
  <si>
    <t>ДП по основной деятельности накопленным итогом</t>
  </si>
  <si>
    <t>Чистый денежный поток за период</t>
  </si>
  <si>
    <t>Аренда помещений</t>
  </si>
  <si>
    <t>Департамент/Отдел/Направление</t>
  </si>
  <si>
    <t>Департамент поддержки бизнес-приложений</t>
  </si>
  <si>
    <t>ПЭС Линейная работа создание</t>
  </si>
  <si>
    <t>ПЭК</t>
  </si>
  <si>
    <t>ПСК ИСУСЭ объединение</t>
  </si>
  <si>
    <t>Наумен ИСУСЭ взаимодействие с IVR</t>
  </si>
  <si>
    <t>ПЭС ИСУСЭ модернизация ПАК</t>
  </si>
  <si>
    <t>ПСК ИСУСЭ Списание ДЗ</t>
  </si>
  <si>
    <t>ИРАО ИТ АСУД внедрение</t>
  </si>
  <si>
    <t>Версия</t>
  </si>
  <si>
    <t>SAP</t>
  </si>
  <si>
    <t>Январь_2023</t>
  </si>
  <si>
    <t>Февраль_2023</t>
  </si>
  <si>
    <t>Март_2023</t>
  </si>
  <si>
    <t>Апрель_2023</t>
  </si>
  <si>
    <t>Май_2023</t>
  </si>
  <si>
    <t>Июнь_2023</t>
  </si>
  <si>
    <t>Июль_2023</t>
  </si>
  <si>
    <t>Август_2023</t>
  </si>
  <si>
    <t>Сентябрь_2023</t>
  </si>
  <si>
    <t>Октябрь_2023</t>
  </si>
  <si>
    <t>Ноябрь_2023</t>
  </si>
  <si>
    <t>Декабрь_2023</t>
  </si>
  <si>
    <t>Вакансия ведущий разработчик-эксперт 4</t>
  </si>
  <si>
    <t>Департамент прикладных решений</t>
  </si>
  <si>
    <t>Вакансия ведущий разработчик-эксперт BI</t>
  </si>
  <si>
    <t>Департамент поддержки инфраструктурных решений</t>
  </si>
  <si>
    <t>Вакансия ведущий специалист 1</t>
  </si>
  <si>
    <t>Вакансия дежурный инженер 1</t>
  </si>
  <si>
    <t>Вакансия дежурный инженер 2</t>
  </si>
  <si>
    <t>Вакансия инженер 1</t>
  </si>
  <si>
    <t>Вакансия инженер 2</t>
  </si>
  <si>
    <t>Вакансия инженер 4</t>
  </si>
  <si>
    <t>Вакансия инженер НТП</t>
  </si>
  <si>
    <t>Департамент биллинговых решений</t>
  </si>
  <si>
    <t>Вакансия старший аналитик BI</t>
  </si>
  <si>
    <t>Вакансия старший разработчик BI</t>
  </si>
  <si>
    <t>Вакансия старший специалист 1</t>
  </si>
  <si>
    <t>Вакансия старший специалист 2</t>
  </si>
  <si>
    <t>Вакансия старший специалист 3</t>
  </si>
  <si>
    <t xml:space="preserve">ООО </t>
  </si>
  <si>
    <t>Пример проекта</t>
  </si>
  <si>
    <t>Ерошкин Александр Владимирович</t>
  </si>
  <si>
    <t>ООО</t>
  </si>
  <si>
    <t>Архитектор</t>
  </si>
  <si>
    <t>DELL</t>
  </si>
  <si>
    <t>Ромашка</t>
  </si>
  <si>
    <t xml:space="preserve"> Чуйко Юлия Сергеевна</t>
  </si>
  <si>
    <t>Санкт-Петербург</t>
  </si>
  <si>
    <t>Чуйко Юлия Сергеевна</t>
  </si>
  <si>
    <t xml:space="preserve">Облачное хранилище для строительной компании с функцией архивации </t>
  </si>
  <si>
    <t>Аналитик</t>
  </si>
  <si>
    <t>Косаревская Екатерина Олеговна</t>
  </si>
  <si>
    <t>Логинова Анастасия Александровна</t>
  </si>
  <si>
    <t>Кузнецов Дмитрий Алексеевич</t>
  </si>
  <si>
    <t>Тупицын Максим Макисмович (консультант)</t>
  </si>
  <si>
    <t>Январь_2024</t>
  </si>
  <si>
    <t>Февраль_2024</t>
  </si>
  <si>
    <t>Март_2024</t>
  </si>
  <si>
    <t>Апрель_2024</t>
  </si>
  <si>
    <t>Май_2024</t>
  </si>
  <si>
    <t>Июнь_2024</t>
  </si>
  <si>
    <t>Июль_2024</t>
  </si>
  <si>
    <t>Август_2024</t>
  </si>
  <si>
    <t>Сентябрь_2024</t>
  </si>
  <si>
    <t>Октябрь_2024</t>
  </si>
  <si>
    <t>Ноябрь_2024</t>
  </si>
  <si>
    <t>Декабрь_2024</t>
  </si>
  <si>
    <t>Январь_2025</t>
  </si>
  <si>
    <t>Февраль_2025</t>
  </si>
  <si>
    <t>Март_2025</t>
  </si>
  <si>
    <t>Апрель_2025</t>
  </si>
  <si>
    <t>Май_2025</t>
  </si>
  <si>
    <t>Июнь_2025</t>
  </si>
  <si>
    <t>Август_2025</t>
  </si>
  <si>
    <t>Июль_2025</t>
  </si>
  <si>
    <t>Сентябрь_2025</t>
  </si>
  <si>
    <t>Октябрь_2025</t>
  </si>
  <si>
    <t>Ноябрь_2025</t>
  </si>
  <si>
    <t>Декабрь_2025</t>
  </si>
  <si>
    <t>Январь_2026</t>
  </si>
  <si>
    <t>Февраль_2026</t>
  </si>
  <si>
    <t>Март_2026</t>
  </si>
  <si>
    <t>Апрель_2026</t>
  </si>
  <si>
    <t>Май_2026</t>
  </si>
  <si>
    <t>Июнь_2026</t>
  </si>
  <si>
    <t>Июль_2026</t>
  </si>
  <si>
    <t>Август_2026</t>
  </si>
  <si>
    <t>Сентябрь_2026</t>
  </si>
  <si>
    <t>Октябрь_2026</t>
  </si>
  <si>
    <t>Ноябрь_2026</t>
  </si>
  <si>
    <t>Декабрь_2026</t>
  </si>
  <si>
    <t>Январь_2027</t>
  </si>
  <si>
    <t>Февраль_2027</t>
  </si>
  <si>
    <t>Март_2027</t>
  </si>
  <si>
    <t>Апрель_2027</t>
  </si>
  <si>
    <t>Май_2027</t>
  </si>
  <si>
    <t>Июнь_2027</t>
  </si>
  <si>
    <t>Июль_2027</t>
  </si>
  <si>
    <t>Август_2027</t>
  </si>
  <si>
    <t>Сентябрь_2027</t>
  </si>
  <si>
    <t>Октябрь_2027</t>
  </si>
  <si>
    <t>Ноябрь_2027</t>
  </si>
  <si>
    <t>Декабрь_2027</t>
  </si>
  <si>
    <t>Гюстав Лебон Лебонович (тестировщик)</t>
  </si>
  <si>
    <t>Великая Сабрина Эдуардовна (технический писатель)</t>
  </si>
  <si>
    <t>Теплынь</t>
  </si>
  <si>
    <t>Сбербанк</t>
  </si>
  <si>
    <t>Big Big</t>
  </si>
  <si>
    <t>OOO</t>
  </si>
  <si>
    <t>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</si>
</sst>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[$-10419]dd\.mm\.yy"/>
    <numFmt numFmtId="168" formatCode="0.0"/>
    <numFmt numFmtId="169" formatCode="_-* #,##0_р_._-;\-* #,##0_р_._-;_-* &quot;-&quot;??_р_._-;_-@_-"/>
    <numFmt numFmtId="170" formatCode="#,##0_ ;\-#,##0\ "/>
    <numFmt numFmtId="171" formatCode="[$-419]mmmm\ yyyy;@"/>
    <numFmt numFmtId="172" formatCode="mmm/yyyy"/>
    <numFmt numFmtId="173" formatCode="_-* #,##0.0_р_._-;\-* #,##0.0_р_._-;_-* &quot;-&quot;??_р_._-;_-@_-"/>
    <numFmt numFmtId="174" formatCode="0.0%"/>
  </numFmts>
  <fonts count="48" x14ac:knownFonts="1">
    <font>
      <sz val="11"/>
      <color theme="1"/>
      <name val="Calibri"/>
      <family val="2"/>
      <charset val="204"/>
      <scheme val="minor"/>
    </font>
    <font>
      <sz val="8"/>
      <name val="Arial"/>
      <family val="2"/>
    </font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0"/>
      <color theme="1"/>
      <name val="Arial Cyr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9"/>
      <color indexed="8"/>
      <name val="Arial"/>
      <family val="2"/>
      <charset val="204"/>
    </font>
    <font>
      <sz val="10"/>
      <name val="Arial Cyr"/>
      <charset val="204"/>
    </font>
    <font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 Cyr"/>
      <family val="2"/>
      <charset val="204"/>
    </font>
    <font>
      <sz val="10"/>
      <name val="Helv"/>
      <charset val="204"/>
    </font>
    <font>
      <sz val="11"/>
      <color rgb="FF000000"/>
      <name val="Calibri"/>
      <family val="2"/>
      <charset val="204"/>
    </font>
    <font>
      <i/>
      <sz val="8"/>
      <color theme="0" tint="-0.499984740745262"/>
      <name val="Arial"/>
      <family val="2"/>
      <charset val="204"/>
    </font>
    <font>
      <sz val="8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i/>
      <sz val="8"/>
      <color theme="1"/>
      <name val="Arial"/>
      <family val="2"/>
      <charset val="204"/>
    </font>
    <font>
      <u/>
      <sz val="8"/>
      <color theme="10"/>
      <name val="Arial"/>
      <family val="2"/>
      <charset val="204"/>
    </font>
    <font>
      <sz val="8"/>
      <color theme="0"/>
      <name val="Arial"/>
      <family val="2"/>
      <charset val="204"/>
    </font>
    <font>
      <b/>
      <sz val="8"/>
      <color theme="1"/>
      <name val="Arial"/>
      <family val="2"/>
      <charset val="204"/>
    </font>
    <font>
      <sz val="8"/>
      <color rgb="FF000000"/>
      <name val="Arial"/>
      <family val="2"/>
      <charset val="204"/>
    </font>
    <font>
      <sz val="8"/>
      <name val="Arial"/>
      <family val="2"/>
      <charset val="204"/>
    </font>
    <font>
      <sz val="8"/>
      <color indexed="63"/>
      <name val="Arial"/>
      <family val="2"/>
      <charset val="204"/>
    </font>
    <font>
      <b/>
      <sz val="8"/>
      <color theme="5"/>
      <name val="Arial"/>
      <family val="2"/>
      <charset val="204"/>
    </font>
    <font>
      <b/>
      <sz val="8"/>
      <name val="Arial"/>
      <family val="2"/>
      <charset val="204"/>
    </font>
    <font>
      <b/>
      <sz val="8"/>
      <color theme="3" tint="-0.499984740745262"/>
      <name val="Arial"/>
      <family val="2"/>
      <charset val="204"/>
    </font>
    <font>
      <sz val="8"/>
      <color theme="3" tint="-0.499984740745262"/>
      <name val="Arial"/>
      <family val="2"/>
      <charset val="204"/>
    </font>
    <font>
      <b/>
      <sz val="9"/>
      <color indexed="81"/>
      <name val="Tahoma"/>
      <family val="2"/>
      <charset val="204"/>
    </font>
  </fonts>
  <fills count="49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5F5F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FDE6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rgb="FF757171"/>
      </left>
      <right style="thin">
        <color rgb="FF757171"/>
      </right>
      <top style="thin">
        <color rgb="FF757171"/>
      </top>
      <bottom style="thin">
        <color rgb="FF757171"/>
      </bottom>
      <diagonal/>
    </border>
    <border>
      <left style="thin">
        <color indexed="64"/>
      </left>
      <right style="thin">
        <color indexed="64"/>
      </right>
      <top style="thin">
        <color rgb="FF757171"/>
      </top>
      <bottom style="thin">
        <color indexed="64"/>
      </bottom>
      <diagonal/>
    </border>
    <border>
      <left style="thin">
        <color rgb="FF757171"/>
      </left>
      <right/>
      <top style="thin">
        <color rgb="FF757171"/>
      </top>
      <bottom style="thin">
        <color rgb="FF757171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90">
    <xf numFmtId="0" fontId="0" fillId="0" borderId="0"/>
    <xf numFmtId="167" fontId="4" fillId="2" borderId="0" applyNumberFormat="0" applyBorder="0" applyAlignment="0" applyProtection="0"/>
    <xf numFmtId="167" fontId="5" fillId="3" borderId="0" applyNumberFormat="0" applyBorder="0" applyAlignment="0" applyProtection="0"/>
    <xf numFmtId="167" fontId="6" fillId="4" borderId="0" applyNumberFormat="0" applyBorder="0" applyAlignment="0" applyProtection="0"/>
    <xf numFmtId="167" fontId="2" fillId="0" borderId="0"/>
    <xf numFmtId="167" fontId="2" fillId="0" borderId="0"/>
    <xf numFmtId="167" fontId="2" fillId="0" borderId="0"/>
    <xf numFmtId="167" fontId="2" fillId="0" borderId="0"/>
    <xf numFmtId="0" fontId="7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7" fontId="4" fillId="0" borderId="0"/>
    <xf numFmtId="167" fontId="4" fillId="0" borderId="0"/>
    <xf numFmtId="167" fontId="1" fillId="0" borderId="0"/>
    <xf numFmtId="167" fontId="2" fillId="0" borderId="0"/>
    <xf numFmtId="0" fontId="1" fillId="0" borderId="0"/>
    <xf numFmtId="0" fontId="3" fillId="0" borderId="0"/>
    <xf numFmtId="0" fontId="8" fillId="0" borderId="0"/>
    <xf numFmtId="167" fontId="4" fillId="0" borderId="0"/>
    <xf numFmtId="0" fontId="4" fillId="0" borderId="0"/>
    <xf numFmtId="0" fontId="4" fillId="0" borderId="0"/>
    <xf numFmtId="167" fontId="1" fillId="0" borderId="0"/>
    <xf numFmtId="167" fontId="2" fillId="0" borderId="0"/>
    <xf numFmtId="9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0" fontId="10" fillId="9" borderId="0">
      <alignment horizontal="right"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7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12" fillId="0" borderId="0"/>
    <xf numFmtId="0" fontId="3" fillId="0" borderId="0"/>
    <xf numFmtId="0" fontId="13" fillId="0" borderId="0"/>
    <xf numFmtId="0" fontId="3" fillId="0" borderId="0"/>
    <xf numFmtId="0" fontId="13" fillId="0" borderId="0"/>
    <xf numFmtId="0" fontId="3" fillId="0" borderId="0"/>
    <xf numFmtId="167" fontId="4" fillId="0" borderId="0"/>
    <xf numFmtId="167" fontId="4" fillId="0" borderId="0"/>
    <xf numFmtId="167" fontId="4" fillId="0" borderId="0"/>
    <xf numFmtId="0" fontId="1" fillId="0" borderId="0"/>
    <xf numFmtId="0" fontId="2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1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3" fillId="16" borderId="0" applyNumberFormat="0" applyBorder="0" applyAlignment="0" applyProtection="0"/>
    <xf numFmtId="0" fontId="31" fillId="0" borderId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14" fillId="20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6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7" borderId="0" applyNumberFormat="0" applyBorder="0" applyAlignment="0" applyProtection="0"/>
    <xf numFmtId="0" fontId="25" fillId="11" borderId="0" applyNumberFormat="0" applyBorder="0" applyAlignment="0" applyProtection="0"/>
    <xf numFmtId="0" fontId="17" fillId="28" borderId="7" applyNumberFormat="0" applyAlignment="0" applyProtection="0"/>
    <xf numFmtId="0" fontId="22" fillId="29" borderId="8" applyNumberFormat="0" applyAlignment="0" applyProtection="0"/>
    <xf numFmtId="0" fontId="26" fillId="0" borderId="0" applyNumberFormat="0" applyFill="0" applyBorder="0" applyAlignment="0" applyProtection="0"/>
    <xf numFmtId="0" fontId="14" fillId="25" borderId="0" applyNumberFormat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29" fillId="12" borderId="0" applyNumberFormat="0" applyBorder="0" applyAlignment="0" applyProtection="0"/>
    <xf numFmtId="0" fontId="18" fillId="0" borderId="9" applyNumberFormat="0" applyFill="0" applyAlignment="0" applyProtection="0"/>
    <xf numFmtId="0" fontId="19" fillId="0" borderId="10" applyNumberFormat="0" applyFill="0" applyAlignment="0" applyProtection="0"/>
    <xf numFmtId="0" fontId="20" fillId="0" borderId="11" applyNumberFormat="0" applyFill="0" applyAlignment="0" applyProtection="0"/>
    <xf numFmtId="0" fontId="20" fillId="0" borderId="0" applyNumberFormat="0" applyFill="0" applyBorder="0" applyAlignment="0" applyProtection="0"/>
    <xf numFmtId="0" fontId="15" fillId="15" borderId="7" applyNumberFormat="0" applyAlignment="0" applyProtection="0"/>
    <xf numFmtId="0" fontId="27" fillId="0" borderId="12" applyNumberFormat="0" applyFill="0" applyAlignment="0" applyProtection="0"/>
    <xf numFmtId="0" fontId="24" fillId="30" borderId="0" applyNumberFormat="0" applyBorder="0" applyAlignment="0" applyProtection="0"/>
    <xf numFmtId="0" fontId="30" fillId="31" borderId="6" applyNumberFormat="0" applyFont="0" applyAlignment="0" applyProtection="0"/>
    <xf numFmtId="0" fontId="16" fillId="28" borderId="13" applyNumberFormat="0" applyAlignment="0" applyProtection="0"/>
    <xf numFmtId="0" fontId="23" fillId="0" borderId="0" applyNumberFormat="0" applyFill="0" applyBorder="0" applyAlignment="0" applyProtection="0"/>
    <xf numFmtId="0" fontId="21" fillId="0" borderId="14" applyNumberFormat="0" applyFill="0" applyAlignment="0" applyProtection="0"/>
    <xf numFmtId="0" fontId="28" fillId="0" borderId="0" applyNumberFormat="0" applyFill="0" applyBorder="0" applyAlignment="0" applyProtection="0"/>
    <xf numFmtId="165" fontId="4" fillId="0" borderId="0" applyFont="0" applyFill="0" applyBorder="0" applyAlignment="0" applyProtection="0"/>
    <xf numFmtId="0" fontId="30" fillId="0" borderId="0"/>
    <xf numFmtId="0" fontId="31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32" fillId="0" borderId="0"/>
    <xf numFmtId="0" fontId="4" fillId="0" borderId="0"/>
    <xf numFmtId="167" fontId="4" fillId="0" borderId="0"/>
    <xf numFmtId="164" fontId="12" fillId="0" borderId="0" applyFon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</cellStyleXfs>
  <cellXfs count="279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167" fontId="9" fillId="0" borderId="0" xfId="186" applyFont="1" applyFill="1" applyBorder="1" applyAlignment="1">
      <alignment horizontal="center" vertical="center"/>
    </xf>
    <xf numFmtId="167" fontId="9" fillId="0" borderId="0" xfId="186" applyFont="1" applyFill="1" applyBorder="1" applyAlignment="1">
      <alignment horizontal="center"/>
    </xf>
    <xf numFmtId="164" fontId="4" fillId="5" borderId="0" xfId="30" applyNumberFormat="1" applyFont="1" applyFill="1" applyBorder="1" applyAlignment="1">
      <alignment horizontal="left" vertical="center"/>
    </xf>
    <xf numFmtId="3" fontId="0" fillId="5" borderId="0" xfId="0" applyNumberFormat="1" applyFont="1" applyFill="1" applyBorder="1" applyAlignment="1">
      <alignment horizontal="left" vertical="center"/>
    </xf>
    <xf numFmtId="3" fontId="0" fillId="5" borderId="0" xfId="0" applyNumberFormat="1" applyFont="1" applyFill="1" applyBorder="1" applyAlignment="1">
      <alignment horizontal="left"/>
    </xf>
    <xf numFmtId="167" fontId="9" fillId="0" borderId="0" xfId="17" applyNumberFormat="1" applyFont="1" applyFill="1" applyAlignment="1">
      <alignment horizontal="center" vertical="center" wrapText="1"/>
    </xf>
    <xf numFmtId="0" fontId="0" fillId="5" borderId="0" xfId="0" applyNumberFormat="1" applyFill="1" applyAlignment="1">
      <alignment horizontal="center"/>
    </xf>
    <xf numFmtId="164" fontId="0" fillId="5" borderId="0" xfId="30" applyNumberFormat="1" applyFont="1" applyFill="1" applyBorder="1" applyAlignment="1">
      <alignment horizontal="left" vertical="center"/>
    </xf>
    <xf numFmtId="0" fontId="33" fillId="0" borderId="0" xfId="0" applyFont="1" applyBorder="1"/>
    <xf numFmtId="0" fontId="34" fillId="0" borderId="0" xfId="0" applyFont="1"/>
    <xf numFmtId="0" fontId="35" fillId="0" borderId="0" xfId="0" applyFont="1"/>
    <xf numFmtId="0" fontId="36" fillId="0" borderId="0" xfId="0" applyFont="1" applyAlignment="1">
      <alignment horizontal="right"/>
    </xf>
    <xf numFmtId="0" fontId="34" fillId="0" borderId="0" xfId="0" applyFont="1" applyFill="1"/>
    <xf numFmtId="169" fontId="34" fillId="0" borderId="0" xfId="30" applyNumberFormat="1" applyFont="1"/>
    <xf numFmtId="0" fontId="37" fillId="0" borderId="0" xfId="8" applyFont="1" applyAlignment="1">
      <alignment vertical="top"/>
    </xf>
    <xf numFmtId="0" fontId="34" fillId="0" borderId="0" xfId="0" applyFont="1" applyAlignment="1">
      <alignment horizontal="center"/>
    </xf>
    <xf numFmtId="0" fontId="34" fillId="0" borderId="17" xfId="0" applyFont="1" applyBorder="1"/>
    <xf numFmtId="0" fontId="34" fillId="0" borderId="26" xfId="0" applyFont="1" applyBorder="1" applyAlignment="1">
      <alignment horizontal="right"/>
    </xf>
    <xf numFmtId="3" fontId="34" fillId="0" borderId="26" xfId="0" applyNumberFormat="1" applyFont="1" applyBorder="1" applyAlignment="1">
      <alignment horizontal="left" indent="3"/>
    </xf>
    <xf numFmtId="169" fontId="34" fillId="32" borderId="29" xfId="30" applyNumberFormat="1" applyFont="1" applyFill="1" applyBorder="1"/>
    <xf numFmtId="169" fontId="34" fillId="0" borderId="26" xfId="30" applyNumberFormat="1" applyFont="1" applyBorder="1"/>
    <xf numFmtId="3" fontId="34" fillId="33" borderId="26" xfId="0" applyNumberFormat="1" applyFont="1" applyFill="1" applyBorder="1" applyAlignment="1">
      <alignment horizontal="left" vertical="top" indent="1"/>
    </xf>
    <xf numFmtId="171" fontId="38" fillId="34" borderId="25" xfId="0" applyNumberFormat="1" applyFont="1" applyFill="1" applyBorder="1" applyAlignment="1">
      <alignment horizontal="center" vertical="center"/>
    </xf>
    <xf numFmtId="172" fontId="38" fillId="34" borderId="5" xfId="0" applyNumberFormat="1" applyFont="1" applyFill="1" applyBorder="1" applyAlignment="1">
      <alignment horizontal="center" vertical="center"/>
    </xf>
    <xf numFmtId="3" fontId="34" fillId="36" borderId="26" xfId="0" applyNumberFormat="1" applyFont="1" applyFill="1" applyBorder="1" applyAlignment="1">
      <alignment horizontal="left" vertical="top" indent="2"/>
    </xf>
    <xf numFmtId="169" fontId="34" fillId="33" borderId="26" xfId="30" applyNumberFormat="1" applyFont="1" applyFill="1" applyBorder="1" applyAlignment="1">
      <alignment horizontal="left" vertical="top" indent="1"/>
    </xf>
    <xf numFmtId="169" fontId="34" fillId="36" borderId="26" xfId="30" applyNumberFormat="1" applyFont="1" applyFill="1" applyBorder="1" applyAlignment="1">
      <alignment horizontal="left" vertical="top" indent="2"/>
    </xf>
    <xf numFmtId="169" fontId="34" fillId="33" borderId="29" xfId="30" applyNumberFormat="1" applyFont="1" applyFill="1" applyBorder="1" applyAlignment="1">
      <alignment horizontal="left" vertical="top" indent="1"/>
    </xf>
    <xf numFmtId="169" fontId="34" fillId="36" borderId="29" xfId="30" applyNumberFormat="1" applyFont="1" applyFill="1" applyBorder="1" applyAlignment="1">
      <alignment horizontal="left" vertical="top" indent="2"/>
    </xf>
    <xf numFmtId="169" fontId="34" fillId="32" borderId="32" xfId="30" applyNumberFormat="1" applyFont="1" applyFill="1" applyBorder="1"/>
    <xf numFmtId="169" fontId="34" fillId="0" borderId="31" xfId="30" applyNumberFormat="1" applyFont="1" applyBorder="1"/>
    <xf numFmtId="169" fontId="34" fillId="33" borderId="27" xfId="30" applyNumberFormat="1" applyFont="1" applyFill="1" applyBorder="1" applyAlignment="1">
      <alignment horizontal="left" vertical="top" indent="1"/>
    </xf>
    <xf numFmtId="169" fontId="34" fillId="36" borderId="27" xfId="30" applyNumberFormat="1" applyFont="1" applyFill="1" applyBorder="1" applyAlignment="1">
      <alignment horizontal="left" vertical="top" indent="2"/>
    </xf>
    <xf numFmtId="14" fontId="34" fillId="38" borderId="26" xfId="0" applyNumberFormat="1" applyFont="1" applyFill="1" applyBorder="1" applyAlignment="1" applyProtection="1">
      <alignment horizontal="center"/>
      <protection locked="0"/>
    </xf>
    <xf numFmtId="0" fontId="34" fillId="38" borderId="26" xfId="0" applyFont="1" applyFill="1" applyBorder="1" applyProtection="1">
      <protection locked="0"/>
    </xf>
    <xf numFmtId="9" fontId="34" fillId="38" borderId="26" xfId="29" applyFont="1" applyFill="1" applyBorder="1" applyAlignment="1" applyProtection="1">
      <alignment horizontal="center"/>
      <protection locked="0"/>
    </xf>
    <xf numFmtId="169" fontId="34" fillId="33" borderId="30" xfId="30" applyNumberFormat="1" applyFont="1" applyFill="1" applyBorder="1" applyAlignment="1">
      <alignment horizontal="left" vertical="top" indent="1"/>
    </xf>
    <xf numFmtId="169" fontId="34" fillId="36" borderId="30" xfId="30" applyNumberFormat="1" applyFont="1" applyFill="1" applyBorder="1" applyAlignment="1">
      <alignment horizontal="left" vertical="top" indent="2"/>
    </xf>
    <xf numFmtId="169" fontId="34" fillId="32" borderId="30" xfId="30" applyNumberFormat="1" applyFont="1" applyFill="1" applyBorder="1"/>
    <xf numFmtId="169" fontId="34" fillId="32" borderId="33" xfId="30" applyNumberFormat="1" applyFont="1" applyFill="1" applyBorder="1"/>
    <xf numFmtId="3" fontId="34" fillId="0" borderId="26" xfId="0" applyNumberFormat="1" applyFont="1" applyBorder="1" applyAlignment="1">
      <alignment horizontal="left"/>
    </xf>
    <xf numFmtId="0" fontId="39" fillId="0" borderId="24" xfId="0" applyFont="1" applyBorder="1" applyAlignment="1">
      <alignment horizontal="center"/>
    </xf>
    <xf numFmtId="0" fontId="39" fillId="0" borderId="24" xfId="0" applyFont="1" applyFill="1" applyBorder="1" applyAlignment="1">
      <alignment horizontal="center"/>
    </xf>
    <xf numFmtId="0" fontId="34" fillId="0" borderId="24" xfId="0" applyFont="1" applyBorder="1"/>
    <xf numFmtId="0" fontId="34" fillId="0" borderId="24" xfId="0" applyFont="1" applyBorder="1" applyAlignment="1">
      <alignment horizontal="right"/>
    </xf>
    <xf numFmtId="0" fontId="34" fillId="0" borderId="24" xfId="0" applyFont="1" applyFill="1" applyBorder="1"/>
    <xf numFmtId="0" fontId="34" fillId="0" borderId="24" xfId="0" applyFont="1" applyBorder="1" applyAlignment="1">
      <alignment horizontal="center"/>
    </xf>
    <xf numFmtId="0" fontId="43" fillId="0" borderId="0" xfId="0" applyNumberFormat="1" applyFont="1"/>
    <xf numFmtId="0" fontId="43" fillId="0" borderId="0" xfId="0" applyFont="1"/>
    <xf numFmtId="0" fontId="34" fillId="0" borderId="0" xfId="0" applyFont="1" applyAlignment="1">
      <alignment horizontal="center" vertical="center" wrapText="1"/>
    </xf>
    <xf numFmtId="0" fontId="34" fillId="0" borderId="0" xfId="0" applyNumberFormat="1" applyFont="1"/>
    <xf numFmtId="0" fontId="44" fillId="5" borderId="24" xfId="0" applyFont="1" applyFill="1" applyBorder="1" applyAlignment="1">
      <alignment horizontal="center" vertical="center" wrapText="1"/>
    </xf>
    <xf numFmtId="49" fontId="45" fillId="5" borderId="1" xfId="0" applyNumberFormat="1" applyFont="1" applyFill="1" applyBorder="1" applyAlignment="1" applyProtection="1">
      <alignment horizontal="center" vertical="center"/>
    </xf>
    <xf numFmtId="49" fontId="34" fillId="0" borderId="0" xfId="0" applyNumberFormat="1" applyFont="1"/>
    <xf numFmtId="4" fontId="34" fillId="0" borderId="0" xfId="0" applyNumberFormat="1" applyFont="1"/>
    <xf numFmtId="0" fontId="44" fillId="7" borderId="16" xfId="0" applyFont="1" applyFill="1" applyBorder="1" applyAlignment="1">
      <alignment horizontal="center" vertical="center" wrapText="1"/>
    </xf>
    <xf numFmtId="0" fontId="44" fillId="7" borderId="19" xfId="0" applyFont="1" applyFill="1" applyBorder="1" applyAlignment="1">
      <alignment horizontal="center" vertical="center" wrapText="1"/>
    </xf>
    <xf numFmtId="0" fontId="44" fillId="7" borderId="17" xfId="0" applyFont="1" applyFill="1" applyBorder="1" applyAlignment="1">
      <alignment horizontal="center" vertical="center" wrapText="1"/>
    </xf>
    <xf numFmtId="0" fontId="34" fillId="8" borderId="0" xfId="0" applyFont="1" applyFill="1" applyBorder="1" applyAlignment="1">
      <alignment horizontal="left" vertical="center"/>
    </xf>
    <xf numFmtId="0" fontId="34" fillId="5" borderId="4" xfId="0" applyFont="1" applyFill="1" applyBorder="1" applyAlignment="1">
      <alignment horizontal="center" vertical="center"/>
    </xf>
    <xf numFmtId="0" fontId="34" fillId="5" borderId="1" xfId="0" applyFont="1" applyFill="1" applyBorder="1" applyAlignment="1">
      <alignment horizontal="center" vertical="center"/>
    </xf>
    <xf numFmtId="3" fontId="34" fillId="5" borderId="1" xfId="30" applyNumberFormat="1" applyFont="1" applyFill="1" applyBorder="1" applyAlignment="1">
      <alignment horizontal="center" vertical="center"/>
    </xf>
    <xf numFmtId="3" fontId="34" fillId="5" borderId="3" xfId="30" applyNumberFormat="1" applyFont="1" applyFill="1" applyBorder="1" applyAlignment="1">
      <alignment horizontal="center" vertical="center"/>
    </xf>
    <xf numFmtId="0" fontId="34" fillId="5" borderId="0" xfId="0" applyFont="1" applyFill="1" applyBorder="1"/>
    <xf numFmtId="0" fontId="34" fillId="8" borderId="0" xfId="0" applyFont="1" applyFill="1" applyBorder="1"/>
    <xf numFmtId="0" fontId="41" fillId="5" borderId="24" xfId="0" applyFont="1" applyFill="1" applyBorder="1" applyAlignment="1">
      <alignment horizontal="left" vertical="center" wrapText="1"/>
    </xf>
    <xf numFmtId="0" fontId="43" fillId="0" borderId="1" xfId="0" applyFont="1" applyBorder="1"/>
    <xf numFmtId="0" fontId="34" fillId="8" borderId="1" xfId="0" applyFont="1" applyFill="1" applyBorder="1"/>
    <xf numFmtId="0" fontId="34" fillId="8" borderId="22" xfId="0" applyFont="1" applyFill="1" applyBorder="1"/>
    <xf numFmtId="0" fontId="34" fillId="8" borderId="21" xfId="0" applyFont="1" applyFill="1" applyBorder="1"/>
    <xf numFmtId="0" fontId="34" fillId="8" borderId="20" xfId="0" applyFont="1" applyFill="1" applyBorder="1"/>
    <xf numFmtId="0" fontId="34" fillId="8" borderId="23" xfId="0" applyFont="1" applyFill="1" applyBorder="1"/>
    <xf numFmtId="0" fontId="34" fillId="5" borderId="18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3" fontId="34" fillId="5" borderId="2" xfId="30" applyNumberFormat="1" applyFont="1" applyFill="1" applyBorder="1" applyAlignment="1">
      <alignment horizontal="center" vertical="center"/>
    </xf>
    <xf numFmtId="3" fontId="34" fillId="5" borderId="15" xfId="30" applyNumberFormat="1" applyFont="1" applyFill="1" applyBorder="1" applyAlignment="1">
      <alignment horizontal="center" vertical="center"/>
    </xf>
    <xf numFmtId="3" fontId="34" fillId="35" borderId="26" xfId="0" applyNumberFormat="1" applyFont="1" applyFill="1" applyBorder="1" applyAlignment="1">
      <alignment vertical="top"/>
    </xf>
    <xf numFmtId="169" fontId="38" fillId="34" borderId="0" xfId="30" applyNumberFormat="1" applyFont="1" applyFill="1"/>
    <xf numFmtId="169" fontId="38" fillId="34" borderId="34" xfId="30" applyNumberFormat="1" applyFont="1" applyFill="1" applyBorder="1"/>
    <xf numFmtId="169" fontId="38" fillId="34" borderId="35" xfId="30" applyNumberFormat="1" applyFont="1" applyFill="1" applyBorder="1"/>
    <xf numFmtId="169" fontId="38" fillId="34" borderId="36" xfId="30" applyNumberFormat="1" applyFont="1" applyFill="1" applyBorder="1"/>
    <xf numFmtId="169" fontId="34" fillId="35" borderId="28" xfId="30" applyNumberFormat="1" applyFont="1" applyFill="1" applyBorder="1"/>
    <xf numFmtId="169" fontId="34" fillId="35" borderId="26" xfId="30" applyNumberFormat="1" applyFont="1" applyFill="1" applyBorder="1"/>
    <xf numFmtId="169" fontId="34" fillId="35" borderId="31" xfId="30" applyNumberFormat="1" applyFont="1" applyFill="1" applyBorder="1"/>
    <xf numFmtId="169" fontId="34" fillId="32" borderId="37" xfId="30" applyNumberFormat="1" applyFont="1" applyFill="1" applyBorder="1"/>
    <xf numFmtId="169" fontId="34" fillId="35" borderId="30" xfId="30" applyNumberFormat="1" applyFont="1" applyFill="1" applyBorder="1"/>
    <xf numFmtId="0" fontId="34" fillId="0" borderId="38" xfId="0" applyFont="1" applyBorder="1"/>
    <xf numFmtId="0" fontId="34" fillId="0" borderId="38" xfId="0" applyFont="1" applyBorder="1" applyAlignment="1">
      <alignment horizontal="right"/>
    </xf>
    <xf numFmtId="0" fontId="34" fillId="0" borderId="38" xfId="0" applyFont="1" applyBorder="1" applyAlignment="1">
      <alignment horizontal="center"/>
    </xf>
    <xf numFmtId="0" fontId="34" fillId="0" borderId="38" xfId="0" applyFont="1" applyFill="1" applyBorder="1"/>
    <xf numFmtId="0" fontId="0" fillId="0" borderId="0" xfId="0"/>
    <xf numFmtId="0" fontId="34" fillId="35" borderId="26" xfId="0" applyNumberFormat="1" applyFont="1" applyFill="1" applyBorder="1" applyAlignment="1">
      <alignment vertical="top"/>
    </xf>
    <xf numFmtId="0" fontId="33" fillId="0" borderId="0" xfId="0" applyFont="1" applyBorder="1" applyAlignment="1">
      <alignment horizontal="center"/>
    </xf>
    <xf numFmtId="0" fontId="0" fillId="0" borderId="0" xfId="0"/>
    <xf numFmtId="3" fontId="34" fillId="0" borderId="26" xfId="0" applyNumberFormat="1" applyFont="1" applyBorder="1" applyAlignment="1">
      <alignment horizontal="left" indent="2"/>
    </xf>
    <xf numFmtId="0" fontId="34" fillId="40" borderId="24" xfId="0" applyFont="1" applyFill="1" applyBorder="1"/>
    <xf numFmtId="0" fontId="34" fillId="40" borderId="24" xfId="0" applyFont="1" applyFill="1" applyBorder="1" applyAlignment="1">
      <alignment horizontal="center"/>
    </xf>
    <xf numFmtId="3" fontId="39" fillId="33" borderId="26" xfId="0" applyNumberFormat="1" applyFont="1" applyFill="1" applyBorder="1" applyAlignment="1">
      <alignment horizontal="left" vertical="top" indent="1"/>
    </xf>
    <xf numFmtId="3" fontId="39" fillId="41" borderId="26" xfId="0" applyNumberFormat="1" applyFont="1" applyFill="1" applyBorder="1" applyAlignment="1">
      <alignment vertical="top"/>
    </xf>
    <xf numFmtId="3" fontId="34" fillId="41" borderId="26" xfId="0" applyNumberFormat="1" applyFont="1" applyFill="1" applyBorder="1" applyAlignment="1">
      <alignment vertical="top"/>
    </xf>
    <xf numFmtId="3" fontId="34" fillId="35" borderId="26" xfId="0" applyNumberFormat="1" applyFont="1" applyFill="1" applyBorder="1" applyAlignment="1">
      <alignment horizontal="left" vertical="top" indent="1"/>
    </xf>
    <xf numFmtId="169" fontId="34" fillId="41" borderId="28" xfId="30" applyNumberFormat="1" applyFont="1" applyFill="1" applyBorder="1"/>
    <xf numFmtId="169" fontId="34" fillId="41" borderId="26" xfId="30" applyNumberFormat="1" applyFont="1" applyFill="1" applyBorder="1"/>
    <xf numFmtId="169" fontId="34" fillId="41" borderId="31" xfId="30" applyNumberFormat="1" applyFont="1" applyFill="1" applyBorder="1"/>
    <xf numFmtId="0" fontId="34" fillId="41" borderId="26" xfId="0" applyNumberFormat="1" applyFont="1" applyFill="1" applyBorder="1" applyAlignment="1">
      <alignment vertical="top"/>
    </xf>
    <xf numFmtId="169" fontId="34" fillId="35" borderId="37" xfId="30" applyNumberFormat="1" applyFont="1" applyFill="1" applyBorder="1"/>
    <xf numFmtId="169" fontId="34" fillId="41" borderId="37" xfId="30" applyNumberFormat="1" applyFont="1" applyFill="1" applyBorder="1"/>
    <xf numFmtId="169" fontId="34" fillId="41" borderId="30" xfId="30" applyNumberFormat="1" applyFont="1" applyFill="1" applyBorder="1"/>
    <xf numFmtId="169" fontId="43" fillId="0" borderId="0" xfId="30" applyNumberFormat="1" applyFont="1"/>
    <xf numFmtId="169" fontId="44" fillId="5" borderId="38" xfId="30" applyNumberFormat="1" applyFont="1" applyFill="1" applyBorder="1" applyAlignment="1">
      <alignment horizontal="center" vertical="center" wrapText="1"/>
    </xf>
    <xf numFmtId="169" fontId="41" fillId="5" borderId="38" xfId="30" applyNumberFormat="1" applyFont="1" applyFill="1" applyBorder="1" applyAlignment="1">
      <alignment horizontal="left" vertical="center" wrapText="1"/>
    </xf>
    <xf numFmtId="166" fontId="34" fillId="5" borderId="24" xfId="30" applyNumberFormat="1" applyFont="1" applyFill="1" applyBorder="1" applyAlignment="1">
      <alignment horizontal="left" vertical="center"/>
    </xf>
    <xf numFmtId="0" fontId="34" fillId="6" borderId="0" xfId="0" applyFont="1" applyFill="1"/>
    <xf numFmtId="166" fontId="34" fillId="6" borderId="42" xfId="30" applyNumberFormat="1" applyFont="1" applyFill="1" applyBorder="1" applyAlignment="1">
      <alignment vertical="center"/>
    </xf>
    <xf numFmtId="166" fontId="34" fillId="6" borderId="43" xfId="30" applyNumberFormat="1" applyFont="1" applyFill="1" applyBorder="1" applyAlignment="1">
      <alignment vertical="center"/>
    </xf>
    <xf numFmtId="166" fontId="34" fillId="0" borderId="42" xfId="30" applyNumberFormat="1" applyFont="1" applyFill="1" applyBorder="1" applyAlignment="1">
      <alignment vertical="center"/>
    </xf>
    <xf numFmtId="0" fontId="44" fillId="39" borderId="42" xfId="0" applyFont="1" applyFill="1" applyBorder="1" applyAlignment="1">
      <alignment horizontal="center" vertical="center" wrapText="1"/>
    </xf>
    <xf numFmtId="0" fontId="33" fillId="0" borderId="0" xfId="0" applyFont="1" applyBorder="1" applyAlignment="1">
      <alignment horizontal="right"/>
    </xf>
    <xf numFmtId="169" fontId="39" fillId="32" borderId="30" xfId="30" applyNumberFormat="1" applyFont="1" applyFill="1" applyBorder="1"/>
    <xf numFmtId="0" fontId="41" fillId="0" borderId="0" xfId="0" applyFont="1"/>
    <xf numFmtId="166" fontId="34" fillId="38" borderId="43" xfId="30" applyNumberFormat="1" applyFont="1" applyFill="1" applyBorder="1" applyAlignment="1" applyProtection="1">
      <alignment vertical="center"/>
      <protection locked="0"/>
    </xf>
    <xf numFmtId="166" fontId="34" fillId="38" borderId="42" xfId="30" applyNumberFormat="1" applyFont="1" applyFill="1" applyBorder="1" applyAlignment="1" applyProtection="1">
      <alignment vertical="center"/>
      <protection locked="0"/>
    </xf>
    <xf numFmtId="0" fontId="44" fillId="38" borderId="43" xfId="0" applyFont="1" applyFill="1" applyBorder="1" applyAlignment="1" applyProtection="1">
      <alignment horizontal="left" vertical="center" wrapText="1"/>
      <protection locked="0"/>
    </xf>
    <xf numFmtId="0" fontId="44" fillId="38" borderId="43" xfId="0" applyFont="1" applyFill="1" applyBorder="1" applyAlignment="1" applyProtection="1">
      <alignment horizontal="left" vertical="center"/>
      <protection locked="0"/>
    </xf>
    <xf numFmtId="0" fontId="44" fillId="38" borderId="42" xfId="0" applyFont="1" applyFill="1" applyBorder="1" applyAlignment="1" applyProtection="1">
      <alignment horizontal="left" vertical="center" wrapText="1"/>
      <protection locked="0"/>
    </xf>
    <xf numFmtId="0" fontId="44" fillId="39" borderId="45" xfId="0" applyNumberFormat="1" applyFont="1" applyFill="1" applyBorder="1" applyAlignment="1">
      <alignment horizontal="center" vertical="center" wrapText="1"/>
    </xf>
    <xf numFmtId="0" fontId="44" fillId="39" borderId="45" xfId="0" applyFont="1" applyFill="1" applyBorder="1" applyAlignment="1">
      <alignment horizontal="center" vertical="center" wrapText="1"/>
    </xf>
    <xf numFmtId="166" fontId="41" fillId="6" borderId="45" xfId="30" applyNumberFormat="1" applyFont="1" applyFill="1" applyBorder="1" applyAlignment="1">
      <alignment horizontal="left" vertical="center"/>
    </xf>
    <xf numFmtId="166" fontId="34" fillId="6" borderId="45" xfId="30" applyNumberFormat="1" applyFont="1" applyFill="1" applyBorder="1" applyAlignment="1">
      <alignment horizontal="left" vertical="center"/>
    </xf>
    <xf numFmtId="166" fontId="34" fillId="6" borderId="45" xfId="30" applyNumberFormat="1" applyFont="1" applyFill="1" applyBorder="1" applyAlignment="1">
      <alignment horizontal="center" vertical="center"/>
    </xf>
    <xf numFmtId="0" fontId="34" fillId="38" borderId="45" xfId="0" applyFont="1" applyFill="1" applyBorder="1" applyAlignment="1" applyProtection="1">
      <alignment horizontal="left" vertical="center"/>
      <protection locked="0"/>
    </xf>
    <xf numFmtId="170" fontId="34" fillId="38" borderId="45" xfId="30" applyNumberFormat="1" applyFont="1" applyFill="1" applyBorder="1" applyAlignment="1" applyProtection="1">
      <alignment horizontal="center" vertical="center"/>
      <protection locked="0"/>
    </xf>
    <xf numFmtId="0" fontId="34" fillId="38" borderId="45" xfId="0" applyFont="1" applyFill="1" applyBorder="1" applyAlignment="1" applyProtection="1">
      <alignment horizontal="center" vertical="center"/>
      <protection locked="0"/>
    </xf>
    <xf numFmtId="0" fontId="36" fillId="38" borderId="45" xfId="0" applyFont="1" applyFill="1" applyBorder="1" applyAlignment="1" applyProtection="1">
      <alignment horizontal="left" vertical="center"/>
      <protection locked="0"/>
    </xf>
    <xf numFmtId="0" fontId="34" fillId="37" borderId="0" xfId="0" applyFont="1" applyFill="1" applyAlignment="1" applyProtection="1">
      <alignment horizontal="center"/>
    </xf>
    <xf numFmtId="0" fontId="39" fillId="0" borderId="0" xfId="0" applyFont="1" applyProtection="1"/>
    <xf numFmtId="0" fontId="34" fillId="0" borderId="0" xfId="0" applyFont="1" applyProtection="1"/>
    <xf numFmtId="0" fontId="37" fillId="0" borderId="0" xfId="8" applyFont="1" applyAlignment="1" applyProtection="1">
      <alignment vertical="top"/>
    </xf>
    <xf numFmtId="172" fontId="41" fillId="28" borderId="26" xfId="13" applyNumberFormat="1" applyFont="1" applyFill="1" applyBorder="1" applyAlignment="1" applyProtection="1">
      <alignment horizontal="center" vertical="top"/>
    </xf>
    <xf numFmtId="0" fontId="42" fillId="28" borderId="26" xfId="13" applyFont="1" applyFill="1" applyBorder="1" applyAlignment="1" applyProtection="1">
      <alignment horizontal="center" vertical="top"/>
    </xf>
    <xf numFmtId="0" fontId="34" fillId="0" borderId="26" xfId="0" applyFont="1" applyFill="1" applyBorder="1" applyAlignment="1" applyProtection="1">
      <alignment horizontal="center"/>
    </xf>
    <xf numFmtId="173" fontId="34" fillId="0" borderId="0" xfId="30" applyNumberFormat="1" applyFont="1" applyProtection="1"/>
    <xf numFmtId="169" fontId="34" fillId="0" borderId="0" xfId="30" applyNumberFormat="1" applyFont="1" applyProtection="1"/>
    <xf numFmtId="166" fontId="41" fillId="38" borderId="45" xfId="30" applyNumberFormat="1" applyFont="1" applyFill="1" applyBorder="1" applyAlignment="1" applyProtection="1">
      <alignment horizontal="left" vertical="center"/>
      <protection locked="0"/>
    </xf>
    <xf numFmtId="3" fontId="34" fillId="0" borderId="26" xfId="0" applyNumberFormat="1" applyFont="1" applyBorder="1" applyAlignment="1">
      <alignment horizontal="left" indent="1"/>
    </xf>
    <xf numFmtId="169" fontId="34" fillId="42" borderId="26" xfId="30" applyNumberFormat="1" applyFont="1" applyFill="1" applyBorder="1"/>
    <xf numFmtId="4" fontId="34" fillId="0" borderId="0" xfId="0" applyNumberFormat="1" applyFont="1" applyAlignment="1"/>
    <xf numFmtId="0" fontId="35" fillId="0" borderId="0" xfId="0" applyFont="1" applyProtection="1"/>
    <xf numFmtId="0" fontId="34" fillId="42" borderId="46" xfId="0" applyFont="1" applyFill="1" applyBorder="1"/>
    <xf numFmtId="0" fontId="34" fillId="42" borderId="47" xfId="0" applyFont="1" applyFill="1" applyBorder="1"/>
    <xf numFmtId="0" fontId="34" fillId="42" borderId="48" xfId="0" applyFont="1" applyFill="1" applyBorder="1"/>
    <xf numFmtId="0" fontId="34" fillId="42" borderId="49" xfId="0" applyFont="1" applyFill="1" applyBorder="1"/>
    <xf numFmtId="0" fontId="34" fillId="42" borderId="50" xfId="0" applyFont="1" applyFill="1" applyBorder="1"/>
    <xf numFmtId="0" fontId="34" fillId="42" borderId="0" xfId="0" applyFont="1" applyFill="1" applyBorder="1"/>
    <xf numFmtId="0" fontId="39" fillId="42" borderId="0" xfId="0" applyFont="1" applyFill="1" applyBorder="1" applyAlignment="1">
      <alignment horizontal="center"/>
    </xf>
    <xf numFmtId="0" fontId="39" fillId="43" borderId="51" xfId="0" applyFont="1" applyFill="1" applyBorder="1" applyAlignment="1">
      <alignment horizontal="center"/>
    </xf>
    <xf numFmtId="0" fontId="34" fillId="37" borderId="51" xfId="0" applyFont="1" applyFill="1" applyBorder="1" applyAlignment="1">
      <alignment horizontal="center"/>
    </xf>
    <xf numFmtId="0" fontId="34" fillId="37" borderId="51" xfId="0" applyFont="1" applyFill="1" applyBorder="1"/>
    <xf numFmtId="0" fontId="34" fillId="42" borderId="52" xfId="0" applyFont="1" applyFill="1" applyBorder="1"/>
    <xf numFmtId="0" fontId="34" fillId="42" borderId="53" xfId="0" applyFont="1" applyFill="1" applyBorder="1"/>
    <xf numFmtId="0" fontId="34" fillId="42" borderId="54" xfId="0" applyFont="1" applyFill="1" applyBorder="1"/>
    <xf numFmtId="0" fontId="37" fillId="37" borderId="51" xfId="189" quotePrefix="1" applyFont="1" applyFill="1" applyBorder="1" applyAlignment="1">
      <alignment horizontal="center"/>
    </xf>
    <xf numFmtId="0" fontId="34" fillId="44" borderId="55" xfId="0" applyFont="1" applyFill="1" applyBorder="1"/>
    <xf numFmtId="0" fontId="34" fillId="44" borderId="56" xfId="0" applyFont="1" applyFill="1" applyBorder="1"/>
    <xf numFmtId="169" fontId="39" fillId="32" borderId="17" xfId="30" applyNumberFormat="1" applyFont="1" applyFill="1" applyBorder="1"/>
    <xf numFmtId="169" fontId="34" fillId="32" borderId="17" xfId="30" applyNumberFormat="1" applyFont="1" applyFill="1" applyBorder="1"/>
    <xf numFmtId="169" fontId="34" fillId="32" borderId="19" xfId="30" applyNumberFormat="1" applyFont="1" applyFill="1" applyBorder="1"/>
    <xf numFmtId="169" fontId="34" fillId="33" borderId="26" xfId="30" applyNumberFormat="1" applyFont="1" applyFill="1" applyBorder="1"/>
    <xf numFmtId="169" fontId="34" fillId="46" borderId="26" xfId="30" applyNumberFormat="1" applyFont="1" applyFill="1" applyBorder="1"/>
    <xf numFmtId="169" fontId="38" fillId="34" borderId="26" xfId="30" applyNumberFormat="1" applyFont="1" applyFill="1" applyBorder="1"/>
    <xf numFmtId="166" fontId="34" fillId="47" borderId="45" xfId="30" applyNumberFormat="1" applyFont="1" applyFill="1" applyBorder="1" applyAlignment="1">
      <alignment horizontal="center" vertical="center"/>
    </xf>
    <xf numFmtId="166" fontId="36" fillId="38" borderId="45" xfId="30" applyFont="1" applyFill="1" applyBorder="1" applyAlignment="1" applyProtection="1">
      <alignment horizontal="center" vertical="center"/>
      <protection locked="0"/>
    </xf>
    <xf numFmtId="4" fontId="36" fillId="0" borderId="0" xfId="0" applyNumberFormat="1" applyFont="1"/>
    <xf numFmtId="0" fontId="41" fillId="0" borderId="0" xfId="0" applyFont="1" applyProtection="1"/>
    <xf numFmtId="0" fontId="43" fillId="0" borderId="0" xfId="0" applyFont="1" applyProtection="1"/>
    <xf numFmtId="0" fontId="33" fillId="0" borderId="0" xfId="0" applyFont="1" applyBorder="1" applyAlignment="1" applyProtection="1">
      <alignment horizontal="right"/>
    </xf>
    <xf numFmtId="0" fontId="33" fillId="0" borderId="0" xfId="0" applyFont="1" applyBorder="1" applyAlignment="1" applyProtection="1">
      <alignment horizontal="center"/>
    </xf>
    <xf numFmtId="0" fontId="44" fillId="39" borderId="42" xfId="0" applyFont="1" applyFill="1" applyBorder="1" applyAlignment="1" applyProtection="1">
      <alignment horizontal="center" vertical="center" wrapText="1"/>
    </xf>
    <xf numFmtId="169" fontId="39" fillId="32" borderId="30" xfId="30" applyNumberFormat="1" applyFont="1" applyFill="1" applyBorder="1" applyProtection="1"/>
    <xf numFmtId="169" fontId="39" fillId="32" borderId="17" xfId="30" applyNumberFormat="1" applyFont="1" applyFill="1" applyBorder="1" applyProtection="1"/>
    <xf numFmtId="166" fontId="34" fillId="6" borderId="43" xfId="30" applyNumberFormat="1" applyFont="1" applyFill="1" applyBorder="1" applyAlignment="1" applyProtection="1">
      <alignment vertical="center"/>
    </xf>
    <xf numFmtId="166" fontId="34" fillId="6" borderId="42" xfId="30" applyNumberFormat="1" applyFont="1" applyFill="1" applyBorder="1" applyAlignment="1" applyProtection="1">
      <alignment vertical="center"/>
    </xf>
    <xf numFmtId="0" fontId="0" fillId="0" borderId="0" xfId="0" applyProtection="1"/>
    <xf numFmtId="169" fontId="34" fillId="32" borderId="45" xfId="30" applyNumberFormat="1" applyFont="1" applyFill="1" applyBorder="1" applyProtection="1"/>
    <xf numFmtId="166" fontId="34" fillId="6" borderId="45" xfId="30" applyNumberFormat="1" applyFont="1" applyFill="1" applyBorder="1" applyAlignment="1" applyProtection="1">
      <alignment vertical="center"/>
    </xf>
    <xf numFmtId="166" fontId="34" fillId="38" borderId="45" xfId="30" applyNumberFormat="1" applyFont="1" applyFill="1" applyBorder="1" applyAlignment="1" applyProtection="1">
      <alignment vertical="center"/>
    </xf>
    <xf numFmtId="0" fontId="41" fillId="38" borderId="43" xfId="0" applyFont="1" applyFill="1" applyBorder="1" applyAlignment="1" applyProtection="1">
      <alignment horizontal="left" vertical="center" wrapText="1"/>
      <protection locked="0"/>
    </xf>
    <xf numFmtId="0" fontId="41" fillId="0" borderId="43" xfId="0" applyFont="1" applyFill="1" applyBorder="1" applyAlignment="1" applyProtection="1">
      <alignment horizontal="left" vertical="center" wrapText="1"/>
    </xf>
    <xf numFmtId="0" fontId="41" fillId="0" borderId="45" xfId="0" applyFont="1" applyFill="1" applyBorder="1" applyAlignment="1" applyProtection="1">
      <alignment horizontal="left" vertical="center" wrapText="1"/>
    </xf>
    <xf numFmtId="0" fontId="41" fillId="38" borderId="43" xfId="0" applyFont="1" applyFill="1" applyBorder="1" applyAlignment="1" applyProtection="1">
      <alignment horizontal="left" vertical="center"/>
      <protection locked="0"/>
    </xf>
    <xf numFmtId="0" fontId="41" fillId="0" borderId="43" xfId="0" applyFont="1" applyFill="1" applyBorder="1" applyAlignment="1" applyProtection="1">
      <alignment horizontal="left" vertical="center"/>
      <protection locked="0"/>
    </xf>
    <xf numFmtId="166" fontId="41" fillId="38" borderId="43" xfId="30" applyNumberFormat="1" applyFont="1" applyFill="1" applyBorder="1" applyAlignment="1" applyProtection="1">
      <alignment vertical="center"/>
      <protection locked="0"/>
    </xf>
    <xf numFmtId="166" fontId="39" fillId="32" borderId="30" xfId="30" applyNumberFormat="1" applyFont="1" applyFill="1" applyBorder="1" applyProtection="1"/>
    <xf numFmtId="166" fontId="39" fillId="32" borderId="17" xfId="30" applyNumberFormat="1" applyFont="1" applyFill="1" applyBorder="1" applyProtection="1"/>
    <xf numFmtId="166" fontId="39" fillId="32" borderId="19" xfId="30" applyNumberFormat="1" applyFont="1" applyFill="1" applyBorder="1" applyProtection="1"/>
    <xf numFmtId="166" fontId="39" fillId="32" borderId="42" xfId="0" applyNumberFormat="1" applyFont="1" applyFill="1" applyBorder="1"/>
    <xf numFmtId="166" fontId="39" fillId="32" borderId="45" xfId="0" applyNumberFormat="1" applyFont="1" applyFill="1" applyBorder="1"/>
    <xf numFmtId="166" fontId="34" fillId="32" borderId="42" xfId="30" applyNumberFormat="1" applyFont="1" applyFill="1" applyBorder="1" applyAlignment="1">
      <alignment vertical="center"/>
    </xf>
    <xf numFmtId="166" fontId="39" fillId="32" borderId="42" xfId="0" applyNumberFormat="1" applyFont="1" applyFill="1" applyBorder="1" applyProtection="1"/>
    <xf numFmtId="166" fontId="39" fillId="32" borderId="42" xfId="30" applyNumberFormat="1" applyFont="1" applyFill="1" applyBorder="1" applyAlignment="1" applyProtection="1">
      <alignment vertical="center"/>
    </xf>
    <xf numFmtId="166" fontId="39" fillId="32" borderId="45" xfId="0" applyNumberFormat="1" applyFont="1" applyFill="1" applyBorder="1" applyProtection="1"/>
    <xf numFmtId="0" fontId="34" fillId="0" borderId="57" xfId="0" applyFont="1" applyBorder="1"/>
    <xf numFmtId="0" fontId="34" fillId="0" borderId="57" xfId="0" applyFont="1" applyFill="1" applyBorder="1"/>
    <xf numFmtId="0" fontId="34" fillId="0" borderId="57" xfId="0" applyFont="1" applyBorder="1" applyAlignment="1">
      <alignment horizontal="center"/>
    </xf>
    <xf numFmtId="169" fontId="34" fillId="48" borderId="45" xfId="30" applyNumberFormat="1" applyFont="1" applyFill="1" applyBorder="1" applyAlignment="1">
      <alignment horizontal="center" vertical="center"/>
    </xf>
    <xf numFmtId="169" fontId="34" fillId="5" borderId="45" xfId="30" applyNumberFormat="1" applyFont="1" applyFill="1" applyBorder="1" applyAlignment="1">
      <alignment horizontal="center" vertical="center"/>
    </xf>
    <xf numFmtId="169" fontId="34" fillId="5" borderId="58" xfId="30" applyNumberFormat="1" applyFont="1" applyFill="1" applyBorder="1" applyAlignment="1">
      <alignment horizontal="center" vertical="center"/>
    </xf>
    <xf numFmtId="174" fontId="34" fillId="48" borderId="45" xfId="29" applyNumberFormat="1" applyFont="1" applyFill="1" applyBorder="1" applyAlignment="1">
      <alignment horizontal="center" vertical="center"/>
    </xf>
    <xf numFmtId="169" fontId="39" fillId="5" borderId="38" xfId="0" applyNumberFormat="1" applyFont="1" applyFill="1" applyBorder="1" applyAlignment="1">
      <alignment horizontal="center" vertical="center"/>
    </xf>
    <xf numFmtId="169" fontId="34" fillId="5" borderId="59" xfId="30" applyNumberFormat="1" applyFont="1" applyFill="1" applyBorder="1" applyAlignment="1">
      <alignment horizontal="center" vertical="center"/>
    </xf>
    <xf numFmtId="0" fontId="44" fillId="39" borderId="42" xfId="0" applyFont="1" applyFill="1" applyBorder="1" applyAlignment="1">
      <alignment horizontal="center" vertical="center" wrapText="1"/>
    </xf>
    <xf numFmtId="0" fontId="44" fillId="39" borderId="42" xfId="0" applyFont="1" applyFill="1" applyBorder="1" applyAlignment="1" applyProtection="1">
      <alignment horizontal="center" vertical="center" wrapText="1"/>
    </xf>
    <xf numFmtId="166" fontId="34" fillId="6" borderId="59" xfId="30" applyNumberFormat="1" applyFont="1" applyFill="1" applyBorder="1" applyAlignment="1" applyProtection="1">
      <alignment vertical="center"/>
    </xf>
    <xf numFmtId="0" fontId="44" fillId="5" borderId="62" xfId="0" applyFont="1" applyFill="1" applyBorder="1" applyAlignment="1">
      <alignment horizontal="center" vertical="center" wrapText="1"/>
    </xf>
    <xf numFmtId="166" fontId="34" fillId="5" borderId="62" xfId="30" applyNumberFormat="1" applyFont="1" applyFill="1" applyBorder="1" applyAlignment="1">
      <alignment horizontal="left" vertical="center"/>
    </xf>
    <xf numFmtId="0" fontId="0" fillId="5" borderId="0" xfId="0" applyNumberFormat="1" applyFont="1" applyFill="1" applyBorder="1" applyAlignment="1">
      <alignment horizontal="left" vertical="center"/>
    </xf>
    <xf numFmtId="9" fontId="34" fillId="48" borderId="62" xfId="29" applyFont="1" applyFill="1" applyBorder="1" applyAlignment="1">
      <alignment horizontal="center" vertical="center"/>
    </xf>
    <xf numFmtId="166" fontId="34" fillId="0" borderId="26" xfId="30" applyFont="1" applyBorder="1" applyAlignment="1" applyProtection="1">
      <alignment horizontal="center"/>
    </xf>
    <xf numFmtId="166" fontId="34" fillId="38" borderId="26" xfId="30" applyFont="1" applyFill="1" applyBorder="1" applyAlignment="1" applyProtection="1">
      <alignment horizontal="center"/>
      <protection locked="0"/>
    </xf>
    <xf numFmtId="166" fontId="34" fillId="0" borderId="0" xfId="30" applyFont="1" applyProtection="1"/>
    <xf numFmtId="166" fontId="42" fillId="28" borderId="26" xfId="30" applyFont="1" applyFill="1" applyBorder="1" applyAlignment="1" applyProtection="1">
      <alignment horizontal="center" vertical="top"/>
    </xf>
    <xf numFmtId="171" fontId="38" fillId="34" borderId="45" xfId="0" applyNumberFormat="1" applyFont="1" applyFill="1" applyBorder="1" applyAlignment="1">
      <alignment horizontal="center" vertical="center"/>
    </xf>
    <xf numFmtId="14" fontId="34" fillId="38" borderId="1" xfId="0" applyNumberFormat="1" applyFont="1" applyFill="1" applyBorder="1" applyAlignment="1" applyProtection="1">
      <alignment horizontal="center" vertical="center"/>
      <protection locked="0"/>
    </xf>
    <xf numFmtId="166" fontId="34" fillId="0" borderId="0" xfId="0" applyNumberFormat="1" applyFont="1"/>
    <xf numFmtId="169" fontId="34" fillId="0" borderId="26" xfId="30" applyNumberFormat="1" applyFont="1" applyBorder="1" applyProtection="1">
      <protection locked="0"/>
    </xf>
    <xf numFmtId="169" fontId="34" fillId="0" borderId="31" xfId="30" applyNumberFormat="1" applyFont="1" applyBorder="1" applyProtection="1">
      <protection locked="0"/>
    </xf>
    <xf numFmtId="0" fontId="0" fillId="5" borderId="0" xfId="0" applyNumberFormat="1" applyFont="1" applyFill="1" applyBorder="1" applyAlignment="1">
      <alignment horizontal="left"/>
    </xf>
    <xf numFmtId="164" fontId="0" fillId="5" borderId="0" xfId="30" applyNumberFormat="1" applyFont="1" applyFill="1" applyBorder="1" applyAlignment="1">
      <alignment horizontal="center" vertical="center"/>
    </xf>
    <xf numFmtId="0" fontId="41" fillId="5" borderId="66" xfId="0" applyFont="1" applyFill="1" applyBorder="1" applyAlignment="1">
      <alignment horizontal="left" vertical="center" wrapText="1"/>
    </xf>
    <xf numFmtId="169" fontId="41" fillId="5" borderId="66" xfId="30" applyNumberFormat="1" applyFont="1" applyFill="1" applyBorder="1" applyAlignment="1">
      <alignment horizontal="left" vertical="center" wrapText="1"/>
    </xf>
    <xf numFmtId="0" fontId="0" fillId="5" borderId="0" xfId="30" applyNumberFormat="1" applyFont="1" applyFill="1" applyBorder="1" applyAlignment="1">
      <alignment horizontal="left" vertical="center"/>
    </xf>
    <xf numFmtId="0" fontId="39" fillId="42" borderId="0" xfId="0" applyFont="1" applyFill="1" applyBorder="1" applyAlignment="1">
      <alignment horizontal="center"/>
    </xf>
    <xf numFmtId="0" fontId="34" fillId="45" borderId="55" xfId="0" applyFont="1" applyFill="1" applyBorder="1" applyAlignment="1">
      <alignment horizontal="center"/>
    </xf>
    <xf numFmtId="0" fontId="34" fillId="45" borderId="56" xfId="0" applyFont="1" applyFill="1" applyBorder="1" applyAlignment="1">
      <alignment horizontal="center"/>
    </xf>
    <xf numFmtId="49" fontId="34" fillId="45" borderId="55" xfId="0" applyNumberFormat="1" applyFont="1" applyFill="1" applyBorder="1" applyAlignment="1">
      <alignment horizontal="center"/>
    </xf>
    <xf numFmtId="49" fontId="34" fillId="45" borderId="56" xfId="0" applyNumberFormat="1" applyFont="1" applyFill="1" applyBorder="1" applyAlignment="1">
      <alignment horizontal="center"/>
    </xf>
    <xf numFmtId="14" fontId="34" fillId="45" borderId="55" xfId="0" applyNumberFormat="1" applyFont="1" applyFill="1" applyBorder="1" applyAlignment="1">
      <alignment horizontal="center"/>
    </xf>
    <xf numFmtId="14" fontId="34" fillId="45" borderId="56" xfId="0" applyNumberFormat="1" applyFont="1" applyFill="1" applyBorder="1" applyAlignment="1">
      <alignment horizontal="center"/>
    </xf>
    <xf numFmtId="0" fontId="34" fillId="45" borderId="55" xfId="30" applyNumberFormat="1" applyFont="1" applyFill="1" applyBorder="1" applyAlignment="1">
      <alignment horizontal="center"/>
    </xf>
    <xf numFmtId="0" fontId="34" fillId="45" borderId="56" xfId="30" applyNumberFormat="1" applyFont="1" applyFill="1" applyBorder="1" applyAlignment="1">
      <alignment horizontal="center"/>
    </xf>
    <xf numFmtId="49" fontId="46" fillId="5" borderId="63" xfId="0" applyNumberFormat="1" applyFont="1" applyFill="1" applyBorder="1" applyAlignment="1" applyProtection="1">
      <alignment horizontal="left" vertical="center"/>
    </xf>
    <xf numFmtId="49" fontId="46" fillId="5" borderId="64" xfId="0" applyNumberFormat="1" applyFont="1" applyFill="1" applyBorder="1" applyAlignment="1" applyProtection="1">
      <alignment horizontal="left" vertical="center"/>
    </xf>
    <xf numFmtId="49" fontId="46" fillId="5" borderId="65" xfId="0" applyNumberFormat="1" applyFont="1" applyFill="1" applyBorder="1" applyAlignment="1" applyProtection="1">
      <alignment horizontal="left" vertical="center"/>
    </xf>
    <xf numFmtId="49" fontId="34" fillId="38" borderId="63" xfId="0" applyNumberFormat="1" applyFont="1" applyFill="1" applyBorder="1" applyAlignment="1" applyProtection="1">
      <alignment horizontal="center" vertical="center"/>
      <protection locked="0"/>
    </xf>
    <xf numFmtId="49" fontId="34" fillId="38" borderId="65" xfId="0" applyNumberFormat="1" applyFont="1" applyFill="1" applyBorder="1" applyAlignment="1" applyProtection="1">
      <alignment horizontal="center" vertical="center"/>
      <protection locked="0"/>
    </xf>
    <xf numFmtId="1" fontId="34" fillId="48" borderId="60" xfId="30" applyNumberFormat="1" applyFont="1" applyFill="1" applyBorder="1" applyAlignment="1">
      <alignment horizontal="center" vertical="center"/>
    </xf>
    <xf numFmtId="1" fontId="34" fillId="48" borderId="61" xfId="30" applyNumberFormat="1" applyFont="1" applyFill="1" applyBorder="1" applyAlignment="1">
      <alignment horizontal="center" vertical="center"/>
    </xf>
    <xf numFmtId="0" fontId="45" fillId="48" borderId="45" xfId="0" applyFont="1" applyFill="1" applyBorder="1" applyAlignment="1" applyProtection="1">
      <alignment horizontal="left" vertical="center"/>
    </xf>
    <xf numFmtId="49" fontId="46" fillId="5" borderId="1" xfId="0" applyNumberFormat="1" applyFont="1" applyFill="1" applyBorder="1" applyAlignment="1" applyProtection="1">
      <alignment horizontal="left" vertical="center"/>
    </xf>
    <xf numFmtId="0" fontId="46" fillId="5" borderId="39" xfId="0" applyFont="1" applyFill="1" applyBorder="1" applyAlignment="1" applyProtection="1">
      <alignment horizontal="left" vertical="center" indent="4"/>
    </xf>
    <xf numFmtId="0" fontId="46" fillId="5" borderId="40" xfId="0" applyFont="1" applyFill="1" applyBorder="1" applyAlignment="1" applyProtection="1">
      <alignment horizontal="left" vertical="center" indent="4"/>
    </xf>
    <xf numFmtId="0" fontId="46" fillId="5" borderId="41" xfId="0" applyFont="1" applyFill="1" applyBorder="1" applyAlignment="1" applyProtection="1">
      <alignment horizontal="left" vertical="center" indent="4"/>
    </xf>
    <xf numFmtId="0" fontId="46" fillId="5" borderId="39" xfId="0" applyFont="1" applyFill="1" applyBorder="1" applyAlignment="1" applyProtection="1">
      <alignment horizontal="left" vertical="center" indent="2"/>
    </xf>
    <xf numFmtId="0" fontId="46" fillId="5" borderId="40" xfId="0" applyFont="1" applyFill="1" applyBorder="1" applyAlignment="1" applyProtection="1">
      <alignment horizontal="left" vertical="center" indent="2"/>
    </xf>
    <xf numFmtId="0" fontId="46" fillId="5" borderId="41" xfId="0" applyFont="1" applyFill="1" applyBorder="1" applyAlignment="1" applyProtection="1">
      <alignment horizontal="left" vertical="center" indent="2"/>
    </xf>
    <xf numFmtId="0" fontId="46" fillId="5" borderId="39" xfId="0" applyFont="1" applyFill="1" applyBorder="1" applyAlignment="1" applyProtection="1">
      <alignment horizontal="left" vertical="center"/>
    </xf>
    <xf numFmtId="0" fontId="46" fillId="5" borderId="40" xfId="0" applyFont="1" applyFill="1" applyBorder="1" applyAlignment="1" applyProtection="1">
      <alignment horizontal="left" vertical="center"/>
    </xf>
    <xf numFmtId="0" fontId="46" fillId="5" borderId="41" xfId="0" applyFont="1" applyFill="1" applyBorder="1" applyAlignment="1" applyProtection="1">
      <alignment horizontal="left" vertical="center"/>
    </xf>
    <xf numFmtId="0" fontId="0" fillId="0" borderId="40" xfId="0" applyBorder="1" applyAlignment="1">
      <alignment horizontal="left" vertical="center"/>
    </xf>
    <xf numFmtId="0" fontId="0" fillId="0" borderId="41" xfId="0" applyBorder="1" applyAlignment="1">
      <alignment horizontal="left" vertical="center"/>
    </xf>
    <xf numFmtId="0" fontId="46" fillId="5" borderId="45" xfId="0" applyFont="1" applyFill="1" applyBorder="1" applyAlignment="1" applyProtection="1">
      <alignment horizontal="left" vertical="center" indent="1"/>
    </xf>
    <xf numFmtId="49" fontId="46" fillId="38" borderId="1" xfId="0" applyNumberFormat="1" applyFont="1" applyFill="1" applyBorder="1" applyAlignment="1" applyProtection="1">
      <alignment horizontal="left" vertical="center"/>
      <protection locked="0"/>
    </xf>
    <xf numFmtId="49" fontId="34" fillId="38" borderId="1" xfId="0" applyNumberFormat="1" applyFont="1" applyFill="1" applyBorder="1" applyAlignment="1" applyProtection="1">
      <alignment horizontal="center" vertical="center"/>
      <protection locked="0"/>
    </xf>
    <xf numFmtId="14" fontId="34" fillId="38" borderId="21" xfId="0" applyNumberFormat="1" applyFont="1" applyFill="1" applyBorder="1" applyAlignment="1" applyProtection="1">
      <alignment horizontal="center" vertical="center"/>
      <protection locked="0"/>
    </xf>
    <xf numFmtId="14" fontId="34" fillId="38" borderId="22" xfId="0" applyNumberFormat="1" applyFont="1" applyFill="1" applyBorder="1" applyAlignment="1" applyProtection="1">
      <alignment horizontal="center" vertical="center"/>
      <protection locked="0"/>
    </xf>
    <xf numFmtId="171" fontId="38" fillId="34" borderId="45" xfId="0" applyNumberFormat="1" applyFont="1" applyFill="1" applyBorder="1" applyAlignment="1">
      <alignment horizontal="center" vertical="center"/>
    </xf>
    <xf numFmtId="0" fontId="44" fillId="39" borderId="42" xfId="0" applyFont="1" applyFill="1" applyBorder="1" applyAlignment="1">
      <alignment horizontal="center" vertical="center" wrapText="1"/>
    </xf>
    <xf numFmtId="0" fontId="44" fillId="39" borderId="44" xfId="0" applyFont="1" applyFill="1" applyBorder="1" applyAlignment="1">
      <alignment horizontal="center" vertical="center" wrapText="1"/>
    </xf>
    <xf numFmtId="0" fontId="44" fillId="39" borderId="5" xfId="0" applyFont="1" applyFill="1" applyBorder="1" applyAlignment="1">
      <alignment horizontal="center" vertical="center" wrapText="1"/>
    </xf>
    <xf numFmtId="168" fontId="44" fillId="39" borderId="44" xfId="0" applyNumberFormat="1" applyFont="1" applyFill="1" applyBorder="1" applyAlignment="1">
      <alignment horizontal="center" vertical="center" wrapText="1"/>
    </xf>
    <xf numFmtId="168" fontId="44" fillId="39" borderId="5" xfId="0" applyNumberFormat="1" applyFont="1" applyFill="1" applyBorder="1" applyAlignment="1">
      <alignment horizontal="center" vertical="center" wrapText="1"/>
    </xf>
    <xf numFmtId="0" fontId="44" fillId="39" borderId="44" xfId="0" applyFont="1" applyFill="1" applyBorder="1" applyAlignment="1" applyProtection="1">
      <alignment horizontal="center" vertical="center" wrapText="1"/>
    </xf>
    <xf numFmtId="0" fontId="44" fillId="39" borderId="5" xfId="0" applyFont="1" applyFill="1" applyBorder="1" applyAlignment="1" applyProtection="1">
      <alignment horizontal="center" vertical="center" wrapText="1"/>
    </xf>
    <xf numFmtId="0" fontId="44" fillId="39" borderId="42" xfId="0" applyFont="1" applyFill="1" applyBorder="1" applyAlignment="1" applyProtection="1">
      <alignment horizontal="center" vertical="center" wrapText="1"/>
    </xf>
    <xf numFmtId="168" fontId="44" fillId="39" borderId="44" xfId="0" applyNumberFormat="1" applyFont="1" applyFill="1" applyBorder="1" applyAlignment="1" applyProtection="1">
      <alignment horizontal="center" vertical="center" wrapText="1"/>
    </xf>
    <xf numFmtId="168" fontId="44" fillId="39" borderId="5" xfId="0" applyNumberFormat="1" applyFont="1" applyFill="1" applyBorder="1" applyAlignment="1" applyProtection="1">
      <alignment horizontal="center" vertical="center" wrapText="1"/>
    </xf>
  </cellXfs>
  <cellStyles count="190">
    <cellStyle name="_Смета Ниж_Новгород_v3" xfId="133" xr:uid="{00000000-0005-0000-0000-000000000000}"/>
    <cellStyle name="20% - Accent1" xfId="134" xr:uid="{00000000-0005-0000-0000-000001000000}"/>
    <cellStyle name="20% - Accent2" xfId="135" xr:uid="{00000000-0005-0000-0000-000002000000}"/>
    <cellStyle name="20% - Accent3" xfId="136" xr:uid="{00000000-0005-0000-0000-000003000000}"/>
    <cellStyle name="20% - Accent4" xfId="137" xr:uid="{00000000-0005-0000-0000-000004000000}"/>
    <cellStyle name="20% - Accent5" xfId="138" xr:uid="{00000000-0005-0000-0000-000005000000}"/>
    <cellStyle name="20% - Accent6" xfId="139" xr:uid="{00000000-0005-0000-0000-000006000000}"/>
    <cellStyle name="40% - Accent1" xfId="132" xr:uid="{00000000-0005-0000-0000-000007000000}"/>
    <cellStyle name="40% - Accent2" xfId="140" xr:uid="{00000000-0005-0000-0000-000008000000}"/>
    <cellStyle name="40% - Accent3" xfId="141" xr:uid="{00000000-0005-0000-0000-000009000000}"/>
    <cellStyle name="40% - Accent4" xfId="142" xr:uid="{00000000-0005-0000-0000-00000A000000}"/>
    <cellStyle name="40% - Accent5" xfId="143" xr:uid="{00000000-0005-0000-0000-00000B000000}"/>
    <cellStyle name="40% - Accent5 2" xfId="1" xr:uid="{00000000-0005-0000-0000-00000C000000}"/>
    <cellStyle name="40% - Accent5 2 2" xfId="32" xr:uid="{00000000-0005-0000-0000-00000D000000}"/>
    <cellStyle name="40% - Accent5 2 2 2" xfId="33" xr:uid="{00000000-0005-0000-0000-00000E000000}"/>
    <cellStyle name="40% - Accent5 2 3" xfId="34" xr:uid="{00000000-0005-0000-0000-00000F000000}"/>
    <cellStyle name="40% - Accent6" xfId="144" xr:uid="{00000000-0005-0000-0000-000010000000}"/>
    <cellStyle name="60% - Accent1" xfId="145" xr:uid="{00000000-0005-0000-0000-000011000000}"/>
    <cellStyle name="60% - Accent2" xfId="146" xr:uid="{00000000-0005-0000-0000-000012000000}"/>
    <cellStyle name="60% - Accent3" xfId="147" xr:uid="{00000000-0005-0000-0000-000013000000}"/>
    <cellStyle name="60% - Accent4" xfId="148" xr:uid="{00000000-0005-0000-0000-000014000000}"/>
    <cellStyle name="60% - Accent5" xfId="149" xr:uid="{00000000-0005-0000-0000-000015000000}"/>
    <cellStyle name="60% - Accent6" xfId="150" xr:uid="{00000000-0005-0000-0000-000016000000}"/>
    <cellStyle name="Accent1" xfId="151" xr:uid="{00000000-0005-0000-0000-000017000000}"/>
    <cellStyle name="Accent2" xfId="160" xr:uid="{00000000-0005-0000-0000-000018000000}"/>
    <cellStyle name="Accent3" xfId="152" xr:uid="{00000000-0005-0000-0000-000019000000}"/>
    <cellStyle name="Accent4" xfId="153" xr:uid="{00000000-0005-0000-0000-00001A000000}"/>
    <cellStyle name="Accent5" xfId="154" xr:uid="{00000000-0005-0000-0000-00001B000000}"/>
    <cellStyle name="Accent6" xfId="155" xr:uid="{00000000-0005-0000-0000-00001C000000}"/>
    <cellStyle name="Bad" xfId="156" xr:uid="{00000000-0005-0000-0000-00001D000000}"/>
    <cellStyle name="Calculation" xfId="157" xr:uid="{00000000-0005-0000-0000-00001E000000}"/>
    <cellStyle name="Check Cell" xfId="158" xr:uid="{00000000-0005-0000-0000-00001F000000}"/>
    <cellStyle name="Explanatory Text" xfId="159" xr:uid="{00000000-0005-0000-0000-000020000000}"/>
    <cellStyle name="Good" xfId="163" xr:uid="{00000000-0005-0000-0000-000021000000}"/>
    <cellStyle name="Good 2" xfId="2" xr:uid="{00000000-0005-0000-0000-000022000000}"/>
    <cellStyle name="Heading 1" xfId="164" xr:uid="{00000000-0005-0000-0000-000023000000}"/>
    <cellStyle name="Heading 2" xfId="165" xr:uid="{00000000-0005-0000-0000-000024000000}"/>
    <cellStyle name="Heading 3" xfId="166" xr:uid="{00000000-0005-0000-0000-000025000000}"/>
    <cellStyle name="Heading 4" xfId="167" xr:uid="{00000000-0005-0000-0000-000026000000}"/>
    <cellStyle name="Input" xfId="168" xr:uid="{00000000-0005-0000-0000-000027000000}"/>
    <cellStyle name="Linked Cell" xfId="169" xr:uid="{00000000-0005-0000-0000-000028000000}"/>
    <cellStyle name="Neutral" xfId="170" xr:uid="{00000000-0005-0000-0000-000029000000}"/>
    <cellStyle name="Neutral 2" xfId="3" xr:uid="{00000000-0005-0000-0000-00002A000000}"/>
    <cellStyle name="Normal 2" xfId="4" xr:uid="{00000000-0005-0000-0000-00002B000000}"/>
    <cellStyle name="Normal 2 2" xfId="5" xr:uid="{00000000-0005-0000-0000-00002C000000}"/>
    <cellStyle name="Normal 2 3" xfId="6" xr:uid="{00000000-0005-0000-0000-00002D000000}"/>
    <cellStyle name="Normal 2 3 2" xfId="7" xr:uid="{00000000-0005-0000-0000-00002E000000}"/>
    <cellStyle name="Note" xfId="171" xr:uid="{00000000-0005-0000-0000-00002F000000}"/>
    <cellStyle name="Output" xfId="172" xr:uid="{00000000-0005-0000-0000-000030000000}"/>
    <cellStyle name="S20" xfId="35" xr:uid="{00000000-0005-0000-0000-000031000000}"/>
    <cellStyle name="Title" xfId="173" xr:uid="{00000000-0005-0000-0000-000032000000}"/>
    <cellStyle name="Total" xfId="174" xr:uid="{00000000-0005-0000-0000-000033000000}"/>
    <cellStyle name="Warning Text" xfId="175" xr:uid="{00000000-0005-0000-0000-000034000000}"/>
    <cellStyle name="Гиперссылка" xfId="189" builtinId="8"/>
    <cellStyle name="Гиперссылка 2" xfId="8" xr:uid="{00000000-0005-0000-0000-000036000000}"/>
    <cellStyle name="Денежный 2" xfId="176" xr:uid="{00000000-0005-0000-0000-000037000000}"/>
    <cellStyle name="Денежный 3" xfId="182" xr:uid="{00000000-0005-0000-0000-000038000000}"/>
    <cellStyle name="Обычный" xfId="0" builtinId="0"/>
    <cellStyle name="Обычный 10" xfId="9" xr:uid="{00000000-0005-0000-0000-00003A000000}"/>
    <cellStyle name="Обычный 10 2" xfId="36" xr:uid="{00000000-0005-0000-0000-00003B000000}"/>
    <cellStyle name="Обычный 10 2 2" xfId="37" xr:uid="{00000000-0005-0000-0000-00003C000000}"/>
    <cellStyle name="Обычный 10 3" xfId="38" xr:uid="{00000000-0005-0000-0000-00003D000000}"/>
    <cellStyle name="Обычный 11" xfId="10" xr:uid="{00000000-0005-0000-0000-00003E000000}"/>
    <cellStyle name="Обычный 11 2" xfId="39" xr:uid="{00000000-0005-0000-0000-00003F000000}"/>
    <cellStyle name="Обычный 11 2 2" xfId="40" xr:uid="{00000000-0005-0000-0000-000040000000}"/>
    <cellStyle name="Обычный 11 3" xfId="41" xr:uid="{00000000-0005-0000-0000-000041000000}"/>
    <cellStyle name="Обычный 12" xfId="11" xr:uid="{00000000-0005-0000-0000-000042000000}"/>
    <cellStyle name="Обычный 12 2" xfId="42" xr:uid="{00000000-0005-0000-0000-000043000000}"/>
    <cellStyle name="Обычный 12 2 2" xfId="43" xr:uid="{00000000-0005-0000-0000-000044000000}"/>
    <cellStyle name="Обычный 12 3" xfId="44" xr:uid="{00000000-0005-0000-0000-000045000000}"/>
    <cellStyle name="Обычный 13" xfId="12" xr:uid="{00000000-0005-0000-0000-000046000000}"/>
    <cellStyle name="Обычный 13 2" xfId="45" xr:uid="{00000000-0005-0000-0000-000047000000}"/>
    <cellStyle name="Обычный 13 2 2" xfId="46" xr:uid="{00000000-0005-0000-0000-000048000000}"/>
    <cellStyle name="Обычный 13 3" xfId="47" xr:uid="{00000000-0005-0000-0000-000049000000}"/>
    <cellStyle name="Обычный 14" xfId="13" xr:uid="{00000000-0005-0000-0000-00004A000000}"/>
    <cellStyle name="Обычный 14 2" xfId="48" xr:uid="{00000000-0005-0000-0000-00004B000000}"/>
    <cellStyle name="Обычный 14 2 2" xfId="49" xr:uid="{00000000-0005-0000-0000-00004C000000}"/>
    <cellStyle name="Обычный 14 3" xfId="50" xr:uid="{00000000-0005-0000-0000-00004D000000}"/>
    <cellStyle name="Обычный 15" xfId="14" xr:uid="{00000000-0005-0000-0000-00004E000000}"/>
    <cellStyle name="Обычный 15 2" xfId="51" xr:uid="{00000000-0005-0000-0000-00004F000000}"/>
    <cellStyle name="Обычный 15 2 2" xfId="52" xr:uid="{00000000-0005-0000-0000-000050000000}"/>
    <cellStyle name="Обычный 15 3" xfId="53" xr:uid="{00000000-0005-0000-0000-000051000000}"/>
    <cellStyle name="Обычный 16" xfId="15" xr:uid="{00000000-0005-0000-0000-000052000000}"/>
    <cellStyle name="Обычный 16 2" xfId="54" xr:uid="{00000000-0005-0000-0000-000053000000}"/>
    <cellStyle name="Обычный 16 2 2" xfId="55" xr:uid="{00000000-0005-0000-0000-000054000000}"/>
    <cellStyle name="Обычный 16 3" xfId="56" xr:uid="{00000000-0005-0000-0000-000055000000}"/>
    <cellStyle name="Обычный 161" xfId="186" xr:uid="{00000000-0005-0000-0000-000056000000}"/>
    <cellStyle name="Обычный 17" xfId="16" xr:uid="{00000000-0005-0000-0000-000057000000}"/>
    <cellStyle name="Обычный 17 2" xfId="57" xr:uid="{00000000-0005-0000-0000-000058000000}"/>
    <cellStyle name="Обычный 17 2 2" xfId="58" xr:uid="{00000000-0005-0000-0000-000059000000}"/>
    <cellStyle name="Обычный 17 3" xfId="59" xr:uid="{00000000-0005-0000-0000-00005A000000}"/>
    <cellStyle name="Обычный 18" xfId="17" xr:uid="{00000000-0005-0000-0000-00005B000000}"/>
    <cellStyle name="Обычный 18 2" xfId="61" xr:uid="{00000000-0005-0000-0000-00005C000000}"/>
    <cellStyle name="Обычный 18 2 2" xfId="62" xr:uid="{00000000-0005-0000-0000-00005D000000}"/>
    <cellStyle name="Обычный 18 2 2 2" xfId="63" xr:uid="{00000000-0005-0000-0000-00005E000000}"/>
    <cellStyle name="Обычный 18 2 3" xfId="64" xr:uid="{00000000-0005-0000-0000-00005F000000}"/>
    <cellStyle name="Обычный 18 3" xfId="65" xr:uid="{00000000-0005-0000-0000-000060000000}"/>
    <cellStyle name="Обычный 18 3 2" xfId="66" xr:uid="{00000000-0005-0000-0000-000061000000}"/>
    <cellStyle name="Обычный 18 4" xfId="67" xr:uid="{00000000-0005-0000-0000-000062000000}"/>
    <cellStyle name="Обычный 18 5" xfId="60" xr:uid="{00000000-0005-0000-0000-000063000000}"/>
    <cellStyle name="Обычный 19" xfId="18" xr:uid="{00000000-0005-0000-0000-000064000000}"/>
    <cellStyle name="Обычный 19 2" xfId="68" xr:uid="{00000000-0005-0000-0000-000065000000}"/>
    <cellStyle name="Обычный 19 2 2" xfId="69" xr:uid="{00000000-0005-0000-0000-000066000000}"/>
    <cellStyle name="Обычный 19 3" xfId="70" xr:uid="{00000000-0005-0000-0000-000067000000}"/>
    <cellStyle name="Обычный 2" xfId="19" xr:uid="{00000000-0005-0000-0000-000068000000}"/>
    <cellStyle name="Обычный 2 2" xfId="20" xr:uid="{00000000-0005-0000-0000-000069000000}"/>
    <cellStyle name="Обычный 2 2 2" xfId="71" xr:uid="{00000000-0005-0000-0000-00006A000000}"/>
    <cellStyle name="Обычный 2 3" xfId="21" xr:uid="{00000000-0005-0000-0000-00006B000000}"/>
    <cellStyle name="Обычный 2 3 2" xfId="72" xr:uid="{00000000-0005-0000-0000-00006C000000}"/>
    <cellStyle name="Обычный 2 3 2 2" xfId="73" xr:uid="{00000000-0005-0000-0000-00006D000000}"/>
    <cellStyle name="Обычный 2 3 2 2 2" xfId="74" xr:uid="{00000000-0005-0000-0000-00006E000000}"/>
    <cellStyle name="Обычный 2 3 2 3" xfId="75" xr:uid="{00000000-0005-0000-0000-00006F000000}"/>
    <cellStyle name="Обычный 2 4" xfId="76" xr:uid="{00000000-0005-0000-0000-000070000000}"/>
    <cellStyle name="Обычный 2 4 2" xfId="77" xr:uid="{00000000-0005-0000-0000-000071000000}"/>
    <cellStyle name="Обычный 2 4 2 2" xfId="78" xr:uid="{00000000-0005-0000-0000-000072000000}"/>
    <cellStyle name="Обычный 2 4 2 2 2" xfId="79" xr:uid="{00000000-0005-0000-0000-000073000000}"/>
    <cellStyle name="Обычный 2 4 2 3" xfId="80" xr:uid="{00000000-0005-0000-0000-000074000000}"/>
    <cellStyle name="Обычный 2 4 3" xfId="81" xr:uid="{00000000-0005-0000-0000-000075000000}"/>
    <cellStyle name="Обычный 2 4 3 2" xfId="82" xr:uid="{00000000-0005-0000-0000-000076000000}"/>
    <cellStyle name="Обычный 2 4 4" xfId="83" xr:uid="{00000000-0005-0000-0000-000077000000}"/>
    <cellStyle name="Обычный 2 5" xfId="84" xr:uid="{00000000-0005-0000-0000-000078000000}"/>
    <cellStyle name="Обычный 2 5 2" xfId="85" xr:uid="{00000000-0005-0000-0000-000079000000}"/>
    <cellStyle name="Обычный 2 5 2 2" xfId="86" xr:uid="{00000000-0005-0000-0000-00007A000000}"/>
    <cellStyle name="Обычный 2 5 3" xfId="87" xr:uid="{00000000-0005-0000-0000-00007B000000}"/>
    <cellStyle name="Обычный 2 6" xfId="88" xr:uid="{00000000-0005-0000-0000-00007C000000}"/>
    <cellStyle name="Обычный 2 7" xfId="177" xr:uid="{00000000-0005-0000-0000-00007D000000}"/>
    <cellStyle name="Обычный 20" xfId="89" xr:uid="{00000000-0005-0000-0000-00007E000000}"/>
    <cellStyle name="Обычный 20 2" xfId="90" xr:uid="{00000000-0005-0000-0000-00007F000000}"/>
    <cellStyle name="Обычный 20 2 2" xfId="91" xr:uid="{00000000-0005-0000-0000-000080000000}"/>
    <cellStyle name="Обычный 20 3" xfId="92" xr:uid="{00000000-0005-0000-0000-000081000000}"/>
    <cellStyle name="Обычный 21" xfId="93" xr:uid="{00000000-0005-0000-0000-000082000000}"/>
    <cellStyle name="Обычный 21 2" xfId="94" xr:uid="{00000000-0005-0000-0000-000083000000}"/>
    <cellStyle name="Обычный 22" xfId="95" xr:uid="{00000000-0005-0000-0000-000084000000}"/>
    <cellStyle name="Обычный 23" xfId="96" xr:uid="{00000000-0005-0000-0000-000085000000}"/>
    <cellStyle name="Обычный 24" xfId="97" xr:uid="{00000000-0005-0000-0000-000086000000}"/>
    <cellStyle name="Обычный 3" xfId="22" xr:uid="{00000000-0005-0000-0000-000087000000}"/>
    <cellStyle name="Обычный 3 2" xfId="99" xr:uid="{00000000-0005-0000-0000-000088000000}"/>
    <cellStyle name="Обычный 3 2 2" xfId="100" xr:uid="{00000000-0005-0000-0000-000089000000}"/>
    <cellStyle name="Обычный 3 2 3" xfId="101" xr:uid="{00000000-0005-0000-0000-00008A000000}"/>
    <cellStyle name="Обычный 3 2 4" xfId="184" xr:uid="{00000000-0005-0000-0000-00008B000000}"/>
    <cellStyle name="Обычный 3 3" xfId="102" xr:uid="{00000000-0005-0000-0000-00008C000000}"/>
    <cellStyle name="Обычный 3 3 2" xfId="185" xr:uid="{00000000-0005-0000-0000-00008D000000}"/>
    <cellStyle name="Обычный 3 4" xfId="103" xr:uid="{00000000-0005-0000-0000-00008E000000}"/>
    <cellStyle name="Обычный 3 5" xfId="104" xr:uid="{00000000-0005-0000-0000-00008F000000}"/>
    <cellStyle name="Обычный 3 5 2" xfId="105" xr:uid="{00000000-0005-0000-0000-000090000000}"/>
    <cellStyle name="Обычный 3 6" xfId="106" xr:uid="{00000000-0005-0000-0000-000091000000}"/>
    <cellStyle name="Обычный 3 7" xfId="107" xr:uid="{00000000-0005-0000-0000-000092000000}"/>
    <cellStyle name="Обычный 3 8" xfId="98" xr:uid="{00000000-0005-0000-0000-000093000000}"/>
    <cellStyle name="Обычный 4" xfId="23" xr:uid="{00000000-0005-0000-0000-000094000000}"/>
    <cellStyle name="Обычный 4 2" xfId="108" xr:uid="{00000000-0005-0000-0000-000095000000}"/>
    <cellStyle name="Обычный 4 3" xfId="109" xr:uid="{00000000-0005-0000-0000-000096000000}"/>
    <cellStyle name="Обычный 4 3 2" xfId="110" xr:uid="{00000000-0005-0000-0000-000097000000}"/>
    <cellStyle name="Обычный 4 4" xfId="111" xr:uid="{00000000-0005-0000-0000-000098000000}"/>
    <cellStyle name="Обычный 5" xfId="24" xr:uid="{00000000-0005-0000-0000-000099000000}"/>
    <cellStyle name="Обычный 5 2" xfId="112" xr:uid="{00000000-0005-0000-0000-00009A000000}"/>
    <cellStyle name="Обычный 5 3" xfId="113" xr:uid="{00000000-0005-0000-0000-00009B000000}"/>
    <cellStyle name="Обычный 5 3 2" xfId="114" xr:uid="{00000000-0005-0000-0000-00009C000000}"/>
    <cellStyle name="Обычный 5 3 2 2" xfId="115" xr:uid="{00000000-0005-0000-0000-00009D000000}"/>
    <cellStyle name="Обычный 5 3 3" xfId="116" xr:uid="{00000000-0005-0000-0000-00009E000000}"/>
    <cellStyle name="Обычный 5 4" xfId="117" xr:uid="{00000000-0005-0000-0000-00009F000000}"/>
    <cellStyle name="Обычный 5 4 2" xfId="118" xr:uid="{00000000-0005-0000-0000-0000A0000000}"/>
    <cellStyle name="Обычный 5 5" xfId="119" xr:uid="{00000000-0005-0000-0000-0000A1000000}"/>
    <cellStyle name="Обычный 6" xfId="25" xr:uid="{00000000-0005-0000-0000-0000A2000000}"/>
    <cellStyle name="Обычный 6 2" xfId="120" xr:uid="{00000000-0005-0000-0000-0000A3000000}"/>
    <cellStyle name="Обычный 6 2 2" xfId="121" xr:uid="{00000000-0005-0000-0000-0000A4000000}"/>
    <cellStyle name="Обычный 6 3" xfId="122" xr:uid="{00000000-0005-0000-0000-0000A5000000}"/>
    <cellStyle name="Обычный 7" xfId="26" xr:uid="{00000000-0005-0000-0000-0000A6000000}"/>
    <cellStyle name="Обычный 7 2" xfId="123" xr:uid="{00000000-0005-0000-0000-0000A7000000}"/>
    <cellStyle name="Обычный 7 2 2" xfId="124" xr:uid="{00000000-0005-0000-0000-0000A8000000}"/>
    <cellStyle name="Обычный 7 3" xfId="125" xr:uid="{00000000-0005-0000-0000-0000A9000000}"/>
    <cellStyle name="Обычный 8" xfId="27" xr:uid="{00000000-0005-0000-0000-0000AA000000}"/>
    <cellStyle name="Обычный 9" xfId="28" xr:uid="{00000000-0005-0000-0000-0000AB000000}"/>
    <cellStyle name="Процентный" xfId="29" builtinId="5"/>
    <cellStyle name="Процентный 2" xfId="126" xr:uid="{00000000-0005-0000-0000-0000AD000000}"/>
    <cellStyle name="Стиль 1" xfId="178" xr:uid="{00000000-0005-0000-0000-0000AE000000}"/>
    <cellStyle name="Финансовый" xfId="30" builtinId="3"/>
    <cellStyle name="Финансовый 10" xfId="187" xr:uid="{00000000-0005-0000-0000-0000B0000000}"/>
    <cellStyle name="Финансовый 2" xfId="127" xr:uid="{00000000-0005-0000-0000-0000B1000000}"/>
    <cellStyle name="Финансовый 2 2" xfId="179" xr:uid="{00000000-0005-0000-0000-0000B2000000}"/>
    <cellStyle name="Финансовый 2 3" xfId="180" xr:uid="{00000000-0005-0000-0000-0000B3000000}"/>
    <cellStyle name="Финансовый 3" xfId="128" xr:uid="{00000000-0005-0000-0000-0000B4000000}"/>
    <cellStyle name="Финансовый 3 2" xfId="129" xr:uid="{00000000-0005-0000-0000-0000B5000000}"/>
    <cellStyle name="Финансовый 3 2 2" xfId="130" xr:uid="{00000000-0005-0000-0000-0000B6000000}"/>
    <cellStyle name="Финансовый 3 3" xfId="131" xr:uid="{00000000-0005-0000-0000-0000B7000000}"/>
    <cellStyle name="Финансовый 4" xfId="161" xr:uid="{00000000-0005-0000-0000-0000B8000000}"/>
    <cellStyle name="Финансовый 5" xfId="162" xr:uid="{00000000-0005-0000-0000-0000B9000000}"/>
    <cellStyle name="Финансовый 6" xfId="181" xr:uid="{00000000-0005-0000-0000-0000BA000000}"/>
    <cellStyle name="Финансовый 7" xfId="183" xr:uid="{00000000-0005-0000-0000-0000BB000000}"/>
    <cellStyle name="Финансовый 8" xfId="31" xr:uid="{00000000-0005-0000-0000-0000BC000000}"/>
    <cellStyle name="Финансовый 9" xfId="188" xr:uid="{00000000-0005-0000-0000-0000BD000000}"/>
  </cellStyles>
  <dxfs count="1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" formatCode="#,##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" formatCode="#,##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" formatCode="#,##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theme="6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textRotation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7" formatCode="[$-10419]dd\.mm\.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9.9948118533890809E-2"/>
        </patternFill>
      </fill>
    </dxf>
    <dxf>
      <font>
        <b/>
        <i val="0"/>
      </font>
      <fill>
        <patternFill>
          <bgColor theme="4"/>
        </patternFill>
      </fill>
      <border>
        <top style="double">
          <color auto="1"/>
        </top>
      </border>
    </dxf>
    <dxf>
      <font>
        <b/>
        <i val="0"/>
      </font>
      <fill>
        <patternFill>
          <bgColor theme="4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Стиль таблицы 1" defaultPivotStyle="PivotStyleLight16">
    <tableStyle name="Стиль таблицы 1" pivot="0" count="4" xr9:uid="{00000000-0011-0000-FFFF-FFFF00000000}">
      <tableStyleElement type="wholeTable" dxfId="153"/>
      <tableStyleElement type="headerRow" dxfId="152"/>
      <tableStyleElement type="totalRow" dxfId="151"/>
      <tableStyleElement type="firstRowStripe" dxfId="150"/>
    </tableStyle>
  </tableStyles>
  <colors>
    <mruColors>
      <color rgb="FFF5F5F5"/>
      <color rgb="FFFFF7E1"/>
      <color rgb="FF2F75B5"/>
      <color rgb="FF9BC2E6"/>
      <color rgb="FFBDD7EE"/>
      <color rgb="FFFDE6D3"/>
      <color rgb="FFFFF2CC"/>
      <color rgb="FFC7C7C7"/>
      <color rgb="FFE4E4E4"/>
      <color rgb="FFE0E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95250</xdr:rowOff>
    </xdr:from>
    <xdr:to>
      <xdr:col>4</xdr:col>
      <xdr:colOff>0</xdr:colOff>
      <xdr:row>9</xdr:row>
      <xdr:rowOff>95250</xdr:rowOff>
    </xdr:to>
    <xdr:cxnSp macro="">
      <xdr:nvCxnSpPr>
        <xdr:cNvPr id="6" name="JKPCellPointer00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0" y="1562100"/>
          <a:ext cx="2924175" cy="0"/>
        </a:xfrm>
        <a:prstGeom prst="line">
          <a:avLst/>
        </a:prstGeom>
        <a:ln w="12700" cap="flat" cmpd="sng" algn="ctr">
          <a:solidFill>
            <a:srgbClr val="FF0000"/>
          </a:solidFill>
          <a:prstDash val="solid"/>
          <a:round/>
          <a:headEnd type="none" w="med" len="med"/>
          <a:tailEnd type="arrow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2314575</xdr:colOff>
      <xdr:row>0</xdr:row>
      <xdr:rowOff>0</xdr:rowOff>
    </xdr:from>
    <xdr:to>
      <xdr:col>4</xdr:col>
      <xdr:colOff>2314575</xdr:colOff>
      <xdr:row>9</xdr:row>
      <xdr:rowOff>0</xdr:rowOff>
    </xdr:to>
    <xdr:cxnSp macro="">
      <xdr:nvCxnSpPr>
        <xdr:cNvPr id="7" name="JKPCellPointer000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5238750" y="0"/>
          <a:ext cx="0" cy="1466850"/>
        </a:xfrm>
        <a:prstGeom prst="line">
          <a:avLst/>
        </a:prstGeom>
        <a:ln w="12700" cap="flat" cmpd="sng" algn="ctr">
          <a:solidFill>
            <a:srgbClr val="FF0000"/>
          </a:solidFill>
          <a:prstDash val="solid"/>
          <a:round/>
          <a:headEnd type="none" w="med" len="med"/>
          <a:tailEnd type="arrow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0</xdr:row>
          <xdr:rowOff>137160</xdr:rowOff>
        </xdr:from>
        <xdr:to>
          <xdr:col>4</xdr:col>
          <xdr:colOff>914400</xdr:colOff>
          <xdr:row>2</xdr:row>
          <xdr:rowOff>45720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327660</xdr:colOff>
          <xdr:row>0</xdr:row>
          <xdr:rowOff>68580</xdr:rowOff>
        </xdr:from>
        <xdr:to>
          <xdr:col>4</xdr:col>
          <xdr:colOff>1950720</xdr:colOff>
          <xdr:row>1</xdr:row>
          <xdr:rowOff>121920</xdr:rowOff>
        </xdr:to>
        <xdr:sp macro="" textlink="">
          <xdr:nvSpPr>
            <xdr:cNvPr id="29843" name="Button 147" hidden="1">
              <a:extLst>
                <a:ext uri="{63B3BB69-23CF-44E3-9099-C40C66FF867C}">
                  <a14:compatExt spid="_x0000_s29843"/>
                </a:ext>
                <a:ext uri="{FF2B5EF4-FFF2-40B4-BE49-F238E27FC236}">
                  <a16:creationId xmlns:a16="http://schemas.microsoft.com/office/drawing/2014/main" id="{00000000-0008-0000-0400-00009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99060</xdr:rowOff>
        </xdr:from>
        <xdr:to>
          <xdr:col>4</xdr:col>
          <xdr:colOff>845820</xdr:colOff>
          <xdr:row>2</xdr:row>
          <xdr:rowOff>7620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83820</xdr:rowOff>
        </xdr:from>
        <xdr:to>
          <xdr:col>4</xdr:col>
          <xdr:colOff>845820</xdr:colOff>
          <xdr:row>2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99060</xdr:rowOff>
        </xdr:from>
        <xdr:to>
          <xdr:col>4</xdr:col>
          <xdr:colOff>845820</xdr:colOff>
          <xdr:row>2</xdr:row>
          <xdr:rowOff>7620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A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99060</xdr:rowOff>
        </xdr:from>
        <xdr:to>
          <xdr:col>4</xdr:col>
          <xdr:colOff>845820</xdr:colOff>
          <xdr:row>2</xdr:row>
          <xdr:rowOff>7620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cybulskaya\AppData\Roaming\1C\1Cv82\SED\ccd4d3df-7213-4ae3-974f-77c20603d92d\App\&#1057;&#1084;&#1077;&#1090;&#1072;%20&#1087;&#1088;&#1086;&#1077;&#1082;&#1090;&#1072;%20&#1040;&#1056;&#1052;%20&#1055;&#1044;&#1069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korshunova\Documents\DOC\&#1060;&#1086;&#1088;&#1084;&#1072;%20&#1076;&#1086;&#1093;&#1086;&#1076;&#1099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cybulskaya\AppData\Local\Microsoft\Windows\Temporary%20Internet%20Files\Content.Outlook\0HAU96FD\&#1057;&#1084;&#1077;&#1090;&#1072;%202016%20&#1052;&#1069;&#1057;%20&#1055;&#1088;&#1077;&#1076;&#1073;&#1080;&#1083;&#1083;&#1080;&#1085;&#1075;%20&#1083;&#1080;&#1094;&#1077;&#1085;&#1079;&#1080;&#1080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korshunova\Documents\DOC\&#1057;&#1074;&#1086;&#1076;%20&#1088;&#1077;&#1089;&#1091;&#1088;&#1089;&#1086;&#1074;%20&#1080;%20&#1073;&#1102;&#1076;&#1078;&#1077;&#1090;&#1072;%20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мета"/>
      <sheetName val="Расшифровка"/>
      <sheetName val="Оценка"/>
      <sheetName val="Справочники"/>
    </sheetNames>
    <sheetDataSet>
      <sheetData sheetId="0"/>
      <sheetData sheetId="1"/>
      <sheetData sheetId="2"/>
      <sheetData sheetId="3">
        <row r="37">
          <cell r="A37" t="str">
            <v>Доход</v>
          </cell>
        </row>
        <row r="38">
          <cell r="A38" t="str">
            <v>Субподряд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4"/>
      <sheetName val="Бюджет"/>
      <sheetName val="Справочники"/>
      <sheetName val="Лист3"/>
      <sheetName val="Форма доходы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егенда"/>
      <sheetName val="Смета"/>
      <sheetName val="Оценка трудоемкости"/>
      <sheetName val="Командировки"/>
      <sheetName val="Субподряд"/>
      <sheetName val="Справочники"/>
      <sheetName val="Основные данные"/>
      <sheetName val="Выплаты субподрядчикам"/>
      <sheetName val="Закупка лицензий"/>
      <sheetName val="Проект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gend"/>
      <sheetName val="Легенда"/>
      <sheetName val="Ресурсный план"/>
      <sheetName val="Список сотрудников"/>
      <sheetName val="Продуктовая разбивка"/>
      <sheetName val="Бюджет 2015"/>
      <sheetName val="Итог"/>
      <sheetName val="Свод ресурсов и бюджета 201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Проекты" displayName="Проекты" ref="A1:G82" totalsRowShown="0" headerRowDxfId="44" dataDxfId="43" headerRowCellStyle="Обычный 18">
  <autoFilter ref="A1:G82" xr:uid="{00000000-0009-0000-0100-00000A000000}"/>
  <tableColumns count="7">
    <tableColumn id="1" xr3:uid="{00000000-0010-0000-0000-000001000000}" name="Заказчик" dataDxfId="42"/>
    <tableColumn id="2" xr3:uid="{00000000-0010-0000-0000-000002000000}" name="Продукт" dataDxfId="41"/>
    <tableColumn id="3" xr3:uid="{00000000-0010-0000-0000-000003000000}" name="Продукт2" dataDxfId="40"/>
    <tableColumn id="4" xr3:uid="{00000000-0010-0000-0000-000004000000}" name="Вид деятельности" dataDxfId="39"/>
    <tableColumn id="5" xr3:uid="{00000000-0010-0000-0000-000005000000}" name="Наименование" dataDxfId="38"/>
    <tableColumn id="6" xr3:uid="{00000000-0010-0000-0000-000006000000}" name="Руководитель проекта" dataDxfId="37"/>
    <tableColumn id="7" xr3:uid="{00000000-0010-0000-0000-000007000000}" name="Город" dataDxfId="36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Командировки_инф" displayName="Командировки_инф" ref="A3:E24" totalsRowShown="0" headerRowDxfId="35" dataDxfId="34" tableBorderDxfId="33">
  <autoFilter ref="A3:E24" xr:uid="{00000000-0009-0000-0100-00000B000000}"/>
  <sortState xmlns:xlrd2="http://schemas.microsoft.com/office/spreadsheetml/2017/richdata2" ref="A3:E23">
    <sortCondition ref="A3:A23"/>
    <sortCondition ref="B3:B23"/>
  </sortState>
  <tableColumns count="5">
    <tableColumn id="1" xr3:uid="{00000000-0010-0000-0100-000001000000}" name="Город" dataDxfId="32"/>
    <tableColumn id="2" xr3:uid="{00000000-0010-0000-0100-000002000000}" name="Категория исполнителей" dataDxfId="31"/>
    <tableColumn id="3" xr3:uid="{00000000-0010-0000-0100-000003000000}" name="Проживание" dataDxfId="30" dataCellStyle="Финансовый"/>
    <tableColumn id="4" xr3:uid="{00000000-0010-0000-0100-000004000000}" name="Стоимость проезда в обе стороны" dataDxfId="29" dataCellStyle="Финансовый">
      <calculatedColumnFormula>10000*2</calculatedColumnFormula>
    </tableColumn>
    <tableColumn id="5" xr3:uid="{00000000-0010-0000-0100-000005000000}" name="Суточные" dataDxfId="28" dataCellStyle="Финансовый"/>
  </tableColumns>
  <tableStyleInfo name="Стиль таблицы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2000000}" name="Город" displayName="Город" ref="I3:I8" headerRowCount="0" totalsRowShown="0" headerRowDxfId="27" dataDxfId="25" headerRowBorderDxfId="26">
  <tableColumns count="1">
    <tableColumn id="1" xr3:uid="{00000000-0010-0000-0200-000001000000}" name="Столбец1" headerRowDxfId="24" dataDxfId="23"/>
  </tableColumns>
  <tableStyleInfo name="Стиль таблицы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Продукт" displayName="Продукт" ref="K3:K12" headerRowCount="0" totalsRowShown="0" headerRowDxfId="22" dataDxfId="21">
  <sortState xmlns:xlrd2="http://schemas.microsoft.com/office/spreadsheetml/2017/richdata2" ref="K3:K12">
    <sortCondition ref="K3"/>
  </sortState>
  <tableColumns count="1">
    <tableColumn id="1" xr3:uid="{00000000-0010-0000-0300-000001000000}" name="Продукт" dataDxfId="20"/>
  </tableColumns>
  <tableStyleInfo name="Стиль таблицы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Заказчик" displayName="Заказчик" ref="M3:M16" headerRowCount="0" totalsRowShown="0" headerRowDxfId="19" dataDxfId="18">
  <tableColumns count="1">
    <tableColumn id="1" xr3:uid="{00000000-0010-0000-0400-000001000000}" name="Столбец1" headerRowDxfId="17" dataDxfId="16"/>
  </tableColumns>
  <tableStyleInfo name="Стиль таблицы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Вид_деятельности" displayName="Вид_деятельности" ref="O3:O5" headerRowCount="0" totalsRowShown="0" headerRowDxfId="15" dataDxfId="14">
  <tableColumns count="1">
    <tableColumn id="1" xr3:uid="{00000000-0010-0000-0500-000001000000}" name="Столбец1" headerRowDxfId="13" dataDxfId="12"/>
  </tableColumns>
  <tableStyleInfo name="Стиль таблицы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Таблица16" displayName="Таблица16" ref="K17:L22" headerRowCount="0" totalsRowShown="0" headerRowDxfId="11" dataDxfId="9" headerRowBorderDxfId="10" tableBorderDxfId="8" totalsRowBorderDxfId="7">
  <tableColumns count="2">
    <tableColumn id="1" xr3:uid="{00000000-0010-0000-0600-000001000000}" name="Столбец1" headerRowDxfId="6" dataDxfId="5"/>
    <tableColumn id="2" xr3:uid="{00000000-0010-0000-0600-000002000000}" name="Столбец2" headerRowDxfId="4" dataDxfId="3"/>
  </tableColumns>
  <tableStyleInfo name="Стиль таблицы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Ответственный" displayName="Ответственный" ref="Q3:Q8" headerRowCount="0" totalsRowShown="0" headerRowDxfId="2" dataDxfId="1">
  <tableColumns count="1">
    <tableColumn id="1" xr3:uid="{00000000-0010-0000-0700-000001000000}" name="Столбец1" dataDxfId="0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4"/>
  <dimension ref="B2:G31"/>
  <sheetViews>
    <sheetView showGridLines="0" tabSelected="1" zoomScale="85" zoomScaleNormal="85" workbookViewId="0">
      <selection activeCell="F2" sqref="F2"/>
    </sheetView>
  </sheetViews>
  <sheetFormatPr defaultRowHeight="14.4" x14ac:dyDescent="0.3"/>
  <cols>
    <col min="2" max="2" width="2.109375" customWidth="1"/>
    <col min="3" max="3" width="3.44140625" customWidth="1"/>
    <col min="4" max="4" width="29.109375" customWidth="1"/>
    <col min="5" max="5" width="69.44140625" bestFit="1" customWidth="1"/>
    <col min="6" max="6" width="14.5546875" customWidth="1"/>
    <col min="7" max="7" width="2.109375" customWidth="1"/>
  </cols>
  <sheetData>
    <row r="2" spans="2:7" ht="3.75" customHeight="1" x14ac:dyDescent="0.3">
      <c r="B2" s="151"/>
      <c r="C2" s="152"/>
      <c r="D2" s="152"/>
      <c r="E2" s="152"/>
      <c r="F2" s="152"/>
      <c r="G2" s="153"/>
    </row>
    <row r="3" spans="2:7" s="96" customFormat="1" x14ac:dyDescent="0.3">
      <c r="B3" s="154"/>
      <c r="C3" s="156"/>
      <c r="D3" s="234" t="s">
        <v>381</v>
      </c>
      <c r="E3" s="234"/>
      <c r="F3" s="234"/>
      <c r="G3" s="155"/>
    </row>
    <row r="4" spans="2:7" s="96" customFormat="1" ht="6.75" customHeight="1" x14ac:dyDescent="0.3">
      <c r="B4" s="154"/>
      <c r="C4" s="156"/>
      <c r="D4" s="156"/>
      <c r="E4" s="156"/>
      <c r="F4" s="156"/>
      <c r="G4" s="155"/>
    </row>
    <row r="5" spans="2:7" s="96" customFormat="1" x14ac:dyDescent="0.3">
      <c r="B5" s="154"/>
      <c r="C5" s="165" t="s">
        <v>14</v>
      </c>
      <c r="D5" s="166"/>
      <c r="E5" s="235" t="str">
        <f>'Карточка проекта'!B1</f>
        <v xml:space="preserve">Облачное хранилище для строительной компании с функцией архивации </v>
      </c>
      <c r="F5" s="236"/>
      <c r="G5" s="155"/>
    </row>
    <row r="6" spans="2:7" s="96" customFormat="1" x14ac:dyDescent="0.3">
      <c r="B6" s="154"/>
      <c r="C6" s="165" t="s">
        <v>175</v>
      </c>
      <c r="D6" s="166"/>
      <c r="E6" s="237" t="str">
        <f>'Карточка проекта'!B2</f>
        <v>Чуйко Юлия Сергеевна</v>
      </c>
      <c r="F6" s="238"/>
      <c r="G6" s="155"/>
    </row>
    <row r="7" spans="2:7" s="96" customFormat="1" x14ac:dyDescent="0.3">
      <c r="B7" s="154"/>
      <c r="C7" s="165" t="s">
        <v>167</v>
      </c>
      <c r="D7" s="166"/>
      <c r="E7" s="239">
        <f>'Карточка проекта'!D3</f>
        <v>45219</v>
      </c>
      <c r="F7" s="240"/>
      <c r="G7" s="155"/>
    </row>
    <row r="8" spans="2:7" s="96" customFormat="1" x14ac:dyDescent="0.3">
      <c r="B8" s="154"/>
      <c r="C8" s="165" t="s">
        <v>0</v>
      </c>
      <c r="D8" s="166"/>
      <c r="E8" s="241" t="str">
        <f>'Карточка проекта'!D4</f>
        <v>ООО</v>
      </c>
      <c r="F8" s="242"/>
      <c r="G8" s="155"/>
    </row>
    <row r="9" spans="2:7" s="96" customFormat="1" x14ac:dyDescent="0.3">
      <c r="B9" s="154"/>
      <c r="C9" s="165" t="s">
        <v>1</v>
      </c>
      <c r="D9" s="166"/>
      <c r="E9" s="241" t="str">
        <f>'Карточка проекта'!D5</f>
        <v>Заказная разработка</v>
      </c>
      <c r="F9" s="242"/>
      <c r="G9" s="155"/>
    </row>
    <row r="10" spans="2:7" s="96" customFormat="1" x14ac:dyDescent="0.3">
      <c r="B10" s="154"/>
      <c r="C10" s="165" t="s">
        <v>13</v>
      </c>
      <c r="D10" s="166"/>
      <c r="E10" s="241" t="str">
        <f>'Карточка проекта'!D6</f>
        <v>Внедрение и развитие</v>
      </c>
      <c r="F10" s="242"/>
      <c r="G10" s="155"/>
    </row>
    <row r="11" spans="2:7" s="96" customFormat="1" x14ac:dyDescent="0.3">
      <c r="B11" s="154"/>
      <c r="C11" s="165" t="s">
        <v>12</v>
      </c>
      <c r="D11" s="166"/>
      <c r="E11" s="239" t="str">
        <f>'Карточка проекта'!D8</f>
        <v>_ _</v>
      </c>
      <c r="F11" s="240"/>
      <c r="G11" s="155"/>
    </row>
    <row r="12" spans="2:7" s="96" customFormat="1" x14ac:dyDescent="0.3">
      <c r="B12" s="154"/>
      <c r="C12" s="165" t="s">
        <v>15</v>
      </c>
      <c r="D12" s="166"/>
      <c r="E12" s="239" t="str">
        <f>DAY('Карточка проекта'!D9)&amp;"."&amp;MONTH('Карточка проекта'!D9)&amp;"."&amp;YEAR('Карточка проекта'!D9)
&amp;" - "&amp;
DAY('Карточка проекта'!E9)&amp;"."&amp;MONTH('Карточка проекта'!E9)&amp;"."&amp;YEAR('Карточка проекта'!E9)</f>
        <v>1.9.2023 - 31.12.2023</v>
      </c>
      <c r="F12" s="240"/>
      <c r="G12" s="155"/>
    </row>
    <row r="13" spans="2:7" s="96" customFormat="1" x14ac:dyDescent="0.3">
      <c r="B13" s="154"/>
      <c r="C13" s="156"/>
      <c r="D13" s="156"/>
      <c r="E13" s="156"/>
      <c r="F13" s="156"/>
      <c r="G13" s="155"/>
    </row>
    <row r="14" spans="2:7" s="96" customFormat="1" x14ac:dyDescent="0.3">
      <c r="B14" s="154"/>
      <c r="C14" s="156"/>
      <c r="D14" s="156"/>
      <c r="E14" s="156"/>
      <c r="F14" s="156"/>
      <c r="G14" s="155"/>
    </row>
    <row r="15" spans="2:7" s="96" customFormat="1" x14ac:dyDescent="0.3">
      <c r="B15" s="154"/>
      <c r="C15" s="156"/>
      <c r="D15" s="156"/>
      <c r="E15" s="156"/>
      <c r="F15" s="156"/>
      <c r="G15" s="155"/>
    </row>
    <row r="16" spans="2:7" s="96" customFormat="1" x14ac:dyDescent="0.3">
      <c r="B16" s="154"/>
      <c r="C16" s="234" t="s">
        <v>360</v>
      </c>
      <c r="D16" s="234"/>
      <c r="E16" s="234"/>
      <c r="F16" s="234"/>
      <c r="G16" s="155"/>
    </row>
    <row r="17" spans="2:7" s="96" customFormat="1" ht="3.75" customHeight="1" x14ac:dyDescent="0.3">
      <c r="B17" s="154"/>
      <c r="C17" s="157"/>
      <c r="D17" s="157"/>
      <c r="E17" s="157"/>
      <c r="F17" s="157"/>
      <c r="G17" s="155"/>
    </row>
    <row r="18" spans="2:7" x14ac:dyDescent="0.3">
      <c r="B18" s="154"/>
      <c r="C18" s="158" t="s">
        <v>349</v>
      </c>
      <c r="D18" s="158" t="s">
        <v>357</v>
      </c>
      <c r="E18" s="158" t="s">
        <v>358</v>
      </c>
      <c r="F18" s="158" t="s">
        <v>359</v>
      </c>
      <c r="G18" s="155"/>
    </row>
    <row r="19" spans="2:7" x14ac:dyDescent="0.3">
      <c r="B19" s="154"/>
      <c r="C19" s="159" t="s">
        <v>350</v>
      </c>
      <c r="D19" s="160" t="s">
        <v>361</v>
      </c>
      <c r="E19" s="160" t="s">
        <v>361</v>
      </c>
      <c r="F19" s="164" t="s">
        <v>371</v>
      </c>
      <c r="G19" s="155"/>
    </row>
    <row r="20" spans="2:7" x14ac:dyDescent="0.3">
      <c r="B20" s="154"/>
      <c r="C20" s="159" t="s">
        <v>351</v>
      </c>
      <c r="D20" s="160" t="s">
        <v>228</v>
      </c>
      <c r="E20" s="160" t="s">
        <v>372</v>
      </c>
      <c r="F20" s="164" t="s">
        <v>371</v>
      </c>
      <c r="G20" s="155"/>
    </row>
    <row r="21" spans="2:7" x14ac:dyDescent="0.3">
      <c r="B21" s="154"/>
      <c r="C21" s="159" t="s">
        <v>352</v>
      </c>
      <c r="D21" s="160" t="s">
        <v>123</v>
      </c>
      <c r="E21" s="160" t="s">
        <v>373</v>
      </c>
      <c r="F21" s="164" t="s">
        <v>371</v>
      </c>
      <c r="G21" s="155"/>
    </row>
    <row r="22" spans="2:7" x14ac:dyDescent="0.3">
      <c r="B22" s="154"/>
      <c r="C22" s="159" t="s">
        <v>353</v>
      </c>
      <c r="D22" s="160" t="s">
        <v>16</v>
      </c>
      <c r="E22" s="160" t="s">
        <v>374</v>
      </c>
      <c r="F22" s="164" t="s">
        <v>371</v>
      </c>
      <c r="G22" s="155"/>
    </row>
    <row r="23" spans="2:7" s="96" customFormat="1" x14ac:dyDescent="0.3">
      <c r="B23" s="154"/>
      <c r="C23" s="159" t="s">
        <v>354</v>
      </c>
      <c r="D23" s="160" t="s">
        <v>409</v>
      </c>
      <c r="E23" s="160" t="s">
        <v>417</v>
      </c>
      <c r="F23" s="164" t="s">
        <v>371</v>
      </c>
      <c r="G23" s="155"/>
    </row>
    <row r="24" spans="2:7" x14ac:dyDescent="0.3">
      <c r="B24" s="154"/>
      <c r="C24" s="159" t="s">
        <v>355</v>
      </c>
      <c r="D24" s="160" t="s">
        <v>362</v>
      </c>
      <c r="E24" s="160" t="s">
        <v>375</v>
      </c>
      <c r="F24" s="164" t="s">
        <v>371</v>
      </c>
      <c r="G24" s="155"/>
    </row>
    <row r="25" spans="2:7" x14ac:dyDescent="0.3">
      <c r="B25" s="154"/>
      <c r="C25" s="159" t="s">
        <v>356</v>
      </c>
      <c r="D25" s="160" t="s">
        <v>363</v>
      </c>
      <c r="E25" s="160" t="s">
        <v>378</v>
      </c>
      <c r="F25" s="164" t="s">
        <v>371</v>
      </c>
      <c r="G25" s="155"/>
    </row>
    <row r="26" spans="2:7" x14ac:dyDescent="0.3">
      <c r="B26" s="154"/>
      <c r="C26" s="159" t="s">
        <v>368</v>
      </c>
      <c r="D26" s="160" t="s">
        <v>364</v>
      </c>
      <c r="E26" s="160" t="s">
        <v>377</v>
      </c>
      <c r="F26" s="164" t="s">
        <v>371</v>
      </c>
      <c r="G26" s="155"/>
    </row>
    <row r="27" spans="2:7" x14ac:dyDescent="0.3">
      <c r="B27" s="154"/>
      <c r="C27" s="159" t="s">
        <v>369</v>
      </c>
      <c r="D27" s="160" t="s">
        <v>365</v>
      </c>
      <c r="E27" s="160" t="s">
        <v>379</v>
      </c>
      <c r="F27" s="164" t="s">
        <v>371</v>
      </c>
      <c r="G27" s="155"/>
    </row>
    <row r="28" spans="2:7" x14ac:dyDescent="0.3">
      <c r="B28" s="154"/>
      <c r="C28" s="159" t="s">
        <v>370</v>
      </c>
      <c r="D28" s="160" t="s">
        <v>366</v>
      </c>
      <c r="E28" s="160" t="s">
        <v>376</v>
      </c>
      <c r="F28" s="164" t="s">
        <v>371</v>
      </c>
      <c r="G28" s="155"/>
    </row>
    <row r="29" spans="2:7" x14ac:dyDescent="0.3">
      <c r="B29" s="154"/>
      <c r="C29" s="159" t="s">
        <v>416</v>
      </c>
      <c r="D29" s="160" t="s">
        <v>367</v>
      </c>
      <c r="E29" s="160" t="s">
        <v>380</v>
      </c>
      <c r="F29" s="164" t="s">
        <v>371</v>
      </c>
      <c r="G29" s="155"/>
    </row>
    <row r="30" spans="2:7" x14ac:dyDescent="0.3">
      <c r="B30" s="154"/>
      <c r="C30" s="156"/>
      <c r="D30" s="156"/>
      <c r="E30" s="156"/>
      <c r="F30" s="156"/>
      <c r="G30" s="155"/>
    </row>
    <row r="31" spans="2:7" x14ac:dyDescent="0.3">
      <c r="B31" s="161"/>
      <c r="C31" s="162"/>
      <c r="D31" s="162"/>
      <c r="E31" s="162"/>
      <c r="F31" s="162"/>
      <c r="G31" s="163"/>
    </row>
  </sheetData>
  <mergeCells count="10">
    <mergeCell ref="D3:F3"/>
    <mergeCell ref="C16:F16"/>
    <mergeCell ref="E5:F5"/>
    <mergeCell ref="E6:F6"/>
    <mergeCell ref="E7:F7"/>
    <mergeCell ref="E8:F8"/>
    <mergeCell ref="E9:F9"/>
    <mergeCell ref="E10:F10"/>
    <mergeCell ref="E11:F11"/>
    <mergeCell ref="E12:F12"/>
  </mergeCells>
  <hyperlinks>
    <hyperlink ref="F19" location="'Карточка проекта'!A1" display="'Карточка проекта'!A1" xr:uid="{00000000-0004-0000-0000-000000000000}"/>
    <hyperlink ref="F20" location="Проверка!A1" display="Ссылка на лист" xr:uid="{00000000-0004-0000-0000-000001000000}"/>
    <hyperlink ref="F21" location="'Оценка трудоемкости'!A1" display="Ссылка на лист" xr:uid="{00000000-0004-0000-0000-000002000000}"/>
    <hyperlink ref="F22" location="Командировки!A1" display="Ссылка на лист" xr:uid="{00000000-0004-0000-0000-000003000000}"/>
    <hyperlink ref="F24" location="БДР!A1" display="Ссылка на лист" xr:uid="{00000000-0004-0000-0000-000004000000}"/>
    <hyperlink ref="F25" location="БДР_Выручка!A1" display="Ссылка на лист" xr:uid="{00000000-0004-0000-0000-000005000000}"/>
    <hyperlink ref="F26" location="'БДР_Себестоимость и Расходы'!A1" display="Ссылка на лист" xr:uid="{00000000-0004-0000-0000-000006000000}"/>
    <hyperlink ref="F27" location="ДДС!A1" display="Ссылка на лист" xr:uid="{00000000-0004-0000-0000-000007000000}"/>
    <hyperlink ref="F28" location="ДДС_Поступление!A1" display="Ссылка на лист" xr:uid="{00000000-0004-0000-0000-000008000000}"/>
    <hyperlink ref="F29" location="ДДС_Расходование!A1" display="Ссылка на лист" xr:uid="{00000000-0004-0000-0000-000009000000}"/>
    <hyperlink ref="F23" location="'Договоры ГПХ'!A1" display="Ссылка на лист" xr:uid="{00000000-0004-0000-0000-00000A00000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tabColor theme="9" tint="0.79998168889431442"/>
    <pageSetUpPr fitToPage="1"/>
  </sheetPr>
  <dimension ref="A1:G37"/>
  <sheetViews>
    <sheetView showGridLines="0" zoomScaleNormal="100" workbookViewId="0">
      <selection activeCell="D40" sqref="D40"/>
    </sheetView>
  </sheetViews>
  <sheetFormatPr defaultColWidth="8.88671875" defaultRowHeight="10.199999999999999" x14ac:dyDescent="0.2"/>
  <cols>
    <col min="1" max="3" width="16.33203125" style="57" customWidth="1"/>
    <col min="4" max="5" width="19.33203125" style="57" customWidth="1"/>
    <col min="6" max="6" width="8.88671875" style="57"/>
    <col min="7" max="7" width="24" style="57" customWidth="1"/>
    <col min="8" max="16384" width="8.88671875" style="57"/>
  </cols>
  <sheetData>
    <row r="1" spans="1:6" s="56" customFormat="1" x14ac:dyDescent="0.2">
      <c r="A1" s="55" t="s">
        <v>14</v>
      </c>
      <c r="B1" s="264" t="s">
        <v>474</v>
      </c>
      <c r="C1" s="264"/>
      <c r="D1" s="264"/>
      <c r="E1" s="264"/>
    </row>
    <row r="2" spans="1:6" s="56" customFormat="1" x14ac:dyDescent="0.2">
      <c r="A2" s="55" t="s">
        <v>175</v>
      </c>
      <c r="B2" s="264" t="s">
        <v>473</v>
      </c>
      <c r="C2" s="264"/>
      <c r="D2" s="264"/>
      <c r="E2" s="264"/>
    </row>
    <row r="3" spans="1:6" x14ac:dyDescent="0.2">
      <c r="A3" s="251" t="s">
        <v>167</v>
      </c>
      <c r="B3" s="251"/>
      <c r="C3" s="251"/>
      <c r="D3" s="266">
        <v>45219</v>
      </c>
      <c r="E3" s="267"/>
    </row>
    <row r="4" spans="1:6" s="56" customFormat="1" x14ac:dyDescent="0.2">
      <c r="A4" s="251" t="s">
        <v>0</v>
      </c>
      <c r="B4" s="251"/>
      <c r="C4" s="251"/>
      <c r="D4" s="265" t="s">
        <v>467</v>
      </c>
      <c r="E4" s="265"/>
    </row>
    <row r="5" spans="1:6" s="56" customFormat="1" x14ac:dyDescent="0.2">
      <c r="A5" s="251" t="s">
        <v>1</v>
      </c>
      <c r="B5" s="251"/>
      <c r="C5" s="251"/>
      <c r="D5" s="265" t="s">
        <v>30</v>
      </c>
      <c r="E5" s="265"/>
    </row>
    <row r="6" spans="1:6" s="56" customFormat="1" x14ac:dyDescent="0.2">
      <c r="A6" s="251" t="s">
        <v>13</v>
      </c>
      <c r="B6" s="251"/>
      <c r="C6" s="251"/>
      <c r="D6" s="265" t="s">
        <v>124</v>
      </c>
      <c r="E6" s="265"/>
    </row>
    <row r="7" spans="1:6" s="56" customFormat="1" x14ac:dyDescent="0.2">
      <c r="A7" s="243" t="s">
        <v>433</v>
      </c>
      <c r="B7" s="244"/>
      <c r="C7" s="245"/>
      <c r="D7" s="246" t="s">
        <v>534</v>
      </c>
      <c r="E7" s="247"/>
    </row>
    <row r="8" spans="1:6" s="56" customFormat="1" x14ac:dyDescent="0.2">
      <c r="A8" s="251" t="s">
        <v>12</v>
      </c>
      <c r="B8" s="251"/>
      <c r="C8" s="251"/>
      <c r="D8" s="265" t="s">
        <v>172</v>
      </c>
      <c r="E8" s="265"/>
    </row>
    <row r="9" spans="1:6" x14ac:dyDescent="0.2">
      <c r="A9" s="251" t="s">
        <v>15</v>
      </c>
      <c r="B9" s="251"/>
      <c r="C9" s="251"/>
      <c r="D9" s="225">
        <v>45170</v>
      </c>
      <c r="E9" s="225">
        <v>45291</v>
      </c>
    </row>
    <row r="11" spans="1:6" ht="11.25" customHeight="1" x14ac:dyDescent="0.2">
      <c r="A11" s="268" t="s">
        <v>170</v>
      </c>
      <c r="B11" s="268"/>
      <c r="C11" s="268"/>
      <c r="D11" s="224" t="s">
        <v>168</v>
      </c>
      <c r="E11" s="224" t="s">
        <v>169</v>
      </c>
    </row>
    <row r="12" spans="1:6" ht="11.25" customHeight="1" x14ac:dyDescent="0.2">
      <c r="A12" s="250" t="s">
        <v>194</v>
      </c>
      <c r="B12" s="250"/>
      <c r="C12" s="250"/>
      <c r="D12" s="207">
        <f>SUM(БДР_Выручка!$H$5:$H$139)</f>
        <v>18000000</v>
      </c>
      <c r="E12" s="207">
        <f>SUM(БДР_Выручка!$I$5:$I$139)</f>
        <v>21000000</v>
      </c>
    </row>
    <row r="13" spans="1:6" ht="11.25" customHeight="1" x14ac:dyDescent="0.2">
      <c r="A13" s="250" t="s">
        <v>195</v>
      </c>
      <c r="B13" s="250"/>
      <c r="C13" s="250"/>
      <c r="D13" s="207">
        <f>D14+SUM(D17:D23)</f>
        <v>-7607695.5861941846</v>
      </c>
      <c r="E13" s="207">
        <f>E14+SUM(E17:E23)</f>
        <v>-8266503.1619517598</v>
      </c>
    </row>
    <row r="14" spans="1:6" ht="11.25" customHeight="1" x14ac:dyDescent="0.2">
      <c r="A14" s="255" t="s">
        <v>390</v>
      </c>
      <c r="B14" s="256"/>
      <c r="C14" s="257"/>
      <c r="D14" s="208">
        <f>SUM(D15:D16)</f>
        <v>-1921916.6666666667</v>
      </c>
      <c r="E14" s="208">
        <f>SUM(E15:E16)</f>
        <v>-2288300</v>
      </c>
    </row>
    <row r="15" spans="1:6" ht="11.25" customHeight="1" x14ac:dyDescent="0.2">
      <c r="A15" s="252" t="s">
        <v>391</v>
      </c>
      <c r="B15" s="253"/>
      <c r="C15" s="254"/>
      <c r="D15" s="208">
        <f>-(SUMIFS('БДР_Себестоимость и Расходы'!$H:$H,'БДР_Себестоимость и Расходы'!$D:$D,"202077 Сопровождение ИТ-услуг")+SUMIFS('БДР_Себестоимость и Расходы'!$H:$H,'БДР_Себестоимость и Расходы'!$D:$D,"202047 Внедрение ИТ-услуг")+SUMIFS('БДР_Себестоимость и Расходы'!$H:$H,'БДР_Себестоимость и Расходы'!$D:$D,"202056 Закупка ПО"))</f>
        <v>-1831916.6666666667</v>
      </c>
      <c r="E15" s="208">
        <f>-(SUMIFS('БДР_Себестоимость и Расходы'!$I:$I,'БДР_Себестоимость и Расходы'!$D:$D,"202077 Сопровождение ИТ-услуг")+SUMIFS('БДР_Себестоимость и Расходы'!$I:$I,'БДР_Себестоимость и Расходы'!$D:$D,"202047 Внедрение ИТ-услуг")+SUMIFS('БДР_Себестоимость и Расходы'!$I:$I,'БДР_Себестоимость и Расходы'!$D:$D,"202056 Закупка ПО"))</f>
        <v>-2198300</v>
      </c>
      <c r="F15" s="149"/>
    </row>
    <row r="16" spans="1:6" ht="11.25" customHeight="1" x14ac:dyDescent="0.2">
      <c r="A16" s="252" t="s">
        <v>389</v>
      </c>
      <c r="B16" s="253"/>
      <c r="C16" s="254"/>
      <c r="D16" s="208">
        <f>-('Договоры ГПХ'!E9+'Договоры ГПХ'!E10)</f>
        <v>-90000</v>
      </c>
      <c r="E16" s="208">
        <f>-('Договоры ГПХ'!E9+'Договоры ГПХ'!E10)</f>
        <v>-90000</v>
      </c>
    </row>
    <row r="17" spans="1:7" ht="11.25" customHeight="1" x14ac:dyDescent="0.2">
      <c r="A17" s="255" t="s">
        <v>384</v>
      </c>
      <c r="B17" s="256"/>
      <c r="C17" s="257"/>
      <c r="D17" s="208">
        <f>БДР!I19+БДР!I20</f>
        <v>-2847465.4236091906</v>
      </c>
      <c r="E17" s="208">
        <f>БДР!I19+БДР!I20</f>
        <v>-2847465.4236091906</v>
      </c>
    </row>
    <row r="18" spans="1:7" ht="11.25" customHeight="1" x14ac:dyDescent="0.2">
      <c r="A18" s="255" t="s">
        <v>385</v>
      </c>
      <c r="B18" s="256"/>
      <c r="C18" s="257"/>
      <c r="D18" s="208">
        <f>БДР!I21</f>
        <v>-745937.73834256898</v>
      </c>
      <c r="E18" s="208">
        <f>БДР!I21</f>
        <v>-745937.73834256898</v>
      </c>
    </row>
    <row r="19" spans="1:7" ht="11.25" customHeight="1" x14ac:dyDescent="0.2">
      <c r="A19" s="255" t="s">
        <v>423</v>
      </c>
      <c r="B19" s="256"/>
      <c r="C19" s="257"/>
      <c r="D19" s="209">
        <f>-SUMIFS('БДР_Себестоимость и Расходы'!$H:$H,'БДР_Себестоимость и Расходы'!$D:$D,"203010 20 Аренда помещений")</f>
        <v>-666666.66666666674</v>
      </c>
      <c r="E19" s="208">
        <f>-SUMIFS('БДР_Себестоимость и Расходы'!$I:$I,'БДР_Себестоимость и Расходы'!$D:$D,"203010 20 Аренда помещений")</f>
        <v>-800000</v>
      </c>
    </row>
    <row r="20" spans="1:7" ht="11.25" customHeight="1" x14ac:dyDescent="0.2">
      <c r="A20" s="255" t="s">
        <v>277</v>
      </c>
      <c r="B20" s="256"/>
      <c r="C20" s="257"/>
      <c r="D20" s="208">
        <f>-Командировки!S5</f>
        <v>-584800</v>
      </c>
      <c r="E20" s="208">
        <f>-Командировки!S5</f>
        <v>-584800</v>
      </c>
    </row>
    <row r="21" spans="1:7" ht="11.25" customHeight="1" x14ac:dyDescent="0.2">
      <c r="A21" s="255" t="s">
        <v>386</v>
      </c>
      <c r="B21" s="256"/>
      <c r="C21" s="257"/>
      <c r="D21" s="208">
        <f>-SUMIFS('БДР_Себестоимость и Расходы'!$H:$H,'БДР_Себестоимость и Расходы'!$D:$D,"203120 20 Материальные расходы")</f>
        <v>-500000</v>
      </c>
      <c r="E21" s="208">
        <f>-SUMIFS('БДР_Себестоимость и Расходы'!$I:$I,'БДР_Себестоимость и Расходы'!$D:$D,"203120 20 Материальные расходы")</f>
        <v>-600000</v>
      </c>
      <c r="G21" s="149"/>
    </row>
    <row r="22" spans="1:7" ht="11.25" customHeight="1" x14ac:dyDescent="0.2">
      <c r="A22" s="255" t="s">
        <v>387</v>
      </c>
      <c r="B22" s="256"/>
      <c r="C22" s="257"/>
      <c r="D22" s="208">
        <f>-SUMIFS('БДР_Себестоимость и Расходы'!$H:$H,'БДР_Себестоимость и Расходы'!$D:$D,"205190 20 Комиссия за выдачу БГ")</f>
        <v>-90909.090909090897</v>
      </c>
      <c r="E22" s="208">
        <f>-SUMIFS('БДР_Себестоимость и Расходы'!$I:$I,'БДР_Себестоимость и Расходы'!$D:$D,"205190 20 Комиссия за выдачу БГ")</f>
        <v>-100000</v>
      </c>
    </row>
    <row r="23" spans="1:7" ht="11.25" customHeight="1" x14ac:dyDescent="0.2">
      <c r="A23" s="255" t="s">
        <v>388</v>
      </c>
      <c r="B23" s="256"/>
      <c r="C23" s="257"/>
      <c r="D23" s="208">
        <f>-SUMIFS('БДР_Себестоимость и Расходы'!$H:$H,'БДР_Себестоимость и Расходы'!$D:$D,"202900 20 Прочие расходы")</f>
        <v>-250000</v>
      </c>
      <c r="E23" s="208">
        <f>-SUMIFS('БДР_Себестоимость и Расходы'!$I:$I,'БДР_Себестоимость и Расходы'!$D:$D,"202900 20 Прочие расходы")</f>
        <v>-300000</v>
      </c>
    </row>
    <row r="24" spans="1:7" ht="11.25" customHeight="1" x14ac:dyDescent="0.2">
      <c r="A24" s="250" t="s">
        <v>394</v>
      </c>
      <c r="B24" s="250"/>
      <c r="C24" s="250"/>
      <c r="D24" s="207">
        <f>D12+D13</f>
        <v>10392304.413805816</v>
      </c>
      <c r="E24" s="207">
        <f>E12+E13</f>
        <v>12733496.83804824</v>
      </c>
    </row>
    <row r="25" spans="1:7" ht="11.25" customHeight="1" x14ac:dyDescent="0.2">
      <c r="A25" s="250" t="s">
        <v>395</v>
      </c>
      <c r="B25" s="250"/>
      <c r="C25" s="250"/>
      <c r="D25" s="210">
        <f>D24/D12</f>
        <v>0.57735024521143419</v>
      </c>
      <c r="E25" s="210">
        <f>E24/E12</f>
        <v>0.60635699228801143</v>
      </c>
    </row>
    <row r="26" spans="1:7" ht="11.25" customHeight="1" x14ac:dyDescent="0.2">
      <c r="A26" s="263" t="s">
        <v>276</v>
      </c>
      <c r="B26" s="263"/>
      <c r="C26" s="263"/>
      <c r="D26" s="208">
        <f>БДР!I31+БДР!I40</f>
        <v>-2625000</v>
      </c>
      <c r="E26" s="208">
        <f>БДР!I31</f>
        <v>-3150000</v>
      </c>
    </row>
    <row r="27" spans="1:7" ht="11.25" customHeight="1" x14ac:dyDescent="0.2">
      <c r="A27" s="263" t="s">
        <v>260</v>
      </c>
      <c r="B27" s="263"/>
      <c r="C27" s="263"/>
      <c r="D27" s="208">
        <f>-SUMIFS('БДР_Себестоимость и Расходы'!$H:$H,'БДР_Себестоимость и Расходы'!$D:$D,"255190 Комиссия за выдачу конкурсных БГ")</f>
        <v>0</v>
      </c>
      <c r="E27" s="208">
        <f>-SUMIFS('БДР_Себестоимость и Расходы'!$I:$I,'БДР_Себестоимость и Расходы'!$D:$D,"255190 Комиссия за выдачу конкурсных БГ")</f>
        <v>0</v>
      </c>
    </row>
    <row r="28" spans="1:7" ht="11.25" customHeight="1" x14ac:dyDescent="0.2">
      <c r="A28" s="250" t="s">
        <v>393</v>
      </c>
      <c r="B28" s="250"/>
      <c r="C28" s="250"/>
      <c r="D28" s="207">
        <f>D24+D26+D27</f>
        <v>7767304.4138058163</v>
      </c>
      <c r="E28" s="207">
        <f>E24+E26+E27</f>
        <v>9583496.8380482402</v>
      </c>
    </row>
    <row r="29" spans="1:7" ht="11.25" customHeight="1" x14ac:dyDescent="0.2">
      <c r="A29" s="250" t="s">
        <v>405</v>
      </c>
      <c r="B29" s="250"/>
      <c r="C29" s="250"/>
      <c r="D29" s="210">
        <f>D28/D12</f>
        <v>0.43151691187810093</v>
      </c>
      <c r="E29" s="210">
        <f>E28/E12</f>
        <v>0.45635699228801141</v>
      </c>
    </row>
    <row r="30" spans="1:7" ht="11.25" customHeight="1" x14ac:dyDescent="0.2">
      <c r="A30" s="263" t="s">
        <v>262</v>
      </c>
      <c r="B30" s="263"/>
      <c r="C30" s="263"/>
      <c r="D30" s="208">
        <f>-SUMIFS('БДР_Себестоимость и Расходы'!$H:$H,'БДР_Себестоимость и Расходы'!$D:$D,"802232 Оплата процентов по кредиту")</f>
        <v>0</v>
      </c>
      <c r="E30" s="208">
        <f>-SUMIFS('БДР_Себестоимость и Расходы'!$I:$I,'БДР_Себестоимость и Расходы'!$D:$D,"802232 Оплата процентов по кредиту")</f>
        <v>0</v>
      </c>
    </row>
    <row r="31" spans="1:7" x14ac:dyDescent="0.2">
      <c r="A31" s="250" t="s">
        <v>403</v>
      </c>
      <c r="B31" s="250"/>
      <c r="C31" s="250"/>
      <c r="D31" s="248">
        <f>E28+E30+D36+D37</f>
        <v>6195843.5310446527</v>
      </c>
      <c r="E31" s="249"/>
    </row>
    <row r="32" spans="1:7" x14ac:dyDescent="0.2">
      <c r="A32" s="250" t="s">
        <v>404</v>
      </c>
      <c r="B32" s="250"/>
      <c r="C32" s="250"/>
      <c r="D32" s="219">
        <f>D31/D12</f>
        <v>0.34421352950248069</v>
      </c>
      <c r="E32" s="219">
        <f>D31/E12</f>
        <v>0.29504016814498346</v>
      </c>
    </row>
    <row r="34" spans="1:4" x14ac:dyDescent="0.2">
      <c r="A34" s="175" t="s">
        <v>392</v>
      </c>
    </row>
    <row r="35" spans="1:4" x14ac:dyDescent="0.2">
      <c r="A35" s="258" t="s">
        <v>406</v>
      </c>
      <c r="B35" s="259"/>
      <c r="C35" s="260"/>
      <c r="D35" s="211">
        <f>ДДС!I38</f>
        <v>0</v>
      </c>
    </row>
    <row r="36" spans="1:4" ht="11.25" customHeight="1" x14ac:dyDescent="0.2">
      <c r="A36" s="258" t="s">
        <v>264</v>
      </c>
      <c r="B36" s="261"/>
      <c r="C36" s="262"/>
      <c r="D36" s="212">
        <f>БДР!I37</f>
        <v>-1816192.4242424243</v>
      </c>
    </row>
    <row r="37" spans="1:4" ht="11.25" customHeight="1" x14ac:dyDescent="0.2">
      <c r="A37" s="258" t="s">
        <v>265</v>
      </c>
      <c r="B37" s="261"/>
      <c r="C37" s="262"/>
      <c r="D37" s="212">
        <f>БДР!I41</f>
        <v>-1571460.8827611634</v>
      </c>
    </row>
  </sheetData>
  <sheetProtection formatCells="0" formatColumns="0" formatRows="0"/>
  <mergeCells count="41">
    <mergeCell ref="A6:C6"/>
    <mergeCell ref="A20:C20"/>
    <mergeCell ref="A21:C21"/>
    <mergeCell ref="A19:C19"/>
    <mergeCell ref="B1:E1"/>
    <mergeCell ref="D4:E4"/>
    <mergeCell ref="D5:E5"/>
    <mergeCell ref="D6:E6"/>
    <mergeCell ref="D8:E8"/>
    <mergeCell ref="B2:E2"/>
    <mergeCell ref="A9:C9"/>
    <mergeCell ref="A3:C3"/>
    <mergeCell ref="D3:E3"/>
    <mergeCell ref="A11:C11"/>
    <mergeCell ref="A4:C4"/>
    <mergeCell ref="A5:C5"/>
    <mergeCell ref="A35:C35"/>
    <mergeCell ref="A37:C37"/>
    <mergeCell ref="A18:C18"/>
    <mergeCell ref="A13:C13"/>
    <mergeCell ref="A14:C14"/>
    <mergeCell ref="A22:C22"/>
    <mergeCell ref="A36:C36"/>
    <mergeCell ref="A23:C23"/>
    <mergeCell ref="A30:C30"/>
    <mergeCell ref="A24:C24"/>
    <mergeCell ref="A25:C25"/>
    <mergeCell ref="A29:C29"/>
    <mergeCell ref="A26:C26"/>
    <mergeCell ref="A27:C27"/>
    <mergeCell ref="A28:C28"/>
    <mergeCell ref="A15:C15"/>
    <mergeCell ref="A7:C7"/>
    <mergeCell ref="D7:E7"/>
    <mergeCell ref="D31:E31"/>
    <mergeCell ref="A31:C31"/>
    <mergeCell ref="A32:C32"/>
    <mergeCell ref="A8:C8"/>
    <mergeCell ref="A12:C12"/>
    <mergeCell ref="A16:C16"/>
    <mergeCell ref="A17:C17"/>
  </mergeCells>
  <dataValidations count="5">
    <dataValidation type="date" allowBlank="1" showInputMessage="1" showErrorMessage="1" promptTitle="Данные для ввода" prompt="Необходимо указать дату составления сметы." sqref="D3:E3" xr:uid="{00000000-0002-0000-0100-000000000000}">
      <formula1>41640</formula1>
      <formula2>55153</formula2>
    </dataValidation>
    <dataValidation type="date" allowBlank="1" showInputMessage="1" showErrorMessage="1" promptTitle="Данные для ввода" prompt="Необходимо указать дату начала выполнения работ" sqref="D9" xr:uid="{00000000-0002-0000-0100-000001000000}">
      <formula1>41640</formula1>
      <formula2>55153</formula2>
    </dataValidation>
    <dataValidation type="date" allowBlank="1" showInputMessage="1" showErrorMessage="1" promptTitle="Данные для ввода" prompt="Необходимо указать дату окончания выполнения работ" sqref="E9" xr:uid="{00000000-0002-0000-0100-000002000000}">
      <formula1>41640</formula1>
      <formula2>55153</formula2>
    </dataValidation>
    <dataValidation allowBlank="1" showInputMessage="1" showErrorMessage="1" promptTitle="Данные для ввода" prompt="Необходимо указать номер версии (П - проект, К - конкурс, И - итог) + № при необходимости." sqref="D7:E7" xr:uid="{00000000-0002-0000-0100-000003000000}"/>
    <dataValidation allowBlank="1" showInputMessage="1" showErrorMessage="1" promptTitle="Данные для ввода" prompt="Необходимо указать номер договора при наличии + при необходимости (СП + № - спецификация, З + № - заявка, Д + № - дополнительный проект в рамках единого договора)." sqref="D8:E8" xr:uid="{00000000-0002-0000-0100-000004000000}"/>
  </dataValidations>
  <pageMargins left="0.70866141732283472" right="0.70866141732283472" top="0.74803149606299213" bottom="0.74803149606299213" header="0.31496062992125984" footer="0.31496062992125984"/>
  <pageSetup paperSize="9" scale="75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Не верно указано название" error="Проверьте правильность вводимых данных." promptTitle="Данные для ввода" prompt="Необходимо выбрать вид деятельности из раскрывающегося списка." xr:uid="{00000000-0002-0000-0100-000005000000}">
          <x14:formula1>
            <xm:f>Справочники!$O$3:$O$5</xm:f>
          </x14:formula1>
          <xm:sqref>D6:E6</xm:sqref>
        </x14:dataValidation>
        <x14:dataValidation type="list" allowBlank="1" showInputMessage="1" showErrorMessage="1" errorTitle="Не верно указано название" error="Проверьте правильность вводимых данных." promptTitle="Данные для ввода" prompt="Необходимо выбрать наименование заказчика из раскрывающегося списка." xr:uid="{00000000-0002-0000-0100-000006000000}">
          <x14:formula1>
            <xm:f>Справочники!$M$3:$M$14</xm:f>
          </x14:formula1>
          <xm:sqref>D4:E4</xm:sqref>
        </x14:dataValidation>
        <x14:dataValidation type="list" allowBlank="1" showInputMessage="1" showErrorMessage="1" errorTitle="Не верно указано название" error="Проверьте правильность вводимых данных." promptTitle="Данные для ввода" prompt="Необходимо выбрать продуктовое направление из раскрывающегося списка." xr:uid="{00000000-0002-0000-0100-000007000000}">
          <x14:formula1>
            <xm:f>Справочники!$K$3:$K$11</xm:f>
          </x14:formula1>
          <xm:sqref>D5:E5</xm:sqref>
        </x14:dataValidation>
        <x14:dataValidation type="list" allowBlank="1" showInputMessage="1" showErrorMessage="1" promptTitle="Данные для ввода" prompt="Необходимо выбрать название проекта из раскрывающегося списка." xr:uid="{00000000-0002-0000-0100-000008000000}">
          <x14:formula1>
            <xm:f>'Справочник проектов'!$E$2:$E$82</xm:f>
          </x14:formula1>
          <xm:sqref>B1:E1</xm:sqref>
        </x14:dataValidation>
        <x14:dataValidation type="list" allowBlank="1" showInputMessage="1" showErrorMessage="1" promptTitle="Данные для ввода" prompt="Необходимо выбрать ответственного по проекту сотрудника из раскрывающегося списка." xr:uid="{00000000-0002-0000-0100-000009000000}">
          <x14:formula1>
            <xm:f>Справочники!$Q$3:$Q$8</xm:f>
          </x14:formula1>
          <xm:sqref>B2:E2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J49"/>
  <sheetViews>
    <sheetView showGridLines="0" zoomScale="85" zoomScaleNormal="85" workbookViewId="0">
      <pane xSplit="4" ySplit="7" topLeftCell="E8" activePane="bottomRight" state="frozen"/>
      <selection pane="topRight" activeCell="F1" sqref="F1"/>
      <selection pane="bottomLeft" activeCell="A8" sqref="A8"/>
      <selection pane="bottomRight" activeCell="J44" sqref="J44"/>
    </sheetView>
  </sheetViews>
  <sheetFormatPr defaultRowHeight="14.4" x14ac:dyDescent="0.3"/>
  <cols>
    <col min="1" max="1" width="3.109375" customWidth="1"/>
    <col min="2" max="2" width="9.109375" style="96"/>
    <col min="3" max="3" width="36.109375" style="96" customWidth="1"/>
    <col min="4" max="4" width="37.44140625" style="96" bestFit="1" customWidth="1"/>
    <col min="5" max="5" width="0.44140625" style="96" customWidth="1"/>
    <col min="6" max="6" width="15.5546875" style="96" customWidth="1"/>
    <col min="7" max="7" width="0.44140625" style="96" customWidth="1"/>
    <col min="8" max="8" width="16.88671875" style="96" customWidth="1"/>
    <col min="9" max="9" width="0.44140625" style="96" customWidth="1"/>
    <col min="10" max="10" width="10.88671875" style="96" customWidth="1"/>
  </cols>
  <sheetData>
    <row r="1" spans="1:10" x14ac:dyDescent="0.3">
      <c r="B1" s="13" t="s">
        <v>348</v>
      </c>
      <c r="C1" s="12"/>
      <c r="D1" s="14"/>
      <c r="E1" s="12"/>
      <c r="F1" s="16"/>
      <c r="G1" s="12"/>
      <c r="H1" s="16"/>
      <c r="I1" s="12"/>
      <c r="J1" s="16"/>
    </row>
    <row r="2" spans="1:10" x14ac:dyDescent="0.3">
      <c r="B2" s="17"/>
      <c r="C2" s="12"/>
      <c r="D2" s="14"/>
      <c r="E2" s="12"/>
      <c r="F2" s="16"/>
      <c r="G2" s="12"/>
      <c r="H2" s="16"/>
      <c r="I2" s="12"/>
      <c r="J2" s="16"/>
    </row>
    <row r="3" spans="1:10" hidden="1" x14ac:dyDescent="0.3">
      <c r="B3" s="95"/>
      <c r="C3" s="95"/>
      <c r="D3" s="95"/>
      <c r="E3" s="95"/>
      <c r="F3" s="95"/>
      <c r="G3" s="95"/>
      <c r="H3" s="95"/>
      <c r="I3" s="95"/>
      <c r="J3" s="95"/>
    </row>
    <row r="4" spans="1:10" hidden="1" x14ac:dyDescent="0.3">
      <c r="B4" s="95"/>
      <c r="C4" s="95"/>
      <c r="D4" s="95"/>
      <c r="E4" s="95"/>
      <c r="F4" s="95"/>
      <c r="G4" s="95"/>
      <c r="H4" s="95"/>
      <c r="I4" s="95"/>
      <c r="J4" s="95"/>
    </row>
    <row r="5" spans="1:10" x14ac:dyDescent="0.3">
      <c r="B5" s="25" t="s">
        <v>197</v>
      </c>
      <c r="C5" s="25" t="s">
        <v>198</v>
      </c>
      <c r="D5" s="25" t="s">
        <v>199</v>
      </c>
      <c r="E5" s="12"/>
      <c r="F5" s="26" t="s">
        <v>343</v>
      </c>
      <c r="G5" s="12"/>
      <c r="H5" s="26" t="s">
        <v>342</v>
      </c>
      <c r="I5" s="12"/>
      <c r="J5" s="26" t="s">
        <v>344</v>
      </c>
    </row>
    <row r="6" spans="1:10" x14ac:dyDescent="0.3">
      <c r="B6" s="26"/>
      <c r="C6" s="26"/>
      <c r="D6" s="26"/>
      <c r="E6" s="12"/>
      <c r="F6" s="26" t="s">
        <v>201</v>
      </c>
      <c r="G6" s="12"/>
      <c r="H6" s="26" t="s">
        <v>201</v>
      </c>
      <c r="I6" s="12"/>
      <c r="J6" s="26" t="s">
        <v>201</v>
      </c>
    </row>
    <row r="7" spans="1:10" s="12" customFormat="1" ht="2.25" customHeight="1" x14ac:dyDescent="0.2">
      <c r="A7" s="11"/>
      <c r="B7" s="11"/>
      <c r="F7" s="19"/>
      <c r="H7" s="19"/>
      <c r="J7" s="19"/>
    </row>
    <row r="8" spans="1:10" x14ac:dyDescent="0.3">
      <c r="B8" s="24"/>
      <c r="C8" s="100"/>
      <c r="D8" s="100" t="s">
        <v>345</v>
      </c>
      <c r="E8" s="12"/>
      <c r="F8" s="28">
        <f t="shared" ref="F8" si="0">F9+F15</f>
        <v>12823496.83804824</v>
      </c>
      <c r="G8" s="12"/>
      <c r="H8" s="28">
        <f t="shared" ref="H8" si="1">H9+H15</f>
        <v>12811796.838048242</v>
      </c>
      <c r="I8" s="12"/>
      <c r="J8" s="170">
        <f t="shared" ref="J8:J9" si="2">F8-H8</f>
        <v>11699.999999998137</v>
      </c>
    </row>
    <row r="9" spans="1:10" x14ac:dyDescent="0.3">
      <c r="B9" s="27"/>
      <c r="C9" s="27" t="s">
        <v>293</v>
      </c>
      <c r="D9" s="27"/>
      <c r="E9" s="12"/>
      <c r="F9" s="29">
        <f t="shared" ref="F9" si="3">SUM(F10:F14)</f>
        <v>21000000</v>
      </c>
      <c r="G9" s="12"/>
      <c r="H9" s="29">
        <f t="shared" ref="H9" si="4">SUM(H10:H14)</f>
        <v>21000000</v>
      </c>
      <c r="I9" s="12"/>
      <c r="J9" s="171">
        <f t="shared" si="2"/>
        <v>0</v>
      </c>
    </row>
    <row r="10" spans="1:10" x14ac:dyDescent="0.3">
      <c r="B10" s="20">
        <v>201051</v>
      </c>
      <c r="C10" s="21" t="str">
        <f>'Карточка проекта'!$B$1</f>
        <v xml:space="preserve">Облачное хранилище для строительной компании с функцией архивации </v>
      </c>
      <c r="D10" s="43" t="s">
        <v>203</v>
      </c>
      <c r="E10" s="12"/>
      <c r="F10" s="23">
        <f>БДР!I10</f>
        <v>0</v>
      </c>
      <c r="G10" s="12"/>
      <c r="H10" s="23">
        <f>ДДС!I11</f>
        <v>0</v>
      </c>
      <c r="I10" s="12"/>
      <c r="J10" s="23">
        <f>F10-H10</f>
        <v>0</v>
      </c>
    </row>
    <row r="11" spans="1:10" x14ac:dyDescent="0.3">
      <c r="B11" s="20">
        <v>201077</v>
      </c>
      <c r="C11" s="21" t="str">
        <f>'Карточка проекта'!$B$1</f>
        <v xml:space="preserve">Облачное хранилище для строительной компании с функцией архивации </v>
      </c>
      <c r="D11" s="43" t="s">
        <v>204</v>
      </c>
      <c r="E11" s="12"/>
      <c r="F11" s="23">
        <f>БДР!I11</f>
        <v>0</v>
      </c>
      <c r="G11" s="12"/>
      <c r="H11" s="23">
        <f>ДДС!I12</f>
        <v>0</v>
      </c>
      <c r="I11" s="12"/>
      <c r="J11" s="23">
        <f t="shared" ref="J11:J30" si="5">F11-H11</f>
        <v>0</v>
      </c>
    </row>
    <row r="12" spans="1:10" x14ac:dyDescent="0.3">
      <c r="B12" s="20">
        <v>201047</v>
      </c>
      <c r="C12" s="21" t="str">
        <f>'Карточка проекта'!$B$1</f>
        <v xml:space="preserve">Облачное хранилище для строительной компании с функцией архивации </v>
      </c>
      <c r="D12" s="43" t="s">
        <v>205</v>
      </c>
      <c r="E12" s="12"/>
      <c r="F12" s="23">
        <f>БДР!I12</f>
        <v>18000000</v>
      </c>
      <c r="G12" s="12"/>
      <c r="H12" s="23">
        <f>ДДС!I13</f>
        <v>18000000</v>
      </c>
      <c r="I12" s="12"/>
      <c r="J12" s="23">
        <f t="shared" si="5"/>
        <v>0</v>
      </c>
    </row>
    <row r="13" spans="1:10" x14ac:dyDescent="0.3">
      <c r="B13" s="20">
        <v>201057</v>
      </c>
      <c r="C13" s="21" t="str">
        <f>'Карточка проекта'!$B$1</f>
        <v xml:space="preserve">Облачное хранилище для строительной компании с функцией архивации </v>
      </c>
      <c r="D13" s="43" t="s">
        <v>206</v>
      </c>
      <c r="E13" s="12"/>
      <c r="F13" s="23">
        <f>БДР!I13</f>
        <v>3000000</v>
      </c>
      <c r="G13" s="12"/>
      <c r="H13" s="23">
        <f>ДДС!I14</f>
        <v>3000000</v>
      </c>
      <c r="I13" s="12"/>
      <c r="J13" s="23">
        <f t="shared" si="5"/>
        <v>0</v>
      </c>
    </row>
    <row r="14" spans="1:10" x14ac:dyDescent="0.3">
      <c r="B14" s="20">
        <v>201900</v>
      </c>
      <c r="C14" s="21" t="str">
        <f>'Карточка проекта'!$B$1</f>
        <v xml:space="preserve">Облачное хранилище для строительной компании с функцией архивации </v>
      </c>
      <c r="D14" s="43" t="s">
        <v>208</v>
      </c>
      <c r="E14" s="12"/>
      <c r="F14" s="23">
        <f>БДР!I14</f>
        <v>0</v>
      </c>
      <c r="G14" s="12"/>
      <c r="H14" s="23">
        <f>ДДС!I15</f>
        <v>0</v>
      </c>
      <c r="I14" s="12"/>
      <c r="J14" s="23">
        <f t="shared" si="5"/>
        <v>0</v>
      </c>
    </row>
    <row r="15" spans="1:10" x14ac:dyDescent="0.3">
      <c r="B15" s="27"/>
      <c r="C15" s="27" t="s">
        <v>294</v>
      </c>
      <c r="D15" s="27"/>
      <c r="E15" s="12"/>
      <c r="F15" s="29">
        <f t="shared" ref="F15" si="6">SUM(F16:F30)</f>
        <v>-8176503.1619517598</v>
      </c>
      <c r="G15" s="12"/>
      <c r="H15" s="29">
        <f t="shared" ref="H15" si="7">SUM(H16:H30)</f>
        <v>-8188203.1619517589</v>
      </c>
      <c r="I15" s="12"/>
      <c r="J15" s="171">
        <f t="shared" si="5"/>
        <v>11699.999999999069</v>
      </c>
    </row>
    <row r="16" spans="1:10" x14ac:dyDescent="0.3">
      <c r="B16" s="20">
        <v>202077</v>
      </c>
      <c r="C16" s="21" t="str">
        <f>'Карточка проекта'!$B$1</f>
        <v xml:space="preserve">Облачное хранилище для строительной компании с функцией архивации </v>
      </c>
      <c r="D16" s="43" t="s">
        <v>204</v>
      </c>
      <c r="E16" s="12"/>
      <c r="F16" s="23">
        <f>БДР!I16</f>
        <v>-788300</v>
      </c>
      <c r="G16" s="12"/>
      <c r="H16" s="23">
        <f>ДДС!I17</f>
        <v>-788300</v>
      </c>
      <c r="I16" s="12"/>
      <c r="J16" s="23">
        <f t="shared" si="5"/>
        <v>0</v>
      </c>
    </row>
    <row r="17" spans="1:10" x14ac:dyDescent="0.3">
      <c r="B17" s="20">
        <v>202047</v>
      </c>
      <c r="C17" s="21" t="str">
        <f>'Карточка проекта'!$B$1</f>
        <v xml:space="preserve">Облачное хранилище для строительной компании с функцией архивации </v>
      </c>
      <c r="D17" s="43" t="s">
        <v>205</v>
      </c>
      <c r="E17" s="12"/>
      <c r="F17" s="23">
        <f>БДР!I17</f>
        <v>-1000000</v>
      </c>
      <c r="G17" s="12"/>
      <c r="H17" s="23">
        <f>ДДС!I18</f>
        <v>-1000000</v>
      </c>
      <c r="I17" s="12"/>
      <c r="J17" s="23">
        <f t="shared" si="5"/>
        <v>0</v>
      </c>
    </row>
    <row r="18" spans="1:10" x14ac:dyDescent="0.3">
      <c r="B18" s="20">
        <v>202056</v>
      </c>
      <c r="C18" s="21" t="str">
        <f>'Карточка проекта'!$B$1</f>
        <v xml:space="preserve">Облачное хранилище для строительной компании с функцией архивации </v>
      </c>
      <c r="D18" s="43" t="s">
        <v>209</v>
      </c>
      <c r="E18" s="12"/>
      <c r="F18" s="23">
        <f>БДР!I18</f>
        <v>-410000</v>
      </c>
      <c r="G18" s="12"/>
      <c r="H18" s="23">
        <f>ДДС!I19</f>
        <v>-410000</v>
      </c>
      <c r="I18" s="12"/>
      <c r="J18" s="23">
        <f t="shared" si="5"/>
        <v>0</v>
      </c>
    </row>
    <row r="19" spans="1:10" x14ac:dyDescent="0.3">
      <c r="B19" s="20">
        <v>203181</v>
      </c>
      <c r="C19" s="21" t="str">
        <f>'Карточка проекта'!$B$1</f>
        <v xml:space="preserve">Облачное хранилище для строительной компании с функцией архивации </v>
      </c>
      <c r="D19" s="43" t="s">
        <v>211</v>
      </c>
      <c r="E19" s="12"/>
      <c r="F19" s="23">
        <f>БДР!I19</f>
        <v>-2147465.4236091906</v>
      </c>
      <c r="G19" s="12"/>
      <c r="H19" s="23">
        <f>ДДС!I20</f>
        <v>-1868294.9185399956</v>
      </c>
      <c r="I19" s="12"/>
      <c r="J19" s="23">
        <f t="shared" si="5"/>
        <v>-279170.50506919506</v>
      </c>
    </row>
    <row r="20" spans="1:10" x14ac:dyDescent="0.3">
      <c r="B20" s="20">
        <v>203182</v>
      </c>
      <c r="C20" s="21" t="str">
        <f>'Карточка проекта'!$B$1</f>
        <v xml:space="preserve">Облачное хранилище для строительной компании с функцией архивации </v>
      </c>
      <c r="D20" s="43" t="s">
        <v>213</v>
      </c>
      <c r="E20" s="12"/>
      <c r="F20" s="23">
        <f>БДР!I20</f>
        <v>-700000</v>
      </c>
      <c r="G20" s="12"/>
      <c r="H20" s="23">
        <f>ДДС!I21</f>
        <v>-700000</v>
      </c>
      <c r="I20" s="12"/>
      <c r="J20" s="23">
        <f t="shared" si="5"/>
        <v>0</v>
      </c>
    </row>
    <row r="21" spans="1:10" s="96" customFormat="1" x14ac:dyDescent="0.3">
      <c r="B21" s="20" t="s">
        <v>412</v>
      </c>
      <c r="C21" s="21" t="str">
        <f>'Карточка проекта'!$B$1</f>
        <v xml:space="preserve">Облачное хранилище для строительной компании с функцией архивации </v>
      </c>
      <c r="D21" s="43" t="s">
        <v>411</v>
      </c>
      <c r="E21" s="12"/>
      <c r="F21" s="148"/>
      <c r="G21" s="12"/>
      <c r="H21" s="23">
        <f>ДДС!I22</f>
        <v>-290870.50506919477</v>
      </c>
      <c r="I21" s="12"/>
      <c r="J21" s="23">
        <f t="shared" si="5"/>
        <v>290870.50506919477</v>
      </c>
    </row>
    <row r="22" spans="1:10" x14ac:dyDescent="0.3">
      <c r="B22" s="20">
        <v>203150</v>
      </c>
      <c r="C22" s="21" t="str">
        <f>'Карточка проекта'!$B$1</f>
        <v xml:space="preserve">Облачное хранилище для строительной компании с функцией архивации </v>
      </c>
      <c r="D22" s="43" t="s">
        <v>215</v>
      </c>
      <c r="E22" s="12"/>
      <c r="F22" s="23">
        <f>БДР!I21</f>
        <v>-745937.73834256898</v>
      </c>
      <c r="G22" s="12"/>
      <c r="H22" s="23">
        <f>ДДС!I23</f>
        <v>-745937.73834256898</v>
      </c>
      <c r="I22" s="12"/>
      <c r="J22" s="23">
        <f t="shared" si="5"/>
        <v>0</v>
      </c>
    </row>
    <row r="23" spans="1:10" s="96" customFormat="1" x14ac:dyDescent="0.3">
      <c r="B23" s="20">
        <v>203010</v>
      </c>
      <c r="C23" s="21" t="str">
        <f>'Карточка проекта'!$B$1</f>
        <v xml:space="preserve">Облачное хранилище для строительной компании с функцией архивации </v>
      </c>
      <c r="D23" s="43" t="s">
        <v>419</v>
      </c>
      <c r="E23" s="12"/>
      <c r="F23" s="23">
        <f>БДР!I22</f>
        <v>-800000</v>
      </c>
      <c r="G23" s="12"/>
      <c r="H23" s="23">
        <f>ДДС!I24</f>
        <v>-800000</v>
      </c>
      <c r="I23" s="12"/>
      <c r="J23" s="23">
        <f t="shared" si="5"/>
        <v>0</v>
      </c>
    </row>
    <row r="24" spans="1:10" x14ac:dyDescent="0.3">
      <c r="B24" s="20">
        <v>203031</v>
      </c>
      <c r="C24" s="21" t="str">
        <f>'Карточка проекта'!$B$1</f>
        <v xml:space="preserve">Облачное хранилище для строительной компании с функцией архивации </v>
      </c>
      <c r="D24" s="43" t="s">
        <v>217</v>
      </c>
      <c r="E24" s="12"/>
      <c r="F24" s="23">
        <f>БДР!I23</f>
        <v>-30800</v>
      </c>
      <c r="G24" s="12"/>
      <c r="H24" s="23">
        <f>ДДС!I25</f>
        <v>-30800</v>
      </c>
      <c r="I24" s="12"/>
      <c r="J24" s="23">
        <f t="shared" si="5"/>
        <v>0</v>
      </c>
    </row>
    <row r="25" spans="1:10" x14ac:dyDescent="0.3">
      <c r="B25" s="20">
        <v>203032</v>
      </c>
      <c r="C25" s="21" t="str">
        <f>'Карточка проекта'!$B$1</f>
        <v xml:space="preserve">Облачное хранилище для строительной компании с функцией архивации </v>
      </c>
      <c r="D25" s="43" t="s">
        <v>219</v>
      </c>
      <c r="E25" s="12"/>
      <c r="F25" s="23">
        <f>БДР!I24</f>
        <v>-80000</v>
      </c>
      <c r="G25" s="12"/>
      <c r="H25" s="23">
        <f>ДДС!I26</f>
        <v>-80000</v>
      </c>
      <c r="I25" s="12"/>
      <c r="J25" s="23">
        <f t="shared" si="5"/>
        <v>0</v>
      </c>
    </row>
    <row r="26" spans="1:10" x14ac:dyDescent="0.3">
      <c r="B26" s="20">
        <v>203033</v>
      </c>
      <c r="C26" s="21" t="str">
        <f>'Карточка проекта'!$B$1</f>
        <v xml:space="preserve">Облачное хранилище для строительной компании с функцией архивации </v>
      </c>
      <c r="D26" s="43" t="s">
        <v>221</v>
      </c>
      <c r="E26" s="12"/>
      <c r="F26" s="23">
        <f>БДР!I25</f>
        <v>-474000</v>
      </c>
      <c r="G26" s="12"/>
      <c r="H26" s="23">
        <f>ДДС!I27</f>
        <v>-474000</v>
      </c>
      <c r="I26" s="12"/>
      <c r="J26" s="23">
        <f t="shared" si="5"/>
        <v>0</v>
      </c>
    </row>
    <row r="27" spans="1:10" x14ac:dyDescent="0.3">
      <c r="B27" s="20">
        <v>203034</v>
      </c>
      <c r="C27" s="21" t="str">
        <f>'Карточка проекта'!$B$1</f>
        <v xml:space="preserve">Облачное хранилище для строительной компании с функцией архивации </v>
      </c>
      <c r="D27" s="43" t="s">
        <v>223</v>
      </c>
      <c r="E27" s="12"/>
      <c r="F27" s="23">
        <f>БДР!I26</f>
        <v>0</v>
      </c>
      <c r="G27" s="12"/>
      <c r="H27" s="23">
        <f>ДДС!I28</f>
        <v>0</v>
      </c>
      <c r="I27" s="12"/>
      <c r="J27" s="23">
        <f t="shared" si="5"/>
        <v>0</v>
      </c>
    </row>
    <row r="28" spans="1:10" x14ac:dyDescent="0.3">
      <c r="B28" s="20">
        <v>203120</v>
      </c>
      <c r="C28" s="21" t="str">
        <f>'Карточка проекта'!$B$1</f>
        <v xml:space="preserve">Облачное хранилище для строительной компании с функцией архивации </v>
      </c>
      <c r="D28" s="43" t="s">
        <v>225</v>
      </c>
      <c r="E28" s="12"/>
      <c r="F28" s="23">
        <f>БДР!I27</f>
        <v>-600000</v>
      </c>
      <c r="G28" s="12"/>
      <c r="H28" s="23">
        <f>ДДС!I29</f>
        <v>-600000</v>
      </c>
      <c r="I28" s="12"/>
      <c r="J28" s="23">
        <f t="shared" si="5"/>
        <v>0</v>
      </c>
    </row>
    <row r="29" spans="1:10" x14ac:dyDescent="0.3">
      <c r="B29" s="20">
        <v>205190</v>
      </c>
      <c r="C29" s="21" t="str">
        <f>'Карточка проекта'!$B$1</f>
        <v xml:space="preserve">Облачное хранилище для строительной компании с функцией архивации </v>
      </c>
      <c r="D29" s="43" t="s">
        <v>280</v>
      </c>
      <c r="E29" s="12"/>
      <c r="F29" s="23">
        <f>БДР!I28</f>
        <v>-100000</v>
      </c>
      <c r="G29" s="12"/>
      <c r="H29" s="23">
        <f>ДДС!I30</f>
        <v>-100000</v>
      </c>
      <c r="I29" s="12"/>
      <c r="J29" s="23">
        <f t="shared" si="5"/>
        <v>0</v>
      </c>
    </row>
    <row r="30" spans="1:10" x14ac:dyDescent="0.3">
      <c r="B30" s="20">
        <v>202900</v>
      </c>
      <c r="C30" s="21" t="str">
        <f>'Карточка проекта'!$B$1</f>
        <v xml:space="preserve">Облачное хранилище для строительной компании с функцией архивации </v>
      </c>
      <c r="D30" s="43" t="s">
        <v>227</v>
      </c>
      <c r="E30" s="12"/>
      <c r="F30" s="23">
        <f>БДР!I29</f>
        <v>-300000</v>
      </c>
      <c r="G30" s="12"/>
      <c r="H30" s="23">
        <f>ДДС!I31</f>
        <v>-300000</v>
      </c>
      <c r="I30" s="12"/>
      <c r="J30" s="23">
        <f t="shared" si="5"/>
        <v>0</v>
      </c>
    </row>
    <row r="31" spans="1:10" s="12" customFormat="1" ht="2.25" customHeight="1" x14ac:dyDescent="0.2">
      <c r="A31" s="11"/>
      <c r="B31" s="11"/>
    </row>
    <row r="32" spans="1:10" x14ac:dyDescent="0.3">
      <c r="B32" s="79"/>
      <c r="C32" s="79"/>
      <c r="D32" s="103" t="s">
        <v>276</v>
      </c>
      <c r="E32" s="12"/>
      <c r="F32" s="85">
        <f>БДР!I31</f>
        <v>-3150000</v>
      </c>
      <c r="G32" s="12"/>
      <c r="H32" s="85">
        <f>ДДС!I34</f>
        <v>-3150000</v>
      </c>
      <c r="I32" s="12"/>
      <c r="J32" s="85">
        <f t="shared" ref="J32:J36" si="8">F32-H32</f>
        <v>0</v>
      </c>
    </row>
    <row r="33" spans="2:10" x14ac:dyDescent="0.3">
      <c r="B33" s="94">
        <v>255190</v>
      </c>
      <c r="C33" s="79"/>
      <c r="D33" s="103" t="s">
        <v>260</v>
      </c>
      <c r="E33" s="12"/>
      <c r="F33" s="85">
        <f>БДР!I32</f>
        <v>0</v>
      </c>
      <c r="G33" s="12"/>
      <c r="H33" s="85">
        <f>ДДС!I35</f>
        <v>0</v>
      </c>
      <c r="I33" s="12"/>
      <c r="J33" s="85">
        <f t="shared" si="8"/>
        <v>0</v>
      </c>
    </row>
    <row r="34" spans="2:10" x14ac:dyDescent="0.3">
      <c r="B34" s="94"/>
      <c r="C34" s="79"/>
      <c r="D34" s="103" t="s">
        <v>291</v>
      </c>
      <c r="E34" s="12"/>
      <c r="F34" s="85"/>
      <c r="G34" s="12"/>
      <c r="H34" s="85">
        <f>H35</f>
        <v>0</v>
      </c>
      <c r="I34" s="12"/>
      <c r="J34" s="85">
        <f t="shared" si="8"/>
        <v>0</v>
      </c>
    </row>
    <row r="35" spans="2:10" x14ac:dyDescent="0.3">
      <c r="B35" s="20">
        <v>801192</v>
      </c>
      <c r="C35" s="21"/>
      <c r="D35" s="97" t="s">
        <v>287</v>
      </c>
      <c r="E35" s="12"/>
      <c r="F35" s="148"/>
      <c r="G35" s="12"/>
      <c r="H35" s="23">
        <f>ДДС!I38</f>
        <v>0</v>
      </c>
      <c r="I35" s="12"/>
      <c r="J35" s="148"/>
    </row>
    <row r="36" spans="2:10" x14ac:dyDescent="0.3">
      <c r="B36" s="94"/>
      <c r="C36" s="79"/>
      <c r="D36" s="103" t="s">
        <v>292</v>
      </c>
      <c r="E36" s="12"/>
      <c r="F36" s="85">
        <f>F37+F38</f>
        <v>0</v>
      </c>
      <c r="G36" s="12"/>
      <c r="H36" s="85">
        <f>H37+H38</f>
        <v>0</v>
      </c>
      <c r="I36" s="12"/>
      <c r="J36" s="85">
        <f t="shared" si="8"/>
        <v>0</v>
      </c>
    </row>
    <row r="37" spans="2:10" x14ac:dyDescent="0.3">
      <c r="B37" s="20">
        <v>802192</v>
      </c>
      <c r="C37" s="21"/>
      <c r="D37" s="97" t="s">
        <v>288</v>
      </c>
      <c r="E37" s="12"/>
      <c r="F37" s="148"/>
      <c r="G37" s="12"/>
      <c r="H37" s="23">
        <f>ДДС!I40</f>
        <v>0</v>
      </c>
      <c r="I37" s="12"/>
      <c r="J37" s="148"/>
    </row>
    <row r="38" spans="2:10" x14ac:dyDescent="0.3">
      <c r="B38" s="20">
        <v>802232</v>
      </c>
      <c r="C38" s="21"/>
      <c r="D38" s="97" t="s">
        <v>262</v>
      </c>
      <c r="E38" s="12"/>
      <c r="F38" s="23">
        <f>БДР!I34</f>
        <v>0</v>
      </c>
      <c r="G38" s="12"/>
      <c r="H38" s="23">
        <f>ДДС!I41</f>
        <v>0</v>
      </c>
      <c r="I38" s="12"/>
      <c r="J38" s="23">
        <f t="shared" ref="J38:J45" si="9">F38-H38</f>
        <v>0</v>
      </c>
    </row>
    <row r="39" spans="2:10" x14ac:dyDescent="0.3">
      <c r="B39" s="107"/>
      <c r="C39" s="101"/>
      <c r="D39" s="101" t="s">
        <v>274</v>
      </c>
      <c r="E39" s="12"/>
      <c r="F39" s="105">
        <f>F40+F44</f>
        <v>-3387653.3070035875</v>
      </c>
      <c r="G39" s="12"/>
      <c r="H39" s="105">
        <f>H40+H44</f>
        <v>-3385313.3070035875</v>
      </c>
      <c r="I39" s="12"/>
      <c r="J39" s="105">
        <f t="shared" si="9"/>
        <v>-2340</v>
      </c>
    </row>
    <row r="40" spans="2:10" x14ac:dyDescent="0.3">
      <c r="B40" s="79"/>
      <c r="C40" s="79"/>
      <c r="D40" s="103" t="s">
        <v>264</v>
      </c>
      <c r="E40" s="12"/>
      <c r="F40" s="85">
        <f>SUM(F41:F43)</f>
        <v>-1816192.4242424243</v>
      </c>
      <c r="G40" s="12"/>
      <c r="H40" s="85">
        <f>SUM(H41:H43)</f>
        <v>-1816192.4242424243</v>
      </c>
      <c r="I40" s="12"/>
      <c r="J40" s="85">
        <f t="shared" si="9"/>
        <v>0</v>
      </c>
    </row>
    <row r="41" spans="2:10" x14ac:dyDescent="0.3">
      <c r="B41" s="20"/>
      <c r="C41" s="21"/>
      <c r="D41" s="97" t="s">
        <v>271</v>
      </c>
      <c r="E41" s="12"/>
      <c r="F41" s="23">
        <f>БДР!I38</f>
        <v>-3000000</v>
      </c>
      <c r="G41" s="12"/>
      <c r="H41" s="23">
        <f>ДДС!I44</f>
        <v>-3000000</v>
      </c>
      <c r="I41" s="12"/>
      <c r="J41" s="23">
        <f t="shared" si="9"/>
        <v>0</v>
      </c>
    </row>
    <row r="42" spans="2:10" x14ac:dyDescent="0.3">
      <c r="B42" s="20"/>
      <c r="C42" s="21"/>
      <c r="D42" s="97" t="s">
        <v>272</v>
      </c>
      <c r="E42" s="12"/>
      <c r="F42" s="23">
        <f>БДР!I39</f>
        <v>658807.57575757557</v>
      </c>
      <c r="G42" s="12"/>
      <c r="H42" s="23">
        <f>ДДС!I45</f>
        <v>658807.57575757557</v>
      </c>
      <c r="I42" s="12"/>
      <c r="J42" s="23">
        <f t="shared" si="9"/>
        <v>0</v>
      </c>
    </row>
    <row r="43" spans="2:10" x14ac:dyDescent="0.3">
      <c r="B43" s="20"/>
      <c r="C43" s="21"/>
      <c r="D43" s="97" t="s">
        <v>275</v>
      </c>
      <c r="E43" s="12"/>
      <c r="F43" s="23">
        <f>БДР!I40</f>
        <v>525000</v>
      </c>
      <c r="G43" s="12"/>
      <c r="H43" s="23">
        <f>ДДС!I46</f>
        <v>525000</v>
      </c>
      <c r="I43" s="12"/>
      <c r="J43" s="23">
        <f t="shared" si="9"/>
        <v>0</v>
      </c>
    </row>
    <row r="44" spans="2:10" x14ac:dyDescent="0.3">
      <c r="B44" s="79"/>
      <c r="C44" s="79"/>
      <c r="D44" s="103" t="s">
        <v>265</v>
      </c>
      <c r="E44" s="12"/>
      <c r="F44" s="85">
        <f>БДР!I41</f>
        <v>-1571460.8827611634</v>
      </c>
      <c r="G44" s="12"/>
      <c r="H44" s="85">
        <f>ДДС!I47</f>
        <v>-1569120.8827611632</v>
      </c>
      <c r="I44" s="12"/>
      <c r="J44" s="85">
        <f t="shared" si="9"/>
        <v>-2340.0000000002328</v>
      </c>
    </row>
    <row r="45" spans="2:10" x14ac:dyDescent="0.3">
      <c r="B45" s="80"/>
      <c r="C45" s="80" t="s">
        <v>273</v>
      </c>
      <c r="D45" s="80"/>
      <c r="E45" s="16"/>
      <c r="F45" s="81">
        <f>БДР!I42</f>
        <v>6285843.5310446527</v>
      </c>
      <c r="G45" s="16"/>
      <c r="H45" s="81">
        <f>ДДС!I48</f>
        <v>6276483.5310446527</v>
      </c>
      <c r="I45" s="16"/>
      <c r="J45" s="172">
        <f t="shared" si="9"/>
        <v>9360</v>
      </c>
    </row>
    <row r="49" spans="2:2" x14ac:dyDescent="0.3">
      <c r="B49" s="13"/>
    </row>
  </sheetData>
  <sheetProtection algorithmName="SHA-512" hashValue="LZbOSKmFkJ3A/PLefpEd2tzQhm7fn5vcKvZLVKI/teIbVVYIpqDLtrvAMonN+nhQMw2arSJ2//RQ/y8Ja/uhXw==" saltValue="e+3X/jZVbpcjOqzS1+ePjw==" spinCount="100000" sheet="1" formatCells="0" formatColumns="0" formatRows="0"/>
  <conditionalFormatting sqref="J8:J15 J22:J30">
    <cfRule type="cellIs" dxfId="149" priority="17" operator="lessThan">
      <formula>0</formula>
    </cfRule>
    <cfRule type="cellIs" dxfId="148" priority="18" operator="greaterThan">
      <formula>0</formula>
    </cfRule>
  </conditionalFormatting>
  <conditionalFormatting sqref="J32:J34">
    <cfRule type="cellIs" dxfId="147" priority="15" operator="lessThan">
      <formula>0</formula>
    </cfRule>
    <cfRule type="cellIs" dxfId="146" priority="16" operator="greaterThan">
      <formula>0</formula>
    </cfRule>
  </conditionalFormatting>
  <conditionalFormatting sqref="J40">
    <cfRule type="cellIs" dxfId="145" priority="7" operator="lessThan">
      <formula>0</formula>
    </cfRule>
    <cfRule type="cellIs" dxfId="144" priority="8" operator="greaterThan">
      <formula>0</formula>
    </cfRule>
  </conditionalFormatting>
  <conditionalFormatting sqref="J38:J39 J41:J43 J45">
    <cfRule type="cellIs" dxfId="143" priority="11" operator="lessThan">
      <formula>0</formula>
    </cfRule>
    <cfRule type="cellIs" dxfId="142" priority="12" operator="greaterThan">
      <formula>0</formula>
    </cfRule>
  </conditionalFormatting>
  <conditionalFormatting sqref="J36">
    <cfRule type="cellIs" dxfId="141" priority="9" operator="lessThan">
      <formula>0</formula>
    </cfRule>
    <cfRule type="cellIs" dxfId="140" priority="10" operator="greaterThan">
      <formula>0</formula>
    </cfRule>
  </conditionalFormatting>
  <conditionalFormatting sqref="J44">
    <cfRule type="cellIs" dxfId="139" priority="5" operator="lessThan">
      <formula>0</formula>
    </cfRule>
    <cfRule type="cellIs" dxfId="138" priority="6" operator="greaterThan">
      <formula>0</formula>
    </cfRule>
  </conditionalFormatting>
  <conditionalFormatting sqref="J17:J21">
    <cfRule type="cellIs" dxfId="137" priority="3" operator="lessThan">
      <formula>0</formula>
    </cfRule>
    <cfRule type="cellIs" dxfId="136" priority="4" operator="greaterThan">
      <formula>0</formula>
    </cfRule>
  </conditionalFormatting>
  <conditionalFormatting sqref="J16">
    <cfRule type="cellIs" dxfId="135" priority="1" operator="lessThan">
      <formula>0</formula>
    </cfRule>
    <cfRule type="cellIs" dxfId="134" priority="2" operator="greaterThan">
      <formula>0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>
    <outlinePr summaryRight="0"/>
  </sheetPr>
  <dimension ref="A1:XCH1791"/>
  <sheetViews>
    <sheetView showGridLines="0" workbookViewId="0">
      <pane xSplit="5" ySplit="8" topLeftCell="G9" activePane="bottomRight" state="frozen"/>
      <selection pane="topRight" activeCell="E1" sqref="E1"/>
      <selection pane="bottomLeft" activeCell="A8" sqref="A8"/>
      <selection pane="bottomRight" activeCell="T14" sqref="T14"/>
    </sheetView>
  </sheetViews>
  <sheetFormatPr defaultColWidth="9.109375" defaultRowHeight="14.4" outlineLevelCol="1" x14ac:dyDescent="0.3"/>
  <cols>
    <col min="1" max="1" width="1.88671875" style="122" hidden="1" customWidth="1"/>
    <col min="2" max="2" width="1.88671875" style="12" customWidth="1"/>
    <col min="3" max="3" width="29.33203125" style="12" bestFit="1" customWidth="1"/>
    <col min="4" max="4" width="20.6640625" style="12" customWidth="1"/>
    <col min="5" max="5" width="20.33203125" style="12" customWidth="1"/>
    <col min="6" max="6" width="23.6640625" style="12" customWidth="1"/>
    <col min="7" max="7" width="28.44140625" style="12" customWidth="1"/>
    <col min="8" max="8" width="0.44140625" style="96" customWidth="1" outlineLevel="1"/>
    <col min="9" max="9" width="0.21875" style="12" customWidth="1" outlineLevel="1"/>
    <col min="10" max="16" width="8.88671875" style="12" hidden="1" customWidth="1" outlineLevel="1"/>
    <col min="17" max="21" width="8.88671875" style="12" customWidth="1" outlineLevel="1"/>
    <col min="22" max="22" width="0.44140625" style="96" customWidth="1" outlineLevel="1"/>
    <col min="23" max="35" width="8.88671875" style="12" customWidth="1" outlineLevel="1"/>
    <col min="36" max="36" width="0.44140625" style="96" customWidth="1" outlineLevel="1"/>
    <col min="37" max="49" width="8.88671875" style="12" customWidth="1" outlineLevel="1"/>
    <col min="50" max="50" width="0.44140625" style="96" customWidth="1" outlineLevel="1"/>
    <col min="51" max="63" width="8.88671875" style="12" customWidth="1" outlineLevel="1"/>
    <col min="64" max="64" width="0.44140625" style="96" customWidth="1" outlineLevel="1"/>
    <col min="65" max="71" width="8.88671875" style="12" customWidth="1" outlineLevel="1"/>
    <col min="72" max="72" width="29.21875" style="12" customWidth="1" outlineLevel="1"/>
    <col min="73" max="73" width="21.109375" style="12" customWidth="1" outlineLevel="1"/>
    <col min="74" max="74" width="30.6640625" style="12" customWidth="1" outlineLevel="1"/>
    <col min="75" max="75" width="72.44140625" style="12" customWidth="1" outlineLevel="1"/>
    <col min="76" max="76" width="37.21875" style="12" customWidth="1" outlineLevel="1"/>
    <col min="77" max="77" width="14.6640625" style="12" customWidth="1" outlineLevel="1"/>
    <col min="78" max="78" width="21.88671875" style="96" customWidth="1" outlineLevel="1"/>
    <col min="79" max="79" width="15.44140625" style="12" customWidth="1"/>
    <col min="80" max="80" width="0.44140625" style="96" hidden="1" customWidth="1" outlineLevel="1"/>
    <col min="81" max="81" width="11.6640625" style="12" hidden="1" customWidth="1" outlineLevel="1"/>
    <col min="82" max="88" width="8.88671875" style="12" hidden="1" customWidth="1" outlineLevel="1"/>
    <col min="89" max="89" width="12" style="12" bestFit="1" customWidth="1" outlineLevel="1"/>
    <col min="90" max="90" width="11.21875" style="12" bestFit="1" customWidth="1" outlineLevel="1"/>
    <col min="91" max="91" width="10" style="12" bestFit="1" customWidth="1" outlineLevel="1"/>
    <col min="92" max="92" width="10.6640625" style="12" bestFit="1" customWidth="1" outlineLevel="1"/>
    <col min="93" max="93" width="8.88671875" style="12" customWidth="1" outlineLevel="1"/>
    <col min="94" max="94" width="0.44140625" style="96" customWidth="1" outlineLevel="1"/>
    <col min="95" max="107" width="8.88671875" style="12" customWidth="1" outlineLevel="1"/>
    <col min="108" max="108" width="0.44140625" style="96" customWidth="1" outlineLevel="1"/>
    <col min="109" max="121" width="8.88671875" style="12" customWidth="1" outlineLevel="1"/>
    <col min="122" max="122" width="0.44140625" style="96" customWidth="1" outlineLevel="1"/>
    <col min="123" max="135" width="8.88671875" style="12" customWidth="1" outlineLevel="1"/>
    <col min="136" max="136" width="0.44140625" style="96" customWidth="1" outlineLevel="1"/>
    <col min="137" max="149" width="8.88671875" style="12" customWidth="1" outlineLevel="1"/>
    <col min="150" max="16384" width="9.109375" style="12"/>
  </cols>
  <sheetData>
    <row r="1" spans="1:149" ht="13.2" x14ac:dyDescent="0.25">
      <c r="C1" s="150" t="s">
        <v>123</v>
      </c>
      <c r="D1" s="51"/>
      <c r="F1" s="51"/>
      <c r="H1" s="12"/>
      <c r="V1" s="12"/>
      <c r="AJ1" s="12"/>
      <c r="AX1" s="12"/>
      <c r="BL1" s="12"/>
      <c r="BZ1" s="12"/>
      <c r="CB1" s="12"/>
      <c r="CP1" s="12"/>
      <c r="DD1" s="12"/>
      <c r="DR1" s="12"/>
      <c r="EF1" s="12"/>
    </row>
    <row r="2" spans="1:149" ht="10.199999999999999" x14ac:dyDescent="0.2">
      <c r="C2" s="51"/>
      <c r="D2" s="51"/>
      <c r="F2" s="51"/>
      <c r="H2" s="12"/>
      <c r="V2" s="12"/>
      <c r="AJ2" s="12"/>
      <c r="AX2" s="12"/>
      <c r="BL2" s="12"/>
      <c r="BZ2" s="12"/>
      <c r="CB2" s="12"/>
      <c r="CP2" s="12"/>
      <c r="DD2" s="12"/>
      <c r="DR2" s="12"/>
      <c r="EF2" s="12"/>
    </row>
    <row r="3" spans="1:149" ht="10.199999999999999" x14ac:dyDescent="0.2">
      <c r="C3" s="51"/>
      <c r="D3" s="51"/>
      <c r="F3" s="51"/>
      <c r="H3" s="12"/>
      <c r="V3" s="12"/>
      <c r="AJ3" s="12"/>
      <c r="AX3" s="12"/>
      <c r="BL3" s="12"/>
      <c r="BZ3" s="12"/>
      <c r="CB3" s="12"/>
      <c r="CP3" s="12"/>
      <c r="DD3" s="12"/>
      <c r="DR3" s="12"/>
      <c r="EF3" s="12"/>
    </row>
    <row r="4" spans="1:149" ht="10.199999999999999" hidden="1" x14ac:dyDescent="0.2">
      <c r="C4" s="51"/>
      <c r="D4" s="51"/>
      <c r="F4" s="51"/>
      <c r="G4" s="120" t="s">
        <v>196</v>
      </c>
      <c r="H4" s="95"/>
      <c r="I4" s="95" t="str">
        <f>"Январь_"&amp;YEAR('Карточка проекта'!$D$9)</f>
        <v>Январь_2023</v>
      </c>
      <c r="J4" s="95" t="str">
        <f>"Февраль_"&amp;YEAR('Карточка проекта'!$D$9)</f>
        <v>Февраль_2023</v>
      </c>
      <c r="K4" s="95" t="str">
        <f>"Март_"&amp;YEAR('Карточка проекта'!$D$9)</f>
        <v>Март_2023</v>
      </c>
      <c r="L4" s="95" t="str">
        <f>"Апрель_"&amp;YEAR('Карточка проекта'!$D$9)</f>
        <v>Апрель_2023</v>
      </c>
      <c r="M4" s="95" t="str">
        <f>"Май_"&amp;YEAR('Карточка проекта'!$D$9)</f>
        <v>Май_2023</v>
      </c>
      <c r="N4" s="95" t="str">
        <f>"Июнь_"&amp;YEAR('Карточка проекта'!$D$9)</f>
        <v>Июнь_2023</v>
      </c>
      <c r="O4" s="95" t="str">
        <f>"Июль_"&amp;YEAR('Карточка проекта'!$D$9)</f>
        <v>Июль_2023</v>
      </c>
      <c r="P4" s="95" t="str">
        <f>"Август_"&amp;YEAR('Карточка проекта'!$D$9)</f>
        <v>Август_2023</v>
      </c>
      <c r="Q4" s="95" t="str">
        <f>"Сентябрь_"&amp;YEAR('Карточка проекта'!$D$9)</f>
        <v>Сентябрь_2023</v>
      </c>
      <c r="R4" s="95" t="str">
        <f>"Октябрь_"&amp;YEAR('Карточка проекта'!$D$9)</f>
        <v>Октябрь_2023</v>
      </c>
      <c r="S4" s="95" t="str">
        <f>"Ноябрь_"&amp;YEAR('Карточка проекта'!$D$9)</f>
        <v>Ноябрь_2023</v>
      </c>
      <c r="T4" s="95" t="str">
        <f>"Декабрь_"&amp;YEAR('Карточка проекта'!$D$9)</f>
        <v>Декабрь_2023</v>
      </c>
      <c r="U4" s="95"/>
      <c r="V4" s="95"/>
      <c r="W4" s="95" t="str">
        <f>"Январь_"&amp;YEAR('Карточка проекта'!$D$9)+1</f>
        <v>Январь_2024</v>
      </c>
      <c r="X4" s="95" t="str">
        <f>"Февраль_"&amp;YEAR('Карточка проекта'!$D$9)+1</f>
        <v>Февраль_2024</v>
      </c>
      <c r="Y4" s="95" t="str">
        <f>"Март_"&amp;YEAR('Карточка проекта'!$D$9)+1</f>
        <v>Март_2024</v>
      </c>
      <c r="Z4" s="95" t="str">
        <f>"Апрель_"&amp;YEAR('Карточка проекта'!$D$9)+1</f>
        <v>Апрель_2024</v>
      </c>
      <c r="AA4" s="95" t="str">
        <f>"Май_"&amp;YEAR('Карточка проекта'!$D$9)+1</f>
        <v>Май_2024</v>
      </c>
      <c r="AB4" s="95" t="str">
        <f>"Июнь_"&amp;YEAR('Карточка проекта'!$D$9)+1</f>
        <v>Июнь_2024</v>
      </c>
      <c r="AC4" s="95" t="str">
        <f>"Июль_"&amp;YEAR('Карточка проекта'!$D$9)+1</f>
        <v>Июль_2024</v>
      </c>
      <c r="AD4" s="95" t="str">
        <f>"Август_"&amp;YEAR('Карточка проекта'!$D$9)+1</f>
        <v>Август_2024</v>
      </c>
      <c r="AE4" s="95" t="str">
        <f>"Сентябрь_"&amp;YEAR('Карточка проекта'!$D$9)+1</f>
        <v>Сентябрь_2024</v>
      </c>
      <c r="AF4" s="95" t="str">
        <f>"Октябрь_"&amp;YEAR('Карточка проекта'!$D$9)+1</f>
        <v>Октябрь_2024</v>
      </c>
      <c r="AG4" s="95" t="str">
        <f>"Ноябрь_"&amp;YEAR('Карточка проекта'!$D$9)+1</f>
        <v>Ноябрь_2024</v>
      </c>
      <c r="AH4" s="95" t="str">
        <f>"Декабрь_"&amp;YEAR('Карточка проекта'!$D$9)+1</f>
        <v>Декабрь_2024</v>
      </c>
      <c r="AI4" s="95"/>
      <c r="AJ4" s="95"/>
      <c r="AK4" s="95" t="str">
        <f>"Январь_"&amp;YEAR('Карточка проекта'!$D$9)+2</f>
        <v>Январь_2025</v>
      </c>
      <c r="AL4" s="95" t="str">
        <f>"Февраль_"&amp;YEAR('Карточка проекта'!$D$9)+2</f>
        <v>Февраль_2025</v>
      </c>
      <c r="AM4" s="95" t="str">
        <f>"Март_"&amp;YEAR('Карточка проекта'!$D$9)+2</f>
        <v>Март_2025</v>
      </c>
      <c r="AN4" s="95" t="str">
        <f>"Апрель_"&amp;YEAR('Карточка проекта'!$D$9)+2</f>
        <v>Апрель_2025</v>
      </c>
      <c r="AO4" s="95" t="str">
        <f>"Май_"&amp;YEAR('Карточка проекта'!$D$9)+2</f>
        <v>Май_2025</v>
      </c>
      <c r="AP4" s="95" t="str">
        <f>"Июнь_"&amp;YEAR('Карточка проекта'!$D$9)+2</f>
        <v>Июнь_2025</v>
      </c>
      <c r="AQ4" s="95" t="str">
        <f>"Июль_"&amp;YEAR('Карточка проекта'!$D$9)+2</f>
        <v>Июль_2025</v>
      </c>
      <c r="AR4" s="95" t="str">
        <f>"Август_"&amp;YEAR('Карточка проекта'!$D$9)+2</f>
        <v>Август_2025</v>
      </c>
      <c r="AS4" s="95" t="str">
        <f>"Сентябрь_"&amp;YEAR('Карточка проекта'!$D$9)+2</f>
        <v>Сентябрь_2025</v>
      </c>
      <c r="AT4" s="95" t="str">
        <f>"Октябрь_"&amp;YEAR('Карточка проекта'!$D$9)+2</f>
        <v>Октябрь_2025</v>
      </c>
      <c r="AU4" s="95" t="str">
        <f>"Ноябрь_"&amp;YEAR('Карточка проекта'!$D$9)+2</f>
        <v>Ноябрь_2025</v>
      </c>
      <c r="AV4" s="95" t="str">
        <f>"Декабрь_"&amp;YEAR('Карточка проекта'!$D$9)+2</f>
        <v>Декабрь_2025</v>
      </c>
      <c r="AW4" s="95"/>
      <c r="AX4" s="95"/>
      <c r="AY4" s="95" t="str">
        <f>"Январь_"&amp;YEAR('Карточка проекта'!$D$9)+3</f>
        <v>Январь_2026</v>
      </c>
      <c r="AZ4" s="95" t="str">
        <f>"Февраль_"&amp;YEAR('Карточка проекта'!$D$9)+3</f>
        <v>Февраль_2026</v>
      </c>
      <c r="BA4" s="95" t="str">
        <f>"Март_"&amp;YEAR('Карточка проекта'!$D$9)+3</f>
        <v>Март_2026</v>
      </c>
      <c r="BB4" s="95" t="str">
        <f>"Апрель_"&amp;YEAR('Карточка проекта'!$D$9)+3</f>
        <v>Апрель_2026</v>
      </c>
      <c r="BC4" s="95" t="str">
        <f>"Май_"&amp;YEAR('Карточка проекта'!$D$9)+3</f>
        <v>Май_2026</v>
      </c>
      <c r="BD4" s="95" t="str">
        <f>"Июнь_"&amp;YEAR('Карточка проекта'!$D$9)+3</f>
        <v>Июнь_2026</v>
      </c>
      <c r="BE4" s="95" t="str">
        <f>"Июль_"&amp;YEAR('Карточка проекта'!$D$9)+3</f>
        <v>Июль_2026</v>
      </c>
      <c r="BF4" s="95" t="str">
        <f>"Август_"&amp;YEAR('Карточка проекта'!$D$9)+3</f>
        <v>Август_2026</v>
      </c>
      <c r="BG4" s="95" t="str">
        <f>"Сентябрь_"&amp;YEAR('Карточка проекта'!$D$9)+3</f>
        <v>Сентябрь_2026</v>
      </c>
      <c r="BH4" s="95" t="str">
        <f>"Октябрь_"&amp;YEAR('Карточка проекта'!$D$9)+3</f>
        <v>Октябрь_2026</v>
      </c>
      <c r="BI4" s="95" t="str">
        <f>"Ноябрь_"&amp;YEAR('Карточка проекта'!$D$9)+3</f>
        <v>Ноябрь_2026</v>
      </c>
      <c r="BJ4" s="95" t="str">
        <f>"Декабрь_"&amp;YEAR('Карточка проекта'!$D$9)+3</f>
        <v>Декабрь_2026</v>
      </c>
      <c r="BK4" s="95"/>
      <c r="BL4" s="95"/>
      <c r="BM4" s="95" t="str">
        <f>"Январь_"&amp;YEAR('Карточка проекта'!$D$9)+4</f>
        <v>Январь_2027</v>
      </c>
      <c r="BN4" s="95" t="str">
        <f>"Февраль_"&amp;YEAR('Карточка проекта'!$D$9)+4</f>
        <v>Февраль_2027</v>
      </c>
      <c r="BO4" s="95" t="str">
        <f>"Март_"&amp;YEAR('Карточка проекта'!$D$9)+4</f>
        <v>Март_2027</v>
      </c>
      <c r="BP4" s="95" t="str">
        <f>"Апрель_"&amp;YEAR('Карточка проекта'!$D$9)+4</f>
        <v>Апрель_2027</v>
      </c>
      <c r="BQ4" s="95" t="str">
        <f>"Май_"&amp;YEAR('Карточка проекта'!$D$9)+4</f>
        <v>Май_2027</v>
      </c>
      <c r="BR4" s="95" t="str">
        <f>"Июнь_"&amp;YEAR('Карточка проекта'!$D$9)+4</f>
        <v>Июнь_2027</v>
      </c>
      <c r="BS4" s="95" t="str">
        <f>"Июль_"&amp;YEAR('Карточка проекта'!$D$9)+4</f>
        <v>Июль_2027</v>
      </c>
      <c r="BT4" s="95" t="str">
        <f>"Август_"&amp;YEAR('Карточка проекта'!$D$9)+4</f>
        <v>Август_2027</v>
      </c>
      <c r="BU4" s="95" t="str">
        <f>"Сентябрь_"&amp;YEAR('Карточка проекта'!$D$9)+4</f>
        <v>Сентябрь_2027</v>
      </c>
      <c r="BV4" s="95" t="str">
        <f>"Октябрь_"&amp;YEAR('Карточка проекта'!$D$9)+4</f>
        <v>Октябрь_2027</v>
      </c>
      <c r="BW4" s="95" t="str">
        <f>"Ноябрь_"&amp;YEAR('Карточка проекта'!$D$9)+4</f>
        <v>Ноябрь_2027</v>
      </c>
      <c r="BX4" s="95" t="str">
        <f>"Декабрь_"&amp;YEAR('Карточка проекта'!$D$9)+4</f>
        <v>Декабрь_2027</v>
      </c>
      <c r="BY4" s="95"/>
      <c r="BZ4" s="95"/>
      <c r="CB4" s="95"/>
      <c r="CC4" s="95" t="str">
        <f>"Январь_"&amp;YEAR('Карточка проекта'!$D$9)</f>
        <v>Январь_2023</v>
      </c>
      <c r="CD4" s="95" t="str">
        <f>"Февраль_"&amp;YEAR('Карточка проекта'!$D$9)</f>
        <v>Февраль_2023</v>
      </c>
      <c r="CE4" s="95" t="str">
        <f>"Март_"&amp;YEAR('Карточка проекта'!$D$9)</f>
        <v>Март_2023</v>
      </c>
      <c r="CF4" s="95" t="str">
        <f>"Апрель_"&amp;YEAR('Карточка проекта'!$D$9)</f>
        <v>Апрель_2023</v>
      </c>
      <c r="CG4" s="95" t="str">
        <f>"Май_"&amp;YEAR('Карточка проекта'!$D$9)</f>
        <v>Май_2023</v>
      </c>
      <c r="CH4" s="95" t="str">
        <f>"Июнь_"&amp;YEAR('Карточка проекта'!$D$9)</f>
        <v>Июнь_2023</v>
      </c>
      <c r="CI4" s="95" t="str">
        <f>"Июль_"&amp;YEAR('Карточка проекта'!$D$9)</f>
        <v>Июль_2023</v>
      </c>
      <c r="CJ4" s="95" t="str">
        <f>"Август_"&amp;YEAR('Карточка проекта'!$D$9)</f>
        <v>Август_2023</v>
      </c>
      <c r="CK4" s="95" t="str">
        <f>"Сентябрь_"&amp;YEAR('Карточка проекта'!$D$9)</f>
        <v>Сентябрь_2023</v>
      </c>
      <c r="CL4" s="95" t="str">
        <f>"Октябрь_"&amp;YEAR('Карточка проекта'!$D$9)</f>
        <v>Октябрь_2023</v>
      </c>
      <c r="CM4" s="95" t="str">
        <f>"Ноябрь_"&amp;YEAR('Карточка проекта'!$D$9)</f>
        <v>Ноябрь_2023</v>
      </c>
      <c r="CN4" s="95" t="str">
        <f>"Декабрь_"&amp;YEAR('Карточка проекта'!$D$9)</f>
        <v>Декабрь_2023</v>
      </c>
      <c r="CO4" s="95"/>
      <c r="CP4" s="95"/>
      <c r="CQ4" s="95" t="str">
        <f>"Январь_"&amp;YEAR('Карточка проекта'!$D$9)+1</f>
        <v>Январь_2024</v>
      </c>
      <c r="CR4" s="95" t="str">
        <f>"Февраль_"&amp;YEAR('Карточка проекта'!$D$9)+1</f>
        <v>Февраль_2024</v>
      </c>
      <c r="CS4" s="95" t="str">
        <f>"Март_"&amp;YEAR('Карточка проекта'!$D$9)+1</f>
        <v>Март_2024</v>
      </c>
      <c r="CT4" s="95" t="str">
        <f>"Апрель_"&amp;YEAR('Карточка проекта'!$D$9)+1</f>
        <v>Апрель_2024</v>
      </c>
      <c r="CU4" s="95" t="str">
        <f>"Май_"&amp;YEAR('Карточка проекта'!$D$9)+1</f>
        <v>Май_2024</v>
      </c>
      <c r="CV4" s="95" t="str">
        <f>"Июнь_"&amp;YEAR('Карточка проекта'!$D$9)+1</f>
        <v>Июнь_2024</v>
      </c>
      <c r="CW4" s="95" t="str">
        <f>"Июль_"&amp;YEAR('Карточка проекта'!$D$9)+1</f>
        <v>Июль_2024</v>
      </c>
      <c r="CX4" s="95" t="str">
        <f>"Август_"&amp;YEAR('Карточка проекта'!$D$9)+1</f>
        <v>Август_2024</v>
      </c>
      <c r="CY4" s="95" t="str">
        <f>"Сентябрь_"&amp;YEAR('Карточка проекта'!$D$9)+1</f>
        <v>Сентябрь_2024</v>
      </c>
      <c r="CZ4" s="95" t="str">
        <f>"Октябрь_"&amp;YEAR('Карточка проекта'!$D$9)+1</f>
        <v>Октябрь_2024</v>
      </c>
      <c r="DA4" s="95" t="str">
        <f>"Ноябрь_"&amp;YEAR('Карточка проекта'!$D$9)+1</f>
        <v>Ноябрь_2024</v>
      </c>
      <c r="DB4" s="95" t="str">
        <f>"Декабрь_"&amp;YEAR('Карточка проекта'!$D$9)+1</f>
        <v>Декабрь_2024</v>
      </c>
      <c r="DC4" s="95"/>
      <c r="DD4" s="95"/>
      <c r="DE4" s="95" t="str">
        <f>"Январь_"&amp;YEAR('Карточка проекта'!$D$9)+2</f>
        <v>Январь_2025</v>
      </c>
      <c r="DF4" s="95" t="str">
        <f>"Февраль_"&amp;YEAR('Карточка проекта'!$D$9)+2</f>
        <v>Февраль_2025</v>
      </c>
      <c r="DG4" s="95" t="str">
        <f>"Март_"&amp;YEAR('Карточка проекта'!$D$9)+2</f>
        <v>Март_2025</v>
      </c>
      <c r="DH4" s="95" t="str">
        <f>"Апрель_"&amp;YEAR('Карточка проекта'!$D$9)+2</f>
        <v>Апрель_2025</v>
      </c>
      <c r="DI4" s="95" t="str">
        <f>"Май_"&amp;YEAR('Карточка проекта'!$D$9)+2</f>
        <v>Май_2025</v>
      </c>
      <c r="DJ4" s="95" t="str">
        <f>"Июнь_"&amp;YEAR('Карточка проекта'!$D$9)+2</f>
        <v>Июнь_2025</v>
      </c>
      <c r="DK4" s="95" t="str">
        <f>"Июль_"&amp;YEAR('Карточка проекта'!$D$9)+2</f>
        <v>Июль_2025</v>
      </c>
      <c r="DL4" s="95" t="str">
        <f>"Август_"&amp;YEAR('Карточка проекта'!$D$9)+2</f>
        <v>Август_2025</v>
      </c>
      <c r="DM4" s="95" t="str">
        <f>"Сентябрь_"&amp;YEAR('Карточка проекта'!$D$9)+2</f>
        <v>Сентябрь_2025</v>
      </c>
      <c r="DN4" s="95" t="str">
        <f>"Октябрь_"&amp;YEAR('Карточка проекта'!$D$9)+2</f>
        <v>Октябрь_2025</v>
      </c>
      <c r="DO4" s="95" t="str">
        <f>"Ноябрь_"&amp;YEAR('Карточка проекта'!$D$9)+2</f>
        <v>Ноябрь_2025</v>
      </c>
      <c r="DP4" s="95" t="str">
        <f>"Декабрь_"&amp;YEAR('Карточка проекта'!$D$9)+2</f>
        <v>Декабрь_2025</v>
      </c>
      <c r="DQ4" s="95"/>
      <c r="DR4" s="95"/>
      <c r="DS4" s="95" t="str">
        <f>"Январь_"&amp;YEAR('Карточка проекта'!$D$9)+3</f>
        <v>Январь_2026</v>
      </c>
      <c r="DT4" s="95" t="str">
        <f>"Февраль_"&amp;YEAR('Карточка проекта'!$D$9)+3</f>
        <v>Февраль_2026</v>
      </c>
      <c r="DU4" s="95" t="str">
        <f>"Март_"&amp;YEAR('Карточка проекта'!$D$9)+3</f>
        <v>Март_2026</v>
      </c>
      <c r="DV4" s="95" t="str">
        <f>"Апрель_"&amp;YEAR('Карточка проекта'!$D$9)+3</f>
        <v>Апрель_2026</v>
      </c>
      <c r="DW4" s="95" t="str">
        <f>"Май_"&amp;YEAR('Карточка проекта'!$D$9)+3</f>
        <v>Май_2026</v>
      </c>
      <c r="DX4" s="95" t="str">
        <f>"Июнь_"&amp;YEAR('Карточка проекта'!$D$9)+3</f>
        <v>Июнь_2026</v>
      </c>
      <c r="DY4" s="95" t="str">
        <f>"Июль_"&amp;YEAR('Карточка проекта'!$D$9)+3</f>
        <v>Июль_2026</v>
      </c>
      <c r="DZ4" s="95" t="str">
        <f>"Август_"&amp;YEAR('Карточка проекта'!$D$9)+3</f>
        <v>Август_2026</v>
      </c>
      <c r="EA4" s="95" t="str">
        <f>"Сентябрь_"&amp;YEAR('Карточка проекта'!$D$9)+3</f>
        <v>Сентябрь_2026</v>
      </c>
      <c r="EB4" s="95" t="str">
        <f>"Октябрь_"&amp;YEAR('Карточка проекта'!$D$9)+3</f>
        <v>Октябрь_2026</v>
      </c>
      <c r="EC4" s="95" t="str">
        <f>"Ноябрь_"&amp;YEAR('Карточка проекта'!$D$9)+3</f>
        <v>Ноябрь_2026</v>
      </c>
      <c r="ED4" s="95" t="str">
        <f>"Декабрь_"&amp;YEAR('Карточка проекта'!$D$9)+3</f>
        <v>Декабрь_2026</v>
      </c>
      <c r="EE4" s="95"/>
      <c r="EF4" s="95"/>
      <c r="EG4" s="95" t="str">
        <f>"Январь_"&amp;YEAR('Карточка проекта'!$D$9)+4</f>
        <v>Январь_2027</v>
      </c>
      <c r="EH4" s="95" t="str">
        <f>"Февраль_"&amp;YEAR('Карточка проекта'!$D$9)+4</f>
        <v>Февраль_2027</v>
      </c>
      <c r="EI4" s="95" t="str">
        <f>"Март_"&amp;YEAR('Карточка проекта'!$D$9)+4</f>
        <v>Март_2027</v>
      </c>
      <c r="EJ4" s="95" t="str">
        <f>"Апрель_"&amp;YEAR('Карточка проекта'!$D$9)+4</f>
        <v>Апрель_2027</v>
      </c>
      <c r="EK4" s="95" t="str">
        <f>"Май_"&amp;YEAR('Карточка проекта'!$D$9)+4</f>
        <v>Май_2027</v>
      </c>
      <c r="EL4" s="95" t="str">
        <f>"Июнь_"&amp;YEAR('Карточка проекта'!$D$9)+4</f>
        <v>Июнь_2027</v>
      </c>
      <c r="EM4" s="95" t="str">
        <f>"Июль_"&amp;YEAR('Карточка проекта'!$D$9)+4</f>
        <v>Июль_2027</v>
      </c>
      <c r="EN4" s="95" t="str">
        <f>"Август_"&amp;YEAR('Карточка проекта'!$D$9)+4</f>
        <v>Август_2027</v>
      </c>
      <c r="EO4" s="95" t="str">
        <f>"Сентябрь_"&amp;YEAR('Карточка проекта'!$D$9)+4</f>
        <v>Сентябрь_2027</v>
      </c>
      <c r="EP4" s="95" t="str">
        <f>"Октябрь_"&amp;YEAR('Карточка проекта'!$D$9)+4</f>
        <v>Октябрь_2027</v>
      </c>
      <c r="EQ4" s="95" t="str">
        <f>"Ноябрь_"&amp;YEAR('Карточка проекта'!$D$9)+4</f>
        <v>Ноябрь_2027</v>
      </c>
      <c r="ER4" s="95" t="str">
        <f>"Декабрь_"&amp;YEAR('Карточка проекта'!$D$9)+4</f>
        <v>Декабрь_2027</v>
      </c>
      <c r="ES4" s="95"/>
    </row>
    <row r="5" spans="1:149" ht="10.199999999999999" hidden="1" x14ac:dyDescent="0.2">
      <c r="C5" s="51"/>
      <c r="D5" s="51"/>
      <c r="F5" s="51"/>
      <c r="G5" s="120" t="s">
        <v>311</v>
      </c>
      <c r="H5" s="95"/>
      <c r="I5" s="95" t="s">
        <v>239</v>
      </c>
      <c r="J5" s="95" t="s">
        <v>240</v>
      </c>
      <c r="K5" s="95" t="s">
        <v>241</v>
      </c>
      <c r="L5" s="95" t="s">
        <v>242</v>
      </c>
      <c r="M5" s="95" t="s">
        <v>243</v>
      </c>
      <c r="N5" s="95" t="s">
        <v>244</v>
      </c>
      <c r="O5" s="95" t="s">
        <v>245</v>
      </c>
      <c r="P5" s="95" t="s">
        <v>246</v>
      </c>
      <c r="Q5" s="95" t="s">
        <v>247</v>
      </c>
      <c r="R5" s="95" t="s">
        <v>248</v>
      </c>
      <c r="S5" s="95" t="s">
        <v>249</v>
      </c>
      <c r="T5" s="95" t="s">
        <v>250</v>
      </c>
      <c r="U5" s="95" t="s">
        <v>251</v>
      </c>
      <c r="V5" s="95"/>
      <c r="W5" s="95" t="s">
        <v>239</v>
      </c>
      <c r="X5" s="95" t="s">
        <v>240</v>
      </c>
      <c r="Y5" s="95" t="s">
        <v>241</v>
      </c>
      <c r="Z5" s="95" t="s">
        <v>242</v>
      </c>
      <c r="AA5" s="95" t="s">
        <v>243</v>
      </c>
      <c r="AB5" s="95" t="s">
        <v>244</v>
      </c>
      <c r="AC5" s="95" t="s">
        <v>245</v>
      </c>
      <c r="AD5" s="95" t="s">
        <v>246</v>
      </c>
      <c r="AE5" s="95" t="s">
        <v>247</v>
      </c>
      <c r="AF5" s="95" t="s">
        <v>248</v>
      </c>
      <c r="AG5" s="95" t="s">
        <v>249</v>
      </c>
      <c r="AH5" s="95" t="s">
        <v>250</v>
      </c>
      <c r="AI5" s="95" t="s">
        <v>251</v>
      </c>
      <c r="AJ5" s="95"/>
      <c r="AK5" s="95" t="s">
        <v>239</v>
      </c>
      <c r="AL5" s="95" t="s">
        <v>240</v>
      </c>
      <c r="AM5" s="95" t="s">
        <v>241</v>
      </c>
      <c r="AN5" s="95" t="s">
        <v>242</v>
      </c>
      <c r="AO5" s="95" t="s">
        <v>243</v>
      </c>
      <c r="AP5" s="95" t="s">
        <v>244</v>
      </c>
      <c r="AQ5" s="95" t="s">
        <v>245</v>
      </c>
      <c r="AR5" s="95" t="s">
        <v>246</v>
      </c>
      <c r="AS5" s="95" t="s">
        <v>247</v>
      </c>
      <c r="AT5" s="95" t="s">
        <v>248</v>
      </c>
      <c r="AU5" s="95" t="s">
        <v>249</v>
      </c>
      <c r="AV5" s="95" t="s">
        <v>250</v>
      </c>
      <c r="AW5" s="95" t="s">
        <v>251</v>
      </c>
      <c r="AX5" s="95"/>
      <c r="AY5" s="95" t="s">
        <v>239</v>
      </c>
      <c r="AZ5" s="95" t="s">
        <v>240</v>
      </c>
      <c r="BA5" s="95" t="s">
        <v>241</v>
      </c>
      <c r="BB5" s="95" t="s">
        <v>242</v>
      </c>
      <c r="BC5" s="95" t="s">
        <v>243</v>
      </c>
      <c r="BD5" s="95" t="s">
        <v>244</v>
      </c>
      <c r="BE5" s="95" t="s">
        <v>245</v>
      </c>
      <c r="BF5" s="95" t="s">
        <v>246</v>
      </c>
      <c r="BG5" s="95" t="s">
        <v>247</v>
      </c>
      <c r="BH5" s="95" t="s">
        <v>248</v>
      </c>
      <c r="BI5" s="95" t="s">
        <v>249</v>
      </c>
      <c r="BJ5" s="95" t="s">
        <v>250</v>
      </c>
      <c r="BK5" s="95" t="s">
        <v>251</v>
      </c>
      <c r="BL5" s="95"/>
      <c r="BM5" s="95" t="s">
        <v>239</v>
      </c>
      <c r="BN5" s="95" t="s">
        <v>240</v>
      </c>
      <c r="BO5" s="95" t="s">
        <v>241</v>
      </c>
      <c r="BP5" s="95" t="s">
        <v>242</v>
      </c>
      <c r="BQ5" s="95" t="s">
        <v>243</v>
      </c>
      <c r="BR5" s="95" t="s">
        <v>244</v>
      </c>
      <c r="BS5" s="95" t="s">
        <v>245</v>
      </c>
      <c r="BT5" s="95" t="s">
        <v>246</v>
      </c>
      <c r="BU5" s="95" t="s">
        <v>247</v>
      </c>
      <c r="BV5" s="95" t="s">
        <v>248</v>
      </c>
      <c r="BW5" s="95" t="s">
        <v>249</v>
      </c>
      <c r="BX5" s="95" t="s">
        <v>250</v>
      </c>
      <c r="BY5" s="95" t="s">
        <v>251</v>
      </c>
      <c r="BZ5" s="95"/>
      <c r="CB5" s="95"/>
      <c r="CC5" s="95" t="s">
        <v>239</v>
      </c>
      <c r="CD5" s="95" t="s">
        <v>240</v>
      </c>
      <c r="CE5" s="95" t="s">
        <v>241</v>
      </c>
      <c r="CF5" s="95" t="s">
        <v>242</v>
      </c>
      <c r="CG5" s="95" t="s">
        <v>243</v>
      </c>
      <c r="CH5" s="95" t="s">
        <v>244</v>
      </c>
      <c r="CI5" s="95" t="s">
        <v>245</v>
      </c>
      <c r="CJ5" s="95" t="s">
        <v>246</v>
      </c>
      <c r="CK5" s="95" t="s">
        <v>247</v>
      </c>
      <c r="CL5" s="95" t="s">
        <v>248</v>
      </c>
      <c r="CM5" s="95" t="s">
        <v>249</v>
      </c>
      <c r="CN5" s="95" t="s">
        <v>250</v>
      </c>
      <c r="CO5" s="95" t="s">
        <v>251</v>
      </c>
      <c r="CP5" s="95"/>
      <c r="CQ5" s="95" t="s">
        <v>239</v>
      </c>
      <c r="CR5" s="95" t="s">
        <v>240</v>
      </c>
      <c r="CS5" s="95" t="s">
        <v>241</v>
      </c>
      <c r="CT5" s="95" t="s">
        <v>242</v>
      </c>
      <c r="CU5" s="95" t="s">
        <v>243</v>
      </c>
      <c r="CV5" s="95" t="s">
        <v>244</v>
      </c>
      <c r="CW5" s="95" t="s">
        <v>245</v>
      </c>
      <c r="CX5" s="95" t="s">
        <v>246</v>
      </c>
      <c r="CY5" s="95" t="s">
        <v>247</v>
      </c>
      <c r="CZ5" s="95" t="s">
        <v>248</v>
      </c>
      <c r="DA5" s="95" t="s">
        <v>249</v>
      </c>
      <c r="DB5" s="95" t="s">
        <v>250</v>
      </c>
      <c r="DC5" s="95" t="s">
        <v>251</v>
      </c>
      <c r="DD5" s="95"/>
      <c r="DE5" s="95" t="s">
        <v>239</v>
      </c>
      <c r="DF5" s="95" t="s">
        <v>240</v>
      </c>
      <c r="DG5" s="95" t="s">
        <v>241</v>
      </c>
      <c r="DH5" s="95" t="s">
        <v>242</v>
      </c>
      <c r="DI5" s="95" t="s">
        <v>243</v>
      </c>
      <c r="DJ5" s="95" t="s">
        <v>244</v>
      </c>
      <c r="DK5" s="95" t="s">
        <v>245</v>
      </c>
      <c r="DL5" s="95" t="s">
        <v>246</v>
      </c>
      <c r="DM5" s="95" t="s">
        <v>247</v>
      </c>
      <c r="DN5" s="95" t="s">
        <v>248</v>
      </c>
      <c r="DO5" s="95" t="s">
        <v>249</v>
      </c>
      <c r="DP5" s="95" t="s">
        <v>250</v>
      </c>
      <c r="DQ5" s="95" t="s">
        <v>251</v>
      </c>
      <c r="DR5" s="95"/>
      <c r="DS5" s="95" t="s">
        <v>239</v>
      </c>
      <c r="DT5" s="95" t="s">
        <v>240</v>
      </c>
      <c r="DU5" s="95" t="s">
        <v>241</v>
      </c>
      <c r="DV5" s="95" t="s">
        <v>242</v>
      </c>
      <c r="DW5" s="95" t="s">
        <v>243</v>
      </c>
      <c r="DX5" s="95" t="s">
        <v>244</v>
      </c>
      <c r="DY5" s="95" t="s">
        <v>245</v>
      </c>
      <c r="DZ5" s="95" t="s">
        <v>246</v>
      </c>
      <c r="EA5" s="95" t="s">
        <v>247</v>
      </c>
      <c r="EB5" s="95" t="s">
        <v>248</v>
      </c>
      <c r="EC5" s="95" t="s">
        <v>249</v>
      </c>
      <c r="ED5" s="95" t="s">
        <v>250</v>
      </c>
      <c r="EE5" s="95" t="s">
        <v>251</v>
      </c>
      <c r="EF5" s="95"/>
      <c r="EG5" s="95" t="s">
        <v>239</v>
      </c>
      <c r="EH5" s="95" t="s">
        <v>240</v>
      </c>
      <c r="EI5" s="95" t="s">
        <v>241</v>
      </c>
      <c r="EJ5" s="95" t="s">
        <v>242</v>
      </c>
      <c r="EK5" s="95" t="s">
        <v>243</v>
      </c>
      <c r="EL5" s="95" t="s">
        <v>244</v>
      </c>
      <c r="EM5" s="95" t="s">
        <v>245</v>
      </c>
      <c r="EN5" s="95" t="s">
        <v>246</v>
      </c>
      <c r="EO5" s="95" t="s">
        <v>247</v>
      </c>
      <c r="EP5" s="95" t="s">
        <v>248</v>
      </c>
      <c r="EQ5" s="95" t="s">
        <v>249</v>
      </c>
      <c r="ER5" s="95" t="s">
        <v>250</v>
      </c>
      <c r="ES5" s="95" t="s">
        <v>251</v>
      </c>
    </row>
    <row r="6" spans="1:149" ht="10.199999999999999" x14ac:dyDescent="0.2">
      <c r="C6" s="51"/>
      <c r="D6" s="51"/>
      <c r="F6" s="51"/>
      <c r="G6" s="120" t="s">
        <v>337</v>
      </c>
      <c r="H6" s="95"/>
      <c r="I6" s="95">
        <f>VLOOKUP(I4,Справочники!$AB:$AD,3,0)</f>
        <v>17</v>
      </c>
      <c r="J6" s="95">
        <f>VLOOKUP(J4,Справочники!$AB:$AD,3,0)</f>
        <v>19</v>
      </c>
      <c r="K6" s="95">
        <f>VLOOKUP(K4,Справочники!$AB:$AD,3,0)</f>
        <v>22</v>
      </c>
      <c r="L6" s="95">
        <f>VLOOKUP(L4,Справочники!$AB:$AD,3,0)</f>
        <v>20</v>
      </c>
      <c r="M6" s="95">
        <f>VLOOKUP(M4,Справочники!$AB:$AD,3,0)</f>
        <v>21</v>
      </c>
      <c r="N6" s="95">
        <f>VLOOKUP(N4,Справочники!$AB:$AD,3,0)</f>
        <v>21</v>
      </c>
      <c r="O6" s="95">
        <f>VLOOKUP(O4,Справочники!$AB:$AD,3,0)</f>
        <v>21</v>
      </c>
      <c r="P6" s="95">
        <f>VLOOKUP(P4,Справочники!$AB:$AD,3,0)</f>
        <v>23</v>
      </c>
      <c r="Q6" s="95">
        <f>VLOOKUP(Q4,Справочники!$AB:$AD,3,0)</f>
        <v>21</v>
      </c>
      <c r="R6" s="95">
        <f>VLOOKUP(R4,Справочники!$AB:$AD,3,0)</f>
        <v>22</v>
      </c>
      <c r="S6" s="95">
        <f>VLOOKUP(S4,Справочники!$AB:$AD,3,0)</f>
        <v>21</v>
      </c>
      <c r="T6" s="95">
        <f>VLOOKUP(T4,Справочники!$AB:$AD,3,0)</f>
        <v>21</v>
      </c>
      <c r="U6" s="95"/>
      <c r="V6" s="95"/>
      <c r="W6" s="95">
        <f>VLOOKUP(W4,Справочники!$AB:$AD,3,0)</f>
        <v>13</v>
      </c>
      <c r="X6" s="95">
        <f>VLOOKUP(X4,Справочники!$AB:$AD,3,0)</f>
        <v>19</v>
      </c>
      <c r="Y6" s="95">
        <f>VLOOKUP(Y4,Справочники!$AB:$AD,3,0)</f>
        <v>22</v>
      </c>
      <c r="Z6" s="95">
        <f>VLOOKUP(Z4,Справочники!$AB:$AD,3,0)</f>
        <v>22</v>
      </c>
      <c r="AA6" s="95">
        <f>VLOOKUP(AA4,Справочники!$AB:$AD,3,0)</f>
        <v>19</v>
      </c>
      <c r="AB6" s="95">
        <f>VLOOKUP(AB4,Справочники!$AB:$AD,3,0)</f>
        <v>21</v>
      </c>
      <c r="AC6" s="95">
        <f>VLOOKUP(AC4,Справочники!$AB:$AD,3,0)</f>
        <v>22</v>
      </c>
      <c r="AD6" s="95">
        <f>VLOOKUP(AD4,Справочники!$AB:$AD,3,0)</f>
        <v>22</v>
      </c>
      <c r="AE6" s="95">
        <f>VLOOKUP(AE4,Справочники!$AB:$AD,3,0)</f>
        <v>22</v>
      </c>
      <c r="AF6" s="95">
        <f>VLOOKUP(AF4,Справочники!$AB:$AD,3,0)</f>
        <v>21</v>
      </c>
      <c r="AG6" s="95">
        <f>VLOOKUP(AG4,Справочники!$AB:$AD,3,0)</f>
        <v>21</v>
      </c>
      <c r="AH6" s="95">
        <f>VLOOKUP(AH4,Справочники!$AB:$AD,3,0)</f>
        <v>23</v>
      </c>
      <c r="AI6" s="95"/>
      <c r="AJ6" s="95"/>
      <c r="AK6" s="95">
        <f>VLOOKUP(AK4,Справочники!$AB:$AD,3,0)</f>
        <v>17</v>
      </c>
      <c r="AL6" s="95">
        <f>VLOOKUP(AL4,Справочники!$AB:$AD,3,0)</f>
        <v>19</v>
      </c>
      <c r="AM6" s="95">
        <f>VLOOKUP(AM4,Справочники!$AB:$AD,3,0)</f>
        <v>22</v>
      </c>
      <c r="AN6" s="95">
        <f>VLOOKUP(AN4,Справочники!$AB:$AD,3,0)</f>
        <v>20</v>
      </c>
      <c r="AO6" s="95">
        <f>VLOOKUP(AO4,Справочники!$AB:$AD,3,0)</f>
        <v>21</v>
      </c>
      <c r="AP6" s="95">
        <f>VLOOKUP(AP4,Справочники!$AB:$AD,3,0)</f>
        <v>21</v>
      </c>
      <c r="AQ6" s="95">
        <f>VLOOKUP(AQ4,Справочники!$AB:$AD,3,0)</f>
        <v>21</v>
      </c>
      <c r="AR6" s="95">
        <f>VLOOKUP(AR4,Справочники!$AB:$AD,3,0)</f>
        <v>23</v>
      </c>
      <c r="AS6" s="95">
        <f>VLOOKUP(AS4,Справочники!$AB:$AD,3,0)</f>
        <v>21</v>
      </c>
      <c r="AT6" s="95">
        <f>VLOOKUP(AT4,Справочники!$AB:$AD,3,0)</f>
        <v>22</v>
      </c>
      <c r="AU6" s="95">
        <f>VLOOKUP(AU4,Справочники!$AB:$AD,3,0)</f>
        <v>21</v>
      </c>
      <c r="AV6" s="95">
        <f>VLOOKUP(AV4,Справочники!$AB:$AD,3,0)</f>
        <v>21</v>
      </c>
      <c r="AW6" s="95"/>
      <c r="AX6" s="95"/>
      <c r="AY6" s="95">
        <f>VLOOKUP(AY4,Справочники!$AB:$AD,3,0)</f>
        <v>17</v>
      </c>
      <c r="AZ6" s="95">
        <f>VLOOKUP(AZ4,Справочники!$AB:$AD,3,0)</f>
        <v>19</v>
      </c>
      <c r="BA6" s="95">
        <f>VLOOKUP(BA4,Справочники!$AB:$AD,3,0)</f>
        <v>22</v>
      </c>
      <c r="BB6" s="95">
        <f>VLOOKUP(BB4,Справочники!$AB:$AD,3,0)</f>
        <v>20</v>
      </c>
      <c r="BC6" s="95">
        <f>VLOOKUP(BC4,Справочники!$AB:$AD,3,0)</f>
        <v>21</v>
      </c>
      <c r="BD6" s="95">
        <f>VLOOKUP(BD4,Справочники!$AB:$AD,3,0)</f>
        <v>21</v>
      </c>
      <c r="BE6" s="95">
        <f>VLOOKUP(BE4,Справочники!$AB:$AD,3,0)</f>
        <v>21</v>
      </c>
      <c r="BF6" s="95">
        <f>VLOOKUP(BF4,Справочники!$AB:$AD,3,0)</f>
        <v>23</v>
      </c>
      <c r="BG6" s="95">
        <f>VLOOKUP(BG4,Справочники!$AB:$AD,3,0)</f>
        <v>21</v>
      </c>
      <c r="BH6" s="95">
        <f>VLOOKUP(BH4,Справочники!$AB:$AD,3,0)</f>
        <v>22</v>
      </c>
      <c r="BI6" s="95">
        <f>VLOOKUP(BI4,Справочники!$AB:$AD,3,0)</f>
        <v>21</v>
      </c>
      <c r="BJ6" s="95">
        <f>VLOOKUP(BJ4,Справочники!$AB:$AD,3,0)</f>
        <v>21</v>
      </c>
      <c r="BK6" s="95"/>
      <c r="BL6" s="95"/>
      <c r="BM6" s="95">
        <f>VLOOKUP(BM4,Справочники!$AB:$AD,3,0)</f>
        <v>17</v>
      </c>
      <c r="BN6" s="95">
        <f>VLOOKUP(BN4,Справочники!$AB:$AD,3,0)</f>
        <v>19</v>
      </c>
      <c r="BO6" s="95">
        <f>VLOOKUP(BO4,Справочники!$AB:$AD,3,0)</f>
        <v>22</v>
      </c>
      <c r="BP6" s="95">
        <f>VLOOKUP(BP4,Справочники!$AB:$AD,3,0)</f>
        <v>20</v>
      </c>
      <c r="BQ6" s="95">
        <f>VLOOKUP(BQ4,Справочники!$AB:$AD,3,0)</f>
        <v>21</v>
      </c>
      <c r="BR6" s="95">
        <f>VLOOKUP(BR4,Справочники!$AB:$AD,3,0)</f>
        <v>21</v>
      </c>
      <c r="BS6" s="95">
        <f>VLOOKUP(BS4,Справочники!$AB:$AD,3,0)</f>
        <v>21</v>
      </c>
      <c r="BT6" s="95">
        <f>VLOOKUP(BT4,Справочники!$AB:$AD,3,0)</f>
        <v>23</v>
      </c>
      <c r="BU6" s="95">
        <f>VLOOKUP(BU4,Справочники!$AB:$AD,3,0)</f>
        <v>21</v>
      </c>
      <c r="BV6" s="95">
        <f>VLOOKUP(BV4,Справочники!$AB:$AD,3,0)</f>
        <v>22</v>
      </c>
      <c r="BW6" s="95">
        <f>VLOOKUP(BW4,Справочники!$AB:$AD,3,0)</f>
        <v>21</v>
      </c>
      <c r="BX6" s="95">
        <f>VLOOKUP(BX4,Справочники!$AB:$AD,3,0)</f>
        <v>21</v>
      </c>
      <c r="BY6" s="95"/>
      <c r="BZ6" s="95"/>
      <c r="CB6" s="95"/>
      <c r="CC6" s="95"/>
      <c r="CD6" s="95"/>
      <c r="CE6" s="95"/>
      <c r="CF6" s="95"/>
      <c r="CG6" s="95"/>
      <c r="CH6" s="95"/>
      <c r="CI6" s="95"/>
      <c r="CJ6" s="95"/>
      <c r="CK6" s="95"/>
      <c r="CL6" s="95"/>
      <c r="CM6" s="95"/>
      <c r="CN6" s="95"/>
      <c r="CO6" s="95"/>
      <c r="CP6" s="95"/>
      <c r="CQ6" s="95"/>
      <c r="CR6" s="95"/>
      <c r="CS6" s="95"/>
      <c r="CT6" s="95"/>
      <c r="CU6" s="95"/>
      <c r="CV6" s="95"/>
      <c r="CW6" s="95"/>
      <c r="CX6" s="95"/>
      <c r="CY6" s="95"/>
      <c r="CZ6" s="95"/>
      <c r="DA6" s="95"/>
      <c r="DB6" s="95"/>
      <c r="DC6" s="95"/>
      <c r="DD6" s="95"/>
      <c r="DE6" s="95"/>
      <c r="DF6" s="95"/>
      <c r="DG6" s="95"/>
      <c r="DH6" s="95"/>
      <c r="DI6" s="95"/>
      <c r="DJ6" s="95"/>
      <c r="DK6" s="95"/>
      <c r="DL6" s="95"/>
      <c r="DM6" s="95"/>
      <c r="DN6" s="95"/>
      <c r="DO6" s="95"/>
      <c r="DP6" s="95"/>
      <c r="DQ6" s="95"/>
      <c r="DR6" s="95"/>
      <c r="DS6" s="95"/>
      <c r="DT6" s="95"/>
      <c r="DU6" s="95"/>
      <c r="DV6" s="95"/>
      <c r="DW6" s="95"/>
      <c r="DX6" s="95"/>
      <c r="DY6" s="95"/>
      <c r="DZ6" s="95"/>
      <c r="EA6" s="95"/>
      <c r="EB6" s="95"/>
      <c r="EC6" s="95"/>
      <c r="ED6" s="95"/>
      <c r="EE6" s="95"/>
      <c r="EF6" s="95"/>
      <c r="EG6" s="95"/>
      <c r="EH6" s="95"/>
      <c r="EI6" s="95"/>
      <c r="EJ6" s="95"/>
      <c r="EK6" s="95"/>
      <c r="EL6" s="95"/>
      <c r="EM6" s="95"/>
      <c r="EN6" s="95"/>
      <c r="EO6" s="95"/>
      <c r="EP6" s="95"/>
      <c r="EQ6" s="95"/>
      <c r="ER6" s="95"/>
      <c r="ES6" s="95"/>
    </row>
    <row r="7" spans="1:149" ht="15" customHeight="1" x14ac:dyDescent="0.2">
      <c r="C7" s="270" t="s">
        <v>307</v>
      </c>
      <c r="D7" s="270" t="s">
        <v>295</v>
      </c>
      <c r="E7" s="270" t="s">
        <v>309</v>
      </c>
      <c r="F7" s="270" t="s">
        <v>93</v>
      </c>
      <c r="G7" s="272" t="s">
        <v>310</v>
      </c>
      <c r="H7" s="12"/>
      <c r="I7" s="269" t="str">
        <f>"Трудоемкость (ЧД) на "&amp;YEAR('Карточка проекта'!$D$9)&amp;" год"</f>
        <v>Трудоемкость (ЧД) на 2023 год</v>
      </c>
      <c r="J7" s="269"/>
      <c r="K7" s="269"/>
      <c r="L7" s="269"/>
      <c r="M7" s="269"/>
      <c r="N7" s="269"/>
      <c r="O7" s="269"/>
      <c r="P7" s="269"/>
      <c r="Q7" s="269"/>
      <c r="R7" s="269"/>
      <c r="S7" s="269"/>
      <c r="T7" s="269"/>
      <c r="U7" s="269"/>
      <c r="V7" s="12"/>
      <c r="W7" s="269" t="str">
        <f>"Трудоемкость (ЧД) на "&amp;YEAR('Карточка проекта'!$D$9)+1&amp;" год"</f>
        <v>Трудоемкость (ЧД) на 2024 год</v>
      </c>
      <c r="X7" s="269"/>
      <c r="Y7" s="269"/>
      <c r="Z7" s="269"/>
      <c r="AA7" s="269"/>
      <c r="AB7" s="269"/>
      <c r="AC7" s="269"/>
      <c r="AD7" s="269"/>
      <c r="AE7" s="269"/>
      <c r="AF7" s="269"/>
      <c r="AG7" s="269"/>
      <c r="AH7" s="269"/>
      <c r="AI7" s="269"/>
      <c r="AJ7" s="12"/>
      <c r="AK7" s="269" t="str">
        <f>"Трудоемкость (ЧД) на "&amp;YEAR('Карточка проекта'!$D$9)+2&amp;" год"</f>
        <v>Трудоемкость (ЧД) на 2025 год</v>
      </c>
      <c r="AL7" s="269"/>
      <c r="AM7" s="269"/>
      <c r="AN7" s="269"/>
      <c r="AO7" s="269"/>
      <c r="AP7" s="269"/>
      <c r="AQ7" s="269"/>
      <c r="AR7" s="269"/>
      <c r="AS7" s="269"/>
      <c r="AT7" s="269"/>
      <c r="AU7" s="269"/>
      <c r="AV7" s="269"/>
      <c r="AW7" s="269"/>
      <c r="AX7" s="12"/>
      <c r="AY7" s="269" t="str">
        <f>"Трудоемкость (ЧД) на "&amp;YEAR('Карточка проекта'!$D$9)+3&amp;" год"</f>
        <v>Трудоемкость (ЧД) на 2026 год</v>
      </c>
      <c r="AZ7" s="269"/>
      <c r="BA7" s="269"/>
      <c r="BB7" s="269"/>
      <c r="BC7" s="269"/>
      <c r="BD7" s="269"/>
      <c r="BE7" s="269"/>
      <c r="BF7" s="269"/>
      <c r="BG7" s="269"/>
      <c r="BH7" s="269"/>
      <c r="BI7" s="269"/>
      <c r="BJ7" s="269"/>
      <c r="BK7" s="269"/>
      <c r="BL7" s="12"/>
      <c r="BM7" s="269" t="str">
        <f>"Трудоемкость (ЧД) на "&amp;YEAR('Карточка проекта'!$D$9)+4&amp;" год"</f>
        <v>Трудоемкость (ЧД) на 2027 год</v>
      </c>
      <c r="BN7" s="269"/>
      <c r="BO7" s="269"/>
      <c r="BP7" s="269"/>
      <c r="BQ7" s="269"/>
      <c r="BR7" s="269"/>
      <c r="BS7" s="269"/>
      <c r="BT7" s="269"/>
      <c r="BU7" s="269"/>
      <c r="BV7" s="269"/>
      <c r="BW7" s="269"/>
      <c r="BX7" s="269"/>
      <c r="BY7" s="269"/>
      <c r="BZ7" s="12"/>
      <c r="CA7" s="269" t="s">
        <v>171</v>
      </c>
      <c r="CB7" s="12"/>
      <c r="CC7" s="269" t="str">
        <f>"ФОТ проекта на "&amp;YEAR('Карточка проекта'!$D$9)&amp;" год"</f>
        <v>ФОТ проекта на 2023 год</v>
      </c>
      <c r="CD7" s="269"/>
      <c r="CE7" s="269"/>
      <c r="CF7" s="269"/>
      <c r="CG7" s="269"/>
      <c r="CH7" s="269"/>
      <c r="CI7" s="269"/>
      <c r="CJ7" s="269"/>
      <c r="CK7" s="269"/>
      <c r="CL7" s="269"/>
      <c r="CM7" s="269"/>
      <c r="CN7" s="269"/>
      <c r="CO7" s="269"/>
      <c r="CP7" s="12"/>
      <c r="CQ7" s="269" t="str">
        <f>"ФОТ проекта на "&amp;YEAR('Карточка проекта'!$D$9)+1&amp;" год"</f>
        <v>ФОТ проекта на 2024 год</v>
      </c>
      <c r="CR7" s="269"/>
      <c r="CS7" s="269"/>
      <c r="CT7" s="269"/>
      <c r="CU7" s="269"/>
      <c r="CV7" s="269"/>
      <c r="CW7" s="269"/>
      <c r="CX7" s="269"/>
      <c r="CY7" s="269"/>
      <c r="CZ7" s="269"/>
      <c r="DA7" s="269"/>
      <c r="DB7" s="269"/>
      <c r="DC7" s="269"/>
      <c r="DD7" s="12"/>
      <c r="DE7" s="269" t="str">
        <f>"ФОТ проекта на "&amp;YEAR('Карточка проекта'!$D$9)+2&amp;" год"</f>
        <v>ФОТ проекта на 2025 год</v>
      </c>
      <c r="DF7" s="269"/>
      <c r="DG7" s="269"/>
      <c r="DH7" s="269"/>
      <c r="DI7" s="269"/>
      <c r="DJ7" s="269"/>
      <c r="DK7" s="269"/>
      <c r="DL7" s="269"/>
      <c r="DM7" s="269"/>
      <c r="DN7" s="269"/>
      <c r="DO7" s="269"/>
      <c r="DP7" s="269"/>
      <c r="DQ7" s="269"/>
      <c r="DR7" s="12"/>
      <c r="DS7" s="269" t="str">
        <f>"ФОТ проекта на "&amp;YEAR('Карточка проекта'!$D$9)+3&amp;" год"</f>
        <v>ФОТ проекта на 2026 год</v>
      </c>
      <c r="DT7" s="269"/>
      <c r="DU7" s="269"/>
      <c r="DV7" s="269"/>
      <c r="DW7" s="269"/>
      <c r="DX7" s="269"/>
      <c r="DY7" s="269"/>
      <c r="DZ7" s="269"/>
      <c r="EA7" s="269"/>
      <c r="EB7" s="269"/>
      <c r="EC7" s="269"/>
      <c r="ED7" s="269"/>
      <c r="EE7" s="269"/>
      <c r="EF7" s="12"/>
      <c r="EG7" s="269" t="str">
        <f>"ФОТ проекта на "&amp;YEAR('Карточка проекта'!$D$9)+4&amp;" год"</f>
        <v>ФОТ проекта на 2027 год</v>
      </c>
      <c r="EH7" s="269"/>
      <c r="EI7" s="269"/>
      <c r="EJ7" s="269"/>
      <c r="EK7" s="269"/>
      <c r="EL7" s="269"/>
      <c r="EM7" s="269"/>
      <c r="EN7" s="269"/>
      <c r="EO7" s="269"/>
      <c r="EP7" s="269"/>
      <c r="EQ7" s="269"/>
      <c r="ER7" s="269"/>
      <c r="ES7" s="269"/>
    </row>
    <row r="8" spans="1:149" ht="39" customHeight="1" x14ac:dyDescent="0.2">
      <c r="C8" s="271"/>
      <c r="D8" s="271"/>
      <c r="E8" s="271"/>
      <c r="F8" s="271"/>
      <c r="G8" s="273"/>
      <c r="H8" s="12"/>
      <c r="I8" s="119" t="str">
        <f>I5&amp;YEAR('Карточка проекта'!$D$9)</f>
        <v>янв.2023</v>
      </c>
      <c r="J8" s="119" t="str">
        <f>J5&amp;YEAR('Карточка проекта'!$D$9)</f>
        <v>фев.2023</v>
      </c>
      <c r="K8" s="119" t="str">
        <f>K5&amp;YEAR('Карточка проекта'!$D$9)</f>
        <v>мар.2023</v>
      </c>
      <c r="L8" s="119" t="str">
        <f>L5&amp;YEAR('Карточка проекта'!$D$9)</f>
        <v>апр.2023</v>
      </c>
      <c r="M8" s="119" t="str">
        <f>M5&amp;YEAR('Карточка проекта'!$D$9)</f>
        <v>май.2023</v>
      </c>
      <c r="N8" s="119" t="str">
        <f>N5&amp;YEAR('Карточка проекта'!$D$9)</f>
        <v>июн.2023</v>
      </c>
      <c r="O8" s="119" t="str">
        <f>O5&amp;YEAR('Карточка проекта'!$D$9)</f>
        <v>июл.2023</v>
      </c>
      <c r="P8" s="119" t="str">
        <f>P5&amp;YEAR('Карточка проекта'!$D$9)</f>
        <v>авг.2023</v>
      </c>
      <c r="Q8" s="119" t="str">
        <f>Q5&amp;YEAR('Карточка проекта'!$D$9)</f>
        <v>сен.2023</v>
      </c>
      <c r="R8" s="119" t="str">
        <f>R5&amp;YEAR('Карточка проекта'!$D$9)</f>
        <v>окт.2023</v>
      </c>
      <c r="S8" s="119" t="str">
        <f>S5&amp;YEAR('Карточка проекта'!$D$9)</f>
        <v>ноя.2023</v>
      </c>
      <c r="T8" s="119" t="str">
        <f>T5&amp;YEAR('Карточка проекта'!$D$9)</f>
        <v>дек.2023</v>
      </c>
      <c r="U8" s="213" t="str">
        <f>YEAR('Карточка проекта'!$D$9)&amp;" год"</f>
        <v>2023 год</v>
      </c>
      <c r="V8" s="12"/>
      <c r="W8" s="213" t="str">
        <f>W5&amp;YEAR('Карточка проекта'!$D$9)+1</f>
        <v>янв.2024</v>
      </c>
      <c r="X8" s="213" t="str">
        <f>X5&amp;YEAR('Карточка проекта'!$D$9)+1</f>
        <v>фев.2024</v>
      </c>
      <c r="Y8" s="213" t="str">
        <f>Y5&amp;YEAR('Карточка проекта'!$D$9)+1</f>
        <v>мар.2024</v>
      </c>
      <c r="Z8" s="213" t="str">
        <f>Z5&amp;YEAR('Карточка проекта'!$D$9)+1</f>
        <v>апр.2024</v>
      </c>
      <c r="AA8" s="213" t="str">
        <f>AA5&amp;YEAR('Карточка проекта'!$D$9)+1</f>
        <v>май.2024</v>
      </c>
      <c r="AB8" s="213" t="str">
        <f>AB5&amp;YEAR('Карточка проекта'!$D$9)+1</f>
        <v>июн.2024</v>
      </c>
      <c r="AC8" s="213" t="str">
        <f>AC5&amp;YEAR('Карточка проекта'!$D$9)+1</f>
        <v>июл.2024</v>
      </c>
      <c r="AD8" s="213" t="str">
        <f>AD5&amp;YEAR('Карточка проекта'!$D$9)+1</f>
        <v>авг.2024</v>
      </c>
      <c r="AE8" s="213" t="str">
        <f>AE5&amp;YEAR('Карточка проекта'!$D$9)+1</f>
        <v>сен.2024</v>
      </c>
      <c r="AF8" s="213" t="str">
        <f>AF5&amp;YEAR('Карточка проекта'!$D$9)+1</f>
        <v>окт.2024</v>
      </c>
      <c r="AG8" s="213" t="str">
        <f>AG5&amp;YEAR('Карточка проекта'!$D$9)+1</f>
        <v>ноя.2024</v>
      </c>
      <c r="AH8" s="213" t="str">
        <f>AH5&amp;YEAR('Карточка проекта'!$D$9)+1</f>
        <v>дек.2024</v>
      </c>
      <c r="AI8" s="213" t="str">
        <f>YEAR('Карточка проекта'!$D$9)+1&amp;" год"</f>
        <v>2024 год</v>
      </c>
      <c r="AJ8" s="12"/>
      <c r="AK8" s="213" t="str">
        <f>AK5&amp;YEAR('Карточка проекта'!$D$9)+2</f>
        <v>янв.2025</v>
      </c>
      <c r="AL8" s="213" t="str">
        <f>AL5&amp;YEAR('Карточка проекта'!$D$9)+2</f>
        <v>фев.2025</v>
      </c>
      <c r="AM8" s="213" t="str">
        <f>AM5&amp;YEAR('Карточка проекта'!$D$9)+2</f>
        <v>мар.2025</v>
      </c>
      <c r="AN8" s="213" t="str">
        <f>AN5&amp;YEAR('Карточка проекта'!$D$9)+2</f>
        <v>апр.2025</v>
      </c>
      <c r="AO8" s="213" t="str">
        <f>AO5&amp;YEAR('Карточка проекта'!$D$9)+2</f>
        <v>май.2025</v>
      </c>
      <c r="AP8" s="213" t="str">
        <f>AP5&amp;YEAR('Карточка проекта'!$D$9)+2</f>
        <v>июн.2025</v>
      </c>
      <c r="AQ8" s="213" t="str">
        <f>AQ5&amp;YEAR('Карточка проекта'!$D$9)+2</f>
        <v>июл.2025</v>
      </c>
      <c r="AR8" s="213" t="str">
        <f>AR5&amp;YEAR('Карточка проекта'!$D$9)+2</f>
        <v>авг.2025</v>
      </c>
      <c r="AS8" s="213" t="str">
        <f>AS5&amp;YEAR('Карточка проекта'!$D$9)+2</f>
        <v>сен.2025</v>
      </c>
      <c r="AT8" s="213" t="str">
        <f>AT5&amp;YEAR('Карточка проекта'!$D$9)+2</f>
        <v>окт.2025</v>
      </c>
      <c r="AU8" s="213" t="str">
        <f>AU5&amp;YEAR('Карточка проекта'!$D$9)+2</f>
        <v>ноя.2025</v>
      </c>
      <c r="AV8" s="213" t="str">
        <f>AV5&amp;YEAR('Карточка проекта'!$D$9)+2</f>
        <v>дек.2025</v>
      </c>
      <c r="AW8" s="213" t="str">
        <f>YEAR('Карточка проекта'!$D$9)+2&amp;" год"</f>
        <v>2025 год</v>
      </c>
      <c r="AX8" s="12"/>
      <c r="AY8" s="213" t="str">
        <f>AY5&amp;YEAR('Карточка проекта'!$D$9)+3</f>
        <v>янв.2026</v>
      </c>
      <c r="AZ8" s="213" t="str">
        <f>AZ5&amp;YEAR('Карточка проекта'!$D$9)+3</f>
        <v>фев.2026</v>
      </c>
      <c r="BA8" s="213" t="str">
        <f>BA5&amp;YEAR('Карточка проекта'!$D$9)+3</f>
        <v>мар.2026</v>
      </c>
      <c r="BB8" s="213" t="str">
        <f>BB5&amp;YEAR('Карточка проекта'!$D$9)+3</f>
        <v>апр.2026</v>
      </c>
      <c r="BC8" s="213" t="str">
        <f>BC5&amp;YEAR('Карточка проекта'!$D$9)+3</f>
        <v>май.2026</v>
      </c>
      <c r="BD8" s="213" t="str">
        <f>BD5&amp;YEAR('Карточка проекта'!$D$9)+3</f>
        <v>июн.2026</v>
      </c>
      <c r="BE8" s="213" t="str">
        <f>BE5&amp;YEAR('Карточка проекта'!$D$9)+3</f>
        <v>июл.2026</v>
      </c>
      <c r="BF8" s="213" t="str">
        <f>BF5&amp;YEAR('Карточка проекта'!$D$9)+3</f>
        <v>авг.2026</v>
      </c>
      <c r="BG8" s="213" t="str">
        <f>BG5&amp;YEAR('Карточка проекта'!$D$9)+3</f>
        <v>сен.2026</v>
      </c>
      <c r="BH8" s="213" t="str">
        <f>BH5&amp;YEAR('Карточка проекта'!$D$9)+3</f>
        <v>окт.2026</v>
      </c>
      <c r="BI8" s="213" t="str">
        <f>BI5&amp;YEAR('Карточка проекта'!$D$9)+3</f>
        <v>ноя.2026</v>
      </c>
      <c r="BJ8" s="213" t="str">
        <f>BJ5&amp;YEAR('Карточка проекта'!$D$9)+3</f>
        <v>дек.2026</v>
      </c>
      <c r="BK8" s="213" t="str">
        <f>YEAR('Карточка проекта'!$D$9)+3&amp;" год"</f>
        <v>2026 год</v>
      </c>
      <c r="BL8" s="12"/>
      <c r="BM8" s="213" t="str">
        <f>BM5&amp;YEAR('Карточка проекта'!$D$9)+4</f>
        <v>янв.2027</v>
      </c>
      <c r="BN8" s="213" t="str">
        <f>BN5&amp;YEAR('Карточка проекта'!$D$9)+4</f>
        <v>фев.2027</v>
      </c>
      <c r="BO8" s="213" t="str">
        <f>BO5&amp;YEAR('Карточка проекта'!$D$9)+4</f>
        <v>мар.2027</v>
      </c>
      <c r="BP8" s="213" t="str">
        <f>BP5&amp;YEAR('Карточка проекта'!$D$9)+4</f>
        <v>апр.2027</v>
      </c>
      <c r="BQ8" s="213" t="str">
        <f>BQ5&amp;YEAR('Карточка проекта'!$D$9)+4</f>
        <v>май.2027</v>
      </c>
      <c r="BR8" s="213" t="str">
        <f>BR5&amp;YEAR('Карточка проекта'!$D$9)+4</f>
        <v>июн.2027</v>
      </c>
      <c r="BS8" s="213" t="str">
        <f>BS5&amp;YEAR('Карточка проекта'!$D$9)+4</f>
        <v>июл.2027</v>
      </c>
      <c r="BT8" s="213" t="str">
        <f>BT5&amp;YEAR('Карточка проекта'!$D$9)+4</f>
        <v>авг.2027</v>
      </c>
      <c r="BU8" s="213" t="str">
        <f>BU5&amp;YEAR('Карточка проекта'!$D$9)+4</f>
        <v>сен.2027</v>
      </c>
      <c r="BV8" s="213" t="str">
        <f>BV5&amp;YEAR('Карточка проекта'!$D$9)+4</f>
        <v>окт.2027</v>
      </c>
      <c r="BW8" s="213" t="str">
        <f>BW5&amp;YEAR('Карточка проекта'!$D$9)+4</f>
        <v>ноя.2027</v>
      </c>
      <c r="BX8" s="213" t="str">
        <f>BX5&amp;YEAR('Карточка проекта'!$D$9)+4</f>
        <v>дек.2027</v>
      </c>
      <c r="BY8" s="213" t="str">
        <f>YEAR('Карточка проекта'!$D$9)+4&amp;" год"</f>
        <v>2027 год</v>
      </c>
      <c r="BZ8" s="12"/>
      <c r="CA8" s="269"/>
      <c r="CB8" s="12"/>
      <c r="CC8" s="119" t="str">
        <f>CC5&amp;YEAR('Карточка проекта'!$D$9)</f>
        <v>янв.2023</v>
      </c>
      <c r="CD8" s="119" t="str">
        <f>CD5&amp;YEAR('Карточка проекта'!$D$9)</f>
        <v>фев.2023</v>
      </c>
      <c r="CE8" s="119" t="str">
        <f>CE5&amp;YEAR('Карточка проекта'!$D$9)</f>
        <v>мар.2023</v>
      </c>
      <c r="CF8" s="119" t="str">
        <f>CF5&amp;YEAR('Карточка проекта'!$D$9)</f>
        <v>апр.2023</v>
      </c>
      <c r="CG8" s="119" t="str">
        <f>CG5&amp;YEAR('Карточка проекта'!$D$9)</f>
        <v>май.2023</v>
      </c>
      <c r="CH8" s="119" t="str">
        <f>CH5&amp;YEAR('Карточка проекта'!$D$9)</f>
        <v>июн.2023</v>
      </c>
      <c r="CI8" s="119" t="str">
        <f>CI5&amp;YEAR('Карточка проекта'!$D$9)</f>
        <v>июл.2023</v>
      </c>
      <c r="CJ8" s="119" t="str">
        <f>CJ5&amp;YEAR('Карточка проекта'!$D$9)</f>
        <v>авг.2023</v>
      </c>
      <c r="CK8" s="119" t="str">
        <f>CK5&amp;YEAR('Карточка проекта'!$D$9)</f>
        <v>сен.2023</v>
      </c>
      <c r="CL8" s="119" t="str">
        <f>CL5&amp;YEAR('Карточка проекта'!$D$9)</f>
        <v>окт.2023</v>
      </c>
      <c r="CM8" s="119" t="str">
        <f>CM5&amp;YEAR('Карточка проекта'!$D$9)</f>
        <v>ноя.2023</v>
      </c>
      <c r="CN8" s="119" t="str">
        <f>CN5&amp;YEAR('Карточка проекта'!$D$9)</f>
        <v>дек.2023</v>
      </c>
      <c r="CO8" s="213" t="str">
        <f>YEAR('Карточка проекта'!$D$9)&amp;" год"</f>
        <v>2023 год</v>
      </c>
      <c r="CP8" s="12"/>
      <c r="CQ8" s="213" t="str">
        <f>CQ5&amp;YEAR('Карточка проекта'!$D$9)+1</f>
        <v>янв.2024</v>
      </c>
      <c r="CR8" s="213" t="str">
        <f>CR5&amp;YEAR('Карточка проекта'!$D$9)+1</f>
        <v>фев.2024</v>
      </c>
      <c r="CS8" s="213" t="str">
        <f>CS5&amp;YEAR('Карточка проекта'!$D$9)+1</f>
        <v>мар.2024</v>
      </c>
      <c r="CT8" s="213" t="str">
        <f>CT5&amp;YEAR('Карточка проекта'!$D$9)+1</f>
        <v>апр.2024</v>
      </c>
      <c r="CU8" s="213" t="str">
        <f>CU5&amp;YEAR('Карточка проекта'!$D$9)+1</f>
        <v>май.2024</v>
      </c>
      <c r="CV8" s="213" t="str">
        <f>CV5&amp;YEAR('Карточка проекта'!$D$9)+1</f>
        <v>июн.2024</v>
      </c>
      <c r="CW8" s="213" t="str">
        <f>CW5&amp;YEAR('Карточка проекта'!$D$9)+1</f>
        <v>июл.2024</v>
      </c>
      <c r="CX8" s="213" t="str">
        <f>CX5&amp;YEAR('Карточка проекта'!$D$9)+1</f>
        <v>авг.2024</v>
      </c>
      <c r="CY8" s="213" t="str">
        <f>CY5&amp;YEAR('Карточка проекта'!$D$9)+1</f>
        <v>сен.2024</v>
      </c>
      <c r="CZ8" s="213" t="str">
        <f>CZ5&amp;YEAR('Карточка проекта'!$D$9)+1</f>
        <v>окт.2024</v>
      </c>
      <c r="DA8" s="213" t="str">
        <f>DA5&amp;YEAR('Карточка проекта'!$D$9)+1</f>
        <v>ноя.2024</v>
      </c>
      <c r="DB8" s="213" t="str">
        <f>DB5&amp;YEAR('Карточка проекта'!$D$9)+1</f>
        <v>дек.2024</v>
      </c>
      <c r="DC8" s="213" t="str">
        <f>YEAR('Карточка проекта'!$D$9)+1&amp;" год"</f>
        <v>2024 год</v>
      </c>
      <c r="DD8" s="12"/>
      <c r="DE8" s="213" t="str">
        <f>DE5&amp;YEAR('Карточка проекта'!$D$9)+2</f>
        <v>янв.2025</v>
      </c>
      <c r="DF8" s="213" t="str">
        <f>DF5&amp;YEAR('Карточка проекта'!$D$9)+2</f>
        <v>фев.2025</v>
      </c>
      <c r="DG8" s="213" t="str">
        <f>DG5&amp;YEAR('Карточка проекта'!$D$9)+2</f>
        <v>мар.2025</v>
      </c>
      <c r="DH8" s="213" t="str">
        <f>DH5&amp;YEAR('Карточка проекта'!$D$9)+2</f>
        <v>апр.2025</v>
      </c>
      <c r="DI8" s="213" t="str">
        <f>DI5&amp;YEAR('Карточка проекта'!$D$9)+2</f>
        <v>май.2025</v>
      </c>
      <c r="DJ8" s="213" t="str">
        <f>DJ5&amp;YEAR('Карточка проекта'!$D$9)+2</f>
        <v>июн.2025</v>
      </c>
      <c r="DK8" s="213" t="str">
        <f>DK5&amp;YEAR('Карточка проекта'!$D$9)+2</f>
        <v>июл.2025</v>
      </c>
      <c r="DL8" s="213" t="str">
        <f>DL5&amp;YEAR('Карточка проекта'!$D$9)+2</f>
        <v>авг.2025</v>
      </c>
      <c r="DM8" s="213" t="str">
        <f>DM5&amp;YEAR('Карточка проекта'!$D$9)+2</f>
        <v>сен.2025</v>
      </c>
      <c r="DN8" s="213" t="str">
        <f>DN5&amp;YEAR('Карточка проекта'!$D$9)+2</f>
        <v>окт.2025</v>
      </c>
      <c r="DO8" s="213" t="str">
        <f>DO5&amp;YEAR('Карточка проекта'!$D$9)+2</f>
        <v>ноя.2025</v>
      </c>
      <c r="DP8" s="213" t="str">
        <f>DP5&amp;YEAR('Карточка проекта'!$D$9)+2</f>
        <v>дек.2025</v>
      </c>
      <c r="DQ8" s="213" t="str">
        <f>YEAR('Карточка проекта'!$D$9)+2&amp;" год"</f>
        <v>2025 год</v>
      </c>
      <c r="DR8" s="12"/>
      <c r="DS8" s="213" t="str">
        <f>DS5&amp;YEAR('Карточка проекта'!$D$9)+3</f>
        <v>янв.2026</v>
      </c>
      <c r="DT8" s="213" t="str">
        <f>DT5&amp;YEAR('Карточка проекта'!$D$9)+3</f>
        <v>фев.2026</v>
      </c>
      <c r="DU8" s="213" t="str">
        <f>DU5&amp;YEAR('Карточка проекта'!$D$9)+3</f>
        <v>мар.2026</v>
      </c>
      <c r="DV8" s="213" t="str">
        <f>DV5&amp;YEAR('Карточка проекта'!$D$9)+3</f>
        <v>апр.2026</v>
      </c>
      <c r="DW8" s="213" t="str">
        <f>DW5&amp;YEAR('Карточка проекта'!$D$9)+3</f>
        <v>май.2026</v>
      </c>
      <c r="DX8" s="213" t="str">
        <f>DX5&amp;YEAR('Карточка проекта'!$D$9)+3</f>
        <v>июн.2026</v>
      </c>
      <c r="DY8" s="213" t="str">
        <f>DY5&amp;YEAR('Карточка проекта'!$D$9)+3</f>
        <v>июл.2026</v>
      </c>
      <c r="DZ8" s="213" t="str">
        <f>DZ5&amp;YEAR('Карточка проекта'!$D$9)+3</f>
        <v>авг.2026</v>
      </c>
      <c r="EA8" s="213" t="str">
        <f>EA5&amp;YEAR('Карточка проекта'!$D$9)+3</f>
        <v>сен.2026</v>
      </c>
      <c r="EB8" s="213" t="str">
        <f>EB5&amp;YEAR('Карточка проекта'!$D$9)+3</f>
        <v>окт.2026</v>
      </c>
      <c r="EC8" s="213" t="str">
        <f>EC5&amp;YEAR('Карточка проекта'!$D$9)+3</f>
        <v>ноя.2026</v>
      </c>
      <c r="ED8" s="213" t="str">
        <f>ED5&amp;YEAR('Карточка проекта'!$D$9)+3</f>
        <v>дек.2026</v>
      </c>
      <c r="EE8" s="213" t="str">
        <f>YEAR('Карточка проекта'!$D$9)+3&amp;" год"</f>
        <v>2026 год</v>
      </c>
      <c r="EF8" s="12"/>
      <c r="EG8" s="213" t="str">
        <f>EG5&amp;YEAR('Карточка проекта'!$D$9)+4</f>
        <v>янв.2027</v>
      </c>
      <c r="EH8" s="213" t="str">
        <f>EH5&amp;YEAR('Карточка проекта'!$D$9)+4</f>
        <v>фев.2027</v>
      </c>
      <c r="EI8" s="213" t="str">
        <f>EI5&amp;YEAR('Карточка проекта'!$D$9)+4</f>
        <v>мар.2027</v>
      </c>
      <c r="EJ8" s="213" t="str">
        <f>EJ5&amp;YEAR('Карточка проекта'!$D$9)+4</f>
        <v>апр.2027</v>
      </c>
      <c r="EK8" s="213" t="str">
        <f>EK5&amp;YEAR('Карточка проекта'!$D$9)+4</f>
        <v>май.2027</v>
      </c>
      <c r="EL8" s="213" t="str">
        <f>EL5&amp;YEAR('Карточка проекта'!$D$9)+4</f>
        <v>июн.2027</v>
      </c>
      <c r="EM8" s="213" t="str">
        <f>EM5&amp;YEAR('Карточка проекта'!$D$9)+4</f>
        <v>июл.2027</v>
      </c>
      <c r="EN8" s="213" t="str">
        <f>EN5&amp;YEAR('Карточка проекта'!$D$9)+4</f>
        <v>авг.2027</v>
      </c>
      <c r="EO8" s="213" t="str">
        <f>EO5&amp;YEAR('Карточка проекта'!$D$9)+4</f>
        <v>сен.2027</v>
      </c>
      <c r="EP8" s="213" t="str">
        <f>EP5&amp;YEAR('Карточка проекта'!$D$9)+4</f>
        <v>окт.2027</v>
      </c>
      <c r="EQ8" s="213" t="str">
        <f>EQ5&amp;YEAR('Карточка проекта'!$D$9)+4</f>
        <v>ноя.2027</v>
      </c>
      <c r="ER8" s="213" t="str">
        <f>ER5&amp;YEAR('Карточка проекта'!$D$9)+4</f>
        <v>дек.2027</v>
      </c>
      <c r="ES8" s="213" t="str">
        <f>YEAR('Карточка проекта'!$D$9)+4&amp;" год"</f>
        <v>2027 год</v>
      </c>
    </row>
    <row r="9" spans="1:149" ht="10.199999999999999" x14ac:dyDescent="0.2">
      <c r="C9" s="121" t="s">
        <v>396</v>
      </c>
      <c r="D9" s="41"/>
      <c r="E9" s="41"/>
      <c r="F9" s="41"/>
      <c r="G9" s="41">
        <f>SUM(G12:G60)</f>
        <v>312</v>
      </c>
      <c r="H9" s="12"/>
      <c r="I9" s="198">
        <f t="shared" ref="I9:U9" si="0">SUM(I12:I60)</f>
        <v>0</v>
      </c>
      <c r="J9" s="198">
        <f t="shared" si="0"/>
        <v>0</v>
      </c>
      <c r="K9" s="198">
        <f t="shared" si="0"/>
        <v>0</v>
      </c>
      <c r="L9" s="198">
        <f t="shared" si="0"/>
        <v>0</v>
      </c>
      <c r="M9" s="198">
        <f t="shared" si="0"/>
        <v>0</v>
      </c>
      <c r="N9" s="198">
        <f t="shared" si="0"/>
        <v>0</v>
      </c>
      <c r="O9" s="198">
        <f t="shared" si="0"/>
        <v>0</v>
      </c>
      <c r="P9" s="198">
        <f t="shared" si="0"/>
        <v>0</v>
      </c>
      <c r="Q9" s="198">
        <f t="shared" si="0"/>
        <v>84</v>
      </c>
      <c r="R9" s="198">
        <f t="shared" si="0"/>
        <v>88</v>
      </c>
      <c r="S9" s="198">
        <f t="shared" si="0"/>
        <v>68</v>
      </c>
      <c r="T9" s="198">
        <f t="shared" si="0"/>
        <v>72</v>
      </c>
      <c r="U9" s="198">
        <f t="shared" si="0"/>
        <v>312</v>
      </c>
      <c r="V9" s="12"/>
      <c r="W9" s="198">
        <f t="shared" ref="W9:AI9" si="1">SUM(W12:W60)</f>
        <v>0</v>
      </c>
      <c r="X9" s="198">
        <f t="shared" si="1"/>
        <v>0</v>
      </c>
      <c r="Y9" s="198">
        <f t="shared" si="1"/>
        <v>0</v>
      </c>
      <c r="Z9" s="198">
        <f t="shared" si="1"/>
        <v>0</v>
      </c>
      <c r="AA9" s="198">
        <f t="shared" si="1"/>
        <v>0</v>
      </c>
      <c r="AB9" s="198">
        <f t="shared" si="1"/>
        <v>0</v>
      </c>
      <c r="AC9" s="198">
        <f t="shared" si="1"/>
        <v>0</v>
      </c>
      <c r="AD9" s="198">
        <f t="shared" si="1"/>
        <v>0</v>
      </c>
      <c r="AE9" s="198">
        <f t="shared" si="1"/>
        <v>0</v>
      </c>
      <c r="AF9" s="198">
        <f t="shared" si="1"/>
        <v>0</v>
      </c>
      <c r="AG9" s="198">
        <f t="shared" si="1"/>
        <v>0</v>
      </c>
      <c r="AH9" s="198">
        <f t="shared" si="1"/>
        <v>0</v>
      </c>
      <c r="AI9" s="198">
        <f t="shared" si="1"/>
        <v>0</v>
      </c>
      <c r="AJ9" s="12"/>
      <c r="AK9" s="198">
        <f t="shared" ref="AK9:AW9" si="2">SUM(AK12:AK60)</f>
        <v>0</v>
      </c>
      <c r="AL9" s="198">
        <f t="shared" si="2"/>
        <v>0</v>
      </c>
      <c r="AM9" s="198">
        <f t="shared" si="2"/>
        <v>0</v>
      </c>
      <c r="AN9" s="198">
        <f t="shared" si="2"/>
        <v>0</v>
      </c>
      <c r="AO9" s="198">
        <f t="shared" si="2"/>
        <v>0</v>
      </c>
      <c r="AP9" s="198">
        <f t="shared" si="2"/>
        <v>0</v>
      </c>
      <c r="AQ9" s="198">
        <f t="shared" si="2"/>
        <v>0</v>
      </c>
      <c r="AR9" s="198">
        <f t="shared" si="2"/>
        <v>0</v>
      </c>
      <c r="AS9" s="198">
        <f t="shared" si="2"/>
        <v>0</v>
      </c>
      <c r="AT9" s="198">
        <f t="shared" si="2"/>
        <v>0</v>
      </c>
      <c r="AU9" s="198">
        <f t="shared" si="2"/>
        <v>0</v>
      </c>
      <c r="AV9" s="198">
        <f t="shared" si="2"/>
        <v>0</v>
      </c>
      <c r="AW9" s="198">
        <f t="shared" si="2"/>
        <v>0</v>
      </c>
      <c r="AX9" s="12"/>
      <c r="AY9" s="198">
        <f t="shared" ref="AY9:BK9" si="3">SUM(AY12:AY60)</f>
        <v>0</v>
      </c>
      <c r="AZ9" s="198">
        <f t="shared" si="3"/>
        <v>0</v>
      </c>
      <c r="BA9" s="198">
        <f t="shared" si="3"/>
        <v>0</v>
      </c>
      <c r="BB9" s="198">
        <f t="shared" si="3"/>
        <v>0</v>
      </c>
      <c r="BC9" s="198">
        <f t="shared" si="3"/>
        <v>0</v>
      </c>
      <c r="BD9" s="198">
        <f t="shared" si="3"/>
        <v>0</v>
      </c>
      <c r="BE9" s="198">
        <f t="shared" si="3"/>
        <v>0</v>
      </c>
      <c r="BF9" s="198">
        <f t="shared" si="3"/>
        <v>0</v>
      </c>
      <c r="BG9" s="198">
        <f t="shared" si="3"/>
        <v>0</v>
      </c>
      <c r="BH9" s="198">
        <f t="shared" si="3"/>
        <v>0</v>
      </c>
      <c r="BI9" s="198">
        <f t="shared" si="3"/>
        <v>0</v>
      </c>
      <c r="BJ9" s="198">
        <f t="shared" si="3"/>
        <v>0</v>
      </c>
      <c r="BK9" s="198">
        <f t="shared" si="3"/>
        <v>0</v>
      </c>
      <c r="BL9" s="12"/>
      <c r="BM9" s="198">
        <f t="shared" ref="BM9:BY9" si="4">SUM(BM12:BM60)</f>
        <v>0</v>
      </c>
      <c r="BN9" s="198">
        <f t="shared" si="4"/>
        <v>0</v>
      </c>
      <c r="BO9" s="198">
        <f t="shared" si="4"/>
        <v>0</v>
      </c>
      <c r="BP9" s="198">
        <f t="shared" si="4"/>
        <v>0</v>
      </c>
      <c r="BQ9" s="198">
        <f t="shared" si="4"/>
        <v>0</v>
      </c>
      <c r="BR9" s="198">
        <f t="shared" si="4"/>
        <v>0</v>
      </c>
      <c r="BS9" s="198">
        <f t="shared" si="4"/>
        <v>0</v>
      </c>
      <c r="BT9" s="198">
        <f t="shared" si="4"/>
        <v>0</v>
      </c>
      <c r="BU9" s="198">
        <f t="shared" si="4"/>
        <v>0</v>
      </c>
      <c r="BV9" s="198">
        <f t="shared" si="4"/>
        <v>0</v>
      </c>
      <c r="BW9" s="198">
        <f t="shared" si="4"/>
        <v>0</v>
      </c>
      <c r="BX9" s="198">
        <f t="shared" si="4"/>
        <v>0</v>
      </c>
      <c r="BY9" s="198">
        <f t="shared" si="4"/>
        <v>0</v>
      </c>
      <c r="BZ9" s="12"/>
      <c r="CA9" s="41">
        <f t="shared" ref="CA9:CA10" si="5">CO9+DC9+DQ9+EE9+ES9</f>
        <v>1868294.9185399956</v>
      </c>
      <c r="CB9" s="12"/>
      <c r="CC9" s="41">
        <f>SUM(CC12:CC60)*0.87</f>
        <v>0</v>
      </c>
      <c r="CD9" s="41">
        <f t="shared" ref="CD9:CN9" si="6">SUM(CD12:CD60)*0.87</f>
        <v>0</v>
      </c>
      <c r="CE9" s="41">
        <f t="shared" si="6"/>
        <v>0</v>
      </c>
      <c r="CF9" s="41">
        <f t="shared" si="6"/>
        <v>0</v>
      </c>
      <c r="CG9" s="41">
        <f t="shared" si="6"/>
        <v>0</v>
      </c>
      <c r="CH9" s="41">
        <f t="shared" si="6"/>
        <v>0</v>
      </c>
      <c r="CI9" s="41">
        <f t="shared" si="6"/>
        <v>0</v>
      </c>
      <c r="CJ9" s="41">
        <f t="shared" si="6"/>
        <v>0</v>
      </c>
      <c r="CK9" s="41">
        <f t="shared" si="6"/>
        <v>501659.04006968997</v>
      </c>
      <c r="CL9" s="41">
        <f t="shared" si="6"/>
        <v>501659.04006968997</v>
      </c>
      <c r="CM9" s="41">
        <f t="shared" si="6"/>
        <v>419487.67616109713</v>
      </c>
      <c r="CN9" s="41">
        <f t="shared" si="6"/>
        <v>445489.16223951854</v>
      </c>
      <c r="CO9" s="41">
        <f>SUM(CC9:CN9)</f>
        <v>1868294.9185399956</v>
      </c>
      <c r="CP9" s="12"/>
      <c r="CQ9" s="41">
        <f>SUM(CQ12:CQ60)*0.87</f>
        <v>0</v>
      </c>
      <c r="CR9" s="41">
        <f t="shared" ref="CR9:DB9" si="7">SUM(CR12:CR60)*0.87</f>
        <v>0</v>
      </c>
      <c r="CS9" s="41">
        <f t="shared" si="7"/>
        <v>0</v>
      </c>
      <c r="CT9" s="41">
        <f t="shared" si="7"/>
        <v>0</v>
      </c>
      <c r="CU9" s="41">
        <f t="shared" si="7"/>
        <v>0</v>
      </c>
      <c r="CV9" s="41">
        <f t="shared" si="7"/>
        <v>0</v>
      </c>
      <c r="CW9" s="41">
        <f t="shared" si="7"/>
        <v>0</v>
      </c>
      <c r="CX9" s="41">
        <f t="shared" si="7"/>
        <v>0</v>
      </c>
      <c r="CY9" s="41">
        <f t="shared" si="7"/>
        <v>0</v>
      </c>
      <c r="CZ9" s="41">
        <f t="shared" si="7"/>
        <v>0</v>
      </c>
      <c r="DA9" s="41">
        <f t="shared" si="7"/>
        <v>0</v>
      </c>
      <c r="DB9" s="41">
        <f t="shared" si="7"/>
        <v>0</v>
      </c>
      <c r="DC9" s="41">
        <f>SUM(CQ9:DB9)</f>
        <v>0</v>
      </c>
      <c r="DD9" s="12"/>
      <c r="DE9" s="41">
        <f>SUM(DE12:DE60)*0.87</f>
        <v>0</v>
      </c>
      <c r="DF9" s="41">
        <f t="shared" ref="DF9:DP9" si="8">SUM(DF12:DF60)*0.87</f>
        <v>0</v>
      </c>
      <c r="DG9" s="41">
        <f t="shared" si="8"/>
        <v>0</v>
      </c>
      <c r="DH9" s="41">
        <f t="shared" si="8"/>
        <v>0</v>
      </c>
      <c r="DI9" s="41">
        <f t="shared" si="8"/>
        <v>0</v>
      </c>
      <c r="DJ9" s="41">
        <f t="shared" si="8"/>
        <v>0</v>
      </c>
      <c r="DK9" s="41">
        <f t="shared" si="8"/>
        <v>0</v>
      </c>
      <c r="DL9" s="41">
        <f t="shared" si="8"/>
        <v>0</v>
      </c>
      <c r="DM9" s="41">
        <f t="shared" si="8"/>
        <v>0</v>
      </c>
      <c r="DN9" s="41">
        <f t="shared" si="8"/>
        <v>0</v>
      </c>
      <c r="DO9" s="41">
        <f t="shared" si="8"/>
        <v>0</v>
      </c>
      <c r="DP9" s="41">
        <f t="shared" si="8"/>
        <v>0</v>
      </c>
      <c r="DQ9" s="41">
        <f>SUM(DE9:DP9)</f>
        <v>0</v>
      </c>
      <c r="DR9" s="12"/>
      <c r="DS9" s="41">
        <f>SUM(DS12:DS60)*0.87</f>
        <v>0</v>
      </c>
      <c r="DT9" s="41">
        <f t="shared" ref="DT9:ED9" si="9">SUM(DT12:DT60)*0.87</f>
        <v>0</v>
      </c>
      <c r="DU9" s="41">
        <f t="shared" si="9"/>
        <v>0</v>
      </c>
      <c r="DV9" s="41">
        <f t="shared" si="9"/>
        <v>0</v>
      </c>
      <c r="DW9" s="41">
        <f t="shared" si="9"/>
        <v>0</v>
      </c>
      <c r="DX9" s="41">
        <f t="shared" si="9"/>
        <v>0</v>
      </c>
      <c r="DY9" s="41">
        <f t="shared" si="9"/>
        <v>0</v>
      </c>
      <c r="DZ9" s="41">
        <f t="shared" si="9"/>
        <v>0</v>
      </c>
      <c r="EA9" s="41">
        <f t="shared" si="9"/>
        <v>0</v>
      </c>
      <c r="EB9" s="41">
        <f t="shared" si="9"/>
        <v>0</v>
      </c>
      <c r="EC9" s="41">
        <f t="shared" si="9"/>
        <v>0</v>
      </c>
      <c r="ED9" s="41">
        <f t="shared" si="9"/>
        <v>0</v>
      </c>
      <c r="EE9" s="41">
        <f>SUM(DS9:ED9)</f>
        <v>0</v>
      </c>
      <c r="EF9" s="12"/>
      <c r="EG9" s="41">
        <f>SUM(EG12:EG60)*0.87</f>
        <v>0</v>
      </c>
      <c r="EH9" s="41">
        <f t="shared" ref="EH9:ER9" si="10">SUM(EH12:EH60)*0.87</f>
        <v>0</v>
      </c>
      <c r="EI9" s="41">
        <f t="shared" si="10"/>
        <v>0</v>
      </c>
      <c r="EJ9" s="41">
        <f t="shared" si="10"/>
        <v>0</v>
      </c>
      <c r="EK9" s="41">
        <f t="shared" si="10"/>
        <v>0</v>
      </c>
      <c r="EL9" s="41">
        <f t="shared" si="10"/>
        <v>0</v>
      </c>
      <c r="EM9" s="41">
        <f t="shared" si="10"/>
        <v>0</v>
      </c>
      <c r="EN9" s="41">
        <f t="shared" si="10"/>
        <v>0</v>
      </c>
      <c r="EO9" s="41">
        <f t="shared" si="10"/>
        <v>0</v>
      </c>
      <c r="EP9" s="41">
        <f t="shared" si="10"/>
        <v>0</v>
      </c>
      <c r="EQ9" s="41">
        <f t="shared" si="10"/>
        <v>0</v>
      </c>
      <c r="ER9" s="41">
        <f t="shared" si="10"/>
        <v>0</v>
      </c>
      <c r="ES9" s="41">
        <f>SUM(EG9:ER9)</f>
        <v>0</v>
      </c>
    </row>
    <row r="10" spans="1:149" ht="10.199999999999999" x14ac:dyDescent="0.2">
      <c r="C10" s="121" t="s">
        <v>414</v>
      </c>
      <c r="D10" s="41"/>
      <c r="E10" s="41"/>
      <c r="F10" s="41"/>
      <c r="G10" s="41"/>
      <c r="H10" s="12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8"/>
      <c r="V10" s="12"/>
      <c r="W10" s="198"/>
      <c r="X10" s="198"/>
      <c r="Y10" s="198"/>
      <c r="Z10" s="198"/>
      <c r="AA10" s="198"/>
      <c r="AB10" s="198"/>
      <c r="AC10" s="198"/>
      <c r="AD10" s="198"/>
      <c r="AE10" s="198"/>
      <c r="AF10" s="198"/>
      <c r="AG10" s="198"/>
      <c r="AH10" s="198"/>
      <c r="AI10" s="198"/>
      <c r="AJ10" s="12"/>
      <c r="AK10" s="198"/>
      <c r="AL10" s="198"/>
      <c r="AM10" s="198"/>
      <c r="AN10" s="198"/>
      <c r="AO10" s="198"/>
      <c r="AP10" s="198"/>
      <c r="AQ10" s="198"/>
      <c r="AR10" s="198"/>
      <c r="AS10" s="198"/>
      <c r="AT10" s="198"/>
      <c r="AU10" s="198"/>
      <c r="AV10" s="198"/>
      <c r="AW10" s="198"/>
      <c r="AX10" s="12"/>
      <c r="AY10" s="198"/>
      <c r="AZ10" s="198"/>
      <c r="BA10" s="198"/>
      <c r="BB10" s="198"/>
      <c r="BC10" s="198"/>
      <c r="BD10" s="198"/>
      <c r="BE10" s="198"/>
      <c r="BF10" s="198"/>
      <c r="BG10" s="198"/>
      <c r="BH10" s="198"/>
      <c r="BI10" s="198"/>
      <c r="BJ10" s="198"/>
      <c r="BK10" s="198"/>
      <c r="BL10" s="12"/>
      <c r="BM10" s="198"/>
      <c r="BN10" s="198"/>
      <c r="BO10" s="198"/>
      <c r="BP10" s="198"/>
      <c r="BQ10" s="198"/>
      <c r="BR10" s="198"/>
      <c r="BS10" s="198"/>
      <c r="BT10" s="198"/>
      <c r="BU10" s="198"/>
      <c r="BV10" s="198"/>
      <c r="BW10" s="198"/>
      <c r="BX10" s="198"/>
      <c r="BY10" s="198"/>
      <c r="BZ10" s="12"/>
      <c r="CA10" s="41">
        <f t="shared" si="5"/>
        <v>279170.50506919471</v>
      </c>
      <c r="CB10" s="12"/>
      <c r="CC10" s="41">
        <f>SUM(CC12:CC60)*0.13</f>
        <v>0</v>
      </c>
      <c r="CD10" s="41">
        <f t="shared" ref="CD10:CN10" si="11">SUM(CD12:CD60)*0.13</f>
        <v>0</v>
      </c>
      <c r="CE10" s="41">
        <f t="shared" si="11"/>
        <v>0</v>
      </c>
      <c r="CF10" s="41">
        <f t="shared" si="11"/>
        <v>0</v>
      </c>
      <c r="CG10" s="41">
        <f t="shared" si="11"/>
        <v>0</v>
      </c>
      <c r="CH10" s="41">
        <f t="shared" si="11"/>
        <v>0</v>
      </c>
      <c r="CI10" s="41">
        <f t="shared" si="11"/>
        <v>0</v>
      </c>
      <c r="CJ10" s="41">
        <f t="shared" si="11"/>
        <v>0</v>
      </c>
      <c r="CK10" s="41">
        <f t="shared" si="11"/>
        <v>74960.546217309995</v>
      </c>
      <c r="CL10" s="41">
        <f t="shared" si="11"/>
        <v>74960.546217309995</v>
      </c>
      <c r="CM10" s="41">
        <f t="shared" si="11"/>
        <v>62682.066552807621</v>
      </c>
      <c r="CN10" s="41">
        <f t="shared" si="11"/>
        <v>66567.346081767144</v>
      </c>
      <c r="CO10" s="41">
        <f>SUM(CC10:CN10)</f>
        <v>279170.50506919471</v>
      </c>
      <c r="CP10" s="12"/>
      <c r="CQ10" s="41">
        <f>SUM(CQ12:CQ60)*0.13</f>
        <v>0</v>
      </c>
      <c r="CR10" s="41">
        <f t="shared" ref="CR10:DB10" si="12">SUM(CR12:CR60)*0.13</f>
        <v>0</v>
      </c>
      <c r="CS10" s="41">
        <f t="shared" si="12"/>
        <v>0</v>
      </c>
      <c r="CT10" s="41">
        <f t="shared" si="12"/>
        <v>0</v>
      </c>
      <c r="CU10" s="41">
        <f t="shared" si="12"/>
        <v>0</v>
      </c>
      <c r="CV10" s="41">
        <f t="shared" si="12"/>
        <v>0</v>
      </c>
      <c r="CW10" s="41">
        <f t="shared" si="12"/>
        <v>0</v>
      </c>
      <c r="CX10" s="41">
        <f t="shared" si="12"/>
        <v>0</v>
      </c>
      <c r="CY10" s="41">
        <f t="shared" si="12"/>
        <v>0</v>
      </c>
      <c r="CZ10" s="41">
        <f t="shared" si="12"/>
        <v>0</v>
      </c>
      <c r="DA10" s="41">
        <f t="shared" si="12"/>
        <v>0</v>
      </c>
      <c r="DB10" s="41">
        <f t="shared" si="12"/>
        <v>0</v>
      </c>
      <c r="DC10" s="41">
        <f>SUM(CQ10:DB10)</f>
        <v>0</v>
      </c>
      <c r="DD10" s="12"/>
      <c r="DE10" s="41">
        <f>SUM(DE12:DE60)*0.13</f>
        <v>0</v>
      </c>
      <c r="DF10" s="41">
        <f t="shared" ref="DF10:DP10" si="13">SUM(DF12:DF60)*0.13</f>
        <v>0</v>
      </c>
      <c r="DG10" s="41">
        <f t="shared" si="13"/>
        <v>0</v>
      </c>
      <c r="DH10" s="41">
        <f t="shared" si="13"/>
        <v>0</v>
      </c>
      <c r="DI10" s="41">
        <f t="shared" si="13"/>
        <v>0</v>
      </c>
      <c r="DJ10" s="41">
        <f t="shared" si="13"/>
        <v>0</v>
      </c>
      <c r="DK10" s="41">
        <f t="shared" si="13"/>
        <v>0</v>
      </c>
      <c r="DL10" s="41">
        <f t="shared" si="13"/>
        <v>0</v>
      </c>
      <c r="DM10" s="41">
        <f t="shared" si="13"/>
        <v>0</v>
      </c>
      <c r="DN10" s="41">
        <f t="shared" si="13"/>
        <v>0</v>
      </c>
      <c r="DO10" s="41">
        <f t="shared" si="13"/>
        <v>0</v>
      </c>
      <c r="DP10" s="41">
        <f t="shared" si="13"/>
        <v>0</v>
      </c>
      <c r="DQ10" s="41">
        <f>SUM(DE10:DP10)</f>
        <v>0</v>
      </c>
      <c r="DR10" s="12"/>
      <c r="DS10" s="41">
        <f>SUM(DS12:DS60)*0.13</f>
        <v>0</v>
      </c>
      <c r="DT10" s="41">
        <f t="shared" ref="DT10:ED10" si="14">SUM(DT12:DT60)*0.13</f>
        <v>0</v>
      </c>
      <c r="DU10" s="41">
        <f t="shared" si="14"/>
        <v>0</v>
      </c>
      <c r="DV10" s="41">
        <f t="shared" si="14"/>
        <v>0</v>
      </c>
      <c r="DW10" s="41">
        <f t="shared" si="14"/>
        <v>0</v>
      </c>
      <c r="DX10" s="41">
        <f t="shared" si="14"/>
        <v>0</v>
      </c>
      <c r="DY10" s="41">
        <f t="shared" si="14"/>
        <v>0</v>
      </c>
      <c r="DZ10" s="41">
        <f t="shared" si="14"/>
        <v>0</v>
      </c>
      <c r="EA10" s="41">
        <f t="shared" si="14"/>
        <v>0</v>
      </c>
      <c r="EB10" s="41">
        <f t="shared" si="14"/>
        <v>0</v>
      </c>
      <c r="EC10" s="41">
        <f t="shared" si="14"/>
        <v>0</v>
      </c>
      <c r="ED10" s="41">
        <f t="shared" si="14"/>
        <v>0</v>
      </c>
      <c r="EE10" s="41">
        <f>SUM(DS10:ED10)</f>
        <v>0</v>
      </c>
      <c r="EF10" s="12"/>
      <c r="EG10" s="41">
        <f>SUM(EG12:EG60)*0.13</f>
        <v>0</v>
      </c>
      <c r="EH10" s="41">
        <f t="shared" ref="EH10:ER10" si="15">SUM(EH12:EH60)*0.13</f>
        <v>0</v>
      </c>
      <c r="EI10" s="41">
        <f t="shared" si="15"/>
        <v>0</v>
      </c>
      <c r="EJ10" s="41">
        <f t="shared" si="15"/>
        <v>0</v>
      </c>
      <c r="EK10" s="41">
        <f t="shared" si="15"/>
        <v>0</v>
      </c>
      <c r="EL10" s="41">
        <f t="shared" si="15"/>
        <v>0</v>
      </c>
      <c r="EM10" s="41">
        <f t="shared" si="15"/>
        <v>0</v>
      </c>
      <c r="EN10" s="41">
        <f t="shared" si="15"/>
        <v>0</v>
      </c>
      <c r="EO10" s="41">
        <f t="shared" si="15"/>
        <v>0</v>
      </c>
      <c r="EP10" s="41">
        <f t="shared" si="15"/>
        <v>0</v>
      </c>
      <c r="EQ10" s="41">
        <f t="shared" si="15"/>
        <v>0</v>
      </c>
      <c r="ER10" s="41">
        <f t="shared" si="15"/>
        <v>0</v>
      </c>
      <c r="ES10" s="41">
        <f>SUM(EG10:ER10)</f>
        <v>0</v>
      </c>
    </row>
    <row r="11" spans="1:149" ht="10.199999999999999" x14ac:dyDescent="0.2">
      <c r="C11" s="167" t="s">
        <v>397</v>
      </c>
      <c r="D11" s="168"/>
      <c r="E11" s="168"/>
      <c r="F11" s="168"/>
      <c r="G11" s="169"/>
      <c r="H11" s="12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2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2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2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199"/>
      <c r="BJ11" s="199"/>
      <c r="BK11" s="199"/>
      <c r="BL11" s="12"/>
      <c r="BM11" s="199"/>
      <c r="BN11" s="199"/>
      <c r="BO11" s="199"/>
      <c r="BP11" s="199"/>
      <c r="BQ11" s="199"/>
      <c r="BR11" s="199"/>
      <c r="BS11" s="199"/>
      <c r="BT11" s="199"/>
      <c r="BU11" s="199"/>
      <c r="BV11" s="199"/>
      <c r="BW11" s="199"/>
      <c r="BX11" s="199"/>
      <c r="BY11" s="199"/>
      <c r="BZ11" s="12"/>
      <c r="CA11" s="169">
        <f>CO11+DC11+DQ11+EE11+ES11</f>
        <v>544167.73834256886</v>
      </c>
      <c r="CB11" s="12"/>
      <c r="CC11" s="169">
        <f>(CC9+CC10)*0.2534</f>
        <v>0</v>
      </c>
      <c r="CD11" s="169">
        <f t="shared" ref="CD11:CN11" si="16">(CD9+CD10)*0.2534</f>
        <v>0</v>
      </c>
      <c r="CE11" s="169">
        <f t="shared" si="16"/>
        <v>0</v>
      </c>
      <c r="CF11" s="169">
        <f t="shared" si="16"/>
        <v>0</v>
      </c>
      <c r="CG11" s="169">
        <f t="shared" si="16"/>
        <v>0</v>
      </c>
      <c r="CH11" s="169">
        <f t="shared" si="16"/>
        <v>0</v>
      </c>
      <c r="CI11" s="169">
        <f t="shared" si="16"/>
        <v>0</v>
      </c>
      <c r="CJ11" s="169">
        <f t="shared" si="16"/>
        <v>0</v>
      </c>
      <c r="CK11" s="169">
        <f t="shared" si="16"/>
        <v>146115.40316512581</v>
      </c>
      <c r="CL11" s="169">
        <f t="shared" si="16"/>
        <v>146115.40316512581</v>
      </c>
      <c r="CM11" s="169">
        <f t="shared" si="16"/>
        <v>122181.81280370348</v>
      </c>
      <c r="CN11" s="169">
        <f t="shared" si="16"/>
        <v>129755.1192086138</v>
      </c>
      <c r="CO11" s="41">
        <f>SUM(CC11:CN11)</f>
        <v>544167.73834256886</v>
      </c>
      <c r="CP11" s="12"/>
      <c r="CQ11" s="169">
        <f>(CQ9+CQ10)*0.2534</f>
        <v>0</v>
      </c>
      <c r="CR11" s="169">
        <f t="shared" ref="CR11" si="17">(CR9+CR10)*0.2534</f>
        <v>0</v>
      </c>
      <c r="CS11" s="169">
        <f t="shared" ref="CS11" si="18">(CS9+CS10)*0.2534</f>
        <v>0</v>
      </c>
      <c r="CT11" s="169">
        <f t="shared" ref="CT11" si="19">(CT9+CT10)*0.2534</f>
        <v>0</v>
      </c>
      <c r="CU11" s="169">
        <f t="shared" ref="CU11" si="20">(CU9+CU10)*0.2534</f>
        <v>0</v>
      </c>
      <c r="CV11" s="169">
        <f t="shared" ref="CV11" si="21">(CV9+CV10)*0.2534</f>
        <v>0</v>
      </c>
      <c r="CW11" s="169">
        <f t="shared" ref="CW11" si="22">(CW9+CW10)*0.2534</f>
        <v>0</v>
      </c>
      <c r="CX11" s="169">
        <f t="shared" ref="CX11" si="23">(CX9+CX10)*0.2534</f>
        <v>0</v>
      </c>
      <c r="CY11" s="169">
        <f t="shared" ref="CY11" si="24">(CY9+CY10)*0.2534</f>
        <v>0</v>
      </c>
      <c r="CZ11" s="169">
        <f t="shared" ref="CZ11" si="25">(CZ9+CZ10)*0.2534</f>
        <v>0</v>
      </c>
      <c r="DA11" s="169">
        <f t="shared" ref="DA11" si="26">(DA9+DA10)*0.2534</f>
        <v>0</v>
      </c>
      <c r="DB11" s="169">
        <f t="shared" ref="DB11" si="27">(DB9+DB10)*0.2534</f>
        <v>0</v>
      </c>
      <c r="DC11" s="41">
        <f>SUM(CQ11:DB11)</f>
        <v>0</v>
      </c>
      <c r="DD11" s="12"/>
      <c r="DE11" s="169">
        <f>(DE9+DE10)*0.2534</f>
        <v>0</v>
      </c>
      <c r="DF11" s="169">
        <f t="shared" ref="DF11" si="28">(DF9+DF10)*0.2534</f>
        <v>0</v>
      </c>
      <c r="DG11" s="169">
        <f t="shared" ref="DG11" si="29">(DG9+DG10)*0.2534</f>
        <v>0</v>
      </c>
      <c r="DH11" s="169">
        <f t="shared" ref="DH11" si="30">(DH9+DH10)*0.2534</f>
        <v>0</v>
      </c>
      <c r="DI11" s="169">
        <f t="shared" ref="DI11" si="31">(DI9+DI10)*0.2534</f>
        <v>0</v>
      </c>
      <c r="DJ11" s="169">
        <f t="shared" ref="DJ11" si="32">(DJ9+DJ10)*0.2534</f>
        <v>0</v>
      </c>
      <c r="DK11" s="169">
        <f t="shared" ref="DK11" si="33">(DK9+DK10)*0.2534</f>
        <v>0</v>
      </c>
      <c r="DL11" s="169">
        <f t="shared" ref="DL11" si="34">(DL9+DL10)*0.2534</f>
        <v>0</v>
      </c>
      <c r="DM11" s="169">
        <f t="shared" ref="DM11" si="35">(DM9+DM10)*0.2534</f>
        <v>0</v>
      </c>
      <c r="DN11" s="169">
        <f t="shared" ref="DN11" si="36">(DN9+DN10)*0.2534</f>
        <v>0</v>
      </c>
      <c r="DO11" s="169">
        <f t="shared" ref="DO11" si="37">(DO9+DO10)*0.2534</f>
        <v>0</v>
      </c>
      <c r="DP11" s="169">
        <f t="shared" ref="DP11" si="38">(DP9+DP10)*0.2534</f>
        <v>0</v>
      </c>
      <c r="DQ11" s="41">
        <f>SUM(DE11:DP11)</f>
        <v>0</v>
      </c>
      <c r="DR11" s="12"/>
      <c r="DS11" s="169">
        <f>(DS9+DS10)*0.2534</f>
        <v>0</v>
      </c>
      <c r="DT11" s="169">
        <f t="shared" ref="DT11" si="39">(DT9+DT10)*0.2534</f>
        <v>0</v>
      </c>
      <c r="DU11" s="169">
        <f t="shared" ref="DU11" si="40">(DU9+DU10)*0.2534</f>
        <v>0</v>
      </c>
      <c r="DV11" s="169">
        <f t="shared" ref="DV11" si="41">(DV9+DV10)*0.2534</f>
        <v>0</v>
      </c>
      <c r="DW11" s="169">
        <f t="shared" ref="DW11" si="42">(DW9+DW10)*0.2534</f>
        <v>0</v>
      </c>
      <c r="DX11" s="169">
        <f t="shared" ref="DX11" si="43">(DX9+DX10)*0.2534</f>
        <v>0</v>
      </c>
      <c r="DY11" s="169">
        <f t="shared" ref="DY11" si="44">(DY9+DY10)*0.2534</f>
        <v>0</v>
      </c>
      <c r="DZ11" s="169">
        <f t="shared" ref="DZ11" si="45">(DZ9+DZ10)*0.2534</f>
        <v>0</v>
      </c>
      <c r="EA11" s="169">
        <f t="shared" ref="EA11" si="46">(EA9+EA10)*0.2534</f>
        <v>0</v>
      </c>
      <c r="EB11" s="169">
        <f t="shared" ref="EB11" si="47">(EB9+EB10)*0.2534</f>
        <v>0</v>
      </c>
      <c r="EC11" s="169">
        <f t="shared" ref="EC11" si="48">(EC9+EC10)*0.2534</f>
        <v>0</v>
      </c>
      <c r="ED11" s="169">
        <f t="shared" ref="ED11" si="49">(ED9+ED10)*0.2534</f>
        <v>0</v>
      </c>
      <c r="EE11" s="41">
        <f>SUM(DS11:ED11)</f>
        <v>0</v>
      </c>
      <c r="EF11" s="12"/>
      <c r="EG11" s="169">
        <f>(EG9+EG10)*0.2534</f>
        <v>0</v>
      </c>
      <c r="EH11" s="169">
        <f t="shared" ref="EH11" si="50">(EH9+EH10)*0.2534</f>
        <v>0</v>
      </c>
      <c r="EI11" s="169">
        <f t="shared" ref="EI11" si="51">(EI9+EI10)*0.2534</f>
        <v>0</v>
      </c>
      <c r="EJ11" s="169">
        <f t="shared" ref="EJ11" si="52">(EJ9+EJ10)*0.2534</f>
        <v>0</v>
      </c>
      <c r="EK11" s="169">
        <f t="shared" ref="EK11" si="53">(EK9+EK10)*0.2534</f>
        <v>0</v>
      </c>
      <c r="EL11" s="169">
        <f t="shared" ref="EL11" si="54">(EL9+EL10)*0.2534</f>
        <v>0</v>
      </c>
      <c r="EM11" s="169">
        <f t="shared" ref="EM11" si="55">(EM9+EM10)*0.2534</f>
        <v>0</v>
      </c>
      <c r="EN11" s="169">
        <f t="shared" ref="EN11" si="56">(EN9+EN10)*0.2534</f>
        <v>0</v>
      </c>
      <c r="EO11" s="169">
        <f t="shared" ref="EO11" si="57">(EO9+EO10)*0.2534</f>
        <v>0</v>
      </c>
      <c r="EP11" s="169">
        <f t="shared" ref="EP11" si="58">(EP9+EP10)*0.2534</f>
        <v>0</v>
      </c>
      <c r="EQ11" s="169">
        <f t="shared" ref="EQ11" si="59">(EQ9+EQ10)*0.2534</f>
        <v>0</v>
      </c>
      <c r="ER11" s="169">
        <f t="shared" ref="ER11" si="60">(ER9+ER10)*0.2534</f>
        <v>0</v>
      </c>
      <c r="ES11" s="41">
        <f>SUM(EG11:ER11)</f>
        <v>0</v>
      </c>
    </row>
    <row r="12" spans="1:149" ht="10.199999999999999" x14ac:dyDescent="0.2">
      <c r="A12" s="122">
        <v>1</v>
      </c>
      <c r="C12" s="123" t="s">
        <v>473</v>
      </c>
      <c r="D12" s="117" t="str">
        <f>IF(ISERROR(VLOOKUP('Оценка трудоемкости'!$C12,Справочники!S:V,3,0))=TRUE,"",VLOOKUP('Оценка трудоемкости'!$C12,Справочники!S:V,3,0))</f>
        <v>Руководитель направления</v>
      </c>
      <c r="E12" s="117">
        <f>IF(ISERROR(VLOOKUP('Оценка трудоемкости'!$C12,Справочники!S:V,4,0))=TRUE,0,VLOOKUP('Оценка трудоемкости'!$C12,Справочники!S:V,4,0))</f>
        <v>125620.74639</v>
      </c>
      <c r="F12" s="125"/>
      <c r="G12" s="116">
        <f>U12+AI12+AW12+BK12+BY12</f>
        <v>74</v>
      </c>
      <c r="H12" s="12"/>
      <c r="I12" s="124"/>
      <c r="J12" s="124"/>
      <c r="K12" s="124"/>
      <c r="L12" s="124"/>
      <c r="M12" s="124"/>
      <c r="N12" s="124"/>
      <c r="O12" s="124"/>
      <c r="P12" s="124"/>
      <c r="Q12" s="124">
        <f t="shared" ref="Q12" si="61">Q$6*1</f>
        <v>21</v>
      </c>
      <c r="R12" s="124">
        <v>22</v>
      </c>
      <c r="S12" s="124">
        <v>16</v>
      </c>
      <c r="T12" s="124">
        <v>15</v>
      </c>
      <c r="U12" s="116">
        <f>SUM(I12:T12)</f>
        <v>74</v>
      </c>
      <c r="V12" s="12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16">
        <f>SUM(W12:AH12)</f>
        <v>0</v>
      </c>
      <c r="AJ12" s="12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16">
        <f>SUM(AK12:AV12)</f>
        <v>0</v>
      </c>
      <c r="AX12" s="12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16">
        <f>SUM(AY12:BJ12)</f>
        <v>0</v>
      </c>
      <c r="BL12" s="12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  <c r="BY12" s="116">
        <f>SUM(BM12:BX12)</f>
        <v>0</v>
      </c>
      <c r="BZ12" s="12"/>
      <c r="CA12" s="200">
        <f>CO12+DC12+DQ12+EE12+ES12</f>
        <v>436681.64221285714</v>
      </c>
      <c r="CB12" s="12"/>
      <c r="CC12" s="118">
        <f t="shared" ref="CC12:CC43" si="62">$E12/I$6*I12</f>
        <v>0</v>
      </c>
      <c r="CD12" s="118">
        <f t="shared" ref="CD12:CD43" si="63">$E12/J$6*J12</f>
        <v>0</v>
      </c>
      <c r="CE12" s="118">
        <f t="shared" ref="CE12:CE43" si="64">$E12/K$6*K12</f>
        <v>0</v>
      </c>
      <c r="CF12" s="118">
        <f t="shared" ref="CF12:CF43" si="65">$E12/L$6*L12</f>
        <v>0</v>
      </c>
      <c r="CG12" s="118">
        <f t="shared" ref="CG12:CG43" si="66">$E12/M$6*M12</f>
        <v>0</v>
      </c>
      <c r="CH12" s="118">
        <f t="shared" ref="CH12:CH43" si="67">$E12/N$6*N12</f>
        <v>0</v>
      </c>
      <c r="CI12" s="118">
        <f t="shared" ref="CI12:CI43" si="68">$E12/O$6*O12</f>
        <v>0</v>
      </c>
      <c r="CJ12" s="118">
        <f t="shared" ref="CJ12:CJ43" si="69">$E12/P$6*P12</f>
        <v>0</v>
      </c>
      <c r="CK12" s="118">
        <f t="shared" ref="CK12:CK43" si="70">$E12/Q$6*Q12</f>
        <v>125620.74638999999</v>
      </c>
      <c r="CL12" s="118">
        <f t="shared" ref="CL12:CL43" si="71">$E12/R$6*R12</f>
        <v>125620.74638999999</v>
      </c>
      <c r="CM12" s="118">
        <f t="shared" ref="CM12:CM43" si="72">$E12/S$6*S12</f>
        <v>95711.044868571422</v>
      </c>
      <c r="CN12" s="118">
        <f t="shared" ref="CN12:CN43" si="73">$E12/T$6*T12</f>
        <v>89729.104564285706</v>
      </c>
      <c r="CO12" s="41">
        <f>SUM(CC12:CN12)</f>
        <v>436681.64221285714</v>
      </c>
      <c r="CP12" s="12"/>
      <c r="CQ12" s="118">
        <f t="shared" ref="CQ12:CQ43" si="74">$E12/W$6*W12</f>
        <v>0</v>
      </c>
      <c r="CR12" s="118">
        <f t="shared" ref="CR12:CR43" si="75">$E12/X$6*X12</f>
        <v>0</v>
      </c>
      <c r="CS12" s="118">
        <f t="shared" ref="CS12:CS43" si="76">$E12/Y$6*Y12</f>
        <v>0</v>
      </c>
      <c r="CT12" s="118">
        <f t="shared" ref="CT12:CT43" si="77">$E12/Z$6*Z12</f>
        <v>0</v>
      </c>
      <c r="CU12" s="118">
        <f t="shared" ref="CU12:CU43" si="78">$E12/AA$6*AA12</f>
        <v>0</v>
      </c>
      <c r="CV12" s="118">
        <f t="shared" ref="CV12:CV43" si="79">$E12/AB$6*AB12</f>
        <v>0</v>
      </c>
      <c r="CW12" s="118">
        <f t="shared" ref="CW12:CW43" si="80">$E12/AC$6*AC12</f>
        <v>0</v>
      </c>
      <c r="CX12" s="118">
        <f t="shared" ref="CX12:CX43" si="81">$E12/AD$6*AD12</f>
        <v>0</v>
      </c>
      <c r="CY12" s="118">
        <f t="shared" ref="CY12:CY43" si="82">$E12/AE$6*AE12</f>
        <v>0</v>
      </c>
      <c r="CZ12" s="118">
        <f t="shared" ref="CZ12:CZ43" si="83">$E12/AF$6*AF12</f>
        <v>0</v>
      </c>
      <c r="DA12" s="118">
        <f t="shared" ref="DA12:DA43" si="84">$E12/AG$6*AG12</f>
        <v>0</v>
      </c>
      <c r="DB12" s="118">
        <f t="shared" ref="DB12:DB43" si="85">$E12/AH$6*AH12</f>
        <v>0</v>
      </c>
      <c r="DC12" s="41">
        <f>SUM(CQ12:DB12)</f>
        <v>0</v>
      </c>
      <c r="DD12" s="12"/>
      <c r="DE12" s="118">
        <f t="shared" ref="DE12:DE43" si="86">$E12/AK$6*AK12</f>
        <v>0</v>
      </c>
      <c r="DF12" s="118">
        <f t="shared" ref="DF12:DF43" si="87">$E12/AL$6*AL12</f>
        <v>0</v>
      </c>
      <c r="DG12" s="118">
        <f t="shared" ref="DG12:DG43" si="88">$E12/AM$6*AM12</f>
        <v>0</v>
      </c>
      <c r="DH12" s="118">
        <f t="shared" ref="DH12:DH43" si="89">$E12/AN$6*AN12</f>
        <v>0</v>
      </c>
      <c r="DI12" s="118">
        <f t="shared" ref="DI12:DI43" si="90">$E12/AO$6*AO12</f>
        <v>0</v>
      </c>
      <c r="DJ12" s="118">
        <f t="shared" ref="DJ12:DJ43" si="91">$E12/AP$6*AP12</f>
        <v>0</v>
      </c>
      <c r="DK12" s="118">
        <f t="shared" ref="DK12:DK43" si="92">$E12/AQ$6*AQ12</f>
        <v>0</v>
      </c>
      <c r="DL12" s="118">
        <f t="shared" ref="DL12:DL43" si="93">$E12/AR$6*AR12</f>
        <v>0</v>
      </c>
      <c r="DM12" s="118">
        <f t="shared" ref="DM12:DM43" si="94">$E12/AS$6*AS12</f>
        <v>0</v>
      </c>
      <c r="DN12" s="118">
        <f t="shared" ref="DN12:DN43" si="95">$E12/AT$6*AT12</f>
        <v>0</v>
      </c>
      <c r="DO12" s="118">
        <f t="shared" ref="DO12:DO43" si="96">$E12/AU$6*AU12</f>
        <v>0</v>
      </c>
      <c r="DP12" s="118">
        <f t="shared" ref="DP12:DP43" si="97">$E12/AV$6*AV12</f>
        <v>0</v>
      </c>
      <c r="DQ12" s="41">
        <f>SUM(DE12:DP12)</f>
        <v>0</v>
      </c>
      <c r="DR12" s="12"/>
      <c r="DS12" s="118">
        <f t="shared" ref="DS12:DS43" si="98">$E12/AY$6*AY12</f>
        <v>0</v>
      </c>
      <c r="DT12" s="118">
        <f t="shared" ref="DT12:DT43" si="99">$E12/AZ$6*AZ12</f>
        <v>0</v>
      </c>
      <c r="DU12" s="118">
        <f t="shared" ref="DU12:DU43" si="100">$E12/BA$6*BA12</f>
        <v>0</v>
      </c>
      <c r="DV12" s="118">
        <f t="shared" ref="DV12:DV43" si="101">$E12/BB$6*BB12</f>
        <v>0</v>
      </c>
      <c r="DW12" s="118">
        <f t="shared" ref="DW12:DW43" si="102">$E12/BC$6*BC12</f>
        <v>0</v>
      </c>
      <c r="DX12" s="118">
        <f t="shared" ref="DX12:DX43" si="103">$E12/BD$6*BD12</f>
        <v>0</v>
      </c>
      <c r="DY12" s="118">
        <f t="shared" ref="DY12:DY43" si="104">$E12/BE$6*BE12</f>
        <v>0</v>
      </c>
      <c r="DZ12" s="118">
        <f t="shared" ref="DZ12:DZ43" si="105">$E12/BF$6*BF12</f>
        <v>0</v>
      </c>
      <c r="EA12" s="118">
        <f t="shared" ref="EA12:EA43" si="106">$E12/BG$6*BG12</f>
        <v>0</v>
      </c>
      <c r="EB12" s="118">
        <f t="shared" ref="EB12:EB43" si="107">$E12/BH$6*BH12</f>
        <v>0</v>
      </c>
      <c r="EC12" s="118">
        <f t="shared" ref="EC12:EC43" si="108">$E12/BI$6*BI12</f>
        <v>0</v>
      </c>
      <c r="ED12" s="118">
        <f t="shared" ref="ED12:ED43" si="109">$E12/BJ$6*BJ12</f>
        <v>0</v>
      </c>
      <c r="EE12" s="41">
        <f>SUM(DS12:ED12)</f>
        <v>0</v>
      </c>
      <c r="EF12" s="12"/>
      <c r="EG12" s="118">
        <f t="shared" ref="EG12:EG43" si="110">$E12/BM$6*BM12</f>
        <v>0</v>
      </c>
      <c r="EH12" s="118">
        <f t="shared" ref="EH12:EH43" si="111">$E12/BN$6*BN12</f>
        <v>0</v>
      </c>
      <c r="EI12" s="118">
        <f t="shared" ref="EI12:EI43" si="112">$E12/BO$6*BO12</f>
        <v>0</v>
      </c>
      <c r="EJ12" s="118">
        <f t="shared" ref="EJ12:EJ43" si="113">$E12/BP$6*BP12</f>
        <v>0</v>
      </c>
      <c r="EK12" s="118">
        <f t="shared" ref="EK12:EK43" si="114">$E12/BQ$6*BQ12</f>
        <v>0</v>
      </c>
      <c r="EL12" s="118">
        <f t="shared" ref="EL12:EL43" si="115">$E12/BR$6*BR12</f>
        <v>0</v>
      </c>
      <c r="EM12" s="118">
        <f t="shared" ref="EM12:EM43" si="116">$E12/BS$6*BS12</f>
        <v>0</v>
      </c>
      <c r="EN12" s="118">
        <f t="shared" ref="EN12:EN43" si="117">$E12/BT$6*BT12</f>
        <v>0</v>
      </c>
      <c r="EO12" s="118">
        <f t="shared" ref="EO12:EO43" si="118">$E12/BU$6*BU12</f>
        <v>0</v>
      </c>
      <c r="EP12" s="118">
        <f t="shared" ref="EP12:EP43" si="119">$E12/BV$6*BV12</f>
        <v>0</v>
      </c>
      <c r="EQ12" s="118">
        <f t="shared" ref="EQ12:EQ43" si="120">$E12/BW$6*BW12</f>
        <v>0</v>
      </c>
      <c r="ER12" s="118">
        <f t="shared" ref="ER12:ER43" si="121">$E12/BX$6*BX12</f>
        <v>0</v>
      </c>
      <c r="ES12" s="41">
        <f>SUM(EG12:ER12)</f>
        <v>0</v>
      </c>
    </row>
    <row r="13" spans="1:149" ht="10.199999999999999" x14ac:dyDescent="0.2">
      <c r="A13" s="122">
        <v>1</v>
      </c>
      <c r="C13" s="123" t="s">
        <v>476</v>
      </c>
      <c r="D13" s="117" t="str">
        <f>IF(ISERROR(VLOOKUP('Оценка трудоемкости'!$C13,Справочники!S:V,3,0))=TRUE,"",VLOOKUP('Оценка трудоемкости'!$C13,Справочники!S:V,3,0))</f>
        <v>Аналитик</v>
      </c>
      <c r="E13" s="117">
        <f>IF(ISERROR(VLOOKUP('Оценка трудоемкости'!$C13,Справочники!S:V,4,0))=TRUE,0,VLOOKUP('Оценка трудоемкости'!$C13,Справочники!S:V,4,0))</f>
        <v>100350.02649</v>
      </c>
      <c r="F13" s="126"/>
      <c r="G13" s="116">
        <f t="shared" ref="G13:G60" si="122">U13+AI13+AW13+BK13+BY13</f>
        <v>73</v>
      </c>
      <c r="H13" s="12"/>
      <c r="I13" s="124"/>
      <c r="J13" s="124"/>
      <c r="K13" s="124"/>
      <c r="L13" s="124"/>
      <c r="M13" s="124"/>
      <c r="N13" s="124"/>
      <c r="O13" s="124"/>
      <c r="P13" s="124"/>
      <c r="Q13" s="124">
        <v>21</v>
      </c>
      <c r="R13" s="124">
        <v>22</v>
      </c>
      <c r="S13" s="124">
        <v>15</v>
      </c>
      <c r="T13" s="124">
        <v>15</v>
      </c>
      <c r="U13" s="116">
        <f t="shared" ref="U13:U60" si="123">SUM(I13:T13)</f>
        <v>73</v>
      </c>
      <c r="V13" s="12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16">
        <f t="shared" ref="AI13:AI60" si="124">SUM(W13:AH13)</f>
        <v>0</v>
      </c>
      <c r="AJ13" s="12"/>
      <c r="AK13" s="124"/>
      <c r="AL13" s="124"/>
      <c r="AM13" s="124"/>
      <c r="AN13" s="124"/>
      <c r="AO13" s="124"/>
      <c r="AP13" s="124"/>
      <c r="AQ13" s="124"/>
      <c r="AR13" s="124"/>
      <c r="AS13" s="124"/>
      <c r="AT13" s="124"/>
      <c r="AU13" s="124"/>
      <c r="AV13" s="124"/>
      <c r="AW13" s="116">
        <f t="shared" ref="AW13:AW60" si="125">SUM(AK13:AV13)</f>
        <v>0</v>
      </c>
      <c r="AX13" s="12"/>
      <c r="AY13" s="124"/>
      <c r="AZ13" s="124"/>
      <c r="BA13" s="124"/>
      <c r="BB13" s="124"/>
      <c r="BC13" s="124"/>
      <c r="BD13" s="124"/>
      <c r="BE13" s="124"/>
      <c r="BF13" s="124"/>
      <c r="BG13" s="124"/>
      <c r="BH13" s="124"/>
      <c r="BI13" s="124"/>
      <c r="BJ13" s="124"/>
      <c r="BK13" s="116">
        <f t="shared" ref="BK13:BK60" si="126">SUM(AY13:BJ13)</f>
        <v>0</v>
      </c>
      <c r="BL13" s="12"/>
      <c r="BM13" s="124"/>
      <c r="BN13" s="124"/>
      <c r="BO13" s="124"/>
      <c r="BP13" s="124"/>
      <c r="BQ13" s="124"/>
      <c r="BR13" s="124"/>
      <c r="BS13" s="124"/>
      <c r="BT13" s="124"/>
      <c r="BU13" s="124"/>
      <c r="BV13" s="124"/>
      <c r="BW13" s="124"/>
      <c r="BX13" s="124"/>
      <c r="BY13" s="116">
        <f t="shared" ref="BY13:BY60" si="127">SUM(BM13:BX13)</f>
        <v>0</v>
      </c>
      <c r="BZ13" s="12"/>
      <c r="CA13" s="200">
        <f t="shared" ref="CA13:CA60" si="128">CO13+DC13+DQ13+EE13+ES13</f>
        <v>344057.23368</v>
      </c>
      <c r="CB13" s="12"/>
      <c r="CC13" s="118">
        <f t="shared" si="62"/>
        <v>0</v>
      </c>
      <c r="CD13" s="118">
        <f t="shared" si="63"/>
        <v>0</v>
      </c>
      <c r="CE13" s="118">
        <f t="shared" si="64"/>
        <v>0</v>
      </c>
      <c r="CF13" s="118">
        <f t="shared" si="65"/>
        <v>0</v>
      </c>
      <c r="CG13" s="118">
        <f t="shared" si="66"/>
        <v>0</v>
      </c>
      <c r="CH13" s="118">
        <f t="shared" si="67"/>
        <v>0</v>
      </c>
      <c r="CI13" s="118">
        <f t="shared" si="68"/>
        <v>0</v>
      </c>
      <c r="CJ13" s="118">
        <f t="shared" si="69"/>
        <v>0</v>
      </c>
      <c r="CK13" s="118">
        <f t="shared" si="70"/>
        <v>100350.02649</v>
      </c>
      <c r="CL13" s="118">
        <f t="shared" si="71"/>
        <v>100350.02649</v>
      </c>
      <c r="CM13" s="118">
        <f t="shared" si="72"/>
        <v>71678.590349999999</v>
      </c>
      <c r="CN13" s="118">
        <f t="shared" si="73"/>
        <v>71678.590349999999</v>
      </c>
      <c r="CO13" s="41">
        <f t="shared" ref="CO13:CO60" si="129">SUM(CC13:CN13)</f>
        <v>344057.23368</v>
      </c>
      <c r="CP13" s="12"/>
      <c r="CQ13" s="118">
        <f t="shared" si="74"/>
        <v>0</v>
      </c>
      <c r="CR13" s="118">
        <f t="shared" si="75"/>
        <v>0</v>
      </c>
      <c r="CS13" s="118">
        <f t="shared" si="76"/>
        <v>0</v>
      </c>
      <c r="CT13" s="118">
        <f t="shared" si="77"/>
        <v>0</v>
      </c>
      <c r="CU13" s="118">
        <f t="shared" si="78"/>
        <v>0</v>
      </c>
      <c r="CV13" s="118">
        <f t="shared" si="79"/>
        <v>0</v>
      </c>
      <c r="CW13" s="118">
        <f t="shared" si="80"/>
        <v>0</v>
      </c>
      <c r="CX13" s="118">
        <f t="shared" si="81"/>
        <v>0</v>
      </c>
      <c r="CY13" s="118">
        <f t="shared" si="82"/>
        <v>0</v>
      </c>
      <c r="CZ13" s="118">
        <f t="shared" si="83"/>
        <v>0</v>
      </c>
      <c r="DA13" s="118">
        <f t="shared" si="84"/>
        <v>0</v>
      </c>
      <c r="DB13" s="118">
        <f t="shared" si="85"/>
        <v>0</v>
      </c>
      <c r="DC13" s="41">
        <f t="shared" ref="DC13:DC60" si="130">SUM(CQ13:DB13)</f>
        <v>0</v>
      </c>
      <c r="DD13" s="12"/>
      <c r="DE13" s="118">
        <f t="shared" si="86"/>
        <v>0</v>
      </c>
      <c r="DF13" s="118">
        <f t="shared" si="87"/>
        <v>0</v>
      </c>
      <c r="DG13" s="118">
        <f t="shared" si="88"/>
        <v>0</v>
      </c>
      <c r="DH13" s="118">
        <f t="shared" si="89"/>
        <v>0</v>
      </c>
      <c r="DI13" s="118">
        <f t="shared" si="90"/>
        <v>0</v>
      </c>
      <c r="DJ13" s="118">
        <f t="shared" si="91"/>
        <v>0</v>
      </c>
      <c r="DK13" s="118">
        <f t="shared" si="92"/>
        <v>0</v>
      </c>
      <c r="DL13" s="118">
        <f t="shared" si="93"/>
        <v>0</v>
      </c>
      <c r="DM13" s="118">
        <f t="shared" si="94"/>
        <v>0</v>
      </c>
      <c r="DN13" s="118">
        <f t="shared" si="95"/>
        <v>0</v>
      </c>
      <c r="DO13" s="118">
        <f t="shared" si="96"/>
        <v>0</v>
      </c>
      <c r="DP13" s="118">
        <f t="shared" si="97"/>
        <v>0</v>
      </c>
      <c r="DQ13" s="41">
        <f t="shared" ref="DQ13:DQ60" si="131">SUM(DE13:DP13)</f>
        <v>0</v>
      </c>
      <c r="DR13" s="12"/>
      <c r="DS13" s="118">
        <f t="shared" si="98"/>
        <v>0</v>
      </c>
      <c r="DT13" s="118">
        <f t="shared" si="99"/>
        <v>0</v>
      </c>
      <c r="DU13" s="118">
        <f t="shared" si="100"/>
        <v>0</v>
      </c>
      <c r="DV13" s="118">
        <f t="shared" si="101"/>
        <v>0</v>
      </c>
      <c r="DW13" s="118">
        <f t="shared" si="102"/>
        <v>0</v>
      </c>
      <c r="DX13" s="118">
        <f t="shared" si="103"/>
        <v>0</v>
      </c>
      <c r="DY13" s="118">
        <f t="shared" si="104"/>
        <v>0</v>
      </c>
      <c r="DZ13" s="118">
        <f t="shared" si="105"/>
        <v>0</v>
      </c>
      <c r="EA13" s="118">
        <f t="shared" si="106"/>
        <v>0</v>
      </c>
      <c r="EB13" s="118">
        <f t="shared" si="107"/>
        <v>0</v>
      </c>
      <c r="EC13" s="118">
        <f t="shared" si="108"/>
        <v>0</v>
      </c>
      <c r="ED13" s="118">
        <f t="shared" si="109"/>
        <v>0</v>
      </c>
      <c r="EE13" s="41">
        <f t="shared" ref="EE13:EE60" si="132">SUM(DS13:ED13)</f>
        <v>0</v>
      </c>
      <c r="EF13" s="12"/>
      <c r="EG13" s="118">
        <f t="shared" si="110"/>
        <v>0</v>
      </c>
      <c r="EH13" s="118">
        <f t="shared" si="111"/>
        <v>0</v>
      </c>
      <c r="EI13" s="118">
        <f t="shared" si="112"/>
        <v>0</v>
      </c>
      <c r="EJ13" s="118">
        <f t="shared" si="113"/>
        <v>0</v>
      </c>
      <c r="EK13" s="118">
        <f t="shared" si="114"/>
        <v>0</v>
      </c>
      <c r="EL13" s="118">
        <f t="shared" si="115"/>
        <v>0</v>
      </c>
      <c r="EM13" s="118">
        <f t="shared" si="116"/>
        <v>0</v>
      </c>
      <c r="EN13" s="118">
        <f t="shared" si="117"/>
        <v>0</v>
      </c>
      <c r="EO13" s="118">
        <f t="shared" si="118"/>
        <v>0</v>
      </c>
      <c r="EP13" s="118">
        <f t="shared" si="119"/>
        <v>0</v>
      </c>
      <c r="EQ13" s="118">
        <f t="shared" si="120"/>
        <v>0</v>
      </c>
      <c r="ER13" s="118">
        <f t="shared" si="121"/>
        <v>0</v>
      </c>
      <c r="ES13" s="41">
        <f t="shared" ref="ES13:ES60" si="133">SUM(EG13:ER13)</f>
        <v>0</v>
      </c>
    </row>
    <row r="14" spans="1:149" ht="10.199999999999999" x14ac:dyDescent="0.2">
      <c r="A14" s="122">
        <v>1</v>
      </c>
      <c r="C14" s="123" t="s">
        <v>477</v>
      </c>
      <c r="D14" s="117" t="str">
        <f>IF(ISERROR(VLOOKUP('Оценка трудоемкости'!$C14,Справочники!S:V,3,0))=TRUE,"",VLOOKUP('Оценка трудоемкости'!$C14,Справочники!S:V,3,0))</f>
        <v>Ведущий инженер</v>
      </c>
      <c r="E14" s="117">
        <f>IF(ISERROR(VLOOKUP('Оценка трудоемкости'!$C14,Справочники!S:V,4,0))=TRUE,0,VLOOKUP('Оценка трудоемкости'!$C14,Справочники!S:V,4,0))</f>
        <v>150648.56482900001</v>
      </c>
      <c r="F14" s="125"/>
      <c r="G14" s="116">
        <f t="shared" si="122"/>
        <v>80</v>
      </c>
      <c r="H14" s="12"/>
      <c r="I14" s="124"/>
      <c r="J14" s="124"/>
      <c r="K14" s="124"/>
      <c r="L14" s="124"/>
      <c r="M14" s="124"/>
      <c r="N14" s="124"/>
      <c r="O14" s="124"/>
      <c r="P14" s="124"/>
      <c r="Q14" s="124">
        <v>21</v>
      </c>
      <c r="R14" s="124">
        <v>22</v>
      </c>
      <c r="S14" s="124">
        <v>16</v>
      </c>
      <c r="T14" s="124">
        <v>21</v>
      </c>
      <c r="U14" s="116">
        <f t="shared" si="123"/>
        <v>80</v>
      </c>
      <c r="V14" s="12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16">
        <f t="shared" si="124"/>
        <v>0</v>
      </c>
      <c r="AJ14" s="12"/>
      <c r="AK14" s="124"/>
      <c r="AL14" s="124"/>
      <c r="AM14" s="124"/>
      <c r="AN14" s="124"/>
      <c r="AO14" s="124"/>
      <c r="AP14" s="124"/>
      <c r="AQ14" s="124"/>
      <c r="AR14" s="124"/>
      <c r="AS14" s="124"/>
      <c r="AT14" s="124"/>
      <c r="AU14" s="124"/>
      <c r="AV14" s="124"/>
      <c r="AW14" s="116">
        <f t="shared" si="125"/>
        <v>0</v>
      </c>
      <c r="AX14" s="12"/>
      <c r="AY14" s="124"/>
      <c r="AZ14" s="124"/>
      <c r="BA14" s="124"/>
      <c r="BB14" s="124"/>
      <c r="BC14" s="124"/>
      <c r="BD14" s="124"/>
      <c r="BE14" s="124"/>
      <c r="BF14" s="124"/>
      <c r="BG14" s="124"/>
      <c r="BH14" s="124"/>
      <c r="BI14" s="124"/>
      <c r="BJ14" s="124"/>
      <c r="BK14" s="116">
        <f t="shared" si="126"/>
        <v>0</v>
      </c>
      <c r="BL14" s="12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16">
        <f t="shared" si="127"/>
        <v>0</v>
      </c>
      <c r="BZ14" s="12"/>
      <c r="CA14" s="200">
        <f t="shared" si="128"/>
        <v>566725.55340433342</v>
      </c>
      <c r="CB14" s="12"/>
      <c r="CC14" s="118">
        <f t="shared" si="62"/>
        <v>0</v>
      </c>
      <c r="CD14" s="118">
        <f t="shared" si="63"/>
        <v>0</v>
      </c>
      <c r="CE14" s="118">
        <f t="shared" si="64"/>
        <v>0</v>
      </c>
      <c r="CF14" s="118">
        <f t="shared" si="65"/>
        <v>0</v>
      </c>
      <c r="CG14" s="118">
        <f t="shared" si="66"/>
        <v>0</v>
      </c>
      <c r="CH14" s="118">
        <f t="shared" si="67"/>
        <v>0</v>
      </c>
      <c r="CI14" s="118">
        <f t="shared" si="68"/>
        <v>0</v>
      </c>
      <c r="CJ14" s="118">
        <f t="shared" si="69"/>
        <v>0</v>
      </c>
      <c r="CK14" s="118">
        <f t="shared" si="70"/>
        <v>150648.56482900001</v>
      </c>
      <c r="CL14" s="118">
        <f t="shared" si="71"/>
        <v>150648.56482900001</v>
      </c>
      <c r="CM14" s="118">
        <f t="shared" si="72"/>
        <v>114779.85891733335</v>
      </c>
      <c r="CN14" s="118">
        <f t="shared" si="73"/>
        <v>150648.56482900001</v>
      </c>
      <c r="CO14" s="41">
        <f t="shared" si="129"/>
        <v>566725.55340433342</v>
      </c>
      <c r="CP14" s="12"/>
      <c r="CQ14" s="118">
        <f t="shared" si="74"/>
        <v>0</v>
      </c>
      <c r="CR14" s="118">
        <f t="shared" si="75"/>
        <v>0</v>
      </c>
      <c r="CS14" s="118">
        <f t="shared" si="76"/>
        <v>0</v>
      </c>
      <c r="CT14" s="118">
        <f t="shared" si="77"/>
        <v>0</v>
      </c>
      <c r="CU14" s="118">
        <f t="shared" si="78"/>
        <v>0</v>
      </c>
      <c r="CV14" s="118">
        <f t="shared" si="79"/>
        <v>0</v>
      </c>
      <c r="CW14" s="118">
        <f t="shared" si="80"/>
        <v>0</v>
      </c>
      <c r="CX14" s="118">
        <f t="shared" si="81"/>
        <v>0</v>
      </c>
      <c r="CY14" s="118">
        <f t="shared" si="82"/>
        <v>0</v>
      </c>
      <c r="CZ14" s="118">
        <f t="shared" si="83"/>
        <v>0</v>
      </c>
      <c r="DA14" s="118">
        <f t="shared" si="84"/>
        <v>0</v>
      </c>
      <c r="DB14" s="118">
        <f t="shared" si="85"/>
        <v>0</v>
      </c>
      <c r="DC14" s="41">
        <f t="shared" si="130"/>
        <v>0</v>
      </c>
      <c r="DD14" s="12"/>
      <c r="DE14" s="118">
        <f t="shared" si="86"/>
        <v>0</v>
      </c>
      <c r="DF14" s="118">
        <f t="shared" si="87"/>
        <v>0</v>
      </c>
      <c r="DG14" s="118">
        <f t="shared" si="88"/>
        <v>0</v>
      </c>
      <c r="DH14" s="118">
        <f t="shared" si="89"/>
        <v>0</v>
      </c>
      <c r="DI14" s="118">
        <f t="shared" si="90"/>
        <v>0</v>
      </c>
      <c r="DJ14" s="118">
        <f t="shared" si="91"/>
        <v>0</v>
      </c>
      <c r="DK14" s="118">
        <f t="shared" si="92"/>
        <v>0</v>
      </c>
      <c r="DL14" s="118">
        <f t="shared" si="93"/>
        <v>0</v>
      </c>
      <c r="DM14" s="118">
        <f t="shared" si="94"/>
        <v>0</v>
      </c>
      <c r="DN14" s="118">
        <f t="shared" si="95"/>
        <v>0</v>
      </c>
      <c r="DO14" s="118">
        <f t="shared" si="96"/>
        <v>0</v>
      </c>
      <c r="DP14" s="118">
        <f t="shared" si="97"/>
        <v>0</v>
      </c>
      <c r="DQ14" s="41">
        <f t="shared" si="131"/>
        <v>0</v>
      </c>
      <c r="DR14" s="12"/>
      <c r="DS14" s="118">
        <f t="shared" si="98"/>
        <v>0</v>
      </c>
      <c r="DT14" s="118">
        <f t="shared" si="99"/>
        <v>0</v>
      </c>
      <c r="DU14" s="118">
        <f t="shared" si="100"/>
        <v>0</v>
      </c>
      <c r="DV14" s="118">
        <f t="shared" si="101"/>
        <v>0</v>
      </c>
      <c r="DW14" s="118">
        <f t="shared" si="102"/>
        <v>0</v>
      </c>
      <c r="DX14" s="118">
        <f t="shared" si="103"/>
        <v>0</v>
      </c>
      <c r="DY14" s="118">
        <f t="shared" si="104"/>
        <v>0</v>
      </c>
      <c r="DZ14" s="118">
        <f t="shared" si="105"/>
        <v>0</v>
      </c>
      <c r="EA14" s="118">
        <f t="shared" si="106"/>
        <v>0</v>
      </c>
      <c r="EB14" s="118">
        <f t="shared" si="107"/>
        <v>0</v>
      </c>
      <c r="EC14" s="118">
        <f t="shared" si="108"/>
        <v>0</v>
      </c>
      <c r="ED14" s="118">
        <f t="shared" si="109"/>
        <v>0</v>
      </c>
      <c r="EE14" s="41">
        <f t="shared" si="132"/>
        <v>0</v>
      </c>
      <c r="EF14" s="12"/>
      <c r="EG14" s="118">
        <f t="shared" si="110"/>
        <v>0</v>
      </c>
      <c r="EH14" s="118">
        <f t="shared" si="111"/>
        <v>0</v>
      </c>
      <c r="EI14" s="118">
        <f t="shared" si="112"/>
        <v>0</v>
      </c>
      <c r="EJ14" s="118">
        <f t="shared" si="113"/>
        <v>0</v>
      </c>
      <c r="EK14" s="118">
        <f t="shared" si="114"/>
        <v>0</v>
      </c>
      <c r="EL14" s="118">
        <f t="shared" si="115"/>
        <v>0</v>
      </c>
      <c r="EM14" s="118">
        <f t="shared" si="116"/>
        <v>0</v>
      </c>
      <c r="EN14" s="118">
        <f t="shared" si="117"/>
        <v>0</v>
      </c>
      <c r="EO14" s="118">
        <f t="shared" si="118"/>
        <v>0</v>
      </c>
      <c r="EP14" s="118">
        <f t="shared" si="119"/>
        <v>0</v>
      </c>
      <c r="EQ14" s="118">
        <f t="shared" si="120"/>
        <v>0</v>
      </c>
      <c r="ER14" s="118">
        <f t="shared" si="121"/>
        <v>0</v>
      </c>
      <c r="ES14" s="41">
        <f t="shared" si="133"/>
        <v>0</v>
      </c>
    </row>
    <row r="15" spans="1:149" ht="10.199999999999999" x14ac:dyDescent="0.2">
      <c r="A15" s="122">
        <v>1</v>
      </c>
      <c r="C15" s="123" t="s">
        <v>478</v>
      </c>
      <c r="D15" s="117" t="str">
        <f>IF(ISERROR(VLOOKUP('Оценка трудоемкости'!$C15,Справочники!S:V,3,0))=TRUE,"",VLOOKUP('Оценка трудоемкости'!$C15,Справочники!S:V,3,0))</f>
        <v>Архитектор</v>
      </c>
      <c r="E15" s="117">
        <f>IF(ISERROR(VLOOKUP('Оценка трудоемкости'!$C15,Справочники!S:V,4,0))=TRUE,0,VLOOKUP('Оценка трудоемкости'!$C15,Справочники!S:V,4,0))</f>
        <v>200000.248578</v>
      </c>
      <c r="F15" s="125"/>
      <c r="G15" s="116">
        <f t="shared" si="122"/>
        <v>85</v>
      </c>
      <c r="H15" s="12"/>
      <c r="I15" s="124"/>
      <c r="J15" s="124"/>
      <c r="K15" s="124"/>
      <c r="L15" s="124"/>
      <c r="M15" s="124"/>
      <c r="N15" s="124"/>
      <c r="O15" s="124"/>
      <c r="P15" s="124"/>
      <c r="Q15" s="124">
        <f t="shared" ref="Q15:S15" si="134">Q$6*1</f>
        <v>21</v>
      </c>
      <c r="R15" s="124">
        <f t="shared" si="134"/>
        <v>22</v>
      </c>
      <c r="S15" s="124">
        <f t="shared" si="134"/>
        <v>21</v>
      </c>
      <c r="T15" s="124">
        <v>21</v>
      </c>
      <c r="U15" s="116">
        <f t="shared" si="123"/>
        <v>85</v>
      </c>
      <c r="V15" s="12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16">
        <f t="shared" si="124"/>
        <v>0</v>
      </c>
      <c r="AJ15" s="12"/>
      <c r="AK15" s="124"/>
      <c r="AL15" s="124"/>
      <c r="AM15" s="124"/>
      <c r="AN15" s="124"/>
      <c r="AO15" s="124"/>
      <c r="AP15" s="124"/>
      <c r="AQ15" s="124"/>
      <c r="AR15" s="124"/>
      <c r="AS15" s="124"/>
      <c r="AT15" s="124"/>
      <c r="AU15" s="124"/>
      <c r="AV15" s="124"/>
      <c r="AW15" s="116">
        <f t="shared" si="125"/>
        <v>0</v>
      </c>
      <c r="AX15" s="12"/>
      <c r="AY15" s="124"/>
      <c r="AZ15" s="124"/>
      <c r="BA15" s="124"/>
      <c r="BB15" s="124"/>
      <c r="BC15" s="124"/>
      <c r="BD15" s="124"/>
      <c r="BE15" s="124"/>
      <c r="BF15" s="124"/>
      <c r="BG15" s="124"/>
      <c r="BH15" s="124"/>
      <c r="BI15" s="124"/>
      <c r="BJ15" s="124"/>
      <c r="BK15" s="116">
        <f t="shared" si="126"/>
        <v>0</v>
      </c>
      <c r="BL15" s="12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16">
        <f t="shared" si="127"/>
        <v>0</v>
      </c>
      <c r="BZ15" s="12"/>
      <c r="CA15" s="200">
        <f t="shared" si="128"/>
        <v>800000.994312</v>
      </c>
      <c r="CB15" s="12"/>
      <c r="CC15" s="118">
        <f t="shared" si="62"/>
        <v>0</v>
      </c>
      <c r="CD15" s="118">
        <f t="shared" si="63"/>
        <v>0</v>
      </c>
      <c r="CE15" s="118">
        <f t="shared" si="64"/>
        <v>0</v>
      </c>
      <c r="CF15" s="118">
        <f t="shared" si="65"/>
        <v>0</v>
      </c>
      <c r="CG15" s="118">
        <f t="shared" si="66"/>
        <v>0</v>
      </c>
      <c r="CH15" s="118">
        <f t="shared" si="67"/>
        <v>0</v>
      </c>
      <c r="CI15" s="118">
        <f t="shared" si="68"/>
        <v>0</v>
      </c>
      <c r="CJ15" s="118">
        <f t="shared" si="69"/>
        <v>0</v>
      </c>
      <c r="CK15" s="118">
        <f t="shared" si="70"/>
        <v>200000.248578</v>
      </c>
      <c r="CL15" s="118">
        <f t="shared" si="71"/>
        <v>200000.24857800003</v>
      </c>
      <c r="CM15" s="118">
        <f t="shared" si="72"/>
        <v>200000.248578</v>
      </c>
      <c r="CN15" s="118">
        <f t="shared" si="73"/>
        <v>200000.248578</v>
      </c>
      <c r="CO15" s="41">
        <f t="shared" si="129"/>
        <v>800000.994312</v>
      </c>
      <c r="CP15" s="12"/>
      <c r="CQ15" s="118">
        <f t="shared" si="74"/>
        <v>0</v>
      </c>
      <c r="CR15" s="118">
        <f t="shared" si="75"/>
        <v>0</v>
      </c>
      <c r="CS15" s="118">
        <f t="shared" si="76"/>
        <v>0</v>
      </c>
      <c r="CT15" s="118">
        <f t="shared" si="77"/>
        <v>0</v>
      </c>
      <c r="CU15" s="118">
        <f t="shared" si="78"/>
        <v>0</v>
      </c>
      <c r="CV15" s="118">
        <f t="shared" si="79"/>
        <v>0</v>
      </c>
      <c r="CW15" s="118">
        <f t="shared" si="80"/>
        <v>0</v>
      </c>
      <c r="CX15" s="118">
        <f t="shared" si="81"/>
        <v>0</v>
      </c>
      <c r="CY15" s="118">
        <f t="shared" si="82"/>
        <v>0</v>
      </c>
      <c r="CZ15" s="118">
        <f t="shared" si="83"/>
        <v>0</v>
      </c>
      <c r="DA15" s="118">
        <f t="shared" si="84"/>
        <v>0</v>
      </c>
      <c r="DB15" s="118">
        <f t="shared" si="85"/>
        <v>0</v>
      </c>
      <c r="DC15" s="41">
        <f t="shared" si="130"/>
        <v>0</v>
      </c>
      <c r="DD15" s="12"/>
      <c r="DE15" s="118">
        <f t="shared" si="86"/>
        <v>0</v>
      </c>
      <c r="DF15" s="118">
        <f t="shared" si="87"/>
        <v>0</v>
      </c>
      <c r="DG15" s="118">
        <f t="shared" si="88"/>
        <v>0</v>
      </c>
      <c r="DH15" s="118">
        <f t="shared" si="89"/>
        <v>0</v>
      </c>
      <c r="DI15" s="118">
        <f t="shared" si="90"/>
        <v>0</v>
      </c>
      <c r="DJ15" s="118">
        <f t="shared" si="91"/>
        <v>0</v>
      </c>
      <c r="DK15" s="118">
        <f t="shared" si="92"/>
        <v>0</v>
      </c>
      <c r="DL15" s="118">
        <f t="shared" si="93"/>
        <v>0</v>
      </c>
      <c r="DM15" s="118">
        <f t="shared" si="94"/>
        <v>0</v>
      </c>
      <c r="DN15" s="118">
        <f t="shared" si="95"/>
        <v>0</v>
      </c>
      <c r="DO15" s="118">
        <f t="shared" si="96"/>
        <v>0</v>
      </c>
      <c r="DP15" s="118">
        <f t="shared" si="97"/>
        <v>0</v>
      </c>
      <c r="DQ15" s="41">
        <f t="shared" si="131"/>
        <v>0</v>
      </c>
      <c r="DR15" s="12"/>
      <c r="DS15" s="118">
        <f t="shared" si="98"/>
        <v>0</v>
      </c>
      <c r="DT15" s="118">
        <f t="shared" si="99"/>
        <v>0</v>
      </c>
      <c r="DU15" s="118">
        <f t="shared" si="100"/>
        <v>0</v>
      </c>
      <c r="DV15" s="118">
        <f t="shared" si="101"/>
        <v>0</v>
      </c>
      <c r="DW15" s="118">
        <f t="shared" si="102"/>
        <v>0</v>
      </c>
      <c r="DX15" s="118">
        <f t="shared" si="103"/>
        <v>0</v>
      </c>
      <c r="DY15" s="118">
        <f t="shared" si="104"/>
        <v>0</v>
      </c>
      <c r="DZ15" s="118">
        <f t="shared" si="105"/>
        <v>0</v>
      </c>
      <c r="EA15" s="118">
        <f t="shared" si="106"/>
        <v>0</v>
      </c>
      <c r="EB15" s="118">
        <f t="shared" si="107"/>
        <v>0</v>
      </c>
      <c r="EC15" s="118">
        <f t="shared" si="108"/>
        <v>0</v>
      </c>
      <c r="ED15" s="118">
        <f t="shared" si="109"/>
        <v>0</v>
      </c>
      <c r="EE15" s="41">
        <f t="shared" si="132"/>
        <v>0</v>
      </c>
      <c r="EF15" s="12"/>
      <c r="EG15" s="118">
        <f t="shared" si="110"/>
        <v>0</v>
      </c>
      <c r="EH15" s="118">
        <f t="shared" si="111"/>
        <v>0</v>
      </c>
      <c r="EI15" s="118">
        <f t="shared" si="112"/>
        <v>0</v>
      </c>
      <c r="EJ15" s="118">
        <f t="shared" si="113"/>
        <v>0</v>
      </c>
      <c r="EK15" s="118">
        <f t="shared" si="114"/>
        <v>0</v>
      </c>
      <c r="EL15" s="118">
        <f t="shared" si="115"/>
        <v>0</v>
      </c>
      <c r="EM15" s="118">
        <f t="shared" si="116"/>
        <v>0</v>
      </c>
      <c r="EN15" s="118">
        <f t="shared" si="117"/>
        <v>0</v>
      </c>
      <c r="EO15" s="118">
        <f t="shared" si="118"/>
        <v>0</v>
      </c>
      <c r="EP15" s="118">
        <f t="shared" si="119"/>
        <v>0</v>
      </c>
      <c r="EQ15" s="118">
        <f t="shared" si="120"/>
        <v>0</v>
      </c>
      <c r="ER15" s="118">
        <f t="shared" si="121"/>
        <v>0</v>
      </c>
      <c r="ES15" s="41">
        <f t="shared" si="133"/>
        <v>0</v>
      </c>
    </row>
    <row r="16" spans="1:149" ht="10.199999999999999" x14ac:dyDescent="0.2">
      <c r="A16" s="122">
        <v>1</v>
      </c>
      <c r="C16" s="123" t="s">
        <v>462</v>
      </c>
      <c r="D16" s="117" t="str">
        <f>IF(ISERROR(VLOOKUP('Оценка трудоемкости'!$C16,Справочники!S:V,3,0))=TRUE,"",VLOOKUP('Оценка трудоемкости'!$C16,Справочники!S:V,3,0))</f>
        <v>Старший специалист</v>
      </c>
      <c r="E16" s="117">
        <f>IF(ISERROR(VLOOKUP('Оценка трудоемкости'!$C16,Справочники!S:V,4,0))=TRUE,0,VLOOKUP('Оценка трудоемкости'!$C16,Справочники!S:V,4,0))</f>
        <v>49002</v>
      </c>
      <c r="F16" s="125"/>
      <c r="G16" s="116">
        <f t="shared" si="122"/>
        <v>0</v>
      </c>
      <c r="H16" s="12"/>
      <c r="I16" s="124"/>
      <c r="J16" s="124"/>
      <c r="K16" s="124"/>
      <c r="L16" s="124"/>
      <c r="M16" s="124"/>
      <c r="N16" s="124"/>
      <c r="O16" s="124"/>
      <c r="P16" s="124"/>
      <c r="Q16" s="124">
        <v>0</v>
      </c>
      <c r="R16" s="124">
        <v>0</v>
      </c>
      <c r="S16" s="124">
        <v>0</v>
      </c>
      <c r="T16" s="124">
        <v>0</v>
      </c>
      <c r="U16" s="116">
        <f t="shared" si="123"/>
        <v>0</v>
      </c>
      <c r="V16" s="12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16">
        <f t="shared" si="124"/>
        <v>0</v>
      </c>
      <c r="AJ16" s="12"/>
      <c r="AK16" s="124"/>
      <c r="AL16" s="124"/>
      <c r="AM16" s="124"/>
      <c r="AN16" s="124"/>
      <c r="AO16" s="124"/>
      <c r="AP16" s="124"/>
      <c r="AQ16" s="124"/>
      <c r="AR16" s="124"/>
      <c r="AS16" s="124"/>
      <c r="AT16" s="124"/>
      <c r="AU16" s="124"/>
      <c r="AV16" s="124"/>
      <c r="AW16" s="116">
        <f t="shared" si="125"/>
        <v>0</v>
      </c>
      <c r="AX16" s="12"/>
      <c r="AY16" s="124"/>
      <c r="AZ16" s="124"/>
      <c r="BA16" s="124"/>
      <c r="BB16" s="124"/>
      <c r="BC16" s="124"/>
      <c r="BD16" s="124"/>
      <c r="BE16" s="124"/>
      <c r="BF16" s="124"/>
      <c r="BG16" s="124"/>
      <c r="BH16" s="124"/>
      <c r="BI16" s="124"/>
      <c r="BJ16" s="124"/>
      <c r="BK16" s="116">
        <f t="shared" si="126"/>
        <v>0</v>
      </c>
      <c r="BL16" s="12"/>
      <c r="BM16" s="124"/>
      <c r="BN16" s="124"/>
      <c r="BO16" s="124"/>
      <c r="BP16" s="124"/>
      <c r="BQ16" s="124"/>
      <c r="BR16" s="124"/>
      <c r="BS16" s="124"/>
      <c r="BT16" s="124"/>
      <c r="BU16" s="124"/>
      <c r="BV16" s="124"/>
      <c r="BW16" s="124"/>
      <c r="BX16" s="124"/>
      <c r="BY16" s="116">
        <f t="shared" si="127"/>
        <v>0</v>
      </c>
      <c r="BZ16" s="12"/>
      <c r="CA16" s="200">
        <f t="shared" si="128"/>
        <v>0</v>
      </c>
      <c r="CB16" s="12"/>
      <c r="CC16" s="118">
        <f t="shared" si="62"/>
        <v>0</v>
      </c>
      <c r="CD16" s="118">
        <f t="shared" si="63"/>
        <v>0</v>
      </c>
      <c r="CE16" s="118">
        <f t="shared" si="64"/>
        <v>0</v>
      </c>
      <c r="CF16" s="118">
        <f t="shared" si="65"/>
        <v>0</v>
      </c>
      <c r="CG16" s="118">
        <f t="shared" si="66"/>
        <v>0</v>
      </c>
      <c r="CH16" s="118">
        <f t="shared" si="67"/>
        <v>0</v>
      </c>
      <c r="CI16" s="118">
        <f t="shared" si="68"/>
        <v>0</v>
      </c>
      <c r="CJ16" s="118">
        <f t="shared" si="69"/>
        <v>0</v>
      </c>
      <c r="CK16" s="118">
        <f t="shared" si="70"/>
        <v>0</v>
      </c>
      <c r="CL16" s="118">
        <f t="shared" si="71"/>
        <v>0</v>
      </c>
      <c r="CM16" s="118">
        <f t="shared" si="72"/>
        <v>0</v>
      </c>
      <c r="CN16" s="118">
        <f t="shared" si="73"/>
        <v>0</v>
      </c>
      <c r="CO16" s="41">
        <f t="shared" si="129"/>
        <v>0</v>
      </c>
      <c r="CP16" s="12"/>
      <c r="CQ16" s="118">
        <f t="shared" si="74"/>
        <v>0</v>
      </c>
      <c r="CR16" s="118">
        <f t="shared" si="75"/>
        <v>0</v>
      </c>
      <c r="CS16" s="118">
        <f t="shared" si="76"/>
        <v>0</v>
      </c>
      <c r="CT16" s="118">
        <f t="shared" si="77"/>
        <v>0</v>
      </c>
      <c r="CU16" s="118">
        <f t="shared" si="78"/>
        <v>0</v>
      </c>
      <c r="CV16" s="118">
        <f t="shared" si="79"/>
        <v>0</v>
      </c>
      <c r="CW16" s="118">
        <f t="shared" si="80"/>
        <v>0</v>
      </c>
      <c r="CX16" s="118">
        <f t="shared" si="81"/>
        <v>0</v>
      </c>
      <c r="CY16" s="118">
        <f t="shared" si="82"/>
        <v>0</v>
      </c>
      <c r="CZ16" s="118">
        <f t="shared" si="83"/>
        <v>0</v>
      </c>
      <c r="DA16" s="118">
        <f t="shared" si="84"/>
        <v>0</v>
      </c>
      <c r="DB16" s="118">
        <f t="shared" si="85"/>
        <v>0</v>
      </c>
      <c r="DC16" s="41">
        <f t="shared" si="130"/>
        <v>0</v>
      </c>
      <c r="DD16" s="12"/>
      <c r="DE16" s="118">
        <f t="shared" si="86"/>
        <v>0</v>
      </c>
      <c r="DF16" s="118">
        <f t="shared" si="87"/>
        <v>0</v>
      </c>
      <c r="DG16" s="118">
        <f t="shared" si="88"/>
        <v>0</v>
      </c>
      <c r="DH16" s="118">
        <f t="shared" si="89"/>
        <v>0</v>
      </c>
      <c r="DI16" s="118">
        <f t="shared" si="90"/>
        <v>0</v>
      </c>
      <c r="DJ16" s="118">
        <f t="shared" si="91"/>
        <v>0</v>
      </c>
      <c r="DK16" s="118">
        <f t="shared" si="92"/>
        <v>0</v>
      </c>
      <c r="DL16" s="118">
        <f t="shared" si="93"/>
        <v>0</v>
      </c>
      <c r="DM16" s="118">
        <f t="shared" si="94"/>
        <v>0</v>
      </c>
      <c r="DN16" s="118">
        <f t="shared" si="95"/>
        <v>0</v>
      </c>
      <c r="DO16" s="118">
        <f t="shared" si="96"/>
        <v>0</v>
      </c>
      <c r="DP16" s="118">
        <f t="shared" si="97"/>
        <v>0</v>
      </c>
      <c r="DQ16" s="41">
        <f t="shared" si="131"/>
        <v>0</v>
      </c>
      <c r="DR16" s="12"/>
      <c r="DS16" s="118">
        <f t="shared" si="98"/>
        <v>0</v>
      </c>
      <c r="DT16" s="118">
        <f t="shared" si="99"/>
        <v>0</v>
      </c>
      <c r="DU16" s="118">
        <f t="shared" si="100"/>
        <v>0</v>
      </c>
      <c r="DV16" s="118">
        <f t="shared" si="101"/>
        <v>0</v>
      </c>
      <c r="DW16" s="118">
        <f t="shared" si="102"/>
        <v>0</v>
      </c>
      <c r="DX16" s="118">
        <f t="shared" si="103"/>
        <v>0</v>
      </c>
      <c r="DY16" s="118">
        <f t="shared" si="104"/>
        <v>0</v>
      </c>
      <c r="DZ16" s="118">
        <f t="shared" si="105"/>
        <v>0</v>
      </c>
      <c r="EA16" s="118">
        <f t="shared" si="106"/>
        <v>0</v>
      </c>
      <c r="EB16" s="118">
        <f t="shared" si="107"/>
        <v>0</v>
      </c>
      <c r="EC16" s="118">
        <f t="shared" si="108"/>
        <v>0</v>
      </c>
      <c r="ED16" s="118">
        <f t="shared" si="109"/>
        <v>0</v>
      </c>
      <c r="EE16" s="41">
        <f t="shared" si="132"/>
        <v>0</v>
      </c>
      <c r="EF16" s="12"/>
      <c r="EG16" s="118">
        <f t="shared" si="110"/>
        <v>0</v>
      </c>
      <c r="EH16" s="118">
        <f t="shared" si="111"/>
        <v>0</v>
      </c>
      <c r="EI16" s="118">
        <f t="shared" si="112"/>
        <v>0</v>
      </c>
      <c r="EJ16" s="118">
        <f t="shared" si="113"/>
        <v>0</v>
      </c>
      <c r="EK16" s="118">
        <f t="shared" si="114"/>
        <v>0</v>
      </c>
      <c r="EL16" s="118">
        <f t="shared" si="115"/>
        <v>0</v>
      </c>
      <c r="EM16" s="118">
        <f t="shared" si="116"/>
        <v>0</v>
      </c>
      <c r="EN16" s="118">
        <f t="shared" si="117"/>
        <v>0</v>
      </c>
      <c r="EO16" s="118">
        <f t="shared" si="118"/>
        <v>0</v>
      </c>
      <c r="EP16" s="118">
        <f t="shared" si="119"/>
        <v>0</v>
      </c>
      <c r="EQ16" s="118">
        <f t="shared" si="120"/>
        <v>0</v>
      </c>
      <c r="ER16" s="118">
        <f t="shared" si="121"/>
        <v>0</v>
      </c>
      <c r="ES16" s="41">
        <f t="shared" si="133"/>
        <v>0</v>
      </c>
    </row>
    <row r="17" spans="1:149" ht="10.199999999999999" x14ac:dyDescent="0.2">
      <c r="A17" s="122">
        <v>1</v>
      </c>
      <c r="C17" s="123"/>
      <c r="D17" s="117" t="str">
        <f>IF(ISERROR(VLOOKUP('Оценка трудоемкости'!$C17,Справочники!S:V,3,0))=TRUE,"",VLOOKUP('Оценка трудоемкости'!$C17,Справочники!S:V,3,0))</f>
        <v/>
      </c>
      <c r="E17" s="117">
        <f>IF(ISERROR(VLOOKUP('Оценка трудоемкости'!$C17,Справочники!S:V,4,0))=TRUE,0,VLOOKUP('Оценка трудоемкости'!$C17,Справочники!S:V,4,0))</f>
        <v>0</v>
      </c>
      <c r="F17" s="125"/>
      <c r="G17" s="116">
        <f t="shared" si="122"/>
        <v>0</v>
      </c>
      <c r="H17" s="12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16">
        <f t="shared" si="123"/>
        <v>0</v>
      </c>
      <c r="V17" s="12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16">
        <f t="shared" si="124"/>
        <v>0</v>
      </c>
      <c r="AJ17" s="12"/>
      <c r="AK17" s="124"/>
      <c r="AL17" s="124"/>
      <c r="AM17" s="124"/>
      <c r="AN17" s="124"/>
      <c r="AO17" s="124"/>
      <c r="AP17" s="124"/>
      <c r="AQ17" s="124"/>
      <c r="AR17" s="124"/>
      <c r="AS17" s="124"/>
      <c r="AT17" s="124"/>
      <c r="AU17" s="124"/>
      <c r="AV17" s="124"/>
      <c r="AW17" s="116">
        <f t="shared" si="125"/>
        <v>0</v>
      </c>
      <c r="AX17" s="12"/>
      <c r="AY17" s="124"/>
      <c r="AZ17" s="124"/>
      <c r="BA17" s="124"/>
      <c r="BB17" s="124"/>
      <c r="BC17" s="124"/>
      <c r="BD17" s="124"/>
      <c r="BE17" s="124"/>
      <c r="BF17" s="124"/>
      <c r="BG17" s="124"/>
      <c r="BH17" s="124"/>
      <c r="BI17" s="124"/>
      <c r="BJ17" s="124"/>
      <c r="BK17" s="116">
        <f t="shared" si="126"/>
        <v>0</v>
      </c>
      <c r="BL17" s="12"/>
      <c r="BM17" s="124"/>
      <c r="BN17" s="124"/>
      <c r="BO17" s="124"/>
      <c r="BP17" s="124"/>
      <c r="BQ17" s="124"/>
      <c r="BR17" s="124"/>
      <c r="BS17" s="124"/>
      <c r="BT17" s="124"/>
      <c r="BU17" s="124"/>
      <c r="BV17" s="124"/>
      <c r="BW17" s="124"/>
      <c r="BX17" s="124"/>
      <c r="BY17" s="116">
        <f t="shared" si="127"/>
        <v>0</v>
      </c>
      <c r="BZ17" s="12"/>
      <c r="CA17" s="200">
        <f t="shared" si="128"/>
        <v>0</v>
      </c>
      <c r="CB17" s="12"/>
      <c r="CC17" s="118">
        <f t="shared" si="62"/>
        <v>0</v>
      </c>
      <c r="CD17" s="118">
        <f t="shared" si="63"/>
        <v>0</v>
      </c>
      <c r="CE17" s="118">
        <f t="shared" si="64"/>
        <v>0</v>
      </c>
      <c r="CF17" s="118">
        <f t="shared" si="65"/>
        <v>0</v>
      </c>
      <c r="CG17" s="118">
        <f t="shared" si="66"/>
        <v>0</v>
      </c>
      <c r="CH17" s="118">
        <f t="shared" si="67"/>
        <v>0</v>
      </c>
      <c r="CI17" s="118">
        <f t="shared" si="68"/>
        <v>0</v>
      </c>
      <c r="CJ17" s="118">
        <f t="shared" si="69"/>
        <v>0</v>
      </c>
      <c r="CK17" s="118">
        <f t="shared" si="70"/>
        <v>0</v>
      </c>
      <c r="CL17" s="118">
        <f t="shared" si="71"/>
        <v>0</v>
      </c>
      <c r="CM17" s="118">
        <f t="shared" si="72"/>
        <v>0</v>
      </c>
      <c r="CN17" s="118">
        <f t="shared" si="73"/>
        <v>0</v>
      </c>
      <c r="CO17" s="41">
        <f t="shared" si="129"/>
        <v>0</v>
      </c>
      <c r="CP17" s="12"/>
      <c r="CQ17" s="118">
        <f t="shared" si="74"/>
        <v>0</v>
      </c>
      <c r="CR17" s="118">
        <f t="shared" si="75"/>
        <v>0</v>
      </c>
      <c r="CS17" s="118">
        <f t="shared" si="76"/>
        <v>0</v>
      </c>
      <c r="CT17" s="118">
        <f t="shared" si="77"/>
        <v>0</v>
      </c>
      <c r="CU17" s="118">
        <f t="shared" si="78"/>
        <v>0</v>
      </c>
      <c r="CV17" s="118">
        <f t="shared" si="79"/>
        <v>0</v>
      </c>
      <c r="CW17" s="118">
        <f t="shared" si="80"/>
        <v>0</v>
      </c>
      <c r="CX17" s="118">
        <f t="shared" si="81"/>
        <v>0</v>
      </c>
      <c r="CY17" s="118">
        <f t="shared" si="82"/>
        <v>0</v>
      </c>
      <c r="CZ17" s="118">
        <f t="shared" si="83"/>
        <v>0</v>
      </c>
      <c r="DA17" s="118">
        <f t="shared" si="84"/>
        <v>0</v>
      </c>
      <c r="DB17" s="118">
        <f t="shared" si="85"/>
        <v>0</v>
      </c>
      <c r="DC17" s="41">
        <f t="shared" si="130"/>
        <v>0</v>
      </c>
      <c r="DD17" s="12"/>
      <c r="DE17" s="118">
        <f t="shared" si="86"/>
        <v>0</v>
      </c>
      <c r="DF17" s="118">
        <f t="shared" si="87"/>
        <v>0</v>
      </c>
      <c r="DG17" s="118">
        <f t="shared" si="88"/>
        <v>0</v>
      </c>
      <c r="DH17" s="118">
        <f t="shared" si="89"/>
        <v>0</v>
      </c>
      <c r="DI17" s="118">
        <f t="shared" si="90"/>
        <v>0</v>
      </c>
      <c r="DJ17" s="118">
        <f t="shared" si="91"/>
        <v>0</v>
      </c>
      <c r="DK17" s="118">
        <f t="shared" si="92"/>
        <v>0</v>
      </c>
      <c r="DL17" s="118">
        <f t="shared" si="93"/>
        <v>0</v>
      </c>
      <c r="DM17" s="118">
        <f t="shared" si="94"/>
        <v>0</v>
      </c>
      <c r="DN17" s="118">
        <f t="shared" si="95"/>
        <v>0</v>
      </c>
      <c r="DO17" s="118">
        <f t="shared" si="96"/>
        <v>0</v>
      </c>
      <c r="DP17" s="118">
        <f t="shared" si="97"/>
        <v>0</v>
      </c>
      <c r="DQ17" s="41">
        <f t="shared" si="131"/>
        <v>0</v>
      </c>
      <c r="DR17" s="12"/>
      <c r="DS17" s="118">
        <f t="shared" si="98"/>
        <v>0</v>
      </c>
      <c r="DT17" s="118">
        <f t="shared" si="99"/>
        <v>0</v>
      </c>
      <c r="DU17" s="118">
        <f t="shared" si="100"/>
        <v>0</v>
      </c>
      <c r="DV17" s="118">
        <f t="shared" si="101"/>
        <v>0</v>
      </c>
      <c r="DW17" s="118">
        <f t="shared" si="102"/>
        <v>0</v>
      </c>
      <c r="DX17" s="118">
        <f t="shared" si="103"/>
        <v>0</v>
      </c>
      <c r="DY17" s="118">
        <f t="shared" si="104"/>
        <v>0</v>
      </c>
      <c r="DZ17" s="118">
        <f t="shared" si="105"/>
        <v>0</v>
      </c>
      <c r="EA17" s="118">
        <f t="shared" si="106"/>
        <v>0</v>
      </c>
      <c r="EB17" s="118">
        <f t="shared" si="107"/>
        <v>0</v>
      </c>
      <c r="EC17" s="118">
        <f t="shared" si="108"/>
        <v>0</v>
      </c>
      <c r="ED17" s="118">
        <f t="shared" si="109"/>
        <v>0</v>
      </c>
      <c r="EE17" s="41">
        <f t="shared" si="132"/>
        <v>0</v>
      </c>
      <c r="EF17" s="12"/>
      <c r="EG17" s="118">
        <f t="shared" si="110"/>
        <v>0</v>
      </c>
      <c r="EH17" s="118">
        <f t="shared" si="111"/>
        <v>0</v>
      </c>
      <c r="EI17" s="118">
        <f t="shared" si="112"/>
        <v>0</v>
      </c>
      <c r="EJ17" s="118">
        <f t="shared" si="113"/>
        <v>0</v>
      </c>
      <c r="EK17" s="118">
        <f t="shared" si="114"/>
        <v>0</v>
      </c>
      <c r="EL17" s="118">
        <f t="shared" si="115"/>
        <v>0</v>
      </c>
      <c r="EM17" s="118">
        <f t="shared" si="116"/>
        <v>0</v>
      </c>
      <c r="EN17" s="118">
        <f t="shared" si="117"/>
        <v>0</v>
      </c>
      <c r="EO17" s="118">
        <f t="shared" si="118"/>
        <v>0</v>
      </c>
      <c r="EP17" s="118">
        <f t="shared" si="119"/>
        <v>0</v>
      </c>
      <c r="EQ17" s="118">
        <f t="shared" si="120"/>
        <v>0</v>
      </c>
      <c r="ER17" s="118">
        <f t="shared" si="121"/>
        <v>0</v>
      </c>
      <c r="ES17" s="41">
        <f t="shared" si="133"/>
        <v>0</v>
      </c>
    </row>
    <row r="18" spans="1:149" ht="10.199999999999999" x14ac:dyDescent="0.2">
      <c r="A18" s="122">
        <v>1</v>
      </c>
      <c r="C18" s="123"/>
      <c r="D18" s="117" t="str">
        <f>IF(ISERROR(VLOOKUP('Оценка трудоемкости'!$C18,Справочники!S:V,3,0))=TRUE,"",VLOOKUP('Оценка трудоемкости'!$C18,Справочники!S:V,3,0))</f>
        <v/>
      </c>
      <c r="E18" s="117">
        <f>IF(ISERROR(VLOOKUP('Оценка трудоемкости'!$C18,Справочники!S:V,4,0))=TRUE,0,VLOOKUP('Оценка трудоемкости'!$C18,Справочники!S:V,4,0))</f>
        <v>0</v>
      </c>
      <c r="F18" s="125"/>
      <c r="G18" s="116">
        <f t="shared" si="122"/>
        <v>0</v>
      </c>
      <c r="H18" s="12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16">
        <f t="shared" si="123"/>
        <v>0</v>
      </c>
      <c r="V18" s="12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16">
        <f t="shared" si="124"/>
        <v>0</v>
      </c>
      <c r="AJ18" s="12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16">
        <f t="shared" si="125"/>
        <v>0</v>
      </c>
      <c r="AX18" s="12"/>
      <c r="AY18" s="124"/>
      <c r="AZ18" s="124"/>
      <c r="BA18" s="124"/>
      <c r="BB18" s="124"/>
      <c r="BC18" s="124"/>
      <c r="BD18" s="124"/>
      <c r="BE18" s="124"/>
      <c r="BF18" s="124"/>
      <c r="BG18" s="124"/>
      <c r="BH18" s="124"/>
      <c r="BI18" s="124"/>
      <c r="BJ18" s="124"/>
      <c r="BK18" s="116">
        <f t="shared" si="126"/>
        <v>0</v>
      </c>
      <c r="BL18" s="12"/>
      <c r="BM18" s="124"/>
      <c r="BN18" s="124"/>
      <c r="BO18" s="124"/>
      <c r="BP18" s="124"/>
      <c r="BQ18" s="124"/>
      <c r="BR18" s="124"/>
      <c r="BS18" s="124"/>
      <c r="BT18" s="124"/>
      <c r="BU18" s="124"/>
      <c r="BV18" s="124"/>
      <c r="BW18" s="124"/>
      <c r="BX18" s="124"/>
      <c r="BY18" s="116">
        <f t="shared" si="127"/>
        <v>0</v>
      </c>
      <c r="BZ18" s="12"/>
      <c r="CA18" s="200">
        <f t="shared" si="128"/>
        <v>0</v>
      </c>
      <c r="CB18" s="12"/>
      <c r="CC18" s="118">
        <f t="shared" si="62"/>
        <v>0</v>
      </c>
      <c r="CD18" s="118">
        <f t="shared" si="63"/>
        <v>0</v>
      </c>
      <c r="CE18" s="118">
        <f t="shared" si="64"/>
        <v>0</v>
      </c>
      <c r="CF18" s="118">
        <f t="shared" si="65"/>
        <v>0</v>
      </c>
      <c r="CG18" s="118">
        <f t="shared" si="66"/>
        <v>0</v>
      </c>
      <c r="CH18" s="118">
        <f t="shared" si="67"/>
        <v>0</v>
      </c>
      <c r="CI18" s="118">
        <f t="shared" si="68"/>
        <v>0</v>
      </c>
      <c r="CJ18" s="118">
        <f t="shared" si="69"/>
        <v>0</v>
      </c>
      <c r="CK18" s="118">
        <f t="shared" si="70"/>
        <v>0</v>
      </c>
      <c r="CL18" s="118">
        <f t="shared" si="71"/>
        <v>0</v>
      </c>
      <c r="CM18" s="118">
        <f t="shared" si="72"/>
        <v>0</v>
      </c>
      <c r="CN18" s="118">
        <f t="shared" si="73"/>
        <v>0</v>
      </c>
      <c r="CO18" s="41">
        <f t="shared" si="129"/>
        <v>0</v>
      </c>
      <c r="CP18" s="12"/>
      <c r="CQ18" s="118">
        <f t="shared" si="74"/>
        <v>0</v>
      </c>
      <c r="CR18" s="118">
        <f t="shared" si="75"/>
        <v>0</v>
      </c>
      <c r="CS18" s="118">
        <f t="shared" si="76"/>
        <v>0</v>
      </c>
      <c r="CT18" s="118">
        <f t="shared" si="77"/>
        <v>0</v>
      </c>
      <c r="CU18" s="118">
        <f t="shared" si="78"/>
        <v>0</v>
      </c>
      <c r="CV18" s="118">
        <f t="shared" si="79"/>
        <v>0</v>
      </c>
      <c r="CW18" s="118">
        <f t="shared" si="80"/>
        <v>0</v>
      </c>
      <c r="CX18" s="118">
        <f t="shared" si="81"/>
        <v>0</v>
      </c>
      <c r="CY18" s="118">
        <f t="shared" si="82"/>
        <v>0</v>
      </c>
      <c r="CZ18" s="118">
        <f t="shared" si="83"/>
        <v>0</v>
      </c>
      <c r="DA18" s="118">
        <f t="shared" si="84"/>
        <v>0</v>
      </c>
      <c r="DB18" s="118">
        <f t="shared" si="85"/>
        <v>0</v>
      </c>
      <c r="DC18" s="41">
        <f t="shared" si="130"/>
        <v>0</v>
      </c>
      <c r="DD18" s="12"/>
      <c r="DE18" s="118">
        <f t="shared" si="86"/>
        <v>0</v>
      </c>
      <c r="DF18" s="118">
        <f t="shared" si="87"/>
        <v>0</v>
      </c>
      <c r="DG18" s="118">
        <f t="shared" si="88"/>
        <v>0</v>
      </c>
      <c r="DH18" s="118">
        <f t="shared" si="89"/>
        <v>0</v>
      </c>
      <c r="DI18" s="118">
        <f t="shared" si="90"/>
        <v>0</v>
      </c>
      <c r="DJ18" s="118">
        <f t="shared" si="91"/>
        <v>0</v>
      </c>
      <c r="DK18" s="118">
        <f t="shared" si="92"/>
        <v>0</v>
      </c>
      <c r="DL18" s="118">
        <f t="shared" si="93"/>
        <v>0</v>
      </c>
      <c r="DM18" s="118">
        <f t="shared" si="94"/>
        <v>0</v>
      </c>
      <c r="DN18" s="118">
        <f t="shared" si="95"/>
        <v>0</v>
      </c>
      <c r="DO18" s="118">
        <f t="shared" si="96"/>
        <v>0</v>
      </c>
      <c r="DP18" s="118">
        <f t="shared" si="97"/>
        <v>0</v>
      </c>
      <c r="DQ18" s="41">
        <f t="shared" si="131"/>
        <v>0</v>
      </c>
      <c r="DR18" s="12"/>
      <c r="DS18" s="118">
        <f t="shared" si="98"/>
        <v>0</v>
      </c>
      <c r="DT18" s="118">
        <f t="shared" si="99"/>
        <v>0</v>
      </c>
      <c r="DU18" s="118">
        <f t="shared" si="100"/>
        <v>0</v>
      </c>
      <c r="DV18" s="118">
        <f t="shared" si="101"/>
        <v>0</v>
      </c>
      <c r="DW18" s="118">
        <f t="shared" si="102"/>
        <v>0</v>
      </c>
      <c r="DX18" s="118">
        <f t="shared" si="103"/>
        <v>0</v>
      </c>
      <c r="DY18" s="118">
        <f t="shared" si="104"/>
        <v>0</v>
      </c>
      <c r="DZ18" s="118">
        <f t="shared" si="105"/>
        <v>0</v>
      </c>
      <c r="EA18" s="118">
        <f t="shared" si="106"/>
        <v>0</v>
      </c>
      <c r="EB18" s="118">
        <f t="shared" si="107"/>
        <v>0</v>
      </c>
      <c r="EC18" s="118">
        <f t="shared" si="108"/>
        <v>0</v>
      </c>
      <c r="ED18" s="118">
        <f t="shared" si="109"/>
        <v>0</v>
      </c>
      <c r="EE18" s="41">
        <f t="shared" si="132"/>
        <v>0</v>
      </c>
      <c r="EF18" s="12"/>
      <c r="EG18" s="118">
        <f t="shared" si="110"/>
        <v>0</v>
      </c>
      <c r="EH18" s="118">
        <f t="shared" si="111"/>
        <v>0</v>
      </c>
      <c r="EI18" s="118">
        <f t="shared" si="112"/>
        <v>0</v>
      </c>
      <c r="EJ18" s="118">
        <f t="shared" si="113"/>
        <v>0</v>
      </c>
      <c r="EK18" s="118">
        <f t="shared" si="114"/>
        <v>0</v>
      </c>
      <c r="EL18" s="118">
        <f t="shared" si="115"/>
        <v>0</v>
      </c>
      <c r="EM18" s="118">
        <f t="shared" si="116"/>
        <v>0</v>
      </c>
      <c r="EN18" s="118">
        <f t="shared" si="117"/>
        <v>0</v>
      </c>
      <c r="EO18" s="118">
        <f t="shared" si="118"/>
        <v>0</v>
      </c>
      <c r="EP18" s="118">
        <f t="shared" si="119"/>
        <v>0</v>
      </c>
      <c r="EQ18" s="118">
        <f t="shared" si="120"/>
        <v>0</v>
      </c>
      <c r="ER18" s="118">
        <f t="shared" si="121"/>
        <v>0</v>
      </c>
      <c r="ES18" s="41">
        <f t="shared" si="133"/>
        <v>0</v>
      </c>
    </row>
    <row r="19" spans="1:149" ht="10.199999999999999" x14ac:dyDescent="0.2">
      <c r="A19" s="122">
        <v>1</v>
      </c>
      <c r="C19" s="123"/>
      <c r="D19" s="117" t="str">
        <f>IF(ISERROR(VLOOKUP('Оценка трудоемкости'!$C19,Справочники!S:V,3,0))=TRUE,"",VLOOKUP('Оценка трудоемкости'!$C19,Справочники!S:V,3,0))</f>
        <v/>
      </c>
      <c r="E19" s="117">
        <f>IF(ISERROR(VLOOKUP('Оценка трудоемкости'!$C19,Справочники!S:V,4,0))=TRUE,0,VLOOKUP('Оценка трудоемкости'!$C19,Справочники!S:V,4,0))</f>
        <v>0</v>
      </c>
      <c r="F19" s="125"/>
      <c r="G19" s="116">
        <f t="shared" si="122"/>
        <v>0</v>
      </c>
      <c r="H19" s="12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16">
        <f t="shared" si="123"/>
        <v>0</v>
      </c>
      <c r="V19" s="12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16">
        <f t="shared" si="124"/>
        <v>0</v>
      </c>
      <c r="AJ19" s="12"/>
      <c r="AK19" s="124"/>
      <c r="AL19" s="124"/>
      <c r="AM19" s="124"/>
      <c r="AN19" s="124"/>
      <c r="AO19" s="124"/>
      <c r="AP19" s="124"/>
      <c r="AQ19" s="124"/>
      <c r="AR19" s="124"/>
      <c r="AS19" s="124"/>
      <c r="AT19" s="124"/>
      <c r="AU19" s="124"/>
      <c r="AV19" s="124"/>
      <c r="AW19" s="116">
        <f t="shared" si="125"/>
        <v>0</v>
      </c>
      <c r="AX19" s="12"/>
      <c r="AY19" s="124"/>
      <c r="AZ19" s="124"/>
      <c r="BA19" s="124"/>
      <c r="BB19" s="124"/>
      <c r="BC19" s="124"/>
      <c r="BD19" s="124"/>
      <c r="BE19" s="124"/>
      <c r="BF19" s="124"/>
      <c r="BG19" s="124"/>
      <c r="BH19" s="124"/>
      <c r="BI19" s="124"/>
      <c r="BJ19" s="124"/>
      <c r="BK19" s="116">
        <f t="shared" si="126"/>
        <v>0</v>
      </c>
      <c r="BL19" s="12"/>
      <c r="BM19" s="124"/>
      <c r="BN19" s="124"/>
      <c r="BO19" s="124"/>
      <c r="BP19" s="124"/>
      <c r="BQ19" s="124"/>
      <c r="BR19" s="124"/>
      <c r="BS19" s="124"/>
      <c r="BT19" s="124"/>
      <c r="BU19" s="124"/>
      <c r="BV19" s="124"/>
      <c r="BW19" s="124"/>
      <c r="BX19" s="124"/>
      <c r="BY19" s="116">
        <f t="shared" si="127"/>
        <v>0</v>
      </c>
      <c r="BZ19" s="12"/>
      <c r="CA19" s="200">
        <f t="shared" si="128"/>
        <v>0</v>
      </c>
      <c r="CB19" s="12"/>
      <c r="CC19" s="118">
        <f t="shared" si="62"/>
        <v>0</v>
      </c>
      <c r="CD19" s="118">
        <f t="shared" si="63"/>
        <v>0</v>
      </c>
      <c r="CE19" s="118">
        <f t="shared" si="64"/>
        <v>0</v>
      </c>
      <c r="CF19" s="118">
        <f t="shared" si="65"/>
        <v>0</v>
      </c>
      <c r="CG19" s="118">
        <f t="shared" si="66"/>
        <v>0</v>
      </c>
      <c r="CH19" s="118">
        <f t="shared" si="67"/>
        <v>0</v>
      </c>
      <c r="CI19" s="118">
        <f t="shared" si="68"/>
        <v>0</v>
      </c>
      <c r="CJ19" s="118">
        <f t="shared" si="69"/>
        <v>0</v>
      </c>
      <c r="CK19" s="118">
        <f t="shared" si="70"/>
        <v>0</v>
      </c>
      <c r="CL19" s="118">
        <f t="shared" si="71"/>
        <v>0</v>
      </c>
      <c r="CM19" s="118">
        <f t="shared" si="72"/>
        <v>0</v>
      </c>
      <c r="CN19" s="118">
        <f t="shared" si="73"/>
        <v>0</v>
      </c>
      <c r="CO19" s="41">
        <f t="shared" si="129"/>
        <v>0</v>
      </c>
      <c r="CP19" s="12"/>
      <c r="CQ19" s="118">
        <f t="shared" si="74"/>
        <v>0</v>
      </c>
      <c r="CR19" s="118">
        <f t="shared" si="75"/>
        <v>0</v>
      </c>
      <c r="CS19" s="118">
        <f t="shared" si="76"/>
        <v>0</v>
      </c>
      <c r="CT19" s="118">
        <f t="shared" si="77"/>
        <v>0</v>
      </c>
      <c r="CU19" s="118">
        <f t="shared" si="78"/>
        <v>0</v>
      </c>
      <c r="CV19" s="118">
        <f t="shared" si="79"/>
        <v>0</v>
      </c>
      <c r="CW19" s="118">
        <f t="shared" si="80"/>
        <v>0</v>
      </c>
      <c r="CX19" s="118">
        <f t="shared" si="81"/>
        <v>0</v>
      </c>
      <c r="CY19" s="118">
        <f t="shared" si="82"/>
        <v>0</v>
      </c>
      <c r="CZ19" s="118">
        <f t="shared" si="83"/>
        <v>0</v>
      </c>
      <c r="DA19" s="118">
        <f t="shared" si="84"/>
        <v>0</v>
      </c>
      <c r="DB19" s="118">
        <f t="shared" si="85"/>
        <v>0</v>
      </c>
      <c r="DC19" s="41">
        <f t="shared" si="130"/>
        <v>0</v>
      </c>
      <c r="DD19" s="12"/>
      <c r="DE19" s="118">
        <f t="shared" si="86"/>
        <v>0</v>
      </c>
      <c r="DF19" s="118">
        <f t="shared" si="87"/>
        <v>0</v>
      </c>
      <c r="DG19" s="118">
        <f t="shared" si="88"/>
        <v>0</v>
      </c>
      <c r="DH19" s="118">
        <f t="shared" si="89"/>
        <v>0</v>
      </c>
      <c r="DI19" s="118">
        <f t="shared" si="90"/>
        <v>0</v>
      </c>
      <c r="DJ19" s="118">
        <f t="shared" si="91"/>
        <v>0</v>
      </c>
      <c r="DK19" s="118">
        <f t="shared" si="92"/>
        <v>0</v>
      </c>
      <c r="DL19" s="118">
        <f t="shared" si="93"/>
        <v>0</v>
      </c>
      <c r="DM19" s="118">
        <f t="shared" si="94"/>
        <v>0</v>
      </c>
      <c r="DN19" s="118">
        <f t="shared" si="95"/>
        <v>0</v>
      </c>
      <c r="DO19" s="118">
        <f t="shared" si="96"/>
        <v>0</v>
      </c>
      <c r="DP19" s="118">
        <f t="shared" si="97"/>
        <v>0</v>
      </c>
      <c r="DQ19" s="41">
        <f t="shared" si="131"/>
        <v>0</v>
      </c>
      <c r="DR19" s="12"/>
      <c r="DS19" s="118">
        <f t="shared" si="98"/>
        <v>0</v>
      </c>
      <c r="DT19" s="118">
        <f t="shared" si="99"/>
        <v>0</v>
      </c>
      <c r="DU19" s="118">
        <f t="shared" si="100"/>
        <v>0</v>
      </c>
      <c r="DV19" s="118">
        <f t="shared" si="101"/>
        <v>0</v>
      </c>
      <c r="DW19" s="118">
        <f t="shared" si="102"/>
        <v>0</v>
      </c>
      <c r="DX19" s="118">
        <f t="shared" si="103"/>
        <v>0</v>
      </c>
      <c r="DY19" s="118">
        <f t="shared" si="104"/>
        <v>0</v>
      </c>
      <c r="DZ19" s="118">
        <f t="shared" si="105"/>
        <v>0</v>
      </c>
      <c r="EA19" s="118">
        <f t="shared" si="106"/>
        <v>0</v>
      </c>
      <c r="EB19" s="118">
        <f t="shared" si="107"/>
        <v>0</v>
      </c>
      <c r="EC19" s="118">
        <f t="shared" si="108"/>
        <v>0</v>
      </c>
      <c r="ED19" s="118">
        <f t="shared" si="109"/>
        <v>0</v>
      </c>
      <c r="EE19" s="41">
        <f t="shared" si="132"/>
        <v>0</v>
      </c>
      <c r="EF19" s="12"/>
      <c r="EG19" s="118">
        <f t="shared" si="110"/>
        <v>0</v>
      </c>
      <c r="EH19" s="118">
        <f t="shared" si="111"/>
        <v>0</v>
      </c>
      <c r="EI19" s="118">
        <f t="shared" si="112"/>
        <v>0</v>
      </c>
      <c r="EJ19" s="118">
        <f t="shared" si="113"/>
        <v>0</v>
      </c>
      <c r="EK19" s="118">
        <f t="shared" si="114"/>
        <v>0</v>
      </c>
      <c r="EL19" s="118">
        <f t="shared" si="115"/>
        <v>0</v>
      </c>
      <c r="EM19" s="118">
        <f t="shared" si="116"/>
        <v>0</v>
      </c>
      <c r="EN19" s="118">
        <f t="shared" si="117"/>
        <v>0</v>
      </c>
      <c r="EO19" s="118">
        <f t="shared" si="118"/>
        <v>0</v>
      </c>
      <c r="EP19" s="118">
        <f t="shared" si="119"/>
        <v>0</v>
      </c>
      <c r="EQ19" s="118">
        <f t="shared" si="120"/>
        <v>0</v>
      </c>
      <c r="ER19" s="118">
        <f t="shared" si="121"/>
        <v>0</v>
      </c>
      <c r="ES19" s="41">
        <f t="shared" si="133"/>
        <v>0</v>
      </c>
    </row>
    <row r="20" spans="1:149" ht="10.199999999999999" x14ac:dyDescent="0.2">
      <c r="A20" s="122">
        <v>1</v>
      </c>
      <c r="C20" s="123"/>
      <c r="D20" s="117" t="str">
        <f>IF(ISERROR(VLOOKUP('Оценка трудоемкости'!$C20,Справочники!S:V,3,0))=TRUE,"",VLOOKUP('Оценка трудоемкости'!$C20,Справочники!S:V,3,0))</f>
        <v/>
      </c>
      <c r="E20" s="117">
        <f>IF(ISERROR(VLOOKUP('Оценка трудоемкости'!$C20,Справочники!S:V,4,0))=TRUE,0,VLOOKUP('Оценка трудоемкости'!$C20,Справочники!S:V,4,0))</f>
        <v>0</v>
      </c>
      <c r="F20" s="125"/>
      <c r="G20" s="116">
        <f t="shared" si="122"/>
        <v>0</v>
      </c>
      <c r="H20" s="12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16">
        <f t="shared" si="123"/>
        <v>0</v>
      </c>
      <c r="V20" s="12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16">
        <f t="shared" si="124"/>
        <v>0</v>
      </c>
      <c r="AJ20" s="12"/>
      <c r="AK20" s="124"/>
      <c r="AL20" s="124"/>
      <c r="AM20" s="124"/>
      <c r="AN20" s="124"/>
      <c r="AO20" s="124"/>
      <c r="AP20" s="124"/>
      <c r="AQ20" s="124"/>
      <c r="AR20" s="124"/>
      <c r="AS20" s="124"/>
      <c r="AT20" s="124"/>
      <c r="AU20" s="124"/>
      <c r="AV20" s="124"/>
      <c r="AW20" s="116">
        <f t="shared" si="125"/>
        <v>0</v>
      </c>
      <c r="AX20" s="12"/>
      <c r="AY20" s="124"/>
      <c r="AZ20" s="124"/>
      <c r="BA20" s="124"/>
      <c r="BB20" s="124"/>
      <c r="BC20" s="124"/>
      <c r="BD20" s="124"/>
      <c r="BE20" s="124"/>
      <c r="BF20" s="124"/>
      <c r="BG20" s="124"/>
      <c r="BH20" s="124"/>
      <c r="BI20" s="124"/>
      <c r="BJ20" s="124"/>
      <c r="BK20" s="116">
        <f t="shared" si="126"/>
        <v>0</v>
      </c>
      <c r="BL20" s="12"/>
      <c r="BM20" s="124"/>
      <c r="BN20" s="124"/>
      <c r="BO20" s="124"/>
      <c r="BP20" s="124"/>
      <c r="BQ20" s="124"/>
      <c r="BR20" s="124"/>
      <c r="BS20" s="124"/>
      <c r="BT20" s="124"/>
      <c r="BU20" s="124"/>
      <c r="BV20" s="124"/>
      <c r="BW20" s="124"/>
      <c r="BX20" s="124"/>
      <c r="BY20" s="116">
        <f t="shared" si="127"/>
        <v>0</v>
      </c>
      <c r="BZ20" s="12"/>
      <c r="CA20" s="200">
        <f t="shared" si="128"/>
        <v>0</v>
      </c>
      <c r="CB20" s="12"/>
      <c r="CC20" s="118">
        <f t="shared" si="62"/>
        <v>0</v>
      </c>
      <c r="CD20" s="118">
        <f t="shared" si="63"/>
        <v>0</v>
      </c>
      <c r="CE20" s="118">
        <f t="shared" si="64"/>
        <v>0</v>
      </c>
      <c r="CF20" s="118">
        <f t="shared" si="65"/>
        <v>0</v>
      </c>
      <c r="CG20" s="118">
        <f t="shared" si="66"/>
        <v>0</v>
      </c>
      <c r="CH20" s="118">
        <f t="shared" si="67"/>
        <v>0</v>
      </c>
      <c r="CI20" s="118">
        <f t="shared" si="68"/>
        <v>0</v>
      </c>
      <c r="CJ20" s="118">
        <f t="shared" si="69"/>
        <v>0</v>
      </c>
      <c r="CK20" s="118">
        <f t="shared" si="70"/>
        <v>0</v>
      </c>
      <c r="CL20" s="118">
        <f t="shared" si="71"/>
        <v>0</v>
      </c>
      <c r="CM20" s="118">
        <f t="shared" si="72"/>
        <v>0</v>
      </c>
      <c r="CN20" s="118">
        <f t="shared" si="73"/>
        <v>0</v>
      </c>
      <c r="CO20" s="41">
        <f t="shared" si="129"/>
        <v>0</v>
      </c>
      <c r="CP20" s="12"/>
      <c r="CQ20" s="118">
        <f t="shared" si="74"/>
        <v>0</v>
      </c>
      <c r="CR20" s="118">
        <f t="shared" si="75"/>
        <v>0</v>
      </c>
      <c r="CS20" s="118">
        <f t="shared" si="76"/>
        <v>0</v>
      </c>
      <c r="CT20" s="118">
        <f t="shared" si="77"/>
        <v>0</v>
      </c>
      <c r="CU20" s="118">
        <f t="shared" si="78"/>
        <v>0</v>
      </c>
      <c r="CV20" s="118">
        <f t="shared" si="79"/>
        <v>0</v>
      </c>
      <c r="CW20" s="118">
        <f t="shared" si="80"/>
        <v>0</v>
      </c>
      <c r="CX20" s="118">
        <f t="shared" si="81"/>
        <v>0</v>
      </c>
      <c r="CY20" s="118">
        <f t="shared" si="82"/>
        <v>0</v>
      </c>
      <c r="CZ20" s="118">
        <f t="shared" si="83"/>
        <v>0</v>
      </c>
      <c r="DA20" s="118">
        <f t="shared" si="84"/>
        <v>0</v>
      </c>
      <c r="DB20" s="118">
        <f t="shared" si="85"/>
        <v>0</v>
      </c>
      <c r="DC20" s="41">
        <f t="shared" si="130"/>
        <v>0</v>
      </c>
      <c r="DD20" s="12"/>
      <c r="DE20" s="118">
        <f t="shared" si="86"/>
        <v>0</v>
      </c>
      <c r="DF20" s="118">
        <f t="shared" si="87"/>
        <v>0</v>
      </c>
      <c r="DG20" s="118">
        <f t="shared" si="88"/>
        <v>0</v>
      </c>
      <c r="DH20" s="118">
        <f t="shared" si="89"/>
        <v>0</v>
      </c>
      <c r="DI20" s="118">
        <f t="shared" si="90"/>
        <v>0</v>
      </c>
      <c r="DJ20" s="118">
        <f t="shared" si="91"/>
        <v>0</v>
      </c>
      <c r="DK20" s="118">
        <f t="shared" si="92"/>
        <v>0</v>
      </c>
      <c r="DL20" s="118">
        <f t="shared" si="93"/>
        <v>0</v>
      </c>
      <c r="DM20" s="118">
        <f t="shared" si="94"/>
        <v>0</v>
      </c>
      <c r="DN20" s="118">
        <f t="shared" si="95"/>
        <v>0</v>
      </c>
      <c r="DO20" s="118">
        <f t="shared" si="96"/>
        <v>0</v>
      </c>
      <c r="DP20" s="118">
        <f t="shared" si="97"/>
        <v>0</v>
      </c>
      <c r="DQ20" s="41">
        <f t="shared" si="131"/>
        <v>0</v>
      </c>
      <c r="DR20" s="12"/>
      <c r="DS20" s="118">
        <f t="shared" si="98"/>
        <v>0</v>
      </c>
      <c r="DT20" s="118">
        <f t="shared" si="99"/>
        <v>0</v>
      </c>
      <c r="DU20" s="118">
        <f t="shared" si="100"/>
        <v>0</v>
      </c>
      <c r="DV20" s="118">
        <f t="shared" si="101"/>
        <v>0</v>
      </c>
      <c r="DW20" s="118">
        <f t="shared" si="102"/>
        <v>0</v>
      </c>
      <c r="DX20" s="118">
        <f t="shared" si="103"/>
        <v>0</v>
      </c>
      <c r="DY20" s="118">
        <f t="shared" si="104"/>
        <v>0</v>
      </c>
      <c r="DZ20" s="118">
        <f t="shared" si="105"/>
        <v>0</v>
      </c>
      <c r="EA20" s="118">
        <f t="shared" si="106"/>
        <v>0</v>
      </c>
      <c r="EB20" s="118">
        <f t="shared" si="107"/>
        <v>0</v>
      </c>
      <c r="EC20" s="118">
        <f t="shared" si="108"/>
        <v>0</v>
      </c>
      <c r="ED20" s="118">
        <f t="shared" si="109"/>
        <v>0</v>
      </c>
      <c r="EE20" s="41">
        <f t="shared" si="132"/>
        <v>0</v>
      </c>
      <c r="EF20" s="12"/>
      <c r="EG20" s="118">
        <f t="shared" si="110"/>
        <v>0</v>
      </c>
      <c r="EH20" s="118">
        <f t="shared" si="111"/>
        <v>0</v>
      </c>
      <c r="EI20" s="118">
        <f t="shared" si="112"/>
        <v>0</v>
      </c>
      <c r="EJ20" s="118">
        <f t="shared" si="113"/>
        <v>0</v>
      </c>
      <c r="EK20" s="118">
        <f t="shared" si="114"/>
        <v>0</v>
      </c>
      <c r="EL20" s="118">
        <f t="shared" si="115"/>
        <v>0</v>
      </c>
      <c r="EM20" s="118">
        <f t="shared" si="116"/>
        <v>0</v>
      </c>
      <c r="EN20" s="118">
        <f t="shared" si="117"/>
        <v>0</v>
      </c>
      <c r="EO20" s="118">
        <f t="shared" si="118"/>
        <v>0</v>
      </c>
      <c r="EP20" s="118">
        <f t="shared" si="119"/>
        <v>0</v>
      </c>
      <c r="EQ20" s="118">
        <f t="shared" si="120"/>
        <v>0</v>
      </c>
      <c r="ER20" s="118">
        <f t="shared" si="121"/>
        <v>0</v>
      </c>
      <c r="ES20" s="41">
        <f t="shared" si="133"/>
        <v>0</v>
      </c>
    </row>
    <row r="21" spans="1:149" ht="10.199999999999999" x14ac:dyDescent="0.2">
      <c r="A21" s="122">
        <v>1</v>
      </c>
      <c r="C21" s="123"/>
      <c r="D21" s="117" t="str">
        <f>IF(ISERROR(VLOOKUP('Оценка трудоемкости'!$C21,Справочники!S:V,3,0))=TRUE,"",VLOOKUP('Оценка трудоемкости'!$C21,Справочники!S:V,3,0))</f>
        <v/>
      </c>
      <c r="E21" s="117">
        <f>IF(ISERROR(VLOOKUP('Оценка трудоемкости'!$C21,Справочники!S:V,4,0))=TRUE,0,VLOOKUP('Оценка трудоемкости'!$C21,Справочники!S:V,4,0))</f>
        <v>0</v>
      </c>
      <c r="F21" s="125"/>
      <c r="G21" s="116">
        <f t="shared" si="122"/>
        <v>0</v>
      </c>
      <c r="H21" s="12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16">
        <f t="shared" si="123"/>
        <v>0</v>
      </c>
      <c r="V21" s="12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16">
        <f t="shared" si="124"/>
        <v>0</v>
      </c>
      <c r="AJ21" s="12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16">
        <f t="shared" si="125"/>
        <v>0</v>
      </c>
      <c r="AX21" s="12"/>
      <c r="AY21" s="124"/>
      <c r="AZ21" s="124"/>
      <c r="BA21" s="124"/>
      <c r="BB21" s="124"/>
      <c r="BC21" s="124"/>
      <c r="BD21" s="124"/>
      <c r="BE21" s="124"/>
      <c r="BF21" s="124"/>
      <c r="BG21" s="124"/>
      <c r="BH21" s="124"/>
      <c r="BI21" s="124"/>
      <c r="BJ21" s="124"/>
      <c r="BK21" s="116">
        <f t="shared" si="126"/>
        <v>0</v>
      </c>
      <c r="BL21" s="12"/>
      <c r="BM21" s="124"/>
      <c r="BN21" s="124"/>
      <c r="BO21" s="124"/>
      <c r="BP21" s="124"/>
      <c r="BQ21" s="124"/>
      <c r="BR21" s="124"/>
      <c r="BS21" s="124"/>
      <c r="BT21" s="124"/>
      <c r="BU21" s="124"/>
      <c r="BV21" s="124"/>
      <c r="BW21" s="124"/>
      <c r="BX21" s="124"/>
      <c r="BY21" s="116">
        <f t="shared" si="127"/>
        <v>0</v>
      </c>
      <c r="BZ21" s="12"/>
      <c r="CA21" s="200">
        <f t="shared" si="128"/>
        <v>0</v>
      </c>
      <c r="CB21" s="12"/>
      <c r="CC21" s="118">
        <f t="shared" si="62"/>
        <v>0</v>
      </c>
      <c r="CD21" s="118">
        <f t="shared" si="63"/>
        <v>0</v>
      </c>
      <c r="CE21" s="118">
        <f t="shared" si="64"/>
        <v>0</v>
      </c>
      <c r="CF21" s="118">
        <f t="shared" si="65"/>
        <v>0</v>
      </c>
      <c r="CG21" s="118">
        <f t="shared" si="66"/>
        <v>0</v>
      </c>
      <c r="CH21" s="118">
        <f t="shared" si="67"/>
        <v>0</v>
      </c>
      <c r="CI21" s="118">
        <f t="shared" si="68"/>
        <v>0</v>
      </c>
      <c r="CJ21" s="118">
        <f t="shared" si="69"/>
        <v>0</v>
      </c>
      <c r="CK21" s="118">
        <f t="shared" si="70"/>
        <v>0</v>
      </c>
      <c r="CL21" s="118">
        <f t="shared" si="71"/>
        <v>0</v>
      </c>
      <c r="CM21" s="118">
        <f t="shared" si="72"/>
        <v>0</v>
      </c>
      <c r="CN21" s="118">
        <f t="shared" si="73"/>
        <v>0</v>
      </c>
      <c r="CO21" s="41">
        <f t="shared" si="129"/>
        <v>0</v>
      </c>
      <c r="CP21" s="12"/>
      <c r="CQ21" s="118">
        <f t="shared" si="74"/>
        <v>0</v>
      </c>
      <c r="CR21" s="118">
        <f t="shared" si="75"/>
        <v>0</v>
      </c>
      <c r="CS21" s="118">
        <f t="shared" si="76"/>
        <v>0</v>
      </c>
      <c r="CT21" s="118">
        <f t="shared" si="77"/>
        <v>0</v>
      </c>
      <c r="CU21" s="118">
        <f t="shared" si="78"/>
        <v>0</v>
      </c>
      <c r="CV21" s="118">
        <f t="shared" si="79"/>
        <v>0</v>
      </c>
      <c r="CW21" s="118">
        <f t="shared" si="80"/>
        <v>0</v>
      </c>
      <c r="CX21" s="118">
        <f t="shared" si="81"/>
        <v>0</v>
      </c>
      <c r="CY21" s="118">
        <f t="shared" si="82"/>
        <v>0</v>
      </c>
      <c r="CZ21" s="118">
        <f t="shared" si="83"/>
        <v>0</v>
      </c>
      <c r="DA21" s="118">
        <f t="shared" si="84"/>
        <v>0</v>
      </c>
      <c r="DB21" s="118">
        <f t="shared" si="85"/>
        <v>0</v>
      </c>
      <c r="DC21" s="41">
        <f t="shared" si="130"/>
        <v>0</v>
      </c>
      <c r="DD21" s="12"/>
      <c r="DE21" s="118">
        <f t="shared" si="86"/>
        <v>0</v>
      </c>
      <c r="DF21" s="118">
        <f t="shared" si="87"/>
        <v>0</v>
      </c>
      <c r="DG21" s="118">
        <f t="shared" si="88"/>
        <v>0</v>
      </c>
      <c r="DH21" s="118">
        <f t="shared" si="89"/>
        <v>0</v>
      </c>
      <c r="DI21" s="118">
        <f t="shared" si="90"/>
        <v>0</v>
      </c>
      <c r="DJ21" s="118">
        <f t="shared" si="91"/>
        <v>0</v>
      </c>
      <c r="DK21" s="118">
        <f t="shared" si="92"/>
        <v>0</v>
      </c>
      <c r="DL21" s="118">
        <f t="shared" si="93"/>
        <v>0</v>
      </c>
      <c r="DM21" s="118">
        <f t="shared" si="94"/>
        <v>0</v>
      </c>
      <c r="DN21" s="118">
        <f t="shared" si="95"/>
        <v>0</v>
      </c>
      <c r="DO21" s="118">
        <f t="shared" si="96"/>
        <v>0</v>
      </c>
      <c r="DP21" s="118">
        <f t="shared" si="97"/>
        <v>0</v>
      </c>
      <c r="DQ21" s="41">
        <f t="shared" si="131"/>
        <v>0</v>
      </c>
      <c r="DR21" s="12"/>
      <c r="DS21" s="118">
        <f t="shared" si="98"/>
        <v>0</v>
      </c>
      <c r="DT21" s="118">
        <f t="shared" si="99"/>
        <v>0</v>
      </c>
      <c r="DU21" s="118">
        <f t="shared" si="100"/>
        <v>0</v>
      </c>
      <c r="DV21" s="118">
        <f t="shared" si="101"/>
        <v>0</v>
      </c>
      <c r="DW21" s="118">
        <f t="shared" si="102"/>
        <v>0</v>
      </c>
      <c r="DX21" s="118">
        <f t="shared" si="103"/>
        <v>0</v>
      </c>
      <c r="DY21" s="118">
        <f t="shared" si="104"/>
        <v>0</v>
      </c>
      <c r="DZ21" s="118">
        <f t="shared" si="105"/>
        <v>0</v>
      </c>
      <c r="EA21" s="118">
        <f t="shared" si="106"/>
        <v>0</v>
      </c>
      <c r="EB21" s="118">
        <f t="shared" si="107"/>
        <v>0</v>
      </c>
      <c r="EC21" s="118">
        <f t="shared" si="108"/>
        <v>0</v>
      </c>
      <c r="ED21" s="118">
        <f t="shared" si="109"/>
        <v>0</v>
      </c>
      <c r="EE21" s="41">
        <f t="shared" si="132"/>
        <v>0</v>
      </c>
      <c r="EF21" s="12"/>
      <c r="EG21" s="118">
        <f t="shared" si="110"/>
        <v>0</v>
      </c>
      <c r="EH21" s="118">
        <f t="shared" si="111"/>
        <v>0</v>
      </c>
      <c r="EI21" s="118">
        <f t="shared" si="112"/>
        <v>0</v>
      </c>
      <c r="EJ21" s="118">
        <f t="shared" si="113"/>
        <v>0</v>
      </c>
      <c r="EK21" s="118">
        <f t="shared" si="114"/>
        <v>0</v>
      </c>
      <c r="EL21" s="118">
        <f t="shared" si="115"/>
        <v>0</v>
      </c>
      <c r="EM21" s="118">
        <f t="shared" si="116"/>
        <v>0</v>
      </c>
      <c r="EN21" s="118">
        <f t="shared" si="117"/>
        <v>0</v>
      </c>
      <c r="EO21" s="118">
        <f t="shared" si="118"/>
        <v>0</v>
      </c>
      <c r="EP21" s="118">
        <f t="shared" si="119"/>
        <v>0</v>
      </c>
      <c r="EQ21" s="118">
        <f t="shared" si="120"/>
        <v>0</v>
      </c>
      <c r="ER21" s="118">
        <f t="shared" si="121"/>
        <v>0</v>
      </c>
      <c r="ES21" s="41">
        <f t="shared" si="133"/>
        <v>0</v>
      </c>
    </row>
    <row r="22" spans="1:149" ht="10.199999999999999" x14ac:dyDescent="0.2">
      <c r="A22" s="122">
        <v>1</v>
      </c>
      <c r="C22" s="123"/>
      <c r="D22" s="117" t="str">
        <f>IF(ISERROR(VLOOKUP('Оценка трудоемкости'!$C22,Справочники!S:V,3,0))=TRUE,"",VLOOKUP('Оценка трудоемкости'!$C22,Справочники!S:V,3,0))</f>
        <v/>
      </c>
      <c r="E22" s="117">
        <f>IF(ISERROR(VLOOKUP('Оценка трудоемкости'!$C22,Справочники!S:V,4,0))=TRUE,0,VLOOKUP('Оценка трудоемкости'!$C22,Справочники!S:V,4,0))</f>
        <v>0</v>
      </c>
      <c r="F22" s="125"/>
      <c r="G22" s="116">
        <f t="shared" si="122"/>
        <v>0</v>
      </c>
      <c r="H22" s="12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16">
        <f t="shared" si="123"/>
        <v>0</v>
      </c>
      <c r="V22" s="12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16">
        <f t="shared" si="124"/>
        <v>0</v>
      </c>
      <c r="AJ22" s="12"/>
      <c r="AK22" s="124"/>
      <c r="AL22" s="124"/>
      <c r="AM22" s="124"/>
      <c r="AN22" s="124"/>
      <c r="AO22" s="124"/>
      <c r="AP22" s="124"/>
      <c r="AQ22" s="124"/>
      <c r="AR22" s="124"/>
      <c r="AS22" s="124"/>
      <c r="AT22" s="124"/>
      <c r="AU22" s="124"/>
      <c r="AV22" s="124"/>
      <c r="AW22" s="116">
        <f t="shared" si="125"/>
        <v>0</v>
      </c>
      <c r="AX22" s="12"/>
      <c r="AY22" s="124"/>
      <c r="AZ22" s="124"/>
      <c r="BA22" s="124"/>
      <c r="BB22" s="124"/>
      <c r="BC22" s="124"/>
      <c r="BD22" s="124"/>
      <c r="BE22" s="124"/>
      <c r="BF22" s="124"/>
      <c r="BG22" s="124"/>
      <c r="BH22" s="124"/>
      <c r="BI22" s="124"/>
      <c r="BJ22" s="124"/>
      <c r="BK22" s="116">
        <f t="shared" si="126"/>
        <v>0</v>
      </c>
      <c r="BL22" s="12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BX22" s="124"/>
      <c r="BY22" s="116">
        <f t="shared" si="127"/>
        <v>0</v>
      </c>
      <c r="BZ22" s="12"/>
      <c r="CA22" s="200">
        <f t="shared" si="128"/>
        <v>0</v>
      </c>
      <c r="CB22" s="12"/>
      <c r="CC22" s="118">
        <f t="shared" si="62"/>
        <v>0</v>
      </c>
      <c r="CD22" s="118">
        <f t="shared" si="63"/>
        <v>0</v>
      </c>
      <c r="CE22" s="118">
        <f t="shared" si="64"/>
        <v>0</v>
      </c>
      <c r="CF22" s="118">
        <f t="shared" si="65"/>
        <v>0</v>
      </c>
      <c r="CG22" s="118">
        <f t="shared" si="66"/>
        <v>0</v>
      </c>
      <c r="CH22" s="118">
        <f t="shared" si="67"/>
        <v>0</v>
      </c>
      <c r="CI22" s="118">
        <f t="shared" si="68"/>
        <v>0</v>
      </c>
      <c r="CJ22" s="118">
        <f t="shared" si="69"/>
        <v>0</v>
      </c>
      <c r="CK22" s="118">
        <f t="shared" si="70"/>
        <v>0</v>
      </c>
      <c r="CL22" s="118">
        <f t="shared" si="71"/>
        <v>0</v>
      </c>
      <c r="CM22" s="118">
        <f t="shared" si="72"/>
        <v>0</v>
      </c>
      <c r="CN22" s="118">
        <f t="shared" si="73"/>
        <v>0</v>
      </c>
      <c r="CO22" s="41">
        <f t="shared" si="129"/>
        <v>0</v>
      </c>
      <c r="CP22" s="12"/>
      <c r="CQ22" s="118">
        <f t="shared" si="74"/>
        <v>0</v>
      </c>
      <c r="CR22" s="118">
        <f t="shared" si="75"/>
        <v>0</v>
      </c>
      <c r="CS22" s="118">
        <f t="shared" si="76"/>
        <v>0</v>
      </c>
      <c r="CT22" s="118">
        <f t="shared" si="77"/>
        <v>0</v>
      </c>
      <c r="CU22" s="118">
        <f t="shared" si="78"/>
        <v>0</v>
      </c>
      <c r="CV22" s="118">
        <f t="shared" si="79"/>
        <v>0</v>
      </c>
      <c r="CW22" s="118">
        <f t="shared" si="80"/>
        <v>0</v>
      </c>
      <c r="CX22" s="118">
        <f t="shared" si="81"/>
        <v>0</v>
      </c>
      <c r="CY22" s="118">
        <f t="shared" si="82"/>
        <v>0</v>
      </c>
      <c r="CZ22" s="118">
        <f t="shared" si="83"/>
        <v>0</v>
      </c>
      <c r="DA22" s="118">
        <f t="shared" si="84"/>
        <v>0</v>
      </c>
      <c r="DB22" s="118">
        <f t="shared" si="85"/>
        <v>0</v>
      </c>
      <c r="DC22" s="41">
        <f t="shared" si="130"/>
        <v>0</v>
      </c>
      <c r="DD22" s="12"/>
      <c r="DE22" s="118">
        <f t="shared" si="86"/>
        <v>0</v>
      </c>
      <c r="DF22" s="118">
        <f t="shared" si="87"/>
        <v>0</v>
      </c>
      <c r="DG22" s="118">
        <f t="shared" si="88"/>
        <v>0</v>
      </c>
      <c r="DH22" s="118">
        <f t="shared" si="89"/>
        <v>0</v>
      </c>
      <c r="DI22" s="118">
        <f t="shared" si="90"/>
        <v>0</v>
      </c>
      <c r="DJ22" s="118">
        <f t="shared" si="91"/>
        <v>0</v>
      </c>
      <c r="DK22" s="118">
        <f t="shared" si="92"/>
        <v>0</v>
      </c>
      <c r="DL22" s="118">
        <f t="shared" si="93"/>
        <v>0</v>
      </c>
      <c r="DM22" s="118">
        <f t="shared" si="94"/>
        <v>0</v>
      </c>
      <c r="DN22" s="118">
        <f t="shared" si="95"/>
        <v>0</v>
      </c>
      <c r="DO22" s="118">
        <f t="shared" si="96"/>
        <v>0</v>
      </c>
      <c r="DP22" s="118">
        <f t="shared" si="97"/>
        <v>0</v>
      </c>
      <c r="DQ22" s="41">
        <f t="shared" si="131"/>
        <v>0</v>
      </c>
      <c r="DR22" s="12"/>
      <c r="DS22" s="118">
        <f t="shared" si="98"/>
        <v>0</v>
      </c>
      <c r="DT22" s="118">
        <f t="shared" si="99"/>
        <v>0</v>
      </c>
      <c r="DU22" s="118">
        <f t="shared" si="100"/>
        <v>0</v>
      </c>
      <c r="DV22" s="118">
        <f t="shared" si="101"/>
        <v>0</v>
      </c>
      <c r="DW22" s="118">
        <f t="shared" si="102"/>
        <v>0</v>
      </c>
      <c r="DX22" s="118">
        <f t="shared" si="103"/>
        <v>0</v>
      </c>
      <c r="DY22" s="118">
        <f t="shared" si="104"/>
        <v>0</v>
      </c>
      <c r="DZ22" s="118">
        <f t="shared" si="105"/>
        <v>0</v>
      </c>
      <c r="EA22" s="118">
        <f t="shared" si="106"/>
        <v>0</v>
      </c>
      <c r="EB22" s="118">
        <f t="shared" si="107"/>
        <v>0</v>
      </c>
      <c r="EC22" s="118">
        <f t="shared" si="108"/>
        <v>0</v>
      </c>
      <c r="ED22" s="118">
        <f t="shared" si="109"/>
        <v>0</v>
      </c>
      <c r="EE22" s="41">
        <f t="shared" si="132"/>
        <v>0</v>
      </c>
      <c r="EF22" s="12"/>
      <c r="EG22" s="118">
        <f t="shared" si="110"/>
        <v>0</v>
      </c>
      <c r="EH22" s="118">
        <f t="shared" si="111"/>
        <v>0</v>
      </c>
      <c r="EI22" s="118">
        <f t="shared" si="112"/>
        <v>0</v>
      </c>
      <c r="EJ22" s="118">
        <f t="shared" si="113"/>
        <v>0</v>
      </c>
      <c r="EK22" s="118">
        <f t="shared" si="114"/>
        <v>0</v>
      </c>
      <c r="EL22" s="118">
        <f t="shared" si="115"/>
        <v>0</v>
      </c>
      <c r="EM22" s="118">
        <f t="shared" si="116"/>
        <v>0</v>
      </c>
      <c r="EN22" s="118">
        <f t="shared" si="117"/>
        <v>0</v>
      </c>
      <c r="EO22" s="118">
        <f t="shared" si="118"/>
        <v>0</v>
      </c>
      <c r="EP22" s="118">
        <f t="shared" si="119"/>
        <v>0</v>
      </c>
      <c r="EQ22" s="118">
        <f t="shared" si="120"/>
        <v>0</v>
      </c>
      <c r="ER22" s="118">
        <f t="shared" si="121"/>
        <v>0</v>
      </c>
      <c r="ES22" s="41">
        <f t="shared" si="133"/>
        <v>0</v>
      </c>
    </row>
    <row r="23" spans="1:149" ht="10.199999999999999" x14ac:dyDescent="0.2">
      <c r="A23" s="122">
        <v>1</v>
      </c>
      <c r="C23" s="123"/>
      <c r="D23" s="117" t="str">
        <f>IF(ISERROR(VLOOKUP('Оценка трудоемкости'!$C23,Справочники!S:V,3,0))=TRUE,"",VLOOKUP('Оценка трудоемкости'!$C23,Справочники!S:V,3,0))</f>
        <v/>
      </c>
      <c r="E23" s="117">
        <f>IF(ISERROR(VLOOKUP('Оценка трудоемкости'!$C23,Справочники!S:V,4,0))=TRUE,0,VLOOKUP('Оценка трудоемкости'!$C23,Справочники!S:V,4,0))</f>
        <v>0</v>
      </c>
      <c r="F23" s="125"/>
      <c r="G23" s="116">
        <f t="shared" si="122"/>
        <v>0</v>
      </c>
      <c r="H23" s="12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16">
        <f t="shared" si="123"/>
        <v>0</v>
      </c>
      <c r="V23" s="12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16">
        <f t="shared" si="124"/>
        <v>0</v>
      </c>
      <c r="AJ23" s="12"/>
      <c r="AK23" s="124"/>
      <c r="AL23" s="124"/>
      <c r="AM23" s="124"/>
      <c r="AN23" s="124"/>
      <c r="AO23" s="124"/>
      <c r="AP23" s="124"/>
      <c r="AQ23" s="124"/>
      <c r="AR23" s="124"/>
      <c r="AS23" s="124"/>
      <c r="AT23" s="124"/>
      <c r="AU23" s="124"/>
      <c r="AV23" s="124"/>
      <c r="AW23" s="116">
        <f t="shared" si="125"/>
        <v>0</v>
      </c>
      <c r="AX23" s="12"/>
      <c r="AY23" s="124"/>
      <c r="AZ23" s="124"/>
      <c r="BA23" s="124"/>
      <c r="BB23" s="124"/>
      <c r="BC23" s="124"/>
      <c r="BD23" s="124"/>
      <c r="BE23" s="124"/>
      <c r="BF23" s="124"/>
      <c r="BG23" s="124"/>
      <c r="BH23" s="124"/>
      <c r="BI23" s="124"/>
      <c r="BJ23" s="124"/>
      <c r="BK23" s="116">
        <f t="shared" si="126"/>
        <v>0</v>
      </c>
      <c r="BL23" s="12"/>
      <c r="BM23" s="124"/>
      <c r="BN23" s="124"/>
      <c r="BO23" s="124"/>
      <c r="BP23" s="124"/>
      <c r="BQ23" s="124"/>
      <c r="BR23" s="124"/>
      <c r="BS23" s="124"/>
      <c r="BT23" s="124"/>
      <c r="BU23" s="124"/>
      <c r="BV23" s="124"/>
      <c r="BW23" s="124"/>
      <c r="BX23" s="124"/>
      <c r="BY23" s="116">
        <f t="shared" si="127"/>
        <v>0</v>
      </c>
      <c r="BZ23" s="12"/>
      <c r="CA23" s="200">
        <f t="shared" si="128"/>
        <v>0</v>
      </c>
      <c r="CB23" s="12"/>
      <c r="CC23" s="118">
        <f t="shared" si="62"/>
        <v>0</v>
      </c>
      <c r="CD23" s="118">
        <f t="shared" si="63"/>
        <v>0</v>
      </c>
      <c r="CE23" s="118">
        <f t="shared" si="64"/>
        <v>0</v>
      </c>
      <c r="CF23" s="118">
        <f t="shared" si="65"/>
        <v>0</v>
      </c>
      <c r="CG23" s="118">
        <f t="shared" si="66"/>
        <v>0</v>
      </c>
      <c r="CH23" s="118">
        <f t="shared" si="67"/>
        <v>0</v>
      </c>
      <c r="CI23" s="118">
        <f t="shared" si="68"/>
        <v>0</v>
      </c>
      <c r="CJ23" s="118">
        <f t="shared" si="69"/>
        <v>0</v>
      </c>
      <c r="CK23" s="118">
        <f t="shared" si="70"/>
        <v>0</v>
      </c>
      <c r="CL23" s="118">
        <f t="shared" si="71"/>
        <v>0</v>
      </c>
      <c r="CM23" s="118">
        <f t="shared" si="72"/>
        <v>0</v>
      </c>
      <c r="CN23" s="118">
        <f t="shared" si="73"/>
        <v>0</v>
      </c>
      <c r="CO23" s="41">
        <f t="shared" si="129"/>
        <v>0</v>
      </c>
      <c r="CP23" s="12"/>
      <c r="CQ23" s="118">
        <f t="shared" si="74"/>
        <v>0</v>
      </c>
      <c r="CR23" s="118">
        <f t="shared" si="75"/>
        <v>0</v>
      </c>
      <c r="CS23" s="118">
        <f t="shared" si="76"/>
        <v>0</v>
      </c>
      <c r="CT23" s="118">
        <f t="shared" si="77"/>
        <v>0</v>
      </c>
      <c r="CU23" s="118">
        <f t="shared" si="78"/>
        <v>0</v>
      </c>
      <c r="CV23" s="118">
        <f t="shared" si="79"/>
        <v>0</v>
      </c>
      <c r="CW23" s="118">
        <f t="shared" si="80"/>
        <v>0</v>
      </c>
      <c r="CX23" s="118">
        <f t="shared" si="81"/>
        <v>0</v>
      </c>
      <c r="CY23" s="118">
        <f t="shared" si="82"/>
        <v>0</v>
      </c>
      <c r="CZ23" s="118">
        <f t="shared" si="83"/>
        <v>0</v>
      </c>
      <c r="DA23" s="118">
        <f t="shared" si="84"/>
        <v>0</v>
      </c>
      <c r="DB23" s="118">
        <f t="shared" si="85"/>
        <v>0</v>
      </c>
      <c r="DC23" s="41">
        <f t="shared" si="130"/>
        <v>0</v>
      </c>
      <c r="DD23" s="12"/>
      <c r="DE23" s="118">
        <f t="shared" si="86"/>
        <v>0</v>
      </c>
      <c r="DF23" s="118">
        <f t="shared" si="87"/>
        <v>0</v>
      </c>
      <c r="DG23" s="118">
        <f t="shared" si="88"/>
        <v>0</v>
      </c>
      <c r="DH23" s="118">
        <f t="shared" si="89"/>
        <v>0</v>
      </c>
      <c r="DI23" s="118">
        <f t="shared" si="90"/>
        <v>0</v>
      </c>
      <c r="DJ23" s="118">
        <f t="shared" si="91"/>
        <v>0</v>
      </c>
      <c r="DK23" s="118">
        <f t="shared" si="92"/>
        <v>0</v>
      </c>
      <c r="DL23" s="118">
        <f t="shared" si="93"/>
        <v>0</v>
      </c>
      <c r="DM23" s="118">
        <f t="shared" si="94"/>
        <v>0</v>
      </c>
      <c r="DN23" s="118">
        <f t="shared" si="95"/>
        <v>0</v>
      </c>
      <c r="DO23" s="118">
        <f t="shared" si="96"/>
        <v>0</v>
      </c>
      <c r="DP23" s="118">
        <f t="shared" si="97"/>
        <v>0</v>
      </c>
      <c r="DQ23" s="41">
        <f t="shared" si="131"/>
        <v>0</v>
      </c>
      <c r="DR23" s="12"/>
      <c r="DS23" s="118">
        <f t="shared" si="98"/>
        <v>0</v>
      </c>
      <c r="DT23" s="118">
        <f t="shared" si="99"/>
        <v>0</v>
      </c>
      <c r="DU23" s="118">
        <f t="shared" si="100"/>
        <v>0</v>
      </c>
      <c r="DV23" s="118">
        <f t="shared" si="101"/>
        <v>0</v>
      </c>
      <c r="DW23" s="118">
        <f t="shared" si="102"/>
        <v>0</v>
      </c>
      <c r="DX23" s="118">
        <f t="shared" si="103"/>
        <v>0</v>
      </c>
      <c r="DY23" s="118">
        <f t="shared" si="104"/>
        <v>0</v>
      </c>
      <c r="DZ23" s="118">
        <f t="shared" si="105"/>
        <v>0</v>
      </c>
      <c r="EA23" s="118">
        <f t="shared" si="106"/>
        <v>0</v>
      </c>
      <c r="EB23" s="118">
        <f t="shared" si="107"/>
        <v>0</v>
      </c>
      <c r="EC23" s="118">
        <f t="shared" si="108"/>
        <v>0</v>
      </c>
      <c r="ED23" s="118">
        <f t="shared" si="109"/>
        <v>0</v>
      </c>
      <c r="EE23" s="41">
        <f t="shared" si="132"/>
        <v>0</v>
      </c>
      <c r="EF23" s="12"/>
      <c r="EG23" s="118">
        <f t="shared" si="110"/>
        <v>0</v>
      </c>
      <c r="EH23" s="118">
        <f t="shared" si="111"/>
        <v>0</v>
      </c>
      <c r="EI23" s="118">
        <f t="shared" si="112"/>
        <v>0</v>
      </c>
      <c r="EJ23" s="118">
        <f t="shared" si="113"/>
        <v>0</v>
      </c>
      <c r="EK23" s="118">
        <f t="shared" si="114"/>
        <v>0</v>
      </c>
      <c r="EL23" s="118">
        <f t="shared" si="115"/>
        <v>0</v>
      </c>
      <c r="EM23" s="118">
        <f t="shared" si="116"/>
        <v>0</v>
      </c>
      <c r="EN23" s="118">
        <f t="shared" si="117"/>
        <v>0</v>
      </c>
      <c r="EO23" s="118">
        <f t="shared" si="118"/>
        <v>0</v>
      </c>
      <c r="EP23" s="118">
        <f t="shared" si="119"/>
        <v>0</v>
      </c>
      <c r="EQ23" s="118">
        <f t="shared" si="120"/>
        <v>0</v>
      </c>
      <c r="ER23" s="118">
        <f t="shared" si="121"/>
        <v>0</v>
      </c>
      <c r="ES23" s="41">
        <f t="shared" si="133"/>
        <v>0</v>
      </c>
    </row>
    <row r="24" spans="1:149" ht="10.199999999999999" x14ac:dyDescent="0.2">
      <c r="A24" s="122">
        <v>1</v>
      </c>
      <c r="C24" s="123"/>
      <c r="D24" s="117" t="str">
        <f>IF(ISERROR(VLOOKUP('Оценка трудоемкости'!$C24,Справочники!S:V,3,0))=TRUE,"",VLOOKUP('Оценка трудоемкости'!$C24,Справочники!S:V,3,0))</f>
        <v/>
      </c>
      <c r="E24" s="117">
        <f>IF(ISERROR(VLOOKUP('Оценка трудоемкости'!$C24,Справочники!S:V,4,0))=TRUE,0,VLOOKUP('Оценка трудоемкости'!$C24,Справочники!S:V,4,0))</f>
        <v>0</v>
      </c>
      <c r="F24" s="125"/>
      <c r="G24" s="116">
        <f t="shared" si="122"/>
        <v>0</v>
      </c>
      <c r="H24" s="12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16">
        <f t="shared" si="123"/>
        <v>0</v>
      </c>
      <c r="V24" s="12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16">
        <f t="shared" si="124"/>
        <v>0</v>
      </c>
      <c r="AJ24" s="12"/>
      <c r="AK24" s="124"/>
      <c r="AL24" s="124"/>
      <c r="AM24" s="124"/>
      <c r="AN24" s="124"/>
      <c r="AO24" s="124"/>
      <c r="AP24" s="124"/>
      <c r="AQ24" s="124"/>
      <c r="AR24" s="124"/>
      <c r="AS24" s="124"/>
      <c r="AT24" s="124"/>
      <c r="AU24" s="124"/>
      <c r="AV24" s="124"/>
      <c r="AW24" s="116">
        <f t="shared" si="125"/>
        <v>0</v>
      </c>
      <c r="AX24" s="12"/>
      <c r="AY24" s="124"/>
      <c r="AZ24" s="124"/>
      <c r="BA24" s="124"/>
      <c r="BB24" s="124"/>
      <c r="BC24" s="124"/>
      <c r="BD24" s="124"/>
      <c r="BE24" s="124"/>
      <c r="BF24" s="124"/>
      <c r="BG24" s="124"/>
      <c r="BH24" s="124"/>
      <c r="BI24" s="124"/>
      <c r="BJ24" s="124"/>
      <c r="BK24" s="116">
        <f t="shared" si="126"/>
        <v>0</v>
      </c>
      <c r="BL24" s="12"/>
      <c r="BM24" s="124"/>
      <c r="BN24" s="124"/>
      <c r="BO24" s="124"/>
      <c r="BP24" s="124"/>
      <c r="BQ24" s="124"/>
      <c r="BR24" s="124"/>
      <c r="BS24" s="124"/>
      <c r="BT24" s="124"/>
      <c r="BU24" s="124"/>
      <c r="BV24" s="124"/>
      <c r="BW24" s="124"/>
      <c r="BX24" s="124"/>
      <c r="BY24" s="116">
        <f t="shared" si="127"/>
        <v>0</v>
      </c>
      <c r="BZ24" s="12"/>
      <c r="CA24" s="200">
        <f t="shared" si="128"/>
        <v>0</v>
      </c>
      <c r="CB24" s="12"/>
      <c r="CC24" s="118">
        <f t="shared" si="62"/>
        <v>0</v>
      </c>
      <c r="CD24" s="118">
        <f t="shared" si="63"/>
        <v>0</v>
      </c>
      <c r="CE24" s="118">
        <f t="shared" si="64"/>
        <v>0</v>
      </c>
      <c r="CF24" s="118">
        <f t="shared" si="65"/>
        <v>0</v>
      </c>
      <c r="CG24" s="118">
        <f t="shared" si="66"/>
        <v>0</v>
      </c>
      <c r="CH24" s="118">
        <f t="shared" si="67"/>
        <v>0</v>
      </c>
      <c r="CI24" s="118">
        <f t="shared" si="68"/>
        <v>0</v>
      </c>
      <c r="CJ24" s="118">
        <f t="shared" si="69"/>
        <v>0</v>
      </c>
      <c r="CK24" s="118">
        <f t="shared" si="70"/>
        <v>0</v>
      </c>
      <c r="CL24" s="118">
        <f t="shared" si="71"/>
        <v>0</v>
      </c>
      <c r="CM24" s="118">
        <f t="shared" si="72"/>
        <v>0</v>
      </c>
      <c r="CN24" s="118">
        <f t="shared" si="73"/>
        <v>0</v>
      </c>
      <c r="CO24" s="41">
        <f t="shared" si="129"/>
        <v>0</v>
      </c>
      <c r="CP24" s="12"/>
      <c r="CQ24" s="118">
        <f t="shared" si="74"/>
        <v>0</v>
      </c>
      <c r="CR24" s="118">
        <f t="shared" si="75"/>
        <v>0</v>
      </c>
      <c r="CS24" s="118">
        <f t="shared" si="76"/>
        <v>0</v>
      </c>
      <c r="CT24" s="118">
        <f t="shared" si="77"/>
        <v>0</v>
      </c>
      <c r="CU24" s="118">
        <f t="shared" si="78"/>
        <v>0</v>
      </c>
      <c r="CV24" s="118">
        <f t="shared" si="79"/>
        <v>0</v>
      </c>
      <c r="CW24" s="118">
        <f t="shared" si="80"/>
        <v>0</v>
      </c>
      <c r="CX24" s="118">
        <f t="shared" si="81"/>
        <v>0</v>
      </c>
      <c r="CY24" s="118">
        <f t="shared" si="82"/>
        <v>0</v>
      </c>
      <c r="CZ24" s="118">
        <f t="shared" si="83"/>
        <v>0</v>
      </c>
      <c r="DA24" s="118">
        <f t="shared" si="84"/>
        <v>0</v>
      </c>
      <c r="DB24" s="118">
        <f t="shared" si="85"/>
        <v>0</v>
      </c>
      <c r="DC24" s="41">
        <f t="shared" si="130"/>
        <v>0</v>
      </c>
      <c r="DD24" s="12"/>
      <c r="DE24" s="118">
        <f t="shared" si="86"/>
        <v>0</v>
      </c>
      <c r="DF24" s="118">
        <f t="shared" si="87"/>
        <v>0</v>
      </c>
      <c r="DG24" s="118">
        <f t="shared" si="88"/>
        <v>0</v>
      </c>
      <c r="DH24" s="118">
        <f t="shared" si="89"/>
        <v>0</v>
      </c>
      <c r="DI24" s="118">
        <f t="shared" si="90"/>
        <v>0</v>
      </c>
      <c r="DJ24" s="118">
        <f t="shared" si="91"/>
        <v>0</v>
      </c>
      <c r="DK24" s="118">
        <f t="shared" si="92"/>
        <v>0</v>
      </c>
      <c r="DL24" s="118">
        <f t="shared" si="93"/>
        <v>0</v>
      </c>
      <c r="DM24" s="118">
        <f t="shared" si="94"/>
        <v>0</v>
      </c>
      <c r="DN24" s="118">
        <f t="shared" si="95"/>
        <v>0</v>
      </c>
      <c r="DO24" s="118">
        <f t="shared" si="96"/>
        <v>0</v>
      </c>
      <c r="DP24" s="118">
        <f t="shared" si="97"/>
        <v>0</v>
      </c>
      <c r="DQ24" s="41">
        <f t="shared" si="131"/>
        <v>0</v>
      </c>
      <c r="DR24" s="12"/>
      <c r="DS24" s="118">
        <f t="shared" si="98"/>
        <v>0</v>
      </c>
      <c r="DT24" s="118">
        <f t="shared" si="99"/>
        <v>0</v>
      </c>
      <c r="DU24" s="118">
        <f t="shared" si="100"/>
        <v>0</v>
      </c>
      <c r="DV24" s="118">
        <f t="shared" si="101"/>
        <v>0</v>
      </c>
      <c r="DW24" s="118">
        <f t="shared" si="102"/>
        <v>0</v>
      </c>
      <c r="DX24" s="118">
        <f t="shared" si="103"/>
        <v>0</v>
      </c>
      <c r="DY24" s="118">
        <f t="shared" si="104"/>
        <v>0</v>
      </c>
      <c r="DZ24" s="118">
        <f t="shared" si="105"/>
        <v>0</v>
      </c>
      <c r="EA24" s="118">
        <f t="shared" si="106"/>
        <v>0</v>
      </c>
      <c r="EB24" s="118">
        <f t="shared" si="107"/>
        <v>0</v>
      </c>
      <c r="EC24" s="118">
        <f t="shared" si="108"/>
        <v>0</v>
      </c>
      <c r="ED24" s="118">
        <f t="shared" si="109"/>
        <v>0</v>
      </c>
      <c r="EE24" s="41">
        <f t="shared" si="132"/>
        <v>0</v>
      </c>
      <c r="EF24" s="12"/>
      <c r="EG24" s="118">
        <f t="shared" si="110"/>
        <v>0</v>
      </c>
      <c r="EH24" s="118">
        <f t="shared" si="111"/>
        <v>0</v>
      </c>
      <c r="EI24" s="118">
        <f t="shared" si="112"/>
        <v>0</v>
      </c>
      <c r="EJ24" s="118">
        <f t="shared" si="113"/>
        <v>0</v>
      </c>
      <c r="EK24" s="118">
        <f t="shared" si="114"/>
        <v>0</v>
      </c>
      <c r="EL24" s="118">
        <f t="shared" si="115"/>
        <v>0</v>
      </c>
      <c r="EM24" s="118">
        <f t="shared" si="116"/>
        <v>0</v>
      </c>
      <c r="EN24" s="118">
        <f t="shared" si="117"/>
        <v>0</v>
      </c>
      <c r="EO24" s="118">
        <f t="shared" si="118"/>
        <v>0</v>
      </c>
      <c r="EP24" s="118">
        <f t="shared" si="119"/>
        <v>0</v>
      </c>
      <c r="EQ24" s="118">
        <f t="shared" si="120"/>
        <v>0</v>
      </c>
      <c r="ER24" s="118">
        <f t="shared" si="121"/>
        <v>0</v>
      </c>
      <c r="ES24" s="41">
        <f t="shared" si="133"/>
        <v>0</v>
      </c>
    </row>
    <row r="25" spans="1:149" ht="10.199999999999999" x14ac:dyDescent="0.2">
      <c r="A25" s="122">
        <v>1</v>
      </c>
      <c r="C25" s="123"/>
      <c r="D25" s="117" t="str">
        <f>IF(ISERROR(VLOOKUP('Оценка трудоемкости'!$C25,Справочники!S:V,3,0))=TRUE,"",VLOOKUP('Оценка трудоемкости'!$C25,Справочники!S:V,3,0))</f>
        <v/>
      </c>
      <c r="E25" s="117">
        <f>IF(ISERROR(VLOOKUP('Оценка трудоемкости'!$C25,Справочники!S:V,4,0))=TRUE,0,VLOOKUP('Оценка трудоемкости'!$C25,Справочники!S:V,4,0))</f>
        <v>0</v>
      </c>
      <c r="F25" s="125"/>
      <c r="G25" s="116">
        <f t="shared" ref="G25:G50" si="135">U25+AI25+AW25+BK25+BY25</f>
        <v>0</v>
      </c>
      <c r="H25" s="12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16">
        <f t="shared" ref="U25:U50" si="136">SUM(I25:T25)</f>
        <v>0</v>
      </c>
      <c r="V25" s="12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16">
        <f t="shared" ref="AI25:AI50" si="137">SUM(W25:AH25)</f>
        <v>0</v>
      </c>
      <c r="AJ25" s="12"/>
      <c r="AK25" s="124"/>
      <c r="AL25" s="124"/>
      <c r="AM25" s="124"/>
      <c r="AN25" s="124"/>
      <c r="AO25" s="124"/>
      <c r="AP25" s="124"/>
      <c r="AQ25" s="124"/>
      <c r="AR25" s="124"/>
      <c r="AS25" s="124"/>
      <c r="AT25" s="124"/>
      <c r="AU25" s="124"/>
      <c r="AV25" s="124"/>
      <c r="AW25" s="116">
        <f t="shared" ref="AW25:AW50" si="138">SUM(AK25:AV25)</f>
        <v>0</v>
      </c>
      <c r="AX25" s="12"/>
      <c r="AY25" s="124"/>
      <c r="AZ25" s="124"/>
      <c r="BA25" s="124"/>
      <c r="BB25" s="124"/>
      <c r="BC25" s="124"/>
      <c r="BD25" s="124"/>
      <c r="BE25" s="124"/>
      <c r="BF25" s="124"/>
      <c r="BG25" s="124"/>
      <c r="BH25" s="124"/>
      <c r="BI25" s="124"/>
      <c r="BJ25" s="124"/>
      <c r="BK25" s="116">
        <f t="shared" ref="BK25:BK50" si="139">SUM(AY25:BJ25)</f>
        <v>0</v>
      </c>
      <c r="BL25" s="12"/>
      <c r="BM25" s="124"/>
      <c r="BN25" s="124"/>
      <c r="BO25" s="124"/>
      <c r="BP25" s="124"/>
      <c r="BQ25" s="124"/>
      <c r="BR25" s="124"/>
      <c r="BS25" s="124"/>
      <c r="BT25" s="124"/>
      <c r="BU25" s="124"/>
      <c r="BV25" s="124"/>
      <c r="BW25" s="124"/>
      <c r="BX25" s="124"/>
      <c r="BY25" s="116">
        <f t="shared" ref="BY25:BY50" si="140">SUM(BM25:BX25)</f>
        <v>0</v>
      </c>
      <c r="BZ25" s="12"/>
      <c r="CA25" s="200">
        <f t="shared" ref="CA25:CA50" si="141">CO25+DC25+DQ25+EE25+ES25</f>
        <v>0</v>
      </c>
      <c r="CB25" s="12"/>
      <c r="CC25" s="118">
        <f t="shared" si="62"/>
        <v>0</v>
      </c>
      <c r="CD25" s="118">
        <f t="shared" si="63"/>
        <v>0</v>
      </c>
      <c r="CE25" s="118">
        <f t="shared" si="64"/>
        <v>0</v>
      </c>
      <c r="CF25" s="118">
        <f t="shared" si="65"/>
        <v>0</v>
      </c>
      <c r="CG25" s="118">
        <f t="shared" si="66"/>
        <v>0</v>
      </c>
      <c r="CH25" s="118">
        <f t="shared" si="67"/>
        <v>0</v>
      </c>
      <c r="CI25" s="118">
        <f t="shared" si="68"/>
        <v>0</v>
      </c>
      <c r="CJ25" s="118">
        <f t="shared" si="69"/>
        <v>0</v>
      </c>
      <c r="CK25" s="118">
        <f t="shared" si="70"/>
        <v>0</v>
      </c>
      <c r="CL25" s="118">
        <f t="shared" si="71"/>
        <v>0</v>
      </c>
      <c r="CM25" s="118">
        <f t="shared" si="72"/>
        <v>0</v>
      </c>
      <c r="CN25" s="118">
        <f t="shared" si="73"/>
        <v>0</v>
      </c>
      <c r="CO25" s="41">
        <f t="shared" ref="CO25:CO50" si="142">SUM(CC25:CN25)</f>
        <v>0</v>
      </c>
      <c r="CP25" s="12"/>
      <c r="CQ25" s="118">
        <f t="shared" si="74"/>
        <v>0</v>
      </c>
      <c r="CR25" s="118">
        <f t="shared" si="75"/>
        <v>0</v>
      </c>
      <c r="CS25" s="118">
        <f t="shared" si="76"/>
        <v>0</v>
      </c>
      <c r="CT25" s="118">
        <f t="shared" si="77"/>
        <v>0</v>
      </c>
      <c r="CU25" s="118">
        <f t="shared" si="78"/>
        <v>0</v>
      </c>
      <c r="CV25" s="118">
        <f t="shared" si="79"/>
        <v>0</v>
      </c>
      <c r="CW25" s="118">
        <f t="shared" si="80"/>
        <v>0</v>
      </c>
      <c r="CX25" s="118">
        <f t="shared" si="81"/>
        <v>0</v>
      </c>
      <c r="CY25" s="118">
        <f t="shared" si="82"/>
        <v>0</v>
      </c>
      <c r="CZ25" s="118">
        <f t="shared" si="83"/>
        <v>0</v>
      </c>
      <c r="DA25" s="118">
        <f t="shared" si="84"/>
        <v>0</v>
      </c>
      <c r="DB25" s="118">
        <f t="shared" si="85"/>
        <v>0</v>
      </c>
      <c r="DC25" s="41">
        <f t="shared" ref="DC25:DC50" si="143">SUM(CQ25:DB25)</f>
        <v>0</v>
      </c>
      <c r="DD25" s="12"/>
      <c r="DE25" s="118">
        <f t="shared" si="86"/>
        <v>0</v>
      </c>
      <c r="DF25" s="118">
        <f t="shared" si="87"/>
        <v>0</v>
      </c>
      <c r="DG25" s="118">
        <f t="shared" si="88"/>
        <v>0</v>
      </c>
      <c r="DH25" s="118">
        <f t="shared" si="89"/>
        <v>0</v>
      </c>
      <c r="DI25" s="118">
        <f t="shared" si="90"/>
        <v>0</v>
      </c>
      <c r="DJ25" s="118">
        <f t="shared" si="91"/>
        <v>0</v>
      </c>
      <c r="DK25" s="118">
        <f t="shared" si="92"/>
        <v>0</v>
      </c>
      <c r="DL25" s="118">
        <f t="shared" si="93"/>
        <v>0</v>
      </c>
      <c r="DM25" s="118">
        <f t="shared" si="94"/>
        <v>0</v>
      </c>
      <c r="DN25" s="118">
        <f t="shared" si="95"/>
        <v>0</v>
      </c>
      <c r="DO25" s="118">
        <f t="shared" si="96"/>
        <v>0</v>
      </c>
      <c r="DP25" s="118">
        <f t="shared" si="97"/>
        <v>0</v>
      </c>
      <c r="DQ25" s="41">
        <f t="shared" ref="DQ25:DQ50" si="144">SUM(DE25:DP25)</f>
        <v>0</v>
      </c>
      <c r="DR25" s="12"/>
      <c r="DS25" s="118">
        <f t="shared" si="98"/>
        <v>0</v>
      </c>
      <c r="DT25" s="118">
        <f t="shared" si="99"/>
        <v>0</v>
      </c>
      <c r="DU25" s="118">
        <f t="shared" si="100"/>
        <v>0</v>
      </c>
      <c r="DV25" s="118">
        <f t="shared" si="101"/>
        <v>0</v>
      </c>
      <c r="DW25" s="118">
        <f t="shared" si="102"/>
        <v>0</v>
      </c>
      <c r="DX25" s="118">
        <f t="shared" si="103"/>
        <v>0</v>
      </c>
      <c r="DY25" s="118">
        <f t="shared" si="104"/>
        <v>0</v>
      </c>
      <c r="DZ25" s="118">
        <f t="shared" si="105"/>
        <v>0</v>
      </c>
      <c r="EA25" s="118">
        <f t="shared" si="106"/>
        <v>0</v>
      </c>
      <c r="EB25" s="118">
        <f t="shared" si="107"/>
        <v>0</v>
      </c>
      <c r="EC25" s="118">
        <f t="shared" si="108"/>
        <v>0</v>
      </c>
      <c r="ED25" s="118">
        <f t="shared" si="109"/>
        <v>0</v>
      </c>
      <c r="EE25" s="41">
        <f t="shared" ref="EE25:EE50" si="145">SUM(DS25:ED25)</f>
        <v>0</v>
      </c>
      <c r="EF25" s="12"/>
      <c r="EG25" s="118">
        <f t="shared" si="110"/>
        <v>0</v>
      </c>
      <c r="EH25" s="118">
        <f t="shared" si="111"/>
        <v>0</v>
      </c>
      <c r="EI25" s="118">
        <f t="shared" si="112"/>
        <v>0</v>
      </c>
      <c r="EJ25" s="118">
        <f t="shared" si="113"/>
        <v>0</v>
      </c>
      <c r="EK25" s="118">
        <f t="shared" si="114"/>
        <v>0</v>
      </c>
      <c r="EL25" s="118">
        <f t="shared" si="115"/>
        <v>0</v>
      </c>
      <c r="EM25" s="118">
        <f t="shared" si="116"/>
        <v>0</v>
      </c>
      <c r="EN25" s="118">
        <f t="shared" si="117"/>
        <v>0</v>
      </c>
      <c r="EO25" s="118">
        <f t="shared" si="118"/>
        <v>0</v>
      </c>
      <c r="EP25" s="118">
        <f t="shared" si="119"/>
        <v>0</v>
      </c>
      <c r="EQ25" s="118">
        <f t="shared" si="120"/>
        <v>0</v>
      </c>
      <c r="ER25" s="118">
        <f t="shared" si="121"/>
        <v>0</v>
      </c>
      <c r="ES25" s="41">
        <f t="shared" ref="ES25:ES50" si="146">SUM(EG25:ER25)</f>
        <v>0</v>
      </c>
    </row>
    <row r="26" spans="1:149" ht="10.199999999999999" x14ac:dyDescent="0.2">
      <c r="A26" s="122">
        <v>1</v>
      </c>
      <c r="C26" s="123"/>
      <c r="D26" s="117" t="str">
        <f>IF(ISERROR(VLOOKUP('Оценка трудоемкости'!$C26,Справочники!S:V,3,0))=TRUE,"",VLOOKUP('Оценка трудоемкости'!$C26,Справочники!S:V,3,0))</f>
        <v/>
      </c>
      <c r="E26" s="117">
        <f>IF(ISERROR(VLOOKUP('Оценка трудоемкости'!$C26,Справочники!S:V,4,0))=TRUE,0,VLOOKUP('Оценка трудоемкости'!$C26,Справочники!S:V,4,0))</f>
        <v>0</v>
      </c>
      <c r="F26" s="125"/>
      <c r="G26" s="116">
        <f t="shared" si="135"/>
        <v>0</v>
      </c>
      <c r="H26" s="12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16">
        <f t="shared" si="136"/>
        <v>0</v>
      </c>
      <c r="V26" s="12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16">
        <f t="shared" si="137"/>
        <v>0</v>
      </c>
      <c r="AJ26" s="12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16">
        <f t="shared" si="138"/>
        <v>0</v>
      </c>
      <c r="AX26" s="12"/>
      <c r="AY26" s="124"/>
      <c r="AZ26" s="124"/>
      <c r="BA26" s="124"/>
      <c r="BB26" s="124"/>
      <c r="BC26" s="124"/>
      <c r="BD26" s="124"/>
      <c r="BE26" s="124"/>
      <c r="BF26" s="124"/>
      <c r="BG26" s="124"/>
      <c r="BH26" s="124"/>
      <c r="BI26" s="124"/>
      <c r="BJ26" s="124"/>
      <c r="BK26" s="116">
        <f t="shared" si="139"/>
        <v>0</v>
      </c>
      <c r="BL26" s="12"/>
      <c r="BM26" s="124"/>
      <c r="BN26" s="124"/>
      <c r="BO26" s="124"/>
      <c r="BP26" s="124"/>
      <c r="BQ26" s="124"/>
      <c r="BR26" s="124"/>
      <c r="BS26" s="124"/>
      <c r="BT26" s="124"/>
      <c r="BU26" s="124"/>
      <c r="BV26" s="124"/>
      <c r="BW26" s="124"/>
      <c r="BX26" s="124"/>
      <c r="BY26" s="116">
        <f t="shared" si="140"/>
        <v>0</v>
      </c>
      <c r="BZ26" s="12"/>
      <c r="CA26" s="200">
        <f t="shared" si="141"/>
        <v>0</v>
      </c>
      <c r="CB26" s="12"/>
      <c r="CC26" s="118">
        <f t="shared" si="62"/>
        <v>0</v>
      </c>
      <c r="CD26" s="118">
        <f t="shared" si="63"/>
        <v>0</v>
      </c>
      <c r="CE26" s="118">
        <f t="shared" si="64"/>
        <v>0</v>
      </c>
      <c r="CF26" s="118">
        <f t="shared" si="65"/>
        <v>0</v>
      </c>
      <c r="CG26" s="118">
        <f t="shared" si="66"/>
        <v>0</v>
      </c>
      <c r="CH26" s="118">
        <f t="shared" si="67"/>
        <v>0</v>
      </c>
      <c r="CI26" s="118">
        <f t="shared" si="68"/>
        <v>0</v>
      </c>
      <c r="CJ26" s="118">
        <f t="shared" si="69"/>
        <v>0</v>
      </c>
      <c r="CK26" s="118">
        <f t="shared" si="70"/>
        <v>0</v>
      </c>
      <c r="CL26" s="118">
        <f t="shared" si="71"/>
        <v>0</v>
      </c>
      <c r="CM26" s="118">
        <f t="shared" si="72"/>
        <v>0</v>
      </c>
      <c r="CN26" s="118">
        <f t="shared" si="73"/>
        <v>0</v>
      </c>
      <c r="CO26" s="41">
        <f t="shared" si="142"/>
        <v>0</v>
      </c>
      <c r="CP26" s="12"/>
      <c r="CQ26" s="118">
        <f t="shared" si="74"/>
        <v>0</v>
      </c>
      <c r="CR26" s="118">
        <f t="shared" si="75"/>
        <v>0</v>
      </c>
      <c r="CS26" s="118">
        <f t="shared" si="76"/>
        <v>0</v>
      </c>
      <c r="CT26" s="118">
        <f t="shared" si="77"/>
        <v>0</v>
      </c>
      <c r="CU26" s="118">
        <f t="shared" si="78"/>
        <v>0</v>
      </c>
      <c r="CV26" s="118">
        <f t="shared" si="79"/>
        <v>0</v>
      </c>
      <c r="CW26" s="118">
        <f t="shared" si="80"/>
        <v>0</v>
      </c>
      <c r="CX26" s="118">
        <f t="shared" si="81"/>
        <v>0</v>
      </c>
      <c r="CY26" s="118">
        <f t="shared" si="82"/>
        <v>0</v>
      </c>
      <c r="CZ26" s="118">
        <f t="shared" si="83"/>
        <v>0</v>
      </c>
      <c r="DA26" s="118">
        <f t="shared" si="84"/>
        <v>0</v>
      </c>
      <c r="DB26" s="118">
        <f t="shared" si="85"/>
        <v>0</v>
      </c>
      <c r="DC26" s="41">
        <f t="shared" si="143"/>
        <v>0</v>
      </c>
      <c r="DD26" s="12"/>
      <c r="DE26" s="118">
        <f t="shared" si="86"/>
        <v>0</v>
      </c>
      <c r="DF26" s="118">
        <f t="shared" si="87"/>
        <v>0</v>
      </c>
      <c r="DG26" s="118">
        <f t="shared" si="88"/>
        <v>0</v>
      </c>
      <c r="DH26" s="118">
        <f t="shared" si="89"/>
        <v>0</v>
      </c>
      <c r="DI26" s="118">
        <f t="shared" si="90"/>
        <v>0</v>
      </c>
      <c r="DJ26" s="118">
        <f t="shared" si="91"/>
        <v>0</v>
      </c>
      <c r="DK26" s="118">
        <f t="shared" si="92"/>
        <v>0</v>
      </c>
      <c r="DL26" s="118">
        <f t="shared" si="93"/>
        <v>0</v>
      </c>
      <c r="DM26" s="118">
        <f t="shared" si="94"/>
        <v>0</v>
      </c>
      <c r="DN26" s="118">
        <f t="shared" si="95"/>
        <v>0</v>
      </c>
      <c r="DO26" s="118">
        <f t="shared" si="96"/>
        <v>0</v>
      </c>
      <c r="DP26" s="118">
        <f t="shared" si="97"/>
        <v>0</v>
      </c>
      <c r="DQ26" s="41">
        <f t="shared" si="144"/>
        <v>0</v>
      </c>
      <c r="DR26" s="12"/>
      <c r="DS26" s="118">
        <f t="shared" si="98"/>
        <v>0</v>
      </c>
      <c r="DT26" s="118">
        <f t="shared" si="99"/>
        <v>0</v>
      </c>
      <c r="DU26" s="118">
        <f t="shared" si="100"/>
        <v>0</v>
      </c>
      <c r="DV26" s="118">
        <f t="shared" si="101"/>
        <v>0</v>
      </c>
      <c r="DW26" s="118">
        <f t="shared" si="102"/>
        <v>0</v>
      </c>
      <c r="DX26" s="118">
        <f t="shared" si="103"/>
        <v>0</v>
      </c>
      <c r="DY26" s="118">
        <f t="shared" si="104"/>
        <v>0</v>
      </c>
      <c r="DZ26" s="118">
        <f t="shared" si="105"/>
        <v>0</v>
      </c>
      <c r="EA26" s="118">
        <f t="shared" si="106"/>
        <v>0</v>
      </c>
      <c r="EB26" s="118">
        <f t="shared" si="107"/>
        <v>0</v>
      </c>
      <c r="EC26" s="118">
        <f t="shared" si="108"/>
        <v>0</v>
      </c>
      <c r="ED26" s="118">
        <f t="shared" si="109"/>
        <v>0</v>
      </c>
      <c r="EE26" s="41">
        <f t="shared" si="145"/>
        <v>0</v>
      </c>
      <c r="EF26" s="12"/>
      <c r="EG26" s="118">
        <f t="shared" si="110"/>
        <v>0</v>
      </c>
      <c r="EH26" s="118">
        <f t="shared" si="111"/>
        <v>0</v>
      </c>
      <c r="EI26" s="118">
        <f t="shared" si="112"/>
        <v>0</v>
      </c>
      <c r="EJ26" s="118">
        <f t="shared" si="113"/>
        <v>0</v>
      </c>
      <c r="EK26" s="118">
        <f t="shared" si="114"/>
        <v>0</v>
      </c>
      <c r="EL26" s="118">
        <f t="shared" si="115"/>
        <v>0</v>
      </c>
      <c r="EM26" s="118">
        <f t="shared" si="116"/>
        <v>0</v>
      </c>
      <c r="EN26" s="118">
        <f t="shared" si="117"/>
        <v>0</v>
      </c>
      <c r="EO26" s="118">
        <f t="shared" si="118"/>
        <v>0</v>
      </c>
      <c r="EP26" s="118">
        <f t="shared" si="119"/>
        <v>0</v>
      </c>
      <c r="EQ26" s="118">
        <f t="shared" si="120"/>
        <v>0</v>
      </c>
      <c r="ER26" s="118">
        <f t="shared" si="121"/>
        <v>0</v>
      </c>
      <c r="ES26" s="41">
        <f t="shared" si="146"/>
        <v>0</v>
      </c>
    </row>
    <row r="27" spans="1:149" ht="10.199999999999999" x14ac:dyDescent="0.2">
      <c r="A27" s="122">
        <v>1</v>
      </c>
      <c r="C27" s="123"/>
      <c r="D27" s="117" t="str">
        <f>IF(ISERROR(VLOOKUP('Оценка трудоемкости'!$C27,Справочники!S:V,3,0))=TRUE,"",VLOOKUP('Оценка трудоемкости'!$C27,Справочники!S:V,3,0))</f>
        <v/>
      </c>
      <c r="E27" s="117">
        <f>IF(ISERROR(VLOOKUP('Оценка трудоемкости'!$C27,Справочники!S:V,4,0))=TRUE,0,VLOOKUP('Оценка трудоемкости'!$C27,Справочники!S:V,4,0))</f>
        <v>0</v>
      </c>
      <c r="F27" s="125"/>
      <c r="G27" s="116">
        <f t="shared" si="135"/>
        <v>0</v>
      </c>
      <c r="H27" s="12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16">
        <f t="shared" si="136"/>
        <v>0</v>
      </c>
      <c r="V27" s="12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16">
        <f t="shared" si="137"/>
        <v>0</v>
      </c>
      <c r="AJ27" s="12"/>
      <c r="AK27" s="124"/>
      <c r="AL27" s="124"/>
      <c r="AM27" s="124"/>
      <c r="AN27" s="124"/>
      <c r="AO27" s="124"/>
      <c r="AP27" s="124"/>
      <c r="AQ27" s="124"/>
      <c r="AR27" s="124"/>
      <c r="AS27" s="124"/>
      <c r="AT27" s="124"/>
      <c r="AU27" s="124"/>
      <c r="AV27" s="124"/>
      <c r="AW27" s="116">
        <f t="shared" si="138"/>
        <v>0</v>
      </c>
      <c r="AX27" s="12"/>
      <c r="AY27" s="124"/>
      <c r="AZ27" s="124"/>
      <c r="BA27" s="124"/>
      <c r="BB27" s="124"/>
      <c r="BC27" s="124"/>
      <c r="BD27" s="124"/>
      <c r="BE27" s="124"/>
      <c r="BF27" s="124"/>
      <c r="BG27" s="124"/>
      <c r="BH27" s="124"/>
      <c r="BI27" s="124"/>
      <c r="BJ27" s="124"/>
      <c r="BK27" s="116">
        <f t="shared" si="139"/>
        <v>0</v>
      </c>
      <c r="BL27" s="12"/>
      <c r="BM27" s="124"/>
      <c r="BN27" s="124"/>
      <c r="BO27" s="124"/>
      <c r="BP27" s="124"/>
      <c r="BQ27" s="124"/>
      <c r="BR27" s="124"/>
      <c r="BS27" s="124"/>
      <c r="BT27" s="124"/>
      <c r="BU27" s="124"/>
      <c r="BV27" s="124"/>
      <c r="BW27" s="124"/>
      <c r="BX27" s="124"/>
      <c r="BY27" s="116">
        <f t="shared" si="140"/>
        <v>0</v>
      </c>
      <c r="BZ27" s="12"/>
      <c r="CA27" s="200">
        <f t="shared" si="141"/>
        <v>0</v>
      </c>
      <c r="CB27" s="12"/>
      <c r="CC27" s="118">
        <f t="shared" si="62"/>
        <v>0</v>
      </c>
      <c r="CD27" s="118">
        <f t="shared" si="63"/>
        <v>0</v>
      </c>
      <c r="CE27" s="118">
        <f t="shared" si="64"/>
        <v>0</v>
      </c>
      <c r="CF27" s="118">
        <f t="shared" si="65"/>
        <v>0</v>
      </c>
      <c r="CG27" s="118">
        <f t="shared" si="66"/>
        <v>0</v>
      </c>
      <c r="CH27" s="118">
        <f t="shared" si="67"/>
        <v>0</v>
      </c>
      <c r="CI27" s="118">
        <f t="shared" si="68"/>
        <v>0</v>
      </c>
      <c r="CJ27" s="118">
        <f t="shared" si="69"/>
        <v>0</v>
      </c>
      <c r="CK27" s="118">
        <f t="shared" si="70"/>
        <v>0</v>
      </c>
      <c r="CL27" s="118">
        <f t="shared" si="71"/>
        <v>0</v>
      </c>
      <c r="CM27" s="118">
        <f t="shared" si="72"/>
        <v>0</v>
      </c>
      <c r="CN27" s="118">
        <f t="shared" si="73"/>
        <v>0</v>
      </c>
      <c r="CO27" s="41">
        <f t="shared" si="142"/>
        <v>0</v>
      </c>
      <c r="CP27" s="12"/>
      <c r="CQ27" s="118">
        <f t="shared" si="74"/>
        <v>0</v>
      </c>
      <c r="CR27" s="118">
        <f t="shared" si="75"/>
        <v>0</v>
      </c>
      <c r="CS27" s="118">
        <f t="shared" si="76"/>
        <v>0</v>
      </c>
      <c r="CT27" s="118">
        <f t="shared" si="77"/>
        <v>0</v>
      </c>
      <c r="CU27" s="118">
        <f t="shared" si="78"/>
        <v>0</v>
      </c>
      <c r="CV27" s="118">
        <f t="shared" si="79"/>
        <v>0</v>
      </c>
      <c r="CW27" s="118">
        <f t="shared" si="80"/>
        <v>0</v>
      </c>
      <c r="CX27" s="118">
        <f t="shared" si="81"/>
        <v>0</v>
      </c>
      <c r="CY27" s="118">
        <f t="shared" si="82"/>
        <v>0</v>
      </c>
      <c r="CZ27" s="118">
        <f t="shared" si="83"/>
        <v>0</v>
      </c>
      <c r="DA27" s="118">
        <f t="shared" si="84"/>
        <v>0</v>
      </c>
      <c r="DB27" s="118">
        <f t="shared" si="85"/>
        <v>0</v>
      </c>
      <c r="DC27" s="41">
        <f t="shared" si="143"/>
        <v>0</v>
      </c>
      <c r="DD27" s="12"/>
      <c r="DE27" s="118">
        <f t="shared" si="86"/>
        <v>0</v>
      </c>
      <c r="DF27" s="118">
        <f t="shared" si="87"/>
        <v>0</v>
      </c>
      <c r="DG27" s="118">
        <f t="shared" si="88"/>
        <v>0</v>
      </c>
      <c r="DH27" s="118">
        <f t="shared" si="89"/>
        <v>0</v>
      </c>
      <c r="DI27" s="118">
        <f t="shared" si="90"/>
        <v>0</v>
      </c>
      <c r="DJ27" s="118">
        <f t="shared" si="91"/>
        <v>0</v>
      </c>
      <c r="DK27" s="118">
        <f t="shared" si="92"/>
        <v>0</v>
      </c>
      <c r="DL27" s="118">
        <f t="shared" si="93"/>
        <v>0</v>
      </c>
      <c r="DM27" s="118">
        <f t="shared" si="94"/>
        <v>0</v>
      </c>
      <c r="DN27" s="118">
        <f t="shared" si="95"/>
        <v>0</v>
      </c>
      <c r="DO27" s="118">
        <f t="shared" si="96"/>
        <v>0</v>
      </c>
      <c r="DP27" s="118">
        <f t="shared" si="97"/>
        <v>0</v>
      </c>
      <c r="DQ27" s="41">
        <f t="shared" si="144"/>
        <v>0</v>
      </c>
      <c r="DR27" s="12"/>
      <c r="DS27" s="118">
        <f t="shared" si="98"/>
        <v>0</v>
      </c>
      <c r="DT27" s="118">
        <f t="shared" si="99"/>
        <v>0</v>
      </c>
      <c r="DU27" s="118">
        <f t="shared" si="100"/>
        <v>0</v>
      </c>
      <c r="DV27" s="118">
        <f t="shared" si="101"/>
        <v>0</v>
      </c>
      <c r="DW27" s="118">
        <f t="shared" si="102"/>
        <v>0</v>
      </c>
      <c r="DX27" s="118">
        <f t="shared" si="103"/>
        <v>0</v>
      </c>
      <c r="DY27" s="118">
        <f t="shared" si="104"/>
        <v>0</v>
      </c>
      <c r="DZ27" s="118">
        <f t="shared" si="105"/>
        <v>0</v>
      </c>
      <c r="EA27" s="118">
        <f t="shared" si="106"/>
        <v>0</v>
      </c>
      <c r="EB27" s="118">
        <f t="shared" si="107"/>
        <v>0</v>
      </c>
      <c r="EC27" s="118">
        <f t="shared" si="108"/>
        <v>0</v>
      </c>
      <c r="ED27" s="118">
        <f t="shared" si="109"/>
        <v>0</v>
      </c>
      <c r="EE27" s="41">
        <f t="shared" si="145"/>
        <v>0</v>
      </c>
      <c r="EF27" s="12"/>
      <c r="EG27" s="118">
        <f t="shared" si="110"/>
        <v>0</v>
      </c>
      <c r="EH27" s="118">
        <f t="shared" si="111"/>
        <v>0</v>
      </c>
      <c r="EI27" s="118">
        <f t="shared" si="112"/>
        <v>0</v>
      </c>
      <c r="EJ27" s="118">
        <f t="shared" si="113"/>
        <v>0</v>
      </c>
      <c r="EK27" s="118">
        <f t="shared" si="114"/>
        <v>0</v>
      </c>
      <c r="EL27" s="118">
        <f t="shared" si="115"/>
        <v>0</v>
      </c>
      <c r="EM27" s="118">
        <f t="shared" si="116"/>
        <v>0</v>
      </c>
      <c r="EN27" s="118">
        <f t="shared" si="117"/>
        <v>0</v>
      </c>
      <c r="EO27" s="118">
        <f t="shared" si="118"/>
        <v>0</v>
      </c>
      <c r="EP27" s="118">
        <f t="shared" si="119"/>
        <v>0</v>
      </c>
      <c r="EQ27" s="118">
        <f t="shared" si="120"/>
        <v>0</v>
      </c>
      <c r="ER27" s="118">
        <f t="shared" si="121"/>
        <v>0</v>
      </c>
      <c r="ES27" s="41">
        <f t="shared" si="146"/>
        <v>0</v>
      </c>
    </row>
    <row r="28" spans="1:149" ht="10.199999999999999" x14ac:dyDescent="0.2">
      <c r="A28" s="122">
        <v>1</v>
      </c>
      <c r="C28" s="123"/>
      <c r="D28" s="117" t="str">
        <f>IF(ISERROR(VLOOKUP('Оценка трудоемкости'!$C28,Справочники!S:V,3,0))=TRUE,"",VLOOKUP('Оценка трудоемкости'!$C28,Справочники!S:V,3,0))</f>
        <v/>
      </c>
      <c r="E28" s="117">
        <f>IF(ISERROR(VLOOKUP('Оценка трудоемкости'!$C28,Справочники!S:V,4,0))=TRUE,0,VLOOKUP('Оценка трудоемкости'!$C28,Справочники!S:V,4,0))</f>
        <v>0</v>
      </c>
      <c r="F28" s="125"/>
      <c r="G28" s="116">
        <f t="shared" si="135"/>
        <v>0</v>
      </c>
      <c r="H28" s="12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16">
        <f t="shared" si="136"/>
        <v>0</v>
      </c>
      <c r="V28" s="12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16">
        <f t="shared" si="137"/>
        <v>0</v>
      </c>
      <c r="AJ28" s="12"/>
      <c r="AK28" s="124"/>
      <c r="AL28" s="124"/>
      <c r="AM28" s="124"/>
      <c r="AN28" s="124"/>
      <c r="AO28" s="124"/>
      <c r="AP28" s="124"/>
      <c r="AQ28" s="124"/>
      <c r="AR28" s="124"/>
      <c r="AS28" s="124"/>
      <c r="AT28" s="124"/>
      <c r="AU28" s="124"/>
      <c r="AV28" s="124"/>
      <c r="AW28" s="116">
        <f t="shared" si="138"/>
        <v>0</v>
      </c>
      <c r="AX28" s="12"/>
      <c r="AY28" s="124"/>
      <c r="AZ28" s="124"/>
      <c r="BA28" s="124"/>
      <c r="BB28" s="124"/>
      <c r="BC28" s="124"/>
      <c r="BD28" s="124"/>
      <c r="BE28" s="124"/>
      <c r="BF28" s="124"/>
      <c r="BG28" s="124"/>
      <c r="BH28" s="124"/>
      <c r="BI28" s="124"/>
      <c r="BJ28" s="124"/>
      <c r="BK28" s="116">
        <f t="shared" si="139"/>
        <v>0</v>
      </c>
      <c r="BL28" s="12"/>
      <c r="BM28" s="124"/>
      <c r="BN28" s="124"/>
      <c r="BO28" s="124"/>
      <c r="BP28" s="124"/>
      <c r="BQ28" s="124"/>
      <c r="BR28" s="124"/>
      <c r="BS28" s="124"/>
      <c r="BT28" s="124"/>
      <c r="BU28" s="124"/>
      <c r="BV28" s="124"/>
      <c r="BW28" s="124"/>
      <c r="BX28" s="124"/>
      <c r="BY28" s="116">
        <f t="shared" si="140"/>
        <v>0</v>
      </c>
      <c r="BZ28" s="12"/>
      <c r="CA28" s="200">
        <f t="shared" si="141"/>
        <v>0</v>
      </c>
      <c r="CB28" s="12"/>
      <c r="CC28" s="118">
        <f t="shared" si="62"/>
        <v>0</v>
      </c>
      <c r="CD28" s="118">
        <f t="shared" si="63"/>
        <v>0</v>
      </c>
      <c r="CE28" s="118">
        <f t="shared" si="64"/>
        <v>0</v>
      </c>
      <c r="CF28" s="118">
        <f t="shared" si="65"/>
        <v>0</v>
      </c>
      <c r="CG28" s="118">
        <f t="shared" si="66"/>
        <v>0</v>
      </c>
      <c r="CH28" s="118">
        <f t="shared" si="67"/>
        <v>0</v>
      </c>
      <c r="CI28" s="118">
        <f t="shared" si="68"/>
        <v>0</v>
      </c>
      <c r="CJ28" s="118">
        <f t="shared" si="69"/>
        <v>0</v>
      </c>
      <c r="CK28" s="118">
        <f t="shared" si="70"/>
        <v>0</v>
      </c>
      <c r="CL28" s="118">
        <f t="shared" si="71"/>
        <v>0</v>
      </c>
      <c r="CM28" s="118">
        <f t="shared" si="72"/>
        <v>0</v>
      </c>
      <c r="CN28" s="118">
        <f t="shared" si="73"/>
        <v>0</v>
      </c>
      <c r="CO28" s="41">
        <f t="shared" si="142"/>
        <v>0</v>
      </c>
      <c r="CP28" s="12"/>
      <c r="CQ28" s="118">
        <f t="shared" si="74"/>
        <v>0</v>
      </c>
      <c r="CR28" s="118">
        <f t="shared" si="75"/>
        <v>0</v>
      </c>
      <c r="CS28" s="118">
        <f t="shared" si="76"/>
        <v>0</v>
      </c>
      <c r="CT28" s="118">
        <f t="shared" si="77"/>
        <v>0</v>
      </c>
      <c r="CU28" s="118">
        <f t="shared" si="78"/>
        <v>0</v>
      </c>
      <c r="CV28" s="118">
        <f t="shared" si="79"/>
        <v>0</v>
      </c>
      <c r="CW28" s="118">
        <f t="shared" si="80"/>
        <v>0</v>
      </c>
      <c r="CX28" s="118">
        <f t="shared" si="81"/>
        <v>0</v>
      </c>
      <c r="CY28" s="118">
        <f t="shared" si="82"/>
        <v>0</v>
      </c>
      <c r="CZ28" s="118">
        <f t="shared" si="83"/>
        <v>0</v>
      </c>
      <c r="DA28" s="118">
        <f t="shared" si="84"/>
        <v>0</v>
      </c>
      <c r="DB28" s="118">
        <f t="shared" si="85"/>
        <v>0</v>
      </c>
      <c r="DC28" s="41">
        <f t="shared" si="143"/>
        <v>0</v>
      </c>
      <c r="DD28" s="12"/>
      <c r="DE28" s="118">
        <f t="shared" si="86"/>
        <v>0</v>
      </c>
      <c r="DF28" s="118">
        <f t="shared" si="87"/>
        <v>0</v>
      </c>
      <c r="DG28" s="118">
        <f t="shared" si="88"/>
        <v>0</v>
      </c>
      <c r="DH28" s="118">
        <f t="shared" si="89"/>
        <v>0</v>
      </c>
      <c r="DI28" s="118">
        <f t="shared" si="90"/>
        <v>0</v>
      </c>
      <c r="DJ28" s="118">
        <f t="shared" si="91"/>
        <v>0</v>
      </c>
      <c r="DK28" s="118">
        <f t="shared" si="92"/>
        <v>0</v>
      </c>
      <c r="DL28" s="118">
        <f t="shared" si="93"/>
        <v>0</v>
      </c>
      <c r="DM28" s="118">
        <f t="shared" si="94"/>
        <v>0</v>
      </c>
      <c r="DN28" s="118">
        <f t="shared" si="95"/>
        <v>0</v>
      </c>
      <c r="DO28" s="118">
        <f t="shared" si="96"/>
        <v>0</v>
      </c>
      <c r="DP28" s="118">
        <f t="shared" si="97"/>
        <v>0</v>
      </c>
      <c r="DQ28" s="41">
        <f t="shared" si="144"/>
        <v>0</v>
      </c>
      <c r="DR28" s="12"/>
      <c r="DS28" s="118">
        <f t="shared" si="98"/>
        <v>0</v>
      </c>
      <c r="DT28" s="118">
        <f t="shared" si="99"/>
        <v>0</v>
      </c>
      <c r="DU28" s="118">
        <f t="shared" si="100"/>
        <v>0</v>
      </c>
      <c r="DV28" s="118">
        <f t="shared" si="101"/>
        <v>0</v>
      </c>
      <c r="DW28" s="118">
        <f t="shared" si="102"/>
        <v>0</v>
      </c>
      <c r="DX28" s="118">
        <f t="shared" si="103"/>
        <v>0</v>
      </c>
      <c r="DY28" s="118">
        <f t="shared" si="104"/>
        <v>0</v>
      </c>
      <c r="DZ28" s="118">
        <f t="shared" si="105"/>
        <v>0</v>
      </c>
      <c r="EA28" s="118">
        <f t="shared" si="106"/>
        <v>0</v>
      </c>
      <c r="EB28" s="118">
        <f t="shared" si="107"/>
        <v>0</v>
      </c>
      <c r="EC28" s="118">
        <f t="shared" si="108"/>
        <v>0</v>
      </c>
      <c r="ED28" s="118">
        <f t="shared" si="109"/>
        <v>0</v>
      </c>
      <c r="EE28" s="41">
        <f t="shared" si="145"/>
        <v>0</v>
      </c>
      <c r="EF28" s="12"/>
      <c r="EG28" s="118">
        <f t="shared" si="110"/>
        <v>0</v>
      </c>
      <c r="EH28" s="118">
        <f t="shared" si="111"/>
        <v>0</v>
      </c>
      <c r="EI28" s="118">
        <f t="shared" si="112"/>
        <v>0</v>
      </c>
      <c r="EJ28" s="118">
        <f t="shared" si="113"/>
        <v>0</v>
      </c>
      <c r="EK28" s="118">
        <f t="shared" si="114"/>
        <v>0</v>
      </c>
      <c r="EL28" s="118">
        <f t="shared" si="115"/>
        <v>0</v>
      </c>
      <c r="EM28" s="118">
        <f t="shared" si="116"/>
        <v>0</v>
      </c>
      <c r="EN28" s="118">
        <f t="shared" si="117"/>
        <v>0</v>
      </c>
      <c r="EO28" s="118">
        <f t="shared" si="118"/>
        <v>0</v>
      </c>
      <c r="EP28" s="118">
        <f t="shared" si="119"/>
        <v>0</v>
      </c>
      <c r="EQ28" s="118">
        <f t="shared" si="120"/>
        <v>0</v>
      </c>
      <c r="ER28" s="118">
        <f t="shared" si="121"/>
        <v>0</v>
      </c>
      <c r="ES28" s="41">
        <f t="shared" si="146"/>
        <v>0</v>
      </c>
    </row>
    <row r="29" spans="1:149" ht="10.199999999999999" x14ac:dyDescent="0.2">
      <c r="A29" s="122">
        <v>1</v>
      </c>
      <c r="C29" s="123"/>
      <c r="D29" s="117" t="str">
        <f>IF(ISERROR(VLOOKUP('Оценка трудоемкости'!$C29,Справочники!S:V,3,0))=TRUE,"",VLOOKUP('Оценка трудоемкости'!$C29,Справочники!S:V,3,0))</f>
        <v/>
      </c>
      <c r="E29" s="117">
        <f>IF(ISERROR(VLOOKUP('Оценка трудоемкости'!$C29,Справочники!S:V,4,0))=TRUE,0,VLOOKUP('Оценка трудоемкости'!$C29,Справочники!S:V,4,0))</f>
        <v>0</v>
      </c>
      <c r="F29" s="125"/>
      <c r="G29" s="116">
        <f t="shared" si="135"/>
        <v>0</v>
      </c>
      <c r="H29" s="12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16">
        <f t="shared" si="136"/>
        <v>0</v>
      </c>
      <c r="V29" s="12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16">
        <f t="shared" si="137"/>
        <v>0</v>
      </c>
      <c r="AJ29" s="12"/>
      <c r="AK29" s="124"/>
      <c r="AL29" s="124"/>
      <c r="AM29" s="124"/>
      <c r="AN29" s="124"/>
      <c r="AO29" s="124"/>
      <c r="AP29" s="124"/>
      <c r="AQ29" s="124"/>
      <c r="AR29" s="124"/>
      <c r="AS29" s="124"/>
      <c r="AT29" s="124"/>
      <c r="AU29" s="124"/>
      <c r="AV29" s="124"/>
      <c r="AW29" s="116">
        <f t="shared" si="138"/>
        <v>0</v>
      </c>
      <c r="AX29" s="12"/>
      <c r="AY29" s="124"/>
      <c r="AZ29" s="124"/>
      <c r="BA29" s="124"/>
      <c r="BB29" s="124"/>
      <c r="BC29" s="124"/>
      <c r="BD29" s="124"/>
      <c r="BE29" s="124"/>
      <c r="BF29" s="124"/>
      <c r="BG29" s="124"/>
      <c r="BH29" s="124"/>
      <c r="BI29" s="124"/>
      <c r="BJ29" s="124"/>
      <c r="BK29" s="116">
        <f t="shared" si="139"/>
        <v>0</v>
      </c>
      <c r="BL29" s="12"/>
      <c r="BM29" s="124"/>
      <c r="BN29" s="124"/>
      <c r="BO29" s="124"/>
      <c r="BP29" s="124"/>
      <c r="BQ29" s="124"/>
      <c r="BR29" s="124"/>
      <c r="BS29" s="124"/>
      <c r="BT29" s="124"/>
      <c r="BU29" s="124"/>
      <c r="BV29" s="124"/>
      <c r="BW29" s="124"/>
      <c r="BX29" s="124"/>
      <c r="BY29" s="116">
        <f t="shared" si="140"/>
        <v>0</v>
      </c>
      <c r="BZ29" s="12"/>
      <c r="CA29" s="200">
        <f t="shared" si="141"/>
        <v>0</v>
      </c>
      <c r="CB29" s="12"/>
      <c r="CC29" s="118">
        <f t="shared" si="62"/>
        <v>0</v>
      </c>
      <c r="CD29" s="118">
        <f t="shared" si="63"/>
        <v>0</v>
      </c>
      <c r="CE29" s="118">
        <f t="shared" si="64"/>
        <v>0</v>
      </c>
      <c r="CF29" s="118">
        <f t="shared" si="65"/>
        <v>0</v>
      </c>
      <c r="CG29" s="118">
        <f t="shared" si="66"/>
        <v>0</v>
      </c>
      <c r="CH29" s="118">
        <f t="shared" si="67"/>
        <v>0</v>
      </c>
      <c r="CI29" s="118">
        <f t="shared" si="68"/>
        <v>0</v>
      </c>
      <c r="CJ29" s="118">
        <f t="shared" si="69"/>
        <v>0</v>
      </c>
      <c r="CK29" s="118">
        <f t="shared" si="70"/>
        <v>0</v>
      </c>
      <c r="CL29" s="118">
        <f t="shared" si="71"/>
        <v>0</v>
      </c>
      <c r="CM29" s="118">
        <f t="shared" si="72"/>
        <v>0</v>
      </c>
      <c r="CN29" s="118">
        <f t="shared" si="73"/>
        <v>0</v>
      </c>
      <c r="CO29" s="41">
        <f t="shared" si="142"/>
        <v>0</v>
      </c>
      <c r="CP29" s="12"/>
      <c r="CQ29" s="118">
        <f t="shared" si="74"/>
        <v>0</v>
      </c>
      <c r="CR29" s="118">
        <f t="shared" si="75"/>
        <v>0</v>
      </c>
      <c r="CS29" s="118">
        <f t="shared" si="76"/>
        <v>0</v>
      </c>
      <c r="CT29" s="118">
        <f t="shared" si="77"/>
        <v>0</v>
      </c>
      <c r="CU29" s="118">
        <f t="shared" si="78"/>
        <v>0</v>
      </c>
      <c r="CV29" s="118">
        <f t="shared" si="79"/>
        <v>0</v>
      </c>
      <c r="CW29" s="118">
        <f t="shared" si="80"/>
        <v>0</v>
      </c>
      <c r="CX29" s="118">
        <f t="shared" si="81"/>
        <v>0</v>
      </c>
      <c r="CY29" s="118">
        <f t="shared" si="82"/>
        <v>0</v>
      </c>
      <c r="CZ29" s="118">
        <f t="shared" si="83"/>
        <v>0</v>
      </c>
      <c r="DA29" s="118">
        <f t="shared" si="84"/>
        <v>0</v>
      </c>
      <c r="DB29" s="118">
        <f t="shared" si="85"/>
        <v>0</v>
      </c>
      <c r="DC29" s="41">
        <f t="shared" si="143"/>
        <v>0</v>
      </c>
      <c r="DD29" s="12"/>
      <c r="DE29" s="118">
        <f t="shared" si="86"/>
        <v>0</v>
      </c>
      <c r="DF29" s="118">
        <f t="shared" si="87"/>
        <v>0</v>
      </c>
      <c r="DG29" s="118">
        <f t="shared" si="88"/>
        <v>0</v>
      </c>
      <c r="DH29" s="118">
        <f t="shared" si="89"/>
        <v>0</v>
      </c>
      <c r="DI29" s="118">
        <f t="shared" si="90"/>
        <v>0</v>
      </c>
      <c r="DJ29" s="118">
        <f t="shared" si="91"/>
        <v>0</v>
      </c>
      <c r="DK29" s="118">
        <f t="shared" si="92"/>
        <v>0</v>
      </c>
      <c r="DL29" s="118">
        <f t="shared" si="93"/>
        <v>0</v>
      </c>
      <c r="DM29" s="118">
        <f t="shared" si="94"/>
        <v>0</v>
      </c>
      <c r="DN29" s="118">
        <f t="shared" si="95"/>
        <v>0</v>
      </c>
      <c r="DO29" s="118">
        <f t="shared" si="96"/>
        <v>0</v>
      </c>
      <c r="DP29" s="118">
        <f t="shared" si="97"/>
        <v>0</v>
      </c>
      <c r="DQ29" s="41">
        <f t="shared" si="144"/>
        <v>0</v>
      </c>
      <c r="DR29" s="12"/>
      <c r="DS29" s="118">
        <f t="shared" si="98"/>
        <v>0</v>
      </c>
      <c r="DT29" s="118">
        <f t="shared" si="99"/>
        <v>0</v>
      </c>
      <c r="DU29" s="118">
        <f t="shared" si="100"/>
        <v>0</v>
      </c>
      <c r="DV29" s="118">
        <f t="shared" si="101"/>
        <v>0</v>
      </c>
      <c r="DW29" s="118">
        <f t="shared" si="102"/>
        <v>0</v>
      </c>
      <c r="DX29" s="118">
        <f t="shared" si="103"/>
        <v>0</v>
      </c>
      <c r="DY29" s="118">
        <f t="shared" si="104"/>
        <v>0</v>
      </c>
      <c r="DZ29" s="118">
        <f t="shared" si="105"/>
        <v>0</v>
      </c>
      <c r="EA29" s="118">
        <f t="shared" si="106"/>
        <v>0</v>
      </c>
      <c r="EB29" s="118">
        <f t="shared" si="107"/>
        <v>0</v>
      </c>
      <c r="EC29" s="118">
        <f t="shared" si="108"/>
        <v>0</v>
      </c>
      <c r="ED29" s="118">
        <f t="shared" si="109"/>
        <v>0</v>
      </c>
      <c r="EE29" s="41">
        <f t="shared" si="145"/>
        <v>0</v>
      </c>
      <c r="EF29" s="12"/>
      <c r="EG29" s="118">
        <f t="shared" si="110"/>
        <v>0</v>
      </c>
      <c r="EH29" s="118">
        <f t="shared" si="111"/>
        <v>0</v>
      </c>
      <c r="EI29" s="118">
        <f t="shared" si="112"/>
        <v>0</v>
      </c>
      <c r="EJ29" s="118">
        <f t="shared" si="113"/>
        <v>0</v>
      </c>
      <c r="EK29" s="118">
        <f t="shared" si="114"/>
        <v>0</v>
      </c>
      <c r="EL29" s="118">
        <f t="shared" si="115"/>
        <v>0</v>
      </c>
      <c r="EM29" s="118">
        <f t="shared" si="116"/>
        <v>0</v>
      </c>
      <c r="EN29" s="118">
        <f t="shared" si="117"/>
        <v>0</v>
      </c>
      <c r="EO29" s="118">
        <f t="shared" si="118"/>
        <v>0</v>
      </c>
      <c r="EP29" s="118">
        <f t="shared" si="119"/>
        <v>0</v>
      </c>
      <c r="EQ29" s="118">
        <f t="shared" si="120"/>
        <v>0</v>
      </c>
      <c r="ER29" s="118">
        <f t="shared" si="121"/>
        <v>0</v>
      </c>
      <c r="ES29" s="41">
        <f t="shared" si="146"/>
        <v>0</v>
      </c>
    </row>
    <row r="30" spans="1:149" ht="10.199999999999999" x14ac:dyDescent="0.2">
      <c r="A30" s="122">
        <v>1</v>
      </c>
      <c r="C30" s="123"/>
      <c r="D30" s="117" t="str">
        <f>IF(ISERROR(VLOOKUP('Оценка трудоемкости'!$C30,Справочники!S:V,3,0))=TRUE,"",VLOOKUP('Оценка трудоемкости'!$C30,Справочники!S:V,3,0))</f>
        <v/>
      </c>
      <c r="E30" s="117">
        <f>IF(ISERROR(VLOOKUP('Оценка трудоемкости'!$C30,Справочники!S:V,4,0))=TRUE,0,VLOOKUP('Оценка трудоемкости'!$C30,Справочники!S:V,4,0))</f>
        <v>0</v>
      </c>
      <c r="F30" s="125"/>
      <c r="G30" s="116">
        <f t="shared" si="135"/>
        <v>0</v>
      </c>
      <c r="H30" s="12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16">
        <f t="shared" si="136"/>
        <v>0</v>
      </c>
      <c r="V30" s="12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16">
        <f t="shared" si="137"/>
        <v>0</v>
      </c>
      <c r="AJ30" s="12"/>
      <c r="AK30" s="124"/>
      <c r="AL30" s="124"/>
      <c r="AM30" s="124"/>
      <c r="AN30" s="124"/>
      <c r="AO30" s="124"/>
      <c r="AP30" s="124"/>
      <c r="AQ30" s="124"/>
      <c r="AR30" s="124"/>
      <c r="AS30" s="124"/>
      <c r="AT30" s="124"/>
      <c r="AU30" s="124"/>
      <c r="AV30" s="124"/>
      <c r="AW30" s="116">
        <f t="shared" si="138"/>
        <v>0</v>
      </c>
      <c r="AX30" s="12"/>
      <c r="AY30" s="124"/>
      <c r="AZ30" s="124"/>
      <c r="BA30" s="124"/>
      <c r="BB30" s="124"/>
      <c r="BC30" s="124"/>
      <c r="BD30" s="124"/>
      <c r="BE30" s="124"/>
      <c r="BF30" s="124"/>
      <c r="BG30" s="124"/>
      <c r="BH30" s="124"/>
      <c r="BI30" s="124"/>
      <c r="BJ30" s="124"/>
      <c r="BK30" s="116">
        <f t="shared" si="139"/>
        <v>0</v>
      </c>
      <c r="BL30" s="12"/>
      <c r="BM30" s="124"/>
      <c r="BN30" s="124"/>
      <c r="BO30" s="124"/>
      <c r="BP30" s="124"/>
      <c r="BQ30" s="124"/>
      <c r="BR30" s="124"/>
      <c r="BS30" s="124"/>
      <c r="BT30" s="124"/>
      <c r="BU30" s="124"/>
      <c r="BV30" s="124"/>
      <c r="BW30" s="124"/>
      <c r="BX30" s="124"/>
      <c r="BY30" s="116">
        <f t="shared" si="140"/>
        <v>0</v>
      </c>
      <c r="BZ30" s="12"/>
      <c r="CA30" s="200">
        <f t="shared" si="141"/>
        <v>0</v>
      </c>
      <c r="CB30" s="12"/>
      <c r="CC30" s="118">
        <f t="shared" si="62"/>
        <v>0</v>
      </c>
      <c r="CD30" s="118">
        <f t="shared" si="63"/>
        <v>0</v>
      </c>
      <c r="CE30" s="118">
        <f t="shared" si="64"/>
        <v>0</v>
      </c>
      <c r="CF30" s="118">
        <f t="shared" si="65"/>
        <v>0</v>
      </c>
      <c r="CG30" s="118">
        <f t="shared" si="66"/>
        <v>0</v>
      </c>
      <c r="CH30" s="118">
        <f t="shared" si="67"/>
        <v>0</v>
      </c>
      <c r="CI30" s="118">
        <f t="shared" si="68"/>
        <v>0</v>
      </c>
      <c r="CJ30" s="118">
        <f t="shared" si="69"/>
        <v>0</v>
      </c>
      <c r="CK30" s="118">
        <f t="shared" si="70"/>
        <v>0</v>
      </c>
      <c r="CL30" s="118">
        <f t="shared" si="71"/>
        <v>0</v>
      </c>
      <c r="CM30" s="118">
        <f t="shared" si="72"/>
        <v>0</v>
      </c>
      <c r="CN30" s="118">
        <f t="shared" si="73"/>
        <v>0</v>
      </c>
      <c r="CO30" s="41">
        <f t="shared" si="142"/>
        <v>0</v>
      </c>
      <c r="CP30" s="12"/>
      <c r="CQ30" s="118">
        <f t="shared" si="74"/>
        <v>0</v>
      </c>
      <c r="CR30" s="118">
        <f t="shared" si="75"/>
        <v>0</v>
      </c>
      <c r="CS30" s="118">
        <f t="shared" si="76"/>
        <v>0</v>
      </c>
      <c r="CT30" s="118">
        <f t="shared" si="77"/>
        <v>0</v>
      </c>
      <c r="CU30" s="118">
        <f t="shared" si="78"/>
        <v>0</v>
      </c>
      <c r="CV30" s="118">
        <f t="shared" si="79"/>
        <v>0</v>
      </c>
      <c r="CW30" s="118">
        <f t="shared" si="80"/>
        <v>0</v>
      </c>
      <c r="CX30" s="118">
        <f t="shared" si="81"/>
        <v>0</v>
      </c>
      <c r="CY30" s="118">
        <f t="shared" si="82"/>
        <v>0</v>
      </c>
      <c r="CZ30" s="118">
        <f t="shared" si="83"/>
        <v>0</v>
      </c>
      <c r="DA30" s="118">
        <f t="shared" si="84"/>
        <v>0</v>
      </c>
      <c r="DB30" s="118">
        <f t="shared" si="85"/>
        <v>0</v>
      </c>
      <c r="DC30" s="41">
        <f t="shared" si="143"/>
        <v>0</v>
      </c>
      <c r="DD30" s="12"/>
      <c r="DE30" s="118">
        <f t="shared" si="86"/>
        <v>0</v>
      </c>
      <c r="DF30" s="118">
        <f t="shared" si="87"/>
        <v>0</v>
      </c>
      <c r="DG30" s="118">
        <f t="shared" si="88"/>
        <v>0</v>
      </c>
      <c r="DH30" s="118">
        <f t="shared" si="89"/>
        <v>0</v>
      </c>
      <c r="DI30" s="118">
        <f t="shared" si="90"/>
        <v>0</v>
      </c>
      <c r="DJ30" s="118">
        <f t="shared" si="91"/>
        <v>0</v>
      </c>
      <c r="DK30" s="118">
        <f t="shared" si="92"/>
        <v>0</v>
      </c>
      <c r="DL30" s="118">
        <f t="shared" si="93"/>
        <v>0</v>
      </c>
      <c r="DM30" s="118">
        <f t="shared" si="94"/>
        <v>0</v>
      </c>
      <c r="DN30" s="118">
        <f t="shared" si="95"/>
        <v>0</v>
      </c>
      <c r="DO30" s="118">
        <f t="shared" si="96"/>
        <v>0</v>
      </c>
      <c r="DP30" s="118">
        <f t="shared" si="97"/>
        <v>0</v>
      </c>
      <c r="DQ30" s="41">
        <f t="shared" si="144"/>
        <v>0</v>
      </c>
      <c r="DR30" s="12"/>
      <c r="DS30" s="118">
        <f t="shared" si="98"/>
        <v>0</v>
      </c>
      <c r="DT30" s="118">
        <f t="shared" si="99"/>
        <v>0</v>
      </c>
      <c r="DU30" s="118">
        <f t="shared" si="100"/>
        <v>0</v>
      </c>
      <c r="DV30" s="118">
        <f t="shared" si="101"/>
        <v>0</v>
      </c>
      <c r="DW30" s="118">
        <f t="shared" si="102"/>
        <v>0</v>
      </c>
      <c r="DX30" s="118">
        <f t="shared" si="103"/>
        <v>0</v>
      </c>
      <c r="DY30" s="118">
        <f t="shared" si="104"/>
        <v>0</v>
      </c>
      <c r="DZ30" s="118">
        <f t="shared" si="105"/>
        <v>0</v>
      </c>
      <c r="EA30" s="118">
        <f t="shared" si="106"/>
        <v>0</v>
      </c>
      <c r="EB30" s="118">
        <f t="shared" si="107"/>
        <v>0</v>
      </c>
      <c r="EC30" s="118">
        <f t="shared" si="108"/>
        <v>0</v>
      </c>
      <c r="ED30" s="118">
        <f t="shared" si="109"/>
        <v>0</v>
      </c>
      <c r="EE30" s="41">
        <f t="shared" si="145"/>
        <v>0</v>
      </c>
      <c r="EF30" s="12"/>
      <c r="EG30" s="118">
        <f t="shared" si="110"/>
        <v>0</v>
      </c>
      <c r="EH30" s="118">
        <f t="shared" si="111"/>
        <v>0</v>
      </c>
      <c r="EI30" s="118">
        <f t="shared" si="112"/>
        <v>0</v>
      </c>
      <c r="EJ30" s="118">
        <f t="shared" si="113"/>
        <v>0</v>
      </c>
      <c r="EK30" s="118">
        <f t="shared" si="114"/>
        <v>0</v>
      </c>
      <c r="EL30" s="118">
        <f t="shared" si="115"/>
        <v>0</v>
      </c>
      <c r="EM30" s="118">
        <f t="shared" si="116"/>
        <v>0</v>
      </c>
      <c r="EN30" s="118">
        <f t="shared" si="117"/>
        <v>0</v>
      </c>
      <c r="EO30" s="118">
        <f t="shared" si="118"/>
        <v>0</v>
      </c>
      <c r="EP30" s="118">
        <f t="shared" si="119"/>
        <v>0</v>
      </c>
      <c r="EQ30" s="118">
        <f t="shared" si="120"/>
        <v>0</v>
      </c>
      <c r="ER30" s="118">
        <f t="shared" si="121"/>
        <v>0</v>
      </c>
      <c r="ES30" s="41">
        <f t="shared" si="146"/>
        <v>0</v>
      </c>
    </row>
    <row r="31" spans="1:149" ht="10.199999999999999" x14ac:dyDescent="0.2">
      <c r="A31" s="122">
        <v>1</v>
      </c>
      <c r="C31" s="123"/>
      <c r="D31" s="117" t="str">
        <f>IF(ISERROR(VLOOKUP('Оценка трудоемкости'!$C31,Справочники!S:V,3,0))=TRUE,"",VLOOKUP('Оценка трудоемкости'!$C31,Справочники!S:V,3,0))</f>
        <v/>
      </c>
      <c r="E31" s="117">
        <f>IF(ISERROR(VLOOKUP('Оценка трудоемкости'!$C31,Справочники!S:V,4,0))=TRUE,0,VLOOKUP('Оценка трудоемкости'!$C31,Справочники!S:V,4,0))</f>
        <v>0</v>
      </c>
      <c r="F31" s="125"/>
      <c r="G31" s="116">
        <f t="shared" si="135"/>
        <v>0</v>
      </c>
      <c r="H31" s="12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16">
        <f t="shared" si="136"/>
        <v>0</v>
      </c>
      <c r="V31" s="12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16">
        <f t="shared" si="137"/>
        <v>0</v>
      </c>
      <c r="AJ31" s="12"/>
      <c r="AK31" s="124"/>
      <c r="AL31" s="124"/>
      <c r="AM31" s="124"/>
      <c r="AN31" s="124"/>
      <c r="AO31" s="124"/>
      <c r="AP31" s="124"/>
      <c r="AQ31" s="124"/>
      <c r="AR31" s="124"/>
      <c r="AS31" s="124"/>
      <c r="AT31" s="124"/>
      <c r="AU31" s="124"/>
      <c r="AV31" s="124"/>
      <c r="AW31" s="116">
        <f t="shared" si="138"/>
        <v>0</v>
      </c>
      <c r="AX31" s="12"/>
      <c r="AY31" s="124"/>
      <c r="AZ31" s="124"/>
      <c r="BA31" s="124"/>
      <c r="BB31" s="124"/>
      <c r="BC31" s="124"/>
      <c r="BD31" s="124"/>
      <c r="BE31" s="124"/>
      <c r="BF31" s="124"/>
      <c r="BG31" s="124"/>
      <c r="BH31" s="124"/>
      <c r="BI31" s="124"/>
      <c r="BJ31" s="124"/>
      <c r="BK31" s="116">
        <f t="shared" si="139"/>
        <v>0</v>
      </c>
      <c r="BL31" s="12"/>
      <c r="BM31" s="124"/>
      <c r="BN31" s="124"/>
      <c r="BO31" s="124"/>
      <c r="BP31" s="124"/>
      <c r="BQ31" s="124"/>
      <c r="BR31" s="124"/>
      <c r="BS31" s="124"/>
      <c r="BT31" s="124"/>
      <c r="BU31" s="124"/>
      <c r="BV31" s="124"/>
      <c r="BW31" s="124"/>
      <c r="BX31" s="124"/>
      <c r="BY31" s="116">
        <f t="shared" si="140"/>
        <v>0</v>
      </c>
      <c r="BZ31" s="12"/>
      <c r="CA31" s="200">
        <f t="shared" si="141"/>
        <v>0</v>
      </c>
      <c r="CB31" s="12"/>
      <c r="CC31" s="118">
        <f t="shared" si="62"/>
        <v>0</v>
      </c>
      <c r="CD31" s="118">
        <f t="shared" si="63"/>
        <v>0</v>
      </c>
      <c r="CE31" s="118">
        <f t="shared" si="64"/>
        <v>0</v>
      </c>
      <c r="CF31" s="118">
        <f t="shared" si="65"/>
        <v>0</v>
      </c>
      <c r="CG31" s="118">
        <f t="shared" si="66"/>
        <v>0</v>
      </c>
      <c r="CH31" s="118">
        <f t="shared" si="67"/>
        <v>0</v>
      </c>
      <c r="CI31" s="118">
        <f t="shared" si="68"/>
        <v>0</v>
      </c>
      <c r="CJ31" s="118">
        <f t="shared" si="69"/>
        <v>0</v>
      </c>
      <c r="CK31" s="118">
        <f t="shared" si="70"/>
        <v>0</v>
      </c>
      <c r="CL31" s="118">
        <f t="shared" si="71"/>
        <v>0</v>
      </c>
      <c r="CM31" s="118">
        <f t="shared" si="72"/>
        <v>0</v>
      </c>
      <c r="CN31" s="118">
        <f t="shared" si="73"/>
        <v>0</v>
      </c>
      <c r="CO31" s="41">
        <f t="shared" si="142"/>
        <v>0</v>
      </c>
      <c r="CP31" s="12"/>
      <c r="CQ31" s="118">
        <f t="shared" si="74"/>
        <v>0</v>
      </c>
      <c r="CR31" s="118">
        <f t="shared" si="75"/>
        <v>0</v>
      </c>
      <c r="CS31" s="118">
        <f t="shared" si="76"/>
        <v>0</v>
      </c>
      <c r="CT31" s="118">
        <f t="shared" si="77"/>
        <v>0</v>
      </c>
      <c r="CU31" s="118">
        <f t="shared" si="78"/>
        <v>0</v>
      </c>
      <c r="CV31" s="118">
        <f t="shared" si="79"/>
        <v>0</v>
      </c>
      <c r="CW31" s="118">
        <f t="shared" si="80"/>
        <v>0</v>
      </c>
      <c r="CX31" s="118">
        <f t="shared" si="81"/>
        <v>0</v>
      </c>
      <c r="CY31" s="118">
        <f t="shared" si="82"/>
        <v>0</v>
      </c>
      <c r="CZ31" s="118">
        <f t="shared" si="83"/>
        <v>0</v>
      </c>
      <c r="DA31" s="118">
        <f t="shared" si="84"/>
        <v>0</v>
      </c>
      <c r="DB31" s="118">
        <f t="shared" si="85"/>
        <v>0</v>
      </c>
      <c r="DC31" s="41">
        <f t="shared" si="143"/>
        <v>0</v>
      </c>
      <c r="DD31" s="12"/>
      <c r="DE31" s="118">
        <f t="shared" si="86"/>
        <v>0</v>
      </c>
      <c r="DF31" s="118">
        <f t="shared" si="87"/>
        <v>0</v>
      </c>
      <c r="DG31" s="118">
        <f t="shared" si="88"/>
        <v>0</v>
      </c>
      <c r="DH31" s="118">
        <f t="shared" si="89"/>
        <v>0</v>
      </c>
      <c r="DI31" s="118">
        <f t="shared" si="90"/>
        <v>0</v>
      </c>
      <c r="DJ31" s="118">
        <f t="shared" si="91"/>
        <v>0</v>
      </c>
      <c r="DK31" s="118">
        <f t="shared" si="92"/>
        <v>0</v>
      </c>
      <c r="DL31" s="118">
        <f t="shared" si="93"/>
        <v>0</v>
      </c>
      <c r="DM31" s="118">
        <f t="shared" si="94"/>
        <v>0</v>
      </c>
      <c r="DN31" s="118">
        <f t="shared" si="95"/>
        <v>0</v>
      </c>
      <c r="DO31" s="118">
        <f t="shared" si="96"/>
        <v>0</v>
      </c>
      <c r="DP31" s="118">
        <f t="shared" si="97"/>
        <v>0</v>
      </c>
      <c r="DQ31" s="41">
        <f t="shared" si="144"/>
        <v>0</v>
      </c>
      <c r="DR31" s="12"/>
      <c r="DS31" s="118">
        <f t="shared" si="98"/>
        <v>0</v>
      </c>
      <c r="DT31" s="118">
        <f t="shared" si="99"/>
        <v>0</v>
      </c>
      <c r="DU31" s="118">
        <f t="shared" si="100"/>
        <v>0</v>
      </c>
      <c r="DV31" s="118">
        <f t="shared" si="101"/>
        <v>0</v>
      </c>
      <c r="DW31" s="118">
        <f t="shared" si="102"/>
        <v>0</v>
      </c>
      <c r="DX31" s="118">
        <f t="shared" si="103"/>
        <v>0</v>
      </c>
      <c r="DY31" s="118">
        <f t="shared" si="104"/>
        <v>0</v>
      </c>
      <c r="DZ31" s="118">
        <f t="shared" si="105"/>
        <v>0</v>
      </c>
      <c r="EA31" s="118">
        <f t="shared" si="106"/>
        <v>0</v>
      </c>
      <c r="EB31" s="118">
        <f t="shared" si="107"/>
        <v>0</v>
      </c>
      <c r="EC31" s="118">
        <f t="shared" si="108"/>
        <v>0</v>
      </c>
      <c r="ED31" s="118">
        <f t="shared" si="109"/>
        <v>0</v>
      </c>
      <c r="EE31" s="41">
        <f t="shared" si="145"/>
        <v>0</v>
      </c>
      <c r="EF31" s="12"/>
      <c r="EG31" s="118">
        <f t="shared" si="110"/>
        <v>0</v>
      </c>
      <c r="EH31" s="118">
        <f t="shared" si="111"/>
        <v>0</v>
      </c>
      <c r="EI31" s="118">
        <f t="shared" si="112"/>
        <v>0</v>
      </c>
      <c r="EJ31" s="118">
        <f t="shared" si="113"/>
        <v>0</v>
      </c>
      <c r="EK31" s="118">
        <f t="shared" si="114"/>
        <v>0</v>
      </c>
      <c r="EL31" s="118">
        <f t="shared" si="115"/>
        <v>0</v>
      </c>
      <c r="EM31" s="118">
        <f t="shared" si="116"/>
        <v>0</v>
      </c>
      <c r="EN31" s="118">
        <f t="shared" si="117"/>
        <v>0</v>
      </c>
      <c r="EO31" s="118">
        <f t="shared" si="118"/>
        <v>0</v>
      </c>
      <c r="EP31" s="118">
        <f t="shared" si="119"/>
        <v>0</v>
      </c>
      <c r="EQ31" s="118">
        <f t="shared" si="120"/>
        <v>0</v>
      </c>
      <c r="ER31" s="118">
        <f t="shared" si="121"/>
        <v>0</v>
      </c>
      <c r="ES31" s="41">
        <f t="shared" si="146"/>
        <v>0</v>
      </c>
    </row>
    <row r="32" spans="1:149" ht="10.199999999999999" x14ac:dyDescent="0.2">
      <c r="A32" s="122">
        <v>1</v>
      </c>
      <c r="C32" s="123"/>
      <c r="D32" s="117" t="str">
        <f>IF(ISERROR(VLOOKUP('Оценка трудоемкости'!$C32,Справочники!S:V,3,0))=TRUE,"",VLOOKUP('Оценка трудоемкости'!$C32,Справочники!S:V,3,0))</f>
        <v/>
      </c>
      <c r="E32" s="117">
        <f>IF(ISERROR(VLOOKUP('Оценка трудоемкости'!$C32,Справочники!S:V,4,0))=TRUE,0,VLOOKUP('Оценка трудоемкости'!$C32,Справочники!S:V,4,0))</f>
        <v>0</v>
      </c>
      <c r="F32" s="125"/>
      <c r="G32" s="116">
        <f t="shared" si="135"/>
        <v>0</v>
      </c>
      <c r="H32" s="12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16">
        <f t="shared" si="136"/>
        <v>0</v>
      </c>
      <c r="V32" s="12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16">
        <f t="shared" si="137"/>
        <v>0</v>
      </c>
      <c r="AJ32" s="12"/>
      <c r="AK32" s="124"/>
      <c r="AL32" s="124"/>
      <c r="AM32" s="124"/>
      <c r="AN32" s="124"/>
      <c r="AO32" s="124"/>
      <c r="AP32" s="124"/>
      <c r="AQ32" s="124"/>
      <c r="AR32" s="124"/>
      <c r="AS32" s="124"/>
      <c r="AT32" s="124"/>
      <c r="AU32" s="124"/>
      <c r="AV32" s="124"/>
      <c r="AW32" s="116">
        <f t="shared" si="138"/>
        <v>0</v>
      </c>
      <c r="AX32" s="12"/>
      <c r="AY32" s="124"/>
      <c r="AZ32" s="124"/>
      <c r="BA32" s="124"/>
      <c r="BB32" s="124"/>
      <c r="BC32" s="124"/>
      <c r="BD32" s="124"/>
      <c r="BE32" s="124"/>
      <c r="BF32" s="124"/>
      <c r="BG32" s="124"/>
      <c r="BH32" s="124"/>
      <c r="BI32" s="124"/>
      <c r="BJ32" s="124"/>
      <c r="BK32" s="116">
        <f t="shared" si="139"/>
        <v>0</v>
      </c>
      <c r="BL32" s="12"/>
      <c r="BM32" s="124"/>
      <c r="BN32" s="124"/>
      <c r="BO32" s="124"/>
      <c r="BP32" s="124"/>
      <c r="BQ32" s="124"/>
      <c r="BR32" s="124"/>
      <c r="BS32" s="124"/>
      <c r="BT32" s="124"/>
      <c r="BU32" s="124"/>
      <c r="BV32" s="124"/>
      <c r="BW32" s="124"/>
      <c r="BX32" s="124"/>
      <c r="BY32" s="116">
        <f t="shared" si="140"/>
        <v>0</v>
      </c>
      <c r="BZ32" s="12"/>
      <c r="CA32" s="200">
        <f t="shared" si="141"/>
        <v>0</v>
      </c>
      <c r="CB32" s="12"/>
      <c r="CC32" s="118">
        <f t="shared" si="62"/>
        <v>0</v>
      </c>
      <c r="CD32" s="118">
        <f t="shared" si="63"/>
        <v>0</v>
      </c>
      <c r="CE32" s="118">
        <f t="shared" si="64"/>
        <v>0</v>
      </c>
      <c r="CF32" s="118">
        <f t="shared" si="65"/>
        <v>0</v>
      </c>
      <c r="CG32" s="118">
        <f t="shared" si="66"/>
        <v>0</v>
      </c>
      <c r="CH32" s="118">
        <f t="shared" si="67"/>
        <v>0</v>
      </c>
      <c r="CI32" s="118">
        <f t="shared" si="68"/>
        <v>0</v>
      </c>
      <c r="CJ32" s="118">
        <f t="shared" si="69"/>
        <v>0</v>
      </c>
      <c r="CK32" s="118">
        <f t="shared" si="70"/>
        <v>0</v>
      </c>
      <c r="CL32" s="118">
        <f t="shared" si="71"/>
        <v>0</v>
      </c>
      <c r="CM32" s="118">
        <f t="shared" si="72"/>
        <v>0</v>
      </c>
      <c r="CN32" s="118">
        <f t="shared" si="73"/>
        <v>0</v>
      </c>
      <c r="CO32" s="41">
        <f t="shared" si="142"/>
        <v>0</v>
      </c>
      <c r="CP32" s="12"/>
      <c r="CQ32" s="118">
        <f t="shared" si="74"/>
        <v>0</v>
      </c>
      <c r="CR32" s="118">
        <f t="shared" si="75"/>
        <v>0</v>
      </c>
      <c r="CS32" s="118">
        <f t="shared" si="76"/>
        <v>0</v>
      </c>
      <c r="CT32" s="118">
        <f t="shared" si="77"/>
        <v>0</v>
      </c>
      <c r="CU32" s="118">
        <f t="shared" si="78"/>
        <v>0</v>
      </c>
      <c r="CV32" s="118">
        <f t="shared" si="79"/>
        <v>0</v>
      </c>
      <c r="CW32" s="118">
        <f t="shared" si="80"/>
        <v>0</v>
      </c>
      <c r="CX32" s="118">
        <f t="shared" si="81"/>
        <v>0</v>
      </c>
      <c r="CY32" s="118">
        <f t="shared" si="82"/>
        <v>0</v>
      </c>
      <c r="CZ32" s="118">
        <f t="shared" si="83"/>
        <v>0</v>
      </c>
      <c r="DA32" s="118">
        <f t="shared" si="84"/>
        <v>0</v>
      </c>
      <c r="DB32" s="118">
        <f t="shared" si="85"/>
        <v>0</v>
      </c>
      <c r="DC32" s="41">
        <f t="shared" si="143"/>
        <v>0</v>
      </c>
      <c r="DD32" s="12"/>
      <c r="DE32" s="118">
        <f t="shared" si="86"/>
        <v>0</v>
      </c>
      <c r="DF32" s="118">
        <f t="shared" si="87"/>
        <v>0</v>
      </c>
      <c r="DG32" s="118">
        <f t="shared" si="88"/>
        <v>0</v>
      </c>
      <c r="DH32" s="118">
        <f t="shared" si="89"/>
        <v>0</v>
      </c>
      <c r="DI32" s="118">
        <f t="shared" si="90"/>
        <v>0</v>
      </c>
      <c r="DJ32" s="118">
        <f t="shared" si="91"/>
        <v>0</v>
      </c>
      <c r="DK32" s="118">
        <f t="shared" si="92"/>
        <v>0</v>
      </c>
      <c r="DL32" s="118">
        <f t="shared" si="93"/>
        <v>0</v>
      </c>
      <c r="DM32" s="118">
        <f t="shared" si="94"/>
        <v>0</v>
      </c>
      <c r="DN32" s="118">
        <f t="shared" si="95"/>
        <v>0</v>
      </c>
      <c r="DO32" s="118">
        <f t="shared" si="96"/>
        <v>0</v>
      </c>
      <c r="DP32" s="118">
        <f t="shared" si="97"/>
        <v>0</v>
      </c>
      <c r="DQ32" s="41">
        <f t="shared" si="144"/>
        <v>0</v>
      </c>
      <c r="DR32" s="12"/>
      <c r="DS32" s="118">
        <f t="shared" si="98"/>
        <v>0</v>
      </c>
      <c r="DT32" s="118">
        <f t="shared" si="99"/>
        <v>0</v>
      </c>
      <c r="DU32" s="118">
        <f t="shared" si="100"/>
        <v>0</v>
      </c>
      <c r="DV32" s="118">
        <f t="shared" si="101"/>
        <v>0</v>
      </c>
      <c r="DW32" s="118">
        <f t="shared" si="102"/>
        <v>0</v>
      </c>
      <c r="DX32" s="118">
        <f t="shared" si="103"/>
        <v>0</v>
      </c>
      <c r="DY32" s="118">
        <f t="shared" si="104"/>
        <v>0</v>
      </c>
      <c r="DZ32" s="118">
        <f t="shared" si="105"/>
        <v>0</v>
      </c>
      <c r="EA32" s="118">
        <f t="shared" si="106"/>
        <v>0</v>
      </c>
      <c r="EB32" s="118">
        <f t="shared" si="107"/>
        <v>0</v>
      </c>
      <c r="EC32" s="118">
        <f t="shared" si="108"/>
        <v>0</v>
      </c>
      <c r="ED32" s="118">
        <f t="shared" si="109"/>
        <v>0</v>
      </c>
      <c r="EE32" s="41">
        <f t="shared" si="145"/>
        <v>0</v>
      </c>
      <c r="EF32" s="12"/>
      <c r="EG32" s="118">
        <f t="shared" si="110"/>
        <v>0</v>
      </c>
      <c r="EH32" s="118">
        <f t="shared" si="111"/>
        <v>0</v>
      </c>
      <c r="EI32" s="118">
        <f t="shared" si="112"/>
        <v>0</v>
      </c>
      <c r="EJ32" s="118">
        <f t="shared" si="113"/>
        <v>0</v>
      </c>
      <c r="EK32" s="118">
        <f t="shared" si="114"/>
        <v>0</v>
      </c>
      <c r="EL32" s="118">
        <f t="shared" si="115"/>
        <v>0</v>
      </c>
      <c r="EM32" s="118">
        <f t="shared" si="116"/>
        <v>0</v>
      </c>
      <c r="EN32" s="118">
        <f t="shared" si="117"/>
        <v>0</v>
      </c>
      <c r="EO32" s="118">
        <f t="shared" si="118"/>
        <v>0</v>
      </c>
      <c r="EP32" s="118">
        <f t="shared" si="119"/>
        <v>0</v>
      </c>
      <c r="EQ32" s="118">
        <f t="shared" si="120"/>
        <v>0</v>
      </c>
      <c r="ER32" s="118">
        <f t="shared" si="121"/>
        <v>0</v>
      </c>
      <c r="ES32" s="41">
        <f t="shared" si="146"/>
        <v>0</v>
      </c>
    </row>
    <row r="33" spans="1:149" ht="10.199999999999999" x14ac:dyDescent="0.2">
      <c r="A33" s="122">
        <v>1</v>
      </c>
      <c r="C33" s="123"/>
      <c r="D33" s="117" t="str">
        <f>IF(ISERROR(VLOOKUP('Оценка трудоемкости'!$C33,Справочники!S:V,3,0))=TRUE,"",VLOOKUP('Оценка трудоемкости'!$C33,Справочники!S:V,3,0))</f>
        <v/>
      </c>
      <c r="E33" s="117">
        <f>IF(ISERROR(VLOOKUP('Оценка трудоемкости'!$C33,Справочники!S:V,4,0))=TRUE,0,VLOOKUP('Оценка трудоемкости'!$C33,Справочники!S:V,4,0))</f>
        <v>0</v>
      </c>
      <c r="F33" s="125"/>
      <c r="G33" s="116">
        <f t="shared" si="135"/>
        <v>0</v>
      </c>
      <c r="H33" s="12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16">
        <f t="shared" si="136"/>
        <v>0</v>
      </c>
      <c r="V33" s="12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16">
        <f t="shared" si="137"/>
        <v>0</v>
      </c>
      <c r="AJ33" s="12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16">
        <f t="shared" si="138"/>
        <v>0</v>
      </c>
      <c r="AX33" s="12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16">
        <f t="shared" si="139"/>
        <v>0</v>
      </c>
      <c r="BL33" s="12"/>
      <c r="BM33" s="124"/>
      <c r="BN33" s="124"/>
      <c r="BO33" s="124"/>
      <c r="BP33" s="124"/>
      <c r="BQ33" s="124"/>
      <c r="BR33" s="124"/>
      <c r="BS33" s="124"/>
      <c r="BT33" s="124"/>
      <c r="BU33" s="124"/>
      <c r="BV33" s="124"/>
      <c r="BW33" s="124"/>
      <c r="BX33" s="124"/>
      <c r="BY33" s="116">
        <f t="shared" si="140"/>
        <v>0</v>
      </c>
      <c r="BZ33" s="12"/>
      <c r="CA33" s="200">
        <f t="shared" si="141"/>
        <v>0</v>
      </c>
      <c r="CB33" s="12"/>
      <c r="CC33" s="118">
        <f t="shared" si="62"/>
        <v>0</v>
      </c>
      <c r="CD33" s="118">
        <f t="shared" si="63"/>
        <v>0</v>
      </c>
      <c r="CE33" s="118">
        <f t="shared" si="64"/>
        <v>0</v>
      </c>
      <c r="CF33" s="118">
        <f t="shared" si="65"/>
        <v>0</v>
      </c>
      <c r="CG33" s="118">
        <f t="shared" si="66"/>
        <v>0</v>
      </c>
      <c r="CH33" s="118">
        <f t="shared" si="67"/>
        <v>0</v>
      </c>
      <c r="CI33" s="118">
        <f t="shared" si="68"/>
        <v>0</v>
      </c>
      <c r="CJ33" s="118">
        <f t="shared" si="69"/>
        <v>0</v>
      </c>
      <c r="CK33" s="118">
        <f t="shared" si="70"/>
        <v>0</v>
      </c>
      <c r="CL33" s="118">
        <f t="shared" si="71"/>
        <v>0</v>
      </c>
      <c r="CM33" s="118">
        <f t="shared" si="72"/>
        <v>0</v>
      </c>
      <c r="CN33" s="118">
        <f t="shared" si="73"/>
        <v>0</v>
      </c>
      <c r="CO33" s="41">
        <f t="shared" si="142"/>
        <v>0</v>
      </c>
      <c r="CP33" s="12"/>
      <c r="CQ33" s="118">
        <f t="shared" si="74"/>
        <v>0</v>
      </c>
      <c r="CR33" s="118">
        <f t="shared" si="75"/>
        <v>0</v>
      </c>
      <c r="CS33" s="118">
        <f t="shared" si="76"/>
        <v>0</v>
      </c>
      <c r="CT33" s="118">
        <f t="shared" si="77"/>
        <v>0</v>
      </c>
      <c r="CU33" s="118">
        <f t="shared" si="78"/>
        <v>0</v>
      </c>
      <c r="CV33" s="118">
        <f t="shared" si="79"/>
        <v>0</v>
      </c>
      <c r="CW33" s="118">
        <f t="shared" si="80"/>
        <v>0</v>
      </c>
      <c r="CX33" s="118">
        <f t="shared" si="81"/>
        <v>0</v>
      </c>
      <c r="CY33" s="118">
        <f t="shared" si="82"/>
        <v>0</v>
      </c>
      <c r="CZ33" s="118">
        <f t="shared" si="83"/>
        <v>0</v>
      </c>
      <c r="DA33" s="118">
        <f t="shared" si="84"/>
        <v>0</v>
      </c>
      <c r="DB33" s="118">
        <f t="shared" si="85"/>
        <v>0</v>
      </c>
      <c r="DC33" s="41">
        <f t="shared" si="143"/>
        <v>0</v>
      </c>
      <c r="DD33" s="12"/>
      <c r="DE33" s="118">
        <f t="shared" si="86"/>
        <v>0</v>
      </c>
      <c r="DF33" s="118">
        <f t="shared" si="87"/>
        <v>0</v>
      </c>
      <c r="DG33" s="118">
        <f t="shared" si="88"/>
        <v>0</v>
      </c>
      <c r="DH33" s="118">
        <f t="shared" si="89"/>
        <v>0</v>
      </c>
      <c r="DI33" s="118">
        <f t="shared" si="90"/>
        <v>0</v>
      </c>
      <c r="DJ33" s="118">
        <f t="shared" si="91"/>
        <v>0</v>
      </c>
      <c r="DK33" s="118">
        <f t="shared" si="92"/>
        <v>0</v>
      </c>
      <c r="DL33" s="118">
        <f t="shared" si="93"/>
        <v>0</v>
      </c>
      <c r="DM33" s="118">
        <f t="shared" si="94"/>
        <v>0</v>
      </c>
      <c r="DN33" s="118">
        <f t="shared" si="95"/>
        <v>0</v>
      </c>
      <c r="DO33" s="118">
        <f t="shared" si="96"/>
        <v>0</v>
      </c>
      <c r="DP33" s="118">
        <f t="shared" si="97"/>
        <v>0</v>
      </c>
      <c r="DQ33" s="41">
        <f t="shared" si="144"/>
        <v>0</v>
      </c>
      <c r="DR33" s="12"/>
      <c r="DS33" s="118">
        <f t="shared" si="98"/>
        <v>0</v>
      </c>
      <c r="DT33" s="118">
        <f t="shared" si="99"/>
        <v>0</v>
      </c>
      <c r="DU33" s="118">
        <f t="shared" si="100"/>
        <v>0</v>
      </c>
      <c r="DV33" s="118">
        <f t="shared" si="101"/>
        <v>0</v>
      </c>
      <c r="DW33" s="118">
        <f t="shared" si="102"/>
        <v>0</v>
      </c>
      <c r="DX33" s="118">
        <f t="shared" si="103"/>
        <v>0</v>
      </c>
      <c r="DY33" s="118">
        <f t="shared" si="104"/>
        <v>0</v>
      </c>
      <c r="DZ33" s="118">
        <f t="shared" si="105"/>
        <v>0</v>
      </c>
      <c r="EA33" s="118">
        <f t="shared" si="106"/>
        <v>0</v>
      </c>
      <c r="EB33" s="118">
        <f t="shared" si="107"/>
        <v>0</v>
      </c>
      <c r="EC33" s="118">
        <f t="shared" si="108"/>
        <v>0</v>
      </c>
      <c r="ED33" s="118">
        <f t="shared" si="109"/>
        <v>0</v>
      </c>
      <c r="EE33" s="41">
        <f t="shared" si="145"/>
        <v>0</v>
      </c>
      <c r="EF33" s="12"/>
      <c r="EG33" s="118">
        <f t="shared" si="110"/>
        <v>0</v>
      </c>
      <c r="EH33" s="118">
        <f t="shared" si="111"/>
        <v>0</v>
      </c>
      <c r="EI33" s="118">
        <f t="shared" si="112"/>
        <v>0</v>
      </c>
      <c r="EJ33" s="118">
        <f t="shared" si="113"/>
        <v>0</v>
      </c>
      <c r="EK33" s="118">
        <f t="shared" si="114"/>
        <v>0</v>
      </c>
      <c r="EL33" s="118">
        <f t="shared" si="115"/>
        <v>0</v>
      </c>
      <c r="EM33" s="118">
        <f t="shared" si="116"/>
        <v>0</v>
      </c>
      <c r="EN33" s="118">
        <f t="shared" si="117"/>
        <v>0</v>
      </c>
      <c r="EO33" s="118">
        <f t="shared" si="118"/>
        <v>0</v>
      </c>
      <c r="EP33" s="118">
        <f t="shared" si="119"/>
        <v>0</v>
      </c>
      <c r="EQ33" s="118">
        <f t="shared" si="120"/>
        <v>0</v>
      </c>
      <c r="ER33" s="118">
        <f t="shared" si="121"/>
        <v>0</v>
      </c>
      <c r="ES33" s="41">
        <f t="shared" si="146"/>
        <v>0</v>
      </c>
    </row>
    <row r="34" spans="1:149" ht="10.199999999999999" x14ac:dyDescent="0.2">
      <c r="A34" s="122">
        <v>1</v>
      </c>
      <c r="C34" s="123"/>
      <c r="D34" s="117" t="str">
        <f>IF(ISERROR(VLOOKUP('Оценка трудоемкости'!$C34,Справочники!S:V,3,0))=TRUE,"",VLOOKUP('Оценка трудоемкости'!$C34,Справочники!S:V,3,0))</f>
        <v/>
      </c>
      <c r="E34" s="117">
        <f>IF(ISERROR(VLOOKUP('Оценка трудоемкости'!$C34,Справочники!S:V,4,0))=TRUE,0,VLOOKUP('Оценка трудоемкости'!$C34,Справочники!S:V,4,0))</f>
        <v>0</v>
      </c>
      <c r="F34" s="125"/>
      <c r="G34" s="116">
        <f t="shared" si="135"/>
        <v>0</v>
      </c>
      <c r="H34" s="12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16">
        <f t="shared" si="136"/>
        <v>0</v>
      </c>
      <c r="V34" s="12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16">
        <f t="shared" si="137"/>
        <v>0</v>
      </c>
      <c r="AJ34" s="12"/>
      <c r="AK34" s="124"/>
      <c r="AL34" s="124"/>
      <c r="AM34" s="124"/>
      <c r="AN34" s="124"/>
      <c r="AO34" s="124"/>
      <c r="AP34" s="124"/>
      <c r="AQ34" s="124"/>
      <c r="AR34" s="124"/>
      <c r="AS34" s="124"/>
      <c r="AT34" s="124"/>
      <c r="AU34" s="124"/>
      <c r="AV34" s="124"/>
      <c r="AW34" s="116">
        <f t="shared" si="138"/>
        <v>0</v>
      </c>
      <c r="AX34" s="12"/>
      <c r="AY34" s="124"/>
      <c r="AZ34" s="124"/>
      <c r="BA34" s="124"/>
      <c r="BB34" s="124"/>
      <c r="BC34" s="124"/>
      <c r="BD34" s="124"/>
      <c r="BE34" s="124"/>
      <c r="BF34" s="124"/>
      <c r="BG34" s="124"/>
      <c r="BH34" s="124"/>
      <c r="BI34" s="124"/>
      <c r="BJ34" s="124"/>
      <c r="BK34" s="116">
        <f t="shared" si="139"/>
        <v>0</v>
      </c>
      <c r="BL34" s="12"/>
      <c r="BM34" s="124"/>
      <c r="BN34" s="124"/>
      <c r="BO34" s="124"/>
      <c r="BP34" s="124"/>
      <c r="BQ34" s="124"/>
      <c r="BR34" s="124"/>
      <c r="BS34" s="124"/>
      <c r="BT34" s="124"/>
      <c r="BU34" s="124"/>
      <c r="BV34" s="124"/>
      <c r="BW34" s="124"/>
      <c r="BX34" s="124"/>
      <c r="BY34" s="116">
        <f t="shared" si="140"/>
        <v>0</v>
      </c>
      <c r="BZ34" s="12"/>
      <c r="CA34" s="200">
        <f t="shared" si="141"/>
        <v>0</v>
      </c>
      <c r="CB34" s="12"/>
      <c r="CC34" s="118">
        <f t="shared" si="62"/>
        <v>0</v>
      </c>
      <c r="CD34" s="118">
        <f t="shared" si="63"/>
        <v>0</v>
      </c>
      <c r="CE34" s="118">
        <f t="shared" si="64"/>
        <v>0</v>
      </c>
      <c r="CF34" s="118">
        <f t="shared" si="65"/>
        <v>0</v>
      </c>
      <c r="CG34" s="118">
        <f t="shared" si="66"/>
        <v>0</v>
      </c>
      <c r="CH34" s="118">
        <f t="shared" si="67"/>
        <v>0</v>
      </c>
      <c r="CI34" s="118">
        <f t="shared" si="68"/>
        <v>0</v>
      </c>
      <c r="CJ34" s="118">
        <f t="shared" si="69"/>
        <v>0</v>
      </c>
      <c r="CK34" s="118">
        <f t="shared" si="70"/>
        <v>0</v>
      </c>
      <c r="CL34" s="118">
        <f t="shared" si="71"/>
        <v>0</v>
      </c>
      <c r="CM34" s="118">
        <f t="shared" si="72"/>
        <v>0</v>
      </c>
      <c r="CN34" s="118">
        <f t="shared" si="73"/>
        <v>0</v>
      </c>
      <c r="CO34" s="41">
        <f t="shared" si="142"/>
        <v>0</v>
      </c>
      <c r="CP34" s="12"/>
      <c r="CQ34" s="118">
        <f t="shared" si="74"/>
        <v>0</v>
      </c>
      <c r="CR34" s="118">
        <f t="shared" si="75"/>
        <v>0</v>
      </c>
      <c r="CS34" s="118">
        <f t="shared" si="76"/>
        <v>0</v>
      </c>
      <c r="CT34" s="118">
        <f t="shared" si="77"/>
        <v>0</v>
      </c>
      <c r="CU34" s="118">
        <f t="shared" si="78"/>
        <v>0</v>
      </c>
      <c r="CV34" s="118">
        <f t="shared" si="79"/>
        <v>0</v>
      </c>
      <c r="CW34" s="118">
        <f t="shared" si="80"/>
        <v>0</v>
      </c>
      <c r="CX34" s="118">
        <f t="shared" si="81"/>
        <v>0</v>
      </c>
      <c r="CY34" s="118">
        <f t="shared" si="82"/>
        <v>0</v>
      </c>
      <c r="CZ34" s="118">
        <f t="shared" si="83"/>
        <v>0</v>
      </c>
      <c r="DA34" s="118">
        <f t="shared" si="84"/>
        <v>0</v>
      </c>
      <c r="DB34" s="118">
        <f t="shared" si="85"/>
        <v>0</v>
      </c>
      <c r="DC34" s="41">
        <f t="shared" si="143"/>
        <v>0</v>
      </c>
      <c r="DD34" s="12"/>
      <c r="DE34" s="118">
        <f t="shared" si="86"/>
        <v>0</v>
      </c>
      <c r="DF34" s="118">
        <f t="shared" si="87"/>
        <v>0</v>
      </c>
      <c r="DG34" s="118">
        <f t="shared" si="88"/>
        <v>0</v>
      </c>
      <c r="DH34" s="118">
        <f t="shared" si="89"/>
        <v>0</v>
      </c>
      <c r="DI34" s="118">
        <f t="shared" si="90"/>
        <v>0</v>
      </c>
      <c r="DJ34" s="118">
        <f t="shared" si="91"/>
        <v>0</v>
      </c>
      <c r="DK34" s="118">
        <f t="shared" si="92"/>
        <v>0</v>
      </c>
      <c r="DL34" s="118">
        <f t="shared" si="93"/>
        <v>0</v>
      </c>
      <c r="DM34" s="118">
        <f t="shared" si="94"/>
        <v>0</v>
      </c>
      <c r="DN34" s="118">
        <f t="shared" si="95"/>
        <v>0</v>
      </c>
      <c r="DO34" s="118">
        <f t="shared" si="96"/>
        <v>0</v>
      </c>
      <c r="DP34" s="118">
        <f t="shared" si="97"/>
        <v>0</v>
      </c>
      <c r="DQ34" s="41">
        <f t="shared" si="144"/>
        <v>0</v>
      </c>
      <c r="DR34" s="12"/>
      <c r="DS34" s="118">
        <f t="shared" si="98"/>
        <v>0</v>
      </c>
      <c r="DT34" s="118">
        <f t="shared" si="99"/>
        <v>0</v>
      </c>
      <c r="DU34" s="118">
        <f t="shared" si="100"/>
        <v>0</v>
      </c>
      <c r="DV34" s="118">
        <f t="shared" si="101"/>
        <v>0</v>
      </c>
      <c r="DW34" s="118">
        <f t="shared" si="102"/>
        <v>0</v>
      </c>
      <c r="DX34" s="118">
        <f t="shared" si="103"/>
        <v>0</v>
      </c>
      <c r="DY34" s="118">
        <f t="shared" si="104"/>
        <v>0</v>
      </c>
      <c r="DZ34" s="118">
        <f t="shared" si="105"/>
        <v>0</v>
      </c>
      <c r="EA34" s="118">
        <f t="shared" si="106"/>
        <v>0</v>
      </c>
      <c r="EB34" s="118">
        <f t="shared" si="107"/>
        <v>0</v>
      </c>
      <c r="EC34" s="118">
        <f t="shared" si="108"/>
        <v>0</v>
      </c>
      <c r="ED34" s="118">
        <f t="shared" si="109"/>
        <v>0</v>
      </c>
      <c r="EE34" s="41">
        <f t="shared" si="145"/>
        <v>0</v>
      </c>
      <c r="EF34" s="12"/>
      <c r="EG34" s="118">
        <f t="shared" si="110"/>
        <v>0</v>
      </c>
      <c r="EH34" s="118">
        <f t="shared" si="111"/>
        <v>0</v>
      </c>
      <c r="EI34" s="118">
        <f t="shared" si="112"/>
        <v>0</v>
      </c>
      <c r="EJ34" s="118">
        <f t="shared" si="113"/>
        <v>0</v>
      </c>
      <c r="EK34" s="118">
        <f t="shared" si="114"/>
        <v>0</v>
      </c>
      <c r="EL34" s="118">
        <f t="shared" si="115"/>
        <v>0</v>
      </c>
      <c r="EM34" s="118">
        <f t="shared" si="116"/>
        <v>0</v>
      </c>
      <c r="EN34" s="118">
        <f t="shared" si="117"/>
        <v>0</v>
      </c>
      <c r="EO34" s="118">
        <f t="shared" si="118"/>
        <v>0</v>
      </c>
      <c r="EP34" s="118">
        <f t="shared" si="119"/>
        <v>0</v>
      </c>
      <c r="EQ34" s="118">
        <f t="shared" si="120"/>
        <v>0</v>
      </c>
      <c r="ER34" s="118">
        <f t="shared" si="121"/>
        <v>0</v>
      </c>
      <c r="ES34" s="41">
        <f t="shared" si="146"/>
        <v>0</v>
      </c>
    </row>
    <row r="35" spans="1:149" ht="10.199999999999999" x14ac:dyDescent="0.2">
      <c r="A35" s="122">
        <v>1</v>
      </c>
      <c r="C35" s="123"/>
      <c r="D35" s="117" t="str">
        <f>IF(ISERROR(VLOOKUP('Оценка трудоемкости'!$C35,Справочники!S:V,3,0))=TRUE,"",VLOOKUP('Оценка трудоемкости'!$C35,Справочники!S:V,3,0))</f>
        <v/>
      </c>
      <c r="E35" s="117">
        <f>IF(ISERROR(VLOOKUP('Оценка трудоемкости'!$C35,Справочники!S:V,4,0))=TRUE,0,VLOOKUP('Оценка трудоемкости'!$C35,Справочники!S:V,4,0))</f>
        <v>0</v>
      </c>
      <c r="F35" s="125"/>
      <c r="G35" s="116">
        <f t="shared" si="135"/>
        <v>0</v>
      </c>
      <c r="H35" s="12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16">
        <f t="shared" si="136"/>
        <v>0</v>
      </c>
      <c r="V35" s="12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16">
        <f t="shared" si="137"/>
        <v>0</v>
      </c>
      <c r="AJ35" s="12"/>
      <c r="AK35" s="124"/>
      <c r="AL35" s="124"/>
      <c r="AM35" s="124"/>
      <c r="AN35" s="124"/>
      <c r="AO35" s="124"/>
      <c r="AP35" s="124"/>
      <c r="AQ35" s="124"/>
      <c r="AR35" s="124"/>
      <c r="AS35" s="124"/>
      <c r="AT35" s="124"/>
      <c r="AU35" s="124"/>
      <c r="AV35" s="124"/>
      <c r="AW35" s="116">
        <f t="shared" si="138"/>
        <v>0</v>
      </c>
      <c r="AX35" s="12"/>
      <c r="AY35" s="124"/>
      <c r="AZ35" s="124"/>
      <c r="BA35" s="124"/>
      <c r="BB35" s="124"/>
      <c r="BC35" s="124"/>
      <c r="BD35" s="124"/>
      <c r="BE35" s="124"/>
      <c r="BF35" s="124"/>
      <c r="BG35" s="124"/>
      <c r="BH35" s="124"/>
      <c r="BI35" s="124"/>
      <c r="BJ35" s="124"/>
      <c r="BK35" s="116">
        <f t="shared" si="139"/>
        <v>0</v>
      </c>
      <c r="BL35" s="12"/>
      <c r="BM35" s="124"/>
      <c r="BN35" s="124"/>
      <c r="BO35" s="124"/>
      <c r="BP35" s="124"/>
      <c r="BQ35" s="124"/>
      <c r="BR35" s="124"/>
      <c r="BS35" s="124"/>
      <c r="BT35" s="124"/>
      <c r="BU35" s="124"/>
      <c r="BV35" s="124"/>
      <c r="BW35" s="124"/>
      <c r="BX35" s="124"/>
      <c r="BY35" s="116">
        <f t="shared" si="140"/>
        <v>0</v>
      </c>
      <c r="BZ35" s="12"/>
      <c r="CA35" s="200">
        <f t="shared" si="141"/>
        <v>0</v>
      </c>
      <c r="CB35" s="12"/>
      <c r="CC35" s="118">
        <f t="shared" si="62"/>
        <v>0</v>
      </c>
      <c r="CD35" s="118">
        <f t="shared" si="63"/>
        <v>0</v>
      </c>
      <c r="CE35" s="118">
        <f t="shared" si="64"/>
        <v>0</v>
      </c>
      <c r="CF35" s="118">
        <f t="shared" si="65"/>
        <v>0</v>
      </c>
      <c r="CG35" s="118">
        <f t="shared" si="66"/>
        <v>0</v>
      </c>
      <c r="CH35" s="118">
        <f t="shared" si="67"/>
        <v>0</v>
      </c>
      <c r="CI35" s="118">
        <f t="shared" si="68"/>
        <v>0</v>
      </c>
      <c r="CJ35" s="118">
        <f t="shared" si="69"/>
        <v>0</v>
      </c>
      <c r="CK35" s="118">
        <f t="shared" si="70"/>
        <v>0</v>
      </c>
      <c r="CL35" s="118">
        <f t="shared" si="71"/>
        <v>0</v>
      </c>
      <c r="CM35" s="118">
        <f t="shared" si="72"/>
        <v>0</v>
      </c>
      <c r="CN35" s="118">
        <f t="shared" si="73"/>
        <v>0</v>
      </c>
      <c r="CO35" s="41">
        <f t="shared" si="142"/>
        <v>0</v>
      </c>
      <c r="CP35" s="12"/>
      <c r="CQ35" s="118">
        <f t="shared" si="74"/>
        <v>0</v>
      </c>
      <c r="CR35" s="118">
        <f t="shared" si="75"/>
        <v>0</v>
      </c>
      <c r="CS35" s="118">
        <f t="shared" si="76"/>
        <v>0</v>
      </c>
      <c r="CT35" s="118">
        <f t="shared" si="77"/>
        <v>0</v>
      </c>
      <c r="CU35" s="118">
        <f t="shared" si="78"/>
        <v>0</v>
      </c>
      <c r="CV35" s="118">
        <f t="shared" si="79"/>
        <v>0</v>
      </c>
      <c r="CW35" s="118">
        <f t="shared" si="80"/>
        <v>0</v>
      </c>
      <c r="CX35" s="118">
        <f t="shared" si="81"/>
        <v>0</v>
      </c>
      <c r="CY35" s="118">
        <f t="shared" si="82"/>
        <v>0</v>
      </c>
      <c r="CZ35" s="118">
        <f t="shared" si="83"/>
        <v>0</v>
      </c>
      <c r="DA35" s="118">
        <f t="shared" si="84"/>
        <v>0</v>
      </c>
      <c r="DB35" s="118">
        <f t="shared" si="85"/>
        <v>0</v>
      </c>
      <c r="DC35" s="41">
        <f t="shared" si="143"/>
        <v>0</v>
      </c>
      <c r="DD35" s="12"/>
      <c r="DE35" s="118">
        <f t="shared" si="86"/>
        <v>0</v>
      </c>
      <c r="DF35" s="118">
        <f t="shared" si="87"/>
        <v>0</v>
      </c>
      <c r="DG35" s="118">
        <f t="shared" si="88"/>
        <v>0</v>
      </c>
      <c r="DH35" s="118">
        <f t="shared" si="89"/>
        <v>0</v>
      </c>
      <c r="DI35" s="118">
        <f t="shared" si="90"/>
        <v>0</v>
      </c>
      <c r="DJ35" s="118">
        <f t="shared" si="91"/>
        <v>0</v>
      </c>
      <c r="DK35" s="118">
        <f t="shared" si="92"/>
        <v>0</v>
      </c>
      <c r="DL35" s="118">
        <f t="shared" si="93"/>
        <v>0</v>
      </c>
      <c r="DM35" s="118">
        <f t="shared" si="94"/>
        <v>0</v>
      </c>
      <c r="DN35" s="118">
        <f t="shared" si="95"/>
        <v>0</v>
      </c>
      <c r="DO35" s="118">
        <f t="shared" si="96"/>
        <v>0</v>
      </c>
      <c r="DP35" s="118">
        <f t="shared" si="97"/>
        <v>0</v>
      </c>
      <c r="DQ35" s="41">
        <f t="shared" si="144"/>
        <v>0</v>
      </c>
      <c r="DR35" s="12"/>
      <c r="DS35" s="118">
        <f t="shared" si="98"/>
        <v>0</v>
      </c>
      <c r="DT35" s="118">
        <f t="shared" si="99"/>
        <v>0</v>
      </c>
      <c r="DU35" s="118">
        <f t="shared" si="100"/>
        <v>0</v>
      </c>
      <c r="DV35" s="118">
        <f t="shared" si="101"/>
        <v>0</v>
      </c>
      <c r="DW35" s="118">
        <f t="shared" si="102"/>
        <v>0</v>
      </c>
      <c r="DX35" s="118">
        <f t="shared" si="103"/>
        <v>0</v>
      </c>
      <c r="DY35" s="118">
        <f t="shared" si="104"/>
        <v>0</v>
      </c>
      <c r="DZ35" s="118">
        <f t="shared" si="105"/>
        <v>0</v>
      </c>
      <c r="EA35" s="118">
        <f t="shared" si="106"/>
        <v>0</v>
      </c>
      <c r="EB35" s="118">
        <f t="shared" si="107"/>
        <v>0</v>
      </c>
      <c r="EC35" s="118">
        <f t="shared" si="108"/>
        <v>0</v>
      </c>
      <c r="ED35" s="118">
        <f t="shared" si="109"/>
        <v>0</v>
      </c>
      <c r="EE35" s="41">
        <f t="shared" si="145"/>
        <v>0</v>
      </c>
      <c r="EF35" s="12"/>
      <c r="EG35" s="118">
        <f t="shared" si="110"/>
        <v>0</v>
      </c>
      <c r="EH35" s="118">
        <f t="shared" si="111"/>
        <v>0</v>
      </c>
      <c r="EI35" s="118">
        <f t="shared" si="112"/>
        <v>0</v>
      </c>
      <c r="EJ35" s="118">
        <f t="shared" si="113"/>
        <v>0</v>
      </c>
      <c r="EK35" s="118">
        <f t="shared" si="114"/>
        <v>0</v>
      </c>
      <c r="EL35" s="118">
        <f t="shared" si="115"/>
        <v>0</v>
      </c>
      <c r="EM35" s="118">
        <f t="shared" si="116"/>
        <v>0</v>
      </c>
      <c r="EN35" s="118">
        <f t="shared" si="117"/>
        <v>0</v>
      </c>
      <c r="EO35" s="118">
        <f t="shared" si="118"/>
        <v>0</v>
      </c>
      <c r="EP35" s="118">
        <f t="shared" si="119"/>
        <v>0</v>
      </c>
      <c r="EQ35" s="118">
        <f t="shared" si="120"/>
        <v>0</v>
      </c>
      <c r="ER35" s="118">
        <f t="shared" si="121"/>
        <v>0</v>
      </c>
      <c r="ES35" s="41">
        <f t="shared" si="146"/>
        <v>0</v>
      </c>
    </row>
    <row r="36" spans="1:149" ht="10.199999999999999" x14ac:dyDescent="0.2">
      <c r="A36" s="122">
        <v>1</v>
      </c>
      <c r="C36" s="123"/>
      <c r="D36" s="117" t="str">
        <f>IF(ISERROR(VLOOKUP('Оценка трудоемкости'!$C36,Справочники!S:V,3,0))=TRUE,"",VLOOKUP('Оценка трудоемкости'!$C36,Справочники!S:V,3,0))</f>
        <v/>
      </c>
      <c r="E36" s="117">
        <f>IF(ISERROR(VLOOKUP('Оценка трудоемкости'!$C36,Справочники!S:V,4,0))=TRUE,0,VLOOKUP('Оценка трудоемкости'!$C36,Справочники!S:V,4,0))</f>
        <v>0</v>
      </c>
      <c r="F36" s="125"/>
      <c r="G36" s="116">
        <f t="shared" si="135"/>
        <v>0</v>
      </c>
      <c r="H36" s="12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16">
        <f t="shared" si="136"/>
        <v>0</v>
      </c>
      <c r="V36" s="12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16">
        <f t="shared" si="137"/>
        <v>0</v>
      </c>
      <c r="AJ36" s="12"/>
      <c r="AK36" s="124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24"/>
      <c r="AW36" s="116">
        <f t="shared" si="138"/>
        <v>0</v>
      </c>
      <c r="AX36" s="12"/>
      <c r="AY36" s="124"/>
      <c r="AZ36" s="124"/>
      <c r="BA36" s="124"/>
      <c r="BB36" s="124"/>
      <c r="BC36" s="124"/>
      <c r="BD36" s="124"/>
      <c r="BE36" s="124"/>
      <c r="BF36" s="124"/>
      <c r="BG36" s="124"/>
      <c r="BH36" s="124"/>
      <c r="BI36" s="124"/>
      <c r="BJ36" s="124"/>
      <c r="BK36" s="116">
        <f t="shared" si="139"/>
        <v>0</v>
      </c>
      <c r="BL36" s="12"/>
      <c r="BM36" s="124"/>
      <c r="BN36" s="124"/>
      <c r="BO36" s="124"/>
      <c r="BP36" s="124"/>
      <c r="BQ36" s="124"/>
      <c r="BR36" s="124"/>
      <c r="BS36" s="124"/>
      <c r="BT36" s="124"/>
      <c r="BU36" s="124"/>
      <c r="BV36" s="124"/>
      <c r="BW36" s="124"/>
      <c r="BX36" s="124"/>
      <c r="BY36" s="116">
        <f t="shared" si="140"/>
        <v>0</v>
      </c>
      <c r="BZ36" s="12"/>
      <c r="CA36" s="200">
        <f t="shared" si="141"/>
        <v>0</v>
      </c>
      <c r="CB36" s="12"/>
      <c r="CC36" s="118">
        <f t="shared" si="62"/>
        <v>0</v>
      </c>
      <c r="CD36" s="118">
        <f t="shared" si="63"/>
        <v>0</v>
      </c>
      <c r="CE36" s="118">
        <f t="shared" si="64"/>
        <v>0</v>
      </c>
      <c r="CF36" s="118">
        <f t="shared" si="65"/>
        <v>0</v>
      </c>
      <c r="CG36" s="118">
        <f t="shared" si="66"/>
        <v>0</v>
      </c>
      <c r="CH36" s="118">
        <f t="shared" si="67"/>
        <v>0</v>
      </c>
      <c r="CI36" s="118">
        <f t="shared" si="68"/>
        <v>0</v>
      </c>
      <c r="CJ36" s="118">
        <f t="shared" si="69"/>
        <v>0</v>
      </c>
      <c r="CK36" s="118">
        <f t="shared" si="70"/>
        <v>0</v>
      </c>
      <c r="CL36" s="118">
        <f t="shared" si="71"/>
        <v>0</v>
      </c>
      <c r="CM36" s="118">
        <f t="shared" si="72"/>
        <v>0</v>
      </c>
      <c r="CN36" s="118">
        <f t="shared" si="73"/>
        <v>0</v>
      </c>
      <c r="CO36" s="41">
        <f t="shared" si="142"/>
        <v>0</v>
      </c>
      <c r="CP36" s="12"/>
      <c r="CQ36" s="118">
        <f t="shared" si="74"/>
        <v>0</v>
      </c>
      <c r="CR36" s="118">
        <f t="shared" si="75"/>
        <v>0</v>
      </c>
      <c r="CS36" s="118">
        <f t="shared" si="76"/>
        <v>0</v>
      </c>
      <c r="CT36" s="118">
        <f t="shared" si="77"/>
        <v>0</v>
      </c>
      <c r="CU36" s="118">
        <f t="shared" si="78"/>
        <v>0</v>
      </c>
      <c r="CV36" s="118">
        <f t="shared" si="79"/>
        <v>0</v>
      </c>
      <c r="CW36" s="118">
        <f t="shared" si="80"/>
        <v>0</v>
      </c>
      <c r="CX36" s="118">
        <f t="shared" si="81"/>
        <v>0</v>
      </c>
      <c r="CY36" s="118">
        <f t="shared" si="82"/>
        <v>0</v>
      </c>
      <c r="CZ36" s="118">
        <f t="shared" si="83"/>
        <v>0</v>
      </c>
      <c r="DA36" s="118">
        <f t="shared" si="84"/>
        <v>0</v>
      </c>
      <c r="DB36" s="118">
        <f t="shared" si="85"/>
        <v>0</v>
      </c>
      <c r="DC36" s="41">
        <f t="shared" si="143"/>
        <v>0</v>
      </c>
      <c r="DD36" s="12"/>
      <c r="DE36" s="118">
        <f t="shared" si="86"/>
        <v>0</v>
      </c>
      <c r="DF36" s="118">
        <f t="shared" si="87"/>
        <v>0</v>
      </c>
      <c r="DG36" s="118">
        <f t="shared" si="88"/>
        <v>0</v>
      </c>
      <c r="DH36" s="118">
        <f t="shared" si="89"/>
        <v>0</v>
      </c>
      <c r="DI36" s="118">
        <f t="shared" si="90"/>
        <v>0</v>
      </c>
      <c r="DJ36" s="118">
        <f t="shared" si="91"/>
        <v>0</v>
      </c>
      <c r="DK36" s="118">
        <f t="shared" si="92"/>
        <v>0</v>
      </c>
      <c r="DL36" s="118">
        <f t="shared" si="93"/>
        <v>0</v>
      </c>
      <c r="DM36" s="118">
        <f t="shared" si="94"/>
        <v>0</v>
      </c>
      <c r="DN36" s="118">
        <f t="shared" si="95"/>
        <v>0</v>
      </c>
      <c r="DO36" s="118">
        <f t="shared" si="96"/>
        <v>0</v>
      </c>
      <c r="DP36" s="118">
        <f t="shared" si="97"/>
        <v>0</v>
      </c>
      <c r="DQ36" s="41">
        <f t="shared" si="144"/>
        <v>0</v>
      </c>
      <c r="DR36" s="12"/>
      <c r="DS36" s="118">
        <f t="shared" si="98"/>
        <v>0</v>
      </c>
      <c r="DT36" s="118">
        <f t="shared" si="99"/>
        <v>0</v>
      </c>
      <c r="DU36" s="118">
        <f t="shared" si="100"/>
        <v>0</v>
      </c>
      <c r="DV36" s="118">
        <f t="shared" si="101"/>
        <v>0</v>
      </c>
      <c r="DW36" s="118">
        <f t="shared" si="102"/>
        <v>0</v>
      </c>
      <c r="DX36" s="118">
        <f t="shared" si="103"/>
        <v>0</v>
      </c>
      <c r="DY36" s="118">
        <f t="shared" si="104"/>
        <v>0</v>
      </c>
      <c r="DZ36" s="118">
        <f t="shared" si="105"/>
        <v>0</v>
      </c>
      <c r="EA36" s="118">
        <f t="shared" si="106"/>
        <v>0</v>
      </c>
      <c r="EB36" s="118">
        <f t="shared" si="107"/>
        <v>0</v>
      </c>
      <c r="EC36" s="118">
        <f t="shared" si="108"/>
        <v>0</v>
      </c>
      <c r="ED36" s="118">
        <f t="shared" si="109"/>
        <v>0</v>
      </c>
      <c r="EE36" s="41">
        <f t="shared" si="145"/>
        <v>0</v>
      </c>
      <c r="EF36" s="12"/>
      <c r="EG36" s="118">
        <f t="shared" si="110"/>
        <v>0</v>
      </c>
      <c r="EH36" s="118">
        <f t="shared" si="111"/>
        <v>0</v>
      </c>
      <c r="EI36" s="118">
        <f t="shared" si="112"/>
        <v>0</v>
      </c>
      <c r="EJ36" s="118">
        <f t="shared" si="113"/>
        <v>0</v>
      </c>
      <c r="EK36" s="118">
        <f t="shared" si="114"/>
        <v>0</v>
      </c>
      <c r="EL36" s="118">
        <f t="shared" si="115"/>
        <v>0</v>
      </c>
      <c r="EM36" s="118">
        <f t="shared" si="116"/>
        <v>0</v>
      </c>
      <c r="EN36" s="118">
        <f t="shared" si="117"/>
        <v>0</v>
      </c>
      <c r="EO36" s="118">
        <f t="shared" si="118"/>
        <v>0</v>
      </c>
      <c r="EP36" s="118">
        <f t="shared" si="119"/>
        <v>0</v>
      </c>
      <c r="EQ36" s="118">
        <f t="shared" si="120"/>
        <v>0</v>
      </c>
      <c r="ER36" s="118">
        <f t="shared" si="121"/>
        <v>0</v>
      </c>
      <c r="ES36" s="41">
        <f t="shared" si="146"/>
        <v>0</v>
      </c>
    </row>
    <row r="37" spans="1:149" ht="10.199999999999999" x14ac:dyDescent="0.2">
      <c r="A37" s="122">
        <v>1</v>
      </c>
      <c r="C37" s="123"/>
      <c r="D37" s="117" t="str">
        <f>IF(ISERROR(VLOOKUP('Оценка трудоемкости'!$C37,Справочники!S:V,3,0))=TRUE,"",VLOOKUP('Оценка трудоемкости'!$C37,Справочники!S:V,3,0))</f>
        <v/>
      </c>
      <c r="E37" s="117">
        <f>IF(ISERROR(VLOOKUP('Оценка трудоемкости'!$C37,Справочники!S:V,4,0))=TRUE,0,VLOOKUP('Оценка трудоемкости'!$C37,Справочники!S:V,4,0))</f>
        <v>0</v>
      </c>
      <c r="F37" s="125"/>
      <c r="G37" s="116">
        <f t="shared" si="135"/>
        <v>0</v>
      </c>
      <c r="H37" s="12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16">
        <f t="shared" si="136"/>
        <v>0</v>
      </c>
      <c r="V37" s="12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16">
        <f t="shared" si="137"/>
        <v>0</v>
      </c>
      <c r="AJ37" s="12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16">
        <f t="shared" si="138"/>
        <v>0</v>
      </c>
      <c r="AX37" s="12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16">
        <f t="shared" si="139"/>
        <v>0</v>
      </c>
      <c r="BL37" s="12"/>
      <c r="BM37" s="124"/>
      <c r="BN37" s="124"/>
      <c r="BO37" s="124"/>
      <c r="BP37" s="124"/>
      <c r="BQ37" s="124"/>
      <c r="BR37" s="124"/>
      <c r="BS37" s="124"/>
      <c r="BT37" s="124"/>
      <c r="BU37" s="124"/>
      <c r="BV37" s="124"/>
      <c r="BW37" s="124"/>
      <c r="BX37" s="124"/>
      <c r="BY37" s="116">
        <f t="shared" si="140"/>
        <v>0</v>
      </c>
      <c r="BZ37" s="12"/>
      <c r="CA37" s="200">
        <f t="shared" si="141"/>
        <v>0</v>
      </c>
      <c r="CB37" s="12"/>
      <c r="CC37" s="118">
        <f t="shared" si="62"/>
        <v>0</v>
      </c>
      <c r="CD37" s="118">
        <f t="shared" si="63"/>
        <v>0</v>
      </c>
      <c r="CE37" s="118">
        <f t="shared" si="64"/>
        <v>0</v>
      </c>
      <c r="CF37" s="118">
        <f t="shared" si="65"/>
        <v>0</v>
      </c>
      <c r="CG37" s="118">
        <f t="shared" si="66"/>
        <v>0</v>
      </c>
      <c r="CH37" s="118">
        <f t="shared" si="67"/>
        <v>0</v>
      </c>
      <c r="CI37" s="118">
        <f t="shared" si="68"/>
        <v>0</v>
      </c>
      <c r="CJ37" s="118">
        <f t="shared" si="69"/>
        <v>0</v>
      </c>
      <c r="CK37" s="118">
        <f t="shared" si="70"/>
        <v>0</v>
      </c>
      <c r="CL37" s="118">
        <f t="shared" si="71"/>
        <v>0</v>
      </c>
      <c r="CM37" s="118">
        <f t="shared" si="72"/>
        <v>0</v>
      </c>
      <c r="CN37" s="118">
        <f t="shared" si="73"/>
        <v>0</v>
      </c>
      <c r="CO37" s="41">
        <f t="shared" si="142"/>
        <v>0</v>
      </c>
      <c r="CP37" s="12"/>
      <c r="CQ37" s="118">
        <f t="shared" si="74"/>
        <v>0</v>
      </c>
      <c r="CR37" s="118">
        <f t="shared" si="75"/>
        <v>0</v>
      </c>
      <c r="CS37" s="118">
        <f t="shared" si="76"/>
        <v>0</v>
      </c>
      <c r="CT37" s="118">
        <f t="shared" si="77"/>
        <v>0</v>
      </c>
      <c r="CU37" s="118">
        <f t="shared" si="78"/>
        <v>0</v>
      </c>
      <c r="CV37" s="118">
        <f t="shared" si="79"/>
        <v>0</v>
      </c>
      <c r="CW37" s="118">
        <f t="shared" si="80"/>
        <v>0</v>
      </c>
      <c r="CX37" s="118">
        <f t="shared" si="81"/>
        <v>0</v>
      </c>
      <c r="CY37" s="118">
        <f t="shared" si="82"/>
        <v>0</v>
      </c>
      <c r="CZ37" s="118">
        <f t="shared" si="83"/>
        <v>0</v>
      </c>
      <c r="DA37" s="118">
        <f t="shared" si="84"/>
        <v>0</v>
      </c>
      <c r="DB37" s="118">
        <f t="shared" si="85"/>
        <v>0</v>
      </c>
      <c r="DC37" s="41">
        <f t="shared" si="143"/>
        <v>0</v>
      </c>
      <c r="DD37" s="12"/>
      <c r="DE37" s="118">
        <f t="shared" si="86"/>
        <v>0</v>
      </c>
      <c r="DF37" s="118">
        <f t="shared" si="87"/>
        <v>0</v>
      </c>
      <c r="DG37" s="118">
        <f t="shared" si="88"/>
        <v>0</v>
      </c>
      <c r="DH37" s="118">
        <f t="shared" si="89"/>
        <v>0</v>
      </c>
      <c r="DI37" s="118">
        <f t="shared" si="90"/>
        <v>0</v>
      </c>
      <c r="DJ37" s="118">
        <f t="shared" si="91"/>
        <v>0</v>
      </c>
      <c r="DK37" s="118">
        <f t="shared" si="92"/>
        <v>0</v>
      </c>
      <c r="DL37" s="118">
        <f t="shared" si="93"/>
        <v>0</v>
      </c>
      <c r="DM37" s="118">
        <f t="shared" si="94"/>
        <v>0</v>
      </c>
      <c r="DN37" s="118">
        <f t="shared" si="95"/>
        <v>0</v>
      </c>
      <c r="DO37" s="118">
        <f t="shared" si="96"/>
        <v>0</v>
      </c>
      <c r="DP37" s="118">
        <f t="shared" si="97"/>
        <v>0</v>
      </c>
      <c r="DQ37" s="41">
        <f t="shared" si="144"/>
        <v>0</v>
      </c>
      <c r="DR37" s="12"/>
      <c r="DS37" s="118">
        <f t="shared" si="98"/>
        <v>0</v>
      </c>
      <c r="DT37" s="118">
        <f t="shared" si="99"/>
        <v>0</v>
      </c>
      <c r="DU37" s="118">
        <f t="shared" si="100"/>
        <v>0</v>
      </c>
      <c r="DV37" s="118">
        <f t="shared" si="101"/>
        <v>0</v>
      </c>
      <c r="DW37" s="118">
        <f t="shared" si="102"/>
        <v>0</v>
      </c>
      <c r="DX37" s="118">
        <f t="shared" si="103"/>
        <v>0</v>
      </c>
      <c r="DY37" s="118">
        <f t="shared" si="104"/>
        <v>0</v>
      </c>
      <c r="DZ37" s="118">
        <f t="shared" si="105"/>
        <v>0</v>
      </c>
      <c r="EA37" s="118">
        <f t="shared" si="106"/>
        <v>0</v>
      </c>
      <c r="EB37" s="118">
        <f t="shared" si="107"/>
        <v>0</v>
      </c>
      <c r="EC37" s="118">
        <f t="shared" si="108"/>
        <v>0</v>
      </c>
      <c r="ED37" s="118">
        <f t="shared" si="109"/>
        <v>0</v>
      </c>
      <c r="EE37" s="41">
        <f t="shared" si="145"/>
        <v>0</v>
      </c>
      <c r="EF37" s="12"/>
      <c r="EG37" s="118">
        <f t="shared" si="110"/>
        <v>0</v>
      </c>
      <c r="EH37" s="118">
        <f t="shared" si="111"/>
        <v>0</v>
      </c>
      <c r="EI37" s="118">
        <f t="shared" si="112"/>
        <v>0</v>
      </c>
      <c r="EJ37" s="118">
        <f t="shared" si="113"/>
        <v>0</v>
      </c>
      <c r="EK37" s="118">
        <f t="shared" si="114"/>
        <v>0</v>
      </c>
      <c r="EL37" s="118">
        <f t="shared" si="115"/>
        <v>0</v>
      </c>
      <c r="EM37" s="118">
        <f t="shared" si="116"/>
        <v>0</v>
      </c>
      <c r="EN37" s="118">
        <f t="shared" si="117"/>
        <v>0</v>
      </c>
      <c r="EO37" s="118">
        <f t="shared" si="118"/>
        <v>0</v>
      </c>
      <c r="EP37" s="118">
        <f t="shared" si="119"/>
        <v>0</v>
      </c>
      <c r="EQ37" s="118">
        <f t="shared" si="120"/>
        <v>0</v>
      </c>
      <c r="ER37" s="118">
        <f t="shared" si="121"/>
        <v>0</v>
      </c>
      <c r="ES37" s="41">
        <f t="shared" si="146"/>
        <v>0</v>
      </c>
    </row>
    <row r="38" spans="1:149" ht="10.199999999999999" x14ac:dyDescent="0.2">
      <c r="A38" s="122">
        <v>1</v>
      </c>
      <c r="C38" s="123"/>
      <c r="D38" s="117" t="str">
        <f>IF(ISERROR(VLOOKUP('Оценка трудоемкости'!$C38,Справочники!S:V,3,0))=TRUE,"",VLOOKUP('Оценка трудоемкости'!$C38,Справочники!S:V,3,0))</f>
        <v/>
      </c>
      <c r="E38" s="117">
        <f>IF(ISERROR(VLOOKUP('Оценка трудоемкости'!$C38,Справочники!S:V,4,0))=TRUE,0,VLOOKUP('Оценка трудоемкости'!$C38,Справочники!S:V,4,0))</f>
        <v>0</v>
      </c>
      <c r="F38" s="125"/>
      <c r="G38" s="116">
        <f t="shared" si="135"/>
        <v>0</v>
      </c>
      <c r="H38" s="12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16">
        <f t="shared" si="136"/>
        <v>0</v>
      </c>
      <c r="V38" s="12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16">
        <f t="shared" si="137"/>
        <v>0</v>
      </c>
      <c r="AJ38" s="12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16">
        <f t="shared" si="138"/>
        <v>0</v>
      </c>
      <c r="AX38" s="12"/>
      <c r="AY38" s="124"/>
      <c r="AZ38" s="124"/>
      <c r="BA38" s="124"/>
      <c r="BB38" s="124"/>
      <c r="BC38" s="124"/>
      <c r="BD38" s="124"/>
      <c r="BE38" s="124"/>
      <c r="BF38" s="124"/>
      <c r="BG38" s="124"/>
      <c r="BH38" s="124"/>
      <c r="BI38" s="124"/>
      <c r="BJ38" s="124"/>
      <c r="BK38" s="116">
        <f t="shared" si="139"/>
        <v>0</v>
      </c>
      <c r="BL38" s="12"/>
      <c r="BM38" s="124"/>
      <c r="BN38" s="124"/>
      <c r="BO38" s="124"/>
      <c r="BP38" s="124"/>
      <c r="BQ38" s="124"/>
      <c r="BR38" s="124"/>
      <c r="BS38" s="124"/>
      <c r="BT38" s="124"/>
      <c r="BU38" s="124"/>
      <c r="BV38" s="124"/>
      <c r="BW38" s="124"/>
      <c r="BX38" s="124"/>
      <c r="BY38" s="116">
        <f t="shared" si="140"/>
        <v>0</v>
      </c>
      <c r="BZ38" s="12"/>
      <c r="CA38" s="200">
        <f t="shared" si="141"/>
        <v>0</v>
      </c>
      <c r="CB38" s="12"/>
      <c r="CC38" s="118">
        <f t="shared" si="62"/>
        <v>0</v>
      </c>
      <c r="CD38" s="118">
        <f t="shared" si="63"/>
        <v>0</v>
      </c>
      <c r="CE38" s="118">
        <f t="shared" si="64"/>
        <v>0</v>
      </c>
      <c r="CF38" s="118">
        <f t="shared" si="65"/>
        <v>0</v>
      </c>
      <c r="CG38" s="118">
        <f t="shared" si="66"/>
        <v>0</v>
      </c>
      <c r="CH38" s="118">
        <f t="shared" si="67"/>
        <v>0</v>
      </c>
      <c r="CI38" s="118">
        <f t="shared" si="68"/>
        <v>0</v>
      </c>
      <c r="CJ38" s="118">
        <f t="shared" si="69"/>
        <v>0</v>
      </c>
      <c r="CK38" s="118">
        <f t="shared" si="70"/>
        <v>0</v>
      </c>
      <c r="CL38" s="118">
        <f t="shared" si="71"/>
        <v>0</v>
      </c>
      <c r="CM38" s="118">
        <f t="shared" si="72"/>
        <v>0</v>
      </c>
      <c r="CN38" s="118">
        <f t="shared" si="73"/>
        <v>0</v>
      </c>
      <c r="CO38" s="41">
        <f t="shared" si="142"/>
        <v>0</v>
      </c>
      <c r="CP38" s="12"/>
      <c r="CQ38" s="118">
        <f t="shared" si="74"/>
        <v>0</v>
      </c>
      <c r="CR38" s="118">
        <f t="shared" si="75"/>
        <v>0</v>
      </c>
      <c r="CS38" s="118">
        <f t="shared" si="76"/>
        <v>0</v>
      </c>
      <c r="CT38" s="118">
        <f t="shared" si="77"/>
        <v>0</v>
      </c>
      <c r="CU38" s="118">
        <f t="shared" si="78"/>
        <v>0</v>
      </c>
      <c r="CV38" s="118">
        <f t="shared" si="79"/>
        <v>0</v>
      </c>
      <c r="CW38" s="118">
        <f t="shared" si="80"/>
        <v>0</v>
      </c>
      <c r="CX38" s="118">
        <f t="shared" si="81"/>
        <v>0</v>
      </c>
      <c r="CY38" s="118">
        <f t="shared" si="82"/>
        <v>0</v>
      </c>
      <c r="CZ38" s="118">
        <f t="shared" si="83"/>
        <v>0</v>
      </c>
      <c r="DA38" s="118">
        <f t="shared" si="84"/>
        <v>0</v>
      </c>
      <c r="DB38" s="118">
        <f t="shared" si="85"/>
        <v>0</v>
      </c>
      <c r="DC38" s="41">
        <f t="shared" si="143"/>
        <v>0</v>
      </c>
      <c r="DD38" s="12"/>
      <c r="DE38" s="118">
        <f t="shared" si="86"/>
        <v>0</v>
      </c>
      <c r="DF38" s="118">
        <f t="shared" si="87"/>
        <v>0</v>
      </c>
      <c r="DG38" s="118">
        <f t="shared" si="88"/>
        <v>0</v>
      </c>
      <c r="DH38" s="118">
        <f t="shared" si="89"/>
        <v>0</v>
      </c>
      <c r="DI38" s="118">
        <f t="shared" si="90"/>
        <v>0</v>
      </c>
      <c r="DJ38" s="118">
        <f t="shared" si="91"/>
        <v>0</v>
      </c>
      <c r="DK38" s="118">
        <f t="shared" si="92"/>
        <v>0</v>
      </c>
      <c r="DL38" s="118">
        <f t="shared" si="93"/>
        <v>0</v>
      </c>
      <c r="DM38" s="118">
        <f t="shared" si="94"/>
        <v>0</v>
      </c>
      <c r="DN38" s="118">
        <f t="shared" si="95"/>
        <v>0</v>
      </c>
      <c r="DO38" s="118">
        <f t="shared" si="96"/>
        <v>0</v>
      </c>
      <c r="DP38" s="118">
        <f t="shared" si="97"/>
        <v>0</v>
      </c>
      <c r="DQ38" s="41">
        <f t="shared" si="144"/>
        <v>0</v>
      </c>
      <c r="DR38" s="12"/>
      <c r="DS38" s="118">
        <f t="shared" si="98"/>
        <v>0</v>
      </c>
      <c r="DT38" s="118">
        <f t="shared" si="99"/>
        <v>0</v>
      </c>
      <c r="DU38" s="118">
        <f t="shared" si="100"/>
        <v>0</v>
      </c>
      <c r="DV38" s="118">
        <f t="shared" si="101"/>
        <v>0</v>
      </c>
      <c r="DW38" s="118">
        <f t="shared" si="102"/>
        <v>0</v>
      </c>
      <c r="DX38" s="118">
        <f t="shared" si="103"/>
        <v>0</v>
      </c>
      <c r="DY38" s="118">
        <f t="shared" si="104"/>
        <v>0</v>
      </c>
      <c r="DZ38" s="118">
        <f t="shared" si="105"/>
        <v>0</v>
      </c>
      <c r="EA38" s="118">
        <f t="shared" si="106"/>
        <v>0</v>
      </c>
      <c r="EB38" s="118">
        <f t="shared" si="107"/>
        <v>0</v>
      </c>
      <c r="EC38" s="118">
        <f t="shared" si="108"/>
        <v>0</v>
      </c>
      <c r="ED38" s="118">
        <f t="shared" si="109"/>
        <v>0</v>
      </c>
      <c r="EE38" s="41">
        <f t="shared" si="145"/>
        <v>0</v>
      </c>
      <c r="EF38" s="12"/>
      <c r="EG38" s="118">
        <f t="shared" si="110"/>
        <v>0</v>
      </c>
      <c r="EH38" s="118">
        <f t="shared" si="111"/>
        <v>0</v>
      </c>
      <c r="EI38" s="118">
        <f t="shared" si="112"/>
        <v>0</v>
      </c>
      <c r="EJ38" s="118">
        <f t="shared" si="113"/>
        <v>0</v>
      </c>
      <c r="EK38" s="118">
        <f t="shared" si="114"/>
        <v>0</v>
      </c>
      <c r="EL38" s="118">
        <f t="shared" si="115"/>
        <v>0</v>
      </c>
      <c r="EM38" s="118">
        <f t="shared" si="116"/>
        <v>0</v>
      </c>
      <c r="EN38" s="118">
        <f t="shared" si="117"/>
        <v>0</v>
      </c>
      <c r="EO38" s="118">
        <f t="shared" si="118"/>
        <v>0</v>
      </c>
      <c r="EP38" s="118">
        <f t="shared" si="119"/>
        <v>0</v>
      </c>
      <c r="EQ38" s="118">
        <f t="shared" si="120"/>
        <v>0</v>
      </c>
      <c r="ER38" s="118">
        <f t="shared" si="121"/>
        <v>0</v>
      </c>
      <c r="ES38" s="41">
        <f t="shared" si="146"/>
        <v>0</v>
      </c>
    </row>
    <row r="39" spans="1:149" ht="10.199999999999999" x14ac:dyDescent="0.2">
      <c r="A39" s="122">
        <v>1</v>
      </c>
      <c r="C39" s="123"/>
      <c r="D39" s="117" t="str">
        <f>IF(ISERROR(VLOOKUP('Оценка трудоемкости'!$C39,Справочники!S:V,3,0))=TRUE,"",VLOOKUP('Оценка трудоемкости'!$C39,Справочники!S:V,3,0))</f>
        <v/>
      </c>
      <c r="E39" s="117">
        <f>IF(ISERROR(VLOOKUP('Оценка трудоемкости'!$C39,Справочники!S:V,4,0))=TRUE,0,VLOOKUP('Оценка трудоемкости'!$C39,Справочники!S:V,4,0))</f>
        <v>0</v>
      </c>
      <c r="F39" s="125"/>
      <c r="G39" s="116">
        <f t="shared" si="135"/>
        <v>0</v>
      </c>
      <c r="H39" s="12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16">
        <f t="shared" si="136"/>
        <v>0</v>
      </c>
      <c r="V39" s="12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16">
        <f t="shared" si="137"/>
        <v>0</v>
      </c>
      <c r="AJ39" s="12"/>
      <c r="AK39" s="124"/>
      <c r="AL39" s="124"/>
      <c r="AM39" s="124"/>
      <c r="AN39" s="124"/>
      <c r="AO39" s="124"/>
      <c r="AP39" s="124"/>
      <c r="AQ39" s="124"/>
      <c r="AR39" s="124"/>
      <c r="AS39" s="124"/>
      <c r="AT39" s="124"/>
      <c r="AU39" s="124"/>
      <c r="AV39" s="124"/>
      <c r="AW39" s="116">
        <f t="shared" si="138"/>
        <v>0</v>
      </c>
      <c r="AX39" s="12"/>
      <c r="AY39" s="124"/>
      <c r="AZ39" s="124"/>
      <c r="BA39" s="124"/>
      <c r="BB39" s="124"/>
      <c r="BC39" s="124"/>
      <c r="BD39" s="124"/>
      <c r="BE39" s="124"/>
      <c r="BF39" s="124"/>
      <c r="BG39" s="124"/>
      <c r="BH39" s="124"/>
      <c r="BI39" s="124"/>
      <c r="BJ39" s="124"/>
      <c r="BK39" s="116">
        <f t="shared" si="139"/>
        <v>0</v>
      </c>
      <c r="BL39" s="12"/>
      <c r="BM39" s="124"/>
      <c r="BN39" s="124"/>
      <c r="BO39" s="124"/>
      <c r="BP39" s="124"/>
      <c r="BQ39" s="124"/>
      <c r="BR39" s="124"/>
      <c r="BS39" s="124"/>
      <c r="BT39" s="124"/>
      <c r="BU39" s="124"/>
      <c r="BV39" s="124"/>
      <c r="BW39" s="124"/>
      <c r="BX39" s="124"/>
      <c r="BY39" s="116">
        <f t="shared" si="140"/>
        <v>0</v>
      </c>
      <c r="BZ39" s="12"/>
      <c r="CA39" s="200">
        <f t="shared" si="141"/>
        <v>0</v>
      </c>
      <c r="CB39" s="12"/>
      <c r="CC39" s="118">
        <f t="shared" si="62"/>
        <v>0</v>
      </c>
      <c r="CD39" s="118">
        <f t="shared" si="63"/>
        <v>0</v>
      </c>
      <c r="CE39" s="118">
        <f t="shared" si="64"/>
        <v>0</v>
      </c>
      <c r="CF39" s="118">
        <f t="shared" si="65"/>
        <v>0</v>
      </c>
      <c r="CG39" s="118">
        <f t="shared" si="66"/>
        <v>0</v>
      </c>
      <c r="CH39" s="118">
        <f t="shared" si="67"/>
        <v>0</v>
      </c>
      <c r="CI39" s="118">
        <f t="shared" si="68"/>
        <v>0</v>
      </c>
      <c r="CJ39" s="118">
        <f t="shared" si="69"/>
        <v>0</v>
      </c>
      <c r="CK39" s="118">
        <f t="shared" si="70"/>
        <v>0</v>
      </c>
      <c r="CL39" s="118">
        <f t="shared" si="71"/>
        <v>0</v>
      </c>
      <c r="CM39" s="118">
        <f t="shared" si="72"/>
        <v>0</v>
      </c>
      <c r="CN39" s="118">
        <f t="shared" si="73"/>
        <v>0</v>
      </c>
      <c r="CO39" s="41">
        <f t="shared" si="142"/>
        <v>0</v>
      </c>
      <c r="CP39" s="12"/>
      <c r="CQ39" s="118">
        <f t="shared" si="74"/>
        <v>0</v>
      </c>
      <c r="CR39" s="118">
        <f t="shared" si="75"/>
        <v>0</v>
      </c>
      <c r="CS39" s="118">
        <f t="shared" si="76"/>
        <v>0</v>
      </c>
      <c r="CT39" s="118">
        <f t="shared" si="77"/>
        <v>0</v>
      </c>
      <c r="CU39" s="118">
        <f t="shared" si="78"/>
        <v>0</v>
      </c>
      <c r="CV39" s="118">
        <f t="shared" si="79"/>
        <v>0</v>
      </c>
      <c r="CW39" s="118">
        <f t="shared" si="80"/>
        <v>0</v>
      </c>
      <c r="CX39" s="118">
        <f t="shared" si="81"/>
        <v>0</v>
      </c>
      <c r="CY39" s="118">
        <f t="shared" si="82"/>
        <v>0</v>
      </c>
      <c r="CZ39" s="118">
        <f t="shared" si="83"/>
        <v>0</v>
      </c>
      <c r="DA39" s="118">
        <f t="shared" si="84"/>
        <v>0</v>
      </c>
      <c r="DB39" s="118">
        <f t="shared" si="85"/>
        <v>0</v>
      </c>
      <c r="DC39" s="41">
        <f t="shared" si="143"/>
        <v>0</v>
      </c>
      <c r="DD39" s="12"/>
      <c r="DE39" s="118">
        <f t="shared" si="86"/>
        <v>0</v>
      </c>
      <c r="DF39" s="118">
        <f t="shared" si="87"/>
        <v>0</v>
      </c>
      <c r="DG39" s="118">
        <f t="shared" si="88"/>
        <v>0</v>
      </c>
      <c r="DH39" s="118">
        <f t="shared" si="89"/>
        <v>0</v>
      </c>
      <c r="DI39" s="118">
        <f t="shared" si="90"/>
        <v>0</v>
      </c>
      <c r="DJ39" s="118">
        <f t="shared" si="91"/>
        <v>0</v>
      </c>
      <c r="DK39" s="118">
        <f t="shared" si="92"/>
        <v>0</v>
      </c>
      <c r="DL39" s="118">
        <f t="shared" si="93"/>
        <v>0</v>
      </c>
      <c r="DM39" s="118">
        <f t="shared" si="94"/>
        <v>0</v>
      </c>
      <c r="DN39" s="118">
        <f t="shared" si="95"/>
        <v>0</v>
      </c>
      <c r="DO39" s="118">
        <f t="shared" si="96"/>
        <v>0</v>
      </c>
      <c r="DP39" s="118">
        <f t="shared" si="97"/>
        <v>0</v>
      </c>
      <c r="DQ39" s="41">
        <f t="shared" si="144"/>
        <v>0</v>
      </c>
      <c r="DR39" s="12"/>
      <c r="DS39" s="118">
        <f t="shared" si="98"/>
        <v>0</v>
      </c>
      <c r="DT39" s="118">
        <f t="shared" si="99"/>
        <v>0</v>
      </c>
      <c r="DU39" s="118">
        <f t="shared" si="100"/>
        <v>0</v>
      </c>
      <c r="DV39" s="118">
        <f t="shared" si="101"/>
        <v>0</v>
      </c>
      <c r="DW39" s="118">
        <f t="shared" si="102"/>
        <v>0</v>
      </c>
      <c r="DX39" s="118">
        <f t="shared" si="103"/>
        <v>0</v>
      </c>
      <c r="DY39" s="118">
        <f t="shared" si="104"/>
        <v>0</v>
      </c>
      <c r="DZ39" s="118">
        <f t="shared" si="105"/>
        <v>0</v>
      </c>
      <c r="EA39" s="118">
        <f t="shared" si="106"/>
        <v>0</v>
      </c>
      <c r="EB39" s="118">
        <f t="shared" si="107"/>
        <v>0</v>
      </c>
      <c r="EC39" s="118">
        <f t="shared" si="108"/>
        <v>0</v>
      </c>
      <c r="ED39" s="118">
        <f t="shared" si="109"/>
        <v>0</v>
      </c>
      <c r="EE39" s="41">
        <f t="shared" si="145"/>
        <v>0</v>
      </c>
      <c r="EF39" s="12"/>
      <c r="EG39" s="118">
        <f t="shared" si="110"/>
        <v>0</v>
      </c>
      <c r="EH39" s="118">
        <f t="shared" si="111"/>
        <v>0</v>
      </c>
      <c r="EI39" s="118">
        <f t="shared" si="112"/>
        <v>0</v>
      </c>
      <c r="EJ39" s="118">
        <f t="shared" si="113"/>
        <v>0</v>
      </c>
      <c r="EK39" s="118">
        <f t="shared" si="114"/>
        <v>0</v>
      </c>
      <c r="EL39" s="118">
        <f t="shared" si="115"/>
        <v>0</v>
      </c>
      <c r="EM39" s="118">
        <f t="shared" si="116"/>
        <v>0</v>
      </c>
      <c r="EN39" s="118">
        <f t="shared" si="117"/>
        <v>0</v>
      </c>
      <c r="EO39" s="118">
        <f t="shared" si="118"/>
        <v>0</v>
      </c>
      <c r="EP39" s="118">
        <f t="shared" si="119"/>
        <v>0</v>
      </c>
      <c r="EQ39" s="118">
        <f t="shared" si="120"/>
        <v>0</v>
      </c>
      <c r="ER39" s="118">
        <f t="shared" si="121"/>
        <v>0</v>
      </c>
      <c r="ES39" s="41">
        <f t="shared" si="146"/>
        <v>0</v>
      </c>
    </row>
    <row r="40" spans="1:149" ht="10.199999999999999" x14ac:dyDescent="0.2">
      <c r="A40" s="122">
        <v>1</v>
      </c>
      <c r="C40" s="123"/>
      <c r="D40" s="117" t="str">
        <f>IF(ISERROR(VLOOKUP('Оценка трудоемкости'!$C40,Справочники!S:V,3,0))=TRUE,"",VLOOKUP('Оценка трудоемкости'!$C40,Справочники!S:V,3,0))</f>
        <v/>
      </c>
      <c r="E40" s="117">
        <f>IF(ISERROR(VLOOKUP('Оценка трудоемкости'!$C40,Справочники!S:V,4,0))=TRUE,0,VLOOKUP('Оценка трудоемкости'!$C40,Справочники!S:V,4,0))</f>
        <v>0</v>
      </c>
      <c r="F40" s="125"/>
      <c r="G40" s="116">
        <f t="shared" si="135"/>
        <v>0</v>
      </c>
      <c r="H40" s="12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16">
        <f t="shared" si="136"/>
        <v>0</v>
      </c>
      <c r="V40" s="12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16">
        <f t="shared" si="137"/>
        <v>0</v>
      </c>
      <c r="AJ40" s="12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16">
        <f t="shared" si="138"/>
        <v>0</v>
      </c>
      <c r="AX40" s="12"/>
      <c r="AY40" s="124"/>
      <c r="AZ40" s="124"/>
      <c r="BA40" s="124"/>
      <c r="BB40" s="124"/>
      <c r="BC40" s="124"/>
      <c r="BD40" s="124"/>
      <c r="BE40" s="124"/>
      <c r="BF40" s="124"/>
      <c r="BG40" s="124"/>
      <c r="BH40" s="124"/>
      <c r="BI40" s="124"/>
      <c r="BJ40" s="124"/>
      <c r="BK40" s="116">
        <f t="shared" si="139"/>
        <v>0</v>
      </c>
      <c r="BL40" s="12"/>
      <c r="BM40" s="124"/>
      <c r="BN40" s="124"/>
      <c r="BO40" s="124"/>
      <c r="BP40" s="124"/>
      <c r="BQ40" s="124"/>
      <c r="BR40" s="124"/>
      <c r="BS40" s="124"/>
      <c r="BT40" s="124"/>
      <c r="BU40" s="124"/>
      <c r="BV40" s="124"/>
      <c r="BW40" s="124"/>
      <c r="BX40" s="124"/>
      <c r="BY40" s="116">
        <f t="shared" si="140"/>
        <v>0</v>
      </c>
      <c r="BZ40" s="12"/>
      <c r="CA40" s="200">
        <f t="shared" si="141"/>
        <v>0</v>
      </c>
      <c r="CB40" s="12"/>
      <c r="CC40" s="118">
        <f t="shared" si="62"/>
        <v>0</v>
      </c>
      <c r="CD40" s="118">
        <f t="shared" si="63"/>
        <v>0</v>
      </c>
      <c r="CE40" s="118">
        <f t="shared" si="64"/>
        <v>0</v>
      </c>
      <c r="CF40" s="118">
        <f t="shared" si="65"/>
        <v>0</v>
      </c>
      <c r="CG40" s="118">
        <f t="shared" si="66"/>
        <v>0</v>
      </c>
      <c r="CH40" s="118">
        <f t="shared" si="67"/>
        <v>0</v>
      </c>
      <c r="CI40" s="118">
        <f t="shared" si="68"/>
        <v>0</v>
      </c>
      <c r="CJ40" s="118">
        <f t="shared" si="69"/>
        <v>0</v>
      </c>
      <c r="CK40" s="118">
        <f t="shared" si="70"/>
        <v>0</v>
      </c>
      <c r="CL40" s="118">
        <f t="shared" si="71"/>
        <v>0</v>
      </c>
      <c r="CM40" s="118">
        <f t="shared" si="72"/>
        <v>0</v>
      </c>
      <c r="CN40" s="118">
        <f t="shared" si="73"/>
        <v>0</v>
      </c>
      <c r="CO40" s="41">
        <f t="shared" si="142"/>
        <v>0</v>
      </c>
      <c r="CP40" s="12"/>
      <c r="CQ40" s="118">
        <f t="shared" si="74"/>
        <v>0</v>
      </c>
      <c r="CR40" s="118">
        <f t="shared" si="75"/>
        <v>0</v>
      </c>
      <c r="CS40" s="118">
        <f t="shared" si="76"/>
        <v>0</v>
      </c>
      <c r="CT40" s="118">
        <f t="shared" si="77"/>
        <v>0</v>
      </c>
      <c r="CU40" s="118">
        <f t="shared" si="78"/>
        <v>0</v>
      </c>
      <c r="CV40" s="118">
        <f t="shared" si="79"/>
        <v>0</v>
      </c>
      <c r="CW40" s="118">
        <f t="shared" si="80"/>
        <v>0</v>
      </c>
      <c r="CX40" s="118">
        <f t="shared" si="81"/>
        <v>0</v>
      </c>
      <c r="CY40" s="118">
        <f t="shared" si="82"/>
        <v>0</v>
      </c>
      <c r="CZ40" s="118">
        <f t="shared" si="83"/>
        <v>0</v>
      </c>
      <c r="DA40" s="118">
        <f t="shared" si="84"/>
        <v>0</v>
      </c>
      <c r="DB40" s="118">
        <f t="shared" si="85"/>
        <v>0</v>
      </c>
      <c r="DC40" s="41">
        <f t="shared" si="143"/>
        <v>0</v>
      </c>
      <c r="DD40" s="12"/>
      <c r="DE40" s="118">
        <f t="shared" si="86"/>
        <v>0</v>
      </c>
      <c r="DF40" s="118">
        <f t="shared" si="87"/>
        <v>0</v>
      </c>
      <c r="DG40" s="118">
        <f t="shared" si="88"/>
        <v>0</v>
      </c>
      <c r="DH40" s="118">
        <f t="shared" si="89"/>
        <v>0</v>
      </c>
      <c r="DI40" s="118">
        <f t="shared" si="90"/>
        <v>0</v>
      </c>
      <c r="DJ40" s="118">
        <f t="shared" si="91"/>
        <v>0</v>
      </c>
      <c r="DK40" s="118">
        <f t="shared" si="92"/>
        <v>0</v>
      </c>
      <c r="DL40" s="118">
        <f t="shared" si="93"/>
        <v>0</v>
      </c>
      <c r="DM40" s="118">
        <f t="shared" si="94"/>
        <v>0</v>
      </c>
      <c r="DN40" s="118">
        <f t="shared" si="95"/>
        <v>0</v>
      </c>
      <c r="DO40" s="118">
        <f t="shared" si="96"/>
        <v>0</v>
      </c>
      <c r="DP40" s="118">
        <f t="shared" si="97"/>
        <v>0</v>
      </c>
      <c r="DQ40" s="41">
        <f t="shared" si="144"/>
        <v>0</v>
      </c>
      <c r="DR40" s="12"/>
      <c r="DS40" s="118">
        <f t="shared" si="98"/>
        <v>0</v>
      </c>
      <c r="DT40" s="118">
        <f t="shared" si="99"/>
        <v>0</v>
      </c>
      <c r="DU40" s="118">
        <f t="shared" si="100"/>
        <v>0</v>
      </c>
      <c r="DV40" s="118">
        <f t="shared" si="101"/>
        <v>0</v>
      </c>
      <c r="DW40" s="118">
        <f t="shared" si="102"/>
        <v>0</v>
      </c>
      <c r="DX40" s="118">
        <f t="shared" si="103"/>
        <v>0</v>
      </c>
      <c r="DY40" s="118">
        <f t="shared" si="104"/>
        <v>0</v>
      </c>
      <c r="DZ40" s="118">
        <f t="shared" si="105"/>
        <v>0</v>
      </c>
      <c r="EA40" s="118">
        <f t="shared" si="106"/>
        <v>0</v>
      </c>
      <c r="EB40" s="118">
        <f t="shared" si="107"/>
        <v>0</v>
      </c>
      <c r="EC40" s="118">
        <f t="shared" si="108"/>
        <v>0</v>
      </c>
      <c r="ED40" s="118">
        <f t="shared" si="109"/>
        <v>0</v>
      </c>
      <c r="EE40" s="41">
        <f t="shared" si="145"/>
        <v>0</v>
      </c>
      <c r="EF40" s="12"/>
      <c r="EG40" s="118">
        <f t="shared" si="110"/>
        <v>0</v>
      </c>
      <c r="EH40" s="118">
        <f t="shared" si="111"/>
        <v>0</v>
      </c>
      <c r="EI40" s="118">
        <f t="shared" si="112"/>
        <v>0</v>
      </c>
      <c r="EJ40" s="118">
        <f t="shared" si="113"/>
        <v>0</v>
      </c>
      <c r="EK40" s="118">
        <f t="shared" si="114"/>
        <v>0</v>
      </c>
      <c r="EL40" s="118">
        <f t="shared" si="115"/>
        <v>0</v>
      </c>
      <c r="EM40" s="118">
        <f t="shared" si="116"/>
        <v>0</v>
      </c>
      <c r="EN40" s="118">
        <f t="shared" si="117"/>
        <v>0</v>
      </c>
      <c r="EO40" s="118">
        <f t="shared" si="118"/>
        <v>0</v>
      </c>
      <c r="EP40" s="118">
        <f t="shared" si="119"/>
        <v>0</v>
      </c>
      <c r="EQ40" s="118">
        <f t="shared" si="120"/>
        <v>0</v>
      </c>
      <c r="ER40" s="118">
        <f t="shared" si="121"/>
        <v>0</v>
      </c>
      <c r="ES40" s="41">
        <f t="shared" si="146"/>
        <v>0</v>
      </c>
    </row>
    <row r="41" spans="1:149" ht="10.199999999999999" x14ac:dyDescent="0.2">
      <c r="A41" s="122">
        <v>1</v>
      </c>
      <c r="C41" s="123"/>
      <c r="D41" s="117" t="str">
        <f>IF(ISERROR(VLOOKUP('Оценка трудоемкости'!$C41,Справочники!S:V,3,0))=TRUE,"",VLOOKUP('Оценка трудоемкости'!$C41,Справочники!S:V,3,0))</f>
        <v/>
      </c>
      <c r="E41" s="117">
        <f>IF(ISERROR(VLOOKUP('Оценка трудоемкости'!$C41,Справочники!S:V,4,0))=TRUE,0,VLOOKUP('Оценка трудоемкости'!$C41,Справочники!S:V,4,0))</f>
        <v>0</v>
      </c>
      <c r="F41" s="125"/>
      <c r="G41" s="116">
        <f t="shared" si="135"/>
        <v>0</v>
      </c>
      <c r="H41" s="12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16">
        <f t="shared" si="136"/>
        <v>0</v>
      </c>
      <c r="V41" s="12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16">
        <f t="shared" si="137"/>
        <v>0</v>
      </c>
      <c r="AJ41" s="12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16">
        <f t="shared" si="138"/>
        <v>0</v>
      </c>
      <c r="AX41" s="12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16">
        <f t="shared" si="139"/>
        <v>0</v>
      </c>
      <c r="BL41" s="12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124"/>
      <c r="BX41" s="124"/>
      <c r="BY41" s="116">
        <f t="shared" si="140"/>
        <v>0</v>
      </c>
      <c r="BZ41" s="12"/>
      <c r="CA41" s="200">
        <f t="shared" si="141"/>
        <v>0</v>
      </c>
      <c r="CB41" s="12"/>
      <c r="CC41" s="118">
        <f t="shared" si="62"/>
        <v>0</v>
      </c>
      <c r="CD41" s="118">
        <f t="shared" si="63"/>
        <v>0</v>
      </c>
      <c r="CE41" s="118">
        <f t="shared" si="64"/>
        <v>0</v>
      </c>
      <c r="CF41" s="118">
        <f t="shared" si="65"/>
        <v>0</v>
      </c>
      <c r="CG41" s="118">
        <f t="shared" si="66"/>
        <v>0</v>
      </c>
      <c r="CH41" s="118">
        <f t="shared" si="67"/>
        <v>0</v>
      </c>
      <c r="CI41" s="118">
        <f t="shared" si="68"/>
        <v>0</v>
      </c>
      <c r="CJ41" s="118">
        <f t="shared" si="69"/>
        <v>0</v>
      </c>
      <c r="CK41" s="118">
        <f t="shared" si="70"/>
        <v>0</v>
      </c>
      <c r="CL41" s="118">
        <f t="shared" si="71"/>
        <v>0</v>
      </c>
      <c r="CM41" s="118">
        <f t="shared" si="72"/>
        <v>0</v>
      </c>
      <c r="CN41" s="118">
        <f t="shared" si="73"/>
        <v>0</v>
      </c>
      <c r="CO41" s="41">
        <f t="shared" si="142"/>
        <v>0</v>
      </c>
      <c r="CP41" s="12"/>
      <c r="CQ41" s="118">
        <f t="shared" si="74"/>
        <v>0</v>
      </c>
      <c r="CR41" s="118">
        <f t="shared" si="75"/>
        <v>0</v>
      </c>
      <c r="CS41" s="118">
        <f t="shared" si="76"/>
        <v>0</v>
      </c>
      <c r="CT41" s="118">
        <f t="shared" si="77"/>
        <v>0</v>
      </c>
      <c r="CU41" s="118">
        <f t="shared" si="78"/>
        <v>0</v>
      </c>
      <c r="CV41" s="118">
        <f t="shared" si="79"/>
        <v>0</v>
      </c>
      <c r="CW41" s="118">
        <f t="shared" si="80"/>
        <v>0</v>
      </c>
      <c r="CX41" s="118">
        <f t="shared" si="81"/>
        <v>0</v>
      </c>
      <c r="CY41" s="118">
        <f t="shared" si="82"/>
        <v>0</v>
      </c>
      <c r="CZ41" s="118">
        <f t="shared" si="83"/>
        <v>0</v>
      </c>
      <c r="DA41" s="118">
        <f t="shared" si="84"/>
        <v>0</v>
      </c>
      <c r="DB41" s="118">
        <f t="shared" si="85"/>
        <v>0</v>
      </c>
      <c r="DC41" s="41">
        <f t="shared" si="143"/>
        <v>0</v>
      </c>
      <c r="DD41" s="12"/>
      <c r="DE41" s="118">
        <f t="shared" si="86"/>
        <v>0</v>
      </c>
      <c r="DF41" s="118">
        <f t="shared" si="87"/>
        <v>0</v>
      </c>
      <c r="DG41" s="118">
        <f t="shared" si="88"/>
        <v>0</v>
      </c>
      <c r="DH41" s="118">
        <f t="shared" si="89"/>
        <v>0</v>
      </c>
      <c r="DI41" s="118">
        <f t="shared" si="90"/>
        <v>0</v>
      </c>
      <c r="DJ41" s="118">
        <f t="shared" si="91"/>
        <v>0</v>
      </c>
      <c r="DK41" s="118">
        <f t="shared" si="92"/>
        <v>0</v>
      </c>
      <c r="DL41" s="118">
        <f t="shared" si="93"/>
        <v>0</v>
      </c>
      <c r="DM41" s="118">
        <f t="shared" si="94"/>
        <v>0</v>
      </c>
      <c r="DN41" s="118">
        <f t="shared" si="95"/>
        <v>0</v>
      </c>
      <c r="DO41" s="118">
        <f t="shared" si="96"/>
        <v>0</v>
      </c>
      <c r="DP41" s="118">
        <f t="shared" si="97"/>
        <v>0</v>
      </c>
      <c r="DQ41" s="41">
        <f t="shared" si="144"/>
        <v>0</v>
      </c>
      <c r="DR41" s="12"/>
      <c r="DS41" s="118">
        <f t="shared" si="98"/>
        <v>0</v>
      </c>
      <c r="DT41" s="118">
        <f t="shared" si="99"/>
        <v>0</v>
      </c>
      <c r="DU41" s="118">
        <f t="shared" si="100"/>
        <v>0</v>
      </c>
      <c r="DV41" s="118">
        <f t="shared" si="101"/>
        <v>0</v>
      </c>
      <c r="DW41" s="118">
        <f t="shared" si="102"/>
        <v>0</v>
      </c>
      <c r="DX41" s="118">
        <f t="shared" si="103"/>
        <v>0</v>
      </c>
      <c r="DY41" s="118">
        <f t="shared" si="104"/>
        <v>0</v>
      </c>
      <c r="DZ41" s="118">
        <f t="shared" si="105"/>
        <v>0</v>
      </c>
      <c r="EA41" s="118">
        <f t="shared" si="106"/>
        <v>0</v>
      </c>
      <c r="EB41" s="118">
        <f t="shared" si="107"/>
        <v>0</v>
      </c>
      <c r="EC41" s="118">
        <f t="shared" si="108"/>
        <v>0</v>
      </c>
      <c r="ED41" s="118">
        <f t="shared" si="109"/>
        <v>0</v>
      </c>
      <c r="EE41" s="41">
        <f t="shared" si="145"/>
        <v>0</v>
      </c>
      <c r="EF41" s="12"/>
      <c r="EG41" s="118">
        <f t="shared" si="110"/>
        <v>0</v>
      </c>
      <c r="EH41" s="118">
        <f t="shared" si="111"/>
        <v>0</v>
      </c>
      <c r="EI41" s="118">
        <f t="shared" si="112"/>
        <v>0</v>
      </c>
      <c r="EJ41" s="118">
        <f t="shared" si="113"/>
        <v>0</v>
      </c>
      <c r="EK41" s="118">
        <f t="shared" si="114"/>
        <v>0</v>
      </c>
      <c r="EL41" s="118">
        <f t="shared" si="115"/>
        <v>0</v>
      </c>
      <c r="EM41" s="118">
        <f t="shared" si="116"/>
        <v>0</v>
      </c>
      <c r="EN41" s="118">
        <f t="shared" si="117"/>
        <v>0</v>
      </c>
      <c r="EO41" s="118">
        <f t="shared" si="118"/>
        <v>0</v>
      </c>
      <c r="EP41" s="118">
        <f t="shared" si="119"/>
        <v>0</v>
      </c>
      <c r="EQ41" s="118">
        <f t="shared" si="120"/>
        <v>0</v>
      </c>
      <c r="ER41" s="118">
        <f t="shared" si="121"/>
        <v>0</v>
      </c>
      <c r="ES41" s="41">
        <f t="shared" si="146"/>
        <v>0</v>
      </c>
    </row>
    <row r="42" spans="1:149" ht="10.199999999999999" x14ac:dyDescent="0.2">
      <c r="A42" s="122">
        <v>1</v>
      </c>
      <c r="C42" s="123"/>
      <c r="D42" s="117" t="str">
        <f>IF(ISERROR(VLOOKUP('Оценка трудоемкости'!$C42,Справочники!S:V,3,0))=TRUE,"",VLOOKUP('Оценка трудоемкости'!$C42,Справочники!S:V,3,0))</f>
        <v/>
      </c>
      <c r="E42" s="117">
        <f>IF(ISERROR(VLOOKUP('Оценка трудоемкости'!$C42,Справочники!S:V,4,0))=TRUE,0,VLOOKUP('Оценка трудоемкости'!$C42,Справочники!S:V,4,0))</f>
        <v>0</v>
      </c>
      <c r="F42" s="125"/>
      <c r="G42" s="116">
        <f t="shared" si="135"/>
        <v>0</v>
      </c>
      <c r="H42" s="12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16">
        <f t="shared" si="136"/>
        <v>0</v>
      </c>
      <c r="V42" s="12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16">
        <f t="shared" si="137"/>
        <v>0</v>
      </c>
      <c r="AJ42" s="12"/>
      <c r="AK42" s="124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24"/>
      <c r="AW42" s="116">
        <f t="shared" si="138"/>
        <v>0</v>
      </c>
      <c r="AX42" s="12"/>
      <c r="AY42" s="124"/>
      <c r="AZ42" s="124"/>
      <c r="BA42" s="124"/>
      <c r="BB42" s="124"/>
      <c r="BC42" s="124"/>
      <c r="BD42" s="124"/>
      <c r="BE42" s="124"/>
      <c r="BF42" s="124"/>
      <c r="BG42" s="124"/>
      <c r="BH42" s="124"/>
      <c r="BI42" s="124"/>
      <c r="BJ42" s="124"/>
      <c r="BK42" s="116">
        <f t="shared" si="139"/>
        <v>0</v>
      </c>
      <c r="BL42" s="12"/>
      <c r="BM42" s="124"/>
      <c r="BN42" s="124"/>
      <c r="BO42" s="124"/>
      <c r="BP42" s="124"/>
      <c r="BQ42" s="124"/>
      <c r="BR42" s="124"/>
      <c r="BS42" s="124"/>
      <c r="BT42" s="124"/>
      <c r="BU42" s="124"/>
      <c r="BV42" s="124"/>
      <c r="BW42" s="124"/>
      <c r="BX42" s="124"/>
      <c r="BY42" s="116">
        <f t="shared" si="140"/>
        <v>0</v>
      </c>
      <c r="BZ42" s="12"/>
      <c r="CA42" s="200">
        <f t="shared" si="141"/>
        <v>0</v>
      </c>
      <c r="CB42" s="12"/>
      <c r="CC42" s="118">
        <f t="shared" si="62"/>
        <v>0</v>
      </c>
      <c r="CD42" s="118">
        <f t="shared" si="63"/>
        <v>0</v>
      </c>
      <c r="CE42" s="118">
        <f t="shared" si="64"/>
        <v>0</v>
      </c>
      <c r="CF42" s="118">
        <f t="shared" si="65"/>
        <v>0</v>
      </c>
      <c r="CG42" s="118">
        <f t="shared" si="66"/>
        <v>0</v>
      </c>
      <c r="CH42" s="118">
        <f t="shared" si="67"/>
        <v>0</v>
      </c>
      <c r="CI42" s="118">
        <f t="shared" si="68"/>
        <v>0</v>
      </c>
      <c r="CJ42" s="118">
        <f t="shared" si="69"/>
        <v>0</v>
      </c>
      <c r="CK42" s="118">
        <f t="shared" si="70"/>
        <v>0</v>
      </c>
      <c r="CL42" s="118">
        <f t="shared" si="71"/>
        <v>0</v>
      </c>
      <c r="CM42" s="118">
        <f t="shared" si="72"/>
        <v>0</v>
      </c>
      <c r="CN42" s="118">
        <f t="shared" si="73"/>
        <v>0</v>
      </c>
      <c r="CO42" s="41">
        <f t="shared" si="142"/>
        <v>0</v>
      </c>
      <c r="CP42" s="12"/>
      <c r="CQ42" s="118">
        <f t="shared" si="74"/>
        <v>0</v>
      </c>
      <c r="CR42" s="118">
        <f t="shared" si="75"/>
        <v>0</v>
      </c>
      <c r="CS42" s="118">
        <f t="shared" si="76"/>
        <v>0</v>
      </c>
      <c r="CT42" s="118">
        <f t="shared" si="77"/>
        <v>0</v>
      </c>
      <c r="CU42" s="118">
        <f t="shared" si="78"/>
        <v>0</v>
      </c>
      <c r="CV42" s="118">
        <f t="shared" si="79"/>
        <v>0</v>
      </c>
      <c r="CW42" s="118">
        <f t="shared" si="80"/>
        <v>0</v>
      </c>
      <c r="CX42" s="118">
        <f t="shared" si="81"/>
        <v>0</v>
      </c>
      <c r="CY42" s="118">
        <f t="shared" si="82"/>
        <v>0</v>
      </c>
      <c r="CZ42" s="118">
        <f t="shared" si="83"/>
        <v>0</v>
      </c>
      <c r="DA42" s="118">
        <f t="shared" si="84"/>
        <v>0</v>
      </c>
      <c r="DB42" s="118">
        <f t="shared" si="85"/>
        <v>0</v>
      </c>
      <c r="DC42" s="41">
        <f t="shared" si="143"/>
        <v>0</v>
      </c>
      <c r="DD42" s="12"/>
      <c r="DE42" s="118">
        <f t="shared" si="86"/>
        <v>0</v>
      </c>
      <c r="DF42" s="118">
        <f t="shared" si="87"/>
        <v>0</v>
      </c>
      <c r="DG42" s="118">
        <f t="shared" si="88"/>
        <v>0</v>
      </c>
      <c r="DH42" s="118">
        <f t="shared" si="89"/>
        <v>0</v>
      </c>
      <c r="DI42" s="118">
        <f t="shared" si="90"/>
        <v>0</v>
      </c>
      <c r="DJ42" s="118">
        <f t="shared" si="91"/>
        <v>0</v>
      </c>
      <c r="DK42" s="118">
        <f t="shared" si="92"/>
        <v>0</v>
      </c>
      <c r="DL42" s="118">
        <f t="shared" si="93"/>
        <v>0</v>
      </c>
      <c r="DM42" s="118">
        <f t="shared" si="94"/>
        <v>0</v>
      </c>
      <c r="DN42" s="118">
        <f t="shared" si="95"/>
        <v>0</v>
      </c>
      <c r="DO42" s="118">
        <f t="shared" si="96"/>
        <v>0</v>
      </c>
      <c r="DP42" s="118">
        <f t="shared" si="97"/>
        <v>0</v>
      </c>
      <c r="DQ42" s="41">
        <f t="shared" si="144"/>
        <v>0</v>
      </c>
      <c r="DR42" s="12"/>
      <c r="DS42" s="118">
        <f t="shared" si="98"/>
        <v>0</v>
      </c>
      <c r="DT42" s="118">
        <f t="shared" si="99"/>
        <v>0</v>
      </c>
      <c r="DU42" s="118">
        <f t="shared" si="100"/>
        <v>0</v>
      </c>
      <c r="DV42" s="118">
        <f t="shared" si="101"/>
        <v>0</v>
      </c>
      <c r="DW42" s="118">
        <f t="shared" si="102"/>
        <v>0</v>
      </c>
      <c r="DX42" s="118">
        <f t="shared" si="103"/>
        <v>0</v>
      </c>
      <c r="DY42" s="118">
        <f t="shared" si="104"/>
        <v>0</v>
      </c>
      <c r="DZ42" s="118">
        <f t="shared" si="105"/>
        <v>0</v>
      </c>
      <c r="EA42" s="118">
        <f t="shared" si="106"/>
        <v>0</v>
      </c>
      <c r="EB42" s="118">
        <f t="shared" si="107"/>
        <v>0</v>
      </c>
      <c r="EC42" s="118">
        <f t="shared" si="108"/>
        <v>0</v>
      </c>
      <c r="ED42" s="118">
        <f t="shared" si="109"/>
        <v>0</v>
      </c>
      <c r="EE42" s="41">
        <f t="shared" si="145"/>
        <v>0</v>
      </c>
      <c r="EF42" s="12"/>
      <c r="EG42" s="118">
        <f t="shared" si="110"/>
        <v>0</v>
      </c>
      <c r="EH42" s="118">
        <f t="shared" si="111"/>
        <v>0</v>
      </c>
      <c r="EI42" s="118">
        <f t="shared" si="112"/>
        <v>0</v>
      </c>
      <c r="EJ42" s="118">
        <f t="shared" si="113"/>
        <v>0</v>
      </c>
      <c r="EK42" s="118">
        <f t="shared" si="114"/>
        <v>0</v>
      </c>
      <c r="EL42" s="118">
        <f t="shared" si="115"/>
        <v>0</v>
      </c>
      <c r="EM42" s="118">
        <f t="shared" si="116"/>
        <v>0</v>
      </c>
      <c r="EN42" s="118">
        <f t="shared" si="117"/>
        <v>0</v>
      </c>
      <c r="EO42" s="118">
        <f t="shared" si="118"/>
        <v>0</v>
      </c>
      <c r="EP42" s="118">
        <f t="shared" si="119"/>
        <v>0</v>
      </c>
      <c r="EQ42" s="118">
        <f t="shared" si="120"/>
        <v>0</v>
      </c>
      <c r="ER42" s="118">
        <f t="shared" si="121"/>
        <v>0</v>
      </c>
      <c r="ES42" s="41">
        <f t="shared" si="146"/>
        <v>0</v>
      </c>
    </row>
    <row r="43" spans="1:149" ht="10.199999999999999" x14ac:dyDescent="0.2">
      <c r="A43" s="122">
        <v>1</v>
      </c>
      <c r="C43" s="123"/>
      <c r="D43" s="117" t="str">
        <f>IF(ISERROR(VLOOKUP('Оценка трудоемкости'!$C43,Справочники!S:V,3,0))=TRUE,"",VLOOKUP('Оценка трудоемкости'!$C43,Справочники!S:V,3,0))</f>
        <v/>
      </c>
      <c r="E43" s="117">
        <f>IF(ISERROR(VLOOKUP('Оценка трудоемкости'!$C43,Справочники!S:V,4,0))=TRUE,0,VLOOKUP('Оценка трудоемкости'!$C43,Справочники!S:V,4,0))</f>
        <v>0</v>
      </c>
      <c r="F43" s="125"/>
      <c r="G43" s="116">
        <f t="shared" si="135"/>
        <v>0</v>
      </c>
      <c r="H43" s="12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16">
        <f t="shared" si="136"/>
        <v>0</v>
      </c>
      <c r="V43" s="12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16">
        <f t="shared" si="137"/>
        <v>0</v>
      </c>
      <c r="AJ43" s="12"/>
      <c r="AK43" s="124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16">
        <f t="shared" si="138"/>
        <v>0</v>
      </c>
      <c r="AX43" s="12"/>
      <c r="AY43" s="124"/>
      <c r="AZ43" s="124"/>
      <c r="BA43" s="124"/>
      <c r="BB43" s="124"/>
      <c r="BC43" s="124"/>
      <c r="BD43" s="124"/>
      <c r="BE43" s="124"/>
      <c r="BF43" s="124"/>
      <c r="BG43" s="124"/>
      <c r="BH43" s="124"/>
      <c r="BI43" s="124"/>
      <c r="BJ43" s="124"/>
      <c r="BK43" s="116">
        <f t="shared" si="139"/>
        <v>0</v>
      </c>
      <c r="BL43" s="12"/>
      <c r="BM43" s="124"/>
      <c r="BN43" s="124"/>
      <c r="BO43" s="124"/>
      <c r="BP43" s="124"/>
      <c r="BQ43" s="124"/>
      <c r="BR43" s="124"/>
      <c r="BS43" s="124"/>
      <c r="BT43" s="124"/>
      <c r="BU43" s="124"/>
      <c r="BV43" s="124"/>
      <c r="BW43" s="124"/>
      <c r="BX43" s="124"/>
      <c r="BY43" s="116">
        <f t="shared" si="140"/>
        <v>0</v>
      </c>
      <c r="BZ43" s="12"/>
      <c r="CA43" s="200">
        <f t="shared" si="141"/>
        <v>0</v>
      </c>
      <c r="CB43" s="12"/>
      <c r="CC43" s="118">
        <f t="shared" si="62"/>
        <v>0</v>
      </c>
      <c r="CD43" s="118">
        <f t="shared" si="63"/>
        <v>0</v>
      </c>
      <c r="CE43" s="118">
        <f t="shared" si="64"/>
        <v>0</v>
      </c>
      <c r="CF43" s="118">
        <f t="shared" si="65"/>
        <v>0</v>
      </c>
      <c r="CG43" s="118">
        <f t="shared" si="66"/>
        <v>0</v>
      </c>
      <c r="CH43" s="118">
        <f t="shared" si="67"/>
        <v>0</v>
      </c>
      <c r="CI43" s="118">
        <f t="shared" si="68"/>
        <v>0</v>
      </c>
      <c r="CJ43" s="118">
        <f t="shared" si="69"/>
        <v>0</v>
      </c>
      <c r="CK43" s="118">
        <f t="shared" si="70"/>
        <v>0</v>
      </c>
      <c r="CL43" s="118">
        <f t="shared" si="71"/>
        <v>0</v>
      </c>
      <c r="CM43" s="118">
        <f t="shared" si="72"/>
        <v>0</v>
      </c>
      <c r="CN43" s="118">
        <f t="shared" si="73"/>
        <v>0</v>
      </c>
      <c r="CO43" s="41">
        <f t="shared" si="142"/>
        <v>0</v>
      </c>
      <c r="CP43" s="12"/>
      <c r="CQ43" s="118">
        <f t="shared" si="74"/>
        <v>0</v>
      </c>
      <c r="CR43" s="118">
        <f t="shared" si="75"/>
        <v>0</v>
      </c>
      <c r="CS43" s="118">
        <f t="shared" si="76"/>
        <v>0</v>
      </c>
      <c r="CT43" s="118">
        <f t="shared" si="77"/>
        <v>0</v>
      </c>
      <c r="CU43" s="118">
        <f t="shared" si="78"/>
        <v>0</v>
      </c>
      <c r="CV43" s="118">
        <f t="shared" si="79"/>
        <v>0</v>
      </c>
      <c r="CW43" s="118">
        <f t="shared" si="80"/>
        <v>0</v>
      </c>
      <c r="CX43" s="118">
        <f t="shared" si="81"/>
        <v>0</v>
      </c>
      <c r="CY43" s="118">
        <f t="shared" si="82"/>
        <v>0</v>
      </c>
      <c r="CZ43" s="118">
        <f t="shared" si="83"/>
        <v>0</v>
      </c>
      <c r="DA43" s="118">
        <f t="shared" si="84"/>
        <v>0</v>
      </c>
      <c r="DB43" s="118">
        <f t="shared" si="85"/>
        <v>0</v>
      </c>
      <c r="DC43" s="41">
        <f t="shared" si="143"/>
        <v>0</v>
      </c>
      <c r="DD43" s="12"/>
      <c r="DE43" s="118">
        <f t="shared" si="86"/>
        <v>0</v>
      </c>
      <c r="DF43" s="118">
        <f t="shared" si="87"/>
        <v>0</v>
      </c>
      <c r="DG43" s="118">
        <f t="shared" si="88"/>
        <v>0</v>
      </c>
      <c r="DH43" s="118">
        <f t="shared" si="89"/>
        <v>0</v>
      </c>
      <c r="DI43" s="118">
        <f t="shared" si="90"/>
        <v>0</v>
      </c>
      <c r="DJ43" s="118">
        <f t="shared" si="91"/>
        <v>0</v>
      </c>
      <c r="DK43" s="118">
        <f t="shared" si="92"/>
        <v>0</v>
      </c>
      <c r="DL43" s="118">
        <f t="shared" si="93"/>
        <v>0</v>
      </c>
      <c r="DM43" s="118">
        <f t="shared" si="94"/>
        <v>0</v>
      </c>
      <c r="DN43" s="118">
        <f t="shared" si="95"/>
        <v>0</v>
      </c>
      <c r="DO43" s="118">
        <f t="shared" si="96"/>
        <v>0</v>
      </c>
      <c r="DP43" s="118">
        <f t="shared" si="97"/>
        <v>0</v>
      </c>
      <c r="DQ43" s="41">
        <f t="shared" si="144"/>
        <v>0</v>
      </c>
      <c r="DR43" s="12"/>
      <c r="DS43" s="118">
        <f t="shared" si="98"/>
        <v>0</v>
      </c>
      <c r="DT43" s="118">
        <f t="shared" si="99"/>
        <v>0</v>
      </c>
      <c r="DU43" s="118">
        <f t="shared" si="100"/>
        <v>0</v>
      </c>
      <c r="DV43" s="118">
        <f t="shared" si="101"/>
        <v>0</v>
      </c>
      <c r="DW43" s="118">
        <f t="shared" si="102"/>
        <v>0</v>
      </c>
      <c r="DX43" s="118">
        <f t="shared" si="103"/>
        <v>0</v>
      </c>
      <c r="DY43" s="118">
        <f t="shared" si="104"/>
        <v>0</v>
      </c>
      <c r="DZ43" s="118">
        <f t="shared" si="105"/>
        <v>0</v>
      </c>
      <c r="EA43" s="118">
        <f t="shared" si="106"/>
        <v>0</v>
      </c>
      <c r="EB43" s="118">
        <f t="shared" si="107"/>
        <v>0</v>
      </c>
      <c r="EC43" s="118">
        <f t="shared" si="108"/>
        <v>0</v>
      </c>
      <c r="ED43" s="118">
        <f t="shared" si="109"/>
        <v>0</v>
      </c>
      <c r="EE43" s="41">
        <f t="shared" si="145"/>
        <v>0</v>
      </c>
      <c r="EF43" s="12"/>
      <c r="EG43" s="118">
        <f t="shared" si="110"/>
        <v>0</v>
      </c>
      <c r="EH43" s="118">
        <f t="shared" si="111"/>
        <v>0</v>
      </c>
      <c r="EI43" s="118">
        <f t="shared" si="112"/>
        <v>0</v>
      </c>
      <c r="EJ43" s="118">
        <f t="shared" si="113"/>
        <v>0</v>
      </c>
      <c r="EK43" s="118">
        <f t="shared" si="114"/>
        <v>0</v>
      </c>
      <c r="EL43" s="118">
        <f t="shared" si="115"/>
        <v>0</v>
      </c>
      <c r="EM43" s="118">
        <f t="shared" si="116"/>
        <v>0</v>
      </c>
      <c r="EN43" s="118">
        <f t="shared" si="117"/>
        <v>0</v>
      </c>
      <c r="EO43" s="118">
        <f t="shared" si="118"/>
        <v>0</v>
      </c>
      <c r="EP43" s="118">
        <f t="shared" si="119"/>
        <v>0</v>
      </c>
      <c r="EQ43" s="118">
        <f t="shared" si="120"/>
        <v>0</v>
      </c>
      <c r="ER43" s="118">
        <f t="shared" si="121"/>
        <v>0</v>
      </c>
      <c r="ES43" s="41">
        <f t="shared" si="146"/>
        <v>0</v>
      </c>
    </row>
    <row r="44" spans="1:149" ht="10.199999999999999" x14ac:dyDescent="0.2">
      <c r="A44" s="122">
        <v>1</v>
      </c>
      <c r="C44" s="123"/>
      <c r="D44" s="117" t="str">
        <f>IF(ISERROR(VLOOKUP('Оценка трудоемкости'!$C44,Справочники!S:V,3,0))=TRUE,"",VLOOKUP('Оценка трудоемкости'!$C44,Справочники!S:V,3,0))</f>
        <v/>
      </c>
      <c r="E44" s="117">
        <f>IF(ISERROR(VLOOKUP('Оценка трудоемкости'!$C44,Справочники!S:V,4,0))=TRUE,0,VLOOKUP('Оценка трудоемкости'!$C44,Справочники!S:V,4,0))</f>
        <v>0</v>
      </c>
      <c r="F44" s="125"/>
      <c r="G44" s="116">
        <f t="shared" si="135"/>
        <v>0</v>
      </c>
      <c r="H44" s="12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16">
        <f t="shared" si="136"/>
        <v>0</v>
      </c>
      <c r="V44" s="12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H44" s="124"/>
      <c r="AI44" s="116">
        <f t="shared" si="137"/>
        <v>0</v>
      </c>
      <c r="AJ44" s="12"/>
      <c r="AK44" s="124"/>
      <c r="AL44" s="124"/>
      <c r="AM44" s="124"/>
      <c r="AN44" s="124"/>
      <c r="AO44" s="124"/>
      <c r="AP44" s="124"/>
      <c r="AQ44" s="124"/>
      <c r="AR44" s="124"/>
      <c r="AS44" s="124"/>
      <c r="AT44" s="124"/>
      <c r="AU44" s="124"/>
      <c r="AV44" s="124"/>
      <c r="AW44" s="116">
        <f t="shared" si="138"/>
        <v>0</v>
      </c>
      <c r="AX44" s="12"/>
      <c r="AY44" s="124"/>
      <c r="AZ44" s="124"/>
      <c r="BA44" s="124"/>
      <c r="BB44" s="124"/>
      <c r="BC44" s="124"/>
      <c r="BD44" s="124"/>
      <c r="BE44" s="124"/>
      <c r="BF44" s="124"/>
      <c r="BG44" s="124"/>
      <c r="BH44" s="124"/>
      <c r="BI44" s="124"/>
      <c r="BJ44" s="124"/>
      <c r="BK44" s="116">
        <f t="shared" si="139"/>
        <v>0</v>
      </c>
      <c r="BL44" s="12"/>
      <c r="BM44" s="124"/>
      <c r="BN44" s="124"/>
      <c r="BO44" s="124"/>
      <c r="BP44" s="124"/>
      <c r="BQ44" s="124"/>
      <c r="BR44" s="124"/>
      <c r="BS44" s="124"/>
      <c r="BT44" s="124"/>
      <c r="BU44" s="124"/>
      <c r="BV44" s="124"/>
      <c r="BW44" s="124"/>
      <c r="BX44" s="124"/>
      <c r="BY44" s="116">
        <f t="shared" si="140"/>
        <v>0</v>
      </c>
      <c r="BZ44" s="12"/>
      <c r="CA44" s="200">
        <f t="shared" si="141"/>
        <v>0</v>
      </c>
      <c r="CB44" s="12"/>
      <c r="CC44" s="118">
        <f t="shared" ref="CC44:CC60" si="147">$E44/I$6*I44</f>
        <v>0</v>
      </c>
      <c r="CD44" s="118">
        <f t="shared" ref="CD44:CD60" si="148">$E44/J$6*J44</f>
        <v>0</v>
      </c>
      <c r="CE44" s="118">
        <f t="shared" ref="CE44:CE60" si="149">$E44/K$6*K44</f>
        <v>0</v>
      </c>
      <c r="CF44" s="118">
        <f t="shared" ref="CF44:CF60" si="150">$E44/L$6*L44</f>
        <v>0</v>
      </c>
      <c r="CG44" s="118">
        <f t="shared" ref="CG44:CG60" si="151">$E44/M$6*M44</f>
        <v>0</v>
      </c>
      <c r="CH44" s="118">
        <f t="shared" ref="CH44:CH60" si="152">$E44/N$6*N44</f>
        <v>0</v>
      </c>
      <c r="CI44" s="118">
        <f t="shared" ref="CI44:CI60" si="153">$E44/O$6*O44</f>
        <v>0</v>
      </c>
      <c r="CJ44" s="118">
        <f t="shared" ref="CJ44:CJ60" si="154">$E44/P$6*P44</f>
        <v>0</v>
      </c>
      <c r="CK44" s="118">
        <f t="shared" ref="CK44:CK60" si="155">$E44/Q$6*Q44</f>
        <v>0</v>
      </c>
      <c r="CL44" s="118">
        <f t="shared" ref="CL44:CL60" si="156">$E44/R$6*R44</f>
        <v>0</v>
      </c>
      <c r="CM44" s="118">
        <f t="shared" ref="CM44:CM60" si="157">$E44/S$6*S44</f>
        <v>0</v>
      </c>
      <c r="CN44" s="118">
        <f t="shared" ref="CN44:CN60" si="158">$E44/T$6*T44</f>
        <v>0</v>
      </c>
      <c r="CO44" s="41">
        <f t="shared" si="142"/>
        <v>0</v>
      </c>
      <c r="CP44" s="12"/>
      <c r="CQ44" s="118">
        <f t="shared" ref="CQ44:CQ60" si="159">$E44/W$6*W44</f>
        <v>0</v>
      </c>
      <c r="CR44" s="118">
        <f t="shared" ref="CR44:CR60" si="160">$E44/X$6*X44</f>
        <v>0</v>
      </c>
      <c r="CS44" s="118">
        <f t="shared" ref="CS44:CS60" si="161">$E44/Y$6*Y44</f>
        <v>0</v>
      </c>
      <c r="CT44" s="118">
        <f t="shared" ref="CT44:CT60" si="162">$E44/Z$6*Z44</f>
        <v>0</v>
      </c>
      <c r="CU44" s="118">
        <f t="shared" ref="CU44:CU60" si="163">$E44/AA$6*AA44</f>
        <v>0</v>
      </c>
      <c r="CV44" s="118">
        <f t="shared" ref="CV44:CV60" si="164">$E44/AB$6*AB44</f>
        <v>0</v>
      </c>
      <c r="CW44" s="118">
        <f t="shared" ref="CW44:CW60" si="165">$E44/AC$6*AC44</f>
        <v>0</v>
      </c>
      <c r="CX44" s="118">
        <f t="shared" ref="CX44:CX60" si="166">$E44/AD$6*AD44</f>
        <v>0</v>
      </c>
      <c r="CY44" s="118">
        <f t="shared" ref="CY44:CY60" si="167">$E44/AE$6*AE44</f>
        <v>0</v>
      </c>
      <c r="CZ44" s="118">
        <f t="shared" ref="CZ44:CZ60" si="168">$E44/AF$6*AF44</f>
        <v>0</v>
      </c>
      <c r="DA44" s="118">
        <f t="shared" ref="DA44:DA60" si="169">$E44/AG$6*AG44</f>
        <v>0</v>
      </c>
      <c r="DB44" s="118">
        <f t="shared" ref="DB44:DB60" si="170">$E44/AH$6*AH44</f>
        <v>0</v>
      </c>
      <c r="DC44" s="41">
        <f t="shared" si="143"/>
        <v>0</v>
      </c>
      <c r="DD44" s="12"/>
      <c r="DE44" s="118">
        <f t="shared" ref="DE44:DE60" si="171">$E44/AK$6*AK44</f>
        <v>0</v>
      </c>
      <c r="DF44" s="118">
        <f t="shared" ref="DF44:DF60" si="172">$E44/AL$6*AL44</f>
        <v>0</v>
      </c>
      <c r="DG44" s="118">
        <f t="shared" ref="DG44:DG60" si="173">$E44/AM$6*AM44</f>
        <v>0</v>
      </c>
      <c r="DH44" s="118">
        <f t="shared" ref="DH44:DH60" si="174">$E44/AN$6*AN44</f>
        <v>0</v>
      </c>
      <c r="DI44" s="118">
        <f t="shared" ref="DI44:DI60" si="175">$E44/AO$6*AO44</f>
        <v>0</v>
      </c>
      <c r="DJ44" s="118">
        <f t="shared" ref="DJ44:DJ60" si="176">$E44/AP$6*AP44</f>
        <v>0</v>
      </c>
      <c r="DK44" s="118">
        <f t="shared" ref="DK44:DK60" si="177">$E44/AQ$6*AQ44</f>
        <v>0</v>
      </c>
      <c r="DL44" s="118">
        <f t="shared" ref="DL44:DL60" si="178">$E44/AR$6*AR44</f>
        <v>0</v>
      </c>
      <c r="DM44" s="118">
        <f t="shared" ref="DM44:DM60" si="179">$E44/AS$6*AS44</f>
        <v>0</v>
      </c>
      <c r="DN44" s="118">
        <f t="shared" ref="DN44:DN60" si="180">$E44/AT$6*AT44</f>
        <v>0</v>
      </c>
      <c r="DO44" s="118">
        <f t="shared" ref="DO44:DO60" si="181">$E44/AU$6*AU44</f>
        <v>0</v>
      </c>
      <c r="DP44" s="118">
        <f t="shared" ref="DP44:DP60" si="182">$E44/AV$6*AV44</f>
        <v>0</v>
      </c>
      <c r="DQ44" s="41">
        <f t="shared" si="144"/>
        <v>0</v>
      </c>
      <c r="DR44" s="12"/>
      <c r="DS44" s="118">
        <f t="shared" ref="DS44:DS60" si="183">$E44/AY$6*AY44</f>
        <v>0</v>
      </c>
      <c r="DT44" s="118">
        <f t="shared" ref="DT44:DT60" si="184">$E44/AZ$6*AZ44</f>
        <v>0</v>
      </c>
      <c r="DU44" s="118">
        <f t="shared" ref="DU44:DU60" si="185">$E44/BA$6*BA44</f>
        <v>0</v>
      </c>
      <c r="DV44" s="118">
        <f t="shared" ref="DV44:DV60" si="186">$E44/BB$6*BB44</f>
        <v>0</v>
      </c>
      <c r="DW44" s="118">
        <f t="shared" ref="DW44:DW60" si="187">$E44/BC$6*BC44</f>
        <v>0</v>
      </c>
      <c r="DX44" s="118">
        <f t="shared" ref="DX44:DX60" si="188">$E44/BD$6*BD44</f>
        <v>0</v>
      </c>
      <c r="DY44" s="118">
        <f t="shared" ref="DY44:DY60" si="189">$E44/BE$6*BE44</f>
        <v>0</v>
      </c>
      <c r="DZ44" s="118">
        <f t="shared" ref="DZ44:DZ60" si="190">$E44/BF$6*BF44</f>
        <v>0</v>
      </c>
      <c r="EA44" s="118">
        <f t="shared" ref="EA44:EA60" si="191">$E44/BG$6*BG44</f>
        <v>0</v>
      </c>
      <c r="EB44" s="118">
        <f t="shared" ref="EB44:EB60" si="192">$E44/BH$6*BH44</f>
        <v>0</v>
      </c>
      <c r="EC44" s="118">
        <f t="shared" ref="EC44:EC60" si="193">$E44/BI$6*BI44</f>
        <v>0</v>
      </c>
      <c r="ED44" s="118">
        <f t="shared" ref="ED44:ED60" si="194">$E44/BJ$6*BJ44</f>
        <v>0</v>
      </c>
      <c r="EE44" s="41">
        <f t="shared" si="145"/>
        <v>0</v>
      </c>
      <c r="EF44" s="12"/>
      <c r="EG44" s="118">
        <f t="shared" ref="EG44:EG60" si="195">$E44/BM$6*BM44</f>
        <v>0</v>
      </c>
      <c r="EH44" s="118">
        <f t="shared" ref="EH44:EH60" si="196">$E44/BN$6*BN44</f>
        <v>0</v>
      </c>
      <c r="EI44" s="118">
        <f t="shared" ref="EI44:EI60" si="197">$E44/BO$6*BO44</f>
        <v>0</v>
      </c>
      <c r="EJ44" s="118">
        <f t="shared" ref="EJ44:EJ60" si="198">$E44/BP$6*BP44</f>
        <v>0</v>
      </c>
      <c r="EK44" s="118">
        <f t="shared" ref="EK44:EK60" si="199">$E44/BQ$6*BQ44</f>
        <v>0</v>
      </c>
      <c r="EL44" s="118">
        <f t="shared" ref="EL44:EL60" si="200">$E44/BR$6*BR44</f>
        <v>0</v>
      </c>
      <c r="EM44" s="118">
        <f t="shared" ref="EM44:EM60" si="201">$E44/BS$6*BS44</f>
        <v>0</v>
      </c>
      <c r="EN44" s="118">
        <f t="shared" ref="EN44:EN60" si="202">$E44/BT$6*BT44</f>
        <v>0</v>
      </c>
      <c r="EO44" s="118">
        <f t="shared" ref="EO44:EO60" si="203">$E44/BU$6*BU44</f>
        <v>0</v>
      </c>
      <c r="EP44" s="118">
        <f t="shared" ref="EP44:EP60" si="204">$E44/BV$6*BV44</f>
        <v>0</v>
      </c>
      <c r="EQ44" s="118">
        <f t="shared" ref="EQ44:EQ60" si="205">$E44/BW$6*BW44</f>
        <v>0</v>
      </c>
      <c r="ER44" s="118">
        <f t="shared" ref="ER44:ER60" si="206">$E44/BX$6*BX44</f>
        <v>0</v>
      </c>
      <c r="ES44" s="41">
        <f t="shared" si="146"/>
        <v>0</v>
      </c>
    </row>
    <row r="45" spans="1:149" ht="10.199999999999999" x14ac:dyDescent="0.2">
      <c r="A45" s="122">
        <v>1</v>
      </c>
      <c r="C45" s="123"/>
      <c r="D45" s="117" t="str">
        <f>IF(ISERROR(VLOOKUP('Оценка трудоемкости'!$C45,Справочники!S:V,3,0))=TRUE,"",VLOOKUP('Оценка трудоемкости'!$C45,Справочники!S:V,3,0))</f>
        <v/>
      </c>
      <c r="E45" s="117">
        <f>IF(ISERROR(VLOOKUP('Оценка трудоемкости'!$C45,Справочники!S:V,4,0))=TRUE,0,VLOOKUP('Оценка трудоемкости'!$C45,Справочники!S:V,4,0))</f>
        <v>0</v>
      </c>
      <c r="F45" s="125"/>
      <c r="G45" s="116">
        <f t="shared" si="135"/>
        <v>0</v>
      </c>
      <c r="H45" s="12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16">
        <f t="shared" si="136"/>
        <v>0</v>
      </c>
      <c r="V45" s="12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16">
        <f t="shared" si="137"/>
        <v>0</v>
      </c>
      <c r="AJ45" s="12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16">
        <f t="shared" si="138"/>
        <v>0</v>
      </c>
      <c r="AX45" s="12"/>
      <c r="AY45" s="124"/>
      <c r="AZ45" s="124"/>
      <c r="BA45" s="124"/>
      <c r="BB45" s="124"/>
      <c r="BC45" s="124"/>
      <c r="BD45" s="124"/>
      <c r="BE45" s="124"/>
      <c r="BF45" s="124"/>
      <c r="BG45" s="124"/>
      <c r="BH45" s="124"/>
      <c r="BI45" s="124"/>
      <c r="BJ45" s="124"/>
      <c r="BK45" s="116">
        <f t="shared" si="139"/>
        <v>0</v>
      </c>
      <c r="BL45" s="12"/>
      <c r="BM45" s="124"/>
      <c r="BN45" s="124"/>
      <c r="BO45" s="124"/>
      <c r="BP45" s="124"/>
      <c r="BQ45" s="124"/>
      <c r="BR45" s="124"/>
      <c r="BS45" s="124"/>
      <c r="BT45" s="124"/>
      <c r="BU45" s="124"/>
      <c r="BV45" s="124"/>
      <c r="BW45" s="124"/>
      <c r="BX45" s="124"/>
      <c r="BY45" s="116">
        <f t="shared" si="140"/>
        <v>0</v>
      </c>
      <c r="BZ45" s="12"/>
      <c r="CA45" s="200">
        <f t="shared" si="141"/>
        <v>0</v>
      </c>
      <c r="CB45" s="12"/>
      <c r="CC45" s="118">
        <f t="shared" si="147"/>
        <v>0</v>
      </c>
      <c r="CD45" s="118">
        <f t="shared" si="148"/>
        <v>0</v>
      </c>
      <c r="CE45" s="118">
        <f t="shared" si="149"/>
        <v>0</v>
      </c>
      <c r="CF45" s="118">
        <f t="shared" si="150"/>
        <v>0</v>
      </c>
      <c r="CG45" s="118">
        <f t="shared" si="151"/>
        <v>0</v>
      </c>
      <c r="CH45" s="118">
        <f t="shared" si="152"/>
        <v>0</v>
      </c>
      <c r="CI45" s="118">
        <f t="shared" si="153"/>
        <v>0</v>
      </c>
      <c r="CJ45" s="118">
        <f t="shared" si="154"/>
        <v>0</v>
      </c>
      <c r="CK45" s="118">
        <f t="shared" si="155"/>
        <v>0</v>
      </c>
      <c r="CL45" s="118">
        <f t="shared" si="156"/>
        <v>0</v>
      </c>
      <c r="CM45" s="118">
        <f t="shared" si="157"/>
        <v>0</v>
      </c>
      <c r="CN45" s="118">
        <f t="shared" si="158"/>
        <v>0</v>
      </c>
      <c r="CO45" s="41">
        <f t="shared" si="142"/>
        <v>0</v>
      </c>
      <c r="CP45" s="12"/>
      <c r="CQ45" s="118">
        <f t="shared" si="159"/>
        <v>0</v>
      </c>
      <c r="CR45" s="118">
        <f t="shared" si="160"/>
        <v>0</v>
      </c>
      <c r="CS45" s="118">
        <f t="shared" si="161"/>
        <v>0</v>
      </c>
      <c r="CT45" s="118">
        <f t="shared" si="162"/>
        <v>0</v>
      </c>
      <c r="CU45" s="118">
        <f t="shared" si="163"/>
        <v>0</v>
      </c>
      <c r="CV45" s="118">
        <f t="shared" si="164"/>
        <v>0</v>
      </c>
      <c r="CW45" s="118">
        <f t="shared" si="165"/>
        <v>0</v>
      </c>
      <c r="CX45" s="118">
        <f t="shared" si="166"/>
        <v>0</v>
      </c>
      <c r="CY45" s="118">
        <f t="shared" si="167"/>
        <v>0</v>
      </c>
      <c r="CZ45" s="118">
        <f t="shared" si="168"/>
        <v>0</v>
      </c>
      <c r="DA45" s="118">
        <f t="shared" si="169"/>
        <v>0</v>
      </c>
      <c r="DB45" s="118">
        <f t="shared" si="170"/>
        <v>0</v>
      </c>
      <c r="DC45" s="41">
        <f t="shared" si="143"/>
        <v>0</v>
      </c>
      <c r="DD45" s="12"/>
      <c r="DE45" s="118">
        <f t="shared" si="171"/>
        <v>0</v>
      </c>
      <c r="DF45" s="118">
        <f t="shared" si="172"/>
        <v>0</v>
      </c>
      <c r="DG45" s="118">
        <f t="shared" si="173"/>
        <v>0</v>
      </c>
      <c r="DH45" s="118">
        <f t="shared" si="174"/>
        <v>0</v>
      </c>
      <c r="DI45" s="118">
        <f t="shared" si="175"/>
        <v>0</v>
      </c>
      <c r="DJ45" s="118">
        <f t="shared" si="176"/>
        <v>0</v>
      </c>
      <c r="DK45" s="118">
        <f t="shared" si="177"/>
        <v>0</v>
      </c>
      <c r="DL45" s="118">
        <f t="shared" si="178"/>
        <v>0</v>
      </c>
      <c r="DM45" s="118">
        <f t="shared" si="179"/>
        <v>0</v>
      </c>
      <c r="DN45" s="118">
        <f t="shared" si="180"/>
        <v>0</v>
      </c>
      <c r="DO45" s="118">
        <f t="shared" si="181"/>
        <v>0</v>
      </c>
      <c r="DP45" s="118">
        <f t="shared" si="182"/>
        <v>0</v>
      </c>
      <c r="DQ45" s="41">
        <f t="shared" si="144"/>
        <v>0</v>
      </c>
      <c r="DR45" s="12"/>
      <c r="DS45" s="118">
        <f t="shared" si="183"/>
        <v>0</v>
      </c>
      <c r="DT45" s="118">
        <f t="shared" si="184"/>
        <v>0</v>
      </c>
      <c r="DU45" s="118">
        <f t="shared" si="185"/>
        <v>0</v>
      </c>
      <c r="DV45" s="118">
        <f t="shared" si="186"/>
        <v>0</v>
      </c>
      <c r="DW45" s="118">
        <f t="shared" si="187"/>
        <v>0</v>
      </c>
      <c r="DX45" s="118">
        <f t="shared" si="188"/>
        <v>0</v>
      </c>
      <c r="DY45" s="118">
        <f t="shared" si="189"/>
        <v>0</v>
      </c>
      <c r="DZ45" s="118">
        <f t="shared" si="190"/>
        <v>0</v>
      </c>
      <c r="EA45" s="118">
        <f t="shared" si="191"/>
        <v>0</v>
      </c>
      <c r="EB45" s="118">
        <f t="shared" si="192"/>
        <v>0</v>
      </c>
      <c r="EC45" s="118">
        <f t="shared" si="193"/>
        <v>0</v>
      </c>
      <c r="ED45" s="118">
        <f t="shared" si="194"/>
        <v>0</v>
      </c>
      <c r="EE45" s="41">
        <f t="shared" si="145"/>
        <v>0</v>
      </c>
      <c r="EF45" s="12"/>
      <c r="EG45" s="118">
        <f t="shared" si="195"/>
        <v>0</v>
      </c>
      <c r="EH45" s="118">
        <f t="shared" si="196"/>
        <v>0</v>
      </c>
      <c r="EI45" s="118">
        <f t="shared" si="197"/>
        <v>0</v>
      </c>
      <c r="EJ45" s="118">
        <f t="shared" si="198"/>
        <v>0</v>
      </c>
      <c r="EK45" s="118">
        <f t="shared" si="199"/>
        <v>0</v>
      </c>
      <c r="EL45" s="118">
        <f t="shared" si="200"/>
        <v>0</v>
      </c>
      <c r="EM45" s="118">
        <f t="shared" si="201"/>
        <v>0</v>
      </c>
      <c r="EN45" s="118">
        <f t="shared" si="202"/>
        <v>0</v>
      </c>
      <c r="EO45" s="118">
        <f t="shared" si="203"/>
        <v>0</v>
      </c>
      <c r="EP45" s="118">
        <f t="shared" si="204"/>
        <v>0</v>
      </c>
      <c r="EQ45" s="118">
        <f t="shared" si="205"/>
        <v>0</v>
      </c>
      <c r="ER45" s="118">
        <f t="shared" si="206"/>
        <v>0</v>
      </c>
      <c r="ES45" s="41">
        <f t="shared" si="146"/>
        <v>0</v>
      </c>
    </row>
    <row r="46" spans="1:149" ht="10.199999999999999" x14ac:dyDescent="0.2">
      <c r="A46" s="122">
        <v>1</v>
      </c>
      <c r="C46" s="123"/>
      <c r="D46" s="117" t="str">
        <f>IF(ISERROR(VLOOKUP('Оценка трудоемкости'!$C46,Справочники!S:V,3,0))=TRUE,"",VLOOKUP('Оценка трудоемкости'!$C46,Справочники!S:V,3,0))</f>
        <v/>
      </c>
      <c r="E46" s="117">
        <f>IF(ISERROR(VLOOKUP('Оценка трудоемкости'!$C46,Справочники!S:V,4,0))=TRUE,0,VLOOKUP('Оценка трудоемкости'!$C46,Справочники!S:V,4,0))</f>
        <v>0</v>
      </c>
      <c r="F46" s="125"/>
      <c r="G46" s="116">
        <f t="shared" si="135"/>
        <v>0</v>
      </c>
      <c r="H46" s="12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16">
        <f t="shared" si="136"/>
        <v>0</v>
      </c>
      <c r="V46" s="12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24"/>
      <c r="AI46" s="116">
        <f t="shared" si="137"/>
        <v>0</v>
      </c>
      <c r="AJ46" s="12"/>
      <c r="AK46" s="124"/>
      <c r="AL46" s="124"/>
      <c r="AM46" s="124"/>
      <c r="AN46" s="124"/>
      <c r="AO46" s="124"/>
      <c r="AP46" s="124"/>
      <c r="AQ46" s="124"/>
      <c r="AR46" s="124"/>
      <c r="AS46" s="124"/>
      <c r="AT46" s="124"/>
      <c r="AU46" s="124"/>
      <c r="AV46" s="124"/>
      <c r="AW46" s="116">
        <f t="shared" si="138"/>
        <v>0</v>
      </c>
      <c r="AX46" s="12"/>
      <c r="AY46" s="124"/>
      <c r="AZ46" s="124"/>
      <c r="BA46" s="124"/>
      <c r="BB46" s="124"/>
      <c r="BC46" s="124"/>
      <c r="BD46" s="124"/>
      <c r="BE46" s="124"/>
      <c r="BF46" s="124"/>
      <c r="BG46" s="124"/>
      <c r="BH46" s="124"/>
      <c r="BI46" s="124"/>
      <c r="BJ46" s="124"/>
      <c r="BK46" s="116">
        <f t="shared" si="139"/>
        <v>0</v>
      </c>
      <c r="BL46" s="12"/>
      <c r="BM46" s="124"/>
      <c r="BN46" s="124"/>
      <c r="BO46" s="124"/>
      <c r="BP46" s="124"/>
      <c r="BQ46" s="124"/>
      <c r="BR46" s="124"/>
      <c r="BS46" s="124"/>
      <c r="BT46" s="124"/>
      <c r="BU46" s="124"/>
      <c r="BV46" s="124"/>
      <c r="BW46" s="124"/>
      <c r="BX46" s="124"/>
      <c r="BY46" s="116">
        <f t="shared" si="140"/>
        <v>0</v>
      </c>
      <c r="BZ46" s="12"/>
      <c r="CA46" s="200">
        <f t="shared" si="141"/>
        <v>0</v>
      </c>
      <c r="CB46" s="12"/>
      <c r="CC46" s="118">
        <f t="shared" si="147"/>
        <v>0</v>
      </c>
      <c r="CD46" s="118">
        <f t="shared" si="148"/>
        <v>0</v>
      </c>
      <c r="CE46" s="118">
        <f t="shared" si="149"/>
        <v>0</v>
      </c>
      <c r="CF46" s="118">
        <f t="shared" si="150"/>
        <v>0</v>
      </c>
      <c r="CG46" s="118">
        <f t="shared" si="151"/>
        <v>0</v>
      </c>
      <c r="CH46" s="118">
        <f t="shared" si="152"/>
        <v>0</v>
      </c>
      <c r="CI46" s="118">
        <f t="shared" si="153"/>
        <v>0</v>
      </c>
      <c r="CJ46" s="118">
        <f t="shared" si="154"/>
        <v>0</v>
      </c>
      <c r="CK46" s="118">
        <f t="shared" si="155"/>
        <v>0</v>
      </c>
      <c r="CL46" s="118">
        <f t="shared" si="156"/>
        <v>0</v>
      </c>
      <c r="CM46" s="118">
        <f t="shared" si="157"/>
        <v>0</v>
      </c>
      <c r="CN46" s="118">
        <f t="shared" si="158"/>
        <v>0</v>
      </c>
      <c r="CO46" s="41">
        <f t="shared" si="142"/>
        <v>0</v>
      </c>
      <c r="CP46" s="12"/>
      <c r="CQ46" s="118">
        <f t="shared" si="159"/>
        <v>0</v>
      </c>
      <c r="CR46" s="118">
        <f t="shared" si="160"/>
        <v>0</v>
      </c>
      <c r="CS46" s="118">
        <f t="shared" si="161"/>
        <v>0</v>
      </c>
      <c r="CT46" s="118">
        <f t="shared" si="162"/>
        <v>0</v>
      </c>
      <c r="CU46" s="118">
        <f t="shared" si="163"/>
        <v>0</v>
      </c>
      <c r="CV46" s="118">
        <f t="shared" si="164"/>
        <v>0</v>
      </c>
      <c r="CW46" s="118">
        <f t="shared" si="165"/>
        <v>0</v>
      </c>
      <c r="CX46" s="118">
        <f t="shared" si="166"/>
        <v>0</v>
      </c>
      <c r="CY46" s="118">
        <f t="shared" si="167"/>
        <v>0</v>
      </c>
      <c r="CZ46" s="118">
        <f t="shared" si="168"/>
        <v>0</v>
      </c>
      <c r="DA46" s="118">
        <f t="shared" si="169"/>
        <v>0</v>
      </c>
      <c r="DB46" s="118">
        <f t="shared" si="170"/>
        <v>0</v>
      </c>
      <c r="DC46" s="41">
        <f t="shared" si="143"/>
        <v>0</v>
      </c>
      <c r="DD46" s="12"/>
      <c r="DE46" s="118">
        <f t="shared" si="171"/>
        <v>0</v>
      </c>
      <c r="DF46" s="118">
        <f t="shared" si="172"/>
        <v>0</v>
      </c>
      <c r="DG46" s="118">
        <f t="shared" si="173"/>
        <v>0</v>
      </c>
      <c r="DH46" s="118">
        <f t="shared" si="174"/>
        <v>0</v>
      </c>
      <c r="DI46" s="118">
        <f t="shared" si="175"/>
        <v>0</v>
      </c>
      <c r="DJ46" s="118">
        <f t="shared" si="176"/>
        <v>0</v>
      </c>
      <c r="DK46" s="118">
        <f t="shared" si="177"/>
        <v>0</v>
      </c>
      <c r="DL46" s="118">
        <f t="shared" si="178"/>
        <v>0</v>
      </c>
      <c r="DM46" s="118">
        <f t="shared" si="179"/>
        <v>0</v>
      </c>
      <c r="DN46" s="118">
        <f t="shared" si="180"/>
        <v>0</v>
      </c>
      <c r="DO46" s="118">
        <f t="shared" si="181"/>
        <v>0</v>
      </c>
      <c r="DP46" s="118">
        <f t="shared" si="182"/>
        <v>0</v>
      </c>
      <c r="DQ46" s="41">
        <f t="shared" si="144"/>
        <v>0</v>
      </c>
      <c r="DR46" s="12"/>
      <c r="DS46" s="118">
        <f t="shared" si="183"/>
        <v>0</v>
      </c>
      <c r="DT46" s="118">
        <f t="shared" si="184"/>
        <v>0</v>
      </c>
      <c r="DU46" s="118">
        <f t="shared" si="185"/>
        <v>0</v>
      </c>
      <c r="DV46" s="118">
        <f t="shared" si="186"/>
        <v>0</v>
      </c>
      <c r="DW46" s="118">
        <f t="shared" si="187"/>
        <v>0</v>
      </c>
      <c r="DX46" s="118">
        <f t="shared" si="188"/>
        <v>0</v>
      </c>
      <c r="DY46" s="118">
        <f t="shared" si="189"/>
        <v>0</v>
      </c>
      <c r="DZ46" s="118">
        <f t="shared" si="190"/>
        <v>0</v>
      </c>
      <c r="EA46" s="118">
        <f t="shared" si="191"/>
        <v>0</v>
      </c>
      <c r="EB46" s="118">
        <f t="shared" si="192"/>
        <v>0</v>
      </c>
      <c r="EC46" s="118">
        <f t="shared" si="193"/>
        <v>0</v>
      </c>
      <c r="ED46" s="118">
        <f t="shared" si="194"/>
        <v>0</v>
      </c>
      <c r="EE46" s="41">
        <f t="shared" si="145"/>
        <v>0</v>
      </c>
      <c r="EF46" s="12"/>
      <c r="EG46" s="118">
        <f t="shared" si="195"/>
        <v>0</v>
      </c>
      <c r="EH46" s="118">
        <f t="shared" si="196"/>
        <v>0</v>
      </c>
      <c r="EI46" s="118">
        <f t="shared" si="197"/>
        <v>0</v>
      </c>
      <c r="EJ46" s="118">
        <f t="shared" si="198"/>
        <v>0</v>
      </c>
      <c r="EK46" s="118">
        <f t="shared" si="199"/>
        <v>0</v>
      </c>
      <c r="EL46" s="118">
        <f t="shared" si="200"/>
        <v>0</v>
      </c>
      <c r="EM46" s="118">
        <f t="shared" si="201"/>
        <v>0</v>
      </c>
      <c r="EN46" s="118">
        <f t="shared" si="202"/>
        <v>0</v>
      </c>
      <c r="EO46" s="118">
        <f t="shared" si="203"/>
        <v>0</v>
      </c>
      <c r="EP46" s="118">
        <f t="shared" si="204"/>
        <v>0</v>
      </c>
      <c r="EQ46" s="118">
        <f t="shared" si="205"/>
        <v>0</v>
      </c>
      <c r="ER46" s="118">
        <f t="shared" si="206"/>
        <v>0</v>
      </c>
      <c r="ES46" s="41">
        <f t="shared" si="146"/>
        <v>0</v>
      </c>
    </row>
    <row r="47" spans="1:149" ht="10.199999999999999" x14ac:dyDescent="0.2">
      <c r="A47" s="122">
        <v>1</v>
      </c>
      <c r="C47" s="123"/>
      <c r="D47" s="117" t="str">
        <f>IF(ISERROR(VLOOKUP('Оценка трудоемкости'!$C47,Справочники!S:V,3,0))=TRUE,"",VLOOKUP('Оценка трудоемкости'!$C47,Справочники!S:V,3,0))</f>
        <v/>
      </c>
      <c r="E47" s="117">
        <f>IF(ISERROR(VLOOKUP('Оценка трудоемкости'!$C47,Справочники!S:V,4,0))=TRUE,0,VLOOKUP('Оценка трудоемкости'!$C47,Справочники!S:V,4,0))</f>
        <v>0</v>
      </c>
      <c r="F47" s="125"/>
      <c r="G47" s="116">
        <f t="shared" si="135"/>
        <v>0</v>
      </c>
      <c r="H47" s="12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16">
        <f t="shared" si="136"/>
        <v>0</v>
      </c>
      <c r="V47" s="12"/>
      <c r="W47" s="124"/>
      <c r="X47" s="124"/>
      <c r="Y47" s="124"/>
      <c r="Z47" s="124"/>
      <c r="AA47" s="124"/>
      <c r="AB47" s="124"/>
      <c r="AC47" s="124"/>
      <c r="AD47" s="124"/>
      <c r="AE47" s="124"/>
      <c r="AF47" s="124"/>
      <c r="AG47" s="124"/>
      <c r="AH47" s="124"/>
      <c r="AI47" s="116">
        <f t="shared" si="137"/>
        <v>0</v>
      </c>
      <c r="AJ47" s="12"/>
      <c r="AK47" s="124"/>
      <c r="AL47" s="124"/>
      <c r="AM47" s="124"/>
      <c r="AN47" s="124"/>
      <c r="AO47" s="124"/>
      <c r="AP47" s="124"/>
      <c r="AQ47" s="124"/>
      <c r="AR47" s="124"/>
      <c r="AS47" s="124"/>
      <c r="AT47" s="124"/>
      <c r="AU47" s="124"/>
      <c r="AV47" s="124"/>
      <c r="AW47" s="116">
        <f t="shared" si="138"/>
        <v>0</v>
      </c>
      <c r="AX47" s="12"/>
      <c r="AY47" s="124"/>
      <c r="AZ47" s="124"/>
      <c r="BA47" s="124"/>
      <c r="BB47" s="124"/>
      <c r="BC47" s="124"/>
      <c r="BD47" s="124"/>
      <c r="BE47" s="124"/>
      <c r="BF47" s="124"/>
      <c r="BG47" s="124"/>
      <c r="BH47" s="124"/>
      <c r="BI47" s="124"/>
      <c r="BJ47" s="124"/>
      <c r="BK47" s="116">
        <f t="shared" si="139"/>
        <v>0</v>
      </c>
      <c r="BL47" s="12"/>
      <c r="BM47" s="124"/>
      <c r="BN47" s="124"/>
      <c r="BO47" s="124"/>
      <c r="BP47" s="124"/>
      <c r="BQ47" s="124"/>
      <c r="BR47" s="124"/>
      <c r="BS47" s="124"/>
      <c r="BT47" s="124"/>
      <c r="BU47" s="124"/>
      <c r="BV47" s="124"/>
      <c r="BW47" s="124"/>
      <c r="BX47" s="124"/>
      <c r="BY47" s="116">
        <f t="shared" si="140"/>
        <v>0</v>
      </c>
      <c r="BZ47" s="12"/>
      <c r="CA47" s="200">
        <f t="shared" si="141"/>
        <v>0</v>
      </c>
      <c r="CB47" s="12"/>
      <c r="CC47" s="118">
        <f t="shared" si="147"/>
        <v>0</v>
      </c>
      <c r="CD47" s="118">
        <f t="shared" si="148"/>
        <v>0</v>
      </c>
      <c r="CE47" s="118">
        <f t="shared" si="149"/>
        <v>0</v>
      </c>
      <c r="CF47" s="118">
        <f t="shared" si="150"/>
        <v>0</v>
      </c>
      <c r="CG47" s="118">
        <f t="shared" si="151"/>
        <v>0</v>
      </c>
      <c r="CH47" s="118">
        <f t="shared" si="152"/>
        <v>0</v>
      </c>
      <c r="CI47" s="118">
        <f t="shared" si="153"/>
        <v>0</v>
      </c>
      <c r="CJ47" s="118">
        <f t="shared" si="154"/>
        <v>0</v>
      </c>
      <c r="CK47" s="118">
        <f t="shared" si="155"/>
        <v>0</v>
      </c>
      <c r="CL47" s="118">
        <f t="shared" si="156"/>
        <v>0</v>
      </c>
      <c r="CM47" s="118">
        <f t="shared" si="157"/>
        <v>0</v>
      </c>
      <c r="CN47" s="118">
        <f t="shared" si="158"/>
        <v>0</v>
      </c>
      <c r="CO47" s="41">
        <f t="shared" si="142"/>
        <v>0</v>
      </c>
      <c r="CP47" s="12"/>
      <c r="CQ47" s="118">
        <f t="shared" si="159"/>
        <v>0</v>
      </c>
      <c r="CR47" s="118">
        <f t="shared" si="160"/>
        <v>0</v>
      </c>
      <c r="CS47" s="118">
        <f t="shared" si="161"/>
        <v>0</v>
      </c>
      <c r="CT47" s="118">
        <f t="shared" si="162"/>
        <v>0</v>
      </c>
      <c r="CU47" s="118">
        <f t="shared" si="163"/>
        <v>0</v>
      </c>
      <c r="CV47" s="118">
        <f t="shared" si="164"/>
        <v>0</v>
      </c>
      <c r="CW47" s="118">
        <f t="shared" si="165"/>
        <v>0</v>
      </c>
      <c r="CX47" s="118">
        <f t="shared" si="166"/>
        <v>0</v>
      </c>
      <c r="CY47" s="118">
        <f t="shared" si="167"/>
        <v>0</v>
      </c>
      <c r="CZ47" s="118">
        <f t="shared" si="168"/>
        <v>0</v>
      </c>
      <c r="DA47" s="118">
        <f t="shared" si="169"/>
        <v>0</v>
      </c>
      <c r="DB47" s="118">
        <f t="shared" si="170"/>
        <v>0</v>
      </c>
      <c r="DC47" s="41">
        <f t="shared" si="143"/>
        <v>0</v>
      </c>
      <c r="DD47" s="12"/>
      <c r="DE47" s="118">
        <f t="shared" si="171"/>
        <v>0</v>
      </c>
      <c r="DF47" s="118">
        <f t="shared" si="172"/>
        <v>0</v>
      </c>
      <c r="DG47" s="118">
        <f t="shared" si="173"/>
        <v>0</v>
      </c>
      <c r="DH47" s="118">
        <f t="shared" si="174"/>
        <v>0</v>
      </c>
      <c r="DI47" s="118">
        <f t="shared" si="175"/>
        <v>0</v>
      </c>
      <c r="DJ47" s="118">
        <f t="shared" si="176"/>
        <v>0</v>
      </c>
      <c r="DK47" s="118">
        <f t="shared" si="177"/>
        <v>0</v>
      </c>
      <c r="DL47" s="118">
        <f t="shared" si="178"/>
        <v>0</v>
      </c>
      <c r="DM47" s="118">
        <f t="shared" si="179"/>
        <v>0</v>
      </c>
      <c r="DN47" s="118">
        <f t="shared" si="180"/>
        <v>0</v>
      </c>
      <c r="DO47" s="118">
        <f t="shared" si="181"/>
        <v>0</v>
      </c>
      <c r="DP47" s="118">
        <f t="shared" si="182"/>
        <v>0</v>
      </c>
      <c r="DQ47" s="41">
        <f t="shared" si="144"/>
        <v>0</v>
      </c>
      <c r="DR47" s="12"/>
      <c r="DS47" s="118">
        <f t="shared" si="183"/>
        <v>0</v>
      </c>
      <c r="DT47" s="118">
        <f t="shared" si="184"/>
        <v>0</v>
      </c>
      <c r="DU47" s="118">
        <f t="shared" si="185"/>
        <v>0</v>
      </c>
      <c r="DV47" s="118">
        <f t="shared" si="186"/>
        <v>0</v>
      </c>
      <c r="DW47" s="118">
        <f t="shared" si="187"/>
        <v>0</v>
      </c>
      <c r="DX47" s="118">
        <f t="shared" si="188"/>
        <v>0</v>
      </c>
      <c r="DY47" s="118">
        <f t="shared" si="189"/>
        <v>0</v>
      </c>
      <c r="DZ47" s="118">
        <f t="shared" si="190"/>
        <v>0</v>
      </c>
      <c r="EA47" s="118">
        <f t="shared" si="191"/>
        <v>0</v>
      </c>
      <c r="EB47" s="118">
        <f t="shared" si="192"/>
        <v>0</v>
      </c>
      <c r="EC47" s="118">
        <f t="shared" si="193"/>
        <v>0</v>
      </c>
      <c r="ED47" s="118">
        <f t="shared" si="194"/>
        <v>0</v>
      </c>
      <c r="EE47" s="41">
        <f t="shared" si="145"/>
        <v>0</v>
      </c>
      <c r="EF47" s="12"/>
      <c r="EG47" s="118">
        <f t="shared" si="195"/>
        <v>0</v>
      </c>
      <c r="EH47" s="118">
        <f t="shared" si="196"/>
        <v>0</v>
      </c>
      <c r="EI47" s="118">
        <f t="shared" si="197"/>
        <v>0</v>
      </c>
      <c r="EJ47" s="118">
        <f t="shared" si="198"/>
        <v>0</v>
      </c>
      <c r="EK47" s="118">
        <f t="shared" si="199"/>
        <v>0</v>
      </c>
      <c r="EL47" s="118">
        <f t="shared" si="200"/>
        <v>0</v>
      </c>
      <c r="EM47" s="118">
        <f t="shared" si="201"/>
        <v>0</v>
      </c>
      <c r="EN47" s="118">
        <f t="shared" si="202"/>
        <v>0</v>
      </c>
      <c r="EO47" s="118">
        <f t="shared" si="203"/>
        <v>0</v>
      </c>
      <c r="EP47" s="118">
        <f t="shared" si="204"/>
        <v>0</v>
      </c>
      <c r="EQ47" s="118">
        <f t="shared" si="205"/>
        <v>0</v>
      </c>
      <c r="ER47" s="118">
        <f t="shared" si="206"/>
        <v>0</v>
      </c>
      <c r="ES47" s="41">
        <f t="shared" si="146"/>
        <v>0</v>
      </c>
    </row>
    <row r="48" spans="1:149" ht="10.199999999999999" x14ac:dyDescent="0.2">
      <c r="A48" s="122">
        <v>1</v>
      </c>
      <c r="C48" s="123"/>
      <c r="D48" s="117" t="str">
        <f>IF(ISERROR(VLOOKUP('Оценка трудоемкости'!$C48,Справочники!S:V,3,0))=TRUE,"",VLOOKUP('Оценка трудоемкости'!$C48,Справочники!S:V,3,0))</f>
        <v/>
      </c>
      <c r="E48" s="117">
        <f>IF(ISERROR(VLOOKUP('Оценка трудоемкости'!$C48,Справочники!S:V,4,0))=TRUE,0,VLOOKUP('Оценка трудоемкости'!$C48,Справочники!S:V,4,0))</f>
        <v>0</v>
      </c>
      <c r="F48" s="125"/>
      <c r="G48" s="116">
        <f t="shared" si="135"/>
        <v>0</v>
      </c>
      <c r="H48" s="12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16">
        <f t="shared" si="136"/>
        <v>0</v>
      </c>
      <c r="V48" s="12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16">
        <f t="shared" si="137"/>
        <v>0</v>
      </c>
      <c r="AJ48" s="12"/>
      <c r="AK48" s="124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24"/>
      <c r="AW48" s="116">
        <f t="shared" si="138"/>
        <v>0</v>
      </c>
      <c r="AX48" s="12"/>
      <c r="AY48" s="124"/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24"/>
      <c r="BK48" s="116">
        <f t="shared" si="139"/>
        <v>0</v>
      </c>
      <c r="BL48" s="12"/>
      <c r="BM48" s="124"/>
      <c r="BN48" s="124"/>
      <c r="BO48" s="124"/>
      <c r="BP48" s="124"/>
      <c r="BQ48" s="124"/>
      <c r="BR48" s="124"/>
      <c r="BS48" s="124"/>
      <c r="BT48" s="124"/>
      <c r="BU48" s="124"/>
      <c r="BV48" s="124"/>
      <c r="BW48" s="124"/>
      <c r="BX48" s="124"/>
      <c r="BY48" s="116">
        <f t="shared" si="140"/>
        <v>0</v>
      </c>
      <c r="BZ48" s="12"/>
      <c r="CA48" s="200">
        <f t="shared" si="141"/>
        <v>0</v>
      </c>
      <c r="CB48" s="12"/>
      <c r="CC48" s="118">
        <f t="shared" si="147"/>
        <v>0</v>
      </c>
      <c r="CD48" s="118">
        <f t="shared" si="148"/>
        <v>0</v>
      </c>
      <c r="CE48" s="118">
        <f t="shared" si="149"/>
        <v>0</v>
      </c>
      <c r="CF48" s="118">
        <f t="shared" si="150"/>
        <v>0</v>
      </c>
      <c r="CG48" s="118">
        <f t="shared" si="151"/>
        <v>0</v>
      </c>
      <c r="CH48" s="118">
        <f t="shared" si="152"/>
        <v>0</v>
      </c>
      <c r="CI48" s="118">
        <f t="shared" si="153"/>
        <v>0</v>
      </c>
      <c r="CJ48" s="118">
        <f t="shared" si="154"/>
        <v>0</v>
      </c>
      <c r="CK48" s="118">
        <f t="shared" si="155"/>
        <v>0</v>
      </c>
      <c r="CL48" s="118">
        <f t="shared" si="156"/>
        <v>0</v>
      </c>
      <c r="CM48" s="118">
        <f t="shared" si="157"/>
        <v>0</v>
      </c>
      <c r="CN48" s="118">
        <f t="shared" si="158"/>
        <v>0</v>
      </c>
      <c r="CO48" s="41">
        <f t="shared" si="142"/>
        <v>0</v>
      </c>
      <c r="CP48" s="12"/>
      <c r="CQ48" s="118">
        <f t="shared" si="159"/>
        <v>0</v>
      </c>
      <c r="CR48" s="118">
        <f t="shared" si="160"/>
        <v>0</v>
      </c>
      <c r="CS48" s="118">
        <f t="shared" si="161"/>
        <v>0</v>
      </c>
      <c r="CT48" s="118">
        <f t="shared" si="162"/>
        <v>0</v>
      </c>
      <c r="CU48" s="118">
        <f t="shared" si="163"/>
        <v>0</v>
      </c>
      <c r="CV48" s="118">
        <f t="shared" si="164"/>
        <v>0</v>
      </c>
      <c r="CW48" s="118">
        <f t="shared" si="165"/>
        <v>0</v>
      </c>
      <c r="CX48" s="118">
        <f t="shared" si="166"/>
        <v>0</v>
      </c>
      <c r="CY48" s="118">
        <f t="shared" si="167"/>
        <v>0</v>
      </c>
      <c r="CZ48" s="118">
        <f t="shared" si="168"/>
        <v>0</v>
      </c>
      <c r="DA48" s="118">
        <f t="shared" si="169"/>
        <v>0</v>
      </c>
      <c r="DB48" s="118">
        <f t="shared" si="170"/>
        <v>0</v>
      </c>
      <c r="DC48" s="41">
        <f t="shared" si="143"/>
        <v>0</v>
      </c>
      <c r="DD48" s="12"/>
      <c r="DE48" s="118">
        <f t="shared" si="171"/>
        <v>0</v>
      </c>
      <c r="DF48" s="118">
        <f t="shared" si="172"/>
        <v>0</v>
      </c>
      <c r="DG48" s="118">
        <f t="shared" si="173"/>
        <v>0</v>
      </c>
      <c r="DH48" s="118">
        <f t="shared" si="174"/>
        <v>0</v>
      </c>
      <c r="DI48" s="118">
        <f t="shared" si="175"/>
        <v>0</v>
      </c>
      <c r="DJ48" s="118">
        <f t="shared" si="176"/>
        <v>0</v>
      </c>
      <c r="DK48" s="118">
        <f t="shared" si="177"/>
        <v>0</v>
      </c>
      <c r="DL48" s="118">
        <f t="shared" si="178"/>
        <v>0</v>
      </c>
      <c r="DM48" s="118">
        <f t="shared" si="179"/>
        <v>0</v>
      </c>
      <c r="DN48" s="118">
        <f t="shared" si="180"/>
        <v>0</v>
      </c>
      <c r="DO48" s="118">
        <f t="shared" si="181"/>
        <v>0</v>
      </c>
      <c r="DP48" s="118">
        <f t="shared" si="182"/>
        <v>0</v>
      </c>
      <c r="DQ48" s="41">
        <f t="shared" si="144"/>
        <v>0</v>
      </c>
      <c r="DR48" s="12"/>
      <c r="DS48" s="118">
        <f t="shared" si="183"/>
        <v>0</v>
      </c>
      <c r="DT48" s="118">
        <f t="shared" si="184"/>
        <v>0</v>
      </c>
      <c r="DU48" s="118">
        <f t="shared" si="185"/>
        <v>0</v>
      </c>
      <c r="DV48" s="118">
        <f t="shared" si="186"/>
        <v>0</v>
      </c>
      <c r="DW48" s="118">
        <f t="shared" si="187"/>
        <v>0</v>
      </c>
      <c r="DX48" s="118">
        <f t="shared" si="188"/>
        <v>0</v>
      </c>
      <c r="DY48" s="118">
        <f t="shared" si="189"/>
        <v>0</v>
      </c>
      <c r="DZ48" s="118">
        <f t="shared" si="190"/>
        <v>0</v>
      </c>
      <c r="EA48" s="118">
        <f t="shared" si="191"/>
        <v>0</v>
      </c>
      <c r="EB48" s="118">
        <f t="shared" si="192"/>
        <v>0</v>
      </c>
      <c r="EC48" s="118">
        <f t="shared" si="193"/>
        <v>0</v>
      </c>
      <c r="ED48" s="118">
        <f t="shared" si="194"/>
        <v>0</v>
      </c>
      <c r="EE48" s="41">
        <f t="shared" si="145"/>
        <v>0</v>
      </c>
      <c r="EF48" s="12"/>
      <c r="EG48" s="118">
        <f t="shared" si="195"/>
        <v>0</v>
      </c>
      <c r="EH48" s="118">
        <f t="shared" si="196"/>
        <v>0</v>
      </c>
      <c r="EI48" s="118">
        <f t="shared" si="197"/>
        <v>0</v>
      </c>
      <c r="EJ48" s="118">
        <f t="shared" si="198"/>
        <v>0</v>
      </c>
      <c r="EK48" s="118">
        <f t="shared" si="199"/>
        <v>0</v>
      </c>
      <c r="EL48" s="118">
        <f t="shared" si="200"/>
        <v>0</v>
      </c>
      <c r="EM48" s="118">
        <f t="shared" si="201"/>
        <v>0</v>
      </c>
      <c r="EN48" s="118">
        <f t="shared" si="202"/>
        <v>0</v>
      </c>
      <c r="EO48" s="118">
        <f t="shared" si="203"/>
        <v>0</v>
      </c>
      <c r="EP48" s="118">
        <f t="shared" si="204"/>
        <v>0</v>
      </c>
      <c r="EQ48" s="118">
        <f t="shared" si="205"/>
        <v>0</v>
      </c>
      <c r="ER48" s="118">
        <f t="shared" si="206"/>
        <v>0</v>
      </c>
      <c r="ES48" s="41">
        <f t="shared" si="146"/>
        <v>0</v>
      </c>
    </row>
    <row r="49" spans="1:16310" ht="10.199999999999999" x14ac:dyDescent="0.2">
      <c r="A49" s="122">
        <v>1</v>
      </c>
      <c r="C49" s="123"/>
      <c r="D49" s="117" t="str">
        <f>IF(ISERROR(VLOOKUP('Оценка трудоемкости'!$C49,Справочники!S:V,3,0))=TRUE,"",VLOOKUP('Оценка трудоемкости'!$C49,Справочники!S:V,3,0))</f>
        <v/>
      </c>
      <c r="E49" s="117">
        <f>IF(ISERROR(VLOOKUP('Оценка трудоемкости'!$C49,Справочники!S:V,4,0))=TRUE,0,VLOOKUP('Оценка трудоемкости'!$C49,Справочники!S:V,4,0))</f>
        <v>0</v>
      </c>
      <c r="F49" s="125"/>
      <c r="G49" s="116">
        <f t="shared" si="135"/>
        <v>0</v>
      </c>
      <c r="H49" s="12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16">
        <f t="shared" si="136"/>
        <v>0</v>
      </c>
      <c r="V49" s="12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  <c r="AH49" s="124"/>
      <c r="AI49" s="116">
        <f t="shared" si="137"/>
        <v>0</v>
      </c>
      <c r="AJ49" s="12"/>
      <c r="AK49" s="124"/>
      <c r="AL49" s="124"/>
      <c r="AM49" s="124"/>
      <c r="AN49" s="124"/>
      <c r="AO49" s="124"/>
      <c r="AP49" s="124"/>
      <c r="AQ49" s="124"/>
      <c r="AR49" s="124"/>
      <c r="AS49" s="124"/>
      <c r="AT49" s="124"/>
      <c r="AU49" s="124"/>
      <c r="AV49" s="124"/>
      <c r="AW49" s="116">
        <f t="shared" si="138"/>
        <v>0</v>
      </c>
      <c r="AX49" s="12"/>
      <c r="AY49" s="124"/>
      <c r="AZ49" s="124"/>
      <c r="BA49" s="124"/>
      <c r="BB49" s="124"/>
      <c r="BC49" s="124"/>
      <c r="BD49" s="124"/>
      <c r="BE49" s="124"/>
      <c r="BF49" s="124"/>
      <c r="BG49" s="124"/>
      <c r="BH49" s="124"/>
      <c r="BI49" s="124"/>
      <c r="BJ49" s="124"/>
      <c r="BK49" s="116">
        <f t="shared" si="139"/>
        <v>0</v>
      </c>
      <c r="BL49" s="12"/>
      <c r="BM49" s="124"/>
      <c r="BN49" s="124"/>
      <c r="BO49" s="124"/>
      <c r="BP49" s="124"/>
      <c r="BQ49" s="124"/>
      <c r="BR49" s="124"/>
      <c r="BS49" s="124"/>
      <c r="BT49" s="124"/>
      <c r="BU49" s="124"/>
      <c r="BV49" s="124"/>
      <c r="BW49" s="124"/>
      <c r="BX49" s="124"/>
      <c r="BY49" s="116">
        <f t="shared" si="140"/>
        <v>0</v>
      </c>
      <c r="BZ49" s="12"/>
      <c r="CA49" s="200">
        <f t="shared" si="141"/>
        <v>0</v>
      </c>
      <c r="CB49" s="12"/>
      <c r="CC49" s="118">
        <f t="shared" si="147"/>
        <v>0</v>
      </c>
      <c r="CD49" s="118">
        <f t="shared" si="148"/>
        <v>0</v>
      </c>
      <c r="CE49" s="118">
        <f t="shared" si="149"/>
        <v>0</v>
      </c>
      <c r="CF49" s="118">
        <f t="shared" si="150"/>
        <v>0</v>
      </c>
      <c r="CG49" s="118">
        <f t="shared" si="151"/>
        <v>0</v>
      </c>
      <c r="CH49" s="118">
        <f t="shared" si="152"/>
        <v>0</v>
      </c>
      <c r="CI49" s="118">
        <f t="shared" si="153"/>
        <v>0</v>
      </c>
      <c r="CJ49" s="118">
        <f t="shared" si="154"/>
        <v>0</v>
      </c>
      <c r="CK49" s="118">
        <f t="shared" si="155"/>
        <v>0</v>
      </c>
      <c r="CL49" s="118">
        <f t="shared" si="156"/>
        <v>0</v>
      </c>
      <c r="CM49" s="118">
        <f t="shared" si="157"/>
        <v>0</v>
      </c>
      <c r="CN49" s="118">
        <f t="shared" si="158"/>
        <v>0</v>
      </c>
      <c r="CO49" s="41">
        <f t="shared" si="142"/>
        <v>0</v>
      </c>
      <c r="CP49" s="12"/>
      <c r="CQ49" s="118">
        <f t="shared" si="159"/>
        <v>0</v>
      </c>
      <c r="CR49" s="118">
        <f t="shared" si="160"/>
        <v>0</v>
      </c>
      <c r="CS49" s="118">
        <f t="shared" si="161"/>
        <v>0</v>
      </c>
      <c r="CT49" s="118">
        <f t="shared" si="162"/>
        <v>0</v>
      </c>
      <c r="CU49" s="118">
        <f t="shared" si="163"/>
        <v>0</v>
      </c>
      <c r="CV49" s="118">
        <f t="shared" si="164"/>
        <v>0</v>
      </c>
      <c r="CW49" s="118">
        <f t="shared" si="165"/>
        <v>0</v>
      </c>
      <c r="CX49" s="118">
        <f t="shared" si="166"/>
        <v>0</v>
      </c>
      <c r="CY49" s="118">
        <f t="shared" si="167"/>
        <v>0</v>
      </c>
      <c r="CZ49" s="118">
        <f t="shared" si="168"/>
        <v>0</v>
      </c>
      <c r="DA49" s="118">
        <f t="shared" si="169"/>
        <v>0</v>
      </c>
      <c r="DB49" s="118">
        <f t="shared" si="170"/>
        <v>0</v>
      </c>
      <c r="DC49" s="41">
        <f t="shared" si="143"/>
        <v>0</v>
      </c>
      <c r="DD49" s="12"/>
      <c r="DE49" s="118">
        <f t="shared" si="171"/>
        <v>0</v>
      </c>
      <c r="DF49" s="118">
        <f t="shared" si="172"/>
        <v>0</v>
      </c>
      <c r="DG49" s="118">
        <f t="shared" si="173"/>
        <v>0</v>
      </c>
      <c r="DH49" s="118">
        <f t="shared" si="174"/>
        <v>0</v>
      </c>
      <c r="DI49" s="118">
        <f t="shared" si="175"/>
        <v>0</v>
      </c>
      <c r="DJ49" s="118">
        <f t="shared" si="176"/>
        <v>0</v>
      </c>
      <c r="DK49" s="118">
        <f t="shared" si="177"/>
        <v>0</v>
      </c>
      <c r="DL49" s="118">
        <f t="shared" si="178"/>
        <v>0</v>
      </c>
      <c r="DM49" s="118">
        <f t="shared" si="179"/>
        <v>0</v>
      </c>
      <c r="DN49" s="118">
        <f t="shared" si="180"/>
        <v>0</v>
      </c>
      <c r="DO49" s="118">
        <f t="shared" si="181"/>
        <v>0</v>
      </c>
      <c r="DP49" s="118">
        <f t="shared" si="182"/>
        <v>0</v>
      </c>
      <c r="DQ49" s="41">
        <f t="shared" si="144"/>
        <v>0</v>
      </c>
      <c r="DR49" s="12"/>
      <c r="DS49" s="118">
        <f t="shared" si="183"/>
        <v>0</v>
      </c>
      <c r="DT49" s="118">
        <f t="shared" si="184"/>
        <v>0</v>
      </c>
      <c r="DU49" s="118">
        <f t="shared" si="185"/>
        <v>0</v>
      </c>
      <c r="DV49" s="118">
        <f t="shared" si="186"/>
        <v>0</v>
      </c>
      <c r="DW49" s="118">
        <f t="shared" si="187"/>
        <v>0</v>
      </c>
      <c r="DX49" s="118">
        <f t="shared" si="188"/>
        <v>0</v>
      </c>
      <c r="DY49" s="118">
        <f t="shared" si="189"/>
        <v>0</v>
      </c>
      <c r="DZ49" s="118">
        <f t="shared" si="190"/>
        <v>0</v>
      </c>
      <c r="EA49" s="118">
        <f t="shared" si="191"/>
        <v>0</v>
      </c>
      <c r="EB49" s="118">
        <f t="shared" si="192"/>
        <v>0</v>
      </c>
      <c r="EC49" s="118">
        <f t="shared" si="193"/>
        <v>0</v>
      </c>
      <c r="ED49" s="118">
        <f t="shared" si="194"/>
        <v>0</v>
      </c>
      <c r="EE49" s="41">
        <f t="shared" si="145"/>
        <v>0</v>
      </c>
      <c r="EF49" s="12"/>
      <c r="EG49" s="118">
        <f t="shared" si="195"/>
        <v>0</v>
      </c>
      <c r="EH49" s="118">
        <f t="shared" si="196"/>
        <v>0</v>
      </c>
      <c r="EI49" s="118">
        <f t="shared" si="197"/>
        <v>0</v>
      </c>
      <c r="EJ49" s="118">
        <f t="shared" si="198"/>
        <v>0</v>
      </c>
      <c r="EK49" s="118">
        <f t="shared" si="199"/>
        <v>0</v>
      </c>
      <c r="EL49" s="118">
        <f t="shared" si="200"/>
        <v>0</v>
      </c>
      <c r="EM49" s="118">
        <f t="shared" si="201"/>
        <v>0</v>
      </c>
      <c r="EN49" s="118">
        <f t="shared" si="202"/>
        <v>0</v>
      </c>
      <c r="EO49" s="118">
        <f t="shared" si="203"/>
        <v>0</v>
      </c>
      <c r="EP49" s="118">
        <f t="shared" si="204"/>
        <v>0</v>
      </c>
      <c r="EQ49" s="118">
        <f t="shared" si="205"/>
        <v>0</v>
      </c>
      <c r="ER49" s="118">
        <f t="shared" si="206"/>
        <v>0</v>
      </c>
      <c r="ES49" s="41">
        <f t="shared" si="146"/>
        <v>0</v>
      </c>
    </row>
    <row r="50" spans="1:16310" ht="10.199999999999999" x14ac:dyDescent="0.2">
      <c r="A50" s="122">
        <v>1</v>
      </c>
      <c r="C50" s="123"/>
      <c r="D50" s="117" t="str">
        <f>IF(ISERROR(VLOOKUP('Оценка трудоемкости'!$C50,Справочники!S:V,3,0))=TRUE,"",VLOOKUP('Оценка трудоемкости'!$C50,Справочники!S:V,3,0))</f>
        <v/>
      </c>
      <c r="E50" s="117">
        <f>IF(ISERROR(VLOOKUP('Оценка трудоемкости'!$C50,Справочники!S:V,4,0))=TRUE,0,VLOOKUP('Оценка трудоемкости'!$C50,Справочники!S:V,4,0))</f>
        <v>0</v>
      </c>
      <c r="F50" s="125"/>
      <c r="G50" s="116">
        <f t="shared" si="135"/>
        <v>0</v>
      </c>
      <c r="H50" s="12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16">
        <f t="shared" si="136"/>
        <v>0</v>
      </c>
      <c r="V50" s="12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16">
        <f t="shared" si="137"/>
        <v>0</v>
      </c>
      <c r="AJ50" s="12"/>
      <c r="AK50" s="124"/>
      <c r="AL50" s="124"/>
      <c r="AM50" s="124"/>
      <c r="AN50" s="124"/>
      <c r="AO50" s="124"/>
      <c r="AP50" s="124"/>
      <c r="AQ50" s="124"/>
      <c r="AR50" s="124"/>
      <c r="AS50" s="124"/>
      <c r="AT50" s="124"/>
      <c r="AU50" s="124"/>
      <c r="AV50" s="124"/>
      <c r="AW50" s="116">
        <f t="shared" si="138"/>
        <v>0</v>
      </c>
      <c r="AX50" s="12"/>
      <c r="AY50" s="124"/>
      <c r="AZ50" s="124"/>
      <c r="BA50" s="124"/>
      <c r="BB50" s="124"/>
      <c r="BC50" s="124"/>
      <c r="BD50" s="124"/>
      <c r="BE50" s="124"/>
      <c r="BF50" s="124"/>
      <c r="BG50" s="124"/>
      <c r="BH50" s="124"/>
      <c r="BI50" s="124"/>
      <c r="BJ50" s="124"/>
      <c r="BK50" s="116">
        <f t="shared" si="139"/>
        <v>0</v>
      </c>
      <c r="BL50" s="12"/>
      <c r="BM50" s="124"/>
      <c r="BN50" s="124"/>
      <c r="BO50" s="124"/>
      <c r="BP50" s="124"/>
      <c r="BQ50" s="124"/>
      <c r="BR50" s="124"/>
      <c r="BS50" s="124"/>
      <c r="BT50" s="124"/>
      <c r="BU50" s="124"/>
      <c r="BV50" s="124"/>
      <c r="BW50" s="124"/>
      <c r="BX50" s="124"/>
      <c r="BY50" s="116">
        <f t="shared" si="140"/>
        <v>0</v>
      </c>
      <c r="BZ50" s="12"/>
      <c r="CA50" s="200">
        <f t="shared" si="141"/>
        <v>0</v>
      </c>
      <c r="CB50" s="12"/>
      <c r="CC50" s="118">
        <f t="shared" si="147"/>
        <v>0</v>
      </c>
      <c r="CD50" s="118">
        <f t="shared" si="148"/>
        <v>0</v>
      </c>
      <c r="CE50" s="118">
        <f t="shared" si="149"/>
        <v>0</v>
      </c>
      <c r="CF50" s="118">
        <f t="shared" si="150"/>
        <v>0</v>
      </c>
      <c r="CG50" s="118">
        <f t="shared" si="151"/>
        <v>0</v>
      </c>
      <c r="CH50" s="118">
        <f t="shared" si="152"/>
        <v>0</v>
      </c>
      <c r="CI50" s="118">
        <f t="shared" si="153"/>
        <v>0</v>
      </c>
      <c r="CJ50" s="118">
        <f t="shared" si="154"/>
        <v>0</v>
      </c>
      <c r="CK50" s="118">
        <f t="shared" si="155"/>
        <v>0</v>
      </c>
      <c r="CL50" s="118">
        <f t="shared" si="156"/>
        <v>0</v>
      </c>
      <c r="CM50" s="118">
        <f t="shared" si="157"/>
        <v>0</v>
      </c>
      <c r="CN50" s="118">
        <f t="shared" si="158"/>
        <v>0</v>
      </c>
      <c r="CO50" s="41">
        <f t="shared" si="142"/>
        <v>0</v>
      </c>
      <c r="CP50" s="12"/>
      <c r="CQ50" s="118">
        <f t="shared" si="159"/>
        <v>0</v>
      </c>
      <c r="CR50" s="118">
        <f t="shared" si="160"/>
        <v>0</v>
      </c>
      <c r="CS50" s="118">
        <f t="shared" si="161"/>
        <v>0</v>
      </c>
      <c r="CT50" s="118">
        <f t="shared" si="162"/>
        <v>0</v>
      </c>
      <c r="CU50" s="118">
        <f t="shared" si="163"/>
        <v>0</v>
      </c>
      <c r="CV50" s="118">
        <f t="shared" si="164"/>
        <v>0</v>
      </c>
      <c r="CW50" s="118">
        <f t="shared" si="165"/>
        <v>0</v>
      </c>
      <c r="CX50" s="118">
        <f t="shared" si="166"/>
        <v>0</v>
      </c>
      <c r="CY50" s="118">
        <f t="shared" si="167"/>
        <v>0</v>
      </c>
      <c r="CZ50" s="118">
        <f t="shared" si="168"/>
        <v>0</v>
      </c>
      <c r="DA50" s="118">
        <f t="shared" si="169"/>
        <v>0</v>
      </c>
      <c r="DB50" s="118">
        <f t="shared" si="170"/>
        <v>0</v>
      </c>
      <c r="DC50" s="41">
        <f t="shared" si="143"/>
        <v>0</v>
      </c>
      <c r="DD50" s="12"/>
      <c r="DE50" s="118">
        <f t="shared" si="171"/>
        <v>0</v>
      </c>
      <c r="DF50" s="118">
        <f t="shared" si="172"/>
        <v>0</v>
      </c>
      <c r="DG50" s="118">
        <f t="shared" si="173"/>
        <v>0</v>
      </c>
      <c r="DH50" s="118">
        <f t="shared" si="174"/>
        <v>0</v>
      </c>
      <c r="DI50" s="118">
        <f t="shared" si="175"/>
        <v>0</v>
      </c>
      <c r="DJ50" s="118">
        <f t="shared" si="176"/>
        <v>0</v>
      </c>
      <c r="DK50" s="118">
        <f t="shared" si="177"/>
        <v>0</v>
      </c>
      <c r="DL50" s="118">
        <f t="shared" si="178"/>
        <v>0</v>
      </c>
      <c r="DM50" s="118">
        <f t="shared" si="179"/>
        <v>0</v>
      </c>
      <c r="DN50" s="118">
        <f t="shared" si="180"/>
        <v>0</v>
      </c>
      <c r="DO50" s="118">
        <f t="shared" si="181"/>
        <v>0</v>
      </c>
      <c r="DP50" s="118">
        <f t="shared" si="182"/>
        <v>0</v>
      </c>
      <c r="DQ50" s="41">
        <f t="shared" si="144"/>
        <v>0</v>
      </c>
      <c r="DR50" s="12"/>
      <c r="DS50" s="118">
        <f t="shared" si="183"/>
        <v>0</v>
      </c>
      <c r="DT50" s="118">
        <f t="shared" si="184"/>
        <v>0</v>
      </c>
      <c r="DU50" s="118">
        <f t="shared" si="185"/>
        <v>0</v>
      </c>
      <c r="DV50" s="118">
        <f t="shared" si="186"/>
        <v>0</v>
      </c>
      <c r="DW50" s="118">
        <f t="shared" si="187"/>
        <v>0</v>
      </c>
      <c r="DX50" s="118">
        <f t="shared" si="188"/>
        <v>0</v>
      </c>
      <c r="DY50" s="118">
        <f t="shared" si="189"/>
        <v>0</v>
      </c>
      <c r="DZ50" s="118">
        <f t="shared" si="190"/>
        <v>0</v>
      </c>
      <c r="EA50" s="118">
        <f t="shared" si="191"/>
        <v>0</v>
      </c>
      <c r="EB50" s="118">
        <f t="shared" si="192"/>
        <v>0</v>
      </c>
      <c r="EC50" s="118">
        <f t="shared" si="193"/>
        <v>0</v>
      </c>
      <c r="ED50" s="118">
        <f t="shared" si="194"/>
        <v>0</v>
      </c>
      <c r="EE50" s="41">
        <f t="shared" si="145"/>
        <v>0</v>
      </c>
      <c r="EF50" s="12"/>
      <c r="EG50" s="118">
        <f t="shared" si="195"/>
        <v>0</v>
      </c>
      <c r="EH50" s="118">
        <f t="shared" si="196"/>
        <v>0</v>
      </c>
      <c r="EI50" s="118">
        <f t="shared" si="197"/>
        <v>0</v>
      </c>
      <c r="EJ50" s="118">
        <f t="shared" si="198"/>
        <v>0</v>
      </c>
      <c r="EK50" s="118">
        <f t="shared" si="199"/>
        <v>0</v>
      </c>
      <c r="EL50" s="118">
        <f t="shared" si="200"/>
        <v>0</v>
      </c>
      <c r="EM50" s="118">
        <f t="shared" si="201"/>
        <v>0</v>
      </c>
      <c r="EN50" s="118">
        <f t="shared" si="202"/>
        <v>0</v>
      </c>
      <c r="EO50" s="118">
        <f t="shared" si="203"/>
        <v>0</v>
      </c>
      <c r="EP50" s="118">
        <f t="shared" si="204"/>
        <v>0</v>
      </c>
      <c r="EQ50" s="118">
        <f t="shared" si="205"/>
        <v>0</v>
      </c>
      <c r="ER50" s="118">
        <f t="shared" si="206"/>
        <v>0</v>
      </c>
      <c r="ES50" s="41">
        <f t="shared" si="146"/>
        <v>0</v>
      </c>
    </row>
    <row r="51" spans="1:16310" ht="10.199999999999999" x14ac:dyDescent="0.2">
      <c r="A51" s="122">
        <v>1</v>
      </c>
      <c r="C51" s="123"/>
      <c r="D51" s="117" t="str">
        <f>IF(ISERROR(VLOOKUP('Оценка трудоемкости'!$C51,Справочники!S:V,3,0))=TRUE,"",VLOOKUP('Оценка трудоемкости'!$C51,Справочники!S:V,3,0))</f>
        <v/>
      </c>
      <c r="E51" s="117">
        <f>IF(ISERROR(VLOOKUP('Оценка трудоемкости'!$C51,Справочники!S:V,4,0))=TRUE,0,VLOOKUP('Оценка трудоемкости'!$C51,Справочники!S:V,4,0))</f>
        <v>0</v>
      </c>
      <c r="F51" s="125"/>
      <c r="G51" s="116">
        <f t="shared" si="122"/>
        <v>0</v>
      </c>
      <c r="H51" s="12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16">
        <f t="shared" si="123"/>
        <v>0</v>
      </c>
      <c r="V51" s="12"/>
      <c r="W51" s="124"/>
      <c r="X51" s="124"/>
      <c r="Y51" s="124"/>
      <c r="Z51" s="124"/>
      <c r="AA51" s="124"/>
      <c r="AB51" s="124"/>
      <c r="AC51" s="124"/>
      <c r="AD51" s="124"/>
      <c r="AE51" s="124"/>
      <c r="AF51" s="124"/>
      <c r="AG51" s="124"/>
      <c r="AH51" s="124"/>
      <c r="AI51" s="116">
        <f t="shared" si="124"/>
        <v>0</v>
      </c>
      <c r="AJ51" s="12"/>
      <c r="AK51" s="124"/>
      <c r="AL51" s="124"/>
      <c r="AM51" s="124"/>
      <c r="AN51" s="124"/>
      <c r="AO51" s="124"/>
      <c r="AP51" s="124"/>
      <c r="AQ51" s="124"/>
      <c r="AR51" s="124"/>
      <c r="AS51" s="124"/>
      <c r="AT51" s="124"/>
      <c r="AU51" s="124"/>
      <c r="AV51" s="124"/>
      <c r="AW51" s="116">
        <f t="shared" si="125"/>
        <v>0</v>
      </c>
      <c r="AX51" s="12"/>
      <c r="AY51" s="124"/>
      <c r="AZ51" s="124"/>
      <c r="BA51" s="124"/>
      <c r="BB51" s="124"/>
      <c r="BC51" s="124"/>
      <c r="BD51" s="124"/>
      <c r="BE51" s="124"/>
      <c r="BF51" s="124"/>
      <c r="BG51" s="124"/>
      <c r="BH51" s="124"/>
      <c r="BI51" s="124"/>
      <c r="BJ51" s="124"/>
      <c r="BK51" s="116">
        <f t="shared" si="126"/>
        <v>0</v>
      </c>
      <c r="BL51" s="12"/>
      <c r="BM51" s="124"/>
      <c r="BN51" s="124"/>
      <c r="BO51" s="124"/>
      <c r="BP51" s="124"/>
      <c r="BQ51" s="124"/>
      <c r="BR51" s="124"/>
      <c r="BS51" s="124"/>
      <c r="BT51" s="124"/>
      <c r="BU51" s="124"/>
      <c r="BV51" s="124"/>
      <c r="BW51" s="124"/>
      <c r="BX51" s="124"/>
      <c r="BY51" s="116">
        <f t="shared" si="127"/>
        <v>0</v>
      </c>
      <c r="BZ51" s="12"/>
      <c r="CA51" s="200">
        <f t="shared" si="128"/>
        <v>0</v>
      </c>
      <c r="CB51" s="12"/>
      <c r="CC51" s="118">
        <f t="shared" si="147"/>
        <v>0</v>
      </c>
      <c r="CD51" s="118">
        <f t="shared" si="148"/>
        <v>0</v>
      </c>
      <c r="CE51" s="118">
        <f t="shared" si="149"/>
        <v>0</v>
      </c>
      <c r="CF51" s="118">
        <f t="shared" si="150"/>
        <v>0</v>
      </c>
      <c r="CG51" s="118">
        <f t="shared" si="151"/>
        <v>0</v>
      </c>
      <c r="CH51" s="118">
        <f t="shared" si="152"/>
        <v>0</v>
      </c>
      <c r="CI51" s="118">
        <f t="shared" si="153"/>
        <v>0</v>
      </c>
      <c r="CJ51" s="118">
        <f t="shared" si="154"/>
        <v>0</v>
      </c>
      <c r="CK51" s="118">
        <f t="shared" si="155"/>
        <v>0</v>
      </c>
      <c r="CL51" s="118">
        <f t="shared" si="156"/>
        <v>0</v>
      </c>
      <c r="CM51" s="118">
        <f t="shared" si="157"/>
        <v>0</v>
      </c>
      <c r="CN51" s="118">
        <f t="shared" si="158"/>
        <v>0</v>
      </c>
      <c r="CO51" s="41">
        <f t="shared" si="129"/>
        <v>0</v>
      </c>
      <c r="CP51" s="12"/>
      <c r="CQ51" s="118">
        <f t="shared" si="159"/>
        <v>0</v>
      </c>
      <c r="CR51" s="118">
        <f t="shared" si="160"/>
        <v>0</v>
      </c>
      <c r="CS51" s="118">
        <f t="shared" si="161"/>
        <v>0</v>
      </c>
      <c r="CT51" s="118">
        <f t="shared" si="162"/>
        <v>0</v>
      </c>
      <c r="CU51" s="118">
        <f t="shared" si="163"/>
        <v>0</v>
      </c>
      <c r="CV51" s="118">
        <f t="shared" si="164"/>
        <v>0</v>
      </c>
      <c r="CW51" s="118">
        <f t="shared" si="165"/>
        <v>0</v>
      </c>
      <c r="CX51" s="118">
        <f t="shared" si="166"/>
        <v>0</v>
      </c>
      <c r="CY51" s="118">
        <f t="shared" si="167"/>
        <v>0</v>
      </c>
      <c r="CZ51" s="118">
        <f t="shared" si="168"/>
        <v>0</v>
      </c>
      <c r="DA51" s="118">
        <f t="shared" si="169"/>
        <v>0</v>
      </c>
      <c r="DB51" s="118">
        <f t="shared" si="170"/>
        <v>0</v>
      </c>
      <c r="DC51" s="41">
        <f t="shared" si="130"/>
        <v>0</v>
      </c>
      <c r="DD51" s="12"/>
      <c r="DE51" s="118">
        <f t="shared" si="171"/>
        <v>0</v>
      </c>
      <c r="DF51" s="118">
        <f t="shared" si="172"/>
        <v>0</v>
      </c>
      <c r="DG51" s="118">
        <f t="shared" si="173"/>
        <v>0</v>
      </c>
      <c r="DH51" s="118">
        <f t="shared" si="174"/>
        <v>0</v>
      </c>
      <c r="DI51" s="118">
        <f t="shared" si="175"/>
        <v>0</v>
      </c>
      <c r="DJ51" s="118">
        <f t="shared" si="176"/>
        <v>0</v>
      </c>
      <c r="DK51" s="118">
        <f t="shared" si="177"/>
        <v>0</v>
      </c>
      <c r="DL51" s="118">
        <f t="shared" si="178"/>
        <v>0</v>
      </c>
      <c r="DM51" s="118">
        <f t="shared" si="179"/>
        <v>0</v>
      </c>
      <c r="DN51" s="118">
        <f t="shared" si="180"/>
        <v>0</v>
      </c>
      <c r="DO51" s="118">
        <f t="shared" si="181"/>
        <v>0</v>
      </c>
      <c r="DP51" s="118">
        <f t="shared" si="182"/>
        <v>0</v>
      </c>
      <c r="DQ51" s="41">
        <f t="shared" si="131"/>
        <v>0</v>
      </c>
      <c r="DR51" s="12"/>
      <c r="DS51" s="118">
        <f t="shared" si="183"/>
        <v>0</v>
      </c>
      <c r="DT51" s="118">
        <f t="shared" si="184"/>
        <v>0</v>
      </c>
      <c r="DU51" s="118">
        <f t="shared" si="185"/>
        <v>0</v>
      </c>
      <c r="DV51" s="118">
        <f t="shared" si="186"/>
        <v>0</v>
      </c>
      <c r="DW51" s="118">
        <f t="shared" si="187"/>
        <v>0</v>
      </c>
      <c r="DX51" s="118">
        <f t="shared" si="188"/>
        <v>0</v>
      </c>
      <c r="DY51" s="118">
        <f t="shared" si="189"/>
        <v>0</v>
      </c>
      <c r="DZ51" s="118">
        <f t="shared" si="190"/>
        <v>0</v>
      </c>
      <c r="EA51" s="118">
        <f t="shared" si="191"/>
        <v>0</v>
      </c>
      <c r="EB51" s="118">
        <f t="shared" si="192"/>
        <v>0</v>
      </c>
      <c r="EC51" s="118">
        <f t="shared" si="193"/>
        <v>0</v>
      </c>
      <c r="ED51" s="118">
        <f t="shared" si="194"/>
        <v>0</v>
      </c>
      <c r="EE51" s="41">
        <f t="shared" si="132"/>
        <v>0</v>
      </c>
      <c r="EF51" s="12"/>
      <c r="EG51" s="118">
        <f t="shared" si="195"/>
        <v>0</v>
      </c>
      <c r="EH51" s="118">
        <f t="shared" si="196"/>
        <v>0</v>
      </c>
      <c r="EI51" s="118">
        <f t="shared" si="197"/>
        <v>0</v>
      </c>
      <c r="EJ51" s="118">
        <f t="shared" si="198"/>
        <v>0</v>
      </c>
      <c r="EK51" s="118">
        <f t="shared" si="199"/>
        <v>0</v>
      </c>
      <c r="EL51" s="118">
        <f t="shared" si="200"/>
        <v>0</v>
      </c>
      <c r="EM51" s="118">
        <f t="shared" si="201"/>
        <v>0</v>
      </c>
      <c r="EN51" s="118">
        <f t="shared" si="202"/>
        <v>0</v>
      </c>
      <c r="EO51" s="118">
        <f t="shared" si="203"/>
        <v>0</v>
      </c>
      <c r="EP51" s="118">
        <f t="shared" si="204"/>
        <v>0</v>
      </c>
      <c r="EQ51" s="118">
        <f t="shared" si="205"/>
        <v>0</v>
      </c>
      <c r="ER51" s="118">
        <f t="shared" si="206"/>
        <v>0</v>
      </c>
      <c r="ES51" s="41">
        <f t="shared" si="133"/>
        <v>0</v>
      </c>
    </row>
    <row r="52" spans="1:16310" s="115" customFormat="1" ht="10.199999999999999" x14ac:dyDescent="0.2">
      <c r="A52" s="122">
        <v>1</v>
      </c>
      <c r="C52" s="123"/>
      <c r="D52" s="116" t="str">
        <f>IF(ISERROR(VLOOKUP('Оценка трудоемкости'!$C52,Справочники!S:V,3,0))=TRUE,"",VLOOKUP('Оценка трудоемкости'!$C52,Справочники!S:V,3,0))</f>
        <v/>
      </c>
      <c r="E52" s="116">
        <f>IF(ISERROR(VLOOKUP('Оценка трудоемкости'!$C52,Справочники!S:V,4,0))=TRUE,0,VLOOKUP('Оценка трудоемкости'!$C52,Справочники!S:V,4,0))</f>
        <v>0</v>
      </c>
      <c r="F52" s="127"/>
      <c r="G52" s="116">
        <f t="shared" ref="G52:G59" si="207">U52+AI52+AW52+BK52+BY52</f>
        <v>0</v>
      </c>
      <c r="H52" s="12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116">
        <f t="shared" ref="U52:U59" si="208">SUM(I52:T52)</f>
        <v>0</v>
      </c>
      <c r="V52" s="12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24"/>
      <c r="AH52" s="124"/>
      <c r="AI52" s="116">
        <f t="shared" ref="AI52:AI59" si="209">SUM(W52:AH52)</f>
        <v>0</v>
      </c>
      <c r="AJ52" s="12"/>
      <c r="AK52" s="124"/>
      <c r="AL52" s="124"/>
      <c r="AM52" s="124"/>
      <c r="AN52" s="124"/>
      <c r="AO52" s="124"/>
      <c r="AP52" s="124"/>
      <c r="AQ52" s="124"/>
      <c r="AR52" s="124"/>
      <c r="AS52" s="124"/>
      <c r="AT52" s="124"/>
      <c r="AU52" s="124"/>
      <c r="AV52" s="124"/>
      <c r="AW52" s="116">
        <f t="shared" ref="AW52:AW59" si="210">SUM(AK52:AV52)</f>
        <v>0</v>
      </c>
      <c r="AX52" s="12"/>
      <c r="AY52" s="124"/>
      <c r="AZ52" s="124"/>
      <c r="BA52" s="124"/>
      <c r="BB52" s="124"/>
      <c r="BC52" s="124"/>
      <c r="BD52" s="124"/>
      <c r="BE52" s="124"/>
      <c r="BF52" s="124"/>
      <c r="BG52" s="124"/>
      <c r="BH52" s="124"/>
      <c r="BI52" s="124"/>
      <c r="BJ52" s="124"/>
      <c r="BK52" s="116">
        <f t="shared" ref="BK52:BK59" si="211">SUM(AY52:BJ52)</f>
        <v>0</v>
      </c>
      <c r="BL52" s="12"/>
      <c r="BM52" s="124"/>
      <c r="BN52" s="124"/>
      <c r="BO52" s="124"/>
      <c r="BP52" s="124"/>
      <c r="BQ52" s="124"/>
      <c r="BR52" s="124"/>
      <c r="BS52" s="124"/>
      <c r="BT52" s="124"/>
      <c r="BU52" s="124"/>
      <c r="BV52" s="124"/>
      <c r="BW52" s="124"/>
      <c r="BX52" s="124"/>
      <c r="BY52" s="116">
        <f t="shared" ref="BY52:BY59" si="212">SUM(BM52:BX52)</f>
        <v>0</v>
      </c>
      <c r="BZ52" s="12"/>
      <c r="CA52" s="200">
        <f t="shared" ref="CA52:CA59" si="213">CO52+DC52+DQ52+EE52+ES52</f>
        <v>0</v>
      </c>
      <c r="CB52" s="12"/>
      <c r="CC52" s="118">
        <f t="shared" si="147"/>
        <v>0</v>
      </c>
      <c r="CD52" s="118">
        <f t="shared" si="148"/>
        <v>0</v>
      </c>
      <c r="CE52" s="118">
        <f t="shared" si="149"/>
        <v>0</v>
      </c>
      <c r="CF52" s="118">
        <f t="shared" si="150"/>
        <v>0</v>
      </c>
      <c r="CG52" s="118">
        <f t="shared" si="151"/>
        <v>0</v>
      </c>
      <c r="CH52" s="118">
        <f t="shared" si="152"/>
        <v>0</v>
      </c>
      <c r="CI52" s="118">
        <f t="shared" si="153"/>
        <v>0</v>
      </c>
      <c r="CJ52" s="118">
        <f t="shared" si="154"/>
        <v>0</v>
      </c>
      <c r="CK52" s="118">
        <f t="shared" si="155"/>
        <v>0</v>
      </c>
      <c r="CL52" s="118">
        <f t="shared" si="156"/>
        <v>0</v>
      </c>
      <c r="CM52" s="118">
        <f t="shared" si="157"/>
        <v>0</v>
      </c>
      <c r="CN52" s="118">
        <f t="shared" si="158"/>
        <v>0</v>
      </c>
      <c r="CO52" s="41">
        <f t="shared" ref="CO52:CO53" si="214">SUM(CC52:CN52)</f>
        <v>0</v>
      </c>
      <c r="CP52" s="12"/>
      <c r="CQ52" s="118">
        <f t="shared" si="159"/>
        <v>0</v>
      </c>
      <c r="CR52" s="118">
        <f t="shared" si="160"/>
        <v>0</v>
      </c>
      <c r="CS52" s="118">
        <f t="shared" si="161"/>
        <v>0</v>
      </c>
      <c r="CT52" s="118">
        <f t="shared" si="162"/>
        <v>0</v>
      </c>
      <c r="CU52" s="118">
        <f t="shared" si="163"/>
        <v>0</v>
      </c>
      <c r="CV52" s="118">
        <f t="shared" si="164"/>
        <v>0</v>
      </c>
      <c r="CW52" s="118">
        <f t="shared" si="165"/>
        <v>0</v>
      </c>
      <c r="CX52" s="118">
        <f t="shared" si="166"/>
        <v>0</v>
      </c>
      <c r="CY52" s="118">
        <f t="shared" si="167"/>
        <v>0</v>
      </c>
      <c r="CZ52" s="118">
        <f t="shared" si="168"/>
        <v>0</v>
      </c>
      <c r="DA52" s="118">
        <f t="shared" si="169"/>
        <v>0</v>
      </c>
      <c r="DB52" s="118">
        <f t="shared" si="170"/>
        <v>0</v>
      </c>
      <c r="DC52" s="41">
        <f t="shared" ref="DC52:DC53" si="215">SUM(CQ52:DB52)</f>
        <v>0</v>
      </c>
      <c r="DD52" s="12"/>
      <c r="DE52" s="118">
        <f t="shared" si="171"/>
        <v>0</v>
      </c>
      <c r="DF52" s="118">
        <f t="shared" si="172"/>
        <v>0</v>
      </c>
      <c r="DG52" s="118">
        <f t="shared" si="173"/>
        <v>0</v>
      </c>
      <c r="DH52" s="118">
        <f t="shared" si="174"/>
        <v>0</v>
      </c>
      <c r="DI52" s="118">
        <f t="shared" si="175"/>
        <v>0</v>
      </c>
      <c r="DJ52" s="118">
        <f t="shared" si="176"/>
        <v>0</v>
      </c>
      <c r="DK52" s="118">
        <f t="shared" si="177"/>
        <v>0</v>
      </c>
      <c r="DL52" s="118">
        <f t="shared" si="178"/>
        <v>0</v>
      </c>
      <c r="DM52" s="118">
        <f t="shared" si="179"/>
        <v>0</v>
      </c>
      <c r="DN52" s="118">
        <f t="shared" si="180"/>
        <v>0</v>
      </c>
      <c r="DO52" s="118">
        <f t="shared" si="181"/>
        <v>0</v>
      </c>
      <c r="DP52" s="118">
        <f t="shared" si="182"/>
        <v>0</v>
      </c>
      <c r="DQ52" s="41">
        <f t="shared" ref="DQ52:DQ53" si="216">SUM(DE52:DP52)</f>
        <v>0</v>
      </c>
      <c r="DR52" s="12"/>
      <c r="DS52" s="118">
        <f t="shared" si="183"/>
        <v>0</v>
      </c>
      <c r="DT52" s="118">
        <f t="shared" si="184"/>
        <v>0</v>
      </c>
      <c r="DU52" s="118">
        <f t="shared" si="185"/>
        <v>0</v>
      </c>
      <c r="DV52" s="118">
        <f t="shared" si="186"/>
        <v>0</v>
      </c>
      <c r="DW52" s="118">
        <f t="shared" si="187"/>
        <v>0</v>
      </c>
      <c r="DX52" s="118">
        <f t="shared" si="188"/>
        <v>0</v>
      </c>
      <c r="DY52" s="118">
        <f t="shared" si="189"/>
        <v>0</v>
      </c>
      <c r="DZ52" s="118">
        <f t="shared" si="190"/>
        <v>0</v>
      </c>
      <c r="EA52" s="118">
        <f t="shared" si="191"/>
        <v>0</v>
      </c>
      <c r="EB52" s="118">
        <f t="shared" si="192"/>
        <v>0</v>
      </c>
      <c r="EC52" s="118">
        <f t="shared" si="193"/>
        <v>0</v>
      </c>
      <c r="ED52" s="118">
        <f t="shared" si="194"/>
        <v>0</v>
      </c>
      <c r="EE52" s="41">
        <f t="shared" ref="EE52:EE53" si="217">SUM(DS52:ED52)</f>
        <v>0</v>
      </c>
      <c r="EF52" s="12"/>
      <c r="EG52" s="118">
        <f t="shared" si="195"/>
        <v>0</v>
      </c>
      <c r="EH52" s="118">
        <f t="shared" si="196"/>
        <v>0</v>
      </c>
      <c r="EI52" s="118">
        <f t="shared" si="197"/>
        <v>0</v>
      </c>
      <c r="EJ52" s="118">
        <f t="shared" si="198"/>
        <v>0</v>
      </c>
      <c r="EK52" s="118">
        <f t="shared" si="199"/>
        <v>0</v>
      </c>
      <c r="EL52" s="118">
        <f t="shared" si="200"/>
        <v>0</v>
      </c>
      <c r="EM52" s="118">
        <f t="shared" si="201"/>
        <v>0</v>
      </c>
      <c r="EN52" s="118">
        <f t="shared" si="202"/>
        <v>0</v>
      </c>
      <c r="EO52" s="118">
        <f t="shared" si="203"/>
        <v>0</v>
      </c>
      <c r="EP52" s="118">
        <f t="shared" si="204"/>
        <v>0</v>
      </c>
      <c r="EQ52" s="118">
        <f t="shared" si="205"/>
        <v>0</v>
      </c>
      <c r="ER52" s="118">
        <f t="shared" si="206"/>
        <v>0</v>
      </c>
      <c r="ES52" s="41">
        <f t="shared" ref="ES52:ES53" si="218">SUM(EG52:ER52)</f>
        <v>0</v>
      </c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12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12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12"/>
      <c r="JX52" s="12"/>
      <c r="JY52" s="12"/>
      <c r="JZ52" s="12"/>
      <c r="KA52" s="12"/>
      <c r="KB52" s="12"/>
      <c r="KC52" s="12"/>
      <c r="KD52" s="12"/>
      <c r="KE52" s="12"/>
      <c r="KF52" s="12"/>
      <c r="KG52" s="12"/>
      <c r="KH52" s="12"/>
      <c r="KI52" s="12"/>
      <c r="KJ52" s="12"/>
      <c r="KK52" s="12"/>
      <c r="KL52" s="12"/>
      <c r="KM52" s="12"/>
      <c r="KN52" s="12"/>
      <c r="KO52" s="12"/>
      <c r="KP52" s="12"/>
      <c r="KQ52" s="12"/>
      <c r="KR52" s="12"/>
      <c r="KS52" s="12"/>
      <c r="KT52" s="12"/>
      <c r="KU52" s="12"/>
      <c r="KV52" s="12"/>
      <c r="KW52" s="12"/>
      <c r="KX52" s="12"/>
      <c r="KY52" s="12"/>
      <c r="KZ52" s="12"/>
      <c r="LA52" s="12"/>
      <c r="LB52" s="12"/>
      <c r="LC52" s="12"/>
      <c r="LD52" s="12"/>
      <c r="LE52" s="12"/>
      <c r="LF52" s="12"/>
      <c r="LG52" s="12"/>
      <c r="LH52" s="12"/>
      <c r="LI52" s="12"/>
      <c r="LJ52" s="12"/>
      <c r="LK52" s="12"/>
      <c r="LL52" s="12"/>
      <c r="LM52" s="12"/>
      <c r="LN52" s="12"/>
      <c r="LO52" s="12"/>
      <c r="LP52" s="12"/>
      <c r="LQ52" s="12"/>
      <c r="LR52" s="12"/>
      <c r="LS52" s="12"/>
      <c r="LT52" s="12"/>
      <c r="LU52" s="12"/>
      <c r="LV52" s="12"/>
      <c r="LW52" s="12"/>
      <c r="LX52" s="12"/>
      <c r="LY52" s="12"/>
      <c r="LZ52" s="12"/>
      <c r="MA52" s="12"/>
      <c r="MB52" s="12"/>
      <c r="MC52" s="12"/>
      <c r="MD52" s="12"/>
      <c r="ME52" s="12"/>
      <c r="MF52" s="12"/>
      <c r="MG52" s="12"/>
      <c r="MH52" s="12"/>
      <c r="MI52" s="12"/>
      <c r="MJ52" s="12"/>
      <c r="MK52" s="12"/>
      <c r="ML52" s="12"/>
      <c r="MM52" s="12"/>
      <c r="MN52" s="12"/>
      <c r="MO52" s="12"/>
      <c r="MP52" s="12"/>
      <c r="MQ52" s="12"/>
      <c r="MR52" s="12"/>
      <c r="MS52" s="12"/>
      <c r="MT52" s="12"/>
      <c r="MU52" s="12"/>
      <c r="MV52" s="12"/>
      <c r="MW52" s="12"/>
      <c r="MX52" s="12"/>
      <c r="MY52" s="12"/>
      <c r="MZ52" s="12"/>
      <c r="NA52" s="12"/>
      <c r="NB52" s="12"/>
      <c r="NC52" s="12"/>
      <c r="ND52" s="12"/>
      <c r="NE52" s="12"/>
      <c r="NF52" s="12"/>
      <c r="NG52" s="12"/>
      <c r="NH52" s="12"/>
      <c r="NI52" s="12"/>
      <c r="NJ52" s="12"/>
      <c r="NK52" s="12"/>
      <c r="NL52" s="12"/>
      <c r="NM52" s="12"/>
      <c r="NN52" s="12"/>
      <c r="NO52" s="12"/>
      <c r="NP52" s="12"/>
      <c r="NQ52" s="12"/>
      <c r="NR52" s="12"/>
      <c r="NS52" s="12"/>
      <c r="NT52" s="12"/>
      <c r="NU52" s="12"/>
      <c r="NV52" s="12"/>
      <c r="NW52" s="12"/>
      <c r="NX52" s="12"/>
      <c r="NY52" s="12"/>
      <c r="NZ52" s="12"/>
      <c r="OA52" s="12"/>
      <c r="OB52" s="12"/>
      <c r="OC52" s="12"/>
      <c r="OD52" s="12"/>
      <c r="OE52" s="12"/>
      <c r="OF52" s="12"/>
      <c r="OG52" s="12"/>
      <c r="OH52" s="12"/>
      <c r="OI52" s="12"/>
      <c r="OJ52" s="12"/>
      <c r="OK52" s="12"/>
      <c r="OL52" s="12"/>
      <c r="OM52" s="12"/>
      <c r="ON52" s="12"/>
      <c r="OO52" s="12"/>
      <c r="OP52" s="12"/>
      <c r="OQ52" s="12"/>
      <c r="OR52" s="12"/>
      <c r="OS52" s="12"/>
      <c r="OT52" s="12"/>
      <c r="OU52" s="12"/>
      <c r="OV52" s="12"/>
      <c r="OW52" s="12"/>
      <c r="OX52" s="12"/>
      <c r="OY52" s="12"/>
      <c r="OZ52" s="12"/>
      <c r="PA52" s="12"/>
      <c r="PB52" s="12"/>
      <c r="PC52" s="12"/>
      <c r="PD52" s="12"/>
      <c r="PE52" s="12"/>
      <c r="PF52" s="12"/>
      <c r="PG52" s="12"/>
      <c r="PH52" s="12"/>
      <c r="PI52" s="12"/>
      <c r="PJ52" s="12"/>
      <c r="PK52" s="12"/>
      <c r="PL52" s="12"/>
      <c r="PM52" s="12"/>
      <c r="PN52" s="12"/>
      <c r="PO52" s="12"/>
      <c r="PP52" s="12"/>
      <c r="PQ52" s="12"/>
      <c r="PR52" s="12"/>
      <c r="PS52" s="12"/>
      <c r="PT52" s="12"/>
      <c r="PU52" s="12"/>
      <c r="PV52" s="12"/>
      <c r="PW52" s="12"/>
      <c r="PX52" s="12"/>
      <c r="PY52" s="12"/>
      <c r="PZ52" s="12"/>
      <c r="QA52" s="12"/>
      <c r="QB52" s="12"/>
      <c r="QC52" s="12"/>
      <c r="QD52" s="12"/>
      <c r="QE52" s="12"/>
      <c r="QF52" s="12"/>
      <c r="QG52" s="12"/>
      <c r="QH52" s="12"/>
      <c r="QI52" s="12"/>
      <c r="QJ52" s="12"/>
      <c r="QK52" s="12"/>
      <c r="QL52" s="12"/>
      <c r="QM52" s="12"/>
      <c r="QN52" s="12"/>
      <c r="QO52" s="12"/>
      <c r="QP52" s="12"/>
      <c r="QQ52" s="12"/>
      <c r="QR52" s="12"/>
      <c r="QS52" s="12"/>
      <c r="QT52" s="12"/>
      <c r="QU52" s="12"/>
      <c r="QV52" s="12"/>
      <c r="QW52" s="12"/>
      <c r="QX52" s="12"/>
      <c r="QY52" s="12"/>
      <c r="QZ52" s="12"/>
      <c r="RA52" s="12"/>
      <c r="RB52" s="12"/>
      <c r="RC52" s="12"/>
      <c r="RD52" s="12"/>
      <c r="RE52" s="12"/>
      <c r="RF52" s="12"/>
      <c r="RG52" s="12"/>
      <c r="RH52" s="12"/>
      <c r="RI52" s="12"/>
      <c r="RJ52" s="12"/>
      <c r="RK52" s="12"/>
      <c r="RL52" s="12"/>
      <c r="RM52" s="12"/>
      <c r="RN52" s="12"/>
      <c r="RO52" s="12"/>
      <c r="RP52" s="12"/>
      <c r="RQ52" s="12"/>
      <c r="RR52" s="12"/>
      <c r="RS52" s="12"/>
      <c r="RT52" s="12"/>
      <c r="RU52" s="12"/>
      <c r="RV52" s="12"/>
      <c r="RW52" s="12"/>
      <c r="RX52" s="12"/>
      <c r="RY52" s="12"/>
      <c r="RZ52" s="12"/>
      <c r="SA52" s="12"/>
      <c r="SB52" s="12"/>
      <c r="SC52" s="12"/>
      <c r="SD52" s="12"/>
      <c r="SE52" s="12"/>
      <c r="SF52" s="12"/>
      <c r="SG52" s="12"/>
      <c r="SH52" s="12"/>
      <c r="SI52" s="12"/>
      <c r="SJ52" s="12"/>
      <c r="SK52" s="12"/>
      <c r="SL52" s="12"/>
      <c r="SM52" s="12"/>
      <c r="SN52" s="12"/>
      <c r="SO52" s="12"/>
      <c r="SP52" s="12"/>
      <c r="SQ52" s="12"/>
      <c r="SR52" s="12"/>
      <c r="SS52" s="12"/>
      <c r="ST52" s="12"/>
      <c r="SU52" s="12"/>
      <c r="SV52" s="12"/>
      <c r="SW52" s="12"/>
      <c r="SX52" s="12"/>
      <c r="SY52" s="12"/>
      <c r="SZ52" s="12"/>
      <c r="TA52" s="12"/>
      <c r="TB52" s="12"/>
      <c r="TC52" s="12"/>
      <c r="TD52" s="12"/>
      <c r="TE52" s="12"/>
      <c r="TF52" s="12"/>
      <c r="TG52" s="12"/>
      <c r="TH52" s="12"/>
      <c r="TI52" s="12"/>
      <c r="TJ52" s="12"/>
      <c r="TK52" s="12"/>
      <c r="TL52" s="12"/>
      <c r="TM52" s="12"/>
      <c r="TN52" s="12"/>
      <c r="TO52" s="12"/>
      <c r="TP52" s="12"/>
      <c r="TQ52" s="12"/>
      <c r="TR52" s="12"/>
      <c r="TS52" s="12"/>
      <c r="TT52" s="12"/>
      <c r="TU52" s="12"/>
      <c r="TV52" s="12"/>
      <c r="TW52" s="12"/>
      <c r="TX52" s="12"/>
      <c r="TY52" s="12"/>
      <c r="TZ52" s="12"/>
      <c r="UA52" s="12"/>
      <c r="UB52" s="12"/>
      <c r="UC52" s="12"/>
      <c r="UD52" s="12"/>
      <c r="UE52" s="12"/>
      <c r="UF52" s="12"/>
      <c r="UG52" s="12"/>
      <c r="UH52" s="12"/>
      <c r="UI52" s="12"/>
      <c r="UJ52" s="12"/>
      <c r="UK52" s="12"/>
      <c r="UL52" s="12"/>
      <c r="UM52" s="12"/>
      <c r="UN52" s="12"/>
      <c r="UO52" s="12"/>
      <c r="UP52" s="12"/>
      <c r="UQ52" s="12"/>
      <c r="UR52" s="12"/>
      <c r="US52" s="12"/>
      <c r="UT52" s="12"/>
      <c r="UU52" s="12"/>
      <c r="UV52" s="12"/>
      <c r="UW52" s="12"/>
      <c r="UX52" s="12"/>
      <c r="UY52" s="12"/>
      <c r="UZ52" s="12"/>
      <c r="VA52" s="12"/>
      <c r="VB52" s="12"/>
      <c r="VC52" s="12"/>
      <c r="VD52" s="12"/>
      <c r="VE52" s="12"/>
      <c r="VF52" s="12"/>
      <c r="VG52" s="12"/>
      <c r="VH52" s="12"/>
      <c r="VI52" s="12"/>
      <c r="VJ52" s="12"/>
      <c r="VK52" s="12"/>
      <c r="VL52" s="12"/>
      <c r="VM52" s="12"/>
      <c r="VN52" s="12"/>
      <c r="VO52" s="12"/>
      <c r="VP52" s="12"/>
      <c r="VQ52" s="12"/>
      <c r="VR52" s="12"/>
      <c r="VS52" s="12"/>
      <c r="VT52" s="12"/>
      <c r="VU52" s="12"/>
      <c r="VV52" s="12"/>
      <c r="VW52" s="12"/>
      <c r="VX52" s="12"/>
      <c r="VY52" s="12"/>
      <c r="VZ52" s="12"/>
      <c r="WA52" s="12"/>
      <c r="WB52" s="12"/>
      <c r="WC52" s="12"/>
      <c r="WD52" s="12"/>
      <c r="WE52" s="12"/>
      <c r="WF52" s="12"/>
      <c r="WG52" s="12"/>
      <c r="WH52" s="12"/>
      <c r="WI52" s="12"/>
      <c r="WJ52" s="12"/>
      <c r="WK52" s="12"/>
      <c r="WL52" s="12"/>
      <c r="WM52" s="12"/>
      <c r="WN52" s="12"/>
      <c r="WO52" s="12"/>
      <c r="WP52" s="12"/>
      <c r="WQ52" s="12"/>
      <c r="WR52" s="12"/>
      <c r="WS52" s="12"/>
      <c r="WT52" s="12"/>
      <c r="WU52" s="12"/>
      <c r="WV52" s="12"/>
      <c r="WW52" s="12"/>
      <c r="WX52" s="12"/>
      <c r="WY52" s="12"/>
      <c r="WZ52" s="12"/>
      <c r="XA52" s="12"/>
      <c r="XB52" s="12"/>
      <c r="XC52" s="12"/>
      <c r="XD52" s="12"/>
      <c r="XE52" s="12"/>
      <c r="XF52" s="12"/>
      <c r="XG52" s="12"/>
      <c r="XH52" s="12"/>
      <c r="XI52" s="12"/>
      <c r="XJ52" s="12"/>
      <c r="XK52" s="12"/>
      <c r="XL52" s="12"/>
      <c r="XM52" s="12"/>
      <c r="XN52" s="12"/>
      <c r="XO52" s="12"/>
      <c r="XP52" s="12"/>
      <c r="XQ52" s="12"/>
      <c r="XR52" s="12"/>
      <c r="XS52" s="12"/>
      <c r="XT52" s="12"/>
      <c r="XU52" s="12"/>
      <c r="XV52" s="12"/>
      <c r="XW52" s="12"/>
      <c r="XX52" s="12"/>
      <c r="XY52" s="12"/>
      <c r="XZ52" s="12"/>
      <c r="YA52" s="12"/>
      <c r="YB52" s="12"/>
      <c r="YC52" s="12"/>
      <c r="YD52" s="12"/>
      <c r="YE52" s="12"/>
      <c r="YF52" s="12"/>
      <c r="YG52" s="12"/>
      <c r="YH52" s="12"/>
      <c r="YI52" s="12"/>
      <c r="YJ52" s="12"/>
      <c r="YK52" s="12"/>
      <c r="YL52" s="12"/>
      <c r="YM52" s="12"/>
      <c r="YN52" s="12"/>
      <c r="YO52" s="12"/>
      <c r="YP52" s="12"/>
      <c r="YQ52" s="12"/>
      <c r="YR52" s="12"/>
      <c r="YS52" s="12"/>
      <c r="YT52" s="12"/>
      <c r="YU52" s="12"/>
      <c r="YV52" s="12"/>
      <c r="YW52" s="12"/>
      <c r="YX52" s="12"/>
      <c r="YY52" s="12"/>
      <c r="YZ52" s="12"/>
      <c r="ZA52" s="12"/>
      <c r="ZB52" s="12"/>
      <c r="ZC52" s="12"/>
      <c r="ZD52" s="12"/>
      <c r="ZE52" s="12"/>
      <c r="ZF52" s="12"/>
      <c r="ZG52" s="12"/>
      <c r="ZH52" s="12"/>
      <c r="ZI52" s="12"/>
      <c r="ZJ52" s="12"/>
      <c r="ZK52" s="12"/>
      <c r="ZL52" s="12"/>
      <c r="ZM52" s="12"/>
      <c r="ZN52" s="12"/>
      <c r="ZO52" s="12"/>
      <c r="ZP52" s="12"/>
      <c r="ZQ52" s="12"/>
      <c r="ZR52" s="12"/>
      <c r="ZS52" s="12"/>
      <c r="ZT52" s="12"/>
      <c r="ZU52" s="12"/>
      <c r="ZV52" s="12"/>
      <c r="ZW52" s="12"/>
      <c r="ZX52" s="12"/>
      <c r="ZY52" s="12"/>
      <c r="ZZ52" s="12"/>
      <c r="AAA52" s="12"/>
      <c r="AAB52" s="12"/>
      <c r="AAC52" s="12"/>
      <c r="AAD52" s="12"/>
      <c r="AAE52" s="12"/>
      <c r="AAF52" s="12"/>
      <c r="AAG52" s="12"/>
      <c r="AAH52" s="12"/>
      <c r="AAI52" s="12"/>
      <c r="AAJ52" s="12"/>
      <c r="AAK52" s="12"/>
      <c r="AAL52" s="12"/>
      <c r="AAM52" s="12"/>
      <c r="AAN52" s="12"/>
      <c r="AAO52" s="12"/>
      <c r="AAP52" s="12"/>
      <c r="AAQ52" s="12"/>
      <c r="AAR52" s="12"/>
      <c r="AAS52" s="12"/>
      <c r="AAT52" s="12"/>
      <c r="AAU52" s="12"/>
      <c r="AAV52" s="12"/>
      <c r="AAW52" s="12"/>
      <c r="AAX52" s="12"/>
      <c r="AAY52" s="12"/>
      <c r="AAZ52" s="12"/>
      <c r="ABA52" s="12"/>
      <c r="ABB52" s="12"/>
      <c r="ABC52" s="12"/>
      <c r="ABD52" s="12"/>
      <c r="ABE52" s="12"/>
      <c r="ABF52" s="12"/>
      <c r="ABG52" s="12"/>
      <c r="ABH52" s="12"/>
      <c r="ABI52" s="12"/>
      <c r="ABJ52" s="12"/>
      <c r="ABK52" s="12"/>
      <c r="ABL52" s="12"/>
      <c r="ABM52" s="12"/>
      <c r="ABN52" s="12"/>
      <c r="ABO52" s="12"/>
      <c r="ABP52" s="12"/>
      <c r="ABQ52" s="12"/>
      <c r="ABR52" s="12"/>
      <c r="ABS52" s="12"/>
      <c r="ABT52" s="12"/>
      <c r="ABU52" s="12"/>
      <c r="ABV52" s="12"/>
      <c r="ABW52" s="12"/>
      <c r="ABX52" s="12"/>
      <c r="ABY52" s="12"/>
      <c r="ABZ52" s="12"/>
      <c r="ACA52" s="12"/>
      <c r="ACB52" s="12"/>
      <c r="ACC52" s="12"/>
      <c r="ACD52" s="12"/>
      <c r="ACE52" s="12"/>
      <c r="ACF52" s="12"/>
      <c r="ACG52" s="12"/>
      <c r="ACH52" s="12"/>
      <c r="ACI52" s="12"/>
      <c r="ACJ52" s="12"/>
      <c r="ACK52" s="12"/>
      <c r="ACL52" s="12"/>
      <c r="ACM52" s="12"/>
      <c r="ACN52" s="12"/>
      <c r="ACO52" s="12"/>
      <c r="ACP52" s="12"/>
      <c r="ACQ52" s="12"/>
      <c r="ACR52" s="12"/>
      <c r="ACS52" s="12"/>
      <c r="ACT52" s="12"/>
      <c r="ACU52" s="12"/>
      <c r="ACV52" s="12"/>
      <c r="ACW52" s="12"/>
      <c r="ACX52" s="12"/>
      <c r="ACY52" s="12"/>
      <c r="ACZ52" s="12"/>
      <c r="ADA52" s="12"/>
      <c r="ADB52" s="12"/>
      <c r="ADC52" s="12"/>
      <c r="ADD52" s="12"/>
      <c r="ADE52" s="12"/>
      <c r="ADF52" s="12"/>
      <c r="ADG52" s="12"/>
      <c r="ADH52" s="12"/>
      <c r="ADI52" s="12"/>
      <c r="ADJ52" s="12"/>
      <c r="ADK52" s="12"/>
      <c r="ADL52" s="12"/>
      <c r="ADM52" s="12"/>
      <c r="ADN52" s="12"/>
      <c r="ADO52" s="12"/>
      <c r="ADP52" s="12"/>
      <c r="ADQ52" s="12"/>
      <c r="ADR52" s="12"/>
      <c r="ADS52" s="12"/>
      <c r="ADT52" s="12"/>
      <c r="ADU52" s="12"/>
      <c r="ADV52" s="12"/>
      <c r="ADW52" s="12"/>
      <c r="ADX52" s="12"/>
      <c r="ADY52" s="12"/>
      <c r="ADZ52" s="12"/>
      <c r="AEA52" s="12"/>
      <c r="AEB52" s="12"/>
      <c r="AEC52" s="12"/>
      <c r="AED52" s="12"/>
      <c r="AEE52" s="12"/>
      <c r="AEF52" s="12"/>
      <c r="AEG52" s="12"/>
      <c r="AEH52" s="12"/>
      <c r="AEI52" s="12"/>
      <c r="AEJ52" s="12"/>
      <c r="AEK52" s="12"/>
      <c r="AEL52" s="12"/>
      <c r="AEM52" s="12"/>
      <c r="AEN52" s="12"/>
      <c r="AEO52" s="12"/>
      <c r="AEP52" s="12"/>
      <c r="AEQ52" s="12"/>
      <c r="AER52" s="12"/>
      <c r="AES52" s="12"/>
      <c r="AET52" s="12"/>
      <c r="AEU52" s="12"/>
      <c r="AEV52" s="12"/>
      <c r="AEW52" s="12"/>
      <c r="AEX52" s="12"/>
      <c r="AEY52" s="12"/>
      <c r="AEZ52" s="12"/>
      <c r="AFA52" s="12"/>
      <c r="AFB52" s="12"/>
      <c r="AFC52" s="12"/>
      <c r="AFD52" s="12"/>
      <c r="AFE52" s="12"/>
      <c r="AFF52" s="12"/>
      <c r="AFG52" s="12"/>
      <c r="AFH52" s="12"/>
      <c r="AFI52" s="12"/>
      <c r="AFJ52" s="12"/>
      <c r="AFK52" s="12"/>
      <c r="AFL52" s="12"/>
      <c r="AFM52" s="12"/>
      <c r="AFN52" s="12"/>
      <c r="AFO52" s="12"/>
      <c r="AFP52" s="12"/>
      <c r="AFQ52" s="12"/>
      <c r="AFR52" s="12"/>
      <c r="AFS52" s="12"/>
      <c r="AFT52" s="12"/>
      <c r="AFU52" s="12"/>
      <c r="AFV52" s="12"/>
      <c r="AFW52" s="12"/>
      <c r="AFX52" s="12"/>
      <c r="AFY52" s="12"/>
      <c r="AFZ52" s="12"/>
      <c r="AGA52" s="12"/>
      <c r="AGB52" s="12"/>
      <c r="AGC52" s="12"/>
      <c r="AGD52" s="12"/>
      <c r="AGE52" s="12"/>
      <c r="AGF52" s="12"/>
      <c r="AGG52" s="12"/>
      <c r="AGH52" s="12"/>
      <c r="AGI52" s="12"/>
      <c r="AGJ52" s="12"/>
      <c r="AGK52" s="12"/>
      <c r="AGL52" s="12"/>
      <c r="AGM52" s="12"/>
      <c r="AGN52" s="12"/>
      <c r="AGO52" s="12"/>
      <c r="AGP52" s="12"/>
      <c r="AGQ52" s="12"/>
      <c r="AGR52" s="12"/>
      <c r="AGS52" s="12"/>
      <c r="AGT52" s="12"/>
      <c r="AGU52" s="12"/>
      <c r="AGV52" s="12"/>
      <c r="AGW52" s="12"/>
      <c r="AGX52" s="12"/>
      <c r="AGY52" s="12"/>
      <c r="AGZ52" s="12"/>
      <c r="AHA52" s="12"/>
      <c r="AHB52" s="12"/>
      <c r="AHC52" s="12"/>
      <c r="AHD52" s="12"/>
      <c r="AHE52" s="12"/>
      <c r="AHF52" s="12"/>
      <c r="AHG52" s="12"/>
      <c r="AHH52" s="12"/>
      <c r="AHI52" s="12"/>
      <c r="AHJ52" s="12"/>
      <c r="AHK52" s="12"/>
      <c r="AHL52" s="12"/>
      <c r="AHM52" s="12"/>
      <c r="AHN52" s="12"/>
      <c r="AHO52" s="12"/>
      <c r="AHP52" s="12"/>
      <c r="AHQ52" s="12"/>
      <c r="AHR52" s="12"/>
      <c r="AHS52" s="12"/>
      <c r="AHT52" s="12"/>
      <c r="AHU52" s="12"/>
      <c r="AHV52" s="12"/>
      <c r="AHW52" s="12"/>
      <c r="AHX52" s="12"/>
      <c r="AHY52" s="12"/>
      <c r="AHZ52" s="12"/>
      <c r="AIA52" s="12"/>
      <c r="AIB52" s="12"/>
      <c r="AIC52" s="12"/>
      <c r="AID52" s="12"/>
      <c r="AIE52" s="12"/>
      <c r="AIF52" s="12"/>
      <c r="AIG52" s="12"/>
      <c r="AIH52" s="12"/>
      <c r="AII52" s="12"/>
      <c r="AIJ52" s="12"/>
      <c r="AIK52" s="12"/>
      <c r="AIL52" s="12"/>
      <c r="AIM52" s="12"/>
      <c r="AIN52" s="12"/>
      <c r="AIO52" s="12"/>
      <c r="AIP52" s="12"/>
      <c r="AIQ52" s="12"/>
      <c r="AIR52" s="12"/>
      <c r="AIS52" s="12"/>
      <c r="AIT52" s="12"/>
      <c r="AIU52" s="12"/>
      <c r="AIV52" s="12"/>
      <c r="AIW52" s="12"/>
      <c r="AIX52" s="12"/>
      <c r="AIY52" s="12"/>
      <c r="AIZ52" s="12"/>
      <c r="AJA52" s="12"/>
      <c r="AJB52" s="12"/>
      <c r="AJC52" s="12"/>
      <c r="AJD52" s="12"/>
      <c r="AJE52" s="12"/>
      <c r="AJF52" s="12"/>
      <c r="AJG52" s="12"/>
      <c r="AJH52" s="12"/>
      <c r="AJI52" s="12"/>
      <c r="AJJ52" s="12"/>
      <c r="AJK52" s="12"/>
      <c r="AJL52" s="12"/>
      <c r="AJM52" s="12"/>
      <c r="AJN52" s="12"/>
      <c r="AJO52" s="12"/>
      <c r="AJP52" s="12"/>
      <c r="AJQ52" s="12"/>
      <c r="AJR52" s="12"/>
      <c r="AJS52" s="12"/>
      <c r="AJT52" s="12"/>
      <c r="AJU52" s="12"/>
      <c r="AJV52" s="12"/>
      <c r="AJW52" s="12"/>
      <c r="AJX52" s="12"/>
      <c r="AJY52" s="12"/>
      <c r="AJZ52" s="12"/>
      <c r="AKA52" s="12"/>
      <c r="AKB52" s="12"/>
      <c r="AKC52" s="12"/>
      <c r="AKD52" s="12"/>
      <c r="AKE52" s="12"/>
      <c r="AKF52" s="12"/>
      <c r="AKG52" s="12"/>
      <c r="AKH52" s="12"/>
      <c r="AKI52" s="12"/>
      <c r="AKJ52" s="12"/>
      <c r="AKK52" s="12"/>
      <c r="AKL52" s="12"/>
      <c r="AKM52" s="12"/>
      <c r="AKN52" s="12"/>
      <c r="AKO52" s="12"/>
      <c r="AKP52" s="12"/>
      <c r="AKQ52" s="12"/>
      <c r="AKR52" s="12"/>
      <c r="AKS52" s="12"/>
      <c r="AKT52" s="12"/>
      <c r="AKU52" s="12"/>
      <c r="AKV52" s="12"/>
      <c r="AKW52" s="12"/>
      <c r="AKX52" s="12"/>
      <c r="AKY52" s="12"/>
      <c r="AKZ52" s="12"/>
      <c r="ALA52" s="12"/>
      <c r="ALB52" s="12"/>
      <c r="ALC52" s="12"/>
      <c r="ALD52" s="12"/>
      <c r="ALE52" s="12"/>
      <c r="ALF52" s="12"/>
      <c r="ALG52" s="12"/>
      <c r="ALH52" s="12"/>
      <c r="ALI52" s="12"/>
      <c r="ALJ52" s="12"/>
      <c r="ALK52" s="12"/>
      <c r="ALL52" s="12"/>
      <c r="ALM52" s="12"/>
      <c r="ALN52" s="12"/>
      <c r="ALO52" s="12"/>
      <c r="ALP52" s="12"/>
      <c r="ALQ52" s="12"/>
      <c r="ALR52" s="12"/>
      <c r="ALS52" s="12"/>
      <c r="ALT52" s="12"/>
      <c r="ALU52" s="12"/>
      <c r="ALV52" s="12"/>
      <c r="ALW52" s="12"/>
      <c r="ALX52" s="12"/>
      <c r="ALY52" s="12"/>
      <c r="ALZ52" s="12"/>
      <c r="AMA52" s="12"/>
      <c r="AMB52" s="12"/>
      <c r="AMC52" s="12"/>
      <c r="AMD52" s="12"/>
      <c r="AME52" s="12"/>
      <c r="AMF52" s="12"/>
      <c r="AMG52" s="12"/>
      <c r="AMH52" s="12"/>
      <c r="AMI52" s="12"/>
      <c r="AMJ52" s="12"/>
      <c r="AMK52" s="12"/>
      <c r="AML52" s="12"/>
      <c r="AMM52" s="12"/>
      <c r="AMN52" s="12"/>
      <c r="AMO52" s="12"/>
      <c r="AMP52" s="12"/>
      <c r="AMQ52" s="12"/>
      <c r="AMR52" s="12"/>
      <c r="AMS52" s="12"/>
      <c r="AMT52" s="12"/>
      <c r="AMU52" s="12"/>
      <c r="AMV52" s="12"/>
      <c r="AMW52" s="12"/>
      <c r="AMX52" s="12"/>
      <c r="AMY52" s="12"/>
      <c r="AMZ52" s="12"/>
      <c r="ANA52" s="12"/>
      <c r="ANB52" s="12"/>
      <c r="ANC52" s="12"/>
      <c r="AND52" s="12"/>
      <c r="ANE52" s="12"/>
      <c r="ANF52" s="12"/>
      <c r="ANG52" s="12"/>
      <c r="ANH52" s="12"/>
      <c r="ANI52" s="12"/>
      <c r="ANJ52" s="12"/>
      <c r="ANK52" s="12"/>
      <c r="ANL52" s="12"/>
      <c r="ANM52" s="12"/>
      <c r="ANN52" s="12"/>
      <c r="ANO52" s="12"/>
      <c r="ANP52" s="12"/>
      <c r="ANQ52" s="12"/>
      <c r="ANR52" s="12"/>
      <c r="ANS52" s="12"/>
      <c r="ANT52" s="12"/>
      <c r="ANU52" s="12"/>
      <c r="ANV52" s="12"/>
      <c r="ANW52" s="12"/>
      <c r="ANX52" s="12"/>
      <c r="ANY52" s="12"/>
      <c r="ANZ52" s="12"/>
      <c r="AOA52" s="12"/>
      <c r="AOB52" s="12"/>
      <c r="AOC52" s="12"/>
      <c r="AOD52" s="12"/>
      <c r="AOE52" s="12"/>
      <c r="AOF52" s="12"/>
      <c r="AOG52" s="12"/>
      <c r="AOH52" s="12"/>
      <c r="AOI52" s="12"/>
      <c r="AOJ52" s="12"/>
      <c r="AOK52" s="12"/>
      <c r="AOL52" s="12"/>
      <c r="AOM52" s="12"/>
      <c r="AON52" s="12"/>
      <c r="AOO52" s="12"/>
      <c r="AOP52" s="12"/>
      <c r="AOQ52" s="12"/>
      <c r="AOR52" s="12"/>
      <c r="AOS52" s="12"/>
      <c r="AOT52" s="12"/>
      <c r="AOU52" s="12"/>
      <c r="AOV52" s="12"/>
      <c r="AOW52" s="12"/>
      <c r="AOX52" s="12"/>
      <c r="AOY52" s="12"/>
      <c r="AOZ52" s="12"/>
      <c r="APA52" s="12"/>
      <c r="APB52" s="12"/>
      <c r="APC52" s="12"/>
      <c r="APD52" s="12"/>
      <c r="APE52" s="12"/>
      <c r="APF52" s="12"/>
      <c r="APG52" s="12"/>
      <c r="APH52" s="12"/>
      <c r="API52" s="12"/>
      <c r="APJ52" s="12"/>
      <c r="APK52" s="12"/>
      <c r="APL52" s="12"/>
      <c r="APM52" s="12"/>
      <c r="APN52" s="12"/>
      <c r="APO52" s="12"/>
      <c r="APP52" s="12"/>
      <c r="APQ52" s="12"/>
      <c r="APR52" s="12"/>
      <c r="APS52" s="12"/>
      <c r="APT52" s="12"/>
      <c r="APU52" s="12"/>
      <c r="APV52" s="12"/>
      <c r="APW52" s="12"/>
      <c r="APX52" s="12"/>
      <c r="APY52" s="12"/>
      <c r="APZ52" s="12"/>
      <c r="AQA52" s="12"/>
      <c r="AQB52" s="12"/>
      <c r="AQC52" s="12"/>
      <c r="AQD52" s="12"/>
      <c r="AQE52" s="12"/>
      <c r="AQF52" s="12"/>
      <c r="AQG52" s="12"/>
      <c r="AQH52" s="12"/>
      <c r="AQI52" s="12"/>
      <c r="AQJ52" s="12"/>
      <c r="AQK52" s="12"/>
      <c r="AQL52" s="12"/>
      <c r="AQM52" s="12"/>
      <c r="AQN52" s="12"/>
      <c r="AQO52" s="12"/>
      <c r="AQP52" s="12"/>
      <c r="AQQ52" s="12"/>
      <c r="AQR52" s="12"/>
      <c r="AQS52" s="12"/>
      <c r="AQT52" s="12"/>
      <c r="AQU52" s="12"/>
      <c r="AQV52" s="12"/>
      <c r="AQW52" s="12"/>
      <c r="AQX52" s="12"/>
      <c r="AQY52" s="12"/>
      <c r="AQZ52" s="12"/>
      <c r="ARA52" s="12"/>
      <c r="ARB52" s="12"/>
      <c r="ARC52" s="12"/>
      <c r="ARD52" s="12"/>
      <c r="ARE52" s="12"/>
      <c r="ARF52" s="12"/>
      <c r="ARG52" s="12"/>
      <c r="ARH52" s="12"/>
      <c r="ARI52" s="12"/>
      <c r="ARJ52" s="12"/>
      <c r="ARK52" s="12"/>
      <c r="ARL52" s="12"/>
      <c r="ARM52" s="12"/>
      <c r="ARN52" s="12"/>
      <c r="ARO52" s="12"/>
      <c r="ARP52" s="12"/>
      <c r="ARQ52" s="12"/>
      <c r="ARR52" s="12"/>
      <c r="ARS52" s="12"/>
      <c r="ART52" s="12"/>
      <c r="ARU52" s="12"/>
      <c r="ARV52" s="12"/>
      <c r="ARW52" s="12"/>
      <c r="ARX52" s="12"/>
      <c r="ARY52" s="12"/>
      <c r="ARZ52" s="12"/>
      <c r="ASA52" s="12"/>
      <c r="ASB52" s="12"/>
      <c r="ASC52" s="12"/>
      <c r="ASD52" s="12"/>
      <c r="ASE52" s="12"/>
      <c r="ASF52" s="12"/>
      <c r="ASG52" s="12"/>
      <c r="ASH52" s="12"/>
      <c r="ASI52" s="12"/>
      <c r="ASJ52" s="12"/>
      <c r="ASK52" s="12"/>
      <c r="ASL52" s="12"/>
      <c r="ASM52" s="12"/>
      <c r="ASN52" s="12"/>
      <c r="ASO52" s="12"/>
      <c r="ASP52" s="12"/>
      <c r="ASQ52" s="12"/>
      <c r="ASR52" s="12"/>
      <c r="ASS52" s="12"/>
      <c r="AST52" s="12"/>
      <c r="ASU52" s="12"/>
      <c r="ASV52" s="12"/>
      <c r="ASW52" s="12"/>
      <c r="ASX52" s="12"/>
      <c r="ASY52" s="12"/>
      <c r="ASZ52" s="12"/>
      <c r="ATA52" s="12"/>
      <c r="ATB52" s="12"/>
      <c r="ATC52" s="12"/>
      <c r="ATD52" s="12"/>
      <c r="ATE52" s="12"/>
      <c r="ATF52" s="12"/>
      <c r="ATG52" s="12"/>
      <c r="ATH52" s="12"/>
      <c r="ATI52" s="12"/>
      <c r="ATJ52" s="12"/>
      <c r="ATK52" s="12"/>
      <c r="ATL52" s="12"/>
      <c r="ATM52" s="12"/>
      <c r="ATN52" s="12"/>
      <c r="ATO52" s="12"/>
      <c r="ATP52" s="12"/>
      <c r="ATQ52" s="12"/>
      <c r="ATR52" s="12"/>
      <c r="ATS52" s="12"/>
      <c r="ATT52" s="12"/>
      <c r="ATU52" s="12"/>
      <c r="ATV52" s="12"/>
      <c r="ATW52" s="12"/>
      <c r="ATX52" s="12"/>
      <c r="ATY52" s="12"/>
      <c r="ATZ52" s="12"/>
      <c r="AUA52" s="12"/>
      <c r="AUB52" s="12"/>
      <c r="AUC52" s="12"/>
      <c r="AUD52" s="12"/>
      <c r="AUE52" s="12"/>
      <c r="AUF52" s="12"/>
      <c r="AUG52" s="12"/>
      <c r="AUH52" s="12"/>
      <c r="AUI52" s="12"/>
      <c r="AUJ52" s="12"/>
      <c r="AUK52" s="12"/>
      <c r="AUL52" s="12"/>
      <c r="AUM52" s="12"/>
      <c r="AUN52" s="12"/>
      <c r="AUO52" s="12"/>
      <c r="AUP52" s="12"/>
      <c r="AUQ52" s="12"/>
      <c r="AUR52" s="12"/>
      <c r="AUS52" s="12"/>
      <c r="AUT52" s="12"/>
      <c r="AUU52" s="12"/>
      <c r="AUV52" s="12"/>
      <c r="AUW52" s="12"/>
      <c r="AUX52" s="12"/>
      <c r="AUY52" s="12"/>
      <c r="AUZ52" s="12"/>
      <c r="AVA52" s="12"/>
      <c r="AVB52" s="12"/>
      <c r="AVC52" s="12"/>
      <c r="AVD52" s="12"/>
      <c r="AVE52" s="12"/>
      <c r="AVF52" s="12"/>
      <c r="AVG52" s="12"/>
      <c r="AVH52" s="12"/>
      <c r="AVI52" s="12"/>
      <c r="AVJ52" s="12"/>
      <c r="AVK52" s="12"/>
      <c r="AVL52" s="12"/>
      <c r="AVM52" s="12"/>
      <c r="AVN52" s="12"/>
      <c r="AVO52" s="12"/>
      <c r="AVP52" s="12"/>
      <c r="AVQ52" s="12"/>
      <c r="AVR52" s="12"/>
      <c r="AVS52" s="12"/>
      <c r="AVT52" s="12"/>
      <c r="AVU52" s="12"/>
      <c r="AVV52" s="12"/>
      <c r="AVW52" s="12"/>
      <c r="AVX52" s="12"/>
      <c r="AVY52" s="12"/>
      <c r="AVZ52" s="12"/>
      <c r="AWA52" s="12"/>
      <c r="AWB52" s="12"/>
      <c r="AWC52" s="12"/>
      <c r="AWD52" s="12"/>
      <c r="AWE52" s="12"/>
      <c r="AWF52" s="12"/>
      <c r="AWG52" s="12"/>
      <c r="AWH52" s="12"/>
      <c r="AWI52" s="12"/>
      <c r="AWJ52" s="12"/>
      <c r="AWK52" s="12"/>
      <c r="AWL52" s="12"/>
      <c r="AWM52" s="12"/>
      <c r="AWN52" s="12"/>
      <c r="AWO52" s="12"/>
      <c r="AWP52" s="12"/>
      <c r="AWQ52" s="12"/>
      <c r="AWR52" s="12"/>
      <c r="AWS52" s="12"/>
      <c r="AWT52" s="12"/>
      <c r="AWU52" s="12"/>
      <c r="AWV52" s="12"/>
      <c r="AWW52" s="12"/>
      <c r="AWX52" s="12"/>
      <c r="AWY52" s="12"/>
      <c r="AWZ52" s="12"/>
      <c r="AXA52" s="12"/>
      <c r="AXB52" s="12"/>
      <c r="AXC52" s="12"/>
      <c r="AXD52" s="12"/>
      <c r="AXE52" s="12"/>
      <c r="AXF52" s="12"/>
      <c r="AXG52" s="12"/>
      <c r="AXH52" s="12"/>
      <c r="AXI52" s="12"/>
      <c r="AXJ52" s="12"/>
      <c r="AXK52" s="12"/>
      <c r="AXL52" s="12"/>
      <c r="AXM52" s="12"/>
      <c r="AXN52" s="12"/>
      <c r="AXO52" s="12"/>
      <c r="AXP52" s="12"/>
      <c r="AXQ52" s="12"/>
      <c r="AXR52" s="12"/>
      <c r="AXS52" s="12"/>
      <c r="AXT52" s="12"/>
      <c r="AXU52" s="12"/>
      <c r="AXV52" s="12"/>
      <c r="AXW52" s="12"/>
      <c r="AXX52" s="12"/>
      <c r="AXY52" s="12"/>
      <c r="AXZ52" s="12"/>
      <c r="AYA52" s="12"/>
      <c r="AYB52" s="12"/>
      <c r="AYC52" s="12"/>
      <c r="AYD52" s="12"/>
      <c r="AYE52" s="12"/>
      <c r="AYF52" s="12"/>
      <c r="AYG52" s="12"/>
      <c r="AYH52" s="12"/>
      <c r="AYI52" s="12"/>
      <c r="AYJ52" s="12"/>
      <c r="AYK52" s="12"/>
      <c r="AYL52" s="12"/>
      <c r="AYM52" s="12"/>
      <c r="AYN52" s="12"/>
      <c r="AYO52" s="12"/>
      <c r="AYP52" s="12"/>
      <c r="AYQ52" s="12"/>
      <c r="AYR52" s="12"/>
      <c r="AYS52" s="12"/>
      <c r="AYT52" s="12"/>
      <c r="AYU52" s="12"/>
      <c r="AYV52" s="12"/>
      <c r="AYW52" s="12"/>
      <c r="AYX52" s="12"/>
      <c r="AYY52" s="12"/>
      <c r="AYZ52" s="12"/>
      <c r="AZA52" s="12"/>
      <c r="AZB52" s="12"/>
      <c r="AZC52" s="12"/>
      <c r="AZD52" s="12"/>
      <c r="AZE52" s="12"/>
      <c r="AZF52" s="12"/>
      <c r="AZG52" s="12"/>
      <c r="AZH52" s="12"/>
      <c r="AZI52" s="12"/>
      <c r="AZJ52" s="12"/>
      <c r="AZK52" s="12"/>
      <c r="AZL52" s="12"/>
      <c r="AZM52" s="12"/>
      <c r="AZN52" s="12"/>
      <c r="AZO52" s="12"/>
      <c r="AZP52" s="12"/>
      <c r="AZQ52" s="12"/>
      <c r="AZR52" s="12"/>
      <c r="AZS52" s="12"/>
      <c r="AZT52" s="12"/>
      <c r="AZU52" s="12"/>
      <c r="AZV52" s="12"/>
      <c r="AZW52" s="12"/>
      <c r="AZX52" s="12"/>
      <c r="AZY52" s="12"/>
      <c r="AZZ52" s="12"/>
      <c r="BAA52" s="12"/>
      <c r="BAB52" s="12"/>
      <c r="BAC52" s="12"/>
      <c r="BAD52" s="12"/>
      <c r="BAE52" s="12"/>
      <c r="BAF52" s="12"/>
      <c r="BAG52" s="12"/>
      <c r="BAH52" s="12"/>
      <c r="BAI52" s="12"/>
      <c r="BAJ52" s="12"/>
      <c r="BAK52" s="12"/>
      <c r="BAL52" s="12"/>
      <c r="BAM52" s="12"/>
      <c r="BAN52" s="12"/>
      <c r="BAO52" s="12"/>
      <c r="BAP52" s="12"/>
      <c r="BAQ52" s="12"/>
      <c r="BAR52" s="12"/>
      <c r="BAS52" s="12"/>
      <c r="BAT52" s="12"/>
      <c r="BAU52" s="12"/>
      <c r="BAV52" s="12"/>
      <c r="BAW52" s="12"/>
      <c r="BAX52" s="12"/>
      <c r="BAY52" s="12"/>
      <c r="BAZ52" s="12"/>
      <c r="BBA52" s="12"/>
      <c r="BBB52" s="12"/>
      <c r="BBC52" s="12"/>
      <c r="BBD52" s="12"/>
      <c r="BBE52" s="12"/>
      <c r="BBF52" s="12"/>
      <c r="BBG52" s="12"/>
      <c r="BBH52" s="12"/>
      <c r="BBI52" s="12"/>
      <c r="BBJ52" s="12"/>
      <c r="BBK52" s="12"/>
      <c r="BBL52" s="12"/>
      <c r="BBM52" s="12"/>
      <c r="BBN52" s="12"/>
      <c r="BBO52" s="12"/>
      <c r="BBP52" s="12"/>
      <c r="BBQ52" s="12"/>
      <c r="BBR52" s="12"/>
      <c r="BBS52" s="12"/>
      <c r="BBT52" s="12"/>
      <c r="BBU52" s="12"/>
      <c r="BBV52" s="12"/>
      <c r="BBW52" s="12"/>
      <c r="BBX52" s="12"/>
      <c r="BBY52" s="12"/>
      <c r="BBZ52" s="12"/>
      <c r="BCA52" s="12"/>
      <c r="BCB52" s="12"/>
      <c r="BCC52" s="12"/>
      <c r="BCD52" s="12"/>
      <c r="BCE52" s="12"/>
      <c r="BCF52" s="12"/>
      <c r="BCG52" s="12"/>
      <c r="BCH52" s="12"/>
      <c r="BCI52" s="12"/>
      <c r="BCJ52" s="12"/>
      <c r="BCK52" s="12"/>
      <c r="BCL52" s="12"/>
      <c r="BCM52" s="12"/>
      <c r="BCN52" s="12"/>
      <c r="BCO52" s="12"/>
      <c r="BCP52" s="12"/>
      <c r="BCQ52" s="12"/>
      <c r="BCR52" s="12"/>
      <c r="BCS52" s="12"/>
      <c r="BCT52" s="12"/>
      <c r="BCU52" s="12"/>
      <c r="BCV52" s="12"/>
      <c r="BCW52" s="12"/>
      <c r="BCX52" s="12"/>
      <c r="BCY52" s="12"/>
      <c r="BCZ52" s="12"/>
      <c r="BDA52" s="12"/>
      <c r="BDB52" s="12"/>
      <c r="BDC52" s="12"/>
      <c r="BDD52" s="12"/>
      <c r="BDE52" s="12"/>
      <c r="BDF52" s="12"/>
      <c r="BDG52" s="12"/>
      <c r="BDH52" s="12"/>
      <c r="BDI52" s="12"/>
      <c r="BDJ52" s="12"/>
      <c r="BDK52" s="12"/>
      <c r="BDL52" s="12"/>
      <c r="BDM52" s="12"/>
      <c r="BDN52" s="12"/>
      <c r="BDO52" s="12"/>
      <c r="BDP52" s="12"/>
      <c r="BDQ52" s="12"/>
      <c r="BDR52" s="12"/>
      <c r="BDS52" s="12"/>
      <c r="BDT52" s="12"/>
      <c r="BDU52" s="12"/>
      <c r="BDV52" s="12"/>
      <c r="BDW52" s="12"/>
      <c r="BDX52" s="12"/>
      <c r="BDY52" s="12"/>
      <c r="BDZ52" s="12"/>
      <c r="BEA52" s="12"/>
      <c r="BEB52" s="12"/>
      <c r="BEC52" s="12"/>
      <c r="BED52" s="12"/>
      <c r="BEE52" s="12"/>
      <c r="BEF52" s="12"/>
      <c r="BEG52" s="12"/>
      <c r="BEH52" s="12"/>
      <c r="BEI52" s="12"/>
      <c r="BEJ52" s="12"/>
      <c r="BEK52" s="12"/>
      <c r="BEL52" s="12"/>
      <c r="BEM52" s="12"/>
      <c r="BEN52" s="12"/>
      <c r="BEO52" s="12"/>
      <c r="BEP52" s="12"/>
      <c r="BEQ52" s="12"/>
      <c r="BER52" s="12"/>
      <c r="BES52" s="12"/>
      <c r="BET52" s="12"/>
      <c r="BEU52" s="12"/>
      <c r="BEV52" s="12"/>
      <c r="BEW52" s="12"/>
      <c r="BEX52" s="12"/>
      <c r="BEY52" s="12"/>
      <c r="BEZ52" s="12"/>
      <c r="BFA52" s="12"/>
      <c r="BFB52" s="12"/>
      <c r="BFC52" s="12"/>
      <c r="BFD52" s="12"/>
      <c r="BFE52" s="12"/>
      <c r="BFF52" s="12"/>
      <c r="BFG52" s="12"/>
      <c r="BFH52" s="12"/>
      <c r="BFI52" s="12"/>
      <c r="BFJ52" s="12"/>
      <c r="BFK52" s="12"/>
      <c r="BFL52" s="12"/>
      <c r="BFM52" s="12"/>
      <c r="BFN52" s="12"/>
      <c r="BFO52" s="12"/>
      <c r="BFP52" s="12"/>
      <c r="BFQ52" s="12"/>
      <c r="BFR52" s="12"/>
      <c r="BFS52" s="12"/>
      <c r="BFT52" s="12"/>
      <c r="BFU52" s="12"/>
      <c r="BFV52" s="12"/>
      <c r="BFW52" s="12"/>
      <c r="BFX52" s="12"/>
      <c r="BFY52" s="12"/>
      <c r="BFZ52" s="12"/>
      <c r="BGA52" s="12"/>
      <c r="BGB52" s="12"/>
      <c r="BGC52" s="12"/>
      <c r="BGD52" s="12"/>
      <c r="BGE52" s="12"/>
      <c r="BGF52" s="12"/>
      <c r="BGG52" s="12"/>
      <c r="BGH52" s="12"/>
      <c r="BGI52" s="12"/>
      <c r="BGJ52" s="12"/>
      <c r="BGK52" s="12"/>
      <c r="BGL52" s="12"/>
      <c r="BGM52" s="12"/>
      <c r="BGN52" s="12"/>
      <c r="BGO52" s="12"/>
      <c r="BGP52" s="12"/>
      <c r="BGQ52" s="12"/>
      <c r="BGR52" s="12"/>
      <c r="BGS52" s="12"/>
      <c r="BGT52" s="12"/>
      <c r="BGU52" s="12"/>
      <c r="BGV52" s="12"/>
      <c r="BGW52" s="12"/>
      <c r="BGX52" s="12"/>
      <c r="BGY52" s="12"/>
      <c r="BGZ52" s="12"/>
      <c r="BHA52" s="12"/>
      <c r="BHB52" s="12"/>
      <c r="BHC52" s="12"/>
      <c r="BHD52" s="12"/>
      <c r="BHE52" s="12"/>
      <c r="BHF52" s="12"/>
      <c r="BHG52" s="12"/>
      <c r="BHH52" s="12"/>
      <c r="BHI52" s="12"/>
      <c r="BHJ52" s="12"/>
      <c r="BHK52" s="12"/>
      <c r="BHL52" s="12"/>
      <c r="BHM52" s="12"/>
      <c r="BHN52" s="12"/>
      <c r="BHO52" s="12"/>
      <c r="BHP52" s="12"/>
      <c r="BHQ52" s="12"/>
      <c r="BHR52" s="12"/>
      <c r="BHS52" s="12"/>
      <c r="BHT52" s="12"/>
      <c r="BHU52" s="12"/>
      <c r="BHV52" s="12"/>
      <c r="BHW52" s="12"/>
      <c r="BHX52" s="12"/>
      <c r="BHY52" s="12"/>
      <c r="BHZ52" s="12"/>
      <c r="BIA52" s="12"/>
      <c r="BIB52" s="12"/>
      <c r="BIC52" s="12"/>
      <c r="BID52" s="12"/>
      <c r="BIE52" s="12"/>
      <c r="BIF52" s="12"/>
      <c r="BIG52" s="12"/>
      <c r="BIH52" s="12"/>
      <c r="BII52" s="12"/>
      <c r="BIJ52" s="12"/>
      <c r="BIK52" s="12"/>
      <c r="BIL52" s="12"/>
      <c r="BIM52" s="12"/>
      <c r="BIN52" s="12"/>
      <c r="BIO52" s="12"/>
      <c r="BIP52" s="12"/>
      <c r="BIQ52" s="12"/>
      <c r="BIR52" s="12"/>
      <c r="BIS52" s="12"/>
      <c r="BIT52" s="12"/>
      <c r="BIU52" s="12"/>
      <c r="BIV52" s="12"/>
      <c r="BIW52" s="12"/>
      <c r="BIX52" s="12"/>
      <c r="BIY52" s="12"/>
      <c r="BIZ52" s="12"/>
      <c r="BJA52" s="12"/>
      <c r="BJB52" s="12"/>
      <c r="BJC52" s="12"/>
      <c r="BJD52" s="12"/>
      <c r="BJE52" s="12"/>
      <c r="BJF52" s="12"/>
      <c r="BJG52" s="12"/>
      <c r="BJH52" s="12"/>
      <c r="BJI52" s="12"/>
      <c r="BJJ52" s="12"/>
      <c r="BJK52" s="12"/>
      <c r="BJL52" s="12"/>
      <c r="BJM52" s="12"/>
      <c r="BJN52" s="12"/>
      <c r="BJO52" s="12"/>
      <c r="BJP52" s="12"/>
      <c r="BJQ52" s="12"/>
      <c r="BJR52" s="12"/>
      <c r="BJS52" s="12"/>
      <c r="BJT52" s="12"/>
      <c r="BJU52" s="12"/>
      <c r="BJV52" s="12"/>
      <c r="BJW52" s="12"/>
      <c r="BJX52" s="12"/>
      <c r="BJY52" s="12"/>
      <c r="BJZ52" s="12"/>
      <c r="BKA52" s="12"/>
      <c r="BKB52" s="12"/>
      <c r="BKC52" s="12"/>
      <c r="BKD52" s="12"/>
      <c r="BKE52" s="12"/>
      <c r="BKF52" s="12"/>
      <c r="BKG52" s="12"/>
      <c r="BKH52" s="12"/>
      <c r="BKI52" s="12"/>
      <c r="BKJ52" s="12"/>
      <c r="BKK52" s="12"/>
      <c r="BKL52" s="12"/>
      <c r="BKM52" s="12"/>
      <c r="BKN52" s="12"/>
      <c r="BKO52" s="12"/>
      <c r="BKP52" s="12"/>
      <c r="BKQ52" s="12"/>
      <c r="BKR52" s="12"/>
      <c r="BKS52" s="12"/>
      <c r="BKT52" s="12"/>
      <c r="BKU52" s="12"/>
      <c r="BKV52" s="12"/>
      <c r="BKW52" s="12"/>
      <c r="BKX52" s="12"/>
      <c r="BKY52" s="12"/>
      <c r="BKZ52" s="12"/>
      <c r="BLA52" s="12"/>
      <c r="BLB52" s="12"/>
      <c r="BLC52" s="12"/>
      <c r="BLD52" s="12"/>
      <c r="BLE52" s="12"/>
      <c r="BLF52" s="12"/>
      <c r="BLG52" s="12"/>
      <c r="BLH52" s="12"/>
      <c r="BLI52" s="12"/>
      <c r="BLJ52" s="12"/>
      <c r="BLK52" s="12"/>
      <c r="BLL52" s="12"/>
      <c r="BLM52" s="12"/>
      <c r="BLN52" s="12"/>
      <c r="BLO52" s="12"/>
      <c r="BLP52" s="12"/>
      <c r="BLQ52" s="12"/>
      <c r="BLR52" s="12"/>
      <c r="BLS52" s="12"/>
      <c r="BLT52" s="12"/>
      <c r="BLU52" s="12"/>
      <c r="BLV52" s="12"/>
      <c r="BLW52" s="12"/>
      <c r="BLX52" s="12"/>
      <c r="BLY52" s="12"/>
      <c r="BLZ52" s="12"/>
      <c r="BMA52" s="12"/>
      <c r="BMB52" s="12"/>
      <c r="BMC52" s="12"/>
      <c r="BMD52" s="12"/>
      <c r="BME52" s="12"/>
      <c r="BMF52" s="12"/>
      <c r="BMG52" s="12"/>
      <c r="BMH52" s="12"/>
      <c r="BMI52" s="12"/>
      <c r="BMJ52" s="12"/>
      <c r="BMK52" s="12"/>
      <c r="BML52" s="12"/>
      <c r="BMM52" s="12"/>
      <c r="BMN52" s="12"/>
      <c r="BMO52" s="12"/>
      <c r="BMP52" s="12"/>
      <c r="BMQ52" s="12"/>
      <c r="BMR52" s="12"/>
      <c r="BMS52" s="12"/>
      <c r="BMT52" s="12"/>
      <c r="BMU52" s="12"/>
      <c r="BMV52" s="12"/>
      <c r="BMW52" s="12"/>
      <c r="BMX52" s="12"/>
      <c r="BMY52" s="12"/>
      <c r="BMZ52" s="12"/>
      <c r="BNA52" s="12"/>
      <c r="BNB52" s="12"/>
      <c r="BNC52" s="12"/>
      <c r="BND52" s="12"/>
      <c r="BNE52" s="12"/>
      <c r="BNF52" s="12"/>
      <c r="BNG52" s="12"/>
      <c r="BNH52" s="12"/>
      <c r="BNI52" s="12"/>
      <c r="BNJ52" s="12"/>
      <c r="BNK52" s="12"/>
      <c r="BNL52" s="12"/>
      <c r="BNM52" s="12"/>
      <c r="BNN52" s="12"/>
      <c r="BNO52" s="12"/>
      <c r="BNP52" s="12"/>
      <c r="BNQ52" s="12"/>
      <c r="BNR52" s="12"/>
      <c r="BNS52" s="12"/>
      <c r="BNT52" s="12"/>
      <c r="BNU52" s="12"/>
      <c r="BNV52" s="12"/>
      <c r="BNW52" s="12"/>
      <c r="BNX52" s="12"/>
      <c r="BNY52" s="12"/>
      <c r="BNZ52" s="12"/>
      <c r="BOA52" s="12"/>
      <c r="BOB52" s="12"/>
      <c r="BOC52" s="12"/>
      <c r="BOD52" s="12"/>
      <c r="BOE52" s="12"/>
      <c r="BOF52" s="12"/>
      <c r="BOG52" s="12"/>
      <c r="BOH52" s="12"/>
      <c r="BOI52" s="12"/>
      <c r="BOJ52" s="12"/>
      <c r="BOK52" s="12"/>
      <c r="BOL52" s="12"/>
      <c r="BOM52" s="12"/>
      <c r="BON52" s="12"/>
      <c r="BOO52" s="12"/>
      <c r="BOP52" s="12"/>
      <c r="BOQ52" s="12"/>
      <c r="BOR52" s="12"/>
      <c r="BOS52" s="12"/>
      <c r="BOT52" s="12"/>
      <c r="BOU52" s="12"/>
      <c r="BOV52" s="12"/>
      <c r="BOW52" s="12"/>
      <c r="BOX52" s="12"/>
      <c r="BOY52" s="12"/>
      <c r="BOZ52" s="12"/>
      <c r="BPA52" s="12"/>
      <c r="BPB52" s="12"/>
      <c r="BPC52" s="12"/>
      <c r="BPD52" s="12"/>
      <c r="BPE52" s="12"/>
      <c r="BPF52" s="12"/>
      <c r="BPG52" s="12"/>
      <c r="BPH52" s="12"/>
      <c r="BPI52" s="12"/>
      <c r="BPJ52" s="12"/>
      <c r="BPK52" s="12"/>
      <c r="BPL52" s="12"/>
      <c r="BPM52" s="12"/>
      <c r="BPN52" s="12"/>
      <c r="BPO52" s="12"/>
      <c r="BPP52" s="12"/>
      <c r="BPQ52" s="12"/>
      <c r="BPR52" s="12"/>
      <c r="BPS52" s="12"/>
      <c r="BPT52" s="12"/>
      <c r="BPU52" s="12"/>
      <c r="BPV52" s="12"/>
      <c r="BPW52" s="12"/>
      <c r="BPX52" s="12"/>
      <c r="BPY52" s="12"/>
      <c r="BPZ52" s="12"/>
      <c r="BQA52" s="12"/>
      <c r="BQB52" s="12"/>
      <c r="BQC52" s="12"/>
      <c r="BQD52" s="12"/>
      <c r="BQE52" s="12"/>
      <c r="BQF52" s="12"/>
      <c r="BQG52" s="12"/>
      <c r="BQH52" s="12"/>
      <c r="BQI52" s="12"/>
      <c r="BQJ52" s="12"/>
      <c r="BQK52" s="12"/>
      <c r="BQL52" s="12"/>
      <c r="BQM52" s="12"/>
      <c r="BQN52" s="12"/>
      <c r="BQO52" s="12"/>
      <c r="BQP52" s="12"/>
      <c r="BQQ52" s="12"/>
      <c r="BQR52" s="12"/>
      <c r="BQS52" s="12"/>
      <c r="BQT52" s="12"/>
      <c r="BQU52" s="12"/>
      <c r="BQV52" s="12"/>
      <c r="BQW52" s="12"/>
      <c r="BQX52" s="12"/>
      <c r="BQY52" s="12"/>
      <c r="BQZ52" s="12"/>
      <c r="BRA52" s="12"/>
      <c r="BRB52" s="12"/>
      <c r="BRC52" s="12"/>
      <c r="BRD52" s="12"/>
      <c r="BRE52" s="12"/>
      <c r="BRF52" s="12"/>
      <c r="BRG52" s="12"/>
      <c r="BRH52" s="12"/>
      <c r="BRI52" s="12"/>
      <c r="BRJ52" s="12"/>
      <c r="BRK52" s="12"/>
      <c r="BRL52" s="12"/>
      <c r="BRM52" s="12"/>
      <c r="BRN52" s="12"/>
      <c r="BRO52" s="12"/>
      <c r="BRP52" s="12"/>
      <c r="BRQ52" s="12"/>
      <c r="BRR52" s="12"/>
      <c r="BRS52" s="12"/>
      <c r="BRT52" s="12"/>
      <c r="BRU52" s="12"/>
      <c r="BRV52" s="12"/>
      <c r="BRW52" s="12"/>
      <c r="BRX52" s="12"/>
      <c r="BRY52" s="12"/>
      <c r="BRZ52" s="12"/>
      <c r="BSA52" s="12"/>
      <c r="BSB52" s="12"/>
      <c r="BSC52" s="12"/>
      <c r="BSD52" s="12"/>
      <c r="BSE52" s="12"/>
      <c r="BSF52" s="12"/>
      <c r="BSG52" s="12"/>
      <c r="BSH52" s="12"/>
      <c r="BSI52" s="12"/>
      <c r="BSJ52" s="12"/>
      <c r="BSK52" s="12"/>
      <c r="BSL52" s="12"/>
      <c r="BSM52" s="12"/>
      <c r="BSN52" s="12"/>
      <c r="BSO52" s="12"/>
      <c r="BSP52" s="12"/>
      <c r="BSQ52" s="12"/>
      <c r="BSR52" s="12"/>
      <c r="BSS52" s="12"/>
      <c r="BST52" s="12"/>
      <c r="BSU52" s="12"/>
      <c r="BSV52" s="12"/>
      <c r="BSW52" s="12"/>
      <c r="BSX52" s="12"/>
      <c r="BSY52" s="12"/>
      <c r="BSZ52" s="12"/>
      <c r="BTA52" s="12"/>
      <c r="BTB52" s="12"/>
      <c r="BTC52" s="12"/>
      <c r="BTD52" s="12"/>
      <c r="BTE52" s="12"/>
      <c r="BTF52" s="12"/>
      <c r="BTG52" s="12"/>
      <c r="BTH52" s="12"/>
      <c r="BTI52" s="12"/>
      <c r="BTJ52" s="12"/>
      <c r="BTK52" s="12"/>
      <c r="BTL52" s="12"/>
      <c r="BTM52" s="12"/>
      <c r="BTN52" s="12"/>
      <c r="BTO52" s="12"/>
      <c r="BTP52" s="12"/>
      <c r="BTQ52" s="12"/>
      <c r="BTR52" s="12"/>
      <c r="BTS52" s="12"/>
      <c r="BTT52" s="12"/>
      <c r="BTU52" s="12"/>
      <c r="BTV52" s="12"/>
      <c r="BTW52" s="12"/>
      <c r="BTX52" s="12"/>
      <c r="BTY52" s="12"/>
      <c r="BTZ52" s="12"/>
      <c r="BUA52" s="12"/>
      <c r="BUB52" s="12"/>
      <c r="BUC52" s="12"/>
      <c r="BUD52" s="12"/>
      <c r="BUE52" s="12"/>
      <c r="BUF52" s="12"/>
      <c r="BUG52" s="12"/>
      <c r="BUH52" s="12"/>
      <c r="BUI52" s="12"/>
      <c r="BUJ52" s="12"/>
      <c r="BUK52" s="12"/>
      <c r="BUL52" s="12"/>
      <c r="BUM52" s="12"/>
      <c r="BUN52" s="12"/>
      <c r="BUO52" s="12"/>
      <c r="BUP52" s="12"/>
      <c r="BUQ52" s="12"/>
      <c r="BUR52" s="12"/>
      <c r="BUS52" s="12"/>
      <c r="BUT52" s="12"/>
      <c r="BUU52" s="12"/>
      <c r="BUV52" s="12"/>
      <c r="BUW52" s="12"/>
      <c r="BUX52" s="12"/>
      <c r="BUY52" s="12"/>
      <c r="BUZ52" s="12"/>
      <c r="BVA52" s="12"/>
      <c r="BVB52" s="12"/>
      <c r="BVC52" s="12"/>
      <c r="BVD52" s="12"/>
      <c r="BVE52" s="12"/>
      <c r="BVF52" s="12"/>
      <c r="BVG52" s="12"/>
      <c r="BVH52" s="12"/>
      <c r="BVI52" s="12"/>
      <c r="BVJ52" s="12"/>
      <c r="BVK52" s="12"/>
      <c r="BVL52" s="12"/>
      <c r="BVM52" s="12"/>
      <c r="BVN52" s="12"/>
      <c r="BVO52" s="12"/>
      <c r="BVP52" s="12"/>
      <c r="BVQ52" s="12"/>
      <c r="BVR52" s="12"/>
      <c r="BVS52" s="12"/>
      <c r="BVT52" s="12"/>
      <c r="BVU52" s="12"/>
      <c r="BVV52" s="12"/>
      <c r="BVW52" s="12"/>
      <c r="BVX52" s="12"/>
      <c r="BVY52" s="12"/>
      <c r="BVZ52" s="12"/>
      <c r="BWA52" s="12"/>
      <c r="BWB52" s="12"/>
      <c r="BWC52" s="12"/>
      <c r="BWD52" s="12"/>
      <c r="BWE52" s="12"/>
      <c r="BWF52" s="12"/>
      <c r="BWG52" s="12"/>
      <c r="BWH52" s="12"/>
      <c r="BWI52" s="12"/>
      <c r="BWJ52" s="12"/>
      <c r="BWK52" s="12"/>
      <c r="BWL52" s="12"/>
      <c r="BWM52" s="12"/>
      <c r="BWN52" s="12"/>
      <c r="BWO52" s="12"/>
      <c r="BWP52" s="12"/>
      <c r="BWQ52" s="12"/>
      <c r="BWR52" s="12"/>
      <c r="BWS52" s="12"/>
      <c r="BWT52" s="12"/>
      <c r="BWU52" s="12"/>
      <c r="BWV52" s="12"/>
      <c r="BWW52" s="12"/>
      <c r="BWX52" s="12"/>
      <c r="BWY52" s="12"/>
      <c r="BWZ52" s="12"/>
      <c r="BXA52" s="12"/>
      <c r="BXB52" s="12"/>
      <c r="BXC52" s="12"/>
      <c r="BXD52" s="12"/>
      <c r="BXE52" s="12"/>
      <c r="BXF52" s="12"/>
      <c r="BXG52" s="12"/>
      <c r="BXH52" s="12"/>
      <c r="BXI52" s="12"/>
      <c r="BXJ52" s="12"/>
      <c r="BXK52" s="12"/>
      <c r="BXL52" s="12"/>
      <c r="BXM52" s="12"/>
      <c r="BXN52" s="12"/>
      <c r="BXO52" s="12"/>
      <c r="BXP52" s="12"/>
      <c r="BXQ52" s="12"/>
      <c r="BXR52" s="12"/>
      <c r="BXS52" s="12"/>
      <c r="BXT52" s="12"/>
      <c r="BXU52" s="12"/>
      <c r="BXV52" s="12"/>
      <c r="BXW52" s="12"/>
      <c r="BXX52" s="12"/>
      <c r="BXY52" s="12"/>
      <c r="BXZ52" s="12"/>
      <c r="BYA52" s="12"/>
      <c r="BYB52" s="12"/>
      <c r="BYC52" s="12"/>
      <c r="BYD52" s="12"/>
      <c r="BYE52" s="12"/>
      <c r="BYF52" s="12"/>
      <c r="BYG52" s="12"/>
      <c r="BYH52" s="12"/>
      <c r="BYI52" s="12"/>
      <c r="BYJ52" s="12"/>
      <c r="BYK52" s="12"/>
      <c r="BYL52" s="12"/>
      <c r="BYM52" s="12"/>
      <c r="BYN52" s="12"/>
      <c r="BYO52" s="12"/>
      <c r="BYP52" s="12"/>
      <c r="BYQ52" s="12"/>
      <c r="BYR52" s="12"/>
      <c r="BYS52" s="12"/>
      <c r="BYT52" s="12"/>
      <c r="BYU52" s="12"/>
      <c r="BYV52" s="12"/>
      <c r="BYW52" s="12"/>
      <c r="BYX52" s="12"/>
      <c r="BYY52" s="12"/>
      <c r="BYZ52" s="12"/>
      <c r="BZA52" s="12"/>
      <c r="BZB52" s="12"/>
      <c r="BZC52" s="12"/>
      <c r="BZD52" s="12"/>
      <c r="BZE52" s="12"/>
      <c r="BZF52" s="12"/>
      <c r="BZG52" s="12"/>
      <c r="BZH52" s="12"/>
      <c r="BZI52" s="12"/>
      <c r="BZJ52" s="12"/>
      <c r="BZK52" s="12"/>
      <c r="BZL52" s="12"/>
      <c r="BZM52" s="12"/>
      <c r="BZN52" s="12"/>
      <c r="BZO52" s="12"/>
      <c r="BZP52" s="12"/>
      <c r="BZQ52" s="12"/>
      <c r="BZR52" s="12"/>
      <c r="BZS52" s="12"/>
      <c r="BZT52" s="12"/>
      <c r="BZU52" s="12"/>
      <c r="BZV52" s="12"/>
      <c r="BZW52" s="12"/>
      <c r="BZX52" s="12"/>
      <c r="BZY52" s="12"/>
      <c r="BZZ52" s="12"/>
      <c r="CAA52" s="12"/>
      <c r="CAB52" s="12"/>
      <c r="CAC52" s="12"/>
      <c r="CAD52" s="12"/>
      <c r="CAE52" s="12"/>
      <c r="CAF52" s="12"/>
      <c r="CAG52" s="12"/>
      <c r="CAH52" s="12"/>
      <c r="CAI52" s="12"/>
      <c r="CAJ52" s="12"/>
      <c r="CAK52" s="12"/>
      <c r="CAL52" s="12"/>
      <c r="CAM52" s="12"/>
      <c r="CAN52" s="12"/>
      <c r="CAO52" s="12"/>
      <c r="CAP52" s="12"/>
      <c r="CAQ52" s="12"/>
      <c r="CAR52" s="12"/>
      <c r="CAS52" s="12"/>
      <c r="CAT52" s="12"/>
      <c r="CAU52" s="12"/>
      <c r="CAV52" s="12"/>
      <c r="CAW52" s="12"/>
      <c r="CAX52" s="12"/>
      <c r="CAY52" s="12"/>
      <c r="CAZ52" s="12"/>
      <c r="CBA52" s="12"/>
      <c r="CBB52" s="12"/>
      <c r="CBC52" s="12"/>
      <c r="CBD52" s="12"/>
      <c r="CBE52" s="12"/>
      <c r="CBF52" s="12"/>
      <c r="CBG52" s="12"/>
      <c r="CBH52" s="12"/>
      <c r="CBI52" s="12"/>
      <c r="CBJ52" s="12"/>
      <c r="CBK52" s="12"/>
      <c r="CBL52" s="12"/>
      <c r="CBM52" s="12"/>
      <c r="CBN52" s="12"/>
      <c r="CBO52" s="12"/>
      <c r="CBP52" s="12"/>
      <c r="CBQ52" s="12"/>
      <c r="CBR52" s="12"/>
      <c r="CBS52" s="12"/>
      <c r="CBT52" s="12"/>
      <c r="CBU52" s="12"/>
      <c r="CBV52" s="12"/>
      <c r="CBW52" s="12"/>
      <c r="CBX52" s="12"/>
      <c r="CBY52" s="12"/>
      <c r="CBZ52" s="12"/>
      <c r="CCA52" s="12"/>
      <c r="CCB52" s="12"/>
      <c r="CCC52" s="12"/>
      <c r="CCD52" s="12"/>
      <c r="CCE52" s="12"/>
      <c r="CCF52" s="12"/>
      <c r="CCG52" s="12"/>
      <c r="CCH52" s="12"/>
      <c r="CCI52" s="12"/>
      <c r="CCJ52" s="12"/>
      <c r="CCK52" s="12"/>
      <c r="CCL52" s="12"/>
      <c r="CCM52" s="12"/>
      <c r="CCN52" s="12"/>
      <c r="CCO52" s="12"/>
      <c r="CCP52" s="12"/>
      <c r="CCQ52" s="12"/>
      <c r="CCR52" s="12"/>
      <c r="CCS52" s="12"/>
      <c r="CCT52" s="12"/>
      <c r="CCU52" s="12"/>
      <c r="CCV52" s="12"/>
      <c r="CCW52" s="12"/>
      <c r="CCX52" s="12"/>
      <c r="CCY52" s="12"/>
      <c r="CCZ52" s="12"/>
      <c r="CDA52" s="12"/>
      <c r="CDB52" s="12"/>
      <c r="CDC52" s="12"/>
      <c r="CDD52" s="12"/>
      <c r="CDE52" s="12"/>
      <c r="CDF52" s="12"/>
      <c r="CDG52" s="12"/>
      <c r="CDH52" s="12"/>
      <c r="CDI52" s="12"/>
      <c r="CDJ52" s="12"/>
      <c r="CDK52" s="12"/>
      <c r="CDL52" s="12"/>
      <c r="CDM52" s="12"/>
      <c r="CDN52" s="12"/>
      <c r="CDO52" s="12"/>
      <c r="CDP52" s="12"/>
      <c r="CDQ52" s="12"/>
      <c r="CDR52" s="12"/>
      <c r="CDS52" s="12"/>
      <c r="CDT52" s="12"/>
      <c r="CDU52" s="12"/>
      <c r="CDV52" s="12"/>
      <c r="CDW52" s="12"/>
      <c r="CDX52" s="12"/>
      <c r="CDY52" s="12"/>
      <c r="CDZ52" s="12"/>
      <c r="CEA52" s="12"/>
      <c r="CEB52" s="12"/>
      <c r="CEC52" s="12"/>
      <c r="CED52" s="12"/>
      <c r="CEE52" s="12"/>
      <c r="CEF52" s="12"/>
      <c r="CEG52" s="12"/>
      <c r="CEH52" s="12"/>
      <c r="CEI52" s="12"/>
      <c r="CEJ52" s="12"/>
      <c r="CEK52" s="12"/>
      <c r="CEL52" s="12"/>
      <c r="CEM52" s="12"/>
      <c r="CEN52" s="12"/>
      <c r="CEO52" s="12"/>
      <c r="CEP52" s="12"/>
      <c r="CEQ52" s="12"/>
      <c r="CER52" s="12"/>
      <c r="CES52" s="12"/>
      <c r="CET52" s="12"/>
      <c r="CEU52" s="12"/>
      <c r="CEV52" s="12"/>
      <c r="CEW52" s="12"/>
      <c r="CEX52" s="12"/>
      <c r="CEY52" s="12"/>
      <c r="CEZ52" s="12"/>
      <c r="CFA52" s="12"/>
      <c r="CFB52" s="12"/>
      <c r="CFC52" s="12"/>
      <c r="CFD52" s="12"/>
      <c r="CFE52" s="12"/>
      <c r="CFF52" s="12"/>
      <c r="CFG52" s="12"/>
      <c r="CFH52" s="12"/>
      <c r="CFI52" s="12"/>
      <c r="CFJ52" s="12"/>
      <c r="CFK52" s="12"/>
      <c r="CFL52" s="12"/>
      <c r="CFM52" s="12"/>
      <c r="CFN52" s="12"/>
      <c r="CFO52" s="12"/>
      <c r="CFP52" s="12"/>
      <c r="CFQ52" s="12"/>
      <c r="CFR52" s="12"/>
      <c r="CFS52" s="12"/>
      <c r="CFT52" s="12"/>
      <c r="CFU52" s="12"/>
      <c r="CFV52" s="12"/>
      <c r="CFW52" s="12"/>
      <c r="CFX52" s="12"/>
      <c r="CFY52" s="12"/>
      <c r="CFZ52" s="12"/>
      <c r="CGA52" s="12"/>
      <c r="CGB52" s="12"/>
      <c r="CGC52" s="12"/>
      <c r="CGD52" s="12"/>
      <c r="CGE52" s="12"/>
      <c r="CGF52" s="12"/>
      <c r="CGG52" s="12"/>
      <c r="CGH52" s="12"/>
      <c r="CGI52" s="12"/>
      <c r="CGJ52" s="12"/>
      <c r="CGK52" s="12"/>
      <c r="CGL52" s="12"/>
      <c r="CGM52" s="12"/>
      <c r="CGN52" s="12"/>
      <c r="CGO52" s="12"/>
      <c r="CGP52" s="12"/>
      <c r="CGQ52" s="12"/>
      <c r="CGR52" s="12"/>
      <c r="CGS52" s="12"/>
      <c r="CGT52" s="12"/>
      <c r="CGU52" s="12"/>
      <c r="CGV52" s="12"/>
      <c r="CGW52" s="12"/>
      <c r="CGX52" s="12"/>
      <c r="CGY52" s="12"/>
      <c r="CGZ52" s="12"/>
      <c r="CHA52" s="12"/>
      <c r="CHB52" s="12"/>
      <c r="CHC52" s="12"/>
      <c r="CHD52" s="12"/>
      <c r="CHE52" s="12"/>
      <c r="CHF52" s="12"/>
      <c r="CHG52" s="12"/>
      <c r="CHH52" s="12"/>
      <c r="CHI52" s="12"/>
      <c r="CHJ52" s="12"/>
      <c r="CHK52" s="12"/>
      <c r="CHL52" s="12"/>
      <c r="CHM52" s="12"/>
      <c r="CHN52" s="12"/>
      <c r="CHO52" s="12"/>
      <c r="CHP52" s="12"/>
      <c r="CHQ52" s="12"/>
      <c r="CHR52" s="12"/>
      <c r="CHS52" s="12"/>
      <c r="CHT52" s="12"/>
      <c r="CHU52" s="12"/>
      <c r="CHV52" s="12"/>
      <c r="CHW52" s="12"/>
      <c r="CHX52" s="12"/>
      <c r="CHY52" s="12"/>
      <c r="CHZ52" s="12"/>
      <c r="CIA52" s="12"/>
      <c r="CIB52" s="12"/>
      <c r="CIC52" s="12"/>
      <c r="CID52" s="12"/>
      <c r="CIE52" s="12"/>
      <c r="CIF52" s="12"/>
      <c r="CIG52" s="12"/>
      <c r="CIH52" s="12"/>
      <c r="CII52" s="12"/>
      <c r="CIJ52" s="12"/>
      <c r="CIK52" s="12"/>
      <c r="CIL52" s="12"/>
      <c r="CIM52" s="12"/>
      <c r="CIN52" s="12"/>
      <c r="CIO52" s="12"/>
      <c r="CIP52" s="12"/>
      <c r="CIQ52" s="12"/>
      <c r="CIR52" s="12"/>
      <c r="CIS52" s="12"/>
      <c r="CIT52" s="12"/>
      <c r="CIU52" s="12"/>
      <c r="CIV52" s="12"/>
      <c r="CIW52" s="12"/>
      <c r="CIX52" s="12"/>
      <c r="CIY52" s="12"/>
      <c r="CIZ52" s="12"/>
      <c r="CJA52" s="12"/>
      <c r="CJB52" s="12"/>
      <c r="CJC52" s="12"/>
      <c r="CJD52" s="12"/>
      <c r="CJE52" s="12"/>
      <c r="CJF52" s="12"/>
      <c r="CJG52" s="12"/>
      <c r="CJH52" s="12"/>
      <c r="CJI52" s="12"/>
      <c r="CJJ52" s="12"/>
      <c r="CJK52" s="12"/>
      <c r="CJL52" s="12"/>
      <c r="CJM52" s="12"/>
      <c r="CJN52" s="12"/>
      <c r="CJO52" s="12"/>
      <c r="CJP52" s="12"/>
      <c r="CJQ52" s="12"/>
      <c r="CJR52" s="12"/>
      <c r="CJS52" s="12"/>
      <c r="CJT52" s="12"/>
      <c r="CJU52" s="12"/>
      <c r="CJV52" s="12"/>
      <c r="CJW52" s="12"/>
      <c r="CJX52" s="12"/>
      <c r="CJY52" s="12"/>
      <c r="CJZ52" s="12"/>
      <c r="CKA52" s="12"/>
      <c r="CKB52" s="12"/>
      <c r="CKC52" s="12"/>
      <c r="CKD52" s="12"/>
      <c r="CKE52" s="12"/>
      <c r="CKF52" s="12"/>
      <c r="CKG52" s="12"/>
      <c r="CKH52" s="12"/>
      <c r="CKI52" s="12"/>
      <c r="CKJ52" s="12"/>
      <c r="CKK52" s="12"/>
      <c r="CKL52" s="12"/>
      <c r="CKM52" s="12"/>
      <c r="CKN52" s="12"/>
      <c r="CKO52" s="12"/>
      <c r="CKP52" s="12"/>
      <c r="CKQ52" s="12"/>
      <c r="CKR52" s="12"/>
      <c r="CKS52" s="12"/>
      <c r="CKT52" s="12"/>
      <c r="CKU52" s="12"/>
      <c r="CKV52" s="12"/>
      <c r="CKW52" s="12"/>
      <c r="CKX52" s="12"/>
      <c r="CKY52" s="12"/>
      <c r="CKZ52" s="12"/>
      <c r="CLA52" s="12"/>
      <c r="CLB52" s="12"/>
      <c r="CLC52" s="12"/>
      <c r="CLD52" s="12"/>
      <c r="CLE52" s="12"/>
      <c r="CLF52" s="12"/>
      <c r="CLG52" s="12"/>
      <c r="CLH52" s="12"/>
      <c r="CLI52" s="12"/>
      <c r="CLJ52" s="12"/>
      <c r="CLK52" s="12"/>
      <c r="CLL52" s="12"/>
      <c r="CLM52" s="12"/>
      <c r="CLN52" s="12"/>
      <c r="CLO52" s="12"/>
      <c r="CLP52" s="12"/>
      <c r="CLQ52" s="12"/>
      <c r="CLR52" s="12"/>
      <c r="CLS52" s="12"/>
      <c r="CLT52" s="12"/>
      <c r="CLU52" s="12"/>
      <c r="CLV52" s="12"/>
      <c r="CLW52" s="12"/>
      <c r="CLX52" s="12"/>
      <c r="CLY52" s="12"/>
      <c r="CLZ52" s="12"/>
      <c r="CMA52" s="12"/>
      <c r="CMB52" s="12"/>
      <c r="CMC52" s="12"/>
      <c r="CMD52" s="12"/>
      <c r="CME52" s="12"/>
      <c r="CMF52" s="12"/>
      <c r="CMG52" s="12"/>
      <c r="CMH52" s="12"/>
      <c r="CMI52" s="12"/>
      <c r="CMJ52" s="12"/>
      <c r="CMK52" s="12"/>
      <c r="CML52" s="12"/>
      <c r="CMM52" s="12"/>
      <c r="CMN52" s="12"/>
      <c r="CMO52" s="12"/>
      <c r="CMP52" s="12"/>
      <c r="CMQ52" s="12"/>
      <c r="CMR52" s="12"/>
      <c r="CMS52" s="12"/>
      <c r="CMT52" s="12"/>
      <c r="CMU52" s="12"/>
      <c r="CMV52" s="12"/>
      <c r="CMW52" s="12"/>
      <c r="CMX52" s="12"/>
      <c r="CMY52" s="12"/>
      <c r="CMZ52" s="12"/>
      <c r="CNA52" s="12"/>
      <c r="CNB52" s="12"/>
      <c r="CNC52" s="12"/>
      <c r="CND52" s="12"/>
      <c r="CNE52" s="12"/>
      <c r="CNF52" s="12"/>
      <c r="CNG52" s="12"/>
      <c r="CNH52" s="12"/>
      <c r="CNI52" s="12"/>
      <c r="CNJ52" s="12"/>
      <c r="CNK52" s="12"/>
      <c r="CNL52" s="12"/>
      <c r="CNM52" s="12"/>
      <c r="CNN52" s="12"/>
      <c r="CNO52" s="12"/>
      <c r="CNP52" s="12"/>
      <c r="CNQ52" s="12"/>
      <c r="CNR52" s="12"/>
      <c r="CNS52" s="12"/>
      <c r="CNT52" s="12"/>
      <c r="CNU52" s="12"/>
      <c r="CNV52" s="12"/>
      <c r="CNW52" s="12"/>
      <c r="CNX52" s="12"/>
      <c r="CNY52" s="12"/>
      <c r="CNZ52" s="12"/>
      <c r="COA52" s="12"/>
      <c r="COB52" s="12"/>
      <c r="COC52" s="12"/>
      <c r="COD52" s="12"/>
      <c r="COE52" s="12"/>
      <c r="COF52" s="12"/>
      <c r="COG52" s="12"/>
      <c r="COH52" s="12"/>
      <c r="COI52" s="12"/>
      <c r="COJ52" s="12"/>
      <c r="COK52" s="12"/>
      <c r="COL52" s="12"/>
      <c r="COM52" s="12"/>
      <c r="CON52" s="12"/>
      <c r="COO52" s="12"/>
      <c r="COP52" s="12"/>
      <c r="COQ52" s="12"/>
      <c r="COR52" s="12"/>
      <c r="COS52" s="12"/>
      <c r="COT52" s="12"/>
      <c r="COU52" s="12"/>
      <c r="COV52" s="12"/>
      <c r="COW52" s="12"/>
      <c r="COX52" s="12"/>
      <c r="COY52" s="12"/>
      <c r="COZ52" s="12"/>
      <c r="CPA52" s="12"/>
      <c r="CPB52" s="12"/>
      <c r="CPC52" s="12"/>
      <c r="CPD52" s="12"/>
      <c r="CPE52" s="12"/>
      <c r="CPF52" s="12"/>
      <c r="CPG52" s="12"/>
      <c r="CPH52" s="12"/>
      <c r="CPI52" s="12"/>
      <c r="CPJ52" s="12"/>
      <c r="CPK52" s="12"/>
      <c r="CPL52" s="12"/>
      <c r="CPM52" s="12"/>
      <c r="CPN52" s="12"/>
      <c r="CPO52" s="12"/>
      <c r="CPP52" s="12"/>
      <c r="CPQ52" s="12"/>
      <c r="CPR52" s="12"/>
      <c r="CPS52" s="12"/>
      <c r="CPT52" s="12"/>
      <c r="CPU52" s="12"/>
      <c r="CPV52" s="12"/>
      <c r="CPW52" s="12"/>
      <c r="CPX52" s="12"/>
      <c r="CPY52" s="12"/>
      <c r="CPZ52" s="12"/>
      <c r="CQA52" s="12"/>
      <c r="CQB52" s="12"/>
      <c r="CQC52" s="12"/>
      <c r="CQD52" s="12"/>
      <c r="CQE52" s="12"/>
      <c r="CQF52" s="12"/>
      <c r="CQG52" s="12"/>
      <c r="CQH52" s="12"/>
      <c r="CQI52" s="12"/>
      <c r="CQJ52" s="12"/>
      <c r="CQK52" s="12"/>
      <c r="CQL52" s="12"/>
      <c r="CQM52" s="12"/>
      <c r="CQN52" s="12"/>
      <c r="CQO52" s="12"/>
      <c r="CQP52" s="12"/>
      <c r="CQQ52" s="12"/>
      <c r="CQR52" s="12"/>
      <c r="CQS52" s="12"/>
      <c r="CQT52" s="12"/>
      <c r="CQU52" s="12"/>
      <c r="CQV52" s="12"/>
      <c r="CQW52" s="12"/>
      <c r="CQX52" s="12"/>
      <c r="CQY52" s="12"/>
      <c r="CQZ52" s="12"/>
      <c r="CRA52" s="12"/>
      <c r="CRB52" s="12"/>
      <c r="CRC52" s="12"/>
      <c r="CRD52" s="12"/>
      <c r="CRE52" s="12"/>
      <c r="CRF52" s="12"/>
      <c r="CRG52" s="12"/>
      <c r="CRH52" s="12"/>
      <c r="CRI52" s="12"/>
      <c r="CRJ52" s="12"/>
      <c r="CRK52" s="12"/>
      <c r="CRL52" s="12"/>
      <c r="CRM52" s="12"/>
      <c r="CRN52" s="12"/>
      <c r="CRO52" s="12"/>
      <c r="CRP52" s="12"/>
      <c r="CRQ52" s="12"/>
      <c r="CRR52" s="12"/>
      <c r="CRS52" s="12"/>
      <c r="CRT52" s="12"/>
      <c r="CRU52" s="12"/>
      <c r="CRV52" s="12"/>
      <c r="CRW52" s="12"/>
      <c r="CRX52" s="12"/>
      <c r="CRY52" s="12"/>
      <c r="CRZ52" s="12"/>
      <c r="CSA52" s="12"/>
      <c r="CSB52" s="12"/>
      <c r="CSC52" s="12"/>
      <c r="CSD52" s="12"/>
      <c r="CSE52" s="12"/>
      <c r="CSF52" s="12"/>
      <c r="CSG52" s="12"/>
      <c r="CSH52" s="12"/>
      <c r="CSI52" s="12"/>
      <c r="CSJ52" s="12"/>
      <c r="CSK52" s="12"/>
      <c r="CSL52" s="12"/>
      <c r="CSM52" s="12"/>
      <c r="CSN52" s="12"/>
      <c r="CSO52" s="12"/>
      <c r="CSP52" s="12"/>
      <c r="CSQ52" s="12"/>
      <c r="CSR52" s="12"/>
      <c r="CSS52" s="12"/>
      <c r="CST52" s="12"/>
      <c r="CSU52" s="12"/>
      <c r="CSV52" s="12"/>
      <c r="CSW52" s="12"/>
      <c r="CSX52" s="12"/>
      <c r="CSY52" s="12"/>
      <c r="CSZ52" s="12"/>
      <c r="CTA52" s="12"/>
      <c r="CTB52" s="12"/>
      <c r="CTC52" s="12"/>
      <c r="CTD52" s="12"/>
      <c r="CTE52" s="12"/>
      <c r="CTF52" s="12"/>
      <c r="CTG52" s="12"/>
      <c r="CTH52" s="12"/>
      <c r="CTI52" s="12"/>
      <c r="CTJ52" s="12"/>
      <c r="CTK52" s="12"/>
      <c r="CTL52" s="12"/>
      <c r="CTM52" s="12"/>
      <c r="CTN52" s="12"/>
      <c r="CTO52" s="12"/>
      <c r="CTP52" s="12"/>
      <c r="CTQ52" s="12"/>
      <c r="CTR52" s="12"/>
      <c r="CTS52" s="12"/>
      <c r="CTT52" s="12"/>
      <c r="CTU52" s="12"/>
      <c r="CTV52" s="12"/>
      <c r="CTW52" s="12"/>
      <c r="CTX52" s="12"/>
      <c r="CTY52" s="12"/>
      <c r="CTZ52" s="12"/>
      <c r="CUA52" s="12"/>
      <c r="CUB52" s="12"/>
      <c r="CUC52" s="12"/>
      <c r="CUD52" s="12"/>
      <c r="CUE52" s="12"/>
      <c r="CUF52" s="12"/>
      <c r="CUG52" s="12"/>
      <c r="CUH52" s="12"/>
      <c r="CUI52" s="12"/>
      <c r="CUJ52" s="12"/>
      <c r="CUK52" s="12"/>
      <c r="CUL52" s="12"/>
      <c r="CUM52" s="12"/>
      <c r="CUN52" s="12"/>
      <c r="CUO52" s="12"/>
      <c r="CUP52" s="12"/>
      <c r="CUQ52" s="12"/>
      <c r="CUR52" s="12"/>
      <c r="CUS52" s="12"/>
      <c r="CUT52" s="12"/>
      <c r="CUU52" s="12"/>
      <c r="CUV52" s="12"/>
      <c r="CUW52" s="12"/>
      <c r="CUX52" s="12"/>
      <c r="CUY52" s="12"/>
      <c r="CUZ52" s="12"/>
      <c r="CVA52" s="12"/>
      <c r="CVB52" s="12"/>
      <c r="CVC52" s="12"/>
      <c r="CVD52" s="12"/>
      <c r="CVE52" s="12"/>
      <c r="CVF52" s="12"/>
      <c r="CVG52" s="12"/>
      <c r="CVH52" s="12"/>
      <c r="CVI52" s="12"/>
      <c r="CVJ52" s="12"/>
      <c r="CVK52" s="12"/>
      <c r="CVL52" s="12"/>
      <c r="CVM52" s="12"/>
      <c r="CVN52" s="12"/>
      <c r="CVO52" s="12"/>
      <c r="CVP52" s="12"/>
      <c r="CVQ52" s="12"/>
      <c r="CVR52" s="12"/>
      <c r="CVS52" s="12"/>
      <c r="CVT52" s="12"/>
      <c r="CVU52" s="12"/>
      <c r="CVV52" s="12"/>
      <c r="CVW52" s="12"/>
      <c r="CVX52" s="12"/>
      <c r="CVY52" s="12"/>
      <c r="CVZ52" s="12"/>
      <c r="CWA52" s="12"/>
      <c r="CWB52" s="12"/>
      <c r="CWC52" s="12"/>
      <c r="CWD52" s="12"/>
      <c r="CWE52" s="12"/>
      <c r="CWF52" s="12"/>
      <c r="CWG52" s="12"/>
      <c r="CWH52" s="12"/>
      <c r="CWI52" s="12"/>
      <c r="CWJ52" s="12"/>
      <c r="CWK52" s="12"/>
      <c r="CWL52" s="12"/>
      <c r="CWM52" s="12"/>
      <c r="CWN52" s="12"/>
      <c r="CWO52" s="12"/>
      <c r="CWP52" s="12"/>
      <c r="CWQ52" s="12"/>
      <c r="CWR52" s="12"/>
      <c r="CWS52" s="12"/>
      <c r="CWT52" s="12"/>
      <c r="CWU52" s="12"/>
      <c r="CWV52" s="12"/>
      <c r="CWW52" s="12"/>
      <c r="CWX52" s="12"/>
      <c r="CWY52" s="12"/>
      <c r="CWZ52" s="12"/>
      <c r="CXA52" s="12"/>
      <c r="CXB52" s="12"/>
      <c r="CXC52" s="12"/>
      <c r="CXD52" s="12"/>
      <c r="CXE52" s="12"/>
      <c r="CXF52" s="12"/>
      <c r="CXG52" s="12"/>
      <c r="CXH52" s="12"/>
      <c r="CXI52" s="12"/>
      <c r="CXJ52" s="12"/>
      <c r="CXK52" s="12"/>
      <c r="CXL52" s="12"/>
      <c r="CXM52" s="12"/>
      <c r="CXN52" s="12"/>
      <c r="CXO52" s="12"/>
      <c r="CXP52" s="12"/>
      <c r="CXQ52" s="12"/>
      <c r="CXR52" s="12"/>
      <c r="CXS52" s="12"/>
      <c r="CXT52" s="12"/>
      <c r="CXU52" s="12"/>
      <c r="CXV52" s="12"/>
      <c r="CXW52" s="12"/>
      <c r="CXX52" s="12"/>
      <c r="CXY52" s="12"/>
      <c r="CXZ52" s="12"/>
      <c r="CYA52" s="12"/>
      <c r="CYB52" s="12"/>
      <c r="CYC52" s="12"/>
      <c r="CYD52" s="12"/>
      <c r="CYE52" s="12"/>
      <c r="CYF52" s="12"/>
      <c r="CYG52" s="12"/>
      <c r="CYH52" s="12"/>
      <c r="CYI52" s="12"/>
      <c r="CYJ52" s="12"/>
      <c r="CYK52" s="12"/>
      <c r="CYL52" s="12"/>
      <c r="CYM52" s="12"/>
      <c r="CYN52" s="12"/>
      <c r="CYO52" s="12"/>
      <c r="CYP52" s="12"/>
      <c r="CYQ52" s="12"/>
      <c r="CYR52" s="12"/>
      <c r="CYS52" s="12"/>
      <c r="CYT52" s="12"/>
      <c r="CYU52" s="12"/>
      <c r="CYV52" s="12"/>
      <c r="CYW52" s="12"/>
      <c r="CYX52" s="12"/>
      <c r="CYY52" s="12"/>
      <c r="CYZ52" s="12"/>
      <c r="CZA52" s="12"/>
      <c r="CZB52" s="12"/>
      <c r="CZC52" s="12"/>
      <c r="CZD52" s="12"/>
      <c r="CZE52" s="12"/>
      <c r="CZF52" s="12"/>
      <c r="CZG52" s="12"/>
      <c r="CZH52" s="12"/>
      <c r="CZI52" s="12"/>
      <c r="CZJ52" s="12"/>
      <c r="CZK52" s="12"/>
      <c r="CZL52" s="12"/>
      <c r="CZM52" s="12"/>
      <c r="CZN52" s="12"/>
      <c r="CZO52" s="12"/>
      <c r="CZP52" s="12"/>
      <c r="CZQ52" s="12"/>
      <c r="CZR52" s="12"/>
      <c r="CZS52" s="12"/>
      <c r="CZT52" s="12"/>
      <c r="CZU52" s="12"/>
      <c r="CZV52" s="12"/>
      <c r="CZW52" s="12"/>
      <c r="CZX52" s="12"/>
      <c r="CZY52" s="12"/>
      <c r="CZZ52" s="12"/>
      <c r="DAA52" s="12"/>
      <c r="DAB52" s="12"/>
      <c r="DAC52" s="12"/>
      <c r="DAD52" s="12"/>
      <c r="DAE52" s="12"/>
      <c r="DAF52" s="12"/>
      <c r="DAG52" s="12"/>
      <c r="DAH52" s="12"/>
      <c r="DAI52" s="12"/>
      <c r="DAJ52" s="12"/>
      <c r="DAK52" s="12"/>
      <c r="DAL52" s="12"/>
      <c r="DAM52" s="12"/>
      <c r="DAN52" s="12"/>
      <c r="DAO52" s="12"/>
      <c r="DAP52" s="12"/>
      <c r="DAQ52" s="12"/>
      <c r="DAR52" s="12"/>
      <c r="DAS52" s="12"/>
      <c r="DAT52" s="12"/>
      <c r="DAU52" s="12"/>
      <c r="DAV52" s="12"/>
      <c r="DAW52" s="12"/>
      <c r="DAX52" s="12"/>
      <c r="DAY52" s="12"/>
      <c r="DAZ52" s="12"/>
      <c r="DBA52" s="12"/>
      <c r="DBB52" s="12"/>
      <c r="DBC52" s="12"/>
      <c r="DBD52" s="12"/>
      <c r="DBE52" s="12"/>
      <c r="DBF52" s="12"/>
      <c r="DBG52" s="12"/>
      <c r="DBH52" s="12"/>
      <c r="DBI52" s="12"/>
      <c r="DBJ52" s="12"/>
      <c r="DBK52" s="12"/>
      <c r="DBL52" s="12"/>
      <c r="DBM52" s="12"/>
      <c r="DBN52" s="12"/>
      <c r="DBO52" s="12"/>
      <c r="DBP52" s="12"/>
      <c r="DBQ52" s="12"/>
      <c r="DBR52" s="12"/>
      <c r="DBS52" s="12"/>
      <c r="DBT52" s="12"/>
      <c r="DBU52" s="12"/>
      <c r="DBV52" s="12"/>
      <c r="DBW52" s="12"/>
      <c r="DBX52" s="12"/>
      <c r="DBY52" s="12"/>
      <c r="DBZ52" s="12"/>
      <c r="DCA52" s="12"/>
      <c r="DCB52" s="12"/>
      <c r="DCC52" s="12"/>
      <c r="DCD52" s="12"/>
      <c r="DCE52" s="12"/>
      <c r="DCF52" s="12"/>
      <c r="DCG52" s="12"/>
      <c r="DCH52" s="12"/>
      <c r="DCI52" s="12"/>
      <c r="DCJ52" s="12"/>
      <c r="DCK52" s="12"/>
      <c r="DCL52" s="12"/>
      <c r="DCM52" s="12"/>
      <c r="DCN52" s="12"/>
      <c r="DCO52" s="12"/>
      <c r="DCP52" s="12"/>
      <c r="DCQ52" s="12"/>
      <c r="DCR52" s="12"/>
      <c r="DCS52" s="12"/>
      <c r="DCT52" s="12"/>
      <c r="DCU52" s="12"/>
      <c r="DCV52" s="12"/>
      <c r="DCW52" s="12"/>
      <c r="DCX52" s="12"/>
      <c r="DCY52" s="12"/>
      <c r="DCZ52" s="12"/>
      <c r="DDA52" s="12"/>
      <c r="DDB52" s="12"/>
      <c r="DDC52" s="12"/>
      <c r="DDD52" s="12"/>
      <c r="DDE52" s="12"/>
      <c r="DDF52" s="12"/>
      <c r="DDG52" s="12"/>
      <c r="DDH52" s="12"/>
      <c r="DDI52" s="12"/>
      <c r="DDJ52" s="12"/>
      <c r="DDK52" s="12"/>
      <c r="DDL52" s="12"/>
      <c r="DDM52" s="12"/>
      <c r="DDN52" s="12"/>
      <c r="DDO52" s="12"/>
      <c r="DDP52" s="12"/>
      <c r="DDQ52" s="12"/>
      <c r="DDR52" s="12"/>
      <c r="DDS52" s="12"/>
      <c r="DDT52" s="12"/>
      <c r="DDU52" s="12"/>
      <c r="DDV52" s="12"/>
      <c r="DDW52" s="12"/>
      <c r="DDX52" s="12"/>
      <c r="DDY52" s="12"/>
      <c r="DDZ52" s="12"/>
      <c r="DEA52" s="12"/>
      <c r="DEB52" s="12"/>
      <c r="DEC52" s="12"/>
      <c r="DED52" s="12"/>
      <c r="DEE52" s="12"/>
      <c r="DEF52" s="12"/>
      <c r="DEG52" s="12"/>
      <c r="DEH52" s="12"/>
      <c r="DEI52" s="12"/>
      <c r="DEJ52" s="12"/>
      <c r="DEK52" s="12"/>
      <c r="DEL52" s="12"/>
      <c r="DEM52" s="12"/>
      <c r="DEN52" s="12"/>
      <c r="DEO52" s="12"/>
      <c r="DEP52" s="12"/>
      <c r="DEQ52" s="12"/>
      <c r="DER52" s="12"/>
      <c r="DES52" s="12"/>
      <c r="DET52" s="12"/>
      <c r="DEU52" s="12"/>
      <c r="DEV52" s="12"/>
      <c r="DEW52" s="12"/>
      <c r="DEX52" s="12"/>
      <c r="DEY52" s="12"/>
      <c r="DEZ52" s="12"/>
      <c r="DFA52" s="12"/>
      <c r="DFB52" s="12"/>
      <c r="DFC52" s="12"/>
      <c r="DFD52" s="12"/>
      <c r="DFE52" s="12"/>
      <c r="DFF52" s="12"/>
      <c r="DFG52" s="12"/>
      <c r="DFH52" s="12"/>
      <c r="DFI52" s="12"/>
      <c r="DFJ52" s="12"/>
      <c r="DFK52" s="12"/>
      <c r="DFL52" s="12"/>
      <c r="DFM52" s="12"/>
      <c r="DFN52" s="12"/>
      <c r="DFO52" s="12"/>
      <c r="DFP52" s="12"/>
      <c r="DFQ52" s="12"/>
      <c r="DFR52" s="12"/>
      <c r="DFS52" s="12"/>
      <c r="DFT52" s="12"/>
      <c r="DFU52" s="12"/>
      <c r="DFV52" s="12"/>
      <c r="DFW52" s="12"/>
      <c r="DFX52" s="12"/>
      <c r="DFY52" s="12"/>
      <c r="DFZ52" s="12"/>
      <c r="DGA52" s="12"/>
      <c r="DGB52" s="12"/>
      <c r="DGC52" s="12"/>
      <c r="DGD52" s="12"/>
      <c r="DGE52" s="12"/>
      <c r="DGF52" s="12"/>
      <c r="DGG52" s="12"/>
      <c r="DGH52" s="12"/>
      <c r="DGI52" s="12"/>
      <c r="DGJ52" s="12"/>
      <c r="DGK52" s="12"/>
      <c r="DGL52" s="12"/>
      <c r="DGM52" s="12"/>
      <c r="DGN52" s="12"/>
      <c r="DGO52" s="12"/>
      <c r="DGP52" s="12"/>
      <c r="DGQ52" s="12"/>
      <c r="DGR52" s="12"/>
      <c r="DGS52" s="12"/>
      <c r="DGT52" s="12"/>
      <c r="DGU52" s="12"/>
      <c r="DGV52" s="12"/>
      <c r="DGW52" s="12"/>
      <c r="DGX52" s="12"/>
      <c r="DGY52" s="12"/>
      <c r="DGZ52" s="12"/>
      <c r="DHA52" s="12"/>
      <c r="DHB52" s="12"/>
      <c r="DHC52" s="12"/>
      <c r="DHD52" s="12"/>
      <c r="DHE52" s="12"/>
      <c r="DHF52" s="12"/>
      <c r="DHG52" s="12"/>
      <c r="DHH52" s="12"/>
      <c r="DHI52" s="12"/>
      <c r="DHJ52" s="12"/>
      <c r="DHK52" s="12"/>
      <c r="DHL52" s="12"/>
      <c r="DHM52" s="12"/>
      <c r="DHN52" s="12"/>
      <c r="DHO52" s="12"/>
      <c r="DHP52" s="12"/>
      <c r="DHQ52" s="12"/>
      <c r="DHR52" s="12"/>
      <c r="DHS52" s="12"/>
      <c r="DHT52" s="12"/>
      <c r="DHU52" s="12"/>
      <c r="DHV52" s="12"/>
      <c r="DHW52" s="12"/>
      <c r="DHX52" s="12"/>
      <c r="DHY52" s="12"/>
      <c r="DHZ52" s="12"/>
      <c r="DIA52" s="12"/>
      <c r="DIB52" s="12"/>
      <c r="DIC52" s="12"/>
      <c r="DID52" s="12"/>
      <c r="DIE52" s="12"/>
      <c r="DIF52" s="12"/>
      <c r="DIG52" s="12"/>
      <c r="DIH52" s="12"/>
      <c r="DII52" s="12"/>
      <c r="DIJ52" s="12"/>
      <c r="DIK52" s="12"/>
      <c r="DIL52" s="12"/>
      <c r="DIM52" s="12"/>
      <c r="DIN52" s="12"/>
      <c r="DIO52" s="12"/>
      <c r="DIP52" s="12"/>
      <c r="DIQ52" s="12"/>
      <c r="DIR52" s="12"/>
      <c r="DIS52" s="12"/>
      <c r="DIT52" s="12"/>
      <c r="DIU52" s="12"/>
      <c r="DIV52" s="12"/>
      <c r="DIW52" s="12"/>
      <c r="DIX52" s="12"/>
      <c r="DIY52" s="12"/>
      <c r="DIZ52" s="12"/>
      <c r="DJA52" s="12"/>
      <c r="DJB52" s="12"/>
      <c r="DJC52" s="12"/>
      <c r="DJD52" s="12"/>
      <c r="DJE52" s="12"/>
      <c r="DJF52" s="12"/>
      <c r="DJG52" s="12"/>
      <c r="DJH52" s="12"/>
      <c r="DJI52" s="12"/>
      <c r="DJJ52" s="12"/>
      <c r="DJK52" s="12"/>
      <c r="DJL52" s="12"/>
      <c r="DJM52" s="12"/>
      <c r="DJN52" s="12"/>
      <c r="DJO52" s="12"/>
      <c r="DJP52" s="12"/>
      <c r="DJQ52" s="12"/>
      <c r="DJR52" s="12"/>
      <c r="DJS52" s="12"/>
      <c r="DJT52" s="12"/>
      <c r="DJU52" s="12"/>
      <c r="DJV52" s="12"/>
      <c r="DJW52" s="12"/>
      <c r="DJX52" s="12"/>
      <c r="DJY52" s="12"/>
      <c r="DJZ52" s="12"/>
      <c r="DKA52" s="12"/>
      <c r="DKB52" s="12"/>
      <c r="DKC52" s="12"/>
      <c r="DKD52" s="12"/>
      <c r="DKE52" s="12"/>
      <c r="DKF52" s="12"/>
      <c r="DKG52" s="12"/>
      <c r="DKH52" s="12"/>
      <c r="DKI52" s="12"/>
      <c r="DKJ52" s="12"/>
      <c r="DKK52" s="12"/>
      <c r="DKL52" s="12"/>
      <c r="DKM52" s="12"/>
      <c r="DKN52" s="12"/>
      <c r="DKO52" s="12"/>
      <c r="DKP52" s="12"/>
      <c r="DKQ52" s="12"/>
      <c r="DKR52" s="12"/>
      <c r="DKS52" s="12"/>
      <c r="DKT52" s="12"/>
      <c r="DKU52" s="12"/>
      <c r="DKV52" s="12"/>
      <c r="DKW52" s="12"/>
      <c r="DKX52" s="12"/>
      <c r="DKY52" s="12"/>
      <c r="DKZ52" s="12"/>
      <c r="DLA52" s="12"/>
      <c r="DLB52" s="12"/>
      <c r="DLC52" s="12"/>
      <c r="DLD52" s="12"/>
      <c r="DLE52" s="12"/>
      <c r="DLF52" s="12"/>
      <c r="DLG52" s="12"/>
      <c r="DLH52" s="12"/>
      <c r="DLI52" s="12"/>
      <c r="DLJ52" s="12"/>
      <c r="DLK52" s="12"/>
      <c r="DLL52" s="12"/>
      <c r="DLM52" s="12"/>
      <c r="DLN52" s="12"/>
      <c r="DLO52" s="12"/>
      <c r="DLP52" s="12"/>
      <c r="DLQ52" s="12"/>
      <c r="DLR52" s="12"/>
      <c r="DLS52" s="12"/>
      <c r="DLT52" s="12"/>
      <c r="DLU52" s="12"/>
      <c r="DLV52" s="12"/>
      <c r="DLW52" s="12"/>
      <c r="DLX52" s="12"/>
      <c r="DLY52" s="12"/>
      <c r="DLZ52" s="12"/>
      <c r="DMA52" s="12"/>
      <c r="DMB52" s="12"/>
      <c r="DMC52" s="12"/>
      <c r="DMD52" s="12"/>
      <c r="DME52" s="12"/>
      <c r="DMF52" s="12"/>
      <c r="DMG52" s="12"/>
      <c r="DMH52" s="12"/>
      <c r="DMI52" s="12"/>
      <c r="DMJ52" s="12"/>
      <c r="DMK52" s="12"/>
      <c r="DML52" s="12"/>
      <c r="DMM52" s="12"/>
      <c r="DMN52" s="12"/>
      <c r="DMO52" s="12"/>
      <c r="DMP52" s="12"/>
      <c r="DMQ52" s="12"/>
      <c r="DMR52" s="12"/>
      <c r="DMS52" s="12"/>
      <c r="DMT52" s="12"/>
      <c r="DMU52" s="12"/>
      <c r="DMV52" s="12"/>
      <c r="DMW52" s="12"/>
      <c r="DMX52" s="12"/>
      <c r="DMY52" s="12"/>
      <c r="DMZ52" s="12"/>
      <c r="DNA52" s="12"/>
      <c r="DNB52" s="12"/>
      <c r="DNC52" s="12"/>
      <c r="DND52" s="12"/>
      <c r="DNE52" s="12"/>
      <c r="DNF52" s="12"/>
      <c r="DNG52" s="12"/>
      <c r="DNH52" s="12"/>
      <c r="DNI52" s="12"/>
      <c r="DNJ52" s="12"/>
      <c r="DNK52" s="12"/>
      <c r="DNL52" s="12"/>
      <c r="DNM52" s="12"/>
      <c r="DNN52" s="12"/>
      <c r="DNO52" s="12"/>
      <c r="DNP52" s="12"/>
      <c r="DNQ52" s="12"/>
      <c r="DNR52" s="12"/>
      <c r="DNS52" s="12"/>
      <c r="DNT52" s="12"/>
      <c r="DNU52" s="12"/>
      <c r="DNV52" s="12"/>
      <c r="DNW52" s="12"/>
      <c r="DNX52" s="12"/>
      <c r="DNY52" s="12"/>
      <c r="DNZ52" s="12"/>
      <c r="DOA52" s="12"/>
      <c r="DOB52" s="12"/>
      <c r="DOC52" s="12"/>
      <c r="DOD52" s="12"/>
      <c r="DOE52" s="12"/>
      <c r="DOF52" s="12"/>
      <c r="DOG52" s="12"/>
      <c r="DOH52" s="12"/>
      <c r="DOI52" s="12"/>
      <c r="DOJ52" s="12"/>
      <c r="DOK52" s="12"/>
      <c r="DOL52" s="12"/>
      <c r="DOM52" s="12"/>
      <c r="DON52" s="12"/>
      <c r="DOO52" s="12"/>
      <c r="DOP52" s="12"/>
      <c r="DOQ52" s="12"/>
      <c r="DOR52" s="12"/>
      <c r="DOS52" s="12"/>
      <c r="DOT52" s="12"/>
      <c r="DOU52" s="12"/>
      <c r="DOV52" s="12"/>
      <c r="DOW52" s="12"/>
      <c r="DOX52" s="12"/>
      <c r="DOY52" s="12"/>
      <c r="DOZ52" s="12"/>
      <c r="DPA52" s="12"/>
      <c r="DPB52" s="12"/>
      <c r="DPC52" s="12"/>
      <c r="DPD52" s="12"/>
      <c r="DPE52" s="12"/>
      <c r="DPF52" s="12"/>
      <c r="DPG52" s="12"/>
      <c r="DPH52" s="12"/>
      <c r="DPI52" s="12"/>
      <c r="DPJ52" s="12"/>
      <c r="DPK52" s="12"/>
      <c r="DPL52" s="12"/>
      <c r="DPM52" s="12"/>
      <c r="DPN52" s="12"/>
      <c r="DPO52" s="12"/>
      <c r="DPP52" s="12"/>
      <c r="DPQ52" s="12"/>
      <c r="DPR52" s="12"/>
      <c r="DPS52" s="12"/>
      <c r="DPT52" s="12"/>
      <c r="DPU52" s="12"/>
      <c r="DPV52" s="12"/>
      <c r="DPW52" s="12"/>
      <c r="DPX52" s="12"/>
      <c r="DPY52" s="12"/>
      <c r="DPZ52" s="12"/>
      <c r="DQA52" s="12"/>
      <c r="DQB52" s="12"/>
      <c r="DQC52" s="12"/>
      <c r="DQD52" s="12"/>
      <c r="DQE52" s="12"/>
      <c r="DQF52" s="12"/>
      <c r="DQG52" s="12"/>
      <c r="DQH52" s="12"/>
      <c r="DQI52" s="12"/>
      <c r="DQJ52" s="12"/>
      <c r="DQK52" s="12"/>
      <c r="DQL52" s="12"/>
      <c r="DQM52" s="12"/>
      <c r="DQN52" s="12"/>
      <c r="DQO52" s="12"/>
      <c r="DQP52" s="12"/>
      <c r="DQQ52" s="12"/>
      <c r="DQR52" s="12"/>
      <c r="DQS52" s="12"/>
      <c r="DQT52" s="12"/>
      <c r="DQU52" s="12"/>
      <c r="DQV52" s="12"/>
      <c r="DQW52" s="12"/>
      <c r="DQX52" s="12"/>
      <c r="DQY52" s="12"/>
      <c r="DQZ52" s="12"/>
      <c r="DRA52" s="12"/>
      <c r="DRB52" s="12"/>
      <c r="DRC52" s="12"/>
      <c r="DRD52" s="12"/>
      <c r="DRE52" s="12"/>
      <c r="DRF52" s="12"/>
      <c r="DRG52" s="12"/>
      <c r="DRH52" s="12"/>
      <c r="DRI52" s="12"/>
      <c r="DRJ52" s="12"/>
      <c r="DRK52" s="12"/>
      <c r="DRL52" s="12"/>
      <c r="DRM52" s="12"/>
      <c r="DRN52" s="12"/>
      <c r="DRO52" s="12"/>
      <c r="DRP52" s="12"/>
      <c r="DRQ52" s="12"/>
      <c r="DRR52" s="12"/>
      <c r="DRS52" s="12"/>
      <c r="DRT52" s="12"/>
      <c r="DRU52" s="12"/>
      <c r="DRV52" s="12"/>
      <c r="DRW52" s="12"/>
      <c r="DRX52" s="12"/>
      <c r="DRY52" s="12"/>
      <c r="DRZ52" s="12"/>
      <c r="DSA52" s="12"/>
      <c r="DSB52" s="12"/>
      <c r="DSC52" s="12"/>
      <c r="DSD52" s="12"/>
      <c r="DSE52" s="12"/>
      <c r="DSF52" s="12"/>
      <c r="DSG52" s="12"/>
      <c r="DSH52" s="12"/>
      <c r="DSI52" s="12"/>
      <c r="DSJ52" s="12"/>
      <c r="DSK52" s="12"/>
      <c r="DSL52" s="12"/>
      <c r="DSM52" s="12"/>
      <c r="DSN52" s="12"/>
      <c r="DSO52" s="12"/>
      <c r="DSP52" s="12"/>
      <c r="DSQ52" s="12"/>
      <c r="DSR52" s="12"/>
      <c r="DSS52" s="12"/>
      <c r="DST52" s="12"/>
      <c r="DSU52" s="12"/>
      <c r="DSV52" s="12"/>
      <c r="DSW52" s="12"/>
      <c r="DSX52" s="12"/>
      <c r="DSY52" s="12"/>
      <c r="DSZ52" s="12"/>
      <c r="DTA52" s="12"/>
      <c r="DTB52" s="12"/>
      <c r="DTC52" s="12"/>
      <c r="DTD52" s="12"/>
      <c r="DTE52" s="12"/>
      <c r="DTF52" s="12"/>
      <c r="DTG52" s="12"/>
      <c r="DTH52" s="12"/>
      <c r="DTI52" s="12"/>
      <c r="DTJ52" s="12"/>
      <c r="DTK52" s="12"/>
      <c r="DTL52" s="12"/>
      <c r="DTM52" s="12"/>
      <c r="DTN52" s="12"/>
      <c r="DTO52" s="12"/>
      <c r="DTP52" s="12"/>
      <c r="DTQ52" s="12"/>
      <c r="DTR52" s="12"/>
      <c r="DTS52" s="12"/>
      <c r="DTT52" s="12"/>
      <c r="DTU52" s="12"/>
      <c r="DTV52" s="12"/>
      <c r="DTW52" s="12"/>
      <c r="DTX52" s="12"/>
      <c r="DTY52" s="12"/>
      <c r="DTZ52" s="12"/>
      <c r="DUA52" s="12"/>
      <c r="DUB52" s="12"/>
      <c r="DUC52" s="12"/>
      <c r="DUD52" s="12"/>
      <c r="DUE52" s="12"/>
      <c r="DUF52" s="12"/>
      <c r="DUG52" s="12"/>
      <c r="DUH52" s="12"/>
      <c r="DUI52" s="12"/>
      <c r="DUJ52" s="12"/>
      <c r="DUK52" s="12"/>
      <c r="DUL52" s="12"/>
      <c r="DUM52" s="12"/>
      <c r="DUN52" s="12"/>
      <c r="DUO52" s="12"/>
      <c r="DUP52" s="12"/>
      <c r="DUQ52" s="12"/>
      <c r="DUR52" s="12"/>
      <c r="DUS52" s="12"/>
      <c r="DUT52" s="12"/>
      <c r="DUU52" s="12"/>
      <c r="DUV52" s="12"/>
      <c r="DUW52" s="12"/>
      <c r="DUX52" s="12"/>
      <c r="DUY52" s="12"/>
      <c r="DUZ52" s="12"/>
      <c r="DVA52" s="12"/>
      <c r="DVB52" s="12"/>
      <c r="DVC52" s="12"/>
      <c r="DVD52" s="12"/>
      <c r="DVE52" s="12"/>
      <c r="DVF52" s="12"/>
      <c r="DVG52" s="12"/>
      <c r="DVH52" s="12"/>
      <c r="DVI52" s="12"/>
      <c r="DVJ52" s="12"/>
      <c r="DVK52" s="12"/>
      <c r="DVL52" s="12"/>
      <c r="DVM52" s="12"/>
      <c r="DVN52" s="12"/>
      <c r="DVO52" s="12"/>
      <c r="DVP52" s="12"/>
      <c r="DVQ52" s="12"/>
      <c r="DVR52" s="12"/>
      <c r="DVS52" s="12"/>
      <c r="DVT52" s="12"/>
      <c r="DVU52" s="12"/>
      <c r="DVV52" s="12"/>
      <c r="DVW52" s="12"/>
      <c r="DVX52" s="12"/>
      <c r="DVY52" s="12"/>
      <c r="DVZ52" s="12"/>
      <c r="DWA52" s="12"/>
      <c r="DWB52" s="12"/>
      <c r="DWC52" s="12"/>
      <c r="DWD52" s="12"/>
      <c r="DWE52" s="12"/>
      <c r="DWF52" s="12"/>
      <c r="DWG52" s="12"/>
      <c r="DWH52" s="12"/>
      <c r="DWI52" s="12"/>
      <c r="DWJ52" s="12"/>
      <c r="DWK52" s="12"/>
      <c r="DWL52" s="12"/>
      <c r="DWM52" s="12"/>
      <c r="DWN52" s="12"/>
      <c r="DWO52" s="12"/>
      <c r="DWP52" s="12"/>
      <c r="DWQ52" s="12"/>
      <c r="DWR52" s="12"/>
      <c r="DWS52" s="12"/>
      <c r="DWT52" s="12"/>
      <c r="DWU52" s="12"/>
      <c r="DWV52" s="12"/>
      <c r="DWW52" s="12"/>
      <c r="DWX52" s="12"/>
      <c r="DWY52" s="12"/>
      <c r="DWZ52" s="12"/>
      <c r="DXA52" s="12"/>
      <c r="DXB52" s="12"/>
      <c r="DXC52" s="12"/>
      <c r="DXD52" s="12"/>
      <c r="DXE52" s="12"/>
      <c r="DXF52" s="12"/>
      <c r="DXG52" s="12"/>
      <c r="DXH52" s="12"/>
      <c r="DXI52" s="12"/>
      <c r="DXJ52" s="12"/>
      <c r="DXK52" s="12"/>
      <c r="DXL52" s="12"/>
      <c r="DXM52" s="12"/>
      <c r="DXN52" s="12"/>
      <c r="DXO52" s="12"/>
      <c r="DXP52" s="12"/>
      <c r="DXQ52" s="12"/>
      <c r="DXR52" s="12"/>
      <c r="DXS52" s="12"/>
      <c r="DXT52" s="12"/>
      <c r="DXU52" s="12"/>
      <c r="DXV52" s="12"/>
      <c r="DXW52" s="12"/>
      <c r="DXX52" s="12"/>
      <c r="DXY52" s="12"/>
      <c r="DXZ52" s="12"/>
      <c r="DYA52" s="12"/>
      <c r="DYB52" s="12"/>
      <c r="DYC52" s="12"/>
      <c r="DYD52" s="12"/>
      <c r="DYE52" s="12"/>
      <c r="DYF52" s="12"/>
      <c r="DYG52" s="12"/>
      <c r="DYH52" s="12"/>
      <c r="DYI52" s="12"/>
      <c r="DYJ52" s="12"/>
      <c r="DYK52" s="12"/>
      <c r="DYL52" s="12"/>
      <c r="DYM52" s="12"/>
      <c r="DYN52" s="12"/>
      <c r="DYO52" s="12"/>
      <c r="DYP52" s="12"/>
      <c r="DYQ52" s="12"/>
      <c r="DYR52" s="12"/>
      <c r="DYS52" s="12"/>
      <c r="DYT52" s="12"/>
      <c r="DYU52" s="12"/>
      <c r="DYV52" s="12"/>
      <c r="DYW52" s="12"/>
      <c r="DYX52" s="12"/>
      <c r="DYY52" s="12"/>
      <c r="DYZ52" s="12"/>
      <c r="DZA52" s="12"/>
      <c r="DZB52" s="12"/>
      <c r="DZC52" s="12"/>
      <c r="DZD52" s="12"/>
      <c r="DZE52" s="12"/>
      <c r="DZF52" s="12"/>
      <c r="DZG52" s="12"/>
      <c r="DZH52" s="12"/>
      <c r="DZI52" s="12"/>
      <c r="DZJ52" s="12"/>
      <c r="DZK52" s="12"/>
      <c r="DZL52" s="12"/>
      <c r="DZM52" s="12"/>
      <c r="DZN52" s="12"/>
      <c r="DZO52" s="12"/>
      <c r="DZP52" s="12"/>
      <c r="DZQ52" s="12"/>
      <c r="DZR52" s="12"/>
      <c r="DZS52" s="12"/>
      <c r="DZT52" s="12"/>
      <c r="DZU52" s="12"/>
      <c r="DZV52" s="12"/>
      <c r="DZW52" s="12"/>
      <c r="DZX52" s="12"/>
      <c r="DZY52" s="12"/>
      <c r="DZZ52" s="12"/>
      <c r="EAA52" s="12"/>
      <c r="EAB52" s="12"/>
      <c r="EAC52" s="12"/>
      <c r="EAD52" s="12"/>
      <c r="EAE52" s="12"/>
      <c r="EAF52" s="12"/>
      <c r="EAG52" s="12"/>
      <c r="EAH52" s="12"/>
      <c r="EAI52" s="12"/>
      <c r="EAJ52" s="12"/>
      <c r="EAK52" s="12"/>
      <c r="EAL52" s="12"/>
      <c r="EAM52" s="12"/>
      <c r="EAN52" s="12"/>
      <c r="EAO52" s="12"/>
      <c r="EAP52" s="12"/>
      <c r="EAQ52" s="12"/>
      <c r="EAR52" s="12"/>
      <c r="EAS52" s="12"/>
      <c r="EAT52" s="12"/>
      <c r="EAU52" s="12"/>
      <c r="EAV52" s="12"/>
      <c r="EAW52" s="12"/>
      <c r="EAX52" s="12"/>
      <c r="EAY52" s="12"/>
      <c r="EAZ52" s="12"/>
      <c r="EBA52" s="12"/>
      <c r="EBB52" s="12"/>
      <c r="EBC52" s="12"/>
      <c r="EBD52" s="12"/>
      <c r="EBE52" s="12"/>
      <c r="EBF52" s="12"/>
      <c r="EBG52" s="12"/>
      <c r="EBH52" s="12"/>
      <c r="EBI52" s="12"/>
      <c r="EBJ52" s="12"/>
      <c r="EBK52" s="12"/>
      <c r="EBL52" s="12"/>
      <c r="EBM52" s="12"/>
      <c r="EBN52" s="12"/>
      <c r="EBO52" s="12"/>
      <c r="EBP52" s="12"/>
      <c r="EBQ52" s="12"/>
      <c r="EBR52" s="12"/>
      <c r="EBS52" s="12"/>
      <c r="EBT52" s="12"/>
      <c r="EBU52" s="12"/>
      <c r="EBV52" s="12"/>
      <c r="EBW52" s="12"/>
      <c r="EBX52" s="12"/>
      <c r="EBY52" s="12"/>
      <c r="EBZ52" s="12"/>
      <c r="ECA52" s="12"/>
      <c r="ECB52" s="12"/>
      <c r="ECC52" s="12"/>
      <c r="ECD52" s="12"/>
      <c r="ECE52" s="12"/>
      <c r="ECF52" s="12"/>
      <c r="ECG52" s="12"/>
      <c r="ECH52" s="12"/>
      <c r="ECI52" s="12"/>
      <c r="ECJ52" s="12"/>
      <c r="ECK52" s="12"/>
      <c r="ECL52" s="12"/>
      <c r="ECM52" s="12"/>
      <c r="ECN52" s="12"/>
      <c r="ECO52" s="12"/>
      <c r="ECP52" s="12"/>
      <c r="ECQ52" s="12"/>
      <c r="ECR52" s="12"/>
      <c r="ECS52" s="12"/>
      <c r="ECT52" s="12"/>
      <c r="ECU52" s="12"/>
      <c r="ECV52" s="12"/>
      <c r="ECW52" s="12"/>
      <c r="ECX52" s="12"/>
      <c r="ECY52" s="12"/>
      <c r="ECZ52" s="12"/>
      <c r="EDA52" s="12"/>
      <c r="EDB52" s="12"/>
      <c r="EDC52" s="12"/>
      <c r="EDD52" s="12"/>
      <c r="EDE52" s="12"/>
      <c r="EDF52" s="12"/>
      <c r="EDG52" s="12"/>
      <c r="EDH52" s="12"/>
      <c r="EDI52" s="12"/>
      <c r="EDJ52" s="12"/>
      <c r="EDK52" s="12"/>
      <c r="EDL52" s="12"/>
      <c r="EDM52" s="12"/>
      <c r="EDN52" s="12"/>
      <c r="EDO52" s="12"/>
      <c r="EDP52" s="12"/>
      <c r="EDQ52" s="12"/>
      <c r="EDR52" s="12"/>
      <c r="EDS52" s="12"/>
      <c r="EDT52" s="12"/>
      <c r="EDU52" s="12"/>
      <c r="EDV52" s="12"/>
      <c r="EDW52" s="12"/>
      <c r="EDX52" s="12"/>
      <c r="EDY52" s="12"/>
      <c r="EDZ52" s="12"/>
      <c r="EEA52" s="12"/>
      <c r="EEB52" s="12"/>
      <c r="EEC52" s="12"/>
      <c r="EED52" s="12"/>
      <c r="EEE52" s="12"/>
      <c r="EEF52" s="12"/>
      <c r="EEG52" s="12"/>
      <c r="EEH52" s="12"/>
      <c r="EEI52" s="12"/>
      <c r="EEJ52" s="12"/>
      <c r="EEK52" s="12"/>
      <c r="EEL52" s="12"/>
      <c r="EEM52" s="12"/>
      <c r="EEN52" s="12"/>
      <c r="EEO52" s="12"/>
      <c r="EEP52" s="12"/>
      <c r="EEQ52" s="12"/>
      <c r="EER52" s="12"/>
      <c r="EES52" s="12"/>
      <c r="EET52" s="12"/>
      <c r="EEU52" s="12"/>
      <c r="EEV52" s="12"/>
      <c r="EEW52" s="12"/>
      <c r="EEX52" s="12"/>
      <c r="EEY52" s="12"/>
      <c r="EEZ52" s="12"/>
      <c r="EFA52" s="12"/>
      <c r="EFB52" s="12"/>
      <c r="EFC52" s="12"/>
      <c r="EFD52" s="12"/>
      <c r="EFE52" s="12"/>
      <c r="EFF52" s="12"/>
      <c r="EFG52" s="12"/>
      <c r="EFH52" s="12"/>
      <c r="EFI52" s="12"/>
      <c r="EFJ52" s="12"/>
      <c r="EFK52" s="12"/>
      <c r="EFL52" s="12"/>
      <c r="EFM52" s="12"/>
      <c r="EFN52" s="12"/>
      <c r="EFO52" s="12"/>
      <c r="EFP52" s="12"/>
      <c r="EFQ52" s="12"/>
      <c r="EFR52" s="12"/>
      <c r="EFS52" s="12"/>
      <c r="EFT52" s="12"/>
      <c r="EFU52" s="12"/>
      <c r="EFV52" s="12"/>
      <c r="EFW52" s="12"/>
      <c r="EFX52" s="12"/>
      <c r="EFY52" s="12"/>
      <c r="EFZ52" s="12"/>
      <c r="EGA52" s="12"/>
      <c r="EGB52" s="12"/>
      <c r="EGC52" s="12"/>
      <c r="EGD52" s="12"/>
      <c r="EGE52" s="12"/>
      <c r="EGF52" s="12"/>
      <c r="EGG52" s="12"/>
      <c r="EGH52" s="12"/>
      <c r="EGI52" s="12"/>
      <c r="EGJ52" s="12"/>
      <c r="EGK52" s="12"/>
      <c r="EGL52" s="12"/>
      <c r="EGM52" s="12"/>
      <c r="EGN52" s="12"/>
      <c r="EGO52" s="12"/>
      <c r="EGP52" s="12"/>
      <c r="EGQ52" s="12"/>
      <c r="EGR52" s="12"/>
      <c r="EGS52" s="12"/>
      <c r="EGT52" s="12"/>
      <c r="EGU52" s="12"/>
      <c r="EGV52" s="12"/>
      <c r="EGW52" s="12"/>
      <c r="EGX52" s="12"/>
      <c r="EGY52" s="12"/>
      <c r="EGZ52" s="12"/>
      <c r="EHA52" s="12"/>
      <c r="EHB52" s="12"/>
      <c r="EHC52" s="12"/>
      <c r="EHD52" s="12"/>
      <c r="EHE52" s="12"/>
      <c r="EHF52" s="12"/>
      <c r="EHG52" s="12"/>
      <c r="EHH52" s="12"/>
      <c r="EHI52" s="12"/>
      <c r="EHJ52" s="12"/>
      <c r="EHK52" s="12"/>
      <c r="EHL52" s="12"/>
      <c r="EHM52" s="12"/>
      <c r="EHN52" s="12"/>
      <c r="EHO52" s="12"/>
      <c r="EHP52" s="12"/>
      <c r="EHQ52" s="12"/>
      <c r="EHR52" s="12"/>
      <c r="EHS52" s="12"/>
      <c r="EHT52" s="12"/>
      <c r="EHU52" s="12"/>
      <c r="EHV52" s="12"/>
      <c r="EHW52" s="12"/>
      <c r="EHX52" s="12"/>
      <c r="EHY52" s="12"/>
      <c r="EHZ52" s="12"/>
      <c r="EIA52" s="12"/>
      <c r="EIB52" s="12"/>
      <c r="EIC52" s="12"/>
      <c r="EID52" s="12"/>
      <c r="EIE52" s="12"/>
      <c r="EIF52" s="12"/>
      <c r="EIG52" s="12"/>
      <c r="EIH52" s="12"/>
      <c r="EII52" s="12"/>
      <c r="EIJ52" s="12"/>
      <c r="EIK52" s="12"/>
      <c r="EIL52" s="12"/>
      <c r="EIM52" s="12"/>
      <c r="EIN52" s="12"/>
      <c r="EIO52" s="12"/>
      <c r="EIP52" s="12"/>
      <c r="EIQ52" s="12"/>
      <c r="EIR52" s="12"/>
      <c r="EIS52" s="12"/>
      <c r="EIT52" s="12"/>
      <c r="EIU52" s="12"/>
      <c r="EIV52" s="12"/>
      <c r="EIW52" s="12"/>
      <c r="EIX52" s="12"/>
      <c r="EIY52" s="12"/>
      <c r="EIZ52" s="12"/>
      <c r="EJA52" s="12"/>
      <c r="EJB52" s="12"/>
      <c r="EJC52" s="12"/>
      <c r="EJD52" s="12"/>
      <c r="EJE52" s="12"/>
      <c r="EJF52" s="12"/>
      <c r="EJG52" s="12"/>
      <c r="EJH52" s="12"/>
      <c r="EJI52" s="12"/>
      <c r="EJJ52" s="12"/>
      <c r="EJK52" s="12"/>
      <c r="EJL52" s="12"/>
      <c r="EJM52" s="12"/>
      <c r="EJN52" s="12"/>
      <c r="EJO52" s="12"/>
      <c r="EJP52" s="12"/>
      <c r="EJQ52" s="12"/>
      <c r="EJR52" s="12"/>
      <c r="EJS52" s="12"/>
      <c r="EJT52" s="12"/>
      <c r="EJU52" s="12"/>
      <c r="EJV52" s="12"/>
      <c r="EJW52" s="12"/>
      <c r="EJX52" s="12"/>
      <c r="EJY52" s="12"/>
      <c r="EJZ52" s="12"/>
      <c r="EKA52" s="12"/>
      <c r="EKB52" s="12"/>
      <c r="EKC52" s="12"/>
      <c r="EKD52" s="12"/>
      <c r="EKE52" s="12"/>
      <c r="EKF52" s="12"/>
      <c r="EKG52" s="12"/>
      <c r="EKH52" s="12"/>
      <c r="EKI52" s="12"/>
      <c r="EKJ52" s="12"/>
      <c r="EKK52" s="12"/>
      <c r="EKL52" s="12"/>
      <c r="EKM52" s="12"/>
      <c r="EKN52" s="12"/>
      <c r="EKO52" s="12"/>
      <c r="EKP52" s="12"/>
      <c r="EKQ52" s="12"/>
      <c r="EKR52" s="12"/>
      <c r="EKS52" s="12"/>
      <c r="EKT52" s="12"/>
      <c r="EKU52" s="12"/>
      <c r="EKV52" s="12"/>
      <c r="EKW52" s="12"/>
      <c r="EKX52" s="12"/>
      <c r="EKY52" s="12"/>
      <c r="EKZ52" s="12"/>
      <c r="ELA52" s="12"/>
      <c r="ELB52" s="12"/>
      <c r="ELC52" s="12"/>
      <c r="ELD52" s="12"/>
      <c r="ELE52" s="12"/>
      <c r="ELF52" s="12"/>
      <c r="ELG52" s="12"/>
      <c r="ELH52" s="12"/>
      <c r="ELI52" s="12"/>
      <c r="ELJ52" s="12"/>
      <c r="ELK52" s="12"/>
      <c r="ELL52" s="12"/>
      <c r="ELM52" s="12"/>
      <c r="ELN52" s="12"/>
      <c r="ELO52" s="12"/>
      <c r="ELP52" s="12"/>
      <c r="ELQ52" s="12"/>
      <c r="ELR52" s="12"/>
      <c r="ELS52" s="12"/>
      <c r="ELT52" s="12"/>
      <c r="ELU52" s="12"/>
      <c r="ELV52" s="12"/>
      <c r="ELW52" s="12"/>
      <c r="ELX52" s="12"/>
      <c r="ELY52" s="12"/>
      <c r="ELZ52" s="12"/>
      <c r="EMA52" s="12"/>
      <c r="EMB52" s="12"/>
      <c r="EMC52" s="12"/>
      <c r="EMD52" s="12"/>
      <c r="EME52" s="12"/>
      <c r="EMF52" s="12"/>
      <c r="EMG52" s="12"/>
      <c r="EMH52" s="12"/>
      <c r="EMI52" s="12"/>
      <c r="EMJ52" s="12"/>
      <c r="EMK52" s="12"/>
      <c r="EML52" s="12"/>
      <c r="EMM52" s="12"/>
      <c r="EMN52" s="12"/>
      <c r="EMO52" s="12"/>
      <c r="EMP52" s="12"/>
      <c r="EMQ52" s="12"/>
      <c r="EMR52" s="12"/>
      <c r="EMS52" s="12"/>
      <c r="EMT52" s="12"/>
      <c r="EMU52" s="12"/>
      <c r="EMV52" s="12"/>
      <c r="EMW52" s="12"/>
      <c r="EMX52" s="12"/>
      <c r="EMY52" s="12"/>
      <c r="EMZ52" s="12"/>
      <c r="ENA52" s="12"/>
      <c r="ENB52" s="12"/>
      <c r="ENC52" s="12"/>
      <c r="END52" s="12"/>
      <c r="ENE52" s="12"/>
      <c r="ENF52" s="12"/>
      <c r="ENG52" s="12"/>
      <c r="ENH52" s="12"/>
      <c r="ENI52" s="12"/>
      <c r="ENJ52" s="12"/>
      <c r="ENK52" s="12"/>
      <c r="ENL52" s="12"/>
      <c r="ENM52" s="12"/>
      <c r="ENN52" s="12"/>
      <c r="ENO52" s="12"/>
      <c r="ENP52" s="12"/>
      <c r="ENQ52" s="12"/>
      <c r="ENR52" s="12"/>
      <c r="ENS52" s="12"/>
      <c r="ENT52" s="12"/>
      <c r="ENU52" s="12"/>
      <c r="ENV52" s="12"/>
      <c r="ENW52" s="12"/>
      <c r="ENX52" s="12"/>
      <c r="ENY52" s="12"/>
      <c r="ENZ52" s="12"/>
      <c r="EOA52" s="12"/>
      <c r="EOB52" s="12"/>
      <c r="EOC52" s="12"/>
      <c r="EOD52" s="12"/>
      <c r="EOE52" s="12"/>
      <c r="EOF52" s="12"/>
      <c r="EOG52" s="12"/>
      <c r="EOH52" s="12"/>
      <c r="EOI52" s="12"/>
      <c r="EOJ52" s="12"/>
      <c r="EOK52" s="12"/>
      <c r="EOL52" s="12"/>
      <c r="EOM52" s="12"/>
      <c r="EON52" s="12"/>
      <c r="EOO52" s="12"/>
      <c r="EOP52" s="12"/>
      <c r="EOQ52" s="12"/>
      <c r="EOR52" s="12"/>
      <c r="EOS52" s="12"/>
      <c r="EOT52" s="12"/>
      <c r="EOU52" s="12"/>
      <c r="EOV52" s="12"/>
      <c r="EOW52" s="12"/>
      <c r="EOX52" s="12"/>
      <c r="EOY52" s="12"/>
      <c r="EOZ52" s="12"/>
      <c r="EPA52" s="12"/>
      <c r="EPB52" s="12"/>
      <c r="EPC52" s="12"/>
      <c r="EPD52" s="12"/>
      <c r="EPE52" s="12"/>
      <c r="EPF52" s="12"/>
      <c r="EPG52" s="12"/>
      <c r="EPH52" s="12"/>
      <c r="EPI52" s="12"/>
      <c r="EPJ52" s="12"/>
      <c r="EPK52" s="12"/>
      <c r="EPL52" s="12"/>
      <c r="EPM52" s="12"/>
      <c r="EPN52" s="12"/>
      <c r="EPO52" s="12"/>
      <c r="EPP52" s="12"/>
      <c r="EPQ52" s="12"/>
      <c r="EPR52" s="12"/>
      <c r="EPS52" s="12"/>
      <c r="EPT52" s="12"/>
      <c r="EPU52" s="12"/>
      <c r="EPV52" s="12"/>
      <c r="EPW52" s="12"/>
      <c r="EPX52" s="12"/>
      <c r="EPY52" s="12"/>
      <c r="EPZ52" s="12"/>
      <c r="EQA52" s="12"/>
      <c r="EQB52" s="12"/>
      <c r="EQC52" s="12"/>
      <c r="EQD52" s="12"/>
      <c r="EQE52" s="12"/>
      <c r="EQF52" s="12"/>
      <c r="EQG52" s="12"/>
      <c r="EQH52" s="12"/>
      <c r="EQI52" s="12"/>
      <c r="EQJ52" s="12"/>
      <c r="EQK52" s="12"/>
      <c r="EQL52" s="12"/>
      <c r="EQM52" s="12"/>
      <c r="EQN52" s="12"/>
      <c r="EQO52" s="12"/>
      <c r="EQP52" s="12"/>
      <c r="EQQ52" s="12"/>
      <c r="EQR52" s="12"/>
      <c r="EQS52" s="12"/>
      <c r="EQT52" s="12"/>
      <c r="EQU52" s="12"/>
      <c r="EQV52" s="12"/>
      <c r="EQW52" s="12"/>
      <c r="EQX52" s="12"/>
      <c r="EQY52" s="12"/>
      <c r="EQZ52" s="12"/>
      <c r="ERA52" s="12"/>
      <c r="ERB52" s="12"/>
      <c r="ERC52" s="12"/>
      <c r="ERD52" s="12"/>
      <c r="ERE52" s="12"/>
      <c r="ERF52" s="12"/>
      <c r="ERG52" s="12"/>
      <c r="ERH52" s="12"/>
      <c r="ERI52" s="12"/>
      <c r="ERJ52" s="12"/>
      <c r="ERK52" s="12"/>
      <c r="ERL52" s="12"/>
      <c r="ERM52" s="12"/>
      <c r="ERN52" s="12"/>
      <c r="ERO52" s="12"/>
      <c r="ERP52" s="12"/>
      <c r="ERQ52" s="12"/>
      <c r="ERR52" s="12"/>
      <c r="ERS52" s="12"/>
      <c r="ERT52" s="12"/>
      <c r="ERU52" s="12"/>
      <c r="ERV52" s="12"/>
      <c r="ERW52" s="12"/>
      <c r="ERX52" s="12"/>
      <c r="ERY52" s="12"/>
      <c r="ERZ52" s="12"/>
      <c r="ESA52" s="12"/>
      <c r="ESB52" s="12"/>
      <c r="ESC52" s="12"/>
      <c r="ESD52" s="12"/>
      <c r="ESE52" s="12"/>
      <c r="ESF52" s="12"/>
      <c r="ESG52" s="12"/>
      <c r="ESH52" s="12"/>
      <c r="ESI52" s="12"/>
      <c r="ESJ52" s="12"/>
      <c r="ESK52" s="12"/>
      <c r="ESL52" s="12"/>
      <c r="ESM52" s="12"/>
      <c r="ESN52" s="12"/>
      <c r="ESO52" s="12"/>
      <c r="ESP52" s="12"/>
      <c r="ESQ52" s="12"/>
      <c r="ESR52" s="12"/>
      <c r="ESS52" s="12"/>
      <c r="EST52" s="12"/>
      <c r="ESU52" s="12"/>
      <c r="ESV52" s="12"/>
      <c r="ESW52" s="12"/>
      <c r="ESX52" s="12"/>
      <c r="ESY52" s="12"/>
      <c r="ESZ52" s="12"/>
      <c r="ETA52" s="12"/>
      <c r="ETB52" s="12"/>
      <c r="ETC52" s="12"/>
      <c r="ETD52" s="12"/>
      <c r="ETE52" s="12"/>
      <c r="ETF52" s="12"/>
      <c r="ETG52" s="12"/>
      <c r="ETH52" s="12"/>
      <c r="ETI52" s="12"/>
      <c r="ETJ52" s="12"/>
      <c r="ETK52" s="12"/>
      <c r="ETL52" s="12"/>
      <c r="ETM52" s="12"/>
      <c r="ETN52" s="12"/>
      <c r="ETO52" s="12"/>
      <c r="ETP52" s="12"/>
      <c r="ETQ52" s="12"/>
      <c r="ETR52" s="12"/>
      <c r="ETS52" s="12"/>
      <c r="ETT52" s="12"/>
      <c r="ETU52" s="12"/>
      <c r="ETV52" s="12"/>
      <c r="ETW52" s="12"/>
      <c r="ETX52" s="12"/>
      <c r="ETY52" s="12"/>
      <c r="ETZ52" s="12"/>
      <c r="EUA52" s="12"/>
      <c r="EUB52" s="12"/>
      <c r="EUC52" s="12"/>
      <c r="EUD52" s="12"/>
      <c r="EUE52" s="12"/>
      <c r="EUF52" s="12"/>
      <c r="EUG52" s="12"/>
      <c r="EUH52" s="12"/>
      <c r="EUI52" s="12"/>
      <c r="EUJ52" s="12"/>
      <c r="EUK52" s="12"/>
      <c r="EUL52" s="12"/>
      <c r="EUM52" s="12"/>
      <c r="EUN52" s="12"/>
      <c r="EUO52" s="12"/>
      <c r="EUP52" s="12"/>
      <c r="EUQ52" s="12"/>
      <c r="EUR52" s="12"/>
      <c r="EUS52" s="12"/>
      <c r="EUT52" s="12"/>
      <c r="EUU52" s="12"/>
      <c r="EUV52" s="12"/>
      <c r="EUW52" s="12"/>
      <c r="EUX52" s="12"/>
      <c r="EUY52" s="12"/>
      <c r="EUZ52" s="12"/>
      <c r="EVA52" s="12"/>
      <c r="EVB52" s="12"/>
      <c r="EVC52" s="12"/>
      <c r="EVD52" s="12"/>
      <c r="EVE52" s="12"/>
      <c r="EVF52" s="12"/>
      <c r="EVG52" s="12"/>
      <c r="EVH52" s="12"/>
      <c r="EVI52" s="12"/>
      <c r="EVJ52" s="12"/>
      <c r="EVK52" s="12"/>
      <c r="EVL52" s="12"/>
      <c r="EVM52" s="12"/>
      <c r="EVN52" s="12"/>
      <c r="EVO52" s="12"/>
      <c r="EVP52" s="12"/>
      <c r="EVQ52" s="12"/>
      <c r="EVR52" s="12"/>
      <c r="EVS52" s="12"/>
      <c r="EVT52" s="12"/>
      <c r="EVU52" s="12"/>
      <c r="EVV52" s="12"/>
      <c r="EVW52" s="12"/>
      <c r="EVX52" s="12"/>
      <c r="EVY52" s="12"/>
      <c r="EVZ52" s="12"/>
      <c r="EWA52" s="12"/>
      <c r="EWB52" s="12"/>
      <c r="EWC52" s="12"/>
      <c r="EWD52" s="12"/>
      <c r="EWE52" s="12"/>
      <c r="EWF52" s="12"/>
      <c r="EWG52" s="12"/>
      <c r="EWH52" s="12"/>
      <c r="EWI52" s="12"/>
      <c r="EWJ52" s="12"/>
      <c r="EWK52" s="12"/>
      <c r="EWL52" s="12"/>
      <c r="EWM52" s="12"/>
      <c r="EWN52" s="12"/>
      <c r="EWO52" s="12"/>
      <c r="EWP52" s="12"/>
      <c r="EWQ52" s="12"/>
      <c r="EWR52" s="12"/>
      <c r="EWS52" s="12"/>
      <c r="EWT52" s="12"/>
      <c r="EWU52" s="12"/>
      <c r="EWV52" s="12"/>
      <c r="EWW52" s="12"/>
      <c r="EWX52" s="12"/>
      <c r="EWY52" s="12"/>
      <c r="EWZ52" s="12"/>
      <c r="EXA52" s="12"/>
      <c r="EXB52" s="12"/>
      <c r="EXC52" s="12"/>
      <c r="EXD52" s="12"/>
      <c r="EXE52" s="12"/>
      <c r="EXF52" s="12"/>
      <c r="EXG52" s="12"/>
      <c r="EXH52" s="12"/>
      <c r="EXI52" s="12"/>
      <c r="EXJ52" s="12"/>
      <c r="EXK52" s="12"/>
      <c r="EXL52" s="12"/>
      <c r="EXM52" s="12"/>
      <c r="EXN52" s="12"/>
      <c r="EXO52" s="12"/>
      <c r="EXP52" s="12"/>
      <c r="EXQ52" s="12"/>
      <c r="EXR52" s="12"/>
      <c r="EXS52" s="12"/>
      <c r="EXT52" s="12"/>
      <c r="EXU52" s="12"/>
      <c r="EXV52" s="12"/>
      <c r="EXW52" s="12"/>
      <c r="EXX52" s="12"/>
      <c r="EXY52" s="12"/>
      <c r="EXZ52" s="12"/>
      <c r="EYA52" s="12"/>
      <c r="EYB52" s="12"/>
      <c r="EYC52" s="12"/>
      <c r="EYD52" s="12"/>
      <c r="EYE52" s="12"/>
      <c r="EYF52" s="12"/>
      <c r="EYG52" s="12"/>
      <c r="EYH52" s="12"/>
      <c r="EYI52" s="12"/>
      <c r="EYJ52" s="12"/>
      <c r="EYK52" s="12"/>
      <c r="EYL52" s="12"/>
      <c r="EYM52" s="12"/>
      <c r="EYN52" s="12"/>
      <c r="EYO52" s="12"/>
      <c r="EYP52" s="12"/>
      <c r="EYQ52" s="12"/>
      <c r="EYR52" s="12"/>
      <c r="EYS52" s="12"/>
      <c r="EYT52" s="12"/>
      <c r="EYU52" s="12"/>
      <c r="EYV52" s="12"/>
      <c r="EYW52" s="12"/>
      <c r="EYX52" s="12"/>
      <c r="EYY52" s="12"/>
      <c r="EYZ52" s="12"/>
      <c r="EZA52" s="12"/>
      <c r="EZB52" s="12"/>
      <c r="EZC52" s="12"/>
      <c r="EZD52" s="12"/>
      <c r="EZE52" s="12"/>
      <c r="EZF52" s="12"/>
      <c r="EZG52" s="12"/>
      <c r="EZH52" s="12"/>
      <c r="EZI52" s="12"/>
      <c r="EZJ52" s="12"/>
      <c r="EZK52" s="12"/>
      <c r="EZL52" s="12"/>
      <c r="EZM52" s="12"/>
      <c r="EZN52" s="12"/>
      <c r="EZO52" s="12"/>
      <c r="EZP52" s="12"/>
      <c r="EZQ52" s="12"/>
      <c r="EZR52" s="12"/>
      <c r="EZS52" s="12"/>
      <c r="EZT52" s="12"/>
      <c r="EZU52" s="12"/>
      <c r="EZV52" s="12"/>
      <c r="EZW52" s="12"/>
      <c r="EZX52" s="12"/>
      <c r="EZY52" s="12"/>
      <c r="EZZ52" s="12"/>
      <c r="FAA52" s="12"/>
      <c r="FAB52" s="12"/>
      <c r="FAC52" s="12"/>
      <c r="FAD52" s="12"/>
      <c r="FAE52" s="12"/>
      <c r="FAF52" s="12"/>
      <c r="FAG52" s="12"/>
      <c r="FAH52" s="12"/>
      <c r="FAI52" s="12"/>
      <c r="FAJ52" s="12"/>
      <c r="FAK52" s="12"/>
      <c r="FAL52" s="12"/>
      <c r="FAM52" s="12"/>
      <c r="FAN52" s="12"/>
      <c r="FAO52" s="12"/>
      <c r="FAP52" s="12"/>
      <c r="FAQ52" s="12"/>
      <c r="FAR52" s="12"/>
      <c r="FAS52" s="12"/>
      <c r="FAT52" s="12"/>
      <c r="FAU52" s="12"/>
      <c r="FAV52" s="12"/>
      <c r="FAW52" s="12"/>
      <c r="FAX52" s="12"/>
      <c r="FAY52" s="12"/>
      <c r="FAZ52" s="12"/>
      <c r="FBA52" s="12"/>
      <c r="FBB52" s="12"/>
      <c r="FBC52" s="12"/>
      <c r="FBD52" s="12"/>
      <c r="FBE52" s="12"/>
      <c r="FBF52" s="12"/>
      <c r="FBG52" s="12"/>
      <c r="FBH52" s="12"/>
      <c r="FBI52" s="12"/>
      <c r="FBJ52" s="12"/>
      <c r="FBK52" s="12"/>
      <c r="FBL52" s="12"/>
      <c r="FBM52" s="12"/>
      <c r="FBN52" s="12"/>
      <c r="FBO52" s="12"/>
      <c r="FBP52" s="12"/>
      <c r="FBQ52" s="12"/>
      <c r="FBR52" s="12"/>
      <c r="FBS52" s="12"/>
      <c r="FBT52" s="12"/>
      <c r="FBU52" s="12"/>
      <c r="FBV52" s="12"/>
      <c r="FBW52" s="12"/>
      <c r="FBX52" s="12"/>
      <c r="FBY52" s="12"/>
      <c r="FBZ52" s="12"/>
      <c r="FCA52" s="12"/>
      <c r="FCB52" s="12"/>
      <c r="FCC52" s="12"/>
      <c r="FCD52" s="12"/>
      <c r="FCE52" s="12"/>
      <c r="FCF52" s="12"/>
      <c r="FCG52" s="12"/>
      <c r="FCH52" s="12"/>
      <c r="FCI52" s="12"/>
      <c r="FCJ52" s="12"/>
      <c r="FCK52" s="12"/>
      <c r="FCL52" s="12"/>
      <c r="FCM52" s="12"/>
      <c r="FCN52" s="12"/>
      <c r="FCO52" s="12"/>
      <c r="FCP52" s="12"/>
      <c r="FCQ52" s="12"/>
      <c r="FCR52" s="12"/>
      <c r="FCS52" s="12"/>
      <c r="FCT52" s="12"/>
      <c r="FCU52" s="12"/>
      <c r="FCV52" s="12"/>
      <c r="FCW52" s="12"/>
      <c r="FCX52" s="12"/>
      <c r="FCY52" s="12"/>
      <c r="FCZ52" s="12"/>
      <c r="FDA52" s="12"/>
      <c r="FDB52" s="12"/>
      <c r="FDC52" s="12"/>
      <c r="FDD52" s="12"/>
      <c r="FDE52" s="12"/>
      <c r="FDF52" s="12"/>
      <c r="FDG52" s="12"/>
      <c r="FDH52" s="12"/>
      <c r="FDI52" s="12"/>
      <c r="FDJ52" s="12"/>
      <c r="FDK52" s="12"/>
      <c r="FDL52" s="12"/>
      <c r="FDM52" s="12"/>
      <c r="FDN52" s="12"/>
      <c r="FDO52" s="12"/>
      <c r="FDP52" s="12"/>
      <c r="FDQ52" s="12"/>
      <c r="FDR52" s="12"/>
      <c r="FDS52" s="12"/>
      <c r="FDT52" s="12"/>
      <c r="FDU52" s="12"/>
      <c r="FDV52" s="12"/>
      <c r="FDW52" s="12"/>
      <c r="FDX52" s="12"/>
      <c r="FDY52" s="12"/>
      <c r="FDZ52" s="12"/>
      <c r="FEA52" s="12"/>
      <c r="FEB52" s="12"/>
      <c r="FEC52" s="12"/>
      <c r="FED52" s="12"/>
      <c r="FEE52" s="12"/>
      <c r="FEF52" s="12"/>
      <c r="FEG52" s="12"/>
      <c r="FEH52" s="12"/>
      <c r="FEI52" s="12"/>
      <c r="FEJ52" s="12"/>
      <c r="FEK52" s="12"/>
      <c r="FEL52" s="12"/>
      <c r="FEM52" s="12"/>
      <c r="FEN52" s="12"/>
      <c r="FEO52" s="12"/>
      <c r="FEP52" s="12"/>
      <c r="FEQ52" s="12"/>
      <c r="FER52" s="12"/>
      <c r="FES52" s="12"/>
      <c r="FET52" s="12"/>
      <c r="FEU52" s="12"/>
      <c r="FEV52" s="12"/>
      <c r="FEW52" s="12"/>
      <c r="FEX52" s="12"/>
      <c r="FEY52" s="12"/>
      <c r="FEZ52" s="12"/>
      <c r="FFA52" s="12"/>
      <c r="FFB52" s="12"/>
      <c r="FFC52" s="12"/>
      <c r="FFD52" s="12"/>
      <c r="FFE52" s="12"/>
      <c r="FFF52" s="12"/>
      <c r="FFG52" s="12"/>
      <c r="FFH52" s="12"/>
      <c r="FFI52" s="12"/>
      <c r="FFJ52" s="12"/>
      <c r="FFK52" s="12"/>
      <c r="FFL52" s="12"/>
      <c r="FFM52" s="12"/>
      <c r="FFN52" s="12"/>
      <c r="FFO52" s="12"/>
      <c r="FFP52" s="12"/>
      <c r="FFQ52" s="12"/>
      <c r="FFR52" s="12"/>
      <c r="FFS52" s="12"/>
      <c r="FFT52" s="12"/>
      <c r="FFU52" s="12"/>
      <c r="FFV52" s="12"/>
      <c r="FFW52" s="12"/>
      <c r="FFX52" s="12"/>
      <c r="FFY52" s="12"/>
      <c r="FFZ52" s="12"/>
      <c r="FGA52" s="12"/>
      <c r="FGB52" s="12"/>
      <c r="FGC52" s="12"/>
      <c r="FGD52" s="12"/>
      <c r="FGE52" s="12"/>
      <c r="FGF52" s="12"/>
      <c r="FGG52" s="12"/>
      <c r="FGH52" s="12"/>
      <c r="FGI52" s="12"/>
      <c r="FGJ52" s="12"/>
      <c r="FGK52" s="12"/>
      <c r="FGL52" s="12"/>
      <c r="FGM52" s="12"/>
      <c r="FGN52" s="12"/>
      <c r="FGO52" s="12"/>
      <c r="FGP52" s="12"/>
      <c r="FGQ52" s="12"/>
      <c r="FGR52" s="12"/>
      <c r="FGS52" s="12"/>
      <c r="FGT52" s="12"/>
      <c r="FGU52" s="12"/>
      <c r="FGV52" s="12"/>
      <c r="FGW52" s="12"/>
      <c r="FGX52" s="12"/>
      <c r="FGY52" s="12"/>
      <c r="FGZ52" s="12"/>
      <c r="FHA52" s="12"/>
      <c r="FHB52" s="12"/>
      <c r="FHC52" s="12"/>
      <c r="FHD52" s="12"/>
      <c r="FHE52" s="12"/>
      <c r="FHF52" s="12"/>
      <c r="FHG52" s="12"/>
      <c r="FHH52" s="12"/>
      <c r="FHI52" s="12"/>
      <c r="FHJ52" s="12"/>
      <c r="FHK52" s="12"/>
      <c r="FHL52" s="12"/>
      <c r="FHM52" s="12"/>
      <c r="FHN52" s="12"/>
      <c r="FHO52" s="12"/>
      <c r="FHP52" s="12"/>
      <c r="FHQ52" s="12"/>
      <c r="FHR52" s="12"/>
      <c r="FHS52" s="12"/>
      <c r="FHT52" s="12"/>
      <c r="FHU52" s="12"/>
      <c r="FHV52" s="12"/>
      <c r="FHW52" s="12"/>
      <c r="FHX52" s="12"/>
      <c r="FHY52" s="12"/>
      <c r="FHZ52" s="12"/>
      <c r="FIA52" s="12"/>
      <c r="FIB52" s="12"/>
      <c r="FIC52" s="12"/>
      <c r="FID52" s="12"/>
      <c r="FIE52" s="12"/>
      <c r="FIF52" s="12"/>
      <c r="FIG52" s="12"/>
      <c r="FIH52" s="12"/>
      <c r="FII52" s="12"/>
      <c r="FIJ52" s="12"/>
      <c r="FIK52" s="12"/>
      <c r="FIL52" s="12"/>
      <c r="FIM52" s="12"/>
      <c r="FIN52" s="12"/>
      <c r="FIO52" s="12"/>
      <c r="FIP52" s="12"/>
      <c r="FIQ52" s="12"/>
      <c r="FIR52" s="12"/>
      <c r="FIS52" s="12"/>
      <c r="FIT52" s="12"/>
      <c r="FIU52" s="12"/>
      <c r="FIV52" s="12"/>
      <c r="FIW52" s="12"/>
      <c r="FIX52" s="12"/>
      <c r="FIY52" s="12"/>
      <c r="FIZ52" s="12"/>
      <c r="FJA52" s="12"/>
      <c r="FJB52" s="12"/>
      <c r="FJC52" s="12"/>
      <c r="FJD52" s="12"/>
      <c r="FJE52" s="12"/>
      <c r="FJF52" s="12"/>
      <c r="FJG52" s="12"/>
      <c r="FJH52" s="12"/>
      <c r="FJI52" s="12"/>
      <c r="FJJ52" s="12"/>
      <c r="FJK52" s="12"/>
      <c r="FJL52" s="12"/>
      <c r="FJM52" s="12"/>
      <c r="FJN52" s="12"/>
      <c r="FJO52" s="12"/>
      <c r="FJP52" s="12"/>
      <c r="FJQ52" s="12"/>
      <c r="FJR52" s="12"/>
      <c r="FJS52" s="12"/>
      <c r="FJT52" s="12"/>
      <c r="FJU52" s="12"/>
      <c r="FJV52" s="12"/>
      <c r="FJW52" s="12"/>
      <c r="FJX52" s="12"/>
      <c r="FJY52" s="12"/>
      <c r="FJZ52" s="12"/>
      <c r="FKA52" s="12"/>
      <c r="FKB52" s="12"/>
      <c r="FKC52" s="12"/>
      <c r="FKD52" s="12"/>
      <c r="FKE52" s="12"/>
      <c r="FKF52" s="12"/>
      <c r="FKG52" s="12"/>
      <c r="FKH52" s="12"/>
      <c r="FKI52" s="12"/>
      <c r="FKJ52" s="12"/>
      <c r="FKK52" s="12"/>
      <c r="FKL52" s="12"/>
      <c r="FKM52" s="12"/>
      <c r="FKN52" s="12"/>
      <c r="FKO52" s="12"/>
      <c r="FKP52" s="12"/>
      <c r="FKQ52" s="12"/>
      <c r="FKR52" s="12"/>
      <c r="FKS52" s="12"/>
      <c r="FKT52" s="12"/>
      <c r="FKU52" s="12"/>
      <c r="FKV52" s="12"/>
      <c r="FKW52" s="12"/>
      <c r="FKX52" s="12"/>
      <c r="FKY52" s="12"/>
      <c r="FKZ52" s="12"/>
      <c r="FLA52" s="12"/>
      <c r="FLB52" s="12"/>
      <c r="FLC52" s="12"/>
      <c r="FLD52" s="12"/>
      <c r="FLE52" s="12"/>
      <c r="FLF52" s="12"/>
      <c r="FLG52" s="12"/>
      <c r="FLH52" s="12"/>
      <c r="FLI52" s="12"/>
      <c r="FLJ52" s="12"/>
      <c r="FLK52" s="12"/>
      <c r="FLL52" s="12"/>
      <c r="FLM52" s="12"/>
      <c r="FLN52" s="12"/>
      <c r="FLO52" s="12"/>
      <c r="FLP52" s="12"/>
      <c r="FLQ52" s="12"/>
      <c r="FLR52" s="12"/>
      <c r="FLS52" s="12"/>
      <c r="FLT52" s="12"/>
      <c r="FLU52" s="12"/>
      <c r="FLV52" s="12"/>
      <c r="FLW52" s="12"/>
      <c r="FLX52" s="12"/>
      <c r="FLY52" s="12"/>
      <c r="FLZ52" s="12"/>
      <c r="FMA52" s="12"/>
      <c r="FMB52" s="12"/>
      <c r="FMC52" s="12"/>
      <c r="FMD52" s="12"/>
      <c r="FME52" s="12"/>
      <c r="FMF52" s="12"/>
      <c r="FMG52" s="12"/>
      <c r="FMH52" s="12"/>
      <c r="FMI52" s="12"/>
      <c r="FMJ52" s="12"/>
      <c r="FMK52" s="12"/>
      <c r="FML52" s="12"/>
      <c r="FMM52" s="12"/>
      <c r="FMN52" s="12"/>
      <c r="FMO52" s="12"/>
      <c r="FMP52" s="12"/>
      <c r="FMQ52" s="12"/>
      <c r="FMR52" s="12"/>
      <c r="FMS52" s="12"/>
      <c r="FMT52" s="12"/>
      <c r="FMU52" s="12"/>
      <c r="FMV52" s="12"/>
      <c r="FMW52" s="12"/>
      <c r="FMX52" s="12"/>
      <c r="FMY52" s="12"/>
      <c r="FMZ52" s="12"/>
      <c r="FNA52" s="12"/>
      <c r="FNB52" s="12"/>
      <c r="FNC52" s="12"/>
      <c r="FND52" s="12"/>
      <c r="FNE52" s="12"/>
      <c r="FNF52" s="12"/>
      <c r="FNG52" s="12"/>
      <c r="FNH52" s="12"/>
      <c r="FNI52" s="12"/>
      <c r="FNJ52" s="12"/>
      <c r="FNK52" s="12"/>
      <c r="FNL52" s="12"/>
      <c r="FNM52" s="12"/>
      <c r="FNN52" s="12"/>
      <c r="FNO52" s="12"/>
      <c r="FNP52" s="12"/>
      <c r="FNQ52" s="12"/>
      <c r="FNR52" s="12"/>
      <c r="FNS52" s="12"/>
      <c r="FNT52" s="12"/>
      <c r="FNU52" s="12"/>
      <c r="FNV52" s="12"/>
      <c r="FNW52" s="12"/>
      <c r="FNX52" s="12"/>
      <c r="FNY52" s="12"/>
      <c r="FNZ52" s="12"/>
      <c r="FOA52" s="12"/>
      <c r="FOB52" s="12"/>
      <c r="FOC52" s="12"/>
      <c r="FOD52" s="12"/>
      <c r="FOE52" s="12"/>
      <c r="FOF52" s="12"/>
      <c r="FOG52" s="12"/>
      <c r="FOH52" s="12"/>
      <c r="FOI52" s="12"/>
      <c r="FOJ52" s="12"/>
      <c r="FOK52" s="12"/>
      <c r="FOL52" s="12"/>
      <c r="FOM52" s="12"/>
      <c r="FON52" s="12"/>
      <c r="FOO52" s="12"/>
      <c r="FOP52" s="12"/>
      <c r="FOQ52" s="12"/>
      <c r="FOR52" s="12"/>
      <c r="FOS52" s="12"/>
      <c r="FOT52" s="12"/>
      <c r="FOU52" s="12"/>
      <c r="FOV52" s="12"/>
      <c r="FOW52" s="12"/>
      <c r="FOX52" s="12"/>
      <c r="FOY52" s="12"/>
      <c r="FOZ52" s="12"/>
      <c r="FPA52" s="12"/>
      <c r="FPB52" s="12"/>
      <c r="FPC52" s="12"/>
      <c r="FPD52" s="12"/>
      <c r="FPE52" s="12"/>
      <c r="FPF52" s="12"/>
      <c r="FPG52" s="12"/>
      <c r="FPH52" s="12"/>
      <c r="FPI52" s="12"/>
      <c r="FPJ52" s="12"/>
      <c r="FPK52" s="12"/>
      <c r="FPL52" s="12"/>
      <c r="FPM52" s="12"/>
      <c r="FPN52" s="12"/>
      <c r="FPO52" s="12"/>
      <c r="FPP52" s="12"/>
      <c r="FPQ52" s="12"/>
      <c r="FPR52" s="12"/>
      <c r="FPS52" s="12"/>
      <c r="FPT52" s="12"/>
      <c r="FPU52" s="12"/>
      <c r="FPV52" s="12"/>
      <c r="FPW52" s="12"/>
      <c r="FPX52" s="12"/>
      <c r="FPY52" s="12"/>
      <c r="FPZ52" s="12"/>
      <c r="FQA52" s="12"/>
      <c r="FQB52" s="12"/>
      <c r="FQC52" s="12"/>
      <c r="FQD52" s="12"/>
      <c r="FQE52" s="12"/>
      <c r="FQF52" s="12"/>
      <c r="FQG52" s="12"/>
      <c r="FQH52" s="12"/>
      <c r="FQI52" s="12"/>
      <c r="FQJ52" s="12"/>
      <c r="FQK52" s="12"/>
      <c r="FQL52" s="12"/>
      <c r="FQM52" s="12"/>
      <c r="FQN52" s="12"/>
      <c r="FQO52" s="12"/>
      <c r="FQP52" s="12"/>
      <c r="FQQ52" s="12"/>
      <c r="FQR52" s="12"/>
      <c r="FQS52" s="12"/>
      <c r="FQT52" s="12"/>
      <c r="FQU52" s="12"/>
      <c r="FQV52" s="12"/>
      <c r="FQW52" s="12"/>
      <c r="FQX52" s="12"/>
      <c r="FQY52" s="12"/>
      <c r="FQZ52" s="12"/>
      <c r="FRA52" s="12"/>
      <c r="FRB52" s="12"/>
      <c r="FRC52" s="12"/>
      <c r="FRD52" s="12"/>
      <c r="FRE52" s="12"/>
      <c r="FRF52" s="12"/>
      <c r="FRG52" s="12"/>
      <c r="FRH52" s="12"/>
      <c r="FRI52" s="12"/>
      <c r="FRJ52" s="12"/>
      <c r="FRK52" s="12"/>
      <c r="FRL52" s="12"/>
      <c r="FRM52" s="12"/>
      <c r="FRN52" s="12"/>
      <c r="FRO52" s="12"/>
      <c r="FRP52" s="12"/>
      <c r="FRQ52" s="12"/>
      <c r="FRR52" s="12"/>
      <c r="FRS52" s="12"/>
      <c r="FRT52" s="12"/>
      <c r="FRU52" s="12"/>
      <c r="FRV52" s="12"/>
      <c r="FRW52" s="12"/>
      <c r="FRX52" s="12"/>
      <c r="FRY52" s="12"/>
      <c r="FRZ52" s="12"/>
      <c r="FSA52" s="12"/>
      <c r="FSB52" s="12"/>
      <c r="FSC52" s="12"/>
      <c r="FSD52" s="12"/>
      <c r="FSE52" s="12"/>
      <c r="FSF52" s="12"/>
      <c r="FSG52" s="12"/>
      <c r="FSH52" s="12"/>
      <c r="FSI52" s="12"/>
      <c r="FSJ52" s="12"/>
      <c r="FSK52" s="12"/>
      <c r="FSL52" s="12"/>
      <c r="FSM52" s="12"/>
      <c r="FSN52" s="12"/>
      <c r="FSO52" s="12"/>
      <c r="FSP52" s="12"/>
      <c r="FSQ52" s="12"/>
      <c r="FSR52" s="12"/>
      <c r="FSS52" s="12"/>
      <c r="FST52" s="12"/>
      <c r="FSU52" s="12"/>
      <c r="FSV52" s="12"/>
      <c r="FSW52" s="12"/>
      <c r="FSX52" s="12"/>
      <c r="FSY52" s="12"/>
      <c r="FSZ52" s="12"/>
      <c r="FTA52" s="12"/>
      <c r="FTB52" s="12"/>
      <c r="FTC52" s="12"/>
      <c r="FTD52" s="12"/>
      <c r="FTE52" s="12"/>
      <c r="FTF52" s="12"/>
      <c r="FTG52" s="12"/>
      <c r="FTH52" s="12"/>
      <c r="FTI52" s="12"/>
      <c r="FTJ52" s="12"/>
      <c r="FTK52" s="12"/>
      <c r="FTL52" s="12"/>
      <c r="FTM52" s="12"/>
      <c r="FTN52" s="12"/>
      <c r="FTO52" s="12"/>
      <c r="FTP52" s="12"/>
      <c r="FTQ52" s="12"/>
      <c r="FTR52" s="12"/>
      <c r="FTS52" s="12"/>
      <c r="FTT52" s="12"/>
      <c r="FTU52" s="12"/>
      <c r="FTV52" s="12"/>
      <c r="FTW52" s="12"/>
      <c r="FTX52" s="12"/>
      <c r="FTY52" s="12"/>
      <c r="FTZ52" s="12"/>
      <c r="FUA52" s="12"/>
      <c r="FUB52" s="12"/>
      <c r="FUC52" s="12"/>
      <c r="FUD52" s="12"/>
      <c r="FUE52" s="12"/>
      <c r="FUF52" s="12"/>
      <c r="FUG52" s="12"/>
      <c r="FUH52" s="12"/>
      <c r="FUI52" s="12"/>
      <c r="FUJ52" s="12"/>
      <c r="FUK52" s="12"/>
      <c r="FUL52" s="12"/>
      <c r="FUM52" s="12"/>
      <c r="FUN52" s="12"/>
      <c r="FUO52" s="12"/>
      <c r="FUP52" s="12"/>
      <c r="FUQ52" s="12"/>
      <c r="FUR52" s="12"/>
      <c r="FUS52" s="12"/>
      <c r="FUT52" s="12"/>
      <c r="FUU52" s="12"/>
      <c r="FUV52" s="12"/>
      <c r="FUW52" s="12"/>
      <c r="FUX52" s="12"/>
      <c r="FUY52" s="12"/>
      <c r="FUZ52" s="12"/>
      <c r="FVA52" s="12"/>
      <c r="FVB52" s="12"/>
      <c r="FVC52" s="12"/>
      <c r="FVD52" s="12"/>
      <c r="FVE52" s="12"/>
      <c r="FVF52" s="12"/>
      <c r="FVG52" s="12"/>
      <c r="FVH52" s="12"/>
      <c r="FVI52" s="12"/>
      <c r="FVJ52" s="12"/>
      <c r="FVK52" s="12"/>
      <c r="FVL52" s="12"/>
      <c r="FVM52" s="12"/>
      <c r="FVN52" s="12"/>
      <c r="FVO52" s="12"/>
      <c r="FVP52" s="12"/>
      <c r="FVQ52" s="12"/>
      <c r="FVR52" s="12"/>
      <c r="FVS52" s="12"/>
      <c r="FVT52" s="12"/>
      <c r="FVU52" s="12"/>
      <c r="FVV52" s="12"/>
      <c r="FVW52" s="12"/>
      <c r="FVX52" s="12"/>
      <c r="FVY52" s="12"/>
      <c r="FVZ52" s="12"/>
      <c r="FWA52" s="12"/>
      <c r="FWB52" s="12"/>
      <c r="FWC52" s="12"/>
      <c r="FWD52" s="12"/>
      <c r="FWE52" s="12"/>
      <c r="FWF52" s="12"/>
      <c r="FWG52" s="12"/>
      <c r="FWH52" s="12"/>
      <c r="FWI52" s="12"/>
      <c r="FWJ52" s="12"/>
      <c r="FWK52" s="12"/>
      <c r="FWL52" s="12"/>
      <c r="FWM52" s="12"/>
      <c r="FWN52" s="12"/>
      <c r="FWO52" s="12"/>
      <c r="FWP52" s="12"/>
      <c r="FWQ52" s="12"/>
      <c r="FWR52" s="12"/>
      <c r="FWS52" s="12"/>
      <c r="FWT52" s="12"/>
      <c r="FWU52" s="12"/>
      <c r="FWV52" s="12"/>
      <c r="FWW52" s="12"/>
      <c r="FWX52" s="12"/>
      <c r="FWY52" s="12"/>
      <c r="FWZ52" s="12"/>
      <c r="FXA52" s="12"/>
      <c r="FXB52" s="12"/>
      <c r="FXC52" s="12"/>
      <c r="FXD52" s="12"/>
      <c r="FXE52" s="12"/>
      <c r="FXF52" s="12"/>
      <c r="FXG52" s="12"/>
      <c r="FXH52" s="12"/>
      <c r="FXI52" s="12"/>
      <c r="FXJ52" s="12"/>
      <c r="FXK52" s="12"/>
      <c r="FXL52" s="12"/>
      <c r="FXM52" s="12"/>
      <c r="FXN52" s="12"/>
      <c r="FXO52" s="12"/>
      <c r="FXP52" s="12"/>
      <c r="FXQ52" s="12"/>
      <c r="FXR52" s="12"/>
      <c r="FXS52" s="12"/>
      <c r="FXT52" s="12"/>
      <c r="FXU52" s="12"/>
      <c r="FXV52" s="12"/>
      <c r="FXW52" s="12"/>
      <c r="FXX52" s="12"/>
      <c r="FXY52" s="12"/>
      <c r="FXZ52" s="12"/>
      <c r="FYA52" s="12"/>
      <c r="FYB52" s="12"/>
      <c r="FYC52" s="12"/>
      <c r="FYD52" s="12"/>
      <c r="FYE52" s="12"/>
      <c r="FYF52" s="12"/>
      <c r="FYG52" s="12"/>
      <c r="FYH52" s="12"/>
      <c r="FYI52" s="12"/>
      <c r="FYJ52" s="12"/>
      <c r="FYK52" s="12"/>
      <c r="FYL52" s="12"/>
      <c r="FYM52" s="12"/>
      <c r="FYN52" s="12"/>
      <c r="FYO52" s="12"/>
      <c r="FYP52" s="12"/>
      <c r="FYQ52" s="12"/>
      <c r="FYR52" s="12"/>
      <c r="FYS52" s="12"/>
      <c r="FYT52" s="12"/>
      <c r="FYU52" s="12"/>
      <c r="FYV52" s="12"/>
      <c r="FYW52" s="12"/>
      <c r="FYX52" s="12"/>
      <c r="FYY52" s="12"/>
      <c r="FYZ52" s="12"/>
      <c r="FZA52" s="12"/>
      <c r="FZB52" s="12"/>
      <c r="FZC52" s="12"/>
      <c r="FZD52" s="12"/>
      <c r="FZE52" s="12"/>
      <c r="FZF52" s="12"/>
      <c r="FZG52" s="12"/>
      <c r="FZH52" s="12"/>
      <c r="FZI52" s="12"/>
      <c r="FZJ52" s="12"/>
      <c r="FZK52" s="12"/>
      <c r="FZL52" s="12"/>
      <c r="FZM52" s="12"/>
      <c r="FZN52" s="12"/>
      <c r="FZO52" s="12"/>
      <c r="FZP52" s="12"/>
      <c r="FZQ52" s="12"/>
      <c r="FZR52" s="12"/>
      <c r="FZS52" s="12"/>
      <c r="FZT52" s="12"/>
      <c r="FZU52" s="12"/>
      <c r="FZV52" s="12"/>
      <c r="FZW52" s="12"/>
      <c r="FZX52" s="12"/>
      <c r="FZY52" s="12"/>
      <c r="FZZ52" s="12"/>
      <c r="GAA52" s="12"/>
      <c r="GAB52" s="12"/>
      <c r="GAC52" s="12"/>
      <c r="GAD52" s="12"/>
      <c r="GAE52" s="12"/>
      <c r="GAF52" s="12"/>
      <c r="GAG52" s="12"/>
      <c r="GAH52" s="12"/>
      <c r="GAI52" s="12"/>
      <c r="GAJ52" s="12"/>
      <c r="GAK52" s="12"/>
      <c r="GAL52" s="12"/>
      <c r="GAM52" s="12"/>
      <c r="GAN52" s="12"/>
      <c r="GAO52" s="12"/>
      <c r="GAP52" s="12"/>
      <c r="GAQ52" s="12"/>
      <c r="GAR52" s="12"/>
      <c r="GAS52" s="12"/>
      <c r="GAT52" s="12"/>
      <c r="GAU52" s="12"/>
      <c r="GAV52" s="12"/>
      <c r="GAW52" s="12"/>
      <c r="GAX52" s="12"/>
      <c r="GAY52" s="12"/>
      <c r="GAZ52" s="12"/>
      <c r="GBA52" s="12"/>
      <c r="GBB52" s="12"/>
      <c r="GBC52" s="12"/>
      <c r="GBD52" s="12"/>
      <c r="GBE52" s="12"/>
      <c r="GBF52" s="12"/>
      <c r="GBG52" s="12"/>
      <c r="GBH52" s="12"/>
      <c r="GBI52" s="12"/>
      <c r="GBJ52" s="12"/>
      <c r="GBK52" s="12"/>
      <c r="GBL52" s="12"/>
      <c r="GBM52" s="12"/>
      <c r="GBN52" s="12"/>
      <c r="GBO52" s="12"/>
      <c r="GBP52" s="12"/>
      <c r="GBQ52" s="12"/>
      <c r="GBR52" s="12"/>
      <c r="GBS52" s="12"/>
      <c r="GBT52" s="12"/>
      <c r="GBU52" s="12"/>
      <c r="GBV52" s="12"/>
      <c r="GBW52" s="12"/>
      <c r="GBX52" s="12"/>
      <c r="GBY52" s="12"/>
      <c r="GBZ52" s="12"/>
      <c r="GCA52" s="12"/>
      <c r="GCB52" s="12"/>
      <c r="GCC52" s="12"/>
      <c r="GCD52" s="12"/>
      <c r="GCE52" s="12"/>
      <c r="GCF52" s="12"/>
      <c r="GCG52" s="12"/>
      <c r="GCH52" s="12"/>
      <c r="GCI52" s="12"/>
      <c r="GCJ52" s="12"/>
      <c r="GCK52" s="12"/>
      <c r="GCL52" s="12"/>
      <c r="GCM52" s="12"/>
      <c r="GCN52" s="12"/>
      <c r="GCO52" s="12"/>
      <c r="GCP52" s="12"/>
      <c r="GCQ52" s="12"/>
      <c r="GCR52" s="12"/>
      <c r="GCS52" s="12"/>
      <c r="GCT52" s="12"/>
      <c r="GCU52" s="12"/>
      <c r="GCV52" s="12"/>
      <c r="GCW52" s="12"/>
      <c r="GCX52" s="12"/>
      <c r="GCY52" s="12"/>
      <c r="GCZ52" s="12"/>
      <c r="GDA52" s="12"/>
      <c r="GDB52" s="12"/>
      <c r="GDC52" s="12"/>
      <c r="GDD52" s="12"/>
      <c r="GDE52" s="12"/>
      <c r="GDF52" s="12"/>
      <c r="GDG52" s="12"/>
      <c r="GDH52" s="12"/>
      <c r="GDI52" s="12"/>
      <c r="GDJ52" s="12"/>
      <c r="GDK52" s="12"/>
      <c r="GDL52" s="12"/>
      <c r="GDM52" s="12"/>
      <c r="GDN52" s="12"/>
      <c r="GDO52" s="12"/>
      <c r="GDP52" s="12"/>
      <c r="GDQ52" s="12"/>
      <c r="GDR52" s="12"/>
      <c r="GDS52" s="12"/>
      <c r="GDT52" s="12"/>
      <c r="GDU52" s="12"/>
      <c r="GDV52" s="12"/>
      <c r="GDW52" s="12"/>
      <c r="GDX52" s="12"/>
      <c r="GDY52" s="12"/>
      <c r="GDZ52" s="12"/>
      <c r="GEA52" s="12"/>
      <c r="GEB52" s="12"/>
      <c r="GEC52" s="12"/>
      <c r="GED52" s="12"/>
      <c r="GEE52" s="12"/>
      <c r="GEF52" s="12"/>
      <c r="GEG52" s="12"/>
      <c r="GEH52" s="12"/>
      <c r="GEI52" s="12"/>
      <c r="GEJ52" s="12"/>
      <c r="GEK52" s="12"/>
      <c r="GEL52" s="12"/>
      <c r="GEM52" s="12"/>
      <c r="GEN52" s="12"/>
      <c r="GEO52" s="12"/>
      <c r="GEP52" s="12"/>
      <c r="GEQ52" s="12"/>
      <c r="GER52" s="12"/>
      <c r="GES52" s="12"/>
      <c r="GET52" s="12"/>
      <c r="GEU52" s="12"/>
      <c r="GEV52" s="12"/>
      <c r="GEW52" s="12"/>
      <c r="GEX52" s="12"/>
      <c r="GEY52" s="12"/>
      <c r="GEZ52" s="12"/>
      <c r="GFA52" s="12"/>
      <c r="GFB52" s="12"/>
      <c r="GFC52" s="12"/>
      <c r="GFD52" s="12"/>
      <c r="GFE52" s="12"/>
      <c r="GFF52" s="12"/>
      <c r="GFG52" s="12"/>
      <c r="GFH52" s="12"/>
      <c r="GFI52" s="12"/>
      <c r="GFJ52" s="12"/>
      <c r="GFK52" s="12"/>
      <c r="GFL52" s="12"/>
      <c r="GFM52" s="12"/>
      <c r="GFN52" s="12"/>
      <c r="GFO52" s="12"/>
      <c r="GFP52" s="12"/>
      <c r="GFQ52" s="12"/>
      <c r="GFR52" s="12"/>
      <c r="GFS52" s="12"/>
      <c r="GFT52" s="12"/>
      <c r="GFU52" s="12"/>
      <c r="GFV52" s="12"/>
      <c r="GFW52" s="12"/>
      <c r="GFX52" s="12"/>
      <c r="GFY52" s="12"/>
      <c r="GFZ52" s="12"/>
      <c r="GGA52" s="12"/>
      <c r="GGB52" s="12"/>
      <c r="GGC52" s="12"/>
      <c r="GGD52" s="12"/>
      <c r="GGE52" s="12"/>
      <c r="GGF52" s="12"/>
      <c r="GGG52" s="12"/>
      <c r="GGH52" s="12"/>
      <c r="GGI52" s="12"/>
      <c r="GGJ52" s="12"/>
      <c r="GGK52" s="12"/>
      <c r="GGL52" s="12"/>
      <c r="GGM52" s="12"/>
      <c r="GGN52" s="12"/>
      <c r="GGO52" s="12"/>
      <c r="GGP52" s="12"/>
      <c r="GGQ52" s="12"/>
      <c r="GGR52" s="12"/>
      <c r="GGS52" s="12"/>
      <c r="GGT52" s="12"/>
      <c r="GGU52" s="12"/>
      <c r="GGV52" s="12"/>
      <c r="GGW52" s="12"/>
      <c r="GGX52" s="12"/>
      <c r="GGY52" s="12"/>
      <c r="GGZ52" s="12"/>
      <c r="GHA52" s="12"/>
      <c r="GHB52" s="12"/>
      <c r="GHC52" s="12"/>
      <c r="GHD52" s="12"/>
      <c r="GHE52" s="12"/>
      <c r="GHF52" s="12"/>
      <c r="GHG52" s="12"/>
      <c r="GHH52" s="12"/>
      <c r="GHI52" s="12"/>
      <c r="GHJ52" s="12"/>
      <c r="GHK52" s="12"/>
      <c r="GHL52" s="12"/>
      <c r="GHM52" s="12"/>
      <c r="GHN52" s="12"/>
      <c r="GHO52" s="12"/>
      <c r="GHP52" s="12"/>
      <c r="GHQ52" s="12"/>
      <c r="GHR52" s="12"/>
      <c r="GHS52" s="12"/>
      <c r="GHT52" s="12"/>
      <c r="GHU52" s="12"/>
      <c r="GHV52" s="12"/>
      <c r="GHW52" s="12"/>
      <c r="GHX52" s="12"/>
      <c r="GHY52" s="12"/>
      <c r="GHZ52" s="12"/>
      <c r="GIA52" s="12"/>
      <c r="GIB52" s="12"/>
      <c r="GIC52" s="12"/>
      <c r="GID52" s="12"/>
      <c r="GIE52" s="12"/>
      <c r="GIF52" s="12"/>
      <c r="GIG52" s="12"/>
      <c r="GIH52" s="12"/>
      <c r="GII52" s="12"/>
      <c r="GIJ52" s="12"/>
      <c r="GIK52" s="12"/>
      <c r="GIL52" s="12"/>
      <c r="GIM52" s="12"/>
      <c r="GIN52" s="12"/>
      <c r="GIO52" s="12"/>
      <c r="GIP52" s="12"/>
      <c r="GIQ52" s="12"/>
      <c r="GIR52" s="12"/>
      <c r="GIS52" s="12"/>
      <c r="GIT52" s="12"/>
      <c r="GIU52" s="12"/>
      <c r="GIV52" s="12"/>
      <c r="GIW52" s="12"/>
      <c r="GIX52" s="12"/>
      <c r="GIY52" s="12"/>
      <c r="GIZ52" s="12"/>
      <c r="GJA52" s="12"/>
      <c r="GJB52" s="12"/>
      <c r="GJC52" s="12"/>
      <c r="GJD52" s="12"/>
      <c r="GJE52" s="12"/>
      <c r="GJF52" s="12"/>
      <c r="GJG52" s="12"/>
      <c r="GJH52" s="12"/>
      <c r="GJI52" s="12"/>
      <c r="GJJ52" s="12"/>
      <c r="GJK52" s="12"/>
      <c r="GJL52" s="12"/>
      <c r="GJM52" s="12"/>
      <c r="GJN52" s="12"/>
      <c r="GJO52" s="12"/>
      <c r="GJP52" s="12"/>
      <c r="GJQ52" s="12"/>
      <c r="GJR52" s="12"/>
      <c r="GJS52" s="12"/>
      <c r="GJT52" s="12"/>
      <c r="GJU52" s="12"/>
      <c r="GJV52" s="12"/>
      <c r="GJW52" s="12"/>
      <c r="GJX52" s="12"/>
      <c r="GJY52" s="12"/>
      <c r="GJZ52" s="12"/>
      <c r="GKA52" s="12"/>
      <c r="GKB52" s="12"/>
      <c r="GKC52" s="12"/>
      <c r="GKD52" s="12"/>
      <c r="GKE52" s="12"/>
      <c r="GKF52" s="12"/>
      <c r="GKG52" s="12"/>
      <c r="GKH52" s="12"/>
      <c r="GKI52" s="12"/>
      <c r="GKJ52" s="12"/>
      <c r="GKK52" s="12"/>
      <c r="GKL52" s="12"/>
      <c r="GKM52" s="12"/>
      <c r="GKN52" s="12"/>
      <c r="GKO52" s="12"/>
      <c r="GKP52" s="12"/>
      <c r="GKQ52" s="12"/>
      <c r="GKR52" s="12"/>
      <c r="GKS52" s="12"/>
      <c r="GKT52" s="12"/>
      <c r="GKU52" s="12"/>
      <c r="GKV52" s="12"/>
      <c r="GKW52" s="12"/>
      <c r="GKX52" s="12"/>
      <c r="GKY52" s="12"/>
      <c r="GKZ52" s="12"/>
      <c r="GLA52" s="12"/>
      <c r="GLB52" s="12"/>
      <c r="GLC52" s="12"/>
      <c r="GLD52" s="12"/>
      <c r="GLE52" s="12"/>
      <c r="GLF52" s="12"/>
      <c r="GLG52" s="12"/>
      <c r="GLH52" s="12"/>
      <c r="GLI52" s="12"/>
      <c r="GLJ52" s="12"/>
      <c r="GLK52" s="12"/>
      <c r="GLL52" s="12"/>
      <c r="GLM52" s="12"/>
      <c r="GLN52" s="12"/>
      <c r="GLO52" s="12"/>
      <c r="GLP52" s="12"/>
      <c r="GLQ52" s="12"/>
      <c r="GLR52" s="12"/>
      <c r="GLS52" s="12"/>
      <c r="GLT52" s="12"/>
      <c r="GLU52" s="12"/>
      <c r="GLV52" s="12"/>
      <c r="GLW52" s="12"/>
      <c r="GLX52" s="12"/>
      <c r="GLY52" s="12"/>
      <c r="GLZ52" s="12"/>
      <c r="GMA52" s="12"/>
      <c r="GMB52" s="12"/>
      <c r="GMC52" s="12"/>
      <c r="GMD52" s="12"/>
      <c r="GME52" s="12"/>
      <c r="GMF52" s="12"/>
      <c r="GMG52" s="12"/>
      <c r="GMH52" s="12"/>
      <c r="GMI52" s="12"/>
      <c r="GMJ52" s="12"/>
      <c r="GMK52" s="12"/>
      <c r="GML52" s="12"/>
      <c r="GMM52" s="12"/>
      <c r="GMN52" s="12"/>
      <c r="GMO52" s="12"/>
      <c r="GMP52" s="12"/>
      <c r="GMQ52" s="12"/>
      <c r="GMR52" s="12"/>
      <c r="GMS52" s="12"/>
      <c r="GMT52" s="12"/>
      <c r="GMU52" s="12"/>
      <c r="GMV52" s="12"/>
      <c r="GMW52" s="12"/>
      <c r="GMX52" s="12"/>
      <c r="GMY52" s="12"/>
      <c r="GMZ52" s="12"/>
      <c r="GNA52" s="12"/>
      <c r="GNB52" s="12"/>
      <c r="GNC52" s="12"/>
      <c r="GND52" s="12"/>
      <c r="GNE52" s="12"/>
      <c r="GNF52" s="12"/>
      <c r="GNG52" s="12"/>
      <c r="GNH52" s="12"/>
      <c r="GNI52" s="12"/>
      <c r="GNJ52" s="12"/>
      <c r="GNK52" s="12"/>
      <c r="GNL52" s="12"/>
      <c r="GNM52" s="12"/>
      <c r="GNN52" s="12"/>
      <c r="GNO52" s="12"/>
      <c r="GNP52" s="12"/>
      <c r="GNQ52" s="12"/>
      <c r="GNR52" s="12"/>
      <c r="GNS52" s="12"/>
      <c r="GNT52" s="12"/>
      <c r="GNU52" s="12"/>
      <c r="GNV52" s="12"/>
      <c r="GNW52" s="12"/>
      <c r="GNX52" s="12"/>
      <c r="GNY52" s="12"/>
      <c r="GNZ52" s="12"/>
      <c r="GOA52" s="12"/>
      <c r="GOB52" s="12"/>
      <c r="GOC52" s="12"/>
      <c r="GOD52" s="12"/>
      <c r="GOE52" s="12"/>
      <c r="GOF52" s="12"/>
      <c r="GOG52" s="12"/>
      <c r="GOH52" s="12"/>
      <c r="GOI52" s="12"/>
      <c r="GOJ52" s="12"/>
      <c r="GOK52" s="12"/>
      <c r="GOL52" s="12"/>
      <c r="GOM52" s="12"/>
      <c r="GON52" s="12"/>
      <c r="GOO52" s="12"/>
      <c r="GOP52" s="12"/>
      <c r="GOQ52" s="12"/>
      <c r="GOR52" s="12"/>
      <c r="GOS52" s="12"/>
      <c r="GOT52" s="12"/>
      <c r="GOU52" s="12"/>
      <c r="GOV52" s="12"/>
      <c r="GOW52" s="12"/>
      <c r="GOX52" s="12"/>
      <c r="GOY52" s="12"/>
      <c r="GOZ52" s="12"/>
      <c r="GPA52" s="12"/>
      <c r="GPB52" s="12"/>
      <c r="GPC52" s="12"/>
      <c r="GPD52" s="12"/>
      <c r="GPE52" s="12"/>
      <c r="GPF52" s="12"/>
      <c r="GPG52" s="12"/>
      <c r="GPH52" s="12"/>
      <c r="GPI52" s="12"/>
      <c r="GPJ52" s="12"/>
      <c r="GPK52" s="12"/>
      <c r="GPL52" s="12"/>
      <c r="GPM52" s="12"/>
      <c r="GPN52" s="12"/>
      <c r="GPO52" s="12"/>
      <c r="GPP52" s="12"/>
      <c r="GPQ52" s="12"/>
      <c r="GPR52" s="12"/>
      <c r="GPS52" s="12"/>
      <c r="GPT52" s="12"/>
      <c r="GPU52" s="12"/>
      <c r="GPV52" s="12"/>
      <c r="GPW52" s="12"/>
      <c r="GPX52" s="12"/>
      <c r="GPY52" s="12"/>
      <c r="GPZ52" s="12"/>
      <c r="GQA52" s="12"/>
      <c r="GQB52" s="12"/>
      <c r="GQC52" s="12"/>
      <c r="GQD52" s="12"/>
      <c r="GQE52" s="12"/>
      <c r="GQF52" s="12"/>
      <c r="GQG52" s="12"/>
      <c r="GQH52" s="12"/>
      <c r="GQI52" s="12"/>
      <c r="GQJ52" s="12"/>
      <c r="GQK52" s="12"/>
      <c r="GQL52" s="12"/>
      <c r="GQM52" s="12"/>
      <c r="GQN52" s="12"/>
      <c r="GQO52" s="12"/>
      <c r="GQP52" s="12"/>
      <c r="GQQ52" s="12"/>
      <c r="GQR52" s="12"/>
      <c r="GQS52" s="12"/>
      <c r="GQT52" s="12"/>
      <c r="GQU52" s="12"/>
      <c r="GQV52" s="12"/>
      <c r="GQW52" s="12"/>
      <c r="GQX52" s="12"/>
      <c r="GQY52" s="12"/>
      <c r="GQZ52" s="12"/>
      <c r="GRA52" s="12"/>
      <c r="GRB52" s="12"/>
      <c r="GRC52" s="12"/>
      <c r="GRD52" s="12"/>
      <c r="GRE52" s="12"/>
      <c r="GRF52" s="12"/>
      <c r="GRG52" s="12"/>
      <c r="GRH52" s="12"/>
      <c r="GRI52" s="12"/>
      <c r="GRJ52" s="12"/>
      <c r="GRK52" s="12"/>
      <c r="GRL52" s="12"/>
      <c r="GRM52" s="12"/>
      <c r="GRN52" s="12"/>
      <c r="GRO52" s="12"/>
      <c r="GRP52" s="12"/>
      <c r="GRQ52" s="12"/>
      <c r="GRR52" s="12"/>
      <c r="GRS52" s="12"/>
      <c r="GRT52" s="12"/>
      <c r="GRU52" s="12"/>
      <c r="GRV52" s="12"/>
      <c r="GRW52" s="12"/>
      <c r="GRX52" s="12"/>
      <c r="GRY52" s="12"/>
      <c r="GRZ52" s="12"/>
      <c r="GSA52" s="12"/>
      <c r="GSB52" s="12"/>
      <c r="GSC52" s="12"/>
      <c r="GSD52" s="12"/>
      <c r="GSE52" s="12"/>
      <c r="GSF52" s="12"/>
      <c r="GSG52" s="12"/>
      <c r="GSH52" s="12"/>
      <c r="GSI52" s="12"/>
      <c r="GSJ52" s="12"/>
      <c r="GSK52" s="12"/>
      <c r="GSL52" s="12"/>
      <c r="GSM52" s="12"/>
      <c r="GSN52" s="12"/>
      <c r="GSO52" s="12"/>
      <c r="GSP52" s="12"/>
      <c r="GSQ52" s="12"/>
      <c r="GSR52" s="12"/>
      <c r="GSS52" s="12"/>
      <c r="GST52" s="12"/>
      <c r="GSU52" s="12"/>
      <c r="GSV52" s="12"/>
      <c r="GSW52" s="12"/>
      <c r="GSX52" s="12"/>
      <c r="GSY52" s="12"/>
      <c r="GSZ52" s="12"/>
      <c r="GTA52" s="12"/>
      <c r="GTB52" s="12"/>
      <c r="GTC52" s="12"/>
      <c r="GTD52" s="12"/>
      <c r="GTE52" s="12"/>
      <c r="GTF52" s="12"/>
      <c r="GTG52" s="12"/>
      <c r="GTH52" s="12"/>
      <c r="GTI52" s="12"/>
      <c r="GTJ52" s="12"/>
      <c r="GTK52" s="12"/>
      <c r="GTL52" s="12"/>
      <c r="GTM52" s="12"/>
      <c r="GTN52" s="12"/>
      <c r="GTO52" s="12"/>
      <c r="GTP52" s="12"/>
      <c r="GTQ52" s="12"/>
      <c r="GTR52" s="12"/>
      <c r="GTS52" s="12"/>
      <c r="GTT52" s="12"/>
      <c r="GTU52" s="12"/>
      <c r="GTV52" s="12"/>
      <c r="GTW52" s="12"/>
      <c r="GTX52" s="12"/>
      <c r="GTY52" s="12"/>
      <c r="GTZ52" s="12"/>
      <c r="GUA52" s="12"/>
      <c r="GUB52" s="12"/>
      <c r="GUC52" s="12"/>
      <c r="GUD52" s="12"/>
      <c r="GUE52" s="12"/>
      <c r="GUF52" s="12"/>
      <c r="GUG52" s="12"/>
      <c r="GUH52" s="12"/>
      <c r="GUI52" s="12"/>
      <c r="GUJ52" s="12"/>
      <c r="GUK52" s="12"/>
      <c r="GUL52" s="12"/>
      <c r="GUM52" s="12"/>
      <c r="GUN52" s="12"/>
      <c r="GUO52" s="12"/>
      <c r="GUP52" s="12"/>
      <c r="GUQ52" s="12"/>
      <c r="GUR52" s="12"/>
      <c r="GUS52" s="12"/>
      <c r="GUT52" s="12"/>
      <c r="GUU52" s="12"/>
      <c r="GUV52" s="12"/>
      <c r="GUW52" s="12"/>
      <c r="GUX52" s="12"/>
      <c r="GUY52" s="12"/>
      <c r="GUZ52" s="12"/>
      <c r="GVA52" s="12"/>
      <c r="GVB52" s="12"/>
      <c r="GVC52" s="12"/>
      <c r="GVD52" s="12"/>
      <c r="GVE52" s="12"/>
      <c r="GVF52" s="12"/>
      <c r="GVG52" s="12"/>
      <c r="GVH52" s="12"/>
      <c r="GVI52" s="12"/>
      <c r="GVJ52" s="12"/>
      <c r="GVK52" s="12"/>
      <c r="GVL52" s="12"/>
      <c r="GVM52" s="12"/>
      <c r="GVN52" s="12"/>
      <c r="GVO52" s="12"/>
      <c r="GVP52" s="12"/>
      <c r="GVQ52" s="12"/>
      <c r="GVR52" s="12"/>
      <c r="GVS52" s="12"/>
      <c r="GVT52" s="12"/>
      <c r="GVU52" s="12"/>
      <c r="GVV52" s="12"/>
      <c r="GVW52" s="12"/>
      <c r="GVX52" s="12"/>
      <c r="GVY52" s="12"/>
      <c r="GVZ52" s="12"/>
      <c r="GWA52" s="12"/>
      <c r="GWB52" s="12"/>
      <c r="GWC52" s="12"/>
      <c r="GWD52" s="12"/>
      <c r="GWE52" s="12"/>
      <c r="GWF52" s="12"/>
      <c r="GWG52" s="12"/>
      <c r="GWH52" s="12"/>
      <c r="GWI52" s="12"/>
      <c r="GWJ52" s="12"/>
      <c r="GWK52" s="12"/>
      <c r="GWL52" s="12"/>
      <c r="GWM52" s="12"/>
      <c r="GWN52" s="12"/>
      <c r="GWO52" s="12"/>
      <c r="GWP52" s="12"/>
      <c r="GWQ52" s="12"/>
      <c r="GWR52" s="12"/>
      <c r="GWS52" s="12"/>
      <c r="GWT52" s="12"/>
      <c r="GWU52" s="12"/>
      <c r="GWV52" s="12"/>
      <c r="GWW52" s="12"/>
      <c r="GWX52" s="12"/>
      <c r="GWY52" s="12"/>
      <c r="GWZ52" s="12"/>
      <c r="GXA52" s="12"/>
      <c r="GXB52" s="12"/>
      <c r="GXC52" s="12"/>
      <c r="GXD52" s="12"/>
      <c r="GXE52" s="12"/>
      <c r="GXF52" s="12"/>
      <c r="GXG52" s="12"/>
      <c r="GXH52" s="12"/>
      <c r="GXI52" s="12"/>
      <c r="GXJ52" s="12"/>
      <c r="GXK52" s="12"/>
      <c r="GXL52" s="12"/>
      <c r="GXM52" s="12"/>
      <c r="GXN52" s="12"/>
      <c r="GXO52" s="12"/>
      <c r="GXP52" s="12"/>
      <c r="GXQ52" s="12"/>
      <c r="GXR52" s="12"/>
      <c r="GXS52" s="12"/>
      <c r="GXT52" s="12"/>
      <c r="GXU52" s="12"/>
      <c r="GXV52" s="12"/>
      <c r="GXW52" s="12"/>
      <c r="GXX52" s="12"/>
      <c r="GXY52" s="12"/>
      <c r="GXZ52" s="12"/>
      <c r="GYA52" s="12"/>
      <c r="GYB52" s="12"/>
      <c r="GYC52" s="12"/>
      <c r="GYD52" s="12"/>
      <c r="GYE52" s="12"/>
      <c r="GYF52" s="12"/>
      <c r="GYG52" s="12"/>
      <c r="GYH52" s="12"/>
      <c r="GYI52" s="12"/>
      <c r="GYJ52" s="12"/>
      <c r="GYK52" s="12"/>
      <c r="GYL52" s="12"/>
      <c r="GYM52" s="12"/>
      <c r="GYN52" s="12"/>
      <c r="GYO52" s="12"/>
      <c r="GYP52" s="12"/>
      <c r="GYQ52" s="12"/>
      <c r="GYR52" s="12"/>
      <c r="GYS52" s="12"/>
      <c r="GYT52" s="12"/>
      <c r="GYU52" s="12"/>
      <c r="GYV52" s="12"/>
      <c r="GYW52" s="12"/>
      <c r="GYX52" s="12"/>
      <c r="GYY52" s="12"/>
      <c r="GYZ52" s="12"/>
      <c r="GZA52" s="12"/>
      <c r="GZB52" s="12"/>
      <c r="GZC52" s="12"/>
      <c r="GZD52" s="12"/>
      <c r="GZE52" s="12"/>
      <c r="GZF52" s="12"/>
      <c r="GZG52" s="12"/>
      <c r="GZH52" s="12"/>
      <c r="GZI52" s="12"/>
      <c r="GZJ52" s="12"/>
      <c r="GZK52" s="12"/>
      <c r="GZL52" s="12"/>
      <c r="GZM52" s="12"/>
      <c r="GZN52" s="12"/>
      <c r="GZO52" s="12"/>
      <c r="GZP52" s="12"/>
      <c r="GZQ52" s="12"/>
      <c r="GZR52" s="12"/>
      <c r="GZS52" s="12"/>
      <c r="GZT52" s="12"/>
      <c r="GZU52" s="12"/>
      <c r="GZV52" s="12"/>
      <c r="GZW52" s="12"/>
      <c r="GZX52" s="12"/>
      <c r="GZY52" s="12"/>
      <c r="GZZ52" s="12"/>
      <c r="HAA52" s="12"/>
      <c r="HAB52" s="12"/>
      <c r="HAC52" s="12"/>
      <c r="HAD52" s="12"/>
      <c r="HAE52" s="12"/>
      <c r="HAF52" s="12"/>
      <c r="HAG52" s="12"/>
      <c r="HAH52" s="12"/>
      <c r="HAI52" s="12"/>
      <c r="HAJ52" s="12"/>
      <c r="HAK52" s="12"/>
      <c r="HAL52" s="12"/>
      <c r="HAM52" s="12"/>
      <c r="HAN52" s="12"/>
      <c r="HAO52" s="12"/>
      <c r="HAP52" s="12"/>
      <c r="HAQ52" s="12"/>
      <c r="HAR52" s="12"/>
      <c r="HAS52" s="12"/>
      <c r="HAT52" s="12"/>
      <c r="HAU52" s="12"/>
      <c r="HAV52" s="12"/>
      <c r="HAW52" s="12"/>
      <c r="HAX52" s="12"/>
      <c r="HAY52" s="12"/>
      <c r="HAZ52" s="12"/>
      <c r="HBA52" s="12"/>
      <c r="HBB52" s="12"/>
      <c r="HBC52" s="12"/>
      <c r="HBD52" s="12"/>
      <c r="HBE52" s="12"/>
      <c r="HBF52" s="12"/>
      <c r="HBG52" s="12"/>
      <c r="HBH52" s="12"/>
      <c r="HBI52" s="12"/>
      <c r="HBJ52" s="12"/>
      <c r="HBK52" s="12"/>
      <c r="HBL52" s="12"/>
      <c r="HBM52" s="12"/>
      <c r="HBN52" s="12"/>
      <c r="HBO52" s="12"/>
      <c r="HBP52" s="12"/>
      <c r="HBQ52" s="12"/>
      <c r="HBR52" s="12"/>
      <c r="HBS52" s="12"/>
      <c r="HBT52" s="12"/>
      <c r="HBU52" s="12"/>
      <c r="HBV52" s="12"/>
      <c r="HBW52" s="12"/>
      <c r="HBX52" s="12"/>
      <c r="HBY52" s="12"/>
      <c r="HBZ52" s="12"/>
      <c r="HCA52" s="12"/>
      <c r="HCB52" s="12"/>
      <c r="HCC52" s="12"/>
      <c r="HCD52" s="12"/>
      <c r="HCE52" s="12"/>
      <c r="HCF52" s="12"/>
      <c r="HCG52" s="12"/>
      <c r="HCH52" s="12"/>
      <c r="HCI52" s="12"/>
      <c r="HCJ52" s="12"/>
      <c r="HCK52" s="12"/>
      <c r="HCL52" s="12"/>
      <c r="HCM52" s="12"/>
      <c r="HCN52" s="12"/>
      <c r="HCO52" s="12"/>
      <c r="HCP52" s="12"/>
      <c r="HCQ52" s="12"/>
      <c r="HCR52" s="12"/>
      <c r="HCS52" s="12"/>
      <c r="HCT52" s="12"/>
      <c r="HCU52" s="12"/>
      <c r="HCV52" s="12"/>
      <c r="HCW52" s="12"/>
      <c r="HCX52" s="12"/>
      <c r="HCY52" s="12"/>
      <c r="HCZ52" s="12"/>
      <c r="HDA52" s="12"/>
      <c r="HDB52" s="12"/>
      <c r="HDC52" s="12"/>
      <c r="HDD52" s="12"/>
      <c r="HDE52" s="12"/>
      <c r="HDF52" s="12"/>
      <c r="HDG52" s="12"/>
      <c r="HDH52" s="12"/>
      <c r="HDI52" s="12"/>
      <c r="HDJ52" s="12"/>
      <c r="HDK52" s="12"/>
      <c r="HDL52" s="12"/>
      <c r="HDM52" s="12"/>
      <c r="HDN52" s="12"/>
      <c r="HDO52" s="12"/>
      <c r="HDP52" s="12"/>
      <c r="HDQ52" s="12"/>
      <c r="HDR52" s="12"/>
      <c r="HDS52" s="12"/>
      <c r="HDT52" s="12"/>
      <c r="HDU52" s="12"/>
      <c r="HDV52" s="12"/>
      <c r="HDW52" s="12"/>
      <c r="HDX52" s="12"/>
      <c r="HDY52" s="12"/>
      <c r="HDZ52" s="12"/>
      <c r="HEA52" s="12"/>
      <c r="HEB52" s="12"/>
      <c r="HEC52" s="12"/>
      <c r="HED52" s="12"/>
      <c r="HEE52" s="12"/>
      <c r="HEF52" s="12"/>
      <c r="HEG52" s="12"/>
      <c r="HEH52" s="12"/>
      <c r="HEI52" s="12"/>
      <c r="HEJ52" s="12"/>
      <c r="HEK52" s="12"/>
      <c r="HEL52" s="12"/>
      <c r="HEM52" s="12"/>
      <c r="HEN52" s="12"/>
      <c r="HEO52" s="12"/>
      <c r="HEP52" s="12"/>
      <c r="HEQ52" s="12"/>
      <c r="HER52" s="12"/>
      <c r="HES52" s="12"/>
      <c r="HET52" s="12"/>
      <c r="HEU52" s="12"/>
      <c r="HEV52" s="12"/>
      <c r="HEW52" s="12"/>
      <c r="HEX52" s="12"/>
      <c r="HEY52" s="12"/>
      <c r="HEZ52" s="12"/>
      <c r="HFA52" s="12"/>
      <c r="HFB52" s="12"/>
      <c r="HFC52" s="12"/>
      <c r="HFD52" s="12"/>
      <c r="HFE52" s="12"/>
      <c r="HFF52" s="12"/>
      <c r="HFG52" s="12"/>
      <c r="HFH52" s="12"/>
      <c r="HFI52" s="12"/>
      <c r="HFJ52" s="12"/>
      <c r="HFK52" s="12"/>
      <c r="HFL52" s="12"/>
      <c r="HFM52" s="12"/>
      <c r="HFN52" s="12"/>
      <c r="HFO52" s="12"/>
      <c r="HFP52" s="12"/>
      <c r="HFQ52" s="12"/>
      <c r="HFR52" s="12"/>
      <c r="HFS52" s="12"/>
      <c r="HFT52" s="12"/>
      <c r="HFU52" s="12"/>
      <c r="HFV52" s="12"/>
      <c r="HFW52" s="12"/>
      <c r="HFX52" s="12"/>
      <c r="HFY52" s="12"/>
      <c r="HFZ52" s="12"/>
      <c r="HGA52" s="12"/>
      <c r="HGB52" s="12"/>
      <c r="HGC52" s="12"/>
      <c r="HGD52" s="12"/>
      <c r="HGE52" s="12"/>
      <c r="HGF52" s="12"/>
      <c r="HGG52" s="12"/>
      <c r="HGH52" s="12"/>
      <c r="HGI52" s="12"/>
      <c r="HGJ52" s="12"/>
      <c r="HGK52" s="12"/>
      <c r="HGL52" s="12"/>
      <c r="HGM52" s="12"/>
      <c r="HGN52" s="12"/>
      <c r="HGO52" s="12"/>
      <c r="HGP52" s="12"/>
      <c r="HGQ52" s="12"/>
      <c r="HGR52" s="12"/>
      <c r="HGS52" s="12"/>
      <c r="HGT52" s="12"/>
      <c r="HGU52" s="12"/>
      <c r="HGV52" s="12"/>
      <c r="HGW52" s="12"/>
      <c r="HGX52" s="12"/>
      <c r="HGY52" s="12"/>
      <c r="HGZ52" s="12"/>
      <c r="HHA52" s="12"/>
      <c r="HHB52" s="12"/>
      <c r="HHC52" s="12"/>
      <c r="HHD52" s="12"/>
      <c r="HHE52" s="12"/>
      <c r="HHF52" s="12"/>
      <c r="HHG52" s="12"/>
      <c r="HHH52" s="12"/>
      <c r="HHI52" s="12"/>
      <c r="HHJ52" s="12"/>
      <c r="HHK52" s="12"/>
      <c r="HHL52" s="12"/>
      <c r="HHM52" s="12"/>
      <c r="HHN52" s="12"/>
      <c r="HHO52" s="12"/>
      <c r="HHP52" s="12"/>
      <c r="HHQ52" s="12"/>
      <c r="HHR52" s="12"/>
      <c r="HHS52" s="12"/>
      <c r="HHT52" s="12"/>
      <c r="HHU52" s="12"/>
      <c r="HHV52" s="12"/>
      <c r="HHW52" s="12"/>
      <c r="HHX52" s="12"/>
      <c r="HHY52" s="12"/>
      <c r="HHZ52" s="12"/>
      <c r="HIA52" s="12"/>
      <c r="HIB52" s="12"/>
      <c r="HIC52" s="12"/>
      <c r="HID52" s="12"/>
      <c r="HIE52" s="12"/>
      <c r="HIF52" s="12"/>
      <c r="HIG52" s="12"/>
      <c r="HIH52" s="12"/>
      <c r="HII52" s="12"/>
      <c r="HIJ52" s="12"/>
      <c r="HIK52" s="12"/>
      <c r="HIL52" s="12"/>
      <c r="HIM52" s="12"/>
      <c r="HIN52" s="12"/>
      <c r="HIO52" s="12"/>
      <c r="HIP52" s="12"/>
      <c r="HIQ52" s="12"/>
      <c r="HIR52" s="12"/>
      <c r="HIS52" s="12"/>
      <c r="HIT52" s="12"/>
      <c r="HIU52" s="12"/>
      <c r="HIV52" s="12"/>
      <c r="HIW52" s="12"/>
      <c r="HIX52" s="12"/>
      <c r="HIY52" s="12"/>
      <c r="HIZ52" s="12"/>
      <c r="HJA52" s="12"/>
      <c r="HJB52" s="12"/>
      <c r="HJC52" s="12"/>
      <c r="HJD52" s="12"/>
      <c r="HJE52" s="12"/>
      <c r="HJF52" s="12"/>
      <c r="HJG52" s="12"/>
      <c r="HJH52" s="12"/>
      <c r="HJI52" s="12"/>
      <c r="HJJ52" s="12"/>
      <c r="HJK52" s="12"/>
      <c r="HJL52" s="12"/>
      <c r="HJM52" s="12"/>
      <c r="HJN52" s="12"/>
      <c r="HJO52" s="12"/>
      <c r="HJP52" s="12"/>
      <c r="HJQ52" s="12"/>
      <c r="HJR52" s="12"/>
      <c r="HJS52" s="12"/>
      <c r="HJT52" s="12"/>
      <c r="HJU52" s="12"/>
      <c r="HJV52" s="12"/>
      <c r="HJW52" s="12"/>
      <c r="HJX52" s="12"/>
      <c r="HJY52" s="12"/>
      <c r="HJZ52" s="12"/>
      <c r="HKA52" s="12"/>
      <c r="HKB52" s="12"/>
      <c r="HKC52" s="12"/>
      <c r="HKD52" s="12"/>
      <c r="HKE52" s="12"/>
      <c r="HKF52" s="12"/>
      <c r="HKG52" s="12"/>
      <c r="HKH52" s="12"/>
      <c r="HKI52" s="12"/>
      <c r="HKJ52" s="12"/>
      <c r="HKK52" s="12"/>
      <c r="HKL52" s="12"/>
      <c r="HKM52" s="12"/>
      <c r="HKN52" s="12"/>
      <c r="HKO52" s="12"/>
      <c r="HKP52" s="12"/>
      <c r="HKQ52" s="12"/>
      <c r="HKR52" s="12"/>
      <c r="HKS52" s="12"/>
      <c r="HKT52" s="12"/>
      <c r="HKU52" s="12"/>
      <c r="HKV52" s="12"/>
      <c r="HKW52" s="12"/>
      <c r="HKX52" s="12"/>
      <c r="HKY52" s="12"/>
      <c r="HKZ52" s="12"/>
      <c r="HLA52" s="12"/>
      <c r="HLB52" s="12"/>
      <c r="HLC52" s="12"/>
      <c r="HLD52" s="12"/>
      <c r="HLE52" s="12"/>
      <c r="HLF52" s="12"/>
      <c r="HLG52" s="12"/>
      <c r="HLH52" s="12"/>
      <c r="HLI52" s="12"/>
      <c r="HLJ52" s="12"/>
      <c r="HLK52" s="12"/>
      <c r="HLL52" s="12"/>
      <c r="HLM52" s="12"/>
      <c r="HLN52" s="12"/>
      <c r="HLO52" s="12"/>
      <c r="HLP52" s="12"/>
      <c r="HLQ52" s="12"/>
      <c r="HLR52" s="12"/>
      <c r="HLS52" s="12"/>
      <c r="HLT52" s="12"/>
      <c r="HLU52" s="12"/>
      <c r="HLV52" s="12"/>
      <c r="HLW52" s="12"/>
      <c r="HLX52" s="12"/>
      <c r="HLY52" s="12"/>
      <c r="HLZ52" s="12"/>
      <c r="HMA52" s="12"/>
      <c r="HMB52" s="12"/>
      <c r="HMC52" s="12"/>
      <c r="HMD52" s="12"/>
      <c r="HME52" s="12"/>
      <c r="HMF52" s="12"/>
      <c r="HMG52" s="12"/>
      <c r="HMH52" s="12"/>
      <c r="HMI52" s="12"/>
      <c r="HMJ52" s="12"/>
      <c r="HMK52" s="12"/>
      <c r="HML52" s="12"/>
      <c r="HMM52" s="12"/>
      <c r="HMN52" s="12"/>
      <c r="HMO52" s="12"/>
      <c r="HMP52" s="12"/>
      <c r="HMQ52" s="12"/>
      <c r="HMR52" s="12"/>
      <c r="HMS52" s="12"/>
      <c r="HMT52" s="12"/>
      <c r="HMU52" s="12"/>
      <c r="HMV52" s="12"/>
      <c r="HMW52" s="12"/>
      <c r="HMX52" s="12"/>
      <c r="HMY52" s="12"/>
      <c r="HMZ52" s="12"/>
      <c r="HNA52" s="12"/>
      <c r="HNB52" s="12"/>
      <c r="HNC52" s="12"/>
      <c r="HND52" s="12"/>
      <c r="HNE52" s="12"/>
      <c r="HNF52" s="12"/>
      <c r="HNG52" s="12"/>
      <c r="HNH52" s="12"/>
      <c r="HNI52" s="12"/>
      <c r="HNJ52" s="12"/>
      <c r="HNK52" s="12"/>
      <c r="HNL52" s="12"/>
      <c r="HNM52" s="12"/>
      <c r="HNN52" s="12"/>
      <c r="HNO52" s="12"/>
      <c r="HNP52" s="12"/>
      <c r="HNQ52" s="12"/>
      <c r="HNR52" s="12"/>
      <c r="HNS52" s="12"/>
      <c r="HNT52" s="12"/>
      <c r="HNU52" s="12"/>
      <c r="HNV52" s="12"/>
      <c r="HNW52" s="12"/>
      <c r="HNX52" s="12"/>
      <c r="HNY52" s="12"/>
      <c r="HNZ52" s="12"/>
      <c r="HOA52" s="12"/>
      <c r="HOB52" s="12"/>
      <c r="HOC52" s="12"/>
      <c r="HOD52" s="12"/>
      <c r="HOE52" s="12"/>
      <c r="HOF52" s="12"/>
      <c r="HOG52" s="12"/>
      <c r="HOH52" s="12"/>
      <c r="HOI52" s="12"/>
      <c r="HOJ52" s="12"/>
      <c r="HOK52" s="12"/>
      <c r="HOL52" s="12"/>
      <c r="HOM52" s="12"/>
      <c r="HON52" s="12"/>
      <c r="HOO52" s="12"/>
      <c r="HOP52" s="12"/>
      <c r="HOQ52" s="12"/>
      <c r="HOR52" s="12"/>
      <c r="HOS52" s="12"/>
      <c r="HOT52" s="12"/>
      <c r="HOU52" s="12"/>
      <c r="HOV52" s="12"/>
      <c r="HOW52" s="12"/>
      <c r="HOX52" s="12"/>
      <c r="HOY52" s="12"/>
      <c r="HOZ52" s="12"/>
      <c r="HPA52" s="12"/>
      <c r="HPB52" s="12"/>
      <c r="HPC52" s="12"/>
      <c r="HPD52" s="12"/>
      <c r="HPE52" s="12"/>
      <c r="HPF52" s="12"/>
      <c r="HPG52" s="12"/>
      <c r="HPH52" s="12"/>
      <c r="HPI52" s="12"/>
      <c r="HPJ52" s="12"/>
      <c r="HPK52" s="12"/>
      <c r="HPL52" s="12"/>
      <c r="HPM52" s="12"/>
      <c r="HPN52" s="12"/>
      <c r="HPO52" s="12"/>
      <c r="HPP52" s="12"/>
      <c r="HPQ52" s="12"/>
      <c r="HPR52" s="12"/>
      <c r="HPS52" s="12"/>
      <c r="HPT52" s="12"/>
      <c r="HPU52" s="12"/>
      <c r="HPV52" s="12"/>
      <c r="HPW52" s="12"/>
      <c r="HPX52" s="12"/>
      <c r="HPY52" s="12"/>
      <c r="HPZ52" s="12"/>
      <c r="HQA52" s="12"/>
      <c r="HQB52" s="12"/>
      <c r="HQC52" s="12"/>
      <c r="HQD52" s="12"/>
      <c r="HQE52" s="12"/>
      <c r="HQF52" s="12"/>
      <c r="HQG52" s="12"/>
      <c r="HQH52" s="12"/>
      <c r="HQI52" s="12"/>
      <c r="HQJ52" s="12"/>
      <c r="HQK52" s="12"/>
      <c r="HQL52" s="12"/>
      <c r="HQM52" s="12"/>
      <c r="HQN52" s="12"/>
      <c r="HQO52" s="12"/>
      <c r="HQP52" s="12"/>
      <c r="HQQ52" s="12"/>
      <c r="HQR52" s="12"/>
      <c r="HQS52" s="12"/>
      <c r="HQT52" s="12"/>
      <c r="HQU52" s="12"/>
      <c r="HQV52" s="12"/>
      <c r="HQW52" s="12"/>
      <c r="HQX52" s="12"/>
      <c r="HQY52" s="12"/>
      <c r="HQZ52" s="12"/>
      <c r="HRA52" s="12"/>
      <c r="HRB52" s="12"/>
      <c r="HRC52" s="12"/>
      <c r="HRD52" s="12"/>
      <c r="HRE52" s="12"/>
      <c r="HRF52" s="12"/>
      <c r="HRG52" s="12"/>
      <c r="HRH52" s="12"/>
      <c r="HRI52" s="12"/>
      <c r="HRJ52" s="12"/>
      <c r="HRK52" s="12"/>
      <c r="HRL52" s="12"/>
      <c r="HRM52" s="12"/>
      <c r="HRN52" s="12"/>
      <c r="HRO52" s="12"/>
      <c r="HRP52" s="12"/>
      <c r="HRQ52" s="12"/>
      <c r="HRR52" s="12"/>
      <c r="HRS52" s="12"/>
      <c r="HRT52" s="12"/>
      <c r="HRU52" s="12"/>
      <c r="HRV52" s="12"/>
      <c r="HRW52" s="12"/>
      <c r="HRX52" s="12"/>
      <c r="HRY52" s="12"/>
      <c r="HRZ52" s="12"/>
      <c r="HSA52" s="12"/>
      <c r="HSB52" s="12"/>
      <c r="HSC52" s="12"/>
      <c r="HSD52" s="12"/>
      <c r="HSE52" s="12"/>
      <c r="HSF52" s="12"/>
      <c r="HSG52" s="12"/>
      <c r="HSH52" s="12"/>
      <c r="HSI52" s="12"/>
      <c r="HSJ52" s="12"/>
      <c r="HSK52" s="12"/>
      <c r="HSL52" s="12"/>
      <c r="HSM52" s="12"/>
      <c r="HSN52" s="12"/>
      <c r="HSO52" s="12"/>
      <c r="HSP52" s="12"/>
      <c r="HSQ52" s="12"/>
      <c r="HSR52" s="12"/>
      <c r="HSS52" s="12"/>
      <c r="HST52" s="12"/>
      <c r="HSU52" s="12"/>
      <c r="HSV52" s="12"/>
      <c r="HSW52" s="12"/>
      <c r="HSX52" s="12"/>
      <c r="HSY52" s="12"/>
      <c r="HSZ52" s="12"/>
      <c r="HTA52" s="12"/>
      <c r="HTB52" s="12"/>
      <c r="HTC52" s="12"/>
      <c r="HTD52" s="12"/>
      <c r="HTE52" s="12"/>
      <c r="HTF52" s="12"/>
      <c r="HTG52" s="12"/>
      <c r="HTH52" s="12"/>
      <c r="HTI52" s="12"/>
      <c r="HTJ52" s="12"/>
      <c r="HTK52" s="12"/>
      <c r="HTL52" s="12"/>
      <c r="HTM52" s="12"/>
      <c r="HTN52" s="12"/>
      <c r="HTO52" s="12"/>
      <c r="HTP52" s="12"/>
      <c r="HTQ52" s="12"/>
      <c r="HTR52" s="12"/>
      <c r="HTS52" s="12"/>
      <c r="HTT52" s="12"/>
      <c r="HTU52" s="12"/>
      <c r="HTV52" s="12"/>
      <c r="HTW52" s="12"/>
      <c r="HTX52" s="12"/>
      <c r="HTY52" s="12"/>
      <c r="HTZ52" s="12"/>
      <c r="HUA52" s="12"/>
      <c r="HUB52" s="12"/>
      <c r="HUC52" s="12"/>
      <c r="HUD52" s="12"/>
      <c r="HUE52" s="12"/>
      <c r="HUF52" s="12"/>
      <c r="HUG52" s="12"/>
      <c r="HUH52" s="12"/>
      <c r="HUI52" s="12"/>
      <c r="HUJ52" s="12"/>
      <c r="HUK52" s="12"/>
      <c r="HUL52" s="12"/>
      <c r="HUM52" s="12"/>
      <c r="HUN52" s="12"/>
      <c r="HUO52" s="12"/>
      <c r="HUP52" s="12"/>
      <c r="HUQ52" s="12"/>
      <c r="HUR52" s="12"/>
      <c r="HUS52" s="12"/>
      <c r="HUT52" s="12"/>
      <c r="HUU52" s="12"/>
      <c r="HUV52" s="12"/>
      <c r="HUW52" s="12"/>
      <c r="HUX52" s="12"/>
      <c r="HUY52" s="12"/>
      <c r="HUZ52" s="12"/>
      <c r="HVA52" s="12"/>
      <c r="HVB52" s="12"/>
      <c r="HVC52" s="12"/>
      <c r="HVD52" s="12"/>
      <c r="HVE52" s="12"/>
      <c r="HVF52" s="12"/>
      <c r="HVG52" s="12"/>
      <c r="HVH52" s="12"/>
      <c r="HVI52" s="12"/>
      <c r="HVJ52" s="12"/>
      <c r="HVK52" s="12"/>
      <c r="HVL52" s="12"/>
      <c r="HVM52" s="12"/>
      <c r="HVN52" s="12"/>
      <c r="HVO52" s="12"/>
      <c r="HVP52" s="12"/>
      <c r="HVQ52" s="12"/>
      <c r="HVR52" s="12"/>
      <c r="HVS52" s="12"/>
      <c r="HVT52" s="12"/>
      <c r="HVU52" s="12"/>
      <c r="HVV52" s="12"/>
      <c r="HVW52" s="12"/>
      <c r="HVX52" s="12"/>
      <c r="HVY52" s="12"/>
      <c r="HVZ52" s="12"/>
      <c r="HWA52" s="12"/>
      <c r="HWB52" s="12"/>
      <c r="HWC52" s="12"/>
      <c r="HWD52" s="12"/>
      <c r="HWE52" s="12"/>
      <c r="HWF52" s="12"/>
      <c r="HWG52" s="12"/>
      <c r="HWH52" s="12"/>
      <c r="HWI52" s="12"/>
      <c r="HWJ52" s="12"/>
      <c r="HWK52" s="12"/>
      <c r="HWL52" s="12"/>
      <c r="HWM52" s="12"/>
      <c r="HWN52" s="12"/>
      <c r="HWO52" s="12"/>
      <c r="HWP52" s="12"/>
      <c r="HWQ52" s="12"/>
      <c r="HWR52" s="12"/>
      <c r="HWS52" s="12"/>
      <c r="HWT52" s="12"/>
      <c r="HWU52" s="12"/>
      <c r="HWV52" s="12"/>
      <c r="HWW52" s="12"/>
      <c r="HWX52" s="12"/>
      <c r="HWY52" s="12"/>
      <c r="HWZ52" s="12"/>
      <c r="HXA52" s="12"/>
      <c r="HXB52" s="12"/>
      <c r="HXC52" s="12"/>
      <c r="HXD52" s="12"/>
      <c r="HXE52" s="12"/>
      <c r="HXF52" s="12"/>
      <c r="HXG52" s="12"/>
      <c r="HXH52" s="12"/>
      <c r="HXI52" s="12"/>
      <c r="HXJ52" s="12"/>
      <c r="HXK52" s="12"/>
      <c r="HXL52" s="12"/>
      <c r="HXM52" s="12"/>
      <c r="HXN52" s="12"/>
      <c r="HXO52" s="12"/>
      <c r="HXP52" s="12"/>
      <c r="HXQ52" s="12"/>
      <c r="HXR52" s="12"/>
      <c r="HXS52" s="12"/>
      <c r="HXT52" s="12"/>
      <c r="HXU52" s="12"/>
      <c r="HXV52" s="12"/>
      <c r="HXW52" s="12"/>
      <c r="HXX52" s="12"/>
      <c r="HXY52" s="12"/>
      <c r="HXZ52" s="12"/>
      <c r="HYA52" s="12"/>
      <c r="HYB52" s="12"/>
      <c r="HYC52" s="12"/>
      <c r="HYD52" s="12"/>
      <c r="HYE52" s="12"/>
      <c r="HYF52" s="12"/>
      <c r="HYG52" s="12"/>
      <c r="HYH52" s="12"/>
      <c r="HYI52" s="12"/>
      <c r="HYJ52" s="12"/>
      <c r="HYK52" s="12"/>
      <c r="HYL52" s="12"/>
      <c r="HYM52" s="12"/>
      <c r="HYN52" s="12"/>
      <c r="HYO52" s="12"/>
      <c r="HYP52" s="12"/>
      <c r="HYQ52" s="12"/>
      <c r="HYR52" s="12"/>
      <c r="HYS52" s="12"/>
      <c r="HYT52" s="12"/>
      <c r="HYU52" s="12"/>
      <c r="HYV52" s="12"/>
      <c r="HYW52" s="12"/>
      <c r="HYX52" s="12"/>
      <c r="HYY52" s="12"/>
      <c r="HYZ52" s="12"/>
      <c r="HZA52" s="12"/>
      <c r="HZB52" s="12"/>
      <c r="HZC52" s="12"/>
      <c r="HZD52" s="12"/>
      <c r="HZE52" s="12"/>
      <c r="HZF52" s="12"/>
      <c r="HZG52" s="12"/>
      <c r="HZH52" s="12"/>
      <c r="HZI52" s="12"/>
      <c r="HZJ52" s="12"/>
      <c r="HZK52" s="12"/>
      <c r="HZL52" s="12"/>
      <c r="HZM52" s="12"/>
      <c r="HZN52" s="12"/>
      <c r="HZO52" s="12"/>
      <c r="HZP52" s="12"/>
      <c r="HZQ52" s="12"/>
      <c r="HZR52" s="12"/>
      <c r="HZS52" s="12"/>
      <c r="HZT52" s="12"/>
      <c r="HZU52" s="12"/>
      <c r="HZV52" s="12"/>
      <c r="HZW52" s="12"/>
      <c r="HZX52" s="12"/>
      <c r="HZY52" s="12"/>
      <c r="HZZ52" s="12"/>
      <c r="IAA52" s="12"/>
      <c r="IAB52" s="12"/>
      <c r="IAC52" s="12"/>
      <c r="IAD52" s="12"/>
      <c r="IAE52" s="12"/>
      <c r="IAF52" s="12"/>
      <c r="IAG52" s="12"/>
      <c r="IAH52" s="12"/>
      <c r="IAI52" s="12"/>
      <c r="IAJ52" s="12"/>
      <c r="IAK52" s="12"/>
      <c r="IAL52" s="12"/>
      <c r="IAM52" s="12"/>
      <c r="IAN52" s="12"/>
      <c r="IAO52" s="12"/>
      <c r="IAP52" s="12"/>
      <c r="IAQ52" s="12"/>
      <c r="IAR52" s="12"/>
      <c r="IAS52" s="12"/>
      <c r="IAT52" s="12"/>
      <c r="IAU52" s="12"/>
      <c r="IAV52" s="12"/>
      <c r="IAW52" s="12"/>
      <c r="IAX52" s="12"/>
      <c r="IAY52" s="12"/>
      <c r="IAZ52" s="12"/>
      <c r="IBA52" s="12"/>
      <c r="IBB52" s="12"/>
      <c r="IBC52" s="12"/>
      <c r="IBD52" s="12"/>
      <c r="IBE52" s="12"/>
      <c r="IBF52" s="12"/>
      <c r="IBG52" s="12"/>
      <c r="IBH52" s="12"/>
      <c r="IBI52" s="12"/>
      <c r="IBJ52" s="12"/>
      <c r="IBK52" s="12"/>
      <c r="IBL52" s="12"/>
      <c r="IBM52" s="12"/>
      <c r="IBN52" s="12"/>
      <c r="IBO52" s="12"/>
      <c r="IBP52" s="12"/>
      <c r="IBQ52" s="12"/>
      <c r="IBR52" s="12"/>
      <c r="IBS52" s="12"/>
      <c r="IBT52" s="12"/>
      <c r="IBU52" s="12"/>
      <c r="IBV52" s="12"/>
      <c r="IBW52" s="12"/>
      <c r="IBX52" s="12"/>
      <c r="IBY52" s="12"/>
      <c r="IBZ52" s="12"/>
      <c r="ICA52" s="12"/>
      <c r="ICB52" s="12"/>
      <c r="ICC52" s="12"/>
      <c r="ICD52" s="12"/>
      <c r="ICE52" s="12"/>
      <c r="ICF52" s="12"/>
      <c r="ICG52" s="12"/>
      <c r="ICH52" s="12"/>
      <c r="ICI52" s="12"/>
      <c r="ICJ52" s="12"/>
      <c r="ICK52" s="12"/>
      <c r="ICL52" s="12"/>
      <c r="ICM52" s="12"/>
      <c r="ICN52" s="12"/>
      <c r="ICO52" s="12"/>
      <c r="ICP52" s="12"/>
      <c r="ICQ52" s="12"/>
      <c r="ICR52" s="12"/>
      <c r="ICS52" s="12"/>
      <c r="ICT52" s="12"/>
      <c r="ICU52" s="12"/>
      <c r="ICV52" s="12"/>
      <c r="ICW52" s="12"/>
      <c r="ICX52" s="12"/>
      <c r="ICY52" s="12"/>
      <c r="ICZ52" s="12"/>
      <c r="IDA52" s="12"/>
      <c r="IDB52" s="12"/>
      <c r="IDC52" s="12"/>
      <c r="IDD52" s="12"/>
      <c r="IDE52" s="12"/>
      <c r="IDF52" s="12"/>
      <c r="IDG52" s="12"/>
      <c r="IDH52" s="12"/>
      <c r="IDI52" s="12"/>
      <c r="IDJ52" s="12"/>
      <c r="IDK52" s="12"/>
      <c r="IDL52" s="12"/>
      <c r="IDM52" s="12"/>
      <c r="IDN52" s="12"/>
      <c r="IDO52" s="12"/>
      <c r="IDP52" s="12"/>
      <c r="IDQ52" s="12"/>
      <c r="IDR52" s="12"/>
      <c r="IDS52" s="12"/>
      <c r="IDT52" s="12"/>
      <c r="IDU52" s="12"/>
      <c r="IDV52" s="12"/>
      <c r="IDW52" s="12"/>
      <c r="IDX52" s="12"/>
      <c r="IDY52" s="12"/>
      <c r="IDZ52" s="12"/>
      <c r="IEA52" s="12"/>
      <c r="IEB52" s="12"/>
      <c r="IEC52" s="12"/>
      <c r="IED52" s="12"/>
      <c r="IEE52" s="12"/>
      <c r="IEF52" s="12"/>
      <c r="IEG52" s="12"/>
      <c r="IEH52" s="12"/>
      <c r="IEI52" s="12"/>
      <c r="IEJ52" s="12"/>
      <c r="IEK52" s="12"/>
      <c r="IEL52" s="12"/>
      <c r="IEM52" s="12"/>
      <c r="IEN52" s="12"/>
      <c r="IEO52" s="12"/>
      <c r="IEP52" s="12"/>
      <c r="IEQ52" s="12"/>
      <c r="IER52" s="12"/>
      <c r="IES52" s="12"/>
      <c r="IET52" s="12"/>
      <c r="IEU52" s="12"/>
      <c r="IEV52" s="12"/>
      <c r="IEW52" s="12"/>
      <c r="IEX52" s="12"/>
      <c r="IEY52" s="12"/>
      <c r="IEZ52" s="12"/>
      <c r="IFA52" s="12"/>
      <c r="IFB52" s="12"/>
      <c r="IFC52" s="12"/>
      <c r="IFD52" s="12"/>
      <c r="IFE52" s="12"/>
      <c r="IFF52" s="12"/>
      <c r="IFG52" s="12"/>
      <c r="IFH52" s="12"/>
      <c r="IFI52" s="12"/>
      <c r="IFJ52" s="12"/>
      <c r="IFK52" s="12"/>
      <c r="IFL52" s="12"/>
      <c r="IFM52" s="12"/>
      <c r="IFN52" s="12"/>
      <c r="IFO52" s="12"/>
      <c r="IFP52" s="12"/>
      <c r="IFQ52" s="12"/>
      <c r="IFR52" s="12"/>
      <c r="IFS52" s="12"/>
      <c r="IFT52" s="12"/>
      <c r="IFU52" s="12"/>
      <c r="IFV52" s="12"/>
      <c r="IFW52" s="12"/>
      <c r="IFX52" s="12"/>
      <c r="IFY52" s="12"/>
      <c r="IFZ52" s="12"/>
      <c r="IGA52" s="12"/>
      <c r="IGB52" s="12"/>
      <c r="IGC52" s="12"/>
      <c r="IGD52" s="12"/>
      <c r="IGE52" s="12"/>
      <c r="IGF52" s="12"/>
      <c r="IGG52" s="12"/>
      <c r="IGH52" s="12"/>
      <c r="IGI52" s="12"/>
      <c r="IGJ52" s="12"/>
      <c r="IGK52" s="12"/>
      <c r="IGL52" s="12"/>
      <c r="IGM52" s="12"/>
      <c r="IGN52" s="12"/>
      <c r="IGO52" s="12"/>
      <c r="IGP52" s="12"/>
      <c r="IGQ52" s="12"/>
      <c r="IGR52" s="12"/>
      <c r="IGS52" s="12"/>
      <c r="IGT52" s="12"/>
      <c r="IGU52" s="12"/>
      <c r="IGV52" s="12"/>
      <c r="IGW52" s="12"/>
      <c r="IGX52" s="12"/>
      <c r="IGY52" s="12"/>
      <c r="IGZ52" s="12"/>
      <c r="IHA52" s="12"/>
      <c r="IHB52" s="12"/>
      <c r="IHC52" s="12"/>
      <c r="IHD52" s="12"/>
      <c r="IHE52" s="12"/>
      <c r="IHF52" s="12"/>
      <c r="IHG52" s="12"/>
      <c r="IHH52" s="12"/>
      <c r="IHI52" s="12"/>
      <c r="IHJ52" s="12"/>
      <c r="IHK52" s="12"/>
      <c r="IHL52" s="12"/>
      <c r="IHM52" s="12"/>
      <c r="IHN52" s="12"/>
      <c r="IHO52" s="12"/>
      <c r="IHP52" s="12"/>
      <c r="IHQ52" s="12"/>
      <c r="IHR52" s="12"/>
      <c r="IHS52" s="12"/>
      <c r="IHT52" s="12"/>
      <c r="IHU52" s="12"/>
      <c r="IHV52" s="12"/>
      <c r="IHW52" s="12"/>
      <c r="IHX52" s="12"/>
      <c r="IHY52" s="12"/>
      <c r="IHZ52" s="12"/>
      <c r="IIA52" s="12"/>
      <c r="IIB52" s="12"/>
      <c r="IIC52" s="12"/>
      <c r="IID52" s="12"/>
      <c r="IIE52" s="12"/>
      <c r="IIF52" s="12"/>
      <c r="IIG52" s="12"/>
      <c r="IIH52" s="12"/>
      <c r="III52" s="12"/>
      <c r="IIJ52" s="12"/>
      <c r="IIK52" s="12"/>
      <c r="IIL52" s="12"/>
      <c r="IIM52" s="12"/>
      <c r="IIN52" s="12"/>
      <c r="IIO52" s="12"/>
      <c r="IIP52" s="12"/>
      <c r="IIQ52" s="12"/>
      <c r="IIR52" s="12"/>
      <c r="IIS52" s="12"/>
      <c r="IIT52" s="12"/>
      <c r="IIU52" s="12"/>
      <c r="IIV52" s="12"/>
      <c r="IIW52" s="12"/>
      <c r="IIX52" s="12"/>
      <c r="IIY52" s="12"/>
      <c r="IIZ52" s="12"/>
      <c r="IJA52" s="12"/>
      <c r="IJB52" s="12"/>
      <c r="IJC52" s="12"/>
      <c r="IJD52" s="12"/>
      <c r="IJE52" s="12"/>
      <c r="IJF52" s="12"/>
      <c r="IJG52" s="12"/>
      <c r="IJH52" s="12"/>
      <c r="IJI52" s="12"/>
      <c r="IJJ52" s="12"/>
      <c r="IJK52" s="12"/>
      <c r="IJL52" s="12"/>
      <c r="IJM52" s="12"/>
      <c r="IJN52" s="12"/>
      <c r="IJO52" s="12"/>
      <c r="IJP52" s="12"/>
      <c r="IJQ52" s="12"/>
      <c r="IJR52" s="12"/>
      <c r="IJS52" s="12"/>
      <c r="IJT52" s="12"/>
      <c r="IJU52" s="12"/>
      <c r="IJV52" s="12"/>
      <c r="IJW52" s="12"/>
      <c r="IJX52" s="12"/>
      <c r="IJY52" s="12"/>
      <c r="IJZ52" s="12"/>
      <c r="IKA52" s="12"/>
      <c r="IKB52" s="12"/>
      <c r="IKC52" s="12"/>
      <c r="IKD52" s="12"/>
      <c r="IKE52" s="12"/>
      <c r="IKF52" s="12"/>
      <c r="IKG52" s="12"/>
      <c r="IKH52" s="12"/>
      <c r="IKI52" s="12"/>
      <c r="IKJ52" s="12"/>
      <c r="IKK52" s="12"/>
      <c r="IKL52" s="12"/>
      <c r="IKM52" s="12"/>
      <c r="IKN52" s="12"/>
      <c r="IKO52" s="12"/>
      <c r="IKP52" s="12"/>
      <c r="IKQ52" s="12"/>
      <c r="IKR52" s="12"/>
      <c r="IKS52" s="12"/>
      <c r="IKT52" s="12"/>
      <c r="IKU52" s="12"/>
      <c r="IKV52" s="12"/>
      <c r="IKW52" s="12"/>
      <c r="IKX52" s="12"/>
      <c r="IKY52" s="12"/>
      <c r="IKZ52" s="12"/>
      <c r="ILA52" s="12"/>
      <c r="ILB52" s="12"/>
      <c r="ILC52" s="12"/>
      <c r="ILD52" s="12"/>
      <c r="ILE52" s="12"/>
      <c r="ILF52" s="12"/>
      <c r="ILG52" s="12"/>
      <c r="ILH52" s="12"/>
      <c r="ILI52" s="12"/>
      <c r="ILJ52" s="12"/>
      <c r="ILK52" s="12"/>
      <c r="ILL52" s="12"/>
      <c r="ILM52" s="12"/>
      <c r="ILN52" s="12"/>
      <c r="ILO52" s="12"/>
      <c r="ILP52" s="12"/>
      <c r="ILQ52" s="12"/>
      <c r="ILR52" s="12"/>
      <c r="ILS52" s="12"/>
      <c r="ILT52" s="12"/>
      <c r="ILU52" s="12"/>
      <c r="ILV52" s="12"/>
      <c r="ILW52" s="12"/>
      <c r="ILX52" s="12"/>
      <c r="ILY52" s="12"/>
      <c r="ILZ52" s="12"/>
      <c r="IMA52" s="12"/>
      <c r="IMB52" s="12"/>
      <c r="IMC52" s="12"/>
      <c r="IMD52" s="12"/>
      <c r="IME52" s="12"/>
      <c r="IMF52" s="12"/>
      <c r="IMG52" s="12"/>
      <c r="IMH52" s="12"/>
      <c r="IMI52" s="12"/>
      <c r="IMJ52" s="12"/>
      <c r="IMK52" s="12"/>
      <c r="IML52" s="12"/>
      <c r="IMM52" s="12"/>
      <c r="IMN52" s="12"/>
      <c r="IMO52" s="12"/>
      <c r="IMP52" s="12"/>
      <c r="IMQ52" s="12"/>
      <c r="IMR52" s="12"/>
      <c r="IMS52" s="12"/>
      <c r="IMT52" s="12"/>
      <c r="IMU52" s="12"/>
      <c r="IMV52" s="12"/>
      <c r="IMW52" s="12"/>
      <c r="IMX52" s="12"/>
      <c r="IMY52" s="12"/>
      <c r="IMZ52" s="12"/>
      <c r="INA52" s="12"/>
      <c r="INB52" s="12"/>
      <c r="INC52" s="12"/>
      <c r="IND52" s="12"/>
      <c r="INE52" s="12"/>
      <c r="INF52" s="12"/>
      <c r="ING52" s="12"/>
      <c r="INH52" s="12"/>
      <c r="INI52" s="12"/>
      <c r="INJ52" s="12"/>
      <c r="INK52" s="12"/>
      <c r="INL52" s="12"/>
      <c r="INM52" s="12"/>
      <c r="INN52" s="12"/>
      <c r="INO52" s="12"/>
      <c r="INP52" s="12"/>
      <c r="INQ52" s="12"/>
      <c r="INR52" s="12"/>
      <c r="INS52" s="12"/>
      <c r="INT52" s="12"/>
      <c r="INU52" s="12"/>
      <c r="INV52" s="12"/>
      <c r="INW52" s="12"/>
      <c r="INX52" s="12"/>
      <c r="INY52" s="12"/>
      <c r="INZ52" s="12"/>
      <c r="IOA52" s="12"/>
      <c r="IOB52" s="12"/>
      <c r="IOC52" s="12"/>
      <c r="IOD52" s="12"/>
      <c r="IOE52" s="12"/>
      <c r="IOF52" s="12"/>
      <c r="IOG52" s="12"/>
      <c r="IOH52" s="12"/>
      <c r="IOI52" s="12"/>
      <c r="IOJ52" s="12"/>
      <c r="IOK52" s="12"/>
      <c r="IOL52" s="12"/>
      <c r="IOM52" s="12"/>
      <c r="ION52" s="12"/>
      <c r="IOO52" s="12"/>
      <c r="IOP52" s="12"/>
      <c r="IOQ52" s="12"/>
      <c r="IOR52" s="12"/>
      <c r="IOS52" s="12"/>
      <c r="IOT52" s="12"/>
      <c r="IOU52" s="12"/>
      <c r="IOV52" s="12"/>
      <c r="IOW52" s="12"/>
      <c r="IOX52" s="12"/>
      <c r="IOY52" s="12"/>
      <c r="IOZ52" s="12"/>
      <c r="IPA52" s="12"/>
      <c r="IPB52" s="12"/>
      <c r="IPC52" s="12"/>
      <c r="IPD52" s="12"/>
      <c r="IPE52" s="12"/>
      <c r="IPF52" s="12"/>
      <c r="IPG52" s="12"/>
      <c r="IPH52" s="12"/>
      <c r="IPI52" s="12"/>
      <c r="IPJ52" s="12"/>
      <c r="IPK52" s="12"/>
      <c r="IPL52" s="12"/>
      <c r="IPM52" s="12"/>
      <c r="IPN52" s="12"/>
      <c r="IPO52" s="12"/>
      <c r="IPP52" s="12"/>
      <c r="IPQ52" s="12"/>
      <c r="IPR52" s="12"/>
      <c r="IPS52" s="12"/>
      <c r="IPT52" s="12"/>
      <c r="IPU52" s="12"/>
      <c r="IPV52" s="12"/>
      <c r="IPW52" s="12"/>
      <c r="IPX52" s="12"/>
      <c r="IPY52" s="12"/>
      <c r="IPZ52" s="12"/>
      <c r="IQA52" s="12"/>
      <c r="IQB52" s="12"/>
      <c r="IQC52" s="12"/>
      <c r="IQD52" s="12"/>
      <c r="IQE52" s="12"/>
      <c r="IQF52" s="12"/>
      <c r="IQG52" s="12"/>
      <c r="IQH52" s="12"/>
      <c r="IQI52" s="12"/>
      <c r="IQJ52" s="12"/>
      <c r="IQK52" s="12"/>
      <c r="IQL52" s="12"/>
      <c r="IQM52" s="12"/>
      <c r="IQN52" s="12"/>
      <c r="IQO52" s="12"/>
      <c r="IQP52" s="12"/>
      <c r="IQQ52" s="12"/>
      <c r="IQR52" s="12"/>
      <c r="IQS52" s="12"/>
      <c r="IQT52" s="12"/>
      <c r="IQU52" s="12"/>
      <c r="IQV52" s="12"/>
      <c r="IQW52" s="12"/>
      <c r="IQX52" s="12"/>
      <c r="IQY52" s="12"/>
      <c r="IQZ52" s="12"/>
      <c r="IRA52" s="12"/>
      <c r="IRB52" s="12"/>
      <c r="IRC52" s="12"/>
      <c r="IRD52" s="12"/>
      <c r="IRE52" s="12"/>
      <c r="IRF52" s="12"/>
      <c r="IRG52" s="12"/>
      <c r="IRH52" s="12"/>
      <c r="IRI52" s="12"/>
      <c r="IRJ52" s="12"/>
      <c r="IRK52" s="12"/>
      <c r="IRL52" s="12"/>
      <c r="IRM52" s="12"/>
      <c r="IRN52" s="12"/>
      <c r="IRO52" s="12"/>
      <c r="IRP52" s="12"/>
      <c r="IRQ52" s="12"/>
      <c r="IRR52" s="12"/>
      <c r="IRS52" s="12"/>
      <c r="IRT52" s="12"/>
      <c r="IRU52" s="12"/>
      <c r="IRV52" s="12"/>
      <c r="IRW52" s="12"/>
      <c r="IRX52" s="12"/>
      <c r="IRY52" s="12"/>
      <c r="IRZ52" s="12"/>
      <c r="ISA52" s="12"/>
      <c r="ISB52" s="12"/>
      <c r="ISC52" s="12"/>
      <c r="ISD52" s="12"/>
      <c r="ISE52" s="12"/>
      <c r="ISF52" s="12"/>
      <c r="ISG52" s="12"/>
      <c r="ISH52" s="12"/>
      <c r="ISI52" s="12"/>
      <c r="ISJ52" s="12"/>
      <c r="ISK52" s="12"/>
      <c r="ISL52" s="12"/>
      <c r="ISM52" s="12"/>
      <c r="ISN52" s="12"/>
      <c r="ISO52" s="12"/>
      <c r="ISP52" s="12"/>
      <c r="ISQ52" s="12"/>
      <c r="ISR52" s="12"/>
      <c r="ISS52" s="12"/>
      <c r="IST52" s="12"/>
      <c r="ISU52" s="12"/>
      <c r="ISV52" s="12"/>
      <c r="ISW52" s="12"/>
      <c r="ISX52" s="12"/>
      <c r="ISY52" s="12"/>
      <c r="ISZ52" s="12"/>
      <c r="ITA52" s="12"/>
      <c r="ITB52" s="12"/>
      <c r="ITC52" s="12"/>
      <c r="ITD52" s="12"/>
      <c r="ITE52" s="12"/>
      <c r="ITF52" s="12"/>
      <c r="ITG52" s="12"/>
      <c r="ITH52" s="12"/>
      <c r="ITI52" s="12"/>
      <c r="ITJ52" s="12"/>
      <c r="ITK52" s="12"/>
      <c r="ITL52" s="12"/>
      <c r="ITM52" s="12"/>
      <c r="ITN52" s="12"/>
      <c r="ITO52" s="12"/>
      <c r="ITP52" s="12"/>
      <c r="ITQ52" s="12"/>
      <c r="ITR52" s="12"/>
      <c r="ITS52" s="12"/>
      <c r="ITT52" s="12"/>
      <c r="ITU52" s="12"/>
      <c r="ITV52" s="12"/>
      <c r="ITW52" s="12"/>
      <c r="ITX52" s="12"/>
      <c r="ITY52" s="12"/>
      <c r="ITZ52" s="12"/>
      <c r="IUA52" s="12"/>
      <c r="IUB52" s="12"/>
      <c r="IUC52" s="12"/>
      <c r="IUD52" s="12"/>
      <c r="IUE52" s="12"/>
      <c r="IUF52" s="12"/>
      <c r="IUG52" s="12"/>
      <c r="IUH52" s="12"/>
      <c r="IUI52" s="12"/>
      <c r="IUJ52" s="12"/>
      <c r="IUK52" s="12"/>
      <c r="IUL52" s="12"/>
      <c r="IUM52" s="12"/>
      <c r="IUN52" s="12"/>
      <c r="IUO52" s="12"/>
      <c r="IUP52" s="12"/>
      <c r="IUQ52" s="12"/>
      <c r="IUR52" s="12"/>
      <c r="IUS52" s="12"/>
      <c r="IUT52" s="12"/>
      <c r="IUU52" s="12"/>
      <c r="IUV52" s="12"/>
      <c r="IUW52" s="12"/>
      <c r="IUX52" s="12"/>
      <c r="IUY52" s="12"/>
      <c r="IUZ52" s="12"/>
      <c r="IVA52" s="12"/>
      <c r="IVB52" s="12"/>
      <c r="IVC52" s="12"/>
      <c r="IVD52" s="12"/>
      <c r="IVE52" s="12"/>
      <c r="IVF52" s="12"/>
      <c r="IVG52" s="12"/>
      <c r="IVH52" s="12"/>
      <c r="IVI52" s="12"/>
      <c r="IVJ52" s="12"/>
      <c r="IVK52" s="12"/>
      <c r="IVL52" s="12"/>
      <c r="IVM52" s="12"/>
      <c r="IVN52" s="12"/>
      <c r="IVO52" s="12"/>
      <c r="IVP52" s="12"/>
      <c r="IVQ52" s="12"/>
      <c r="IVR52" s="12"/>
      <c r="IVS52" s="12"/>
      <c r="IVT52" s="12"/>
      <c r="IVU52" s="12"/>
      <c r="IVV52" s="12"/>
      <c r="IVW52" s="12"/>
      <c r="IVX52" s="12"/>
      <c r="IVY52" s="12"/>
      <c r="IVZ52" s="12"/>
      <c r="IWA52" s="12"/>
      <c r="IWB52" s="12"/>
      <c r="IWC52" s="12"/>
      <c r="IWD52" s="12"/>
      <c r="IWE52" s="12"/>
      <c r="IWF52" s="12"/>
      <c r="IWG52" s="12"/>
      <c r="IWH52" s="12"/>
      <c r="IWI52" s="12"/>
      <c r="IWJ52" s="12"/>
      <c r="IWK52" s="12"/>
      <c r="IWL52" s="12"/>
      <c r="IWM52" s="12"/>
      <c r="IWN52" s="12"/>
      <c r="IWO52" s="12"/>
      <c r="IWP52" s="12"/>
      <c r="IWQ52" s="12"/>
      <c r="IWR52" s="12"/>
      <c r="IWS52" s="12"/>
      <c r="IWT52" s="12"/>
      <c r="IWU52" s="12"/>
      <c r="IWV52" s="12"/>
      <c r="IWW52" s="12"/>
      <c r="IWX52" s="12"/>
      <c r="IWY52" s="12"/>
      <c r="IWZ52" s="12"/>
      <c r="IXA52" s="12"/>
      <c r="IXB52" s="12"/>
      <c r="IXC52" s="12"/>
      <c r="IXD52" s="12"/>
      <c r="IXE52" s="12"/>
      <c r="IXF52" s="12"/>
      <c r="IXG52" s="12"/>
      <c r="IXH52" s="12"/>
      <c r="IXI52" s="12"/>
      <c r="IXJ52" s="12"/>
      <c r="IXK52" s="12"/>
      <c r="IXL52" s="12"/>
      <c r="IXM52" s="12"/>
      <c r="IXN52" s="12"/>
      <c r="IXO52" s="12"/>
      <c r="IXP52" s="12"/>
      <c r="IXQ52" s="12"/>
      <c r="IXR52" s="12"/>
      <c r="IXS52" s="12"/>
      <c r="IXT52" s="12"/>
      <c r="IXU52" s="12"/>
      <c r="IXV52" s="12"/>
      <c r="IXW52" s="12"/>
      <c r="IXX52" s="12"/>
      <c r="IXY52" s="12"/>
      <c r="IXZ52" s="12"/>
      <c r="IYA52" s="12"/>
      <c r="IYB52" s="12"/>
      <c r="IYC52" s="12"/>
      <c r="IYD52" s="12"/>
      <c r="IYE52" s="12"/>
      <c r="IYF52" s="12"/>
      <c r="IYG52" s="12"/>
      <c r="IYH52" s="12"/>
      <c r="IYI52" s="12"/>
      <c r="IYJ52" s="12"/>
      <c r="IYK52" s="12"/>
      <c r="IYL52" s="12"/>
      <c r="IYM52" s="12"/>
      <c r="IYN52" s="12"/>
      <c r="IYO52" s="12"/>
      <c r="IYP52" s="12"/>
      <c r="IYQ52" s="12"/>
      <c r="IYR52" s="12"/>
      <c r="IYS52" s="12"/>
      <c r="IYT52" s="12"/>
      <c r="IYU52" s="12"/>
      <c r="IYV52" s="12"/>
      <c r="IYW52" s="12"/>
      <c r="IYX52" s="12"/>
      <c r="IYY52" s="12"/>
      <c r="IYZ52" s="12"/>
      <c r="IZA52" s="12"/>
      <c r="IZB52" s="12"/>
      <c r="IZC52" s="12"/>
      <c r="IZD52" s="12"/>
      <c r="IZE52" s="12"/>
      <c r="IZF52" s="12"/>
      <c r="IZG52" s="12"/>
      <c r="IZH52" s="12"/>
      <c r="IZI52" s="12"/>
      <c r="IZJ52" s="12"/>
      <c r="IZK52" s="12"/>
      <c r="IZL52" s="12"/>
      <c r="IZM52" s="12"/>
      <c r="IZN52" s="12"/>
      <c r="IZO52" s="12"/>
      <c r="IZP52" s="12"/>
      <c r="IZQ52" s="12"/>
      <c r="IZR52" s="12"/>
      <c r="IZS52" s="12"/>
      <c r="IZT52" s="12"/>
      <c r="IZU52" s="12"/>
      <c r="IZV52" s="12"/>
      <c r="IZW52" s="12"/>
      <c r="IZX52" s="12"/>
      <c r="IZY52" s="12"/>
      <c r="IZZ52" s="12"/>
      <c r="JAA52" s="12"/>
      <c r="JAB52" s="12"/>
      <c r="JAC52" s="12"/>
      <c r="JAD52" s="12"/>
      <c r="JAE52" s="12"/>
      <c r="JAF52" s="12"/>
      <c r="JAG52" s="12"/>
      <c r="JAH52" s="12"/>
      <c r="JAI52" s="12"/>
      <c r="JAJ52" s="12"/>
      <c r="JAK52" s="12"/>
      <c r="JAL52" s="12"/>
      <c r="JAM52" s="12"/>
      <c r="JAN52" s="12"/>
      <c r="JAO52" s="12"/>
      <c r="JAP52" s="12"/>
      <c r="JAQ52" s="12"/>
      <c r="JAR52" s="12"/>
      <c r="JAS52" s="12"/>
      <c r="JAT52" s="12"/>
      <c r="JAU52" s="12"/>
      <c r="JAV52" s="12"/>
      <c r="JAW52" s="12"/>
      <c r="JAX52" s="12"/>
      <c r="JAY52" s="12"/>
      <c r="JAZ52" s="12"/>
      <c r="JBA52" s="12"/>
      <c r="JBB52" s="12"/>
      <c r="JBC52" s="12"/>
      <c r="JBD52" s="12"/>
      <c r="JBE52" s="12"/>
      <c r="JBF52" s="12"/>
      <c r="JBG52" s="12"/>
      <c r="JBH52" s="12"/>
      <c r="JBI52" s="12"/>
      <c r="JBJ52" s="12"/>
      <c r="JBK52" s="12"/>
      <c r="JBL52" s="12"/>
      <c r="JBM52" s="12"/>
      <c r="JBN52" s="12"/>
      <c r="JBO52" s="12"/>
      <c r="JBP52" s="12"/>
      <c r="JBQ52" s="12"/>
      <c r="JBR52" s="12"/>
      <c r="JBS52" s="12"/>
      <c r="JBT52" s="12"/>
      <c r="JBU52" s="12"/>
      <c r="JBV52" s="12"/>
      <c r="JBW52" s="12"/>
      <c r="JBX52" s="12"/>
      <c r="JBY52" s="12"/>
      <c r="JBZ52" s="12"/>
      <c r="JCA52" s="12"/>
      <c r="JCB52" s="12"/>
      <c r="JCC52" s="12"/>
      <c r="JCD52" s="12"/>
      <c r="JCE52" s="12"/>
      <c r="JCF52" s="12"/>
      <c r="JCG52" s="12"/>
      <c r="JCH52" s="12"/>
      <c r="JCI52" s="12"/>
      <c r="JCJ52" s="12"/>
      <c r="JCK52" s="12"/>
      <c r="JCL52" s="12"/>
      <c r="JCM52" s="12"/>
      <c r="JCN52" s="12"/>
      <c r="JCO52" s="12"/>
      <c r="JCP52" s="12"/>
      <c r="JCQ52" s="12"/>
      <c r="JCR52" s="12"/>
      <c r="JCS52" s="12"/>
      <c r="JCT52" s="12"/>
      <c r="JCU52" s="12"/>
      <c r="JCV52" s="12"/>
      <c r="JCW52" s="12"/>
      <c r="JCX52" s="12"/>
      <c r="JCY52" s="12"/>
      <c r="JCZ52" s="12"/>
      <c r="JDA52" s="12"/>
      <c r="JDB52" s="12"/>
      <c r="JDC52" s="12"/>
      <c r="JDD52" s="12"/>
      <c r="JDE52" s="12"/>
      <c r="JDF52" s="12"/>
      <c r="JDG52" s="12"/>
      <c r="JDH52" s="12"/>
      <c r="JDI52" s="12"/>
      <c r="JDJ52" s="12"/>
      <c r="JDK52" s="12"/>
      <c r="JDL52" s="12"/>
      <c r="JDM52" s="12"/>
      <c r="JDN52" s="12"/>
      <c r="JDO52" s="12"/>
      <c r="JDP52" s="12"/>
      <c r="JDQ52" s="12"/>
      <c r="JDR52" s="12"/>
      <c r="JDS52" s="12"/>
      <c r="JDT52" s="12"/>
      <c r="JDU52" s="12"/>
      <c r="JDV52" s="12"/>
      <c r="JDW52" s="12"/>
      <c r="JDX52" s="12"/>
      <c r="JDY52" s="12"/>
      <c r="JDZ52" s="12"/>
      <c r="JEA52" s="12"/>
      <c r="JEB52" s="12"/>
      <c r="JEC52" s="12"/>
      <c r="JED52" s="12"/>
      <c r="JEE52" s="12"/>
      <c r="JEF52" s="12"/>
      <c r="JEG52" s="12"/>
      <c r="JEH52" s="12"/>
      <c r="JEI52" s="12"/>
      <c r="JEJ52" s="12"/>
      <c r="JEK52" s="12"/>
      <c r="JEL52" s="12"/>
      <c r="JEM52" s="12"/>
      <c r="JEN52" s="12"/>
      <c r="JEO52" s="12"/>
      <c r="JEP52" s="12"/>
      <c r="JEQ52" s="12"/>
      <c r="JER52" s="12"/>
      <c r="JES52" s="12"/>
      <c r="JET52" s="12"/>
      <c r="JEU52" s="12"/>
      <c r="JEV52" s="12"/>
      <c r="JEW52" s="12"/>
      <c r="JEX52" s="12"/>
      <c r="JEY52" s="12"/>
      <c r="JEZ52" s="12"/>
      <c r="JFA52" s="12"/>
      <c r="JFB52" s="12"/>
      <c r="JFC52" s="12"/>
      <c r="JFD52" s="12"/>
      <c r="JFE52" s="12"/>
      <c r="JFF52" s="12"/>
      <c r="JFG52" s="12"/>
      <c r="JFH52" s="12"/>
      <c r="JFI52" s="12"/>
      <c r="JFJ52" s="12"/>
      <c r="JFK52" s="12"/>
      <c r="JFL52" s="12"/>
      <c r="JFM52" s="12"/>
      <c r="JFN52" s="12"/>
      <c r="JFO52" s="12"/>
      <c r="JFP52" s="12"/>
      <c r="JFQ52" s="12"/>
      <c r="JFR52" s="12"/>
      <c r="JFS52" s="12"/>
      <c r="JFT52" s="12"/>
      <c r="JFU52" s="12"/>
      <c r="JFV52" s="12"/>
      <c r="JFW52" s="12"/>
      <c r="JFX52" s="12"/>
      <c r="JFY52" s="12"/>
      <c r="JFZ52" s="12"/>
      <c r="JGA52" s="12"/>
      <c r="JGB52" s="12"/>
      <c r="JGC52" s="12"/>
      <c r="JGD52" s="12"/>
      <c r="JGE52" s="12"/>
      <c r="JGF52" s="12"/>
      <c r="JGG52" s="12"/>
      <c r="JGH52" s="12"/>
      <c r="JGI52" s="12"/>
      <c r="JGJ52" s="12"/>
      <c r="JGK52" s="12"/>
      <c r="JGL52" s="12"/>
      <c r="JGM52" s="12"/>
      <c r="JGN52" s="12"/>
      <c r="JGO52" s="12"/>
      <c r="JGP52" s="12"/>
      <c r="JGQ52" s="12"/>
      <c r="JGR52" s="12"/>
      <c r="JGS52" s="12"/>
      <c r="JGT52" s="12"/>
      <c r="JGU52" s="12"/>
      <c r="JGV52" s="12"/>
      <c r="JGW52" s="12"/>
      <c r="JGX52" s="12"/>
      <c r="JGY52" s="12"/>
      <c r="JGZ52" s="12"/>
      <c r="JHA52" s="12"/>
      <c r="JHB52" s="12"/>
      <c r="JHC52" s="12"/>
      <c r="JHD52" s="12"/>
      <c r="JHE52" s="12"/>
      <c r="JHF52" s="12"/>
      <c r="JHG52" s="12"/>
      <c r="JHH52" s="12"/>
      <c r="JHI52" s="12"/>
      <c r="JHJ52" s="12"/>
      <c r="JHK52" s="12"/>
      <c r="JHL52" s="12"/>
      <c r="JHM52" s="12"/>
      <c r="JHN52" s="12"/>
      <c r="JHO52" s="12"/>
      <c r="JHP52" s="12"/>
      <c r="JHQ52" s="12"/>
      <c r="JHR52" s="12"/>
      <c r="JHS52" s="12"/>
      <c r="JHT52" s="12"/>
      <c r="JHU52" s="12"/>
      <c r="JHV52" s="12"/>
      <c r="JHW52" s="12"/>
      <c r="JHX52" s="12"/>
      <c r="JHY52" s="12"/>
      <c r="JHZ52" s="12"/>
      <c r="JIA52" s="12"/>
      <c r="JIB52" s="12"/>
      <c r="JIC52" s="12"/>
      <c r="JID52" s="12"/>
      <c r="JIE52" s="12"/>
      <c r="JIF52" s="12"/>
      <c r="JIG52" s="12"/>
      <c r="JIH52" s="12"/>
      <c r="JII52" s="12"/>
      <c r="JIJ52" s="12"/>
      <c r="JIK52" s="12"/>
      <c r="JIL52" s="12"/>
      <c r="JIM52" s="12"/>
      <c r="JIN52" s="12"/>
      <c r="JIO52" s="12"/>
      <c r="JIP52" s="12"/>
      <c r="JIQ52" s="12"/>
      <c r="JIR52" s="12"/>
      <c r="JIS52" s="12"/>
      <c r="JIT52" s="12"/>
      <c r="JIU52" s="12"/>
      <c r="JIV52" s="12"/>
      <c r="JIW52" s="12"/>
      <c r="JIX52" s="12"/>
      <c r="JIY52" s="12"/>
      <c r="JIZ52" s="12"/>
      <c r="JJA52" s="12"/>
      <c r="JJB52" s="12"/>
      <c r="JJC52" s="12"/>
      <c r="JJD52" s="12"/>
      <c r="JJE52" s="12"/>
      <c r="JJF52" s="12"/>
      <c r="JJG52" s="12"/>
      <c r="JJH52" s="12"/>
      <c r="JJI52" s="12"/>
      <c r="JJJ52" s="12"/>
      <c r="JJK52" s="12"/>
      <c r="JJL52" s="12"/>
      <c r="JJM52" s="12"/>
      <c r="JJN52" s="12"/>
      <c r="JJO52" s="12"/>
      <c r="JJP52" s="12"/>
      <c r="JJQ52" s="12"/>
      <c r="JJR52" s="12"/>
      <c r="JJS52" s="12"/>
      <c r="JJT52" s="12"/>
      <c r="JJU52" s="12"/>
      <c r="JJV52" s="12"/>
      <c r="JJW52" s="12"/>
      <c r="JJX52" s="12"/>
      <c r="JJY52" s="12"/>
      <c r="JJZ52" s="12"/>
      <c r="JKA52" s="12"/>
      <c r="JKB52" s="12"/>
      <c r="JKC52" s="12"/>
      <c r="JKD52" s="12"/>
      <c r="JKE52" s="12"/>
      <c r="JKF52" s="12"/>
      <c r="JKG52" s="12"/>
      <c r="JKH52" s="12"/>
      <c r="JKI52" s="12"/>
      <c r="JKJ52" s="12"/>
      <c r="JKK52" s="12"/>
      <c r="JKL52" s="12"/>
      <c r="JKM52" s="12"/>
      <c r="JKN52" s="12"/>
      <c r="JKO52" s="12"/>
      <c r="JKP52" s="12"/>
      <c r="JKQ52" s="12"/>
      <c r="JKR52" s="12"/>
      <c r="JKS52" s="12"/>
      <c r="JKT52" s="12"/>
      <c r="JKU52" s="12"/>
      <c r="JKV52" s="12"/>
      <c r="JKW52" s="12"/>
      <c r="JKX52" s="12"/>
      <c r="JKY52" s="12"/>
      <c r="JKZ52" s="12"/>
      <c r="JLA52" s="12"/>
      <c r="JLB52" s="12"/>
      <c r="JLC52" s="12"/>
      <c r="JLD52" s="12"/>
      <c r="JLE52" s="12"/>
      <c r="JLF52" s="12"/>
      <c r="JLG52" s="12"/>
      <c r="JLH52" s="12"/>
      <c r="JLI52" s="12"/>
      <c r="JLJ52" s="12"/>
      <c r="JLK52" s="12"/>
      <c r="JLL52" s="12"/>
      <c r="JLM52" s="12"/>
      <c r="JLN52" s="12"/>
      <c r="JLO52" s="12"/>
      <c r="JLP52" s="12"/>
      <c r="JLQ52" s="12"/>
      <c r="JLR52" s="12"/>
      <c r="JLS52" s="12"/>
      <c r="JLT52" s="12"/>
      <c r="JLU52" s="12"/>
      <c r="JLV52" s="12"/>
      <c r="JLW52" s="12"/>
      <c r="JLX52" s="12"/>
      <c r="JLY52" s="12"/>
      <c r="JLZ52" s="12"/>
      <c r="JMA52" s="12"/>
      <c r="JMB52" s="12"/>
      <c r="JMC52" s="12"/>
      <c r="JMD52" s="12"/>
      <c r="JME52" s="12"/>
      <c r="JMF52" s="12"/>
      <c r="JMG52" s="12"/>
      <c r="JMH52" s="12"/>
      <c r="JMI52" s="12"/>
      <c r="JMJ52" s="12"/>
      <c r="JMK52" s="12"/>
      <c r="JML52" s="12"/>
      <c r="JMM52" s="12"/>
      <c r="JMN52" s="12"/>
      <c r="JMO52" s="12"/>
      <c r="JMP52" s="12"/>
      <c r="JMQ52" s="12"/>
      <c r="JMR52" s="12"/>
      <c r="JMS52" s="12"/>
      <c r="JMT52" s="12"/>
      <c r="JMU52" s="12"/>
      <c r="JMV52" s="12"/>
      <c r="JMW52" s="12"/>
      <c r="JMX52" s="12"/>
      <c r="JMY52" s="12"/>
      <c r="JMZ52" s="12"/>
      <c r="JNA52" s="12"/>
      <c r="JNB52" s="12"/>
      <c r="JNC52" s="12"/>
      <c r="JND52" s="12"/>
      <c r="JNE52" s="12"/>
      <c r="JNF52" s="12"/>
      <c r="JNG52" s="12"/>
      <c r="JNH52" s="12"/>
      <c r="JNI52" s="12"/>
      <c r="JNJ52" s="12"/>
      <c r="JNK52" s="12"/>
      <c r="JNL52" s="12"/>
      <c r="JNM52" s="12"/>
      <c r="JNN52" s="12"/>
      <c r="JNO52" s="12"/>
      <c r="JNP52" s="12"/>
      <c r="JNQ52" s="12"/>
      <c r="JNR52" s="12"/>
      <c r="JNS52" s="12"/>
      <c r="JNT52" s="12"/>
      <c r="JNU52" s="12"/>
      <c r="JNV52" s="12"/>
      <c r="JNW52" s="12"/>
      <c r="JNX52" s="12"/>
      <c r="JNY52" s="12"/>
      <c r="JNZ52" s="12"/>
      <c r="JOA52" s="12"/>
      <c r="JOB52" s="12"/>
      <c r="JOC52" s="12"/>
      <c r="JOD52" s="12"/>
      <c r="JOE52" s="12"/>
      <c r="JOF52" s="12"/>
      <c r="JOG52" s="12"/>
      <c r="JOH52" s="12"/>
      <c r="JOI52" s="12"/>
      <c r="JOJ52" s="12"/>
      <c r="JOK52" s="12"/>
      <c r="JOL52" s="12"/>
      <c r="JOM52" s="12"/>
      <c r="JON52" s="12"/>
      <c r="JOO52" s="12"/>
      <c r="JOP52" s="12"/>
      <c r="JOQ52" s="12"/>
      <c r="JOR52" s="12"/>
      <c r="JOS52" s="12"/>
      <c r="JOT52" s="12"/>
      <c r="JOU52" s="12"/>
      <c r="JOV52" s="12"/>
      <c r="JOW52" s="12"/>
      <c r="JOX52" s="12"/>
      <c r="JOY52" s="12"/>
      <c r="JOZ52" s="12"/>
      <c r="JPA52" s="12"/>
      <c r="JPB52" s="12"/>
      <c r="JPC52" s="12"/>
      <c r="JPD52" s="12"/>
      <c r="JPE52" s="12"/>
      <c r="JPF52" s="12"/>
      <c r="JPG52" s="12"/>
      <c r="JPH52" s="12"/>
      <c r="JPI52" s="12"/>
      <c r="JPJ52" s="12"/>
      <c r="JPK52" s="12"/>
      <c r="JPL52" s="12"/>
      <c r="JPM52" s="12"/>
      <c r="JPN52" s="12"/>
      <c r="JPO52" s="12"/>
      <c r="JPP52" s="12"/>
      <c r="JPQ52" s="12"/>
      <c r="JPR52" s="12"/>
      <c r="JPS52" s="12"/>
      <c r="JPT52" s="12"/>
      <c r="JPU52" s="12"/>
      <c r="JPV52" s="12"/>
      <c r="JPW52" s="12"/>
      <c r="JPX52" s="12"/>
      <c r="JPY52" s="12"/>
      <c r="JPZ52" s="12"/>
      <c r="JQA52" s="12"/>
      <c r="JQB52" s="12"/>
      <c r="JQC52" s="12"/>
      <c r="JQD52" s="12"/>
      <c r="JQE52" s="12"/>
      <c r="JQF52" s="12"/>
      <c r="JQG52" s="12"/>
      <c r="JQH52" s="12"/>
      <c r="JQI52" s="12"/>
      <c r="JQJ52" s="12"/>
      <c r="JQK52" s="12"/>
      <c r="JQL52" s="12"/>
      <c r="JQM52" s="12"/>
      <c r="JQN52" s="12"/>
      <c r="JQO52" s="12"/>
      <c r="JQP52" s="12"/>
      <c r="JQQ52" s="12"/>
      <c r="JQR52" s="12"/>
      <c r="JQS52" s="12"/>
      <c r="JQT52" s="12"/>
      <c r="JQU52" s="12"/>
      <c r="JQV52" s="12"/>
      <c r="JQW52" s="12"/>
      <c r="JQX52" s="12"/>
      <c r="JQY52" s="12"/>
      <c r="JQZ52" s="12"/>
      <c r="JRA52" s="12"/>
      <c r="JRB52" s="12"/>
      <c r="JRC52" s="12"/>
      <c r="JRD52" s="12"/>
      <c r="JRE52" s="12"/>
      <c r="JRF52" s="12"/>
      <c r="JRG52" s="12"/>
      <c r="JRH52" s="12"/>
      <c r="JRI52" s="12"/>
      <c r="JRJ52" s="12"/>
      <c r="JRK52" s="12"/>
      <c r="JRL52" s="12"/>
      <c r="JRM52" s="12"/>
      <c r="JRN52" s="12"/>
      <c r="JRO52" s="12"/>
      <c r="JRP52" s="12"/>
      <c r="JRQ52" s="12"/>
      <c r="JRR52" s="12"/>
      <c r="JRS52" s="12"/>
      <c r="JRT52" s="12"/>
      <c r="JRU52" s="12"/>
      <c r="JRV52" s="12"/>
      <c r="JRW52" s="12"/>
      <c r="JRX52" s="12"/>
      <c r="JRY52" s="12"/>
      <c r="JRZ52" s="12"/>
      <c r="JSA52" s="12"/>
      <c r="JSB52" s="12"/>
      <c r="JSC52" s="12"/>
      <c r="JSD52" s="12"/>
      <c r="JSE52" s="12"/>
      <c r="JSF52" s="12"/>
      <c r="JSG52" s="12"/>
      <c r="JSH52" s="12"/>
      <c r="JSI52" s="12"/>
      <c r="JSJ52" s="12"/>
      <c r="JSK52" s="12"/>
      <c r="JSL52" s="12"/>
      <c r="JSM52" s="12"/>
      <c r="JSN52" s="12"/>
      <c r="JSO52" s="12"/>
      <c r="JSP52" s="12"/>
      <c r="JSQ52" s="12"/>
      <c r="JSR52" s="12"/>
      <c r="JSS52" s="12"/>
      <c r="JST52" s="12"/>
      <c r="JSU52" s="12"/>
      <c r="JSV52" s="12"/>
      <c r="JSW52" s="12"/>
      <c r="JSX52" s="12"/>
      <c r="JSY52" s="12"/>
      <c r="JSZ52" s="12"/>
      <c r="JTA52" s="12"/>
      <c r="JTB52" s="12"/>
      <c r="JTC52" s="12"/>
      <c r="JTD52" s="12"/>
      <c r="JTE52" s="12"/>
      <c r="JTF52" s="12"/>
      <c r="JTG52" s="12"/>
      <c r="JTH52" s="12"/>
      <c r="JTI52" s="12"/>
      <c r="JTJ52" s="12"/>
      <c r="JTK52" s="12"/>
      <c r="JTL52" s="12"/>
      <c r="JTM52" s="12"/>
      <c r="JTN52" s="12"/>
      <c r="JTO52" s="12"/>
      <c r="JTP52" s="12"/>
      <c r="JTQ52" s="12"/>
      <c r="JTR52" s="12"/>
      <c r="JTS52" s="12"/>
      <c r="JTT52" s="12"/>
      <c r="JTU52" s="12"/>
      <c r="JTV52" s="12"/>
      <c r="JTW52" s="12"/>
      <c r="JTX52" s="12"/>
      <c r="JTY52" s="12"/>
      <c r="JTZ52" s="12"/>
      <c r="JUA52" s="12"/>
      <c r="JUB52" s="12"/>
      <c r="JUC52" s="12"/>
      <c r="JUD52" s="12"/>
      <c r="JUE52" s="12"/>
      <c r="JUF52" s="12"/>
      <c r="JUG52" s="12"/>
      <c r="JUH52" s="12"/>
      <c r="JUI52" s="12"/>
      <c r="JUJ52" s="12"/>
      <c r="JUK52" s="12"/>
      <c r="JUL52" s="12"/>
      <c r="JUM52" s="12"/>
      <c r="JUN52" s="12"/>
      <c r="JUO52" s="12"/>
      <c r="JUP52" s="12"/>
      <c r="JUQ52" s="12"/>
      <c r="JUR52" s="12"/>
      <c r="JUS52" s="12"/>
      <c r="JUT52" s="12"/>
      <c r="JUU52" s="12"/>
      <c r="JUV52" s="12"/>
      <c r="JUW52" s="12"/>
      <c r="JUX52" s="12"/>
      <c r="JUY52" s="12"/>
      <c r="JUZ52" s="12"/>
      <c r="JVA52" s="12"/>
      <c r="JVB52" s="12"/>
      <c r="JVC52" s="12"/>
      <c r="JVD52" s="12"/>
      <c r="JVE52" s="12"/>
      <c r="JVF52" s="12"/>
      <c r="JVG52" s="12"/>
      <c r="JVH52" s="12"/>
      <c r="JVI52" s="12"/>
      <c r="JVJ52" s="12"/>
      <c r="JVK52" s="12"/>
      <c r="JVL52" s="12"/>
      <c r="JVM52" s="12"/>
      <c r="JVN52" s="12"/>
      <c r="JVO52" s="12"/>
      <c r="JVP52" s="12"/>
      <c r="JVQ52" s="12"/>
      <c r="JVR52" s="12"/>
      <c r="JVS52" s="12"/>
      <c r="JVT52" s="12"/>
      <c r="JVU52" s="12"/>
      <c r="JVV52" s="12"/>
      <c r="JVW52" s="12"/>
      <c r="JVX52" s="12"/>
      <c r="JVY52" s="12"/>
      <c r="JVZ52" s="12"/>
      <c r="JWA52" s="12"/>
      <c r="JWB52" s="12"/>
      <c r="JWC52" s="12"/>
      <c r="JWD52" s="12"/>
      <c r="JWE52" s="12"/>
      <c r="JWF52" s="12"/>
      <c r="JWG52" s="12"/>
      <c r="JWH52" s="12"/>
      <c r="JWI52" s="12"/>
      <c r="JWJ52" s="12"/>
      <c r="JWK52" s="12"/>
      <c r="JWL52" s="12"/>
      <c r="JWM52" s="12"/>
      <c r="JWN52" s="12"/>
      <c r="JWO52" s="12"/>
      <c r="JWP52" s="12"/>
      <c r="JWQ52" s="12"/>
      <c r="JWR52" s="12"/>
      <c r="JWS52" s="12"/>
      <c r="JWT52" s="12"/>
      <c r="JWU52" s="12"/>
      <c r="JWV52" s="12"/>
      <c r="JWW52" s="12"/>
      <c r="JWX52" s="12"/>
      <c r="JWY52" s="12"/>
      <c r="JWZ52" s="12"/>
      <c r="JXA52" s="12"/>
      <c r="JXB52" s="12"/>
      <c r="JXC52" s="12"/>
      <c r="JXD52" s="12"/>
      <c r="JXE52" s="12"/>
      <c r="JXF52" s="12"/>
      <c r="JXG52" s="12"/>
      <c r="JXH52" s="12"/>
      <c r="JXI52" s="12"/>
      <c r="JXJ52" s="12"/>
      <c r="JXK52" s="12"/>
      <c r="JXL52" s="12"/>
      <c r="JXM52" s="12"/>
      <c r="JXN52" s="12"/>
      <c r="JXO52" s="12"/>
      <c r="JXP52" s="12"/>
      <c r="JXQ52" s="12"/>
      <c r="JXR52" s="12"/>
      <c r="JXS52" s="12"/>
      <c r="JXT52" s="12"/>
      <c r="JXU52" s="12"/>
      <c r="JXV52" s="12"/>
      <c r="JXW52" s="12"/>
      <c r="JXX52" s="12"/>
      <c r="JXY52" s="12"/>
      <c r="JXZ52" s="12"/>
      <c r="JYA52" s="12"/>
      <c r="JYB52" s="12"/>
      <c r="JYC52" s="12"/>
      <c r="JYD52" s="12"/>
      <c r="JYE52" s="12"/>
      <c r="JYF52" s="12"/>
      <c r="JYG52" s="12"/>
      <c r="JYH52" s="12"/>
      <c r="JYI52" s="12"/>
      <c r="JYJ52" s="12"/>
      <c r="JYK52" s="12"/>
      <c r="JYL52" s="12"/>
      <c r="JYM52" s="12"/>
      <c r="JYN52" s="12"/>
      <c r="JYO52" s="12"/>
      <c r="JYP52" s="12"/>
      <c r="JYQ52" s="12"/>
      <c r="JYR52" s="12"/>
      <c r="JYS52" s="12"/>
      <c r="JYT52" s="12"/>
      <c r="JYU52" s="12"/>
      <c r="JYV52" s="12"/>
      <c r="JYW52" s="12"/>
      <c r="JYX52" s="12"/>
      <c r="JYY52" s="12"/>
      <c r="JYZ52" s="12"/>
      <c r="JZA52" s="12"/>
      <c r="JZB52" s="12"/>
      <c r="JZC52" s="12"/>
      <c r="JZD52" s="12"/>
      <c r="JZE52" s="12"/>
      <c r="JZF52" s="12"/>
      <c r="JZG52" s="12"/>
      <c r="JZH52" s="12"/>
      <c r="JZI52" s="12"/>
      <c r="JZJ52" s="12"/>
      <c r="JZK52" s="12"/>
      <c r="JZL52" s="12"/>
      <c r="JZM52" s="12"/>
      <c r="JZN52" s="12"/>
      <c r="JZO52" s="12"/>
      <c r="JZP52" s="12"/>
      <c r="JZQ52" s="12"/>
      <c r="JZR52" s="12"/>
      <c r="JZS52" s="12"/>
      <c r="JZT52" s="12"/>
      <c r="JZU52" s="12"/>
      <c r="JZV52" s="12"/>
      <c r="JZW52" s="12"/>
      <c r="JZX52" s="12"/>
      <c r="JZY52" s="12"/>
      <c r="JZZ52" s="12"/>
      <c r="KAA52" s="12"/>
      <c r="KAB52" s="12"/>
      <c r="KAC52" s="12"/>
      <c r="KAD52" s="12"/>
      <c r="KAE52" s="12"/>
      <c r="KAF52" s="12"/>
      <c r="KAG52" s="12"/>
      <c r="KAH52" s="12"/>
      <c r="KAI52" s="12"/>
      <c r="KAJ52" s="12"/>
      <c r="KAK52" s="12"/>
      <c r="KAL52" s="12"/>
      <c r="KAM52" s="12"/>
      <c r="KAN52" s="12"/>
      <c r="KAO52" s="12"/>
      <c r="KAP52" s="12"/>
      <c r="KAQ52" s="12"/>
      <c r="KAR52" s="12"/>
      <c r="KAS52" s="12"/>
      <c r="KAT52" s="12"/>
      <c r="KAU52" s="12"/>
      <c r="KAV52" s="12"/>
      <c r="KAW52" s="12"/>
      <c r="KAX52" s="12"/>
      <c r="KAY52" s="12"/>
      <c r="KAZ52" s="12"/>
      <c r="KBA52" s="12"/>
      <c r="KBB52" s="12"/>
      <c r="KBC52" s="12"/>
      <c r="KBD52" s="12"/>
      <c r="KBE52" s="12"/>
      <c r="KBF52" s="12"/>
      <c r="KBG52" s="12"/>
      <c r="KBH52" s="12"/>
      <c r="KBI52" s="12"/>
      <c r="KBJ52" s="12"/>
      <c r="KBK52" s="12"/>
      <c r="KBL52" s="12"/>
      <c r="KBM52" s="12"/>
      <c r="KBN52" s="12"/>
      <c r="KBO52" s="12"/>
      <c r="KBP52" s="12"/>
      <c r="KBQ52" s="12"/>
      <c r="KBR52" s="12"/>
      <c r="KBS52" s="12"/>
      <c r="KBT52" s="12"/>
      <c r="KBU52" s="12"/>
      <c r="KBV52" s="12"/>
      <c r="KBW52" s="12"/>
      <c r="KBX52" s="12"/>
      <c r="KBY52" s="12"/>
      <c r="KBZ52" s="12"/>
      <c r="KCA52" s="12"/>
      <c r="KCB52" s="12"/>
      <c r="KCC52" s="12"/>
      <c r="KCD52" s="12"/>
      <c r="KCE52" s="12"/>
      <c r="KCF52" s="12"/>
      <c r="KCG52" s="12"/>
      <c r="KCH52" s="12"/>
      <c r="KCI52" s="12"/>
      <c r="KCJ52" s="12"/>
      <c r="KCK52" s="12"/>
      <c r="KCL52" s="12"/>
      <c r="KCM52" s="12"/>
      <c r="KCN52" s="12"/>
      <c r="KCO52" s="12"/>
      <c r="KCP52" s="12"/>
      <c r="KCQ52" s="12"/>
      <c r="KCR52" s="12"/>
      <c r="KCS52" s="12"/>
      <c r="KCT52" s="12"/>
      <c r="KCU52" s="12"/>
      <c r="KCV52" s="12"/>
      <c r="KCW52" s="12"/>
      <c r="KCX52" s="12"/>
      <c r="KCY52" s="12"/>
      <c r="KCZ52" s="12"/>
      <c r="KDA52" s="12"/>
      <c r="KDB52" s="12"/>
      <c r="KDC52" s="12"/>
      <c r="KDD52" s="12"/>
      <c r="KDE52" s="12"/>
      <c r="KDF52" s="12"/>
      <c r="KDG52" s="12"/>
      <c r="KDH52" s="12"/>
      <c r="KDI52" s="12"/>
      <c r="KDJ52" s="12"/>
      <c r="KDK52" s="12"/>
      <c r="KDL52" s="12"/>
      <c r="KDM52" s="12"/>
      <c r="KDN52" s="12"/>
      <c r="KDO52" s="12"/>
      <c r="KDP52" s="12"/>
      <c r="KDQ52" s="12"/>
      <c r="KDR52" s="12"/>
      <c r="KDS52" s="12"/>
      <c r="KDT52" s="12"/>
      <c r="KDU52" s="12"/>
      <c r="KDV52" s="12"/>
      <c r="KDW52" s="12"/>
      <c r="KDX52" s="12"/>
      <c r="KDY52" s="12"/>
      <c r="KDZ52" s="12"/>
      <c r="KEA52" s="12"/>
      <c r="KEB52" s="12"/>
      <c r="KEC52" s="12"/>
      <c r="KED52" s="12"/>
      <c r="KEE52" s="12"/>
      <c r="KEF52" s="12"/>
      <c r="KEG52" s="12"/>
      <c r="KEH52" s="12"/>
      <c r="KEI52" s="12"/>
      <c r="KEJ52" s="12"/>
      <c r="KEK52" s="12"/>
      <c r="KEL52" s="12"/>
      <c r="KEM52" s="12"/>
      <c r="KEN52" s="12"/>
      <c r="KEO52" s="12"/>
      <c r="KEP52" s="12"/>
      <c r="KEQ52" s="12"/>
      <c r="KER52" s="12"/>
      <c r="KES52" s="12"/>
      <c r="KET52" s="12"/>
      <c r="KEU52" s="12"/>
      <c r="KEV52" s="12"/>
      <c r="KEW52" s="12"/>
      <c r="KEX52" s="12"/>
      <c r="KEY52" s="12"/>
      <c r="KEZ52" s="12"/>
      <c r="KFA52" s="12"/>
      <c r="KFB52" s="12"/>
      <c r="KFC52" s="12"/>
      <c r="KFD52" s="12"/>
      <c r="KFE52" s="12"/>
      <c r="KFF52" s="12"/>
      <c r="KFG52" s="12"/>
      <c r="KFH52" s="12"/>
      <c r="KFI52" s="12"/>
      <c r="KFJ52" s="12"/>
      <c r="KFK52" s="12"/>
      <c r="KFL52" s="12"/>
      <c r="KFM52" s="12"/>
      <c r="KFN52" s="12"/>
      <c r="KFO52" s="12"/>
      <c r="KFP52" s="12"/>
      <c r="KFQ52" s="12"/>
      <c r="KFR52" s="12"/>
      <c r="KFS52" s="12"/>
      <c r="KFT52" s="12"/>
      <c r="KFU52" s="12"/>
      <c r="KFV52" s="12"/>
      <c r="KFW52" s="12"/>
      <c r="KFX52" s="12"/>
      <c r="KFY52" s="12"/>
      <c r="KFZ52" s="12"/>
      <c r="KGA52" s="12"/>
      <c r="KGB52" s="12"/>
      <c r="KGC52" s="12"/>
      <c r="KGD52" s="12"/>
      <c r="KGE52" s="12"/>
      <c r="KGF52" s="12"/>
      <c r="KGG52" s="12"/>
      <c r="KGH52" s="12"/>
      <c r="KGI52" s="12"/>
      <c r="KGJ52" s="12"/>
      <c r="KGK52" s="12"/>
      <c r="KGL52" s="12"/>
      <c r="KGM52" s="12"/>
      <c r="KGN52" s="12"/>
      <c r="KGO52" s="12"/>
      <c r="KGP52" s="12"/>
      <c r="KGQ52" s="12"/>
      <c r="KGR52" s="12"/>
      <c r="KGS52" s="12"/>
      <c r="KGT52" s="12"/>
      <c r="KGU52" s="12"/>
      <c r="KGV52" s="12"/>
      <c r="KGW52" s="12"/>
      <c r="KGX52" s="12"/>
      <c r="KGY52" s="12"/>
      <c r="KGZ52" s="12"/>
      <c r="KHA52" s="12"/>
      <c r="KHB52" s="12"/>
      <c r="KHC52" s="12"/>
      <c r="KHD52" s="12"/>
      <c r="KHE52" s="12"/>
      <c r="KHF52" s="12"/>
      <c r="KHG52" s="12"/>
      <c r="KHH52" s="12"/>
      <c r="KHI52" s="12"/>
      <c r="KHJ52" s="12"/>
      <c r="KHK52" s="12"/>
      <c r="KHL52" s="12"/>
      <c r="KHM52" s="12"/>
      <c r="KHN52" s="12"/>
      <c r="KHO52" s="12"/>
      <c r="KHP52" s="12"/>
      <c r="KHQ52" s="12"/>
      <c r="KHR52" s="12"/>
      <c r="KHS52" s="12"/>
      <c r="KHT52" s="12"/>
      <c r="KHU52" s="12"/>
      <c r="KHV52" s="12"/>
      <c r="KHW52" s="12"/>
      <c r="KHX52" s="12"/>
      <c r="KHY52" s="12"/>
      <c r="KHZ52" s="12"/>
      <c r="KIA52" s="12"/>
      <c r="KIB52" s="12"/>
      <c r="KIC52" s="12"/>
      <c r="KID52" s="12"/>
      <c r="KIE52" s="12"/>
      <c r="KIF52" s="12"/>
      <c r="KIG52" s="12"/>
      <c r="KIH52" s="12"/>
      <c r="KII52" s="12"/>
      <c r="KIJ52" s="12"/>
      <c r="KIK52" s="12"/>
      <c r="KIL52" s="12"/>
      <c r="KIM52" s="12"/>
      <c r="KIN52" s="12"/>
      <c r="KIO52" s="12"/>
      <c r="KIP52" s="12"/>
      <c r="KIQ52" s="12"/>
      <c r="KIR52" s="12"/>
      <c r="KIS52" s="12"/>
      <c r="KIT52" s="12"/>
      <c r="KIU52" s="12"/>
      <c r="KIV52" s="12"/>
      <c r="KIW52" s="12"/>
      <c r="KIX52" s="12"/>
      <c r="KIY52" s="12"/>
      <c r="KIZ52" s="12"/>
      <c r="KJA52" s="12"/>
      <c r="KJB52" s="12"/>
      <c r="KJC52" s="12"/>
      <c r="KJD52" s="12"/>
      <c r="KJE52" s="12"/>
      <c r="KJF52" s="12"/>
      <c r="KJG52" s="12"/>
      <c r="KJH52" s="12"/>
      <c r="KJI52" s="12"/>
      <c r="KJJ52" s="12"/>
      <c r="KJK52" s="12"/>
      <c r="KJL52" s="12"/>
      <c r="KJM52" s="12"/>
      <c r="KJN52" s="12"/>
      <c r="KJO52" s="12"/>
      <c r="KJP52" s="12"/>
      <c r="KJQ52" s="12"/>
      <c r="KJR52" s="12"/>
      <c r="KJS52" s="12"/>
      <c r="KJT52" s="12"/>
      <c r="KJU52" s="12"/>
      <c r="KJV52" s="12"/>
      <c r="KJW52" s="12"/>
      <c r="KJX52" s="12"/>
      <c r="KJY52" s="12"/>
      <c r="KJZ52" s="12"/>
      <c r="KKA52" s="12"/>
      <c r="KKB52" s="12"/>
      <c r="KKC52" s="12"/>
      <c r="KKD52" s="12"/>
      <c r="KKE52" s="12"/>
      <c r="KKF52" s="12"/>
      <c r="KKG52" s="12"/>
      <c r="KKH52" s="12"/>
      <c r="KKI52" s="12"/>
      <c r="KKJ52" s="12"/>
      <c r="KKK52" s="12"/>
      <c r="KKL52" s="12"/>
      <c r="KKM52" s="12"/>
      <c r="KKN52" s="12"/>
      <c r="KKO52" s="12"/>
      <c r="KKP52" s="12"/>
      <c r="KKQ52" s="12"/>
      <c r="KKR52" s="12"/>
      <c r="KKS52" s="12"/>
      <c r="KKT52" s="12"/>
      <c r="KKU52" s="12"/>
      <c r="KKV52" s="12"/>
      <c r="KKW52" s="12"/>
      <c r="KKX52" s="12"/>
      <c r="KKY52" s="12"/>
      <c r="KKZ52" s="12"/>
      <c r="KLA52" s="12"/>
      <c r="KLB52" s="12"/>
      <c r="KLC52" s="12"/>
      <c r="KLD52" s="12"/>
      <c r="KLE52" s="12"/>
      <c r="KLF52" s="12"/>
      <c r="KLG52" s="12"/>
      <c r="KLH52" s="12"/>
      <c r="KLI52" s="12"/>
      <c r="KLJ52" s="12"/>
      <c r="KLK52" s="12"/>
      <c r="KLL52" s="12"/>
      <c r="KLM52" s="12"/>
      <c r="KLN52" s="12"/>
      <c r="KLO52" s="12"/>
      <c r="KLP52" s="12"/>
      <c r="KLQ52" s="12"/>
      <c r="KLR52" s="12"/>
      <c r="KLS52" s="12"/>
      <c r="KLT52" s="12"/>
      <c r="KLU52" s="12"/>
      <c r="KLV52" s="12"/>
      <c r="KLW52" s="12"/>
      <c r="KLX52" s="12"/>
      <c r="KLY52" s="12"/>
      <c r="KLZ52" s="12"/>
      <c r="KMA52" s="12"/>
      <c r="KMB52" s="12"/>
      <c r="KMC52" s="12"/>
      <c r="KMD52" s="12"/>
      <c r="KME52" s="12"/>
      <c r="KMF52" s="12"/>
      <c r="KMG52" s="12"/>
      <c r="KMH52" s="12"/>
      <c r="KMI52" s="12"/>
      <c r="KMJ52" s="12"/>
      <c r="KMK52" s="12"/>
      <c r="KML52" s="12"/>
      <c r="KMM52" s="12"/>
      <c r="KMN52" s="12"/>
      <c r="KMO52" s="12"/>
      <c r="KMP52" s="12"/>
      <c r="KMQ52" s="12"/>
      <c r="KMR52" s="12"/>
      <c r="KMS52" s="12"/>
      <c r="KMT52" s="12"/>
      <c r="KMU52" s="12"/>
      <c r="KMV52" s="12"/>
      <c r="KMW52" s="12"/>
      <c r="KMX52" s="12"/>
      <c r="KMY52" s="12"/>
      <c r="KMZ52" s="12"/>
      <c r="KNA52" s="12"/>
      <c r="KNB52" s="12"/>
      <c r="KNC52" s="12"/>
      <c r="KND52" s="12"/>
      <c r="KNE52" s="12"/>
      <c r="KNF52" s="12"/>
      <c r="KNG52" s="12"/>
      <c r="KNH52" s="12"/>
      <c r="KNI52" s="12"/>
      <c r="KNJ52" s="12"/>
      <c r="KNK52" s="12"/>
      <c r="KNL52" s="12"/>
      <c r="KNM52" s="12"/>
      <c r="KNN52" s="12"/>
      <c r="KNO52" s="12"/>
      <c r="KNP52" s="12"/>
      <c r="KNQ52" s="12"/>
      <c r="KNR52" s="12"/>
      <c r="KNS52" s="12"/>
      <c r="KNT52" s="12"/>
      <c r="KNU52" s="12"/>
      <c r="KNV52" s="12"/>
      <c r="KNW52" s="12"/>
      <c r="KNX52" s="12"/>
      <c r="KNY52" s="12"/>
      <c r="KNZ52" s="12"/>
      <c r="KOA52" s="12"/>
      <c r="KOB52" s="12"/>
      <c r="KOC52" s="12"/>
      <c r="KOD52" s="12"/>
      <c r="KOE52" s="12"/>
      <c r="KOF52" s="12"/>
      <c r="KOG52" s="12"/>
      <c r="KOH52" s="12"/>
      <c r="KOI52" s="12"/>
      <c r="KOJ52" s="12"/>
      <c r="KOK52" s="12"/>
      <c r="KOL52" s="12"/>
      <c r="KOM52" s="12"/>
      <c r="KON52" s="12"/>
      <c r="KOO52" s="12"/>
      <c r="KOP52" s="12"/>
      <c r="KOQ52" s="12"/>
      <c r="KOR52" s="12"/>
      <c r="KOS52" s="12"/>
      <c r="KOT52" s="12"/>
      <c r="KOU52" s="12"/>
      <c r="KOV52" s="12"/>
      <c r="KOW52" s="12"/>
      <c r="KOX52" s="12"/>
      <c r="KOY52" s="12"/>
      <c r="KOZ52" s="12"/>
      <c r="KPA52" s="12"/>
      <c r="KPB52" s="12"/>
      <c r="KPC52" s="12"/>
      <c r="KPD52" s="12"/>
      <c r="KPE52" s="12"/>
      <c r="KPF52" s="12"/>
      <c r="KPG52" s="12"/>
      <c r="KPH52" s="12"/>
      <c r="KPI52" s="12"/>
      <c r="KPJ52" s="12"/>
      <c r="KPK52" s="12"/>
      <c r="KPL52" s="12"/>
      <c r="KPM52" s="12"/>
      <c r="KPN52" s="12"/>
      <c r="KPO52" s="12"/>
      <c r="KPP52" s="12"/>
      <c r="KPQ52" s="12"/>
      <c r="KPR52" s="12"/>
      <c r="KPS52" s="12"/>
      <c r="KPT52" s="12"/>
      <c r="KPU52" s="12"/>
      <c r="KPV52" s="12"/>
      <c r="KPW52" s="12"/>
      <c r="KPX52" s="12"/>
      <c r="KPY52" s="12"/>
      <c r="KPZ52" s="12"/>
      <c r="KQA52" s="12"/>
      <c r="KQB52" s="12"/>
      <c r="KQC52" s="12"/>
      <c r="KQD52" s="12"/>
      <c r="KQE52" s="12"/>
      <c r="KQF52" s="12"/>
      <c r="KQG52" s="12"/>
      <c r="KQH52" s="12"/>
      <c r="KQI52" s="12"/>
      <c r="KQJ52" s="12"/>
      <c r="KQK52" s="12"/>
      <c r="KQL52" s="12"/>
      <c r="KQM52" s="12"/>
      <c r="KQN52" s="12"/>
      <c r="KQO52" s="12"/>
      <c r="KQP52" s="12"/>
      <c r="KQQ52" s="12"/>
      <c r="KQR52" s="12"/>
      <c r="KQS52" s="12"/>
      <c r="KQT52" s="12"/>
      <c r="KQU52" s="12"/>
      <c r="KQV52" s="12"/>
      <c r="KQW52" s="12"/>
      <c r="KQX52" s="12"/>
      <c r="KQY52" s="12"/>
      <c r="KQZ52" s="12"/>
      <c r="KRA52" s="12"/>
      <c r="KRB52" s="12"/>
      <c r="KRC52" s="12"/>
      <c r="KRD52" s="12"/>
      <c r="KRE52" s="12"/>
      <c r="KRF52" s="12"/>
      <c r="KRG52" s="12"/>
      <c r="KRH52" s="12"/>
      <c r="KRI52" s="12"/>
      <c r="KRJ52" s="12"/>
      <c r="KRK52" s="12"/>
      <c r="KRL52" s="12"/>
      <c r="KRM52" s="12"/>
      <c r="KRN52" s="12"/>
      <c r="KRO52" s="12"/>
      <c r="KRP52" s="12"/>
      <c r="KRQ52" s="12"/>
      <c r="KRR52" s="12"/>
      <c r="KRS52" s="12"/>
      <c r="KRT52" s="12"/>
      <c r="KRU52" s="12"/>
      <c r="KRV52" s="12"/>
      <c r="KRW52" s="12"/>
      <c r="KRX52" s="12"/>
      <c r="KRY52" s="12"/>
      <c r="KRZ52" s="12"/>
      <c r="KSA52" s="12"/>
      <c r="KSB52" s="12"/>
      <c r="KSC52" s="12"/>
      <c r="KSD52" s="12"/>
      <c r="KSE52" s="12"/>
      <c r="KSF52" s="12"/>
      <c r="KSG52" s="12"/>
      <c r="KSH52" s="12"/>
      <c r="KSI52" s="12"/>
      <c r="KSJ52" s="12"/>
      <c r="KSK52" s="12"/>
      <c r="KSL52" s="12"/>
      <c r="KSM52" s="12"/>
      <c r="KSN52" s="12"/>
      <c r="KSO52" s="12"/>
      <c r="KSP52" s="12"/>
      <c r="KSQ52" s="12"/>
      <c r="KSR52" s="12"/>
      <c r="KSS52" s="12"/>
      <c r="KST52" s="12"/>
      <c r="KSU52" s="12"/>
      <c r="KSV52" s="12"/>
      <c r="KSW52" s="12"/>
      <c r="KSX52" s="12"/>
      <c r="KSY52" s="12"/>
      <c r="KSZ52" s="12"/>
      <c r="KTA52" s="12"/>
      <c r="KTB52" s="12"/>
      <c r="KTC52" s="12"/>
      <c r="KTD52" s="12"/>
      <c r="KTE52" s="12"/>
      <c r="KTF52" s="12"/>
      <c r="KTG52" s="12"/>
      <c r="KTH52" s="12"/>
      <c r="KTI52" s="12"/>
      <c r="KTJ52" s="12"/>
      <c r="KTK52" s="12"/>
      <c r="KTL52" s="12"/>
      <c r="KTM52" s="12"/>
      <c r="KTN52" s="12"/>
      <c r="KTO52" s="12"/>
      <c r="KTP52" s="12"/>
      <c r="KTQ52" s="12"/>
      <c r="KTR52" s="12"/>
      <c r="KTS52" s="12"/>
      <c r="KTT52" s="12"/>
      <c r="KTU52" s="12"/>
      <c r="KTV52" s="12"/>
      <c r="KTW52" s="12"/>
      <c r="KTX52" s="12"/>
      <c r="KTY52" s="12"/>
      <c r="KTZ52" s="12"/>
      <c r="KUA52" s="12"/>
      <c r="KUB52" s="12"/>
      <c r="KUC52" s="12"/>
      <c r="KUD52" s="12"/>
      <c r="KUE52" s="12"/>
      <c r="KUF52" s="12"/>
      <c r="KUG52" s="12"/>
      <c r="KUH52" s="12"/>
      <c r="KUI52" s="12"/>
      <c r="KUJ52" s="12"/>
      <c r="KUK52" s="12"/>
      <c r="KUL52" s="12"/>
      <c r="KUM52" s="12"/>
      <c r="KUN52" s="12"/>
      <c r="KUO52" s="12"/>
      <c r="KUP52" s="12"/>
      <c r="KUQ52" s="12"/>
      <c r="KUR52" s="12"/>
      <c r="KUS52" s="12"/>
      <c r="KUT52" s="12"/>
      <c r="KUU52" s="12"/>
      <c r="KUV52" s="12"/>
      <c r="KUW52" s="12"/>
      <c r="KUX52" s="12"/>
      <c r="KUY52" s="12"/>
      <c r="KUZ52" s="12"/>
      <c r="KVA52" s="12"/>
      <c r="KVB52" s="12"/>
      <c r="KVC52" s="12"/>
      <c r="KVD52" s="12"/>
      <c r="KVE52" s="12"/>
      <c r="KVF52" s="12"/>
      <c r="KVG52" s="12"/>
      <c r="KVH52" s="12"/>
      <c r="KVI52" s="12"/>
      <c r="KVJ52" s="12"/>
      <c r="KVK52" s="12"/>
      <c r="KVL52" s="12"/>
      <c r="KVM52" s="12"/>
      <c r="KVN52" s="12"/>
      <c r="KVO52" s="12"/>
      <c r="KVP52" s="12"/>
      <c r="KVQ52" s="12"/>
      <c r="KVR52" s="12"/>
      <c r="KVS52" s="12"/>
      <c r="KVT52" s="12"/>
      <c r="KVU52" s="12"/>
      <c r="KVV52" s="12"/>
      <c r="KVW52" s="12"/>
      <c r="KVX52" s="12"/>
      <c r="KVY52" s="12"/>
      <c r="KVZ52" s="12"/>
      <c r="KWA52" s="12"/>
      <c r="KWB52" s="12"/>
      <c r="KWC52" s="12"/>
      <c r="KWD52" s="12"/>
      <c r="KWE52" s="12"/>
      <c r="KWF52" s="12"/>
      <c r="KWG52" s="12"/>
      <c r="KWH52" s="12"/>
      <c r="KWI52" s="12"/>
      <c r="KWJ52" s="12"/>
      <c r="KWK52" s="12"/>
      <c r="KWL52" s="12"/>
      <c r="KWM52" s="12"/>
      <c r="KWN52" s="12"/>
      <c r="KWO52" s="12"/>
      <c r="KWP52" s="12"/>
      <c r="KWQ52" s="12"/>
      <c r="KWR52" s="12"/>
      <c r="KWS52" s="12"/>
      <c r="KWT52" s="12"/>
      <c r="KWU52" s="12"/>
      <c r="KWV52" s="12"/>
      <c r="KWW52" s="12"/>
      <c r="KWX52" s="12"/>
      <c r="KWY52" s="12"/>
      <c r="KWZ52" s="12"/>
      <c r="KXA52" s="12"/>
      <c r="KXB52" s="12"/>
      <c r="KXC52" s="12"/>
      <c r="KXD52" s="12"/>
      <c r="KXE52" s="12"/>
      <c r="KXF52" s="12"/>
      <c r="KXG52" s="12"/>
      <c r="KXH52" s="12"/>
      <c r="KXI52" s="12"/>
      <c r="KXJ52" s="12"/>
      <c r="KXK52" s="12"/>
      <c r="KXL52" s="12"/>
      <c r="KXM52" s="12"/>
      <c r="KXN52" s="12"/>
      <c r="KXO52" s="12"/>
      <c r="KXP52" s="12"/>
      <c r="KXQ52" s="12"/>
      <c r="KXR52" s="12"/>
      <c r="KXS52" s="12"/>
      <c r="KXT52" s="12"/>
      <c r="KXU52" s="12"/>
      <c r="KXV52" s="12"/>
      <c r="KXW52" s="12"/>
      <c r="KXX52" s="12"/>
      <c r="KXY52" s="12"/>
      <c r="KXZ52" s="12"/>
      <c r="KYA52" s="12"/>
      <c r="KYB52" s="12"/>
      <c r="KYC52" s="12"/>
      <c r="KYD52" s="12"/>
      <c r="KYE52" s="12"/>
      <c r="KYF52" s="12"/>
      <c r="KYG52" s="12"/>
      <c r="KYH52" s="12"/>
      <c r="KYI52" s="12"/>
      <c r="KYJ52" s="12"/>
      <c r="KYK52" s="12"/>
      <c r="KYL52" s="12"/>
      <c r="KYM52" s="12"/>
      <c r="KYN52" s="12"/>
      <c r="KYO52" s="12"/>
      <c r="KYP52" s="12"/>
      <c r="KYQ52" s="12"/>
      <c r="KYR52" s="12"/>
      <c r="KYS52" s="12"/>
      <c r="KYT52" s="12"/>
      <c r="KYU52" s="12"/>
      <c r="KYV52" s="12"/>
      <c r="KYW52" s="12"/>
      <c r="KYX52" s="12"/>
      <c r="KYY52" s="12"/>
      <c r="KYZ52" s="12"/>
      <c r="KZA52" s="12"/>
      <c r="KZB52" s="12"/>
      <c r="KZC52" s="12"/>
      <c r="KZD52" s="12"/>
      <c r="KZE52" s="12"/>
      <c r="KZF52" s="12"/>
      <c r="KZG52" s="12"/>
      <c r="KZH52" s="12"/>
      <c r="KZI52" s="12"/>
      <c r="KZJ52" s="12"/>
      <c r="KZK52" s="12"/>
      <c r="KZL52" s="12"/>
      <c r="KZM52" s="12"/>
      <c r="KZN52" s="12"/>
      <c r="KZO52" s="12"/>
      <c r="KZP52" s="12"/>
      <c r="KZQ52" s="12"/>
      <c r="KZR52" s="12"/>
      <c r="KZS52" s="12"/>
      <c r="KZT52" s="12"/>
      <c r="KZU52" s="12"/>
      <c r="KZV52" s="12"/>
      <c r="KZW52" s="12"/>
      <c r="KZX52" s="12"/>
      <c r="KZY52" s="12"/>
      <c r="KZZ52" s="12"/>
      <c r="LAA52" s="12"/>
      <c r="LAB52" s="12"/>
      <c r="LAC52" s="12"/>
      <c r="LAD52" s="12"/>
      <c r="LAE52" s="12"/>
      <c r="LAF52" s="12"/>
      <c r="LAG52" s="12"/>
      <c r="LAH52" s="12"/>
      <c r="LAI52" s="12"/>
      <c r="LAJ52" s="12"/>
      <c r="LAK52" s="12"/>
      <c r="LAL52" s="12"/>
      <c r="LAM52" s="12"/>
      <c r="LAN52" s="12"/>
      <c r="LAO52" s="12"/>
      <c r="LAP52" s="12"/>
      <c r="LAQ52" s="12"/>
      <c r="LAR52" s="12"/>
      <c r="LAS52" s="12"/>
      <c r="LAT52" s="12"/>
      <c r="LAU52" s="12"/>
      <c r="LAV52" s="12"/>
      <c r="LAW52" s="12"/>
      <c r="LAX52" s="12"/>
      <c r="LAY52" s="12"/>
      <c r="LAZ52" s="12"/>
      <c r="LBA52" s="12"/>
      <c r="LBB52" s="12"/>
      <c r="LBC52" s="12"/>
      <c r="LBD52" s="12"/>
      <c r="LBE52" s="12"/>
      <c r="LBF52" s="12"/>
      <c r="LBG52" s="12"/>
      <c r="LBH52" s="12"/>
      <c r="LBI52" s="12"/>
      <c r="LBJ52" s="12"/>
      <c r="LBK52" s="12"/>
      <c r="LBL52" s="12"/>
      <c r="LBM52" s="12"/>
      <c r="LBN52" s="12"/>
      <c r="LBO52" s="12"/>
      <c r="LBP52" s="12"/>
      <c r="LBQ52" s="12"/>
      <c r="LBR52" s="12"/>
      <c r="LBS52" s="12"/>
      <c r="LBT52" s="12"/>
      <c r="LBU52" s="12"/>
      <c r="LBV52" s="12"/>
      <c r="LBW52" s="12"/>
      <c r="LBX52" s="12"/>
      <c r="LBY52" s="12"/>
      <c r="LBZ52" s="12"/>
      <c r="LCA52" s="12"/>
      <c r="LCB52" s="12"/>
      <c r="LCC52" s="12"/>
      <c r="LCD52" s="12"/>
      <c r="LCE52" s="12"/>
      <c r="LCF52" s="12"/>
      <c r="LCG52" s="12"/>
      <c r="LCH52" s="12"/>
      <c r="LCI52" s="12"/>
      <c r="LCJ52" s="12"/>
      <c r="LCK52" s="12"/>
      <c r="LCL52" s="12"/>
      <c r="LCM52" s="12"/>
      <c r="LCN52" s="12"/>
      <c r="LCO52" s="12"/>
      <c r="LCP52" s="12"/>
      <c r="LCQ52" s="12"/>
      <c r="LCR52" s="12"/>
      <c r="LCS52" s="12"/>
      <c r="LCT52" s="12"/>
      <c r="LCU52" s="12"/>
      <c r="LCV52" s="12"/>
      <c r="LCW52" s="12"/>
      <c r="LCX52" s="12"/>
      <c r="LCY52" s="12"/>
      <c r="LCZ52" s="12"/>
      <c r="LDA52" s="12"/>
      <c r="LDB52" s="12"/>
      <c r="LDC52" s="12"/>
      <c r="LDD52" s="12"/>
      <c r="LDE52" s="12"/>
      <c r="LDF52" s="12"/>
      <c r="LDG52" s="12"/>
      <c r="LDH52" s="12"/>
      <c r="LDI52" s="12"/>
      <c r="LDJ52" s="12"/>
      <c r="LDK52" s="12"/>
      <c r="LDL52" s="12"/>
      <c r="LDM52" s="12"/>
      <c r="LDN52" s="12"/>
      <c r="LDO52" s="12"/>
      <c r="LDP52" s="12"/>
      <c r="LDQ52" s="12"/>
      <c r="LDR52" s="12"/>
      <c r="LDS52" s="12"/>
      <c r="LDT52" s="12"/>
      <c r="LDU52" s="12"/>
      <c r="LDV52" s="12"/>
      <c r="LDW52" s="12"/>
      <c r="LDX52" s="12"/>
      <c r="LDY52" s="12"/>
      <c r="LDZ52" s="12"/>
      <c r="LEA52" s="12"/>
      <c r="LEB52" s="12"/>
      <c r="LEC52" s="12"/>
      <c r="LED52" s="12"/>
      <c r="LEE52" s="12"/>
      <c r="LEF52" s="12"/>
      <c r="LEG52" s="12"/>
      <c r="LEH52" s="12"/>
      <c r="LEI52" s="12"/>
      <c r="LEJ52" s="12"/>
      <c r="LEK52" s="12"/>
      <c r="LEL52" s="12"/>
      <c r="LEM52" s="12"/>
      <c r="LEN52" s="12"/>
      <c r="LEO52" s="12"/>
      <c r="LEP52" s="12"/>
      <c r="LEQ52" s="12"/>
      <c r="LER52" s="12"/>
      <c r="LES52" s="12"/>
      <c r="LET52" s="12"/>
      <c r="LEU52" s="12"/>
      <c r="LEV52" s="12"/>
      <c r="LEW52" s="12"/>
      <c r="LEX52" s="12"/>
      <c r="LEY52" s="12"/>
      <c r="LEZ52" s="12"/>
      <c r="LFA52" s="12"/>
      <c r="LFB52" s="12"/>
      <c r="LFC52" s="12"/>
      <c r="LFD52" s="12"/>
      <c r="LFE52" s="12"/>
      <c r="LFF52" s="12"/>
      <c r="LFG52" s="12"/>
      <c r="LFH52" s="12"/>
      <c r="LFI52" s="12"/>
      <c r="LFJ52" s="12"/>
      <c r="LFK52" s="12"/>
      <c r="LFL52" s="12"/>
      <c r="LFM52" s="12"/>
      <c r="LFN52" s="12"/>
      <c r="LFO52" s="12"/>
      <c r="LFP52" s="12"/>
      <c r="LFQ52" s="12"/>
      <c r="LFR52" s="12"/>
      <c r="LFS52" s="12"/>
      <c r="LFT52" s="12"/>
      <c r="LFU52" s="12"/>
      <c r="LFV52" s="12"/>
      <c r="LFW52" s="12"/>
      <c r="LFX52" s="12"/>
      <c r="LFY52" s="12"/>
      <c r="LFZ52" s="12"/>
      <c r="LGA52" s="12"/>
      <c r="LGB52" s="12"/>
      <c r="LGC52" s="12"/>
      <c r="LGD52" s="12"/>
      <c r="LGE52" s="12"/>
      <c r="LGF52" s="12"/>
      <c r="LGG52" s="12"/>
      <c r="LGH52" s="12"/>
      <c r="LGI52" s="12"/>
      <c r="LGJ52" s="12"/>
      <c r="LGK52" s="12"/>
      <c r="LGL52" s="12"/>
      <c r="LGM52" s="12"/>
      <c r="LGN52" s="12"/>
      <c r="LGO52" s="12"/>
      <c r="LGP52" s="12"/>
      <c r="LGQ52" s="12"/>
      <c r="LGR52" s="12"/>
      <c r="LGS52" s="12"/>
      <c r="LGT52" s="12"/>
      <c r="LGU52" s="12"/>
      <c r="LGV52" s="12"/>
      <c r="LGW52" s="12"/>
      <c r="LGX52" s="12"/>
      <c r="LGY52" s="12"/>
      <c r="LGZ52" s="12"/>
      <c r="LHA52" s="12"/>
      <c r="LHB52" s="12"/>
      <c r="LHC52" s="12"/>
      <c r="LHD52" s="12"/>
      <c r="LHE52" s="12"/>
      <c r="LHF52" s="12"/>
      <c r="LHG52" s="12"/>
      <c r="LHH52" s="12"/>
      <c r="LHI52" s="12"/>
      <c r="LHJ52" s="12"/>
      <c r="LHK52" s="12"/>
      <c r="LHL52" s="12"/>
      <c r="LHM52" s="12"/>
      <c r="LHN52" s="12"/>
      <c r="LHO52" s="12"/>
      <c r="LHP52" s="12"/>
      <c r="LHQ52" s="12"/>
      <c r="LHR52" s="12"/>
      <c r="LHS52" s="12"/>
      <c r="LHT52" s="12"/>
      <c r="LHU52" s="12"/>
      <c r="LHV52" s="12"/>
      <c r="LHW52" s="12"/>
      <c r="LHX52" s="12"/>
      <c r="LHY52" s="12"/>
      <c r="LHZ52" s="12"/>
      <c r="LIA52" s="12"/>
      <c r="LIB52" s="12"/>
      <c r="LIC52" s="12"/>
      <c r="LID52" s="12"/>
      <c r="LIE52" s="12"/>
      <c r="LIF52" s="12"/>
      <c r="LIG52" s="12"/>
      <c r="LIH52" s="12"/>
      <c r="LII52" s="12"/>
      <c r="LIJ52" s="12"/>
      <c r="LIK52" s="12"/>
      <c r="LIL52" s="12"/>
      <c r="LIM52" s="12"/>
      <c r="LIN52" s="12"/>
      <c r="LIO52" s="12"/>
      <c r="LIP52" s="12"/>
      <c r="LIQ52" s="12"/>
      <c r="LIR52" s="12"/>
      <c r="LIS52" s="12"/>
      <c r="LIT52" s="12"/>
      <c r="LIU52" s="12"/>
      <c r="LIV52" s="12"/>
      <c r="LIW52" s="12"/>
      <c r="LIX52" s="12"/>
      <c r="LIY52" s="12"/>
      <c r="LIZ52" s="12"/>
      <c r="LJA52" s="12"/>
      <c r="LJB52" s="12"/>
      <c r="LJC52" s="12"/>
      <c r="LJD52" s="12"/>
      <c r="LJE52" s="12"/>
      <c r="LJF52" s="12"/>
      <c r="LJG52" s="12"/>
      <c r="LJH52" s="12"/>
      <c r="LJI52" s="12"/>
      <c r="LJJ52" s="12"/>
      <c r="LJK52" s="12"/>
      <c r="LJL52" s="12"/>
      <c r="LJM52" s="12"/>
      <c r="LJN52" s="12"/>
      <c r="LJO52" s="12"/>
      <c r="LJP52" s="12"/>
      <c r="LJQ52" s="12"/>
      <c r="LJR52" s="12"/>
      <c r="LJS52" s="12"/>
      <c r="LJT52" s="12"/>
      <c r="LJU52" s="12"/>
      <c r="LJV52" s="12"/>
      <c r="LJW52" s="12"/>
      <c r="LJX52" s="12"/>
      <c r="LJY52" s="12"/>
      <c r="LJZ52" s="12"/>
      <c r="LKA52" s="12"/>
      <c r="LKB52" s="12"/>
      <c r="LKC52" s="12"/>
      <c r="LKD52" s="12"/>
      <c r="LKE52" s="12"/>
      <c r="LKF52" s="12"/>
      <c r="LKG52" s="12"/>
      <c r="LKH52" s="12"/>
      <c r="LKI52" s="12"/>
      <c r="LKJ52" s="12"/>
      <c r="LKK52" s="12"/>
      <c r="LKL52" s="12"/>
      <c r="LKM52" s="12"/>
      <c r="LKN52" s="12"/>
      <c r="LKO52" s="12"/>
      <c r="LKP52" s="12"/>
      <c r="LKQ52" s="12"/>
      <c r="LKR52" s="12"/>
      <c r="LKS52" s="12"/>
      <c r="LKT52" s="12"/>
      <c r="LKU52" s="12"/>
      <c r="LKV52" s="12"/>
      <c r="LKW52" s="12"/>
      <c r="LKX52" s="12"/>
      <c r="LKY52" s="12"/>
      <c r="LKZ52" s="12"/>
      <c r="LLA52" s="12"/>
      <c r="LLB52" s="12"/>
      <c r="LLC52" s="12"/>
      <c r="LLD52" s="12"/>
      <c r="LLE52" s="12"/>
      <c r="LLF52" s="12"/>
      <c r="LLG52" s="12"/>
      <c r="LLH52" s="12"/>
      <c r="LLI52" s="12"/>
      <c r="LLJ52" s="12"/>
      <c r="LLK52" s="12"/>
      <c r="LLL52" s="12"/>
      <c r="LLM52" s="12"/>
      <c r="LLN52" s="12"/>
      <c r="LLO52" s="12"/>
      <c r="LLP52" s="12"/>
      <c r="LLQ52" s="12"/>
      <c r="LLR52" s="12"/>
      <c r="LLS52" s="12"/>
      <c r="LLT52" s="12"/>
      <c r="LLU52" s="12"/>
      <c r="LLV52" s="12"/>
      <c r="LLW52" s="12"/>
      <c r="LLX52" s="12"/>
      <c r="LLY52" s="12"/>
      <c r="LLZ52" s="12"/>
      <c r="LMA52" s="12"/>
      <c r="LMB52" s="12"/>
      <c r="LMC52" s="12"/>
      <c r="LMD52" s="12"/>
      <c r="LME52" s="12"/>
      <c r="LMF52" s="12"/>
      <c r="LMG52" s="12"/>
      <c r="LMH52" s="12"/>
      <c r="LMI52" s="12"/>
      <c r="LMJ52" s="12"/>
      <c r="LMK52" s="12"/>
      <c r="LML52" s="12"/>
      <c r="LMM52" s="12"/>
      <c r="LMN52" s="12"/>
      <c r="LMO52" s="12"/>
      <c r="LMP52" s="12"/>
      <c r="LMQ52" s="12"/>
      <c r="LMR52" s="12"/>
      <c r="LMS52" s="12"/>
      <c r="LMT52" s="12"/>
      <c r="LMU52" s="12"/>
      <c r="LMV52" s="12"/>
      <c r="LMW52" s="12"/>
      <c r="LMX52" s="12"/>
      <c r="LMY52" s="12"/>
      <c r="LMZ52" s="12"/>
      <c r="LNA52" s="12"/>
      <c r="LNB52" s="12"/>
      <c r="LNC52" s="12"/>
      <c r="LND52" s="12"/>
      <c r="LNE52" s="12"/>
      <c r="LNF52" s="12"/>
      <c r="LNG52" s="12"/>
      <c r="LNH52" s="12"/>
      <c r="LNI52" s="12"/>
      <c r="LNJ52" s="12"/>
      <c r="LNK52" s="12"/>
      <c r="LNL52" s="12"/>
      <c r="LNM52" s="12"/>
      <c r="LNN52" s="12"/>
      <c r="LNO52" s="12"/>
      <c r="LNP52" s="12"/>
      <c r="LNQ52" s="12"/>
      <c r="LNR52" s="12"/>
      <c r="LNS52" s="12"/>
      <c r="LNT52" s="12"/>
      <c r="LNU52" s="12"/>
      <c r="LNV52" s="12"/>
      <c r="LNW52" s="12"/>
      <c r="LNX52" s="12"/>
      <c r="LNY52" s="12"/>
      <c r="LNZ52" s="12"/>
      <c r="LOA52" s="12"/>
      <c r="LOB52" s="12"/>
      <c r="LOC52" s="12"/>
      <c r="LOD52" s="12"/>
      <c r="LOE52" s="12"/>
      <c r="LOF52" s="12"/>
      <c r="LOG52" s="12"/>
      <c r="LOH52" s="12"/>
      <c r="LOI52" s="12"/>
      <c r="LOJ52" s="12"/>
      <c r="LOK52" s="12"/>
      <c r="LOL52" s="12"/>
      <c r="LOM52" s="12"/>
      <c r="LON52" s="12"/>
      <c r="LOO52" s="12"/>
      <c r="LOP52" s="12"/>
      <c r="LOQ52" s="12"/>
      <c r="LOR52" s="12"/>
      <c r="LOS52" s="12"/>
      <c r="LOT52" s="12"/>
      <c r="LOU52" s="12"/>
      <c r="LOV52" s="12"/>
      <c r="LOW52" s="12"/>
      <c r="LOX52" s="12"/>
      <c r="LOY52" s="12"/>
      <c r="LOZ52" s="12"/>
      <c r="LPA52" s="12"/>
      <c r="LPB52" s="12"/>
      <c r="LPC52" s="12"/>
      <c r="LPD52" s="12"/>
      <c r="LPE52" s="12"/>
      <c r="LPF52" s="12"/>
      <c r="LPG52" s="12"/>
      <c r="LPH52" s="12"/>
      <c r="LPI52" s="12"/>
      <c r="LPJ52" s="12"/>
      <c r="LPK52" s="12"/>
      <c r="LPL52" s="12"/>
      <c r="LPM52" s="12"/>
      <c r="LPN52" s="12"/>
      <c r="LPO52" s="12"/>
      <c r="LPP52" s="12"/>
      <c r="LPQ52" s="12"/>
      <c r="LPR52" s="12"/>
      <c r="LPS52" s="12"/>
      <c r="LPT52" s="12"/>
      <c r="LPU52" s="12"/>
      <c r="LPV52" s="12"/>
      <c r="LPW52" s="12"/>
      <c r="LPX52" s="12"/>
      <c r="LPY52" s="12"/>
      <c r="LPZ52" s="12"/>
      <c r="LQA52" s="12"/>
      <c r="LQB52" s="12"/>
      <c r="LQC52" s="12"/>
      <c r="LQD52" s="12"/>
      <c r="LQE52" s="12"/>
      <c r="LQF52" s="12"/>
      <c r="LQG52" s="12"/>
      <c r="LQH52" s="12"/>
      <c r="LQI52" s="12"/>
      <c r="LQJ52" s="12"/>
      <c r="LQK52" s="12"/>
      <c r="LQL52" s="12"/>
      <c r="LQM52" s="12"/>
      <c r="LQN52" s="12"/>
      <c r="LQO52" s="12"/>
      <c r="LQP52" s="12"/>
      <c r="LQQ52" s="12"/>
      <c r="LQR52" s="12"/>
      <c r="LQS52" s="12"/>
      <c r="LQT52" s="12"/>
      <c r="LQU52" s="12"/>
      <c r="LQV52" s="12"/>
      <c r="LQW52" s="12"/>
      <c r="LQX52" s="12"/>
      <c r="LQY52" s="12"/>
      <c r="LQZ52" s="12"/>
      <c r="LRA52" s="12"/>
      <c r="LRB52" s="12"/>
      <c r="LRC52" s="12"/>
      <c r="LRD52" s="12"/>
      <c r="LRE52" s="12"/>
      <c r="LRF52" s="12"/>
      <c r="LRG52" s="12"/>
      <c r="LRH52" s="12"/>
      <c r="LRI52" s="12"/>
      <c r="LRJ52" s="12"/>
      <c r="LRK52" s="12"/>
      <c r="LRL52" s="12"/>
      <c r="LRM52" s="12"/>
      <c r="LRN52" s="12"/>
      <c r="LRO52" s="12"/>
      <c r="LRP52" s="12"/>
      <c r="LRQ52" s="12"/>
      <c r="LRR52" s="12"/>
      <c r="LRS52" s="12"/>
      <c r="LRT52" s="12"/>
      <c r="LRU52" s="12"/>
      <c r="LRV52" s="12"/>
      <c r="LRW52" s="12"/>
      <c r="LRX52" s="12"/>
      <c r="LRY52" s="12"/>
      <c r="LRZ52" s="12"/>
      <c r="LSA52" s="12"/>
      <c r="LSB52" s="12"/>
      <c r="LSC52" s="12"/>
      <c r="LSD52" s="12"/>
      <c r="LSE52" s="12"/>
      <c r="LSF52" s="12"/>
      <c r="LSG52" s="12"/>
      <c r="LSH52" s="12"/>
      <c r="LSI52" s="12"/>
      <c r="LSJ52" s="12"/>
      <c r="LSK52" s="12"/>
      <c r="LSL52" s="12"/>
      <c r="LSM52" s="12"/>
      <c r="LSN52" s="12"/>
      <c r="LSO52" s="12"/>
      <c r="LSP52" s="12"/>
      <c r="LSQ52" s="12"/>
      <c r="LSR52" s="12"/>
      <c r="LSS52" s="12"/>
      <c r="LST52" s="12"/>
      <c r="LSU52" s="12"/>
      <c r="LSV52" s="12"/>
      <c r="LSW52" s="12"/>
      <c r="LSX52" s="12"/>
      <c r="LSY52" s="12"/>
      <c r="LSZ52" s="12"/>
      <c r="LTA52" s="12"/>
      <c r="LTB52" s="12"/>
      <c r="LTC52" s="12"/>
      <c r="LTD52" s="12"/>
      <c r="LTE52" s="12"/>
      <c r="LTF52" s="12"/>
      <c r="LTG52" s="12"/>
      <c r="LTH52" s="12"/>
      <c r="LTI52" s="12"/>
      <c r="LTJ52" s="12"/>
      <c r="LTK52" s="12"/>
      <c r="LTL52" s="12"/>
      <c r="LTM52" s="12"/>
      <c r="LTN52" s="12"/>
      <c r="LTO52" s="12"/>
      <c r="LTP52" s="12"/>
      <c r="LTQ52" s="12"/>
      <c r="LTR52" s="12"/>
      <c r="LTS52" s="12"/>
      <c r="LTT52" s="12"/>
      <c r="LTU52" s="12"/>
      <c r="LTV52" s="12"/>
      <c r="LTW52" s="12"/>
      <c r="LTX52" s="12"/>
      <c r="LTY52" s="12"/>
      <c r="LTZ52" s="12"/>
      <c r="LUA52" s="12"/>
      <c r="LUB52" s="12"/>
      <c r="LUC52" s="12"/>
      <c r="LUD52" s="12"/>
      <c r="LUE52" s="12"/>
      <c r="LUF52" s="12"/>
      <c r="LUG52" s="12"/>
      <c r="LUH52" s="12"/>
      <c r="LUI52" s="12"/>
      <c r="LUJ52" s="12"/>
      <c r="LUK52" s="12"/>
      <c r="LUL52" s="12"/>
      <c r="LUM52" s="12"/>
      <c r="LUN52" s="12"/>
      <c r="LUO52" s="12"/>
      <c r="LUP52" s="12"/>
      <c r="LUQ52" s="12"/>
      <c r="LUR52" s="12"/>
      <c r="LUS52" s="12"/>
      <c r="LUT52" s="12"/>
      <c r="LUU52" s="12"/>
      <c r="LUV52" s="12"/>
      <c r="LUW52" s="12"/>
      <c r="LUX52" s="12"/>
      <c r="LUY52" s="12"/>
      <c r="LUZ52" s="12"/>
      <c r="LVA52" s="12"/>
      <c r="LVB52" s="12"/>
      <c r="LVC52" s="12"/>
      <c r="LVD52" s="12"/>
      <c r="LVE52" s="12"/>
      <c r="LVF52" s="12"/>
      <c r="LVG52" s="12"/>
      <c r="LVH52" s="12"/>
      <c r="LVI52" s="12"/>
      <c r="LVJ52" s="12"/>
      <c r="LVK52" s="12"/>
      <c r="LVL52" s="12"/>
      <c r="LVM52" s="12"/>
      <c r="LVN52" s="12"/>
      <c r="LVO52" s="12"/>
      <c r="LVP52" s="12"/>
      <c r="LVQ52" s="12"/>
      <c r="LVR52" s="12"/>
      <c r="LVS52" s="12"/>
      <c r="LVT52" s="12"/>
      <c r="LVU52" s="12"/>
      <c r="LVV52" s="12"/>
      <c r="LVW52" s="12"/>
      <c r="LVX52" s="12"/>
      <c r="LVY52" s="12"/>
      <c r="LVZ52" s="12"/>
      <c r="LWA52" s="12"/>
      <c r="LWB52" s="12"/>
      <c r="LWC52" s="12"/>
      <c r="LWD52" s="12"/>
      <c r="LWE52" s="12"/>
      <c r="LWF52" s="12"/>
      <c r="LWG52" s="12"/>
      <c r="LWH52" s="12"/>
      <c r="LWI52" s="12"/>
      <c r="LWJ52" s="12"/>
      <c r="LWK52" s="12"/>
      <c r="LWL52" s="12"/>
      <c r="LWM52" s="12"/>
      <c r="LWN52" s="12"/>
      <c r="LWO52" s="12"/>
      <c r="LWP52" s="12"/>
      <c r="LWQ52" s="12"/>
      <c r="LWR52" s="12"/>
      <c r="LWS52" s="12"/>
      <c r="LWT52" s="12"/>
      <c r="LWU52" s="12"/>
      <c r="LWV52" s="12"/>
      <c r="LWW52" s="12"/>
      <c r="LWX52" s="12"/>
      <c r="LWY52" s="12"/>
      <c r="LWZ52" s="12"/>
      <c r="LXA52" s="12"/>
      <c r="LXB52" s="12"/>
      <c r="LXC52" s="12"/>
      <c r="LXD52" s="12"/>
      <c r="LXE52" s="12"/>
      <c r="LXF52" s="12"/>
      <c r="LXG52" s="12"/>
      <c r="LXH52" s="12"/>
      <c r="LXI52" s="12"/>
      <c r="LXJ52" s="12"/>
      <c r="LXK52" s="12"/>
      <c r="LXL52" s="12"/>
      <c r="LXM52" s="12"/>
      <c r="LXN52" s="12"/>
      <c r="LXO52" s="12"/>
      <c r="LXP52" s="12"/>
      <c r="LXQ52" s="12"/>
      <c r="LXR52" s="12"/>
      <c r="LXS52" s="12"/>
      <c r="LXT52" s="12"/>
      <c r="LXU52" s="12"/>
      <c r="LXV52" s="12"/>
      <c r="LXW52" s="12"/>
      <c r="LXX52" s="12"/>
      <c r="LXY52" s="12"/>
      <c r="LXZ52" s="12"/>
      <c r="LYA52" s="12"/>
      <c r="LYB52" s="12"/>
      <c r="LYC52" s="12"/>
      <c r="LYD52" s="12"/>
      <c r="LYE52" s="12"/>
      <c r="LYF52" s="12"/>
      <c r="LYG52" s="12"/>
      <c r="LYH52" s="12"/>
      <c r="LYI52" s="12"/>
      <c r="LYJ52" s="12"/>
      <c r="LYK52" s="12"/>
      <c r="LYL52" s="12"/>
      <c r="LYM52" s="12"/>
      <c r="LYN52" s="12"/>
      <c r="LYO52" s="12"/>
      <c r="LYP52" s="12"/>
      <c r="LYQ52" s="12"/>
      <c r="LYR52" s="12"/>
      <c r="LYS52" s="12"/>
      <c r="LYT52" s="12"/>
      <c r="LYU52" s="12"/>
      <c r="LYV52" s="12"/>
      <c r="LYW52" s="12"/>
      <c r="LYX52" s="12"/>
      <c r="LYY52" s="12"/>
      <c r="LYZ52" s="12"/>
      <c r="LZA52" s="12"/>
      <c r="LZB52" s="12"/>
      <c r="LZC52" s="12"/>
      <c r="LZD52" s="12"/>
      <c r="LZE52" s="12"/>
      <c r="LZF52" s="12"/>
      <c r="LZG52" s="12"/>
      <c r="LZH52" s="12"/>
      <c r="LZI52" s="12"/>
      <c r="LZJ52" s="12"/>
      <c r="LZK52" s="12"/>
      <c r="LZL52" s="12"/>
      <c r="LZM52" s="12"/>
      <c r="LZN52" s="12"/>
      <c r="LZO52" s="12"/>
      <c r="LZP52" s="12"/>
      <c r="LZQ52" s="12"/>
      <c r="LZR52" s="12"/>
      <c r="LZS52" s="12"/>
      <c r="LZT52" s="12"/>
      <c r="LZU52" s="12"/>
      <c r="LZV52" s="12"/>
      <c r="LZW52" s="12"/>
      <c r="LZX52" s="12"/>
      <c r="LZY52" s="12"/>
      <c r="LZZ52" s="12"/>
      <c r="MAA52" s="12"/>
      <c r="MAB52" s="12"/>
      <c r="MAC52" s="12"/>
      <c r="MAD52" s="12"/>
      <c r="MAE52" s="12"/>
      <c r="MAF52" s="12"/>
      <c r="MAG52" s="12"/>
      <c r="MAH52" s="12"/>
      <c r="MAI52" s="12"/>
      <c r="MAJ52" s="12"/>
      <c r="MAK52" s="12"/>
      <c r="MAL52" s="12"/>
      <c r="MAM52" s="12"/>
      <c r="MAN52" s="12"/>
      <c r="MAO52" s="12"/>
      <c r="MAP52" s="12"/>
      <c r="MAQ52" s="12"/>
      <c r="MAR52" s="12"/>
      <c r="MAS52" s="12"/>
      <c r="MAT52" s="12"/>
      <c r="MAU52" s="12"/>
      <c r="MAV52" s="12"/>
      <c r="MAW52" s="12"/>
      <c r="MAX52" s="12"/>
      <c r="MAY52" s="12"/>
      <c r="MAZ52" s="12"/>
      <c r="MBA52" s="12"/>
      <c r="MBB52" s="12"/>
      <c r="MBC52" s="12"/>
      <c r="MBD52" s="12"/>
      <c r="MBE52" s="12"/>
      <c r="MBF52" s="12"/>
      <c r="MBG52" s="12"/>
      <c r="MBH52" s="12"/>
      <c r="MBI52" s="12"/>
      <c r="MBJ52" s="12"/>
      <c r="MBK52" s="12"/>
      <c r="MBL52" s="12"/>
      <c r="MBM52" s="12"/>
      <c r="MBN52" s="12"/>
      <c r="MBO52" s="12"/>
      <c r="MBP52" s="12"/>
      <c r="MBQ52" s="12"/>
      <c r="MBR52" s="12"/>
      <c r="MBS52" s="12"/>
      <c r="MBT52" s="12"/>
      <c r="MBU52" s="12"/>
      <c r="MBV52" s="12"/>
      <c r="MBW52" s="12"/>
      <c r="MBX52" s="12"/>
      <c r="MBY52" s="12"/>
      <c r="MBZ52" s="12"/>
      <c r="MCA52" s="12"/>
      <c r="MCB52" s="12"/>
      <c r="MCC52" s="12"/>
      <c r="MCD52" s="12"/>
      <c r="MCE52" s="12"/>
      <c r="MCF52" s="12"/>
      <c r="MCG52" s="12"/>
      <c r="MCH52" s="12"/>
      <c r="MCI52" s="12"/>
      <c r="MCJ52" s="12"/>
      <c r="MCK52" s="12"/>
      <c r="MCL52" s="12"/>
      <c r="MCM52" s="12"/>
      <c r="MCN52" s="12"/>
      <c r="MCO52" s="12"/>
      <c r="MCP52" s="12"/>
      <c r="MCQ52" s="12"/>
      <c r="MCR52" s="12"/>
      <c r="MCS52" s="12"/>
      <c r="MCT52" s="12"/>
      <c r="MCU52" s="12"/>
      <c r="MCV52" s="12"/>
      <c r="MCW52" s="12"/>
      <c r="MCX52" s="12"/>
      <c r="MCY52" s="12"/>
      <c r="MCZ52" s="12"/>
      <c r="MDA52" s="12"/>
      <c r="MDB52" s="12"/>
      <c r="MDC52" s="12"/>
      <c r="MDD52" s="12"/>
      <c r="MDE52" s="12"/>
      <c r="MDF52" s="12"/>
      <c r="MDG52" s="12"/>
      <c r="MDH52" s="12"/>
      <c r="MDI52" s="12"/>
      <c r="MDJ52" s="12"/>
      <c r="MDK52" s="12"/>
      <c r="MDL52" s="12"/>
      <c r="MDM52" s="12"/>
      <c r="MDN52" s="12"/>
      <c r="MDO52" s="12"/>
      <c r="MDP52" s="12"/>
      <c r="MDQ52" s="12"/>
      <c r="MDR52" s="12"/>
      <c r="MDS52" s="12"/>
      <c r="MDT52" s="12"/>
      <c r="MDU52" s="12"/>
      <c r="MDV52" s="12"/>
      <c r="MDW52" s="12"/>
      <c r="MDX52" s="12"/>
      <c r="MDY52" s="12"/>
      <c r="MDZ52" s="12"/>
      <c r="MEA52" s="12"/>
      <c r="MEB52" s="12"/>
      <c r="MEC52" s="12"/>
      <c r="MED52" s="12"/>
      <c r="MEE52" s="12"/>
      <c r="MEF52" s="12"/>
      <c r="MEG52" s="12"/>
      <c r="MEH52" s="12"/>
      <c r="MEI52" s="12"/>
      <c r="MEJ52" s="12"/>
      <c r="MEK52" s="12"/>
      <c r="MEL52" s="12"/>
      <c r="MEM52" s="12"/>
      <c r="MEN52" s="12"/>
      <c r="MEO52" s="12"/>
      <c r="MEP52" s="12"/>
      <c r="MEQ52" s="12"/>
      <c r="MER52" s="12"/>
      <c r="MES52" s="12"/>
      <c r="MET52" s="12"/>
      <c r="MEU52" s="12"/>
      <c r="MEV52" s="12"/>
      <c r="MEW52" s="12"/>
      <c r="MEX52" s="12"/>
      <c r="MEY52" s="12"/>
      <c r="MEZ52" s="12"/>
      <c r="MFA52" s="12"/>
      <c r="MFB52" s="12"/>
      <c r="MFC52" s="12"/>
      <c r="MFD52" s="12"/>
      <c r="MFE52" s="12"/>
      <c r="MFF52" s="12"/>
      <c r="MFG52" s="12"/>
      <c r="MFH52" s="12"/>
      <c r="MFI52" s="12"/>
      <c r="MFJ52" s="12"/>
      <c r="MFK52" s="12"/>
      <c r="MFL52" s="12"/>
      <c r="MFM52" s="12"/>
      <c r="MFN52" s="12"/>
      <c r="MFO52" s="12"/>
      <c r="MFP52" s="12"/>
      <c r="MFQ52" s="12"/>
      <c r="MFR52" s="12"/>
      <c r="MFS52" s="12"/>
      <c r="MFT52" s="12"/>
      <c r="MFU52" s="12"/>
      <c r="MFV52" s="12"/>
      <c r="MFW52" s="12"/>
      <c r="MFX52" s="12"/>
      <c r="MFY52" s="12"/>
      <c r="MFZ52" s="12"/>
      <c r="MGA52" s="12"/>
      <c r="MGB52" s="12"/>
      <c r="MGC52" s="12"/>
      <c r="MGD52" s="12"/>
      <c r="MGE52" s="12"/>
      <c r="MGF52" s="12"/>
      <c r="MGG52" s="12"/>
      <c r="MGH52" s="12"/>
      <c r="MGI52" s="12"/>
      <c r="MGJ52" s="12"/>
      <c r="MGK52" s="12"/>
      <c r="MGL52" s="12"/>
      <c r="MGM52" s="12"/>
      <c r="MGN52" s="12"/>
      <c r="MGO52" s="12"/>
      <c r="MGP52" s="12"/>
      <c r="MGQ52" s="12"/>
      <c r="MGR52" s="12"/>
      <c r="MGS52" s="12"/>
      <c r="MGT52" s="12"/>
      <c r="MGU52" s="12"/>
      <c r="MGV52" s="12"/>
      <c r="MGW52" s="12"/>
      <c r="MGX52" s="12"/>
      <c r="MGY52" s="12"/>
      <c r="MGZ52" s="12"/>
      <c r="MHA52" s="12"/>
      <c r="MHB52" s="12"/>
      <c r="MHC52" s="12"/>
      <c r="MHD52" s="12"/>
      <c r="MHE52" s="12"/>
      <c r="MHF52" s="12"/>
      <c r="MHG52" s="12"/>
      <c r="MHH52" s="12"/>
      <c r="MHI52" s="12"/>
      <c r="MHJ52" s="12"/>
      <c r="MHK52" s="12"/>
      <c r="MHL52" s="12"/>
      <c r="MHM52" s="12"/>
      <c r="MHN52" s="12"/>
      <c r="MHO52" s="12"/>
      <c r="MHP52" s="12"/>
      <c r="MHQ52" s="12"/>
      <c r="MHR52" s="12"/>
      <c r="MHS52" s="12"/>
      <c r="MHT52" s="12"/>
      <c r="MHU52" s="12"/>
      <c r="MHV52" s="12"/>
      <c r="MHW52" s="12"/>
      <c r="MHX52" s="12"/>
      <c r="MHY52" s="12"/>
      <c r="MHZ52" s="12"/>
      <c r="MIA52" s="12"/>
      <c r="MIB52" s="12"/>
      <c r="MIC52" s="12"/>
      <c r="MID52" s="12"/>
      <c r="MIE52" s="12"/>
      <c r="MIF52" s="12"/>
      <c r="MIG52" s="12"/>
      <c r="MIH52" s="12"/>
      <c r="MII52" s="12"/>
      <c r="MIJ52" s="12"/>
      <c r="MIK52" s="12"/>
      <c r="MIL52" s="12"/>
      <c r="MIM52" s="12"/>
      <c r="MIN52" s="12"/>
      <c r="MIO52" s="12"/>
      <c r="MIP52" s="12"/>
      <c r="MIQ52" s="12"/>
      <c r="MIR52" s="12"/>
      <c r="MIS52" s="12"/>
      <c r="MIT52" s="12"/>
      <c r="MIU52" s="12"/>
      <c r="MIV52" s="12"/>
      <c r="MIW52" s="12"/>
      <c r="MIX52" s="12"/>
      <c r="MIY52" s="12"/>
      <c r="MIZ52" s="12"/>
      <c r="MJA52" s="12"/>
      <c r="MJB52" s="12"/>
      <c r="MJC52" s="12"/>
      <c r="MJD52" s="12"/>
      <c r="MJE52" s="12"/>
      <c r="MJF52" s="12"/>
      <c r="MJG52" s="12"/>
      <c r="MJH52" s="12"/>
      <c r="MJI52" s="12"/>
      <c r="MJJ52" s="12"/>
      <c r="MJK52" s="12"/>
      <c r="MJL52" s="12"/>
      <c r="MJM52" s="12"/>
      <c r="MJN52" s="12"/>
      <c r="MJO52" s="12"/>
      <c r="MJP52" s="12"/>
      <c r="MJQ52" s="12"/>
      <c r="MJR52" s="12"/>
      <c r="MJS52" s="12"/>
      <c r="MJT52" s="12"/>
      <c r="MJU52" s="12"/>
      <c r="MJV52" s="12"/>
      <c r="MJW52" s="12"/>
      <c r="MJX52" s="12"/>
      <c r="MJY52" s="12"/>
      <c r="MJZ52" s="12"/>
      <c r="MKA52" s="12"/>
      <c r="MKB52" s="12"/>
      <c r="MKC52" s="12"/>
      <c r="MKD52" s="12"/>
      <c r="MKE52" s="12"/>
      <c r="MKF52" s="12"/>
      <c r="MKG52" s="12"/>
      <c r="MKH52" s="12"/>
      <c r="MKI52" s="12"/>
      <c r="MKJ52" s="12"/>
      <c r="MKK52" s="12"/>
      <c r="MKL52" s="12"/>
      <c r="MKM52" s="12"/>
      <c r="MKN52" s="12"/>
      <c r="MKO52" s="12"/>
      <c r="MKP52" s="12"/>
      <c r="MKQ52" s="12"/>
      <c r="MKR52" s="12"/>
      <c r="MKS52" s="12"/>
      <c r="MKT52" s="12"/>
      <c r="MKU52" s="12"/>
      <c r="MKV52" s="12"/>
      <c r="MKW52" s="12"/>
      <c r="MKX52" s="12"/>
      <c r="MKY52" s="12"/>
      <c r="MKZ52" s="12"/>
      <c r="MLA52" s="12"/>
      <c r="MLB52" s="12"/>
      <c r="MLC52" s="12"/>
      <c r="MLD52" s="12"/>
      <c r="MLE52" s="12"/>
      <c r="MLF52" s="12"/>
      <c r="MLG52" s="12"/>
      <c r="MLH52" s="12"/>
      <c r="MLI52" s="12"/>
      <c r="MLJ52" s="12"/>
      <c r="MLK52" s="12"/>
      <c r="MLL52" s="12"/>
      <c r="MLM52" s="12"/>
      <c r="MLN52" s="12"/>
      <c r="MLO52" s="12"/>
      <c r="MLP52" s="12"/>
      <c r="MLQ52" s="12"/>
      <c r="MLR52" s="12"/>
      <c r="MLS52" s="12"/>
      <c r="MLT52" s="12"/>
      <c r="MLU52" s="12"/>
      <c r="MLV52" s="12"/>
      <c r="MLW52" s="12"/>
      <c r="MLX52" s="12"/>
      <c r="MLY52" s="12"/>
      <c r="MLZ52" s="12"/>
      <c r="MMA52" s="12"/>
      <c r="MMB52" s="12"/>
      <c r="MMC52" s="12"/>
      <c r="MMD52" s="12"/>
      <c r="MME52" s="12"/>
      <c r="MMF52" s="12"/>
      <c r="MMG52" s="12"/>
      <c r="MMH52" s="12"/>
      <c r="MMI52" s="12"/>
      <c r="MMJ52" s="12"/>
      <c r="MMK52" s="12"/>
      <c r="MML52" s="12"/>
      <c r="MMM52" s="12"/>
      <c r="MMN52" s="12"/>
      <c r="MMO52" s="12"/>
      <c r="MMP52" s="12"/>
      <c r="MMQ52" s="12"/>
      <c r="MMR52" s="12"/>
      <c r="MMS52" s="12"/>
      <c r="MMT52" s="12"/>
      <c r="MMU52" s="12"/>
      <c r="MMV52" s="12"/>
      <c r="MMW52" s="12"/>
      <c r="MMX52" s="12"/>
      <c r="MMY52" s="12"/>
      <c r="MMZ52" s="12"/>
      <c r="MNA52" s="12"/>
      <c r="MNB52" s="12"/>
      <c r="MNC52" s="12"/>
      <c r="MND52" s="12"/>
      <c r="MNE52" s="12"/>
      <c r="MNF52" s="12"/>
      <c r="MNG52" s="12"/>
      <c r="MNH52" s="12"/>
      <c r="MNI52" s="12"/>
      <c r="MNJ52" s="12"/>
      <c r="MNK52" s="12"/>
      <c r="MNL52" s="12"/>
      <c r="MNM52" s="12"/>
      <c r="MNN52" s="12"/>
      <c r="MNO52" s="12"/>
      <c r="MNP52" s="12"/>
      <c r="MNQ52" s="12"/>
      <c r="MNR52" s="12"/>
      <c r="MNS52" s="12"/>
      <c r="MNT52" s="12"/>
      <c r="MNU52" s="12"/>
      <c r="MNV52" s="12"/>
      <c r="MNW52" s="12"/>
      <c r="MNX52" s="12"/>
      <c r="MNY52" s="12"/>
      <c r="MNZ52" s="12"/>
      <c r="MOA52" s="12"/>
      <c r="MOB52" s="12"/>
      <c r="MOC52" s="12"/>
      <c r="MOD52" s="12"/>
      <c r="MOE52" s="12"/>
      <c r="MOF52" s="12"/>
      <c r="MOG52" s="12"/>
      <c r="MOH52" s="12"/>
      <c r="MOI52" s="12"/>
      <c r="MOJ52" s="12"/>
      <c r="MOK52" s="12"/>
      <c r="MOL52" s="12"/>
      <c r="MOM52" s="12"/>
      <c r="MON52" s="12"/>
      <c r="MOO52" s="12"/>
      <c r="MOP52" s="12"/>
      <c r="MOQ52" s="12"/>
      <c r="MOR52" s="12"/>
      <c r="MOS52" s="12"/>
      <c r="MOT52" s="12"/>
      <c r="MOU52" s="12"/>
      <c r="MOV52" s="12"/>
      <c r="MOW52" s="12"/>
      <c r="MOX52" s="12"/>
      <c r="MOY52" s="12"/>
      <c r="MOZ52" s="12"/>
      <c r="MPA52" s="12"/>
      <c r="MPB52" s="12"/>
      <c r="MPC52" s="12"/>
      <c r="MPD52" s="12"/>
      <c r="MPE52" s="12"/>
      <c r="MPF52" s="12"/>
      <c r="MPG52" s="12"/>
      <c r="MPH52" s="12"/>
      <c r="MPI52" s="12"/>
      <c r="MPJ52" s="12"/>
      <c r="MPK52" s="12"/>
      <c r="MPL52" s="12"/>
      <c r="MPM52" s="12"/>
      <c r="MPN52" s="12"/>
      <c r="MPO52" s="12"/>
      <c r="MPP52" s="12"/>
      <c r="MPQ52" s="12"/>
      <c r="MPR52" s="12"/>
      <c r="MPS52" s="12"/>
      <c r="MPT52" s="12"/>
      <c r="MPU52" s="12"/>
      <c r="MPV52" s="12"/>
      <c r="MPW52" s="12"/>
      <c r="MPX52" s="12"/>
      <c r="MPY52" s="12"/>
      <c r="MPZ52" s="12"/>
      <c r="MQA52" s="12"/>
      <c r="MQB52" s="12"/>
      <c r="MQC52" s="12"/>
      <c r="MQD52" s="12"/>
      <c r="MQE52" s="12"/>
      <c r="MQF52" s="12"/>
      <c r="MQG52" s="12"/>
      <c r="MQH52" s="12"/>
      <c r="MQI52" s="12"/>
      <c r="MQJ52" s="12"/>
      <c r="MQK52" s="12"/>
      <c r="MQL52" s="12"/>
      <c r="MQM52" s="12"/>
      <c r="MQN52" s="12"/>
      <c r="MQO52" s="12"/>
      <c r="MQP52" s="12"/>
      <c r="MQQ52" s="12"/>
      <c r="MQR52" s="12"/>
      <c r="MQS52" s="12"/>
      <c r="MQT52" s="12"/>
      <c r="MQU52" s="12"/>
      <c r="MQV52" s="12"/>
      <c r="MQW52" s="12"/>
      <c r="MQX52" s="12"/>
      <c r="MQY52" s="12"/>
      <c r="MQZ52" s="12"/>
      <c r="MRA52" s="12"/>
      <c r="MRB52" s="12"/>
      <c r="MRC52" s="12"/>
      <c r="MRD52" s="12"/>
      <c r="MRE52" s="12"/>
      <c r="MRF52" s="12"/>
      <c r="MRG52" s="12"/>
      <c r="MRH52" s="12"/>
      <c r="MRI52" s="12"/>
      <c r="MRJ52" s="12"/>
      <c r="MRK52" s="12"/>
      <c r="MRL52" s="12"/>
      <c r="MRM52" s="12"/>
      <c r="MRN52" s="12"/>
      <c r="MRO52" s="12"/>
      <c r="MRP52" s="12"/>
      <c r="MRQ52" s="12"/>
      <c r="MRR52" s="12"/>
      <c r="MRS52" s="12"/>
      <c r="MRT52" s="12"/>
      <c r="MRU52" s="12"/>
      <c r="MRV52" s="12"/>
      <c r="MRW52" s="12"/>
      <c r="MRX52" s="12"/>
      <c r="MRY52" s="12"/>
      <c r="MRZ52" s="12"/>
      <c r="MSA52" s="12"/>
      <c r="MSB52" s="12"/>
      <c r="MSC52" s="12"/>
      <c r="MSD52" s="12"/>
      <c r="MSE52" s="12"/>
      <c r="MSF52" s="12"/>
      <c r="MSG52" s="12"/>
      <c r="MSH52" s="12"/>
      <c r="MSI52" s="12"/>
      <c r="MSJ52" s="12"/>
      <c r="MSK52" s="12"/>
      <c r="MSL52" s="12"/>
      <c r="MSM52" s="12"/>
      <c r="MSN52" s="12"/>
      <c r="MSO52" s="12"/>
      <c r="MSP52" s="12"/>
      <c r="MSQ52" s="12"/>
      <c r="MSR52" s="12"/>
      <c r="MSS52" s="12"/>
      <c r="MST52" s="12"/>
      <c r="MSU52" s="12"/>
      <c r="MSV52" s="12"/>
      <c r="MSW52" s="12"/>
      <c r="MSX52" s="12"/>
      <c r="MSY52" s="12"/>
      <c r="MSZ52" s="12"/>
      <c r="MTA52" s="12"/>
      <c r="MTB52" s="12"/>
      <c r="MTC52" s="12"/>
      <c r="MTD52" s="12"/>
      <c r="MTE52" s="12"/>
      <c r="MTF52" s="12"/>
      <c r="MTG52" s="12"/>
      <c r="MTH52" s="12"/>
      <c r="MTI52" s="12"/>
      <c r="MTJ52" s="12"/>
      <c r="MTK52" s="12"/>
      <c r="MTL52" s="12"/>
      <c r="MTM52" s="12"/>
      <c r="MTN52" s="12"/>
      <c r="MTO52" s="12"/>
      <c r="MTP52" s="12"/>
      <c r="MTQ52" s="12"/>
      <c r="MTR52" s="12"/>
      <c r="MTS52" s="12"/>
      <c r="MTT52" s="12"/>
      <c r="MTU52" s="12"/>
      <c r="MTV52" s="12"/>
      <c r="MTW52" s="12"/>
      <c r="MTX52" s="12"/>
      <c r="MTY52" s="12"/>
      <c r="MTZ52" s="12"/>
      <c r="MUA52" s="12"/>
      <c r="MUB52" s="12"/>
      <c r="MUC52" s="12"/>
      <c r="MUD52" s="12"/>
      <c r="MUE52" s="12"/>
      <c r="MUF52" s="12"/>
      <c r="MUG52" s="12"/>
      <c r="MUH52" s="12"/>
      <c r="MUI52" s="12"/>
      <c r="MUJ52" s="12"/>
      <c r="MUK52" s="12"/>
      <c r="MUL52" s="12"/>
      <c r="MUM52" s="12"/>
      <c r="MUN52" s="12"/>
      <c r="MUO52" s="12"/>
      <c r="MUP52" s="12"/>
      <c r="MUQ52" s="12"/>
      <c r="MUR52" s="12"/>
      <c r="MUS52" s="12"/>
      <c r="MUT52" s="12"/>
      <c r="MUU52" s="12"/>
      <c r="MUV52" s="12"/>
      <c r="MUW52" s="12"/>
      <c r="MUX52" s="12"/>
      <c r="MUY52" s="12"/>
      <c r="MUZ52" s="12"/>
      <c r="MVA52" s="12"/>
      <c r="MVB52" s="12"/>
      <c r="MVC52" s="12"/>
      <c r="MVD52" s="12"/>
      <c r="MVE52" s="12"/>
      <c r="MVF52" s="12"/>
      <c r="MVG52" s="12"/>
      <c r="MVH52" s="12"/>
      <c r="MVI52" s="12"/>
      <c r="MVJ52" s="12"/>
      <c r="MVK52" s="12"/>
      <c r="MVL52" s="12"/>
      <c r="MVM52" s="12"/>
      <c r="MVN52" s="12"/>
      <c r="MVO52" s="12"/>
      <c r="MVP52" s="12"/>
      <c r="MVQ52" s="12"/>
      <c r="MVR52" s="12"/>
      <c r="MVS52" s="12"/>
      <c r="MVT52" s="12"/>
      <c r="MVU52" s="12"/>
      <c r="MVV52" s="12"/>
      <c r="MVW52" s="12"/>
      <c r="MVX52" s="12"/>
      <c r="MVY52" s="12"/>
      <c r="MVZ52" s="12"/>
      <c r="MWA52" s="12"/>
      <c r="MWB52" s="12"/>
      <c r="MWC52" s="12"/>
      <c r="MWD52" s="12"/>
      <c r="MWE52" s="12"/>
      <c r="MWF52" s="12"/>
      <c r="MWG52" s="12"/>
      <c r="MWH52" s="12"/>
      <c r="MWI52" s="12"/>
      <c r="MWJ52" s="12"/>
      <c r="MWK52" s="12"/>
      <c r="MWL52" s="12"/>
      <c r="MWM52" s="12"/>
      <c r="MWN52" s="12"/>
      <c r="MWO52" s="12"/>
      <c r="MWP52" s="12"/>
      <c r="MWQ52" s="12"/>
      <c r="MWR52" s="12"/>
      <c r="MWS52" s="12"/>
      <c r="MWT52" s="12"/>
      <c r="MWU52" s="12"/>
      <c r="MWV52" s="12"/>
      <c r="MWW52" s="12"/>
      <c r="MWX52" s="12"/>
      <c r="MWY52" s="12"/>
      <c r="MWZ52" s="12"/>
      <c r="MXA52" s="12"/>
      <c r="MXB52" s="12"/>
      <c r="MXC52" s="12"/>
      <c r="MXD52" s="12"/>
      <c r="MXE52" s="12"/>
      <c r="MXF52" s="12"/>
      <c r="MXG52" s="12"/>
      <c r="MXH52" s="12"/>
      <c r="MXI52" s="12"/>
      <c r="MXJ52" s="12"/>
      <c r="MXK52" s="12"/>
      <c r="MXL52" s="12"/>
      <c r="MXM52" s="12"/>
      <c r="MXN52" s="12"/>
      <c r="MXO52" s="12"/>
      <c r="MXP52" s="12"/>
      <c r="MXQ52" s="12"/>
      <c r="MXR52" s="12"/>
      <c r="MXS52" s="12"/>
      <c r="MXT52" s="12"/>
      <c r="MXU52" s="12"/>
      <c r="MXV52" s="12"/>
      <c r="MXW52" s="12"/>
      <c r="MXX52" s="12"/>
      <c r="MXY52" s="12"/>
      <c r="MXZ52" s="12"/>
      <c r="MYA52" s="12"/>
      <c r="MYB52" s="12"/>
      <c r="MYC52" s="12"/>
      <c r="MYD52" s="12"/>
      <c r="MYE52" s="12"/>
      <c r="MYF52" s="12"/>
      <c r="MYG52" s="12"/>
      <c r="MYH52" s="12"/>
      <c r="MYI52" s="12"/>
      <c r="MYJ52" s="12"/>
      <c r="MYK52" s="12"/>
      <c r="MYL52" s="12"/>
      <c r="MYM52" s="12"/>
      <c r="MYN52" s="12"/>
      <c r="MYO52" s="12"/>
      <c r="MYP52" s="12"/>
      <c r="MYQ52" s="12"/>
      <c r="MYR52" s="12"/>
      <c r="MYS52" s="12"/>
      <c r="MYT52" s="12"/>
      <c r="MYU52" s="12"/>
      <c r="MYV52" s="12"/>
      <c r="MYW52" s="12"/>
      <c r="MYX52" s="12"/>
      <c r="MYY52" s="12"/>
      <c r="MYZ52" s="12"/>
      <c r="MZA52" s="12"/>
      <c r="MZB52" s="12"/>
      <c r="MZC52" s="12"/>
      <c r="MZD52" s="12"/>
      <c r="MZE52" s="12"/>
      <c r="MZF52" s="12"/>
      <c r="MZG52" s="12"/>
      <c r="MZH52" s="12"/>
      <c r="MZI52" s="12"/>
      <c r="MZJ52" s="12"/>
      <c r="MZK52" s="12"/>
      <c r="MZL52" s="12"/>
      <c r="MZM52" s="12"/>
      <c r="MZN52" s="12"/>
      <c r="MZO52" s="12"/>
      <c r="MZP52" s="12"/>
      <c r="MZQ52" s="12"/>
      <c r="MZR52" s="12"/>
      <c r="MZS52" s="12"/>
      <c r="MZT52" s="12"/>
      <c r="MZU52" s="12"/>
      <c r="MZV52" s="12"/>
      <c r="MZW52" s="12"/>
      <c r="MZX52" s="12"/>
      <c r="MZY52" s="12"/>
      <c r="MZZ52" s="12"/>
      <c r="NAA52" s="12"/>
      <c r="NAB52" s="12"/>
      <c r="NAC52" s="12"/>
      <c r="NAD52" s="12"/>
      <c r="NAE52" s="12"/>
      <c r="NAF52" s="12"/>
      <c r="NAG52" s="12"/>
      <c r="NAH52" s="12"/>
      <c r="NAI52" s="12"/>
      <c r="NAJ52" s="12"/>
      <c r="NAK52" s="12"/>
      <c r="NAL52" s="12"/>
      <c r="NAM52" s="12"/>
      <c r="NAN52" s="12"/>
      <c r="NAO52" s="12"/>
      <c r="NAP52" s="12"/>
      <c r="NAQ52" s="12"/>
      <c r="NAR52" s="12"/>
      <c r="NAS52" s="12"/>
      <c r="NAT52" s="12"/>
      <c r="NAU52" s="12"/>
      <c r="NAV52" s="12"/>
      <c r="NAW52" s="12"/>
      <c r="NAX52" s="12"/>
      <c r="NAY52" s="12"/>
      <c r="NAZ52" s="12"/>
      <c r="NBA52" s="12"/>
      <c r="NBB52" s="12"/>
      <c r="NBC52" s="12"/>
      <c r="NBD52" s="12"/>
      <c r="NBE52" s="12"/>
      <c r="NBF52" s="12"/>
      <c r="NBG52" s="12"/>
      <c r="NBH52" s="12"/>
      <c r="NBI52" s="12"/>
      <c r="NBJ52" s="12"/>
      <c r="NBK52" s="12"/>
      <c r="NBL52" s="12"/>
      <c r="NBM52" s="12"/>
      <c r="NBN52" s="12"/>
      <c r="NBO52" s="12"/>
      <c r="NBP52" s="12"/>
      <c r="NBQ52" s="12"/>
      <c r="NBR52" s="12"/>
      <c r="NBS52" s="12"/>
      <c r="NBT52" s="12"/>
      <c r="NBU52" s="12"/>
      <c r="NBV52" s="12"/>
      <c r="NBW52" s="12"/>
      <c r="NBX52" s="12"/>
      <c r="NBY52" s="12"/>
      <c r="NBZ52" s="12"/>
      <c r="NCA52" s="12"/>
      <c r="NCB52" s="12"/>
      <c r="NCC52" s="12"/>
      <c r="NCD52" s="12"/>
      <c r="NCE52" s="12"/>
      <c r="NCF52" s="12"/>
      <c r="NCG52" s="12"/>
      <c r="NCH52" s="12"/>
      <c r="NCI52" s="12"/>
      <c r="NCJ52" s="12"/>
      <c r="NCK52" s="12"/>
      <c r="NCL52" s="12"/>
      <c r="NCM52" s="12"/>
      <c r="NCN52" s="12"/>
      <c r="NCO52" s="12"/>
      <c r="NCP52" s="12"/>
      <c r="NCQ52" s="12"/>
      <c r="NCR52" s="12"/>
      <c r="NCS52" s="12"/>
      <c r="NCT52" s="12"/>
      <c r="NCU52" s="12"/>
      <c r="NCV52" s="12"/>
      <c r="NCW52" s="12"/>
      <c r="NCX52" s="12"/>
      <c r="NCY52" s="12"/>
      <c r="NCZ52" s="12"/>
      <c r="NDA52" s="12"/>
      <c r="NDB52" s="12"/>
      <c r="NDC52" s="12"/>
      <c r="NDD52" s="12"/>
      <c r="NDE52" s="12"/>
      <c r="NDF52" s="12"/>
      <c r="NDG52" s="12"/>
      <c r="NDH52" s="12"/>
      <c r="NDI52" s="12"/>
      <c r="NDJ52" s="12"/>
      <c r="NDK52" s="12"/>
      <c r="NDL52" s="12"/>
      <c r="NDM52" s="12"/>
      <c r="NDN52" s="12"/>
      <c r="NDO52" s="12"/>
      <c r="NDP52" s="12"/>
      <c r="NDQ52" s="12"/>
      <c r="NDR52" s="12"/>
      <c r="NDS52" s="12"/>
      <c r="NDT52" s="12"/>
      <c r="NDU52" s="12"/>
      <c r="NDV52" s="12"/>
      <c r="NDW52" s="12"/>
      <c r="NDX52" s="12"/>
      <c r="NDY52" s="12"/>
      <c r="NDZ52" s="12"/>
      <c r="NEA52" s="12"/>
      <c r="NEB52" s="12"/>
      <c r="NEC52" s="12"/>
      <c r="NED52" s="12"/>
      <c r="NEE52" s="12"/>
      <c r="NEF52" s="12"/>
      <c r="NEG52" s="12"/>
      <c r="NEH52" s="12"/>
      <c r="NEI52" s="12"/>
      <c r="NEJ52" s="12"/>
      <c r="NEK52" s="12"/>
      <c r="NEL52" s="12"/>
      <c r="NEM52" s="12"/>
      <c r="NEN52" s="12"/>
      <c r="NEO52" s="12"/>
      <c r="NEP52" s="12"/>
      <c r="NEQ52" s="12"/>
      <c r="NER52" s="12"/>
      <c r="NES52" s="12"/>
      <c r="NET52" s="12"/>
      <c r="NEU52" s="12"/>
      <c r="NEV52" s="12"/>
      <c r="NEW52" s="12"/>
      <c r="NEX52" s="12"/>
      <c r="NEY52" s="12"/>
      <c r="NEZ52" s="12"/>
      <c r="NFA52" s="12"/>
      <c r="NFB52" s="12"/>
      <c r="NFC52" s="12"/>
      <c r="NFD52" s="12"/>
      <c r="NFE52" s="12"/>
      <c r="NFF52" s="12"/>
      <c r="NFG52" s="12"/>
      <c r="NFH52" s="12"/>
      <c r="NFI52" s="12"/>
      <c r="NFJ52" s="12"/>
      <c r="NFK52" s="12"/>
      <c r="NFL52" s="12"/>
      <c r="NFM52" s="12"/>
      <c r="NFN52" s="12"/>
      <c r="NFO52" s="12"/>
      <c r="NFP52" s="12"/>
      <c r="NFQ52" s="12"/>
      <c r="NFR52" s="12"/>
      <c r="NFS52" s="12"/>
      <c r="NFT52" s="12"/>
      <c r="NFU52" s="12"/>
      <c r="NFV52" s="12"/>
      <c r="NFW52" s="12"/>
      <c r="NFX52" s="12"/>
      <c r="NFY52" s="12"/>
      <c r="NFZ52" s="12"/>
      <c r="NGA52" s="12"/>
      <c r="NGB52" s="12"/>
      <c r="NGC52" s="12"/>
      <c r="NGD52" s="12"/>
      <c r="NGE52" s="12"/>
      <c r="NGF52" s="12"/>
      <c r="NGG52" s="12"/>
      <c r="NGH52" s="12"/>
      <c r="NGI52" s="12"/>
      <c r="NGJ52" s="12"/>
      <c r="NGK52" s="12"/>
      <c r="NGL52" s="12"/>
      <c r="NGM52" s="12"/>
      <c r="NGN52" s="12"/>
      <c r="NGO52" s="12"/>
      <c r="NGP52" s="12"/>
      <c r="NGQ52" s="12"/>
      <c r="NGR52" s="12"/>
      <c r="NGS52" s="12"/>
      <c r="NGT52" s="12"/>
      <c r="NGU52" s="12"/>
      <c r="NGV52" s="12"/>
      <c r="NGW52" s="12"/>
      <c r="NGX52" s="12"/>
      <c r="NGY52" s="12"/>
      <c r="NGZ52" s="12"/>
      <c r="NHA52" s="12"/>
      <c r="NHB52" s="12"/>
      <c r="NHC52" s="12"/>
      <c r="NHD52" s="12"/>
      <c r="NHE52" s="12"/>
      <c r="NHF52" s="12"/>
      <c r="NHG52" s="12"/>
      <c r="NHH52" s="12"/>
      <c r="NHI52" s="12"/>
      <c r="NHJ52" s="12"/>
      <c r="NHK52" s="12"/>
      <c r="NHL52" s="12"/>
      <c r="NHM52" s="12"/>
      <c r="NHN52" s="12"/>
      <c r="NHO52" s="12"/>
      <c r="NHP52" s="12"/>
      <c r="NHQ52" s="12"/>
      <c r="NHR52" s="12"/>
      <c r="NHS52" s="12"/>
      <c r="NHT52" s="12"/>
      <c r="NHU52" s="12"/>
      <c r="NHV52" s="12"/>
      <c r="NHW52" s="12"/>
      <c r="NHX52" s="12"/>
      <c r="NHY52" s="12"/>
      <c r="NHZ52" s="12"/>
      <c r="NIA52" s="12"/>
      <c r="NIB52" s="12"/>
      <c r="NIC52" s="12"/>
      <c r="NID52" s="12"/>
      <c r="NIE52" s="12"/>
      <c r="NIF52" s="12"/>
      <c r="NIG52" s="12"/>
      <c r="NIH52" s="12"/>
      <c r="NII52" s="12"/>
      <c r="NIJ52" s="12"/>
      <c r="NIK52" s="12"/>
      <c r="NIL52" s="12"/>
      <c r="NIM52" s="12"/>
      <c r="NIN52" s="12"/>
      <c r="NIO52" s="12"/>
      <c r="NIP52" s="12"/>
      <c r="NIQ52" s="12"/>
      <c r="NIR52" s="12"/>
      <c r="NIS52" s="12"/>
      <c r="NIT52" s="12"/>
      <c r="NIU52" s="12"/>
      <c r="NIV52" s="12"/>
      <c r="NIW52" s="12"/>
      <c r="NIX52" s="12"/>
      <c r="NIY52" s="12"/>
      <c r="NIZ52" s="12"/>
      <c r="NJA52" s="12"/>
      <c r="NJB52" s="12"/>
      <c r="NJC52" s="12"/>
      <c r="NJD52" s="12"/>
      <c r="NJE52" s="12"/>
      <c r="NJF52" s="12"/>
      <c r="NJG52" s="12"/>
      <c r="NJH52" s="12"/>
      <c r="NJI52" s="12"/>
      <c r="NJJ52" s="12"/>
      <c r="NJK52" s="12"/>
      <c r="NJL52" s="12"/>
      <c r="NJM52" s="12"/>
      <c r="NJN52" s="12"/>
      <c r="NJO52" s="12"/>
      <c r="NJP52" s="12"/>
      <c r="NJQ52" s="12"/>
      <c r="NJR52" s="12"/>
      <c r="NJS52" s="12"/>
      <c r="NJT52" s="12"/>
      <c r="NJU52" s="12"/>
      <c r="NJV52" s="12"/>
      <c r="NJW52" s="12"/>
      <c r="NJX52" s="12"/>
      <c r="NJY52" s="12"/>
      <c r="NJZ52" s="12"/>
      <c r="NKA52" s="12"/>
      <c r="NKB52" s="12"/>
      <c r="NKC52" s="12"/>
      <c r="NKD52" s="12"/>
      <c r="NKE52" s="12"/>
      <c r="NKF52" s="12"/>
      <c r="NKG52" s="12"/>
      <c r="NKH52" s="12"/>
      <c r="NKI52" s="12"/>
      <c r="NKJ52" s="12"/>
      <c r="NKK52" s="12"/>
      <c r="NKL52" s="12"/>
      <c r="NKM52" s="12"/>
      <c r="NKN52" s="12"/>
      <c r="NKO52" s="12"/>
      <c r="NKP52" s="12"/>
      <c r="NKQ52" s="12"/>
      <c r="NKR52" s="12"/>
      <c r="NKS52" s="12"/>
      <c r="NKT52" s="12"/>
      <c r="NKU52" s="12"/>
      <c r="NKV52" s="12"/>
      <c r="NKW52" s="12"/>
      <c r="NKX52" s="12"/>
      <c r="NKY52" s="12"/>
      <c r="NKZ52" s="12"/>
      <c r="NLA52" s="12"/>
      <c r="NLB52" s="12"/>
      <c r="NLC52" s="12"/>
      <c r="NLD52" s="12"/>
      <c r="NLE52" s="12"/>
      <c r="NLF52" s="12"/>
      <c r="NLG52" s="12"/>
      <c r="NLH52" s="12"/>
      <c r="NLI52" s="12"/>
      <c r="NLJ52" s="12"/>
      <c r="NLK52" s="12"/>
      <c r="NLL52" s="12"/>
      <c r="NLM52" s="12"/>
      <c r="NLN52" s="12"/>
      <c r="NLO52" s="12"/>
      <c r="NLP52" s="12"/>
      <c r="NLQ52" s="12"/>
      <c r="NLR52" s="12"/>
      <c r="NLS52" s="12"/>
      <c r="NLT52" s="12"/>
      <c r="NLU52" s="12"/>
      <c r="NLV52" s="12"/>
      <c r="NLW52" s="12"/>
      <c r="NLX52" s="12"/>
      <c r="NLY52" s="12"/>
      <c r="NLZ52" s="12"/>
      <c r="NMA52" s="12"/>
      <c r="NMB52" s="12"/>
      <c r="NMC52" s="12"/>
      <c r="NMD52" s="12"/>
      <c r="NME52" s="12"/>
      <c r="NMF52" s="12"/>
      <c r="NMG52" s="12"/>
      <c r="NMH52" s="12"/>
      <c r="NMI52" s="12"/>
      <c r="NMJ52" s="12"/>
      <c r="NMK52" s="12"/>
      <c r="NML52" s="12"/>
      <c r="NMM52" s="12"/>
      <c r="NMN52" s="12"/>
      <c r="NMO52" s="12"/>
      <c r="NMP52" s="12"/>
      <c r="NMQ52" s="12"/>
      <c r="NMR52" s="12"/>
      <c r="NMS52" s="12"/>
      <c r="NMT52" s="12"/>
      <c r="NMU52" s="12"/>
      <c r="NMV52" s="12"/>
      <c r="NMW52" s="12"/>
      <c r="NMX52" s="12"/>
      <c r="NMY52" s="12"/>
      <c r="NMZ52" s="12"/>
      <c r="NNA52" s="12"/>
      <c r="NNB52" s="12"/>
      <c r="NNC52" s="12"/>
      <c r="NND52" s="12"/>
      <c r="NNE52" s="12"/>
      <c r="NNF52" s="12"/>
      <c r="NNG52" s="12"/>
      <c r="NNH52" s="12"/>
      <c r="NNI52" s="12"/>
      <c r="NNJ52" s="12"/>
      <c r="NNK52" s="12"/>
      <c r="NNL52" s="12"/>
      <c r="NNM52" s="12"/>
      <c r="NNN52" s="12"/>
      <c r="NNO52" s="12"/>
      <c r="NNP52" s="12"/>
      <c r="NNQ52" s="12"/>
      <c r="NNR52" s="12"/>
      <c r="NNS52" s="12"/>
      <c r="NNT52" s="12"/>
      <c r="NNU52" s="12"/>
      <c r="NNV52" s="12"/>
      <c r="NNW52" s="12"/>
      <c r="NNX52" s="12"/>
      <c r="NNY52" s="12"/>
      <c r="NNZ52" s="12"/>
      <c r="NOA52" s="12"/>
      <c r="NOB52" s="12"/>
      <c r="NOC52" s="12"/>
      <c r="NOD52" s="12"/>
      <c r="NOE52" s="12"/>
      <c r="NOF52" s="12"/>
      <c r="NOG52" s="12"/>
      <c r="NOH52" s="12"/>
      <c r="NOI52" s="12"/>
      <c r="NOJ52" s="12"/>
      <c r="NOK52" s="12"/>
      <c r="NOL52" s="12"/>
      <c r="NOM52" s="12"/>
      <c r="NON52" s="12"/>
      <c r="NOO52" s="12"/>
      <c r="NOP52" s="12"/>
      <c r="NOQ52" s="12"/>
      <c r="NOR52" s="12"/>
      <c r="NOS52" s="12"/>
      <c r="NOT52" s="12"/>
      <c r="NOU52" s="12"/>
      <c r="NOV52" s="12"/>
      <c r="NOW52" s="12"/>
      <c r="NOX52" s="12"/>
      <c r="NOY52" s="12"/>
      <c r="NOZ52" s="12"/>
      <c r="NPA52" s="12"/>
      <c r="NPB52" s="12"/>
      <c r="NPC52" s="12"/>
      <c r="NPD52" s="12"/>
      <c r="NPE52" s="12"/>
      <c r="NPF52" s="12"/>
      <c r="NPG52" s="12"/>
      <c r="NPH52" s="12"/>
      <c r="NPI52" s="12"/>
      <c r="NPJ52" s="12"/>
      <c r="NPK52" s="12"/>
      <c r="NPL52" s="12"/>
      <c r="NPM52" s="12"/>
      <c r="NPN52" s="12"/>
      <c r="NPO52" s="12"/>
      <c r="NPP52" s="12"/>
      <c r="NPQ52" s="12"/>
      <c r="NPR52" s="12"/>
      <c r="NPS52" s="12"/>
      <c r="NPT52" s="12"/>
      <c r="NPU52" s="12"/>
      <c r="NPV52" s="12"/>
      <c r="NPW52" s="12"/>
      <c r="NPX52" s="12"/>
      <c r="NPY52" s="12"/>
      <c r="NPZ52" s="12"/>
      <c r="NQA52" s="12"/>
      <c r="NQB52" s="12"/>
      <c r="NQC52" s="12"/>
      <c r="NQD52" s="12"/>
      <c r="NQE52" s="12"/>
      <c r="NQF52" s="12"/>
      <c r="NQG52" s="12"/>
      <c r="NQH52" s="12"/>
      <c r="NQI52" s="12"/>
      <c r="NQJ52" s="12"/>
      <c r="NQK52" s="12"/>
      <c r="NQL52" s="12"/>
      <c r="NQM52" s="12"/>
      <c r="NQN52" s="12"/>
      <c r="NQO52" s="12"/>
      <c r="NQP52" s="12"/>
      <c r="NQQ52" s="12"/>
      <c r="NQR52" s="12"/>
      <c r="NQS52" s="12"/>
      <c r="NQT52" s="12"/>
      <c r="NQU52" s="12"/>
      <c r="NQV52" s="12"/>
      <c r="NQW52" s="12"/>
      <c r="NQX52" s="12"/>
      <c r="NQY52" s="12"/>
      <c r="NQZ52" s="12"/>
      <c r="NRA52" s="12"/>
      <c r="NRB52" s="12"/>
      <c r="NRC52" s="12"/>
      <c r="NRD52" s="12"/>
      <c r="NRE52" s="12"/>
      <c r="NRF52" s="12"/>
      <c r="NRG52" s="12"/>
      <c r="NRH52" s="12"/>
      <c r="NRI52" s="12"/>
      <c r="NRJ52" s="12"/>
      <c r="NRK52" s="12"/>
      <c r="NRL52" s="12"/>
      <c r="NRM52" s="12"/>
      <c r="NRN52" s="12"/>
      <c r="NRO52" s="12"/>
      <c r="NRP52" s="12"/>
      <c r="NRQ52" s="12"/>
      <c r="NRR52" s="12"/>
      <c r="NRS52" s="12"/>
      <c r="NRT52" s="12"/>
      <c r="NRU52" s="12"/>
      <c r="NRV52" s="12"/>
      <c r="NRW52" s="12"/>
      <c r="NRX52" s="12"/>
      <c r="NRY52" s="12"/>
      <c r="NRZ52" s="12"/>
      <c r="NSA52" s="12"/>
      <c r="NSB52" s="12"/>
      <c r="NSC52" s="12"/>
      <c r="NSD52" s="12"/>
      <c r="NSE52" s="12"/>
      <c r="NSF52" s="12"/>
      <c r="NSG52" s="12"/>
      <c r="NSH52" s="12"/>
      <c r="NSI52" s="12"/>
      <c r="NSJ52" s="12"/>
      <c r="NSK52" s="12"/>
      <c r="NSL52" s="12"/>
      <c r="NSM52" s="12"/>
      <c r="NSN52" s="12"/>
      <c r="NSO52" s="12"/>
      <c r="NSP52" s="12"/>
      <c r="NSQ52" s="12"/>
      <c r="NSR52" s="12"/>
      <c r="NSS52" s="12"/>
      <c r="NST52" s="12"/>
      <c r="NSU52" s="12"/>
      <c r="NSV52" s="12"/>
      <c r="NSW52" s="12"/>
      <c r="NSX52" s="12"/>
      <c r="NSY52" s="12"/>
      <c r="NSZ52" s="12"/>
      <c r="NTA52" s="12"/>
      <c r="NTB52" s="12"/>
      <c r="NTC52" s="12"/>
      <c r="NTD52" s="12"/>
      <c r="NTE52" s="12"/>
      <c r="NTF52" s="12"/>
      <c r="NTG52" s="12"/>
      <c r="NTH52" s="12"/>
      <c r="NTI52" s="12"/>
      <c r="NTJ52" s="12"/>
      <c r="NTK52" s="12"/>
      <c r="NTL52" s="12"/>
      <c r="NTM52" s="12"/>
      <c r="NTN52" s="12"/>
      <c r="NTO52" s="12"/>
      <c r="NTP52" s="12"/>
      <c r="NTQ52" s="12"/>
      <c r="NTR52" s="12"/>
      <c r="NTS52" s="12"/>
      <c r="NTT52" s="12"/>
      <c r="NTU52" s="12"/>
      <c r="NTV52" s="12"/>
      <c r="NTW52" s="12"/>
      <c r="NTX52" s="12"/>
      <c r="NTY52" s="12"/>
      <c r="NTZ52" s="12"/>
      <c r="NUA52" s="12"/>
      <c r="NUB52" s="12"/>
      <c r="NUC52" s="12"/>
      <c r="NUD52" s="12"/>
      <c r="NUE52" s="12"/>
      <c r="NUF52" s="12"/>
      <c r="NUG52" s="12"/>
      <c r="NUH52" s="12"/>
      <c r="NUI52" s="12"/>
      <c r="NUJ52" s="12"/>
      <c r="NUK52" s="12"/>
      <c r="NUL52" s="12"/>
      <c r="NUM52" s="12"/>
      <c r="NUN52" s="12"/>
      <c r="NUO52" s="12"/>
      <c r="NUP52" s="12"/>
      <c r="NUQ52" s="12"/>
      <c r="NUR52" s="12"/>
      <c r="NUS52" s="12"/>
      <c r="NUT52" s="12"/>
      <c r="NUU52" s="12"/>
      <c r="NUV52" s="12"/>
      <c r="NUW52" s="12"/>
      <c r="NUX52" s="12"/>
      <c r="NUY52" s="12"/>
      <c r="NUZ52" s="12"/>
      <c r="NVA52" s="12"/>
      <c r="NVB52" s="12"/>
      <c r="NVC52" s="12"/>
      <c r="NVD52" s="12"/>
      <c r="NVE52" s="12"/>
      <c r="NVF52" s="12"/>
      <c r="NVG52" s="12"/>
      <c r="NVH52" s="12"/>
      <c r="NVI52" s="12"/>
      <c r="NVJ52" s="12"/>
      <c r="NVK52" s="12"/>
      <c r="NVL52" s="12"/>
      <c r="NVM52" s="12"/>
      <c r="NVN52" s="12"/>
      <c r="NVO52" s="12"/>
      <c r="NVP52" s="12"/>
      <c r="NVQ52" s="12"/>
      <c r="NVR52" s="12"/>
      <c r="NVS52" s="12"/>
      <c r="NVT52" s="12"/>
      <c r="NVU52" s="12"/>
      <c r="NVV52" s="12"/>
      <c r="NVW52" s="12"/>
      <c r="NVX52" s="12"/>
      <c r="NVY52" s="12"/>
      <c r="NVZ52" s="12"/>
      <c r="NWA52" s="12"/>
      <c r="NWB52" s="12"/>
      <c r="NWC52" s="12"/>
      <c r="NWD52" s="12"/>
      <c r="NWE52" s="12"/>
      <c r="NWF52" s="12"/>
      <c r="NWG52" s="12"/>
      <c r="NWH52" s="12"/>
      <c r="NWI52" s="12"/>
      <c r="NWJ52" s="12"/>
      <c r="NWK52" s="12"/>
      <c r="NWL52" s="12"/>
      <c r="NWM52" s="12"/>
      <c r="NWN52" s="12"/>
      <c r="NWO52" s="12"/>
      <c r="NWP52" s="12"/>
      <c r="NWQ52" s="12"/>
      <c r="NWR52" s="12"/>
      <c r="NWS52" s="12"/>
      <c r="NWT52" s="12"/>
      <c r="NWU52" s="12"/>
      <c r="NWV52" s="12"/>
      <c r="NWW52" s="12"/>
      <c r="NWX52" s="12"/>
      <c r="NWY52" s="12"/>
      <c r="NWZ52" s="12"/>
      <c r="NXA52" s="12"/>
      <c r="NXB52" s="12"/>
      <c r="NXC52" s="12"/>
      <c r="NXD52" s="12"/>
      <c r="NXE52" s="12"/>
      <c r="NXF52" s="12"/>
      <c r="NXG52" s="12"/>
      <c r="NXH52" s="12"/>
      <c r="NXI52" s="12"/>
      <c r="NXJ52" s="12"/>
      <c r="NXK52" s="12"/>
      <c r="NXL52" s="12"/>
      <c r="NXM52" s="12"/>
      <c r="NXN52" s="12"/>
      <c r="NXO52" s="12"/>
      <c r="NXP52" s="12"/>
      <c r="NXQ52" s="12"/>
      <c r="NXR52" s="12"/>
      <c r="NXS52" s="12"/>
      <c r="NXT52" s="12"/>
      <c r="NXU52" s="12"/>
      <c r="NXV52" s="12"/>
      <c r="NXW52" s="12"/>
      <c r="NXX52" s="12"/>
      <c r="NXY52" s="12"/>
      <c r="NXZ52" s="12"/>
      <c r="NYA52" s="12"/>
      <c r="NYB52" s="12"/>
      <c r="NYC52" s="12"/>
      <c r="NYD52" s="12"/>
      <c r="NYE52" s="12"/>
      <c r="NYF52" s="12"/>
      <c r="NYG52" s="12"/>
      <c r="NYH52" s="12"/>
      <c r="NYI52" s="12"/>
      <c r="NYJ52" s="12"/>
      <c r="NYK52" s="12"/>
      <c r="NYL52" s="12"/>
      <c r="NYM52" s="12"/>
      <c r="NYN52" s="12"/>
      <c r="NYO52" s="12"/>
      <c r="NYP52" s="12"/>
      <c r="NYQ52" s="12"/>
      <c r="NYR52" s="12"/>
      <c r="NYS52" s="12"/>
      <c r="NYT52" s="12"/>
      <c r="NYU52" s="12"/>
      <c r="NYV52" s="12"/>
      <c r="NYW52" s="12"/>
      <c r="NYX52" s="12"/>
      <c r="NYY52" s="12"/>
      <c r="NYZ52" s="12"/>
      <c r="NZA52" s="12"/>
      <c r="NZB52" s="12"/>
      <c r="NZC52" s="12"/>
      <c r="NZD52" s="12"/>
      <c r="NZE52" s="12"/>
      <c r="NZF52" s="12"/>
      <c r="NZG52" s="12"/>
      <c r="NZH52" s="12"/>
      <c r="NZI52" s="12"/>
      <c r="NZJ52" s="12"/>
      <c r="NZK52" s="12"/>
      <c r="NZL52" s="12"/>
      <c r="NZM52" s="12"/>
      <c r="NZN52" s="12"/>
      <c r="NZO52" s="12"/>
      <c r="NZP52" s="12"/>
      <c r="NZQ52" s="12"/>
      <c r="NZR52" s="12"/>
      <c r="NZS52" s="12"/>
      <c r="NZT52" s="12"/>
      <c r="NZU52" s="12"/>
      <c r="NZV52" s="12"/>
      <c r="NZW52" s="12"/>
      <c r="NZX52" s="12"/>
      <c r="NZY52" s="12"/>
      <c r="NZZ52" s="12"/>
      <c r="OAA52" s="12"/>
      <c r="OAB52" s="12"/>
      <c r="OAC52" s="12"/>
      <c r="OAD52" s="12"/>
      <c r="OAE52" s="12"/>
      <c r="OAF52" s="12"/>
      <c r="OAG52" s="12"/>
      <c r="OAH52" s="12"/>
      <c r="OAI52" s="12"/>
      <c r="OAJ52" s="12"/>
      <c r="OAK52" s="12"/>
      <c r="OAL52" s="12"/>
      <c r="OAM52" s="12"/>
      <c r="OAN52" s="12"/>
      <c r="OAO52" s="12"/>
      <c r="OAP52" s="12"/>
      <c r="OAQ52" s="12"/>
      <c r="OAR52" s="12"/>
      <c r="OAS52" s="12"/>
      <c r="OAT52" s="12"/>
      <c r="OAU52" s="12"/>
      <c r="OAV52" s="12"/>
      <c r="OAW52" s="12"/>
      <c r="OAX52" s="12"/>
      <c r="OAY52" s="12"/>
      <c r="OAZ52" s="12"/>
      <c r="OBA52" s="12"/>
      <c r="OBB52" s="12"/>
      <c r="OBC52" s="12"/>
      <c r="OBD52" s="12"/>
      <c r="OBE52" s="12"/>
      <c r="OBF52" s="12"/>
      <c r="OBG52" s="12"/>
      <c r="OBH52" s="12"/>
      <c r="OBI52" s="12"/>
      <c r="OBJ52" s="12"/>
      <c r="OBK52" s="12"/>
      <c r="OBL52" s="12"/>
      <c r="OBM52" s="12"/>
      <c r="OBN52" s="12"/>
      <c r="OBO52" s="12"/>
      <c r="OBP52" s="12"/>
      <c r="OBQ52" s="12"/>
      <c r="OBR52" s="12"/>
      <c r="OBS52" s="12"/>
      <c r="OBT52" s="12"/>
      <c r="OBU52" s="12"/>
      <c r="OBV52" s="12"/>
      <c r="OBW52" s="12"/>
      <c r="OBX52" s="12"/>
      <c r="OBY52" s="12"/>
      <c r="OBZ52" s="12"/>
      <c r="OCA52" s="12"/>
      <c r="OCB52" s="12"/>
      <c r="OCC52" s="12"/>
      <c r="OCD52" s="12"/>
      <c r="OCE52" s="12"/>
      <c r="OCF52" s="12"/>
      <c r="OCG52" s="12"/>
      <c r="OCH52" s="12"/>
      <c r="OCI52" s="12"/>
      <c r="OCJ52" s="12"/>
      <c r="OCK52" s="12"/>
      <c r="OCL52" s="12"/>
      <c r="OCM52" s="12"/>
      <c r="OCN52" s="12"/>
      <c r="OCO52" s="12"/>
      <c r="OCP52" s="12"/>
      <c r="OCQ52" s="12"/>
      <c r="OCR52" s="12"/>
      <c r="OCS52" s="12"/>
      <c r="OCT52" s="12"/>
      <c r="OCU52" s="12"/>
      <c r="OCV52" s="12"/>
      <c r="OCW52" s="12"/>
      <c r="OCX52" s="12"/>
      <c r="OCY52" s="12"/>
      <c r="OCZ52" s="12"/>
      <c r="ODA52" s="12"/>
      <c r="ODB52" s="12"/>
      <c r="ODC52" s="12"/>
      <c r="ODD52" s="12"/>
      <c r="ODE52" s="12"/>
      <c r="ODF52" s="12"/>
      <c r="ODG52" s="12"/>
      <c r="ODH52" s="12"/>
      <c r="ODI52" s="12"/>
      <c r="ODJ52" s="12"/>
      <c r="ODK52" s="12"/>
      <c r="ODL52" s="12"/>
      <c r="ODM52" s="12"/>
      <c r="ODN52" s="12"/>
      <c r="ODO52" s="12"/>
      <c r="ODP52" s="12"/>
      <c r="ODQ52" s="12"/>
      <c r="ODR52" s="12"/>
      <c r="ODS52" s="12"/>
      <c r="ODT52" s="12"/>
      <c r="ODU52" s="12"/>
      <c r="ODV52" s="12"/>
      <c r="ODW52" s="12"/>
      <c r="ODX52" s="12"/>
      <c r="ODY52" s="12"/>
      <c r="ODZ52" s="12"/>
      <c r="OEA52" s="12"/>
      <c r="OEB52" s="12"/>
      <c r="OEC52" s="12"/>
      <c r="OED52" s="12"/>
      <c r="OEE52" s="12"/>
      <c r="OEF52" s="12"/>
      <c r="OEG52" s="12"/>
      <c r="OEH52" s="12"/>
      <c r="OEI52" s="12"/>
      <c r="OEJ52" s="12"/>
      <c r="OEK52" s="12"/>
      <c r="OEL52" s="12"/>
      <c r="OEM52" s="12"/>
      <c r="OEN52" s="12"/>
      <c r="OEO52" s="12"/>
      <c r="OEP52" s="12"/>
      <c r="OEQ52" s="12"/>
      <c r="OER52" s="12"/>
      <c r="OES52" s="12"/>
      <c r="OET52" s="12"/>
      <c r="OEU52" s="12"/>
      <c r="OEV52" s="12"/>
      <c r="OEW52" s="12"/>
      <c r="OEX52" s="12"/>
      <c r="OEY52" s="12"/>
      <c r="OEZ52" s="12"/>
      <c r="OFA52" s="12"/>
      <c r="OFB52" s="12"/>
      <c r="OFC52" s="12"/>
      <c r="OFD52" s="12"/>
      <c r="OFE52" s="12"/>
      <c r="OFF52" s="12"/>
      <c r="OFG52" s="12"/>
      <c r="OFH52" s="12"/>
      <c r="OFI52" s="12"/>
      <c r="OFJ52" s="12"/>
      <c r="OFK52" s="12"/>
      <c r="OFL52" s="12"/>
      <c r="OFM52" s="12"/>
      <c r="OFN52" s="12"/>
      <c r="OFO52" s="12"/>
      <c r="OFP52" s="12"/>
      <c r="OFQ52" s="12"/>
      <c r="OFR52" s="12"/>
      <c r="OFS52" s="12"/>
      <c r="OFT52" s="12"/>
      <c r="OFU52" s="12"/>
      <c r="OFV52" s="12"/>
      <c r="OFW52" s="12"/>
      <c r="OFX52" s="12"/>
      <c r="OFY52" s="12"/>
      <c r="OFZ52" s="12"/>
      <c r="OGA52" s="12"/>
      <c r="OGB52" s="12"/>
      <c r="OGC52" s="12"/>
      <c r="OGD52" s="12"/>
      <c r="OGE52" s="12"/>
      <c r="OGF52" s="12"/>
      <c r="OGG52" s="12"/>
      <c r="OGH52" s="12"/>
      <c r="OGI52" s="12"/>
      <c r="OGJ52" s="12"/>
      <c r="OGK52" s="12"/>
      <c r="OGL52" s="12"/>
      <c r="OGM52" s="12"/>
      <c r="OGN52" s="12"/>
      <c r="OGO52" s="12"/>
      <c r="OGP52" s="12"/>
      <c r="OGQ52" s="12"/>
      <c r="OGR52" s="12"/>
      <c r="OGS52" s="12"/>
      <c r="OGT52" s="12"/>
      <c r="OGU52" s="12"/>
      <c r="OGV52" s="12"/>
      <c r="OGW52" s="12"/>
      <c r="OGX52" s="12"/>
      <c r="OGY52" s="12"/>
      <c r="OGZ52" s="12"/>
      <c r="OHA52" s="12"/>
      <c r="OHB52" s="12"/>
      <c r="OHC52" s="12"/>
      <c r="OHD52" s="12"/>
      <c r="OHE52" s="12"/>
      <c r="OHF52" s="12"/>
      <c r="OHG52" s="12"/>
      <c r="OHH52" s="12"/>
      <c r="OHI52" s="12"/>
      <c r="OHJ52" s="12"/>
      <c r="OHK52" s="12"/>
      <c r="OHL52" s="12"/>
      <c r="OHM52" s="12"/>
      <c r="OHN52" s="12"/>
      <c r="OHO52" s="12"/>
      <c r="OHP52" s="12"/>
      <c r="OHQ52" s="12"/>
      <c r="OHR52" s="12"/>
      <c r="OHS52" s="12"/>
      <c r="OHT52" s="12"/>
      <c r="OHU52" s="12"/>
      <c r="OHV52" s="12"/>
      <c r="OHW52" s="12"/>
      <c r="OHX52" s="12"/>
      <c r="OHY52" s="12"/>
      <c r="OHZ52" s="12"/>
      <c r="OIA52" s="12"/>
      <c r="OIB52" s="12"/>
      <c r="OIC52" s="12"/>
      <c r="OID52" s="12"/>
      <c r="OIE52" s="12"/>
      <c r="OIF52" s="12"/>
      <c r="OIG52" s="12"/>
      <c r="OIH52" s="12"/>
      <c r="OII52" s="12"/>
      <c r="OIJ52" s="12"/>
      <c r="OIK52" s="12"/>
      <c r="OIL52" s="12"/>
      <c r="OIM52" s="12"/>
      <c r="OIN52" s="12"/>
      <c r="OIO52" s="12"/>
      <c r="OIP52" s="12"/>
      <c r="OIQ52" s="12"/>
      <c r="OIR52" s="12"/>
      <c r="OIS52" s="12"/>
      <c r="OIT52" s="12"/>
      <c r="OIU52" s="12"/>
      <c r="OIV52" s="12"/>
      <c r="OIW52" s="12"/>
      <c r="OIX52" s="12"/>
      <c r="OIY52" s="12"/>
      <c r="OIZ52" s="12"/>
      <c r="OJA52" s="12"/>
      <c r="OJB52" s="12"/>
      <c r="OJC52" s="12"/>
      <c r="OJD52" s="12"/>
      <c r="OJE52" s="12"/>
      <c r="OJF52" s="12"/>
      <c r="OJG52" s="12"/>
      <c r="OJH52" s="12"/>
      <c r="OJI52" s="12"/>
      <c r="OJJ52" s="12"/>
      <c r="OJK52" s="12"/>
      <c r="OJL52" s="12"/>
      <c r="OJM52" s="12"/>
      <c r="OJN52" s="12"/>
      <c r="OJO52" s="12"/>
      <c r="OJP52" s="12"/>
      <c r="OJQ52" s="12"/>
      <c r="OJR52" s="12"/>
      <c r="OJS52" s="12"/>
      <c r="OJT52" s="12"/>
      <c r="OJU52" s="12"/>
      <c r="OJV52" s="12"/>
      <c r="OJW52" s="12"/>
      <c r="OJX52" s="12"/>
      <c r="OJY52" s="12"/>
      <c r="OJZ52" s="12"/>
      <c r="OKA52" s="12"/>
      <c r="OKB52" s="12"/>
      <c r="OKC52" s="12"/>
      <c r="OKD52" s="12"/>
      <c r="OKE52" s="12"/>
      <c r="OKF52" s="12"/>
      <c r="OKG52" s="12"/>
      <c r="OKH52" s="12"/>
      <c r="OKI52" s="12"/>
      <c r="OKJ52" s="12"/>
      <c r="OKK52" s="12"/>
      <c r="OKL52" s="12"/>
      <c r="OKM52" s="12"/>
      <c r="OKN52" s="12"/>
      <c r="OKO52" s="12"/>
      <c r="OKP52" s="12"/>
      <c r="OKQ52" s="12"/>
      <c r="OKR52" s="12"/>
      <c r="OKS52" s="12"/>
      <c r="OKT52" s="12"/>
      <c r="OKU52" s="12"/>
      <c r="OKV52" s="12"/>
      <c r="OKW52" s="12"/>
      <c r="OKX52" s="12"/>
      <c r="OKY52" s="12"/>
      <c r="OKZ52" s="12"/>
      <c r="OLA52" s="12"/>
      <c r="OLB52" s="12"/>
      <c r="OLC52" s="12"/>
      <c r="OLD52" s="12"/>
      <c r="OLE52" s="12"/>
      <c r="OLF52" s="12"/>
      <c r="OLG52" s="12"/>
      <c r="OLH52" s="12"/>
      <c r="OLI52" s="12"/>
      <c r="OLJ52" s="12"/>
      <c r="OLK52" s="12"/>
      <c r="OLL52" s="12"/>
      <c r="OLM52" s="12"/>
      <c r="OLN52" s="12"/>
      <c r="OLO52" s="12"/>
      <c r="OLP52" s="12"/>
      <c r="OLQ52" s="12"/>
      <c r="OLR52" s="12"/>
      <c r="OLS52" s="12"/>
      <c r="OLT52" s="12"/>
      <c r="OLU52" s="12"/>
      <c r="OLV52" s="12"/>
      <c r="OLW52" s="12"/>
      <c r="OLX52" s="12"/>
      <c r="OLY52" s="12"/>
      <c r="OLZ52" s="12"/>
      <c r="OMA52" s="12"/>
      <c r="OMB52" s="12"/>
      <c r="OMC52" s="12"/>
      <c r="OMD52" s="12"/>
      <c r="OME52" s="12"/>
      <c r="OMF52" s="12"/>
      <c r="OMG52" s="12"/>
      <c r="OMH52" s="12"/>
      <c r="OMI52" s="12"/>
      <c r="OMJ52" s="12"/>
      <c r="OMK52" s="12"/>
      <c r="OML52" s="12"/>
      <c r="OMM52" s="12"/>
      <c r="OMN52" s="12"/>
      <c r="OMO52" s="12"/>
      <c r="OMP52" s="12"/>
      <c r="OMQ52" s="12"/>
      <c r="OMR52" s="12"/>
      <c r="OMS52" s="12"/>
      <c r="OMT52" s="12"/>
      <c r="OMU52" s="12"/>
      <c r="OMV52" s="12"/>
      <c r="OMW52" s="12"/>
      <c r="OMX52" s="12"/>
      <c r="OMY52" s="12"/>
      <c r="OMZ52" s="12"/>
      <c r="ONA52" s="12"/>
      <c r="ONB52" s="12"/>
      <c r="ONC52" s="12"/>
      <c r="OND52" s="12"/>
      <c r="ONE52" s="12"/>
      <c r="ONF52" s="12"/>
      <c r="ONG52" s="12"/>
      <c r="ONH52" s="12"/>
      <c r="ONI52" s="12"/>
      <c r="ONJ52" s="12"/>
      <c r="ONK52" s="12"/>
      <c r="ONL52" s="12"/>
      <c r="ONM52" s="12"/>
      <c r="ONN52" s="12"/>
      <c r="ONO52" s="12"/>
      <c r="ONP52" s="12"/>
      <c r="ONQ52" s="12"/>
      <c r="ONR52" s="12"/>
      <c r="ONS52" s="12"/>
      <c r="ONT52" s="12"/>
      <c r="ONU52" s="12"/>
      <c r="ONV52" s="12"/>
      <c r="ONW52" s="12"/>
      <c r="ONX52" s="12"/>
      <c r="ONY52" s="12"/>
      <c r="ONZ52" s="12"/>
      <c r="OOA52" s="12"/>
      <c r="OOB52" s="12"/>
      <c r="OOC52" s="12"/>
      <c r="OOD52" s="12"/>
      <c r="OOE52" s="12"/>
      <c r="OOF52" s="12"/>
      <c r="OOG52" s="12"/>
      <c r="OOH52" s="12"/>
      <c r="OOI52" s="12"/>
      <c r="OOJ52" s="12"/>
      <c r="OOK52" s="12"/>
      <c r="OOL52" s="12"/>
      <c r="OOM52" s="12"/>
      <c r="OON52" s="12"/>
      <c r="OOO52" s="12"/>
      <c r="OOP52" s="12"/>
      <c r="OOQ52" s="12"/>
      <c r="OOR52" s="12"/>
      <c r="OOS52" s="12"/>
      <c r="OOT52" s="12"/>
      <c r="OOU52" s="12"/>
      <c r="OOV52" s="12"/>
      <c r="OOW52" s="12"/>
      <c r="OOX52" s="12"/>
      <c r="OOY52" s="12"/>
      <c r="OOZ52" s="12"/>
      <c r="OPA52" s="12"/>
      <c r="OPB52" s="12"/>
      <c r="OPC52" s="12"/>
      <c r="OPD52" s="12"/>
      <c r="OPE52" s="12"/>
      <c r="OPF52" s="12"/>
      <c r="OPG52" s="12"/>
      <c r="OPH52" s="12"/>
      <c r="OPI52" s="12"/>
      <c r="OPJ52" s="12"/>
      <c r="OPK52" s="12"/>
      <c r="OPL52" s="12"/>
      <c r="OPM52" s="12"/>
      <c r="OPN52" s="12"/>
      <c r="OPO52" s="12"/>
      <c r="OPP52" s="12"/>
      <c r="OPQ52" s="12"/>
      <c r="OPR52" s="12"/>
      <c r="OPS52" s="12"/>
      <c r="OPT52" s="12"/>
      <c r="OPU52" s="12"/>
      <c r="OPV52" s="12"/>
      <c r="OPW52" s="12"/>
      <c r="OPX52" s="12"/>
      <c r="OPY52" s="12"/>
      <c r="OPZ52" s="12"/>
      <c r="OQA52" s="12"/>
      <c r="OQB52" s="12"/>
      <c r="OQC52" s="12"/>
      <c r="OQD52" s="12"/>
      <c r="OQE52" s="12"/>
      <c r="OQF52" s="12"/>
      <c r="OQG52" s="12"/>
      <c r="OQH52" s="12"/>
      <c r="OQI52" s="12"/>
      <c r="OQJ52" s="12"/>
      <c r="OQK52" s="12"/>
      <c r="OQL52" s="12"/>
      <c r="OQM52" s="12"/>
      <c r="OQN52" s="12"/>
      <c r="OQO52" s="12"/>
      <c r="OQP52" s="12"/>
      <c r="OQQ52" s="12"/>
      <c r="OQR52" s="12"/>
      <c r="OQS52" s="12"/>
      <c r="OQT52" s="12"/>
      <c r="OQU52" s="12"/>
      <c r="OQV52" s="12"/>
      <c r="OQW52" s="12"/>
      <c r="OQX52" s="12"/>
      <c r="OQY52" s="12"/>
      <c r="OQZ52" s="12"/>
      <c r="ORA52" s="12"/>
      <c r="ORB52" s="12"/>
      <c r="ORC52" s="12"/>
      <c r="ORD52" s="12"/>
      <c r="ORE52" s="12"/>
      <c r="ORF52" s="12"/>
      <c r="ORG52" s="12"/>
      <c r="ORH52" s="12"/>
      <c r="ORI52" s="12"/>
      <c r="ORJ52" s="12"/>
      <c r="ORK52" s="12"/>
      <c r="ORL52" s="12"/>
      <c r="ORM52" s="12"/>
      <c r="ORN52" s="12"/>
      <c r="ORO52" s="12"/>
      <c r="ORP52" s="12"/>
      <c r="ORQ52" s="12"/>
      <c r="ORR52" s="12"/>
      <c r="ORS52" s="12"/>
      <c r="ORT52" s="12"/>
      <c r="ORU52" s="12"/>
      <c r="ORV52" s="12"/>
      <c r="ORW52" s="12"/>
      <c r="ORX52" s="12"/>
      <c r="ORY52" s="12"/>
      <c r="ORZ52" s="12"/>
      <c r="OSA52" s="12"/>
      <c r="OSB52" s="12"/>
      <c r="OSC52" s="12"/>
      <c r="OSD52" s="12"/>
      <c r="OSE52" s="12"/>
      <c r="OSF52" s="12"/>
      <c r="OSG52" s="12"/>
      <c r="OSH52" s="12"/>
      <c r="OSI52" s="12"/>
      <c r="OSJ52" s="12"/>
      <c r="OSK52" s="12"/>
      <c r="OSL52" s="12"/>
      <c r="OSM52" s="12"/>
      <c r="OSN52" s="12"/>
      <c r="OSO52" s="12"/>
      <c r="OSP52" s="12"/>
      <c r="OSQ52" s="12"/>
      <c r="OSR52" s="12"/>
      <c r="OSS52" s="12"/>
      <c r="OST52" s="12"/>
      <c r="OSU52" s="12"/>
      <c r="OSV52" s="12"/>
      <c r="OSW52" s="12"/>
      <c r="OSX52" s="12"/>
      <c r="OSY52" s="12"/>
      <c r="OSZ52" s="12"/>
      <c r="OTA52" s="12"/>
      <c r="OTB52" s="12"/>
      <c r="OTC52" s="12"/>
      <c r="OTD52" s="12"/>
      <c r="OTE52" s="12"/>
      <c r="OTF52" s="12"/>
      <c r="OTG52" s="12"/>
      <c r="OTH52" s="12"/>
      <c r="OTI52" s="12"/>
      <c r="OTJ52" s="12"/>
      <c r="OTK52" s="12"/>
      <c r="OTL52" s="12"/>
      <c r="OTM52" s="12"/>
      <c r="OTN52" s="12"/>
      <c r="OTO52" s="12"/>
      <c r="OTP52" s="12"/>
      <c r="OTQ52" s="12"/>
      <c r="OTR52" s="12"/>
      <c r="OTS52" s="12"/>
      <c r="OTT52" s="12"/>
      <c r="OTU52" s="12"/>
      <c r="OTV52" s="12"/>
      <c r="OTW52" s="12"/>
      <c r="OTX52" s="12"/>
      <c r="OTY52" s="12"/>
      <c r="OTZ52" s="12"/>
      <c r="OUA52" s="12"/>
      <c r="OUB52" s="12"/>
      <c r="OUC52" s="12"/>
      <c r="OUD52" s="12"/>
      <c r="OUE52" s="12"/>
      <c r="OUF52" s="12"/>
      <c r="OUG52" s="12"/>
      <c r="OUH52" s="12"/>
      <c r="OUI52" s="12"/>
      <c r="OUJ52" s="12"/>
      <c r="OUK52" s="12"/>
      <c r="OUL52" s="12"/>
      <c r="OUM52" s="12"/>
      <c r="OUN52" s="12"/>
      <c r="OUO52" s="12"/>
      <c r="OUP52" s="12"/>
      <c r="OUQ52" s="12"/>
      <c r="OUR52" s="12"/>
      <c r="OUS52" s="12"/>
      <c r="OUT52" s="12"/>
      <c r="OUU52" s="12"/>
      <c r="OUV52" s="12"/>
      <c r="OUW52" s="12"/>
      <c r="OUX52" s="12"/>
      <c r="OUY52" s="12"/>
      <c r="OUZ52" s="12"/>
      <c r="OVA52" s="12"/>
      <c r="OVB52" s="12"/>
      <c r="OVC52" s="12"/>
      <c r="OVD52" s="12"/>
      <c r="OVE52" s="12"/>
      <c r="OVF52" s="12"/>
      <c r="OVG52" s="12"/>
      <c r="OVH52" s="12"/>
      <c r="OVI52" s="12"/>
      <c r="OVJ52" s="12"/>
      <c r="OVK52" s="12"/>
      <c r="OVL52" s="12"/>
      <c r="OVM52" s="12"/>
      <c r="OVN52" s="12"/>
      <c r="OVO52" s="12"/>
      <c r="OVP52" s="12"/>
      <c r="OVQ52" s="12"/>
      <c r="OVR52" s="12"/>
      <c r="OVS52" s="12"/>
      <c r="OVT52" s="12"/>
      <c r="OVU52" s="12"/>
      <c r="OVV52" s="12"/>
      <c r="OVW52" s="12"/>
      <c r="OVX52" s="12"/>
      <c r="OVY52" s="12"/>
      <c r="OVZ52" s="12"/>
      <c r="OWA52" s="12"/>
      <c r="OWB52" s="12"/>
      <c r="OWC52" s="12"/>
      <c r="OWD52" s="12"/>
      <c r="OWE52" s="12"/>
      <c r="OWF52" s="12"/>
      <c r="OWG52" s="12"/>
      <c r="OWH52" s="12"/>
      <c r="OWI52" s="12"/>
      <c r="OWJ52" s="12"/>
      <c r="OWK52" s="12"/>
      <c r="OWL52" s="12"/>
      <c r="OWM52" s="12"/>
      <c r="OWN52" s="12"/>
      <c r="OWO52" s="12"/>
      <c r="OWP52" s="12"/>
      <c r="OWQ52" s="12"/>
      <c r="OWR52" s="12"/>
      <c r="OWS52" s="12"/>
      <c r="OWT52" s="12"/>
      <c r="OWU52" s="12"/>
      <c r="OWV52" s="12"/>
      <c r="OWW52" s="12"/>
      <c r="OWX52" s="12"/>
      <c r="OWY52" s="12"/>
      <c r="OWZ52" s="12"/>
      <c r="OXA52" s="12"/>
      <c r="OXB52" s="12"/>
      <c r="OXC52" s="12"/>
      <c r="OXD52" s="12"/>
      <c r="OXE52" s="12"/>
      <c r="OXF52" s="12"/>
      <c r="OXG52" s="12"/>
      <c r="OXH52" s="12"/>
      <c r="OXI52" s="12"/>
      <c r="OXJ52" s="12"/>
      <c r="OXK52" s="12"/>
      <c r="OXL52" s="12"/>
      <c r="OXM52" s="12"/>
      <c r="OXN52" s="12"/>
      <c r="OXO52" s="12"/>
      <c r="OXP52" s="12"/>
      <c r="OXQ52" s="12"/>
      <c r="OXR52" s="12"/>
      <c r="OXS52" s="12"/>
      <c r="OXT52" s="12"/>
      <c r="OXU52" s="12"/>
      <c r="OXV52" s="12"/>
      <c r="OXW52" s="12"/>
      <c r="OXX52" s="12"/>
      <c r="OXY52" s="12"/>
      <c r="OXZ52" s="12"/>
      <c r="OYA52" s="12"/>
      <c r="OYB52" s="12"/>
      <c r="OYC52" s="12"/>
      <c r="OYD52" s="12"/>
      <c r="OYE52" s="12"/>
      <c r="OYF52" s="12"/>
      <c r="OYG52" s="12"/>
      <c r="OYH52" s="12"/>
      <c r="OYI52" s="12"/>
      <c r="OYJ52" s="12"/>
      <c r="OYK52" s="12"/>
      <c r="OYL52" s="12"/>
      <c r="OYM52" s="12"/>
      <c r="OYN52" s="12"/>
      <c r="OYO52" s="12"/>
      <c r="OYP52" s="12"/>
      <c r="OYQ52" s="12"/>
      <c r="OYR52" s="12"/>
      <c r="OYS52" s="12"/>
      <c r="OYT52" s="12"/>
      <c r="OYU52" s="12"/>
      <c r="OYV52" s="12"/>
      <c r="OYW52" s="12"/>
      <c r="OYX52" s="12"/>
      <c r="OYY52" s="12"/>
      <c r="OYZ52" s="12"/>
      <c r="OZA52" s="12"/>
      <c r="OZB52" s="12"/>
      <c r="OZC52" s="12"/>
      <c r="OZD52" s="12"/>
      <c r="OZE52" s="12"/>
      <c r="OZF52" s="12"/>
      <c r="OZG52" s="12"/>
      <c r="OZH52" s="12"/>
      <c r="OZI52" s="12"/>
      <c r="OZJ52" s="12"/>
      <c r="OZK52" s="12"/>
      <c r="OZL52" s="12"/>
      <c r="OZM52" s="12"/>
      <c r="OZN52" s="12"/>
      <c r="OZO52" s="12"/>
      <c r="OZP52" s="12"/>
      <c r="OZQ52" s="12"/>
      <c r="OZR52" s="12"/>
      <c r="OZS52" s="12"/>
      <c r="OZT52" s="12"/>
      <c r="OZU52" s="12"/>
      <c r="OZV52" s="12"/>
      <c r="OZW52" s="12"/>
      <c r="OZX52" s="12"/>
      <c r="OZY52" s="12"/>
      <c r="OZZ52" s="12"/>
      <c r="PAA52" s="12"/>
      <c r="PAB52" s="12"/>
      <c r="PAC52" s="12"/>
      <c r="PAD52" s="12"/>
      <c r="PAE52" s="12"/>
      <c r="PAF52" s="12"/>
      <c r="PAG52" s="12"/>
      <c r="PAH52" s="12"/>
      <c r="PAI52" s="12"/>
      <c r="PAJ52" s="12"/>
      <c r="PAK52" s="12"/>
      <c r="PAL52" s="12"/>
      <c r="PAM52" s="12"/>
      <c r="PAN52" s="12"/>
      <c r="PAO52" s="12"/>
      <c r="PAP52" s="12"/>
      <c r="PAQ52" s="12"/>
      <c r="PAR52" s="12"/>
      <c r="PAS52" s="12"/>
      <c r="PAT52" s="12"/>
      <c r="PAU52" s="12"/>
      <c r="PAV52" s="12"/>
      <c r="PAW52" s="12"/>
      <c r="PAX52" s="12"/>
      <c r="PAY52" s="12"/>
      <c r="PAZ52" s="12"/>
      <c r="PBA52" s="12"/>
      <c r="PBB52" s="12"/>
      <c r="PBC52" s="12"/>
      <c r="PBD52" s="12"/>
      <c r="PBE52" s="12"/>
      <c r="PBF52" s="12"/>
      <c r="PBG52" s="12"/>
      <c r="PBH52" s="12"/>
      <c r="PBI52" s="12"/>
      <c r="PBJ52" s="12"/>
      <c r="PBK52" s="12"/>
      <c r="PBL52" s="12"/>
      <c r="PBM52" s="12"/>
      <c r="PBN52" s="12"/>
      <c r="PBO52" s="12"/>
      <c r="PBP52" s="12"/>
      <c r="PBQ52" s="12"/>
      <c r="PBR52" s="12"/>
      <c r="PBS52" s="12"/>
      <c r="PBT52" s="12"/>
      <c r="PBU52" s="12"/>
      <c r="PBV52" s="12"/>
      <c r="PBW52" s="12"/>
      <c r="PBX52" s="12"/>
      <c r="PBY52" s="12"/>
      <c r="PBZ52" s="12"/>
      <c r="PCA52" s="12"/>
      <c r="PCB52" s="12"/>
      <c r="PCC52" s="12"/>
      <c r="PCD52" s="12"/>
      <c r="PCE52" s="12"/>
      <c r="PCF52" s="12"/>
      <c r="PCG52" s="12"/>
      <c r="PCH52" s="12"/>
      <c r="PCI52" s="12"/>
      <c r="PCJ52" s="12"/>
      <c r="PCK52" s="12"/>
      <c r="PCL52" s="12"/>
      <c r="PCM52" s="12"/>
      <c r="PCN52" s="12"/>
      <c r="PCO52" s="12"/>
      <c r="PCP52" s="12"/>
      <c r="PCQ52" s="12"/>
      <c r="PCR52" s="12"/>
      <c r="PCS52" s="12"/>
      <c r="PCT52" s="12"/>
      <c r="PCU52" s="12"/>
      <c r="PCV52" s="12"/>
      <c r="PCW52" s="12"/>
      <c r="PCX52" s="12"/>
      <c r="PCY52" s="12"/>
      <c r="PCZ52" s="12"/>
      <c r="PDA52" s="12"/>
      <c r="PDB52" s="12"/>
      <c r="PDC52" s="12"/>
      <c r="PDD52" s="12"/>
      <c r="PDE52" s="12"/>
      <c r="PDF52" s="12"/>
      <c r="PDG52" s="12"/>
      <c r="PDH52" s="12"/>
      <c r="PDI52" s="12"/>
      <c r="PDJ52" s="12"/>
      <c r="PDK52" s="12"/>
      <c r="PDL52" s="12"/>
      <c r="PDM52" s="12"/>
      <c r="PDN52" s="12"/>
      <c r="PDO52" s="12"/>
      <c r="PDP52" s="12"/>
      <c r="PDQ52" s="12"/>
      <c r="PDR52" s="12"/>
      <c r="PDS52" s="12"/>
      <c r="PDT52" s="12"/>
      <c r="PDU52" s="12"/>
      <c r="PDV52" s="12"/>
      <c r="PDW52" s="12"/>
      <c r="PDX52" s="12"/>
      <c r="PDY52" s="12"/>
      <c r="PDZ52" s="12"/>
      <c r="PEA52" s="12"/>
      <c r="PEB52" s="12"/>
      <c r="PEC52" s="12"/>
      <c r="PED52" s="12"/>
      <c r="PEE52" s="12"/>
      <c r="PEF52" s="12"/>
      <c r="PEG52" s="12"/>
      <c r="PEH52" s="12"/>
      <c r="PEI52" s="12"/>
      <c r="PEJ52" s="12"/>
      <c r="PEK52" s="12"/>
      <c r="PEL52" s="12"/>
      <c r="PEM52" s="12"/>
      <c r="PEN52" s="12"/>
      <c r="PEO52" s="12"/>
      <c r="PEP52" s="12"/>
      <c r="PEQ52" s="12"/>
      <c r="PER52" s="12"/>
      <c r="PES52" s="12"/>
      <c r="PET52" s="12"/>
      <c r="PEU52" s="12"/>
      <c r="PEV52" s="12"/>
      <c r="PEW52" s="12"/>
      <c r="PEX52" s="12"/>
      <c r="PEY52" s="12"/>
      <c r="PEZ52" s="12"/>
      <c r="PFA52" s="12"/>
      <c r="PFB52" s="12"/>
      <c r="PFC52" s="12"/>
      <c r="PFD52" s="12"/>
      <c r="PFE52" s="12"/>
      <c r="PFF52" s="12"/>
      <c r="PFG52" s="12"/>
      <c r="PFH52" s="12"/>
      <c r="PFI52" s="12"/>
      <c r="PFJ52" s="12"/>
      <c r="PFK52" s="12"/>
      <c r="PFL52" s="12"/>
      <c r="PFM52" s="12"/>
      <c r="PFN52" s="12"/>
      <c r="PFO52" s="12"/>
      <c r="PFP52" s="12"/>
      <c r="PFQ52" s="12"/>
      <c r="PFR52" s="12"/>
      <c r="PFS52" s="12"/>
      <c r="PFT52" s="12"/>
      <c r="PFU52" s="12"/>
      <c r="PFV52" s="12"/>
      <c r="PFW52" s="12"/>
      <c r="PFX52" s="12"/>
      <c r="PFY52" s="12"/>
      <c r="PFZ52" s="12"/>
      <c r="PGA52" s="12"/>
      <c r="PGB52" s="12"/>
      <c r="PGC52" s="12"/>
      <c r="PGD52" s="12"/>
      <c r="PGE52" s="12"/>
      <c r="PGF52" s="12"/>
      <c r="PGG52" s="12"/>
      <c r="PGH52" s="12"/>
      <c r="PGI52" s="12"/>
      <c r="PGJ52" s="12"/>
      <c r="PGK52" s="12"/>
      <c r="PGL52" s="12"/>
      <c r="PGM52" s="12"/>
      <c r="PGN52" s="12"/>
      <c r="PGO52" s="12"/>
      <c r="PGP52" s="12"/>
      <c r="PGQ52" s="12"/>
      <c r="PGR52" s="12"/>
      <c r="PGS52" s="12"/>
      <c r="PGT52" s="12"/>
      <c r="PGU52" s="12"/>
      <c r="PGV52" s="12"/>
      <c r="PGW52" s="12"/>
      <c r="PGX52" s="12"/>
      <c r="PGY52" s="12"/>
      <c r="PGZ52" s="12"/>
      <c r="PHA52" s="12"/>
      <c r="PHB52" s="12"/>
      <c r="PHC52" s="12"/>
      <c r="PHD52" s="12"/>
      <c r="PHE52" s="12"/>
      <c r="PHF52" s="12"/>
      <c r="PHG52" s="12"/>
      <c r="PHH52" s="12"/>
      <c r="PHI52" s="12"/>
      <c r="PHJ52" s="12"/>
      <c r="PHK52" s="12"/>
      <c r="PHL52" s="12"/>
      <c r="PHM52" s="12"/>
      <c r="PHN52" s="12"/>
      <c r="PHO52" s="12"/>
      <c r="PHP52" s="12"/>
      <c r="PHQ52" s="12"/>
      <c r="PHR52" s="12"/>
      <c r="PHS52" s="12"/>
      <c r="PHT52" s="12"/>
      <c r="PHU52" s="12"/>
      <c r="PHV52" s="12"/>
      <c r="PHW52" s="12"/>
      <c r="PHX52" s="12"/>
      <c r="PHY52" s="12"/>
      <c r="PHZ52" s="12"/>
      <c r="PIA52" s="12"/>
      <c r="PIB52" s="12"/>
      <c r="PIC52" s="12"/>
      <c r="PID52" s="12"/>
      <c r="PIE52" s="12"/>
      <c r="PIF52" s="12"/>
      <c r="PIG52" s="12"/>
      <c r="PIH52" s="12"/>
      <c r="PII52" s="12"/>
      <c r="PIJ52" s="12"/>
      <c r="PIK52" s="12"/>
      <c r="PIL52" s="12"/>
      <c r="PIM52" s="12"/>
      <c r="PIN52" s="12"/>
      <c r="PIO52" s="12"/>
      <c r="PIP52" s="12"/>
      <c r="PIQ52" s="12"/>
      <c r="PIR52" s="12"/>
      <c r="PIS52" s="12"/>
      <c r="PIT52" s="12"/>
      <c r="PIU52" s="12"/>
      <c r="PIV52" s="12"/>
      <c r="PIW52" s="12"/>
      <c r="PIX52" s="12"/>
      <c r="PIY52" s="12"/>
      <c r="PIZ52" s="12"/>
      <c r="PJA52" s="12"/>
      <c r="PJB52" s="12"/>
      <c r="PJC52" s="12"/>
      <c r="PJD52" s="12"/>
      <c r="PJE52" s="12"/>
      <c r="PJF52" s="12"/>
      <c r="PJG52" s="12"/>
      <c r="PJH52" s="12"/>
      <c r="PJI52" s="12"/>
      <c r="PJJ52" s="12"/>
      <c r="PJK52" s="12"/>
      <c r="PJL52" s="12"/>
      <c r="PJM52" s="12"/>
      <c r="PJN52" s="12"/>
      <c r="PJO52" s="12"/>
      <c r="PJP52" s="12"/>
      <c r="PJQ52" s="12"/>
      <c r="PJR52" s="12"/>
      <c r="PJS52" s="12"/>
      <c r="PJT52" s="12"/>
      <c r="PJU52" s="12"/>
      <c r="PJV52" s="12"/>
      <c r="PJW52" s="12"/>
      <c r="PJX52" s="12"/>
      <c r="PJY52" s="12"/>
      <c r="PJZ52" s="12"/>
      <c r="PKA52" s="12"/>
      <c r="PKB52" s="12"/>
      <c r="PKC52" s="12"/>
      <c r="PKD52" s="12"/>
      <c r="PKE52" s="12"/>
      <c r="PKF52" s="12"/>
      <c r="PKG52" s="12"/>
      <c r="PKH52" s="12"/>
      <c r="PKI52" s="12"/>
      <c r="PKJ52" s="12"/>
      <c r="PKK52" s="12"/>
      <c r="PKL52" s="12"/>
      <c r="PKM52" s="12"/>
      <c r="PKN52" s="12"/>
      <c r="PKO52" s="12"/>
      <c r="PKP52" s="12"/>
      <c r="PKQ52" s="12"/>
      <c r="PKR52" s="12"/>
      <c r="PKS52" s="12"/>
      <c r="PKT52" s="12"/>
      <c r="PKU52" s="12"/>
      <c r="PKV52" s="12"/>
      <c r="PKW52" s="12"/>
      <c r="PKX52" s="12"/>
      <c r="PKY52" s="12"/>
      <c r="PKZ52" s="12"/>
      <c r="PLA52" s="12"/>
      <c r="PLB52" s="12"/>
      <c r="PLC52" s="12"/>
      <c r="PLD52" s="12"/>
      <c r="PLE52" s="12"/>
      <c r="PLF52" s="12"/>
      <c r="PLG52" s="12"/>
      <c r="PLH52" s="12"/>
      <c r="PLI52" s="12"/>
      <c r="PLJ52" s="12"/>
      <c r="PLK52" s="12"/>
      <c r="PLL52" s="12"/>
      <c r="PLM52" s="12"/>
      <c r="PLN52" s="12"/>
      <c r="PLO52" s="12"/>
      <c r="PLP52" s="12"/>
      <c r="PLQ52" s="12"/>
      <c r="PLR52" s="12"/>
      <c r="PLS52" s="12"/>
      <c r="PLT52" s="12"/>
      <c r="PLU52" s="12"/>
      <c r="PLV52" s="12"/>
      <c r="PLW52" s="12"/>
      <c r="PLX52" s="12"/>
      <c r="PLY52" s="12"/>
      <c r="PLZ52" s="12"/>
      <c r="PMA52" s="12"/>
      <c r="PMB52" s="12"/>
      <c r="PMC52" s="12"/>
      <c r="PMD52" s="12"/>
      <c r="PME52" s="12"/>
      <c r="PMF52" s="12"/>
      <c r="PMG52" s="12"/>
      <c r="PMH52" s="12"/>
      <c r="PMI52" s="12"/>
      <c r="PMJ52" s="12"/>
      <c r="PMK52" s="12"/>
      <c r="PML52" s="12"/>
      <c r="PMM52" s="12"/>
      <c r="PMN52" s="12"/>
      <c r="PMO52" s="12"/>
      <c r="PMP52" s="12"/>
      <c r="PMQ52" s="12"/>
      <c r="PMR52" s="12"/>
      <c r="PMS52" s="12"/>
      <c r="PMT52" s="12"/>
      <c r="PMU52" s="12"/>
      <c r="PMV52" s="12"/>
      <c r="PMW52" s="12"/>
      <c r="PMX52" s="12"/>
      <c r="PMY52" s="12"/>
      <c r="PMZ52" s="12"/>
      <c r="PNA52" s="12"/>
      <c r="PNB52" s="12"/>
      <c r="PNC52" s="12"/>
      <c r="PND52" s="12"/>
      <c r="PNE52" s="12"/>
      <c r="PNF52" s="12"/>
      <c r="PNG52" s="12"/>
      <c r="PNH52" s="12"/>
      <c r="PNI52" s="12"/>
      <c r="PNJ52" s="12"/>
      <c r="PNK52" s="12"/>
      <c r="PNL52" s="12"/>
      <c r="PNM52" s="12"/>
      <c r="PNN52" s="12"/>
      <c r="PNO52" s="12"/>
      <c r="PNP52" s="12"/>
      <c r="PNQ52" s="12"/>
      <c r="PNR52" s="12"/>
      <c r="PNS52" s="12"/>
      <c r="PNT52" s="12"/>
      <c r="PNU52" s="12"/>
      <c r="PNV52" s="12"/>
      <c r="PNW52" s="12"/>
      <c r="PNX52" s="12"/>
      <c r="PNY52" s="12"/>
      <c r="PNZ52" s="12"/>
      <c r="POA52" s="12"/>
      <c r="POB52" s="12"/>
      <c r="POC52" s="12"/>
      <c r="POD52" s="12"/>
      <c r="POE52" s="12"/>
      <c r="POF52" s="12"/>
      <c r="POG52" s="12"/>
      <c r="POH52" s="12"/>
      <c r="POI52" s="12"/>
      <c r="POJ52" s="12"/>
      <c r="POK52" s="12"/>
      <c r="POL52" s="12"/>
      <c r="POM52" s="12"/>
      <c r="PON52" s="12"/>
      <c r="POO52" s="12"/>
      <c r="POP52" s="12"/>
      <c r="POQ52" s="12"/>
      <c r="POR52" s="12"/>
      <c r="POS52" s="12"/>
      <c r="POT52" s="12"/>
      <c r="POU52" s="12"/>
      <c r="POV52" s="12"/>
      <c r="POW52" s="12"/>
      <c r="POX52" s="12"/>
      <c r="POY52" s="12"/>
      <c r="POZ52" s="12"/>
      <c r="PPA52" s="12"/>
      <c r="PPB52" s="12"/>
      <c r="PPC52" s="12"/>
      <c r="PPD52" s="12"/>
      <c r="PPE52" s="12"/>
      <c r="PPF52" s="12"/>
      <c r="PPG52" s="12"/>
      <c r="PPH52" s="12"/>
      <c r="PPI52" s="12"/>
      <c r="PPJ52" s="12"/>
      <c r="PPK52" s="12"/>
      <c r="PPL52" s="12"/>
      <c r="PPM52" s="12"/>
      <c r="PPN52" s="12"/>
      <c r="PPO52" s="12"/>
      <c r="PPP52" s="12"/>
      <c r="PPQ52" s="12"/>
      <c r="PPR52" s="12"/>
      <c r="PPS52" s="12"/>
      <c r="PPT52" s="12"/>
      <c r="PPU52" s="12"/>
      <c r="PPV52" s="12"/>
      <c r="PPW52" s="12"/>
      <c r="PPX52" s="12"/>
      <c r="PPY52" s="12"/>
      <c r="PPZ52" s="12"/>
      <c r="PQA52" s="12"/>
      <c r="PQB52" s="12"/>
      <c r="PQC52" s="12"/>
      <c r="PQD52" s="12"/>
      <c r="PQE52" s="12"/>
      <c r="PQF52" s="12"/>
      <c r="PQG52" s="12"/>
      <c r="PQH52" s="12"/>
      <c r="PQI52" s="12"/>
      <c r="PQJ52" s="12"/>
      <c r="PQK52" s="12"/>
      <c r="PQL52" s="12"/>
      <c r="PQM52" s="12"/>
      <c r="PQN52" s="12"/>
      <c r="PQO52" s="12"/>
      <c r="PQP52" s="12"/>
      <c r="PQQ52" s="12"/>
      <c r="PQR52" s="12"/>
      <c r="PQS52" s="12"/>
      <c r="PQT52" s="12"/>
      <c r="PQU52" s="12"/>
      <c r="PQV52" s="12"/>
      <c r="PQW52" s="12"/>
      <c r="PQX52" s="12"/>
      <c r="PQY52" s="12"/>
      <c r="PQZ52" s="12"/>
      <c r="PRA52" s="12"/>
      <c r="PRB52" s="12"/>
      <c r="PRC52" s="12"/>
      <c r="PRD52" s="12"/>
      <c r="PRE52" s="12"/>
      <c r="PRF52" s="12"/>
      <c r="PRG52" s="12"/>
      <c r="PRH52" s="12"/>
      <c r="PRI52" s="12"/>
      <c r="PRJ52" s="12"/>
      <c r="PRK52" s="12"/>
      <c r="PRL52" s="12"/>
      <c r="PRM52" s="12"/>
      <c r="PRN52" s="12"/>
      <c r="PRO52" s="12"/>
      <c r="PRP52" s="12"/>
      <c r="PRQ52" s="12"/>
      <c r="PRR52" s="12"/>
      <c r="PRS52" s="12"/>
      <c r="PRT52" s="12"/>
      <c r="PRU52" s="12"/>
      <c r="PRV52" s="12"/>
      <c r="PRW52" s="12"/>
      <c r="PRX52" s="12"/>
      <c r="PRY52" s="12"/>
      <c r="PRZ52" s="12"/>
      <c r="PSA52" s="12"/>
      <c r="PSB52" s="12"/>
      <c r="PSC52" s="12"/>
      <c r="PSD52" s="12"/>
      <c r="PSE52" s="12"/>
      <c r="PSF52" s="12"/>
      <c r="PSG52" s="12"/>
      <c r="PSH52" s="12"/>
      <c r="PSI52" s="12"/>
      <c r="PSJ52" s="12"/>
      <c r="PSK52" s="12"/>
      <c r="PSL52" s="12"/>
      <c r="PSM52" s="12"/>
      <c r="PSN52" s="12"/>
      <c r="PSO52" s="12"/>
      <c r="PSP52" s="12"/>
      <c r="PSQ52" s="12"/>
      <c r="PSR52" s="12"/>
      <c r="PSS52" s="12"/>
      <c r="PST52" s="12"/>
      <c r="PSU52" s="12"/>
      <c r="PSV52" s="12"/>
      <c r="PSW52" s="12"/>
      <c r="PSX52" s="12"/>
      <c r="PSY52" s="12"/>
      <c r="PSZ52" s="12"/>
      <c r="PTA52" s="12"/>
      <c r="PTB52" s="12"/>
      <c r="PTC52" s="12"/>
      <c r="PTD52" s="12"/>
      <c r="PTE52" s="12"/>
      <c r="PTF52" s="12"/>
      <c r="PTG52" s="12"/>
      <c r="PTH52" s="12"/>
      <c r="PTI52" s="12"/>
      <c r="PTJ52" s="12"/>
      <c r="PTK52" s="12"/>
      <c r="PTL52" s="12"/>
      <c r="PTM52" s="12"/>
      <c r="PTN52" s="12"/>
      <c r="PTO52" s="12"/>
      <c r="PTP52" s="12"/>
      <c r="PTQ52" s="12"/>
      <c r="PTR52" s="12"/>
      <c r="PTS52" s="12"/>
      <c r="PTT52" s="12"/>
      <c r="PTU52" s="12"/>
      <c r="PTV52" s="12"/>
      <c r="PTW52" s="12"/>
      <c r="PTX52" s="12"/>
      <c r="PTY52" s="12"/>
      <c r="PTZ52" s="12"/>
      <c r="PUA52" s="12"/>
      <c r="PUB52" s="12"/>
      <c r="PUC52" s="12"/>
      <c r="PUD52" s="12"/>
      <c r="PUE52" s="12"/>
      <c r="PUF52" s="12"/>
      <c r="PUG52" s="12"/>
      <c r="PUH52" s="12"/>
      <c r="PUI52" s="12"/>
      <c r="PUJ52" s="12"/>
      <c r="PUK52" s="12"/>
      <c r="PUL52" s="12"/>
      <c r="PUM52" s="12"/>
      <c r="PUN52" s="12"/>
      <c r="PUO52" s="12"/>
      <c r="PUP52" s="12"/>
      <c r="PUQ52" s="12"/>
      <c r="PUR52" s="12"/>
      <c r="PUS52" s="12"/>
      <c r="PUT52" s="12"/>
      <c r="PUU52" s="12"/>
      <c r="PUV52" s="12"/>
      <c r="PUW52" s="12"/>
      <c r="PUX52" s="12"/>
      <c r="PUY52" s="12"/>
      <c r="PUZ52" s="12"/>
      <c r="PVA52" s="12"/>
      <c r="PVB52" s="12"/>
      <c r="PVC52" s="12"/>
      <c r="PVD52" s="12"/>
      <c r="PVE52" s="12"/>
      <c r="PVF52" s="12"/>
      <c r="PVG52" s="12"/>
      <c r="PVH52" s="12"/>
      <c r="PVI52" s="12"/>
      <c r="PVJ52" s="12"/>
      <c r="PVK52" s="12"/>
      <c r="PVL52" s="12"/>
      <c r="PVM52" s="12"/>
      <c r="PVN52" s="12"/>
      <c r="PVO52" s="12"/>
      <c r="PVP52" s="12"/>
      <c r="PVQ52" s="12"/>
      <c r="PVR52" s="12"/>
      <c r="PVS52" s="12"/>
      <c r="PVT52" s="12"/>
      <c r="PVU52" s="12"/>
      <c r="PVV52" s="12"/>
      <c r="PVW52" s="12"/>
      <c r="PVX52" s="12"/>
      <c r="PVY52" s="12"/>
      <c r="PVZ52" s="12"/>
      <c r="PWA52" s="12"/>
      <c r="PWB52" s="12"/>
      <c r="PWC52" s="12"/>
      <c r="PWD52" s="12"/>
      <c r="PWE52" s="12"/>
      <c r="PWF52" s="12"/>
      <c r="PWG52" s="12"/>
      <c r="PWH52" s="12"/>
      <c r="PWI52" s="12"/>
      <c r="PWJ52" s="12"/>
      <c r="PWK52" s="12"/>
      <c r="PWL52" s="12"/>
      <c r="PWM52" s="12"/>
      <c r="PWN52" s="12"/>
      <c r="PWO52" s="12"/>
      <c r="PWP52" s="12"/>
      <c r="PWQ52" s="12"/>
      <c r="PWR52" s="12"/>
      <c r="PWS52" s="12"/>
      <c r="PWT52" s="12"/>
      <c r="PWU52" s="12"/>
      <c r="PWV52" s="12"/>
      <c r="PWW52" s="12"/>
      <c r="PWX52" s="12"/>
      <c r="PWY52" s="12"/>
      <c r="PWZ52" s="12"/>
      <c r="PXA52" s="12"/>
      <c r="PXB52" s="12"/>
      <c r="PXC52" s="12"/>
      <c r="PXD52" s="12"/>
      <c r="PXE52" s="12"/>
      <c r="PXF52" s="12"/>
      <c r="PXG52" s="12"/>
      <c r="PXH52" s="12"/>
      <c r="PXI52" s="12"/>
      <c r="PXJ52" s="12"/>
      <c r="PXK52" s="12"/>
      <c r="PXL52" s="12"/>
      <c r="PXM52" s="12"/>
      <c r="PXN52" s="12"/>
      <c r="PXO52" s="12"/>
      <c r="PXP52" s="12"/>
      <c r="PXQ52" s="12"/>
      <c r="PXR52" s="12"/>
      <c r="PXS52" s="12"/>
      <c r="PXT52" s="12"/>
      <c r="PXU52" s="12"/>
      <c r="PXV52" s="12"/>
      <c r="PXW52" s="12"/>
      <c r="PXX52" s="12"/>
      <c r="PXY52" s="12"/>
      <c r="PXZ52" s="12"/>
      <c r="PYA52" s="12"/>
      <c r="PYB52" s="12"/>
      <c r="PYC52" s="12"/>
      <c r="PYD52" s="12"/>
      <c r="PYE52" s="12"/>
      <c r="PYF52" s="12"/>
      <c r="PYG52" s="12"/>
      <c r="PYH52" s="12"/>
      <c r="PYI52" s="12"/>
      <c r="PYJ52" s="12"/>
      <c r="PYK52" s="12"/>
      <c r="PYL52" s="12"/>
      <c r="PYM52" s="12"/>
      <c r="PYN52" s="12"/>
      <c r="PYO52" s="12"/>
      <c r="PYP52" s="12"/>
      <c r="PYQ52" s="12"/>
      <c r="PYR52" s="12"/>
      <c r="PYS52" s="12"/>
      <c r="PYT52" s="12"/>
      <c r="PYU52" s="12"/>
      <c r="PYV52" s="12"/>
      <c r="PYW52" s="12"/>
      <c r="PYX52" s="12"/>
      <c r="PYY52" s="12"/>
      <c r="PYZ52" s="12"/>
      <c r="PZA52" s="12"/>
      <c r="PZB52" s="12"/>
      <c r="PZC52" s="12"/>
      <c r="PZD52" s="12"/>
      <c r="PZE52" s="12"/>
      <c r="PZF52" s="12"/>
      <c r="PZG52" s="12"/>
      <c r="PZH52" s="12"/>
      <c r="PZI52" s="12"/>
      <c r="PZJ52" s="12"/>
      <c r="PZK52" s="12"/>
      <c r="PZL52" s="12"/>
      <c r="PZM52" s="12"/>
      <c r="PZN52" s="12"/>
      <c r="PZO52" s="12"/>
      <c r="PZP52" s="12"/>
      <c r="PZQ52" s="12"/>
      <c r="PZR52" s="12"/>
      <c r="PZS52" s="12"/>
      <c r="PZT52" s="12"/>
      <c r="PZU52" s="12"/>
      <c r="PZV52" s="12"/>
      <c r="PZW52" s="12"/>
      <c r="PZX52" s="12"/>
      <c r="PZY52" s="12"/>
      <c r="PZZ52" s="12"/>
      <c r="QAA52" s="12"/>
      <c r="QAB52" s="12"/>
      <c r="QAC52" s="12"/>
      <c r="QAD52" s="12"/>
      <c r="QAE52" s="12"/>
      <c r="QAF52" s="12"/>
      <c r="QAG52" s="12"/>
      <c r="QAH52" s="12"/>
      <c r="QAI52" s="12"/>
      <c r="QAJ52" s="12"/>
      <c r="QAK52" s="12"/>
      <c r="QAL52" s="12"/>
      <c r="QAM52" s="12"/>
      <c r="QAN52" s="12"/>
      <c r="QAO52" s="12"/>
      <c r="QAP52" s="12"/>
      <c r="QAQ52" s="12"/>
      <c r="QAR52" s="12"/>
      <c r="QAS52" s="12"/>
      <c r="QAT52" s="12"/>
      <c r="QAU52" s="12"/>
      <c r="QAV52" s="12"/>
      <c r="QAW52" s="12"/>
      <c r="QAX52" s="12"/>
      <c r="QAY52" s="12"/>
      <c r="QAZ52" s="12"/>
      <c r="QBA52" s="12"/>
      <c r="QBB52" s="12"/>
      <c r="QBC52" s="12"/>
      <c r="QBD52" s="12"/>
      <c r="QBE52" s="12"/>
      <c r="QBF52" s="12"/>
      <c r="QBG52" s="12"/>
      <c r="QBH52" s="12"/>
      <c r="QBI52" s="12"/>
      <c r="QBJ52" s="12"/>
      <c r="QBK52" s="12"/>
      <c r="QBL52" s="12"/>
      <c r="QBM52" s="12"/>
      <c r="QBN52" s="12"/>
      <c r="QBO52" s="12"/>
      <c r="QBP52" s="12"/>
      <c r="QBQ52" s="12"/>
      <c r="QBR52" s="12"/>
      <c r="QBS52" s="12"/>
      <c r="QBT52" s="12"/>
      <c r="QBU52" s="12"/>
      <c r="QBV52" s="12"/>
      <c r="QBW52" s="12"/>
      <c r="QBX52" s="12"/>
      <c r="QBY52" s="12"/>
      <c r="QBZ52" s="12"/>
      <c r="QCA52" s="12"/>
      <c r="QCB52" s="12"/>
      <c r="QCC52" s="12"/>
      <c r="QCD52" s="12"/>
      <c r="QCE52" s="12"/>
      <c r="QCF52" s="12"/>
      <c r="QCG52" s="12"/>
      <c r="QCH52" s="12"/>
      <c r="QCI52" s="12"/>
      <c r="QCJ52" s="12"/>
      <c r="QCK52" s="12"/>
      <c r="QCL52" s="12"/>
      <c r="QCM52" s="12"/>
      <c r="QCN52" s="12"/>
      <c r="QCO52" s="12"/>
      <c r="QCP52" s="12"/>
      <c r="QCQ52" s="12"/>
      <c r="QCR52" s="12"/>
      <c r="QCS52" s="12"/>
      <c r="QCT52" s="12"/>
      <c r="QCU52" s="12"/>
      <c r="QCV52" s="12"/>
      <c r="QCW52" s="12"/>
      <c r="QCX52" s="12"/>
      <c r="QCY52" s="12"/>
      <c r="QCZ52" s="12"/>
      <c r="QDA52" s="12"/>
      <c r="QDB52" s="12"/>
      <c r="QDC52" s="12"/>
      <c r="QDD52" s="12"/>
      <c r="QDE52" s="12"/>
      <c r="QDF52" s="12"/>
      <c r="QDG52" s="12"/>
      <c r="QDH52" s="12"/>
      <c r="QDI52" s="12"/>
      <c r="QDJ52" s="12"/>
      <c r="QDK52" s="12"/>
      <c r="QDL52" s="12"/>
      <c r="QDM52" s="12"/>
      <c r="QDN52" s="12"/>
      <c r="QDO52" s="12"/>
      <c r="QDP52" s="12"/>
      <c r="QDQ52" s="12"/>
      <c r="QDR52" s="12"/>
      <c r="QDS52" s="12"/>
      <c r="QDT52" s="12"/>
      <c r="QDU52" s="12"/>
      <c r="QDV52" s="12"/>
      <c r="QDW52" s="12"/>
      <c r="QDX52" s="12"/>
      <c r="QDY52" s="12"/>
      <c r="QDZ52" s="12"/>
      <c r="QEA52" s="12"/>
      <c r="QEB52" s="12"/>
      <c r="QEC52" s="12"/>
      <c r="QED52" s="12"/>
      <c r="QEE52" s="12"/>
      <c r="QEF52" s="12"/>
      <c r="QEG52" s="12"/>
      <c r="QEH52" s="12"/>
      <c r="QEI52" s="12"/>
      <c r="QEJ52" s="12"/>
      <c r="QEK52" s="12"/>
      <c r="QEL52" s="12"/>
      <c r="QEM52" s="12"/>
      <c r="QEN52" s="12"/>
      <c r="QEO52" s="12"/>
      <c r="QEP52" s="12"/>
      <c r="QEQ52" s="12"/>
      <c r="QER52" s="12"/>
      <c r="QES52" s="12"/>
      <c r="QET52" s="12"/>
      <c r="QEU52" s="12"/>
      <c r="QEV52" s="12"/>
      <c r="QEW52" s="12"/>
      <c r="QEX52" s="12"/>
      <c r="QEY52" s="12"/>
      <c r="QEZ52" s="12"/>
      <c r="QFA52" s="12"/>
      <c r="QFB52" s="12"/>
      <c r="QFC52" s="12"/>
      <c r="QFD52" s="12"/>
      <c r="QFE52" s="12"/>
      <c r="QFF52" s="12"/>
      <c r="QFG52" s="12"/>
      <c r="QFH52" s="12"/>
      <c r="QFI52" s="12"/>
      <c r="QFJ52" s="12"/>
      <c r="QFK52" s="12"/>
      <c r="QFL52" s="12"/>
      <c r="QFM52" s="12"/>
      <c r="QFN52" s="12"/>
      <c r="QFO52" s="12"/>
      <c r="QFP52" s="12"/>
      <c r="QFQ52" s="12"/>
      <c r="QFR52" s="12"/>
      <c r="QFS52" s="12"/>
      <c r="QFT52" s="12"/>
      <c r="QFU52" s="12"/>
      <c r="QFV52" s="12"/>
      <c r="QFW52" s="12"/>
      <c r="QFX52" s="12"/>
      <c r="QFY52" s="12"/>
      <c r="QFZ52" s="12"/>
      <c r="QGA52" s="12"/>
      <c r="QGB52" s="12"/>
      <c r="QGC52" s="12"/>
      <c r="QGD52" s="12"/>
      <c r="QGE52" s="12"/>
      <c r="QGF52" s="12"/>
      <c r="QGG52" s="12"/>
      <c r="QGH52" s="12"/>
      <c r="QGI52" s="12"/>
      <c r="QGJ52" s="12"/>
      <c r="QGK52" s="12"/>
      <c r="QGL52" s="12"/>
      <c r="QGM52" s="12"/>
      <c r="QGN52" s="12"/>
      <c r="QGO52" s="12"/>
      <c r="QGP52" s="12"/>
      <c r="QGQ52" s="12"/>
      <c r="QGR52" s="12"/>
      <c r="QGS52" s="12"/>
      <c r="QGT52" s="12"/>
      <c r="QGU52" s="12"/>
      <c r="QGV52" s="12"/>
      <c r="QGW52" s="12"/>
      <c r="QGX52" s="12"/>
      <c r="QGY52" s="12"/>
      <c r="QGZ52" s="12"/>
      <c r="QHA52" s="12"/>
      <c r="QHB52" s="12"/>
      <c r="QHC52" s="12"/>
      <c r="QHD52" s="12"/>
      <c r="QHE52" s="12"/>
      <c r="QHF52" s="12"/>
      <c r="QHG52" s="12"/>
      <c r="QHH52" s="12"/>
      <c r="QHI52" s="12"/>
      <c r="QHJ52" s="12"/>
      <c r="QHK52" s="12"/>
      <c r="QHL52" s="12"/>
      <c r="QHM52" s="12"/>
      <c r="QHN52" s="12"/>
      <c r="QHO52" s="12"/>
      <c r="QHP52" s="12"/>
      <c r="QHQ52" s="12"/>
      <c r="QHR52" s="12"/>
      <c r="QHS52" s="12"/>
      <c r="QHT52" s="12"/>
      <c r="QHU52" s="12"/>
      <c r="QHV52" s="12"/>
      <c r="QHW52" s="12"/>
      <c r="QHX52" s="12"/>
      <c r="QHY52" s="12"/>
      <c r="QHZ52" s="12"/>
      <c r="QIA52" s="12"/>
      <c r="QIB52" s="12"/>
      <c r="QIC52" s="12"/>
      <c r="QID52" s="12"/>
      <c r="QIE52" s="12"/>
      <c r="QIF52" s="12"/>
      <c r="QIG52" s="12"/>
      <c r="QIH52" s="12"/>
      <c r="QII52" s="12"/>
      <c r="QIJ52" s="12"/>
      <c r="QIK52" s="12"/>
      <c r="QIL52" s="12"/>
      <c r="QIM52" s="12"/>
      <c r="QIN52" s="12"/>
      <c r="QIO52" s="12"/>
      <c r="QIP52" s="12"/>
      <c r="QIQ52" s="12"/>
      <c r="QIR52" s="12"/>
      <c r="QIS52" s="12"/>
      <c r="QIT52" s="12"/>
      <c r="QIU52" s="12"/>
      <c r="QIV52" s="12"/>
      <c r="QIW52" s="12"/>
      <c r="QIX52" s="12"/>
      <c r="QIY52" s="12"/>
      <c r="QIZ52" s="12"/>
      <c r="QJA52" s="12"/>
      <c r="QJB52" s="12"/>
      <c r="QJC52" s="12"/>
      <c r="QJD52" s="12"/>
      <c r="QJE52" s="12"/>
      <c r="QJF52" s="12"/>
      <c r="QJG52" s="12"/>
      <c r="QJH52" s="12"/>
      <c r="QJI52" s="12"/>
      <c r="QJJ52" s="12"/>
      <c r="QJK52" s="12"/>
      <c r="QJL52" s="12"/>
      <c r="QJM52" s="12"/>
      <c r="QJN52" s="12"/>
      <c r="QJO52" s="12"/>
      <c r="QJP52" s="12"/>
      <c r="QJQ52" s="12"/>
      <c r="QJR52" s="12"/>
      <c r="QJS52" s="12"/>
      <c r="QJT52" s="12"/>
      <c r="QJU52" s="12"/>
      <c r="QJV52" s="12"/>
      <c r="QJW52" s="12"/>
      <c r="QJX52" s="12"/>
      <c r="QJY52" s="12"/>
      <c r="QJZ52" s="12"/>
      <c r="QKA52" s="12"/>
      <c r="QKB52" s="12"/>
      <c r="QKC52" s="12"/>
      <c r="QKD52" s="12"/>
      <c r="QKE52" s="12"/>
      <c r="QKF52" s="12"/>
      <c r="QKG52" s="12"/>
      <c r="QKH52" s="12"/>
      <c r="QKI52" s="12"/>
      <c r="QKJ52" s="12"/>
      <c r="QKK52" s="12"/>
      <c r="QKL52" s="12"/>
      <c r="QKM52" s="12"/>
      <c r="QKN52" s="12"/>
      <c r="QKO52" s="12"/>
      <c r="QKP52" s="12"/>
      <c r="QKQ52" s="12"/>
      <c r="QKR52" s="12"/>
      <c r="QKS52" s="12"/>
      <c r="QKT52" s="12"/>
      <c r="QKU52" s="12"/>
      <c r="QKV52" s="12"/>
      <c r="QKW52" s="12"/>
      <c r="QKX52" s="12"/>
      <c r="QKY52" s="12"/>
      <c r="QKZ52" s="12"/>
      <c r="QLA52" s="12"/>
      <c r="QLB52" s="12"/>
      <c r="QLC52" s="12"/>
      <c r="QLD52" s="12"/>
      <c r="QLE52" s="12"/>
      <c r="QLF52" s="12"/>
      <c r="QLG52" s="12"/>
      <c r="QLH52" s="12"/>
      <c r="QLI52" s="12"/>
      <c r="QLJ52" s="12"/>
      <c r="QLK52" s="12"/>
      <c r="QLL52" s="12"/>
      <c r="QLM52" s="12"/>
      <c r="QLN52" s="12"/>
      <c r="QLO52" s="12"/>
      <c r="QLP52" s="12"/>
      <c r="QLQ52" s="12"/>
      <c r="QLR52" s="12"/>
      <c r="QLS52" s="12"/>
      <c r="QLT52" s="12"/>
      <c r="QLU52" s="12"/>
      <c r="QLV52" s="12"/>
      <c r="QLW52" s="12"/>
      <c r="QLX52" s="12"/>
      <c r="QLY52" s="12"/>
      <c r="QLZ52" s="12"/>
      <c r="QMA52" s="12"/>
      <c r="QMB52" s="12"/>
      <c r="QMC52" s="12"/>
      <c r="QMD52" s="12"/>
      <c r="QME52" s="12"/>
      <c r="QMF52" s="12"/>
      <c r="QMG52" s="12"/>
      <c r="QMH52" s="12"/>
      <c r="QMI52" s="12"/>
      <c r="QMJ52" s="12"/>
      <c r="QMK52" s="12"/>
      <c r="QML52" s="12"/>
      <c r="QMM52" s="12"/>
      <c r="QMN52" s="12"/>
      <c r="QMO52" s="12"/>
      <c r="QMP52" s="12"/>
      <c r="QMQ52" s="12"/>
      <c r="QMR52" s="12"/>
      <c r="QMS52" s="12"/>
      <c r="QMT52" s="12"/>
      <c r="QMU52" s="12"/>
      <c r="QMV52" s="12"/>
      <c r="QMW52" s="12"/>
      <c r="QMX52" s="12"/>
      <c r="QMY52" s="12"/>
      <c r="QMZ52" s="12"/>
      <c r="QNA52" s="12"/>
      <c r="QNB52" s="12"/>
      <c r="QNC52" s="12"/>
      <c r="QND52" s="12"/>
      <c r="QNE52" s="12"/>
      <c r="QNF52" s="12"/>
      <c r="QNG52" s="12"/>
      <c r="QNH52" s="12"/>
      <c r="QNI52" s="12"/>
      <c r="QNJ52" s="12"/>
      <c r="QNK52" s="12"/>
      <c r="QNL52" s="12"/>
      <c r="QNM52" s="12"/>
      <c r="QNN52" s="12"/>
      <c r="QNO52" s="12"/>
      <c r="QNP52" s="12"/>
      <c r="QNQ52" s="12"/>
      <c r="QNR52" s="12"/>
      <c r="QNS52" s="12"/>
      <c r="QNT52" s="12"/>
      <c r="QNU52" s="12"/>
      <c r="QNV52" s="12"/>
      <c r="QNW52" s="12"/>
      <c r="QNX52" s="12"/>
      <c r="QNY52" s="12"/>
      <c r="QNZ52" s="12"/>
      <c r="QOA52" s="12"/>
      <c r="QOB52" s="12"/>
      <c r="QOC52" s="12"/>
      <c r="QOD52" s="12"/>
      <c r="QOE52" s="12"/>
      <c r="QOF52" s="12"/>
      <c r="QOG52" s="12"/>
      <c r="QOH52" s="12"/>
      <c r="QOI52" s="12"/>
      <c r="QOJ52" s="12"/>
      <c r="QOK52" s="12"/>
      <c r="QOL52" s="12"/>
      <c r="QOM52" s="12"/>
      <c r="QON52" s="12"/>
      <c r="QOO52" s="12"/>
      <c r="QOP52" s="12"/>
      <c r="QOQ52" s="12"/>
      <c r="QOR52" s="12"/>
      <c r="QOS52" s="12"/>
      <c r="QOT52" s="12"/>
      <c r="QOU52" s="12"/>
      <c r="QOV52" s="12"/>
      <c r="QOW52" s="12"/>
      <c r="QOX52" s="12"/>
      <c r="QOY52" s="12"/>
      <c r="QOZ52" s="12"/>
      <c r="QPA52" s="12"/>
      <c r="QPB52" s="12"/>
      <c r="QPC52" s="12"/>
      <c r="QPD52" s="12"/>
      <c r="QPE52" s="12"/>
      <c r="QPF52" s="12"/>
      <c r="QPG52" s="12"/>
      <c r="QPH52" s="12"/>
      <c r="QPI52" s="12"/>
      <c r="QPJ52" s="12"/>
      <c r="QPK52" s="12"/>
      <c r="QPL52" s="12"/>
      <c r="QPM52" s="12"/>
      <c r="QPN52" s="12"/>
      <c r="QPO52" s="12"/>
      <c r="QPP52" s="12"/>
      <c r="QPQ52" s="12"/>
      <c r="QPR52" s="12"/>
      <c r="QPS52" s="12"/>
      <c r="QPT52" s="12"/>
      <c r="QPU52" s="12"/>
      <c r="QPV52" s="12"/>
      <c r="QPW52" s="12"/>
      <c r="QPX52" s="12"/>
      <c r="QPY52" s="12"/>
      <c r="QPZ52" s="12"/>
      <c r="QQA52" s="12"/>
      <c r="QQB52" s="12"/>
      <c r="QQC52" s="12"/>
      <c r="QQD52" s="12"/>
      <c r="QQE52" s="12"/>
      <c r="QQF52" s="12"/>
      <c r="QQG52" s="12"/>
      <c r="QQH52" s="12"/>
      <c r="QQI52" s="12"/>
      <c r="QQJ52" s="12"/>
      <c r="QQK52" s="12"/>
      <c r="QQL52" s="12"/>
      <c r="QQM52" s="12"/>
      <c r="QQN52" s="12"/>
      <c r="QQO52" s="12"/>
      <c r="QQP52" s="12"/>
      <c r="QQQ52" s="12"/>
      <c r="QQR52" s="12"/>
      <c r="QQS52" s="12"/>
      <c r="QQT52" s="12"/>
      <c r="QQU52" s="12"/>
      <c r="QQV52" s="12"/>
      <c r="QQW52" s="12"/>
      <c r="QQX52" s="12"/>
      <c r="QQY52" s="12"/>
      <c r="QQZ52" s="12"/>
      <c r="QRA52" s="12"/>
      <c r="QRB52" s="12"/>
      <c r="QRC52" s="12"/>
      <c r="QRD52" s="12"/>
      <c r="QRE52" s="12"/>
      <c r="QRF52" s="12"/>
      <c r="QRG52" s="12"/>
      <c r="QRH52" s="12"/>
      <c r="QRI52" s="12"/>
      <c r="QRJ52" s="12"/>
      <c r="QRK52" s="12"/>
      <c r="QRL52" s="12"/>
      <c r="QRM52" s="12"/>
      <c r="QRN52" s="12"/>
      <c r="QRO52" s="12"/>
      <c r="QRP52" s="12"/>
      <c r="QRQ52" s="12"/>
      <c r="QRR52" s="12"/>
      <c r="QRS52" s="12"/>
      <c r="QRT52" s="12"/>
      <c r="QRU52" s="12"/>
      <c r="QRV52" s="12"/>
      <c r="QRW52" s="12"/>
      <c r="QRX52" s="12"/>
      <c r="QRY52" s="12"/>
      <c r="QRZ52" s="12"/>
      <c r="QSA52" s="12"/>
      <c r="QSB52" s="12"/>
      <c r="QSC52" s="12"/>
      <c r="QSD52" s="12"/>
      <c r="QSE52" s="12"/>
      <c r="QSF52" s="12"/>
      <c r="QSG52" s="12"/>
      <c r="QSH52" s="12"/>
      <c r="QSI52" s="12"/>
      <c r="QSJ52" s="12"/>
      <c r="QSK52" s="12"/>
      <c r="QSL52" s="12"/>
      <c r="QSM52" s="12"/>
      <c r="QSN52" s="12"/>
      <c r="QSO52" s="12"/>
      <c r="QSP52" s="12"/>
      <c r="QSQ52" s="12"/>
      <c r="QSR52" s="12"/>
      <c r="QSS52" s="12"/>
      <c r="QST52" s="12"/>
      <c r="QSU52" s="12"/>
      <c r="QSV52" s="12"/>
      <c r="QSW52" s="12"/>
      <c r="QSX52" s="12"/>
      <c r="QSY52" s="12"/>
      <c r="QSZ52" s="12"/>
      <c r="QTA52" s="12"/>
      <c r="QTB52" s="12"/>
      <c r="QTC52" s="12"/>
      <c r="QTD52" s="12"/>
      <c r="QTE52" s="12"/>
      <c r="QTF52" s="12"/>
      <c r="QTG52" s="12"/>
      <c r="QTH52" s="12"/>
      <c r="QTI52" s="12"/>
      <c r="QTJ52" s="12"/>
      <c r="QTK52" s="12"/>
      <c r="QTL52" s="12"/>
      <c r="QTM52" s="12"/>
      <c r="QTN52" s="12"/>
      <c r="QTO52" s="12"/>
      <c r="QTP52" s="12"/>
      <c r="QTQ52" s="12"/>
      <c r="QTR52" s="12"/>
      <c r="QTS52" s="12"/>
      <c r="QTT52" s="12"/>
      <c r="QTU52" s="12"/>
      <c r="QTV52" s="12"/>
      <c r="QTW52" s="12"/>
      <c r="QTX52" s="12"/>
      <c r="QTY52" s="12"/>
      <c r="QTZ52" s="12"/>
      <c r="QUA52" s="12"/>
      <c r="QUB52" s="12"/>
      <c r="QUC52" s="12"/>
      <c r="QUD52" s="12"/>
      <c r="QUE52" s="12"/>
      <c r="QUF52" s="12"/>
      <c r="QUG52" s="12"/>
      <c r="QUH52" s="12"/>
      <c r="QUI52" s="12"/>
      <c r="QUJ52" s="12"/>
      <c r="QUK52" s="12"/>
      <c r="QUL52" s="12"/>
      <c r="QUM52" s="12"/>
      <c r="QUN52" s="12"/>
      <c r="QUO52" s="12"/>
      <c r="QUP52" s="12"/>
      <c r="QUQ52" s="12"/>
      <c r="QUR52" s="12"/>
      <c r="QUS52" s="12"/>
      <c r="QUT52" s="12"/>
      <c r="QUU52" s="12"/>
      <c r="QUV52" s="12"/>
      <c r="QUW52" s="12"/>
      <c r="QUX52" s="12"/>
      <c r="QUY52" s="12"/>
      <c r="QUZ52" s="12"/>
      <c r="QVA52" s="12"/>
      <c r="QVB52" s="12"/>
      <c r="QVC52" s="12"/>
      <c r="QVD52" s="12"/>
      <c r="QVE52" s="12"/>
      <c r="QVF52" s="12"/>
      <c r="QVG52" s="12"/>
      <c r="QVH52" s="12"/>
      <c r="QVI52" s="12"/>
      <c r="QVJ52" s="12"/>
      <c r="QVK52" s="12"/>
      <c r="QVL52" s="12"/>
      <c r="QVM52" s="12"/>
      <c r="QVN52" s="12"/>
      <c r="QVO52" s="12"/>
      <c r="QVP52" s="12"/>
      <c r="QVQ52" s="12"/>
      <c r="QVR52" s="12"/>
      <c r="QVS52" s="12"/>
      <c r="QVT52" s="12"/>
      <c r="QVU52" s="12"/>
      <c r="QVV52" s="12"/>
      <c r="QVW52" s="12"/>
      <c r="QVX52" s="12"/>
      <c r="QVY52" s="12"/>
      <c r="QVZ52" s="12"/>
      <c r="QWA52" s="12"/>
      <c r="QWB52" s="12"/>
      <c r="QWC52" s="12"/>
      <c r="QWD52" s="12"/>
      <c r="QWE52" s="12"/>
      <c r="QWF52" s="12"/>
      <c r="QWG52" s="12"/>
      <c r="QWH52" s="12"/>
      <c r="QWI52" s="12"/>
      <c r="QWJ52" s="12"/>
      <c r="QWK52" s="12"/>
      <c r="QWL52" s="12"/>
      <c r="QWM52" s="12"/>
      <c r="QWN52" s="12"/>
      <c r="QWO52" s="12"/>
      <c r="QWP52" s="12"/>
      <c r="QWQ52" s="12"/>
      <c r="QWR52" s="12"/>
      <c r="QWS52" s="12"/>
      <c r="QWT52" s="12"/>
      <c r="QWU52" s="12"/>
      <c r="QWV52" s="12"/>
      <c r="QWW52" s="12"/>
      <c r="QWX52" s="12"/>
      <c r="QWY52" s="12"/>
      <c r="QWZ52" s="12"/>
      <c r="QXA52" s="12"/>
      <c r="QXB52" s="12"/>
      <c r="QXC52" s="12"/>
      <c r="QXD52" s="12"/>
      <c r="QXE52" s="12"/>
      <c r="QXF52" s="12"/>
      <c r="QXG52" s="12"/>
      <c r="QXH52" s="12"/>
      <c r="QXI52" s="12"/>
      <c r="QXJ52" s="12"/>
      <c r="QXK52" s="12"/>
      <c r="QXL52" s="12"/>
      <c r="QXM52" s="12"/>
      <c r="QXN52" s="12"/>
      <c r="QXO52" s="12"/>
      <c r="QXP52" s="12"/>
      <c r="QXQ52" s="12"/>
      <c r="QXR52" s="12"/>
      <c r="QXS52" s="12"/>
      <c r="QXT52" s="12"/>
      <c r="QXU52" s="12"/>
      <c r="QXV52" s="12"/>
      <c r="QXW52" s="12"/>
      <c r="QXX52" s="12"/>
      <c r="QXY52" s="12"/>
      <c r="QXZ52" s="12"/>
      <c r="QYA52" s="12"/>
      <c r="QYB52" s="12"/>
      <c r="QYC52" s="12"/>
      <c r="QYD52" s="12"/>
      <c r="QYE52" s="12"/>
      <c r="QYF52" s="12"/>
      <c r="QYG52" s="12"/>
      <c r="QYH52" s="12"/>
      <c r="QYI52" s="12"/>
      <c r="QYJ52" s="12"/>
      <c r="QYK52" s="12"/>
      <c r="QYL52" s="12"/>
      <c r="QYM52" s="12"/>
      <c r="QYN52" s="12"/>
      <c r="QYO52" s="12"/>
      <c r="QYP52" s="12"/>
      <c r="QYQ52" s="12"/>
      <c r="QYR52" s="12"/>
      <c r="QYS52" s="12"/>
      <c r="QYT52" s="12"/>
      <c r="QYU52" s="12"/>
      <c r="QYV52" s="12"/>
      <c r="QYW52" s="12"/>
      <c r="QYX52" s="12"/>
      <c r="QYY52" s="12"/>
      <c r="QYZ52" s="12"/>
      <c r="QZA52" s="12"/>
      <c r="QZB52" s="12"/>
      <c r="QZC52" s="12"/>
      <c r="QZD52" s="12"/>
      <c r="QZE52" s="12"/>
      <c r="QZF52" s="12"/>
      <c r="QZG52" s="12"/>
      <c r="QZH52" s="12"/>
      <c r="QZI52" s="12"/>
      <c r="QZJ52" s="12"/>
      <c r="QZK52" s="12"/>
      <c r="QZL52" s="12"/>
      <c r="QZM52" s="12"/>
      <c r="QZN52" s="12"/>
      <c r="QZO52" s="12"/>
      <c r="QZP52" s="12"/>
      <c r="QZQ52" s="12"/>
      <c r="QZR52" s="12"/>
      <c r="QZS52" s="12"/>
      <c r="QZT52" s="12"/>
      <c r="QZU52" s="12"/>
      <c r="QZV52" s="12"/>
      <c r="QZW52" s="12"/>
      <c r="QZX52" s="12"/>
      <c r="QZY52" s="12"/>
      <c r="QZZ52" s="12"/>
      <c r="RAA52" s="12"/>
      <c r="RAB52" s="12"/>
      <c r="RAC52" s="12"/>
      <c r="RAD52" s="12"/>
      <c r="RAE52" s="12"/>
      <c r="RAF52" s="12"/>
      <c r="RAG52" s="12"/>
      <c r="RAH52" s="12"/>
      <c r="RAI52" s="12"/>
      <c r="RAJ52" s="12"/>
      <c r="RAK52" s="12"/>
      <c r="RAL52" s="12"/>
      <c r="RAM52" s="12"/>
      <c r="RAN52" s="12"/>
      <c r="RAO52" s="12"/>
      <c r="RAP52" s="12"/>
      <c r="RAQ52" s="12"/>
      <c r="RAR52" s="12"/>
      <c r="RAS52" s="12"/>
      <c r="RAT52" s="12"/>
      <c r="RAU52" s="12"/>
      <c r="RAV52" s="12"/>
      <c r="RAW52" s="12"/>
      <c r="RAX52" s="12"/>
      <c r="RAY52" s="12"/>
      <c r="RAZ52" s="12"/>
      <c r="RBA52" s="12"/>
      <c r="RBB52" s="12"/>
      <c r="RBC52" s="12"/>
      <c r="RBD52" s="12"/>
      <c r="RBE52" s="12"/>
      <c r="RBF52" s="12"/>
      <c r="RBG52" s="12"/>
      <c r="RBH52" s="12"/>
      <c r="RBI52" s="12"/>
      <c r="RBJ52" s="12"/>
      <c r="RBK52" s="12"/>
      <c r="RBL52" s="12"/>
      <c r="RBM52" s="12"/>
      <c r="RBN52" s="12"/>
      <c r="RBO52" s="12"/>
      <c r="RBP52" s="12"/>
      <c r="RBQ52" s="12"/>
      <c r="RBR52" s="12"/>
      <c r="RBS52" s="12"/>
      <c r="RBT52" s="12"/>
      <c r="RBU52" s="12"/>
      <c r="RBV52" s="12"/>
      <c r="RBW52" s="12"/>
      <c r="RBX52" s="12"/>
      <c r="RBY52" s="12"/>
      <c r="RBZ52" s="12"/>
      <c r="RCA52" s="12"/>
      <c r="RCB52" s="12"/>
      <c r="RCC52" s="12"/>
      <c r="RCD52" s="12"/>
      <c r="RCE52" s="12"/>
      <c r="RCF52" s="12"/>
      <c r="RCG52" s="12"/>
      <c r="RCH52" s="12"/>
      <c r="RCI52" s="12"/>
      <c r="RCJ52" s="12"/>
      <c r="RCK52" s="12"/>
      <c r="RCL52" s="12"/>
      <c r="RCM52" s="12"/>
      <c r="RCN52" s="12"/>
      <c r="RCO52" s="12"/>
      <c r="RCP52" s="12"/>
      <c r="RCQ52" s="12"/>
      <c r="RCR52" s="12"/>
      <c r="RCS52" s="12"/>
      <c r="RCT52" s="12"/>
      <c r="RCU52" s="12"/>
      <c r="RCV52" s="12"/>
      <c r="RCW52" s="12"/>
      <c r="RCX52" s="12"/>
      <c r="RCY52" s="12"/>
      <c r="RCZ52" s="12"/>
      <c r="RDA52" s="12"/>
      <c r="RDB52" s="12"/>
      <c r="RDC52" s="12"/>
      <c r="RDD52" s="12"/>
      <c r="RDE52" s="12"/>
      <c r="RDF52" s="12"/>
      <c r="RDG52" s="12"/>
      <c r="RDH52" s="12"/>
      <c r="RDI52" s="12"/>
      <c r="RDJ52" s="12"/>
      <c r="RDK52" s="12"/>
      <c r="RDL52" s="12"/>
      <c r="RDM52" s="12"/>
      <c r="RDN52" s="12"/>
      <c r="RDO52" s="12"/>
      <c r="RDP52" s="12"/>
      <c r="RDQ52" s="12"/>
      <c r="RDR52" s="12"/>
      <c r="RDS52" s="12"/>
      <c r="RDT52" s="12"/>
      <c r="RDU52" s="12"/>
      <c r="RDV52" s="12"/>
      <c r="RDW52" s="12"/>
      <c r="RDX52" s="12"/>
      <c r="RDY52" s="12"/>
      <c r="RDZ52" s="12"/>
      <c r="REA52" s="12"/>
      <c r="REB52" s="12"/>
      <c r="REC52" s="12"/>
      <c r="RED52" s="12"/>
      <c r="REE52" s="12"/>
      <c r="REF52" s="12"/>
      <c r="REG52" s="12"/>
      <c r="REH52" s="12"/>
      <c r="REI52" s="12"/>
      <c r="REJ52" s="12"/>
      <c r="REK52" s="12"/>
      <c r="REL52" s="12"/>
      <c r="REM52" s="12"/>
      <c r="REN52" s="12"/>
      <c r="REO52" s="12"/>
      <c r="REP52" s="12"/>
      <c r="REQ52" s="12"/>
      <c r="RER52" s="12"/>
      <c r="RES52" s="12"/>
      <c r="RET52" s="12"/>
      <c r="REU52" s="12"/>
      <c r="REV52" s="12"/>
      <c r="REW52" s="12"/>
      <c r="REX52" s="12"/>
      <c r="REY52" s="12"/>
      <c r="REZ52" s="12"/>
      <c r="RFA52" s="12"/>
      <c r="RFB52" s="12"/>
      <c r="RFC52" s="12"/>
      <c r="RFD52" s="12"/>
      <c r="RFE52" s="12"/>
      <c r="RFF52" s="12"/>
      <c r="RFG52" s="12"/>
      <c r="RFH52" s="12"/>
      <c r="RFI52" s="12"/>
      <c r="RFJ52" s="12"/>
      <c r="RFK52" s="12"/>
      <c r="RFL52" s="12"/>
      <c r="RFM52" s="12"/>
      <c r="RFN52" s="12"/>
      <c r="RFO52" s="12"/>
      <c r="RFP52" s="12"/>
      <c r="RFQ52" s="12"/>
      <c r="RFR52" s="12"/>
      <c r="RFS52" s="12"/>
      <c r="RFT52" s="12"/>
      <c r="RFU52" s="12"/>
      <c r="RFV52" s="12"/>
      <c r="RFW52" s="12"/>
      <c r="RFX52" s="12"/>
      <c r="RFY52" s="12"/>
      <c r="RFZ52" s="12"/>
      <c r="RGA52" s="12"/>
      <c r="RGB52" s="12"/>
      <c r="RGC52" s="12"/>
      <c r="RGD52" s="12"/>
      <c r="RGE52" s="12"/>
      <c r="RGF52" s="12"/>
      <c r="RGG52" s="12"/>
      <c r="RGH52" s="12"/>
      <c r="RGI52" s="12"/>
      <c r="RGJ52" s="12"/>
      <c r="RGK52" s="12"/>
      <c r="RGL52" s="12"/>
      <c r="RGM52" s="12"/>
      <c r="RGN52" s="12"/>
      <c r="RGO52" s="12"/>
      <c r="RGP52" s="12"/>
      <c r="RGQ52" s="12"/>
      <c r="RGR52" s="12"/>
      <c r="RGS52" s="12"/>
      <c r="RGT52" s="12"/>
      <c r="RGU52" s="12"/>
      <c r="RGV52" s="12"/>
      <c r="RGW52" s="12"/>
      <c r="RGX52" s="12"/>
      <c r="RGY52" s="12"/>
      <c r="RGZ52" s="12"/>
      <c r="RHA52" s="12"/>
      <c r="RHB52" s="12"/>
      <c r="RHC52" s="12"/>
      <c r="RHD52" s="12"/>
      <c r="RHE52" s="12"/>
      <c r="RHF52" s="12"/>
      <c r="RHG52" s="12"/>
      <c r="RHH52" s="12"/>
      <c r="RHI52" s="12"/>
      <c r="RHJ52" s="12"/>
      <c r="RHK52" s="12"/>
      <c r="RHL52" s="12"/>
      <c r="RHM52" s="12"/>
      <c r="RHN52" s="12"/>
      <c r="RHO52" s="12"/>
      <c r="RHP52" s="12"/>
      <c r="RHQ52" s="12"/>
      <c r="RHR52" s="12"/>
      <c r="RHS52" s="12"/>
      <c r="RHT52" s="12"/>
      <c r="RHU52" s="12"/>
      <c r="RHV52" s="12"/>
      <c r="RHW52" s="12"/>
      <c r="RHX52" s="12"/>
      <c r="RHY52" s="12"/>
      <c r="RHZ52" s="12"/>
      <c r="RIA52" s="12"/>
      <c r="RIB52" s="12"/>
      <c r="RIC52" s="12"/>
      <c r="RID52" s="12"/>
      <c r="RIE52" s="12"/>
      <c r="RIF52" s="12"/>
      <c r="RIG52" s="12"/>
      <c r="RIH52" s="12"/>
      <c r="RII52" s="12"/>
      <c r="RIJ52" s="12"/>
      <c r="RIK52" s="12"/>
      <c r="RIL52" s="12"/>
      <c r="RIM52" s="12"/>
      <c r="RIN52" s="12"/>
      <c r="RIO52" s="12"/>
      <c r="RIP52" s="12"/>
      <c r="RIQ52" s="12"/>
      <c r="RIR52" s="12"/>
      <c r="RIS52" s="12"/>
      <c r="RIT52" s="12"/>
      <c r="RIU52" s="12"/>
      <c r="RIV52" s="12"/>
      <c r="RIW52" s="12"/>
      <c r="RIX52" s="12"/>
      <c r="RIY52" s="12"/>
      <c r="RIZ52" s="12"/>
      <c r="RJA52" s="12"/>
      <c r="RJB52" s="12"/>
      <c r="RJC52" s="12"/>
      <c r="RJD52" s="12"/>
      <c r="RJE52" s="12"/>
      <c r="RJF52" s="12"/>
      <c r="RJG52" s="12"/>
      <c r="RJH52" s="12"/>
      <c r="RJI52" s="12"/>
      <c r="RJJ52" s="12"/>
      <c r="RJK52" s="12"/>
      <c r="RJL52" s="12"/>
      <c r="RJM52" s="12"/>
      <c r="RJN52" s="12"/>
      <c r="RJO52" s="12"/>
      <c r="RJP52" s="12"/>
      <c r="RJQ52" s="12"/>
      <c r="RJR52" s="12"/>
      <c r="RJS52" s="12"/>
      <c r="RJT52" s="12"/>
      <c r="RJU52" s="12"/>
      <c r="RJV52" s="12"/>
      <c r="RJW52" s="12"/>
      <c r="RJX52" s="12"/>
      <c r="RJY52" s="12"/>
      <c r="RJZ52" s="12"/>
      <c r="RKA52" s="12"/>
      <c r="RKB52" s="12"/>
      <c r="RKC52" s="12"/>
      <c r="RKD52" s="12"/>
      <c r="RKE52" s="12"/>
      <c r="RKF52" s="12"/>
      <c r="RKG52" s="12"/>
      <c r="RKH52" s="12"/>
      <c r="RKI52" s="12"/>
      <c r="RKJ52" s="12"/>
      <c r="RKK52" s="12"/>
      <c r="RKL52" s="12"/>
      <c r="RKM52" s="12"/>
      <c r="RKN52" s="12"/>
      <c r="RKO52" s="12"/>
      <c r="RKP52" s="12"/>
      <c r="RKQ52" s="12"/>
      <c r="RKR52" s="12"/>
      <c r="RKS52" s="12"/>
      <c r="RKT52" s="12"/>
      <c r="RKU52" s="12"/>
      <c r="RKV52" s="12"/>
      <c r="RKW52" s="12"/>
      <c r="RKX52" s="12"/>
      <c r="RKY52" s="12"/>
      <c r="RKZ52" s="12"/>
      <c r="RLA52" s="12"/>
      <c r="RLB52" s="12"/>
      <c r="RLC52" s="12"/>
      <c r="RLD52" s="12"/>
      <c r="RLE52" s="12"/>
      <c r="RLF52" s="12"/>
      <c r="RLG52" s="12"/>
      <c r="RLH52" s="12"/>
      <c r="RLI52" s="12"/>
      <c r="RLJ52" s="12"/>
      <c r="RLK52" s="12"/>
      <c r="RLL52" s="12"/>
      <c r="RLM52" s="12"/>
      <c r="RLN52" s="12"/>
      <c r="RLO52" s="12"/>
      <c r="RLP52" s="12"/>
      <c r="RLQ52" s="12"/>
      <c r="RLR52" s="12"/>
      <c r="RLS52" s="12"/>
      <c r="RLT52" s="12"/>
      <c r="RLU52" s="12"/>
      <c r="RLV52" s="12"/>
      <c r="RLW52" s="12"/>
      <c r="RLX52" s="12"/>
      <c r="RLY52" s="12"/>
      <c r="RLZ52" s="12"/>
      <c r="RMA52" s="12"/>
      <c r="RMB52" s="12"/>
      <c r="RMC52" s="12"/>
      <c r="RMD52" s="12"/>
      <c r="RME52" s="12"/>
      <c r="RMF52" s="12"/>
      <c r="RMG52" s="12"/>
      <c r="RMH52" s="12"/>
      <c r="RMI52" s="12"/>
      <c r="RMJ52" s="12"/>
      <c r="RMK52" s="12"/>
      <c r="RML52" s="12"/>
      <c r="RMM52" s="12"/>
      <c r="RMN52" s="12"/>
      <c r="RMO52" s="12"/>
      <c r="RMP52" s="12"/>
      <c r="RMQ52" s="12"/>
      <c r="RMR52" s="12"/>
      <c r="RMS52" s="12"/>
      <c r="RMT52" s="12"/>
      <c r="RMU52" s="12"/>
      <c r="RMV52" s="12"/>
      <c r="RMW52" s="12"/>
      <c r="RMX52" s="12"/>
      <c r="RMY52" s="12"/>
      <c r="RMZ52" s="12"/>
      <c r="RNA52" s="12"/>
      <c r="RNB52" s="12"/>
      <c r="RNC52" s="12"/>
      <c r="RND52" s="12"/>
      <c r="RNE52" s="12"/>
      <c r="RNF52" s="12"/>
      <c r="RNG52" s="12"/>
      <c r="RNH52" s="12"/>
      <c r="RNI52" s="12"/>
      <c r="RNJ52" s="12"/>
      <c r="RNK52" s="12"/>
      <c r="RNL52" s="12"/>
      <c r="RNM52" s="12"/>
      <c r="RNN52" s="12"/>
      <c r="RNO52" s="12"/>
      <c r="RNP52" s="12"/>
      <c r="RNQ52" s="12"/>
      <c r="RNR52" s="12"/>
      <c r="RNS52" s="12"/>
      <c r="RNT52" s="12"/>
      <c r="RNU52" s="12"/>
      <c r="RNV52" s="12"/>
      <c r="RNW52" s="12"/>
      <c r="RNX52" s="12"/>
      <c r="RNY52" s="12"/>
      <c r="RNZ52" s="12"/>
      <c r="ROA52" s="12"/>
      <c r="ROB52" s="12"/>
      <c r="ROC52" s="12"/>
      <c r="ROD52" s="12"/>
      <c r="ROE52" s="12"/>
      <c r="ROF52" s="12"/>
      <c r="ROG52" s="12"/>
      <c r="ROH52" s="12"/>
      <c r="ROI52" s="12"/>
      <c r="ROJ52" s="12"/>
      <c r="ROK52" s="12"/>
      <c r="ROL52" s="12"/>
      <c r="ROM52" s="12"/>
      <c r="RON52" s="12"/>
      <c r="ROO52" s="12"/>
      <c r="ROP52" s="12"/>
      <c r="ROQ52" s="12"/>
      <c r="ROR52" s="12"/>
      <c r="ROS52" s="12"/>
      <c r="ROT52" s="12"/>
      <c r="ROU52" s="12"/>
      <c r="ROV52" s="12"/>
      <c r="ROW52" s="12"/>
      <c r="ROX52" s="12"/>
      <c r="ROY52" s="12"/>
      <c r="ROZ52" s="12"/>
      <c r="RPA52" s="12"/>
      <c r="RPB52" s="12"/>
      <c r="RPC52" s="12"/>
      <c r="RPD52" s="12"/>
      <c r="RPE52" s="12"/>
      <c r="RPF52" s="12"/>
      <c r="RPG52" s="12"/>
      <c r="RPH52" s="12"/>
      <c r="RPI52" s="12"/>
      <c r="RPJ52" s="12"/>
      <c r="RPK52" s="12"/>
      <c r="RPL52" s="12"/>
      <c r="RPM52" s="12"/>
      <c r="RPN52" s="12"/>
      <c r="RPO52" s="12"/>
      <c r="RPP52" s="12"/>
      <c r="RPQ52" s="12"/>
      <c r="RPR52" s="12"/>
      <c r="RPS52" s="12"/>
      <c r="RPT52" s="12"/>
      <c r="RPU52" s="12"/>
      <c r="RPV52" s="12"/>
      <c r="RPW52" s="12"/>
      <c r="RPX52" s="12"/>
      <c r="RPY52" s="12"/>
      <c r="RPZ52" s="12"/>
      <c r="RQA52" s="12"/>
      <c r="RQB52" s="12"/>
      <c r="RQC52" s="12"/>
      <c r="RQD52" s="12"/>
      <c r="RQE52" s="12"/>
      <c r="RQF52" s="12"/>
      <c r="RQG52" s="12"/>
      <c r="RQH52" s="12"/>
      <c r="RQI52" s="12"/>
      <c r="RQJ52" s="12"/>
      <c r="RQK52" s="12"/>
      <c r="RQL52" s="12"/>
      <c r="RQM52" s="12"/>
      <c r="RQN52" s="12"/>
      <c r="RQO52" s="12"/>
      <c r="RQP52" s="12"/>
      <c r="RQQ52" s="12"/>
      <c r="RQR52" s="12"/>
      <c r="RQS52" s="12"/>
      <c r="RQT52" s="12"/>
      <c r="RQU52" s="12"/>
      <c r="RQV52" s="12"/>
      <c r="RQW52" s="12"/>
      <c r="RQX52" s="12"/>
      <c r="RQY52" s="12"/>
      <c r="RQZ52" s="12"/>
      <c r="RRA52" s="12"/>
      <c r="RRB52" s="12"/>
      <c r="RRC52" s="12"/>
      <c r="RRD52" s="12"/>
      <c r="RRE52" s="12"/>
      <c r="RRF52" s="12"/>
      <c r="RRG52" s="12"/>
      <c r="RRH52" s="12"/>
      <c r="RRI52" s="12"/>
      <c r="RRJ52" s="12"/>
      <c r="RRK52" s="12"/>
      <c r="RRL52" s="12"/>
      <c r="RRM52" s="12"/>
      <c r="RRN52" s="12"/>
      <c r="RRO52" s="12"/>
      <c r="RRP52" s="12"/>
      <c r="RRQ52" s="12"/>
      <c r="RRR52" s="12"/>
      <c r="RRS52" s="12"/>
      <c r="RRT52" s="12"/>
      <c r="RRU52" s="12"/>
      <c r="RRV52" s="12"/>
      <c r="RRW52" s="12"/>
      <c r="RRX52" s="12"/>
      <c r="RRY52" s="12"/>
      <c r="RRZ52" s="12"/>
      <c r="RSA52" s="12"/>
      <c r="RSB52" s="12"/>
      <c r="RSC52" s="12"/>
      <c r="RSD52" s="12"/>
      <c r="RSE52" s="12"/>
      <c r="RSF52" s="12"/>
      <c r="RSG52" s="12"/>
      <c r="RSH52" s="12"/>
      <c r="RSI52" s="12"/>
      <c r="RSJ52" s="12"/>
      <c r="RSK52" s="12"/>
      <c r="RSL52" s="12"/>
      <c r="RSM52" s="12"/>
      <c r="RSN52" s="12"/>
      <c r="RSO52" s="12"/>
      <c r="RSP52" s="12"/>
      <c r="RSQ52" s="12"/>
      <c r="RSR52" s="12"/>
      <c r="RSS52" s="12"/>
      <c r="RST52" s="12"/>
      <c r="RSU52" s="12"/>
      <c r="RSV52" s="12"/>
      <c r="RSW52" s="12"/>
      <c r="RSX52" s="12"/>
      <c r="RSY52" s="12"/>
      <c r="RSZ52" s="12"/>
      <c r="RTA52" s="12"/>
      <c r="RTB52" s="12"/>
      <c r="RTC52" s="12"/>
      <c r="RTD52" s="12"/>
      <c r="RTE52" s="12"/>
      <c r="RTF52" s="12"/>
      <c r="RTG52" s="12"/>
      <c r="RTH52" s="12"/>
      <c r="RTI52" s="12"/>
      <c r="RTJ52" s="12"/>
      <c r="RTK52" s="12"/>
      <c r="RTL52" s="12"/>
      <c r="RTM52" s="12"/>
      <c r="RTN52" s="12"/>
      <c r="RTO52" s="12"/>
      <c r="RTP52" s="12"/>
      <c r="RTQ52" s="12"/>
      <c r="RTR52" s="12"/>
      <c r="RTS52" s="12"/>
      <c r="RTT52" s="12"/>
      <c r="RTU52" s="12"/>
      <c r="RTV52" s="12"/>
      <c r="RTW52" s="12"/>
      <c r="RTX52" s="12"/>
      <c r="RTY52" s="12"/>
      <c r="RTZ52" s="12"/>
      <c r="RUA52" s="12"/>
      <c r="RUB52" s="12"/>
      <c r="RUC52" s="12"/>
      <c r="RUD52" s="12"/>
      <c r="RUE52" s="12"/>
      <c r="RUF52" s="12"/>
      <c r="RUG52" s="12"/>
      <c r="RUH52" s="12"/>
      <c r="RUI52" s="12"/>
      <c r="RUJ52" s="12"/>
      <c r="RUK52" s="12"/>
      <c r="RUL52" s="12"/>
      <c r="RUM52" s="12"/>
      <c r="RUN52" s="12"/>
      <c r="RUO52" s="12"/>
      <c r="RUP52" s="12"/>
      <c r="RUQ52" s="12"/>
      <c r="RUR52" s="12"/>
      <c r="RUS52" s="12"/>
      <c r="RUT52" s="12"/>
      <c r="RUU52" s="12"/>
      <c r="RUV52" s="12"/>
      <c r="RUW52" s="12"/>
      <c r="RUX52" s="12"/>
      <c r="RUY52" s="12"/>
      <c r="RUZ52" s="12"/>
      <c r="RVA52" s="12"/>
      <c r="RVB52" s="12"/>
      <c r="RVC52" s="12"/>
      <c r="RVD52" s="12"/>
      <c r="RVE52" s="12"/>
      <c r="RVF52" s="12"/>
      <c r="RVG52" s="12"/>
      <c r="RVH52" s="12"/>
      <c r="RVI52" s="12"/>
      <c r="RVJ52" s="12"/>
      <c r="RVK52" s="12"/>
      <c r="RVL52" s="12"/>
      <c r="RVM52" s="12"/>
      <c r="RVN52" s="12"/>
      <c r="RVO52" s="12"/>
      <c r="RVP52" s="12"/>
      <c r="RVQ52" s="12"/>
      <c r="RVR52" s="12"/>
      <c r="RVS52" s="12"/>
      <c r="RVT52" s="12"/>
      <c r="RVU52" s="12"/>
      <c r="RVV52" s="12"/>
      <c r="RVW52" s="12"/>
      <c r="RVX52" s="12"/>
      <c r="RVY52" s="12"/>
      <c r="RVZ52" s="12"/>
      <c r="RWA52" s="12"/>
      <c r="RWB52" s="12"/>
      <c r="RWC52" s="12"/>
      <c r="RWD52" s="12"/>
      <c r="RWE52" s="12"/>
      <c r="RWF52" s="12"/>
      <c r="RWG52" s="12"/>
      <c r="RWH52" s="12"/>
      <c r="RWI52" s="12"/>
      <c r="RWJ52" s="12"/>
      <c r="RWK52" s="12"/>
      <c r="RWL52" s="12"/>
      <c r="RWM52" s="12"/>
      <c r="RWN52" s="12"/>
      <c r="RWO52" s="12"/>
      <c r="RWP52" s="12"/>
      <c r="RWQ52" s="12"/>
      <c r="RWR52" s="12"/>
      <c r="RWS52" s="12"/>
      <c r="RWT52" s="12"/>
      <c r="RWU52" s="12"/>
      <c r="RWV52" s="12"/>
      <c r="RWW52" s="12"/>
      <c r="RWX52" s="12"/>
      <c r="RWY52" s="12"/>
      <c r="RWZ52" s="12"/>
      <c r="RXA52" s="12"/>
      <c r="RXB52" s="12"/>
      <c r="RXC52" s="12"/>
      <c r="RXD52" s="12"/>
      <c r="RXE52" s="12"/>
      <c r="RXF52" s="12"/>
      <c r="RXG52" s="12"/>
      <c r="RXH52" s="12"/>
      <c r="RXI52" s="12"/>
      <c r="RXJ52" s="12"/>
      <c r="RXK52" s="12"/>
      <c r="RXL52" s="12"/>
      <c r="RXM52" s="12"/>
      <c r="RXN52" s="12"/>
      <c r="RXO52" s="12"/>
      <c r="RXP52" s="12"/>
      <c r="RXQ52" s="12"/>
      <c r="RXR52" s="12"/>
      <c r="RXS52" s="12"/>
      <c r="RXT52" s="12"/>
      <c r="RXU52" s="12"/>
      <c r="RXV52" s="12"/>
      <c r="RXW52" s="12"/>
      <c r="RXX52" s="12"/>
      <c r="RXY52" s="12"/>
      <c r="RXZ52" s="12"/>
      <c r="RYA52" s="12"/>
      <c r="RYB52" s="12"/>
      <c r="RYC52" s="12"/>
      <c r="RYD52" s="12"/>
      <c r="RYE52" s="12"/>
      <c r="RYF52" s="12"/>
      <c r="RYG52" s="12"/>
      <c r="RYH52" s="12"/>
      <c r="RYI52" s="12"/>
      <c r="RYJ52" s="12"/>
      <c r="RYK52" s="12"/>
      <c r="RYL52" s="12"/>
      <c r="RYM52" s="12"/>
      <c r="RYN52" s="12"/>
      <c r="RYO52" s="12"/>
      <c r="RYP52" s="12"/>
      <c r="RYQ52" s="12"/>
      <c r="RYR52" s="12"/>
      <c r="RYS52" s="12"/>
      <c r="RYT52" s="12"/>
      <c r="RYU52" s="12"/>
      <c r="RYV52" s="12"/>
      <c r="RYW52" s="12"/>
      <c r="RYX52" s="12"/>
      <c r="RYY52" s="12"/>
      <c r="RYZ52" s="12"/>
      <c r="RZA52" s="12"/>
      <c r="RZB52" s="12"/>
      <c r="RZC52" s="12"/>
      <c r="RZD52" s="12"/>
      <c r="RZE52" s="12"/>
      <c r="RZF52" s="12"/>
      <c r="RZG52" s="12"/>
      <c r="RZH52" s="12"/>
      <c r="RZI52" s="12"/>
      <c r="RZJ52" s="12"/>
      <c r="RZK52" s="12"/>
      <c r="RZL52" s="12"/>
      <c r="RZM52" s="12"/>
      <c r="RZN52" s="12"/>
      <c r="RZO52" s="12"/>
      <c r="RZP52" s="12"/>
      <c r="RZQ52" s="12"/>
      <c r="RZR52" s="12"/>
      <c r="RZS52" s="12"/>
      <c r="RZT52" s="12"/>
      <c r="RZU52" s="12"/>
      <c r="RZV52" s="12"/>
      <c r="RZW52" s="12"/>
      <c r="RZX52" s="12"/>
      <c r="RZY52" s="12"/>
      <c r="RZZ52" s="12"/>
      <c r="SAA52" s="12"/>
      <c r="SAB52" s="12"/>
      <c r="SAC52" s="12"/>
      <c r="SAD52" s="12"/>
      <c r="SAE52" s="12"/>
      <c r="SAF52" s="12"/>
      <c r="SAG52" s="12"/>
      <c r="SAH52" s="12"/>
      <c r="SAI52" s="12"/>
      <c r="SAJ52" s="12"/>
      <c r="SAK52" s="12"/>
      <c r="SAL52" s="12"/>
      <c r="SAM52" s="12"/>
      <c r="SAN52" s="12"/>
      <c r="SAO52" s="12"/>
      <c r="SAP52" s="12"/>
      <c r="SAQ52" s="12"/>
      <c r="SAR52" s="12"/>
      <c r="SAS52" s="12"/>
      <c r="SAT52" s="12"/>
      <c r="SAU52" s="12"/>
      <c r="SAV52" s="12"/>
      <c r="SAW52" s="12"/>
      <c r="SAX52" s="12"/>
      <c r="SAY52" s="12"/>
      <c r="SAZ52" s="12"/>
      <c r="SBA52" s="12"/>
      <c r="SBB52" s="12"/>
      <c r="SBC52" s="12"/>
      <c r="SBD52" s="12"/>
      <c r="SBE52" s="12"/>
      <c r="SBF52" s="12"/>
      <c r="SBG52" s="12"/>
      <c r="SBH52" s="12"/>
      <c r="SBI52" s="12"/>
      <c r="SBJ52" s="12"/>
      <c r="SBK52" s="12"/>
      <c r="SBL52" s="12"/>
      <c r="SBM52" s="12"/>
      <c r="SBN52" s="12"/>
      <c r="SBO52" s="12"/>
      <c r="SBP52" s="12"/>
      <c r="SBQ52" s="12"/>
      <c r="SBR52" s="12"/>
      <c r="SBS52" s="12"/>
      <c r="SBT52" s="12"/>
      <c r="SBU52" s="12"/>
      <c r="SBV52" s="12"/>
      <c r="SBW52" s="12"/>
      <c r="SBX52" s="12"/>
      <c r="SBY52" s="12"/>
      <c r="SBZ52" s="12"/>
      <c r="SCA52" s="12"/>
      <c r="SCB52" s="12"/>
      <c r="SCC52" s="12"/>
      <c r="SCD52" s="12"/>
      <c r="SCE52" s="12"/>
      <c r="SCF52" s="12"/>
      <c r="SCG52" s="12"/>
      <c r="SCH52" s="12"/>
      <c r="SCI52" s="12"/>
      <c r="SCJ52" s="12"/>
      <c r="SCK52" s="12"/>
      <c r="SCL52" s="12"/>
      <c r="SCM52" s="12"/>
      <c r="SCN52" s="12"/>
      <c r="SCO52" s="12"/>
      <c r="SCP52" s="12"/>
      <c r="SCQ52" s="12"/>
      <c r="SCR52" s="12"/>
      <c r="SCS52" s="12"/>
      <c r="SCT52" s="12"/>
      <c r="SCU52" s="12"/>
      <c r="SCV52" s="12"/>
      <c r="SCW52" s="12"/>
      <c r="SCX52" s="12"/>
      <c r="SCY52" s="12"/>
      <c r="SCZ52" s="12"/>
      <c r="SDA52" s="12"/>
      <c r="SDB52" s="12"/>
      <c r="SDC52" s="12"/>
      <c r="SDD52" s="12"/>
      <c r="SDE52" s="12"/>
      <c r="SDF52" s="12"/>
      <c r="SDG52" s="12"/>
      <c r="SDH52" s="12"/>
      <c r="SDI52" s="12"/>
      <c r="SDJ52" s="12"/>
      <c r="SDK52" s="12"/>
      <c r="SDL52" s="12"/>
      <c r="SDM52" s="12"/>
      <c r="SDN52" s="12"/>
      <c r="SDO52" s="12"/>
      <c r="SDP52" s="12"/>
      <c r="SDQ52" s="12"/>
      <c r="SDR52" s="12"/>
      <c r="SDS52" s="12"/>
      <c r="SDT52" s="12"/>
      <c r="SDU52" s="12"/>
      <c r="SDV52" s="12"/>
      <c r="SDW52" s="12"/>
      <c r="SDX52" s="12"/>
      <c r="SDY52" s="12"/>
      <c r="SDZ52" s="12"/>
      <c r="SEA52" s="12"/>
      <c r="SEB52" s="12"/>
      <c r="SEC52" s="12"/>
      <c r="SED52" s="12"/>
      <c r="SEE52" s="12"/>
      <c r="SEF52" s="12"/>
      <c r="SEG52" s="12"/>
      <c r="SEH52" s="12"/>
      <c r="SEI52" s="12"/>
      <c r="SEJ52" s="12"/>
      <c r="SEK52" s="12"/>
      <c r="SEL52" s="12"/>
      <c r="SEM52" s="12"/>
      <c r="SEN52" s="12"/>
      <c r="SEO52" s="12"/>
      <c r="SEP52" s="12"/>
      <c r="SEQ52" s="12"/>
      <c r="SER52" s="12"/>
      <c r="SES52" s="12"/>
      <c r="SET52" s="12"/>
      <c r="SEU52" s="12"/>
      <c r="SEV52" s="12"/>
      <c r="SEW52" s="12"/>
      <c r="SEX52" s="12"/>
      <c r="SEY52" s="12"/>
      <c r="SEZ52" s="12"/>
      <c r="SFA52" s="12"/>
      <c r="SFB52" s="12"/>
      <c r="SFC52" s="12"/>
      <c r="SFD52" s="12"/>
      <c r="SFE52" s="12"/>
      <c r="SFF52" s="12"/>
      <c r="SFG52" s="12"/>
      <c r="SFH52" s="12"/>
      <c r="SFI52" s="12"/>
      <c r="SFJ52" s="12"/>
      <c r="SFK52" s="12"/>
      <c r="SFL52" s="12"/>
      <c r="SFM52" s="12"/>
      <c r="SFN52" s="12"/>
      <c r="SFO52" s="12"/>
      <c r="SFP52" s="12"/>
      <c r="SFQ52" s="12"/>
      <c r="SFR52" s="12"/>
      <c r="SFS52" s="12"/>
      <c r="SFT52" s="12"/>
      <c r="SFU52" s="12"/>
      <c r="SFV52" s="12"/>
      <c r="SFW52" s="12"/>
      <c r="SFX52" s="12"/>
      <c r="SFY52" s="12"/>
      <c r="SFZ52" s="12"/>
      <c r="SGA52" s="12"/>
      <c r="SGB52" s="12"/>
      <c r="SGC52" s="12"/>
      <c r="SGD52" s="12"/>
      <c r="SGE52" s="12"/>
      <c r="SGF52" s="12"/>
      <c r="SGG52" s="12"/>
      <c r="SGH52" s="12"/>
      <c r="SGI52" s="12"/>
      <c r="SGJ52" s="12"/>
      <c r="SGK52" s="12"/>
      <c r="SGL52" s="12"/>
      <c r="SGM52" s="12"/>
      <c r="SGN52" s="12"/>
      <c r="SGO52" s="12"/>
      <c r="SGP52" s="12"/>
      <c r="SGQ52" s="12"/>
      <c r="SGR52" s="12"/>
      <c r="SGS52" s="12"/>
      <c r="SGT52" s="12"/>
      <c r="SGU52" s="12"/>
      <c r="SGV52" s="12"/>
      <c r="SGW52" s="12"/>
      <c r="SGX52" s="12"/>
      <c r="SGY52" s="12"/>
      <c r="SGZ52" s="12"/>
      <c r="SHA52" s="12"/>
      <c r="SHB52" s="12"/>
      <c r="SHC52" s="12"/>
      <c r="SHD52" s="12"/>
      <c r="SHE52" s="12"/>
      <c r="SHF52" s="12"/>
      <c r="SHG52" s="12"/>
      <c r="SHH52" s="12"/>
      <c r="SHI52" s="12"/>
      <c r="SHJ52" s="12"/>
      <c r="SHK52" s="12"/>
      <c r="SHL52" s="12"/>
      <c r="SHM52" s="12"/>
      <c r="SHN52" s="12"/>
      <c r="SHO52" s="12"/>
      <c r="SHP52" s="12"/>
      <c r="SHQ52" s="12"/>
      <c r="SHR52" s="12"/>
      <c r="SHS52" s="12"/>
      <c r="SHT52" s="12"/>
      <c r="SHU52" s="12"/>
      <c r="SHV52" s="12"/>
      <c r="SHW52" s="12"/>
      <c r="SHX52" s="12"/>
      <c r="SHY52" s="12"/>
      <c r="SHZ52" s="12"/>
      <c r="SIA52" s="12"/>
      <c r="SIB52" s="12"/>
      <c r="SIC52" s="12"/>
      <c r="SID52" s="12"/>
      <c r="SIE52" s="12"/>
      <c r="SIF52" s="12"/>
      <c r="SIG52" s="12"/>
      <c r="SIH52" s="12"/>
      <c r="SII52" s="12"/>
      <c r="SIJ52" s="12"/>
      <c r="SIK52" s="12"/>
      <c r="SIL52" s="12"/>
      <c r="SIM52" s="12"/>
      <c r="SIN52" s="12"/>
      <c r="SIO52" s="12"/>
      <c r="SIP52" s="12"/>
      <c r="SIQ52" s="12"/>
      <c r="SIR52" s="12"/>
      <c r="SIS52" s="12"/>
      <c r="SIT52" s="12"/>
      <c r="SIU52" s="12"/>
      <c r="SIV52" s="12"/>
      <c r="SIW52" s="12"/>
      <c r="SIX52" s="12"/>
      <c r="SIY52" s="12"/>
      <c r="SIZ52" s="12"/>
      <c r="SJA52" s="12"/>
      <c r="SJB52" s="12"/>
      <c r="SJC52" s="12"/>
      <c r="SJD52" s="12"/>
      <c r="SJE52" s="12"/>
      <c r="SJF52" s="12"/>
      <c r="SJG52" s="12"/>
      <c r="SJH52" s="12"/>
      <c r="SJI52" s="12"/>
      <c r="SJJ52" s="12"/>
      <c r="SJK52" s="12"/>
      <c r="SJL52" s="12"/>
      <c r="SJM52" s="12"/>
      <c r="SJN52" s="12"/>
      <c r="SJO52" s="12"/>
      <c r="SJP52" s="12"/>
      <c r="SJQ52" s="12"/>
      <c r="SJR52" s="12"/>
      <c r="SJS52" s="12"/>
      <c r="SJT52" s="12"/>
      <c r="SJU52" s="12"/>
      <c r="SJV52" s="12"/>
      <c r="SJW52" s="12"/>
      <c r="SJX52" s="12"/>
      <c r="SJY52" s="12"/>
      <c r="SJZ52" s="12"/>
      <c r="SKA52" s="12"/>
      <c r="SKB52" s="12"/>
      <c r="SKC52" s="12"/>
      <c r="SKD52" s="12"/>
      <c r="SKE52" s="12"/>
      <c r="SKF52" s="12"/>
      <c r="SKG52" s="12"/>
      <c r="SKH52" s="12"/>
      <c r="SKI52" s="12"/>
      <c r="SKJ52" s="12"/>
      <c r="SKK52" s="12"/>
      <c r="SKL52" s="12"/>
      <c r="SKM52" s="12"/>
      <c r="SKN52" s="12"/>
      <c r="SKO52" s="12"/>
      <c r="SKP52" s="12"/>
      <c r="SKQ52" s="12"/>
      <c r="SKR52" s="12"/>
      <c r="SKS52" s="12"/>
      <c r="SKT52" s="12"/>
      <c r="SKU52" s="12"/>
      <c r="SKV52" s="12"/>
      <c r="SKW52" s="12"/>
      <c r="SKX52" s="12"/>
      <c r="SKY52" s="12"/>
      <c r="SKZ52" s="12"/>
      <c r="SLA52" s="12"/>
      <c r="SLB52" s="12"/>
      <c r="SLC52" s="12"/>
      <c r="SLD52" s="12"/>
      <c r="SLE52" s="12"/>
      <c r="SLF52" s="12"/>
      <c r="SLG52" s="12"/>
      <c r="SLH52" s="12"/>
      <c r="SLI52" s="12"/>
      <c r="SLJ52" s="12"/>
      <c r="SLK52" s="12"/>
      <c r="SLL52" s="12"/>
      <c r="SLM52" s="12"/>
      <c r="SLN52" s="12"/>
      <c r="SLO52" s="12"/>
      <c r="SLP52" s="12"/>
      <c r="SLQ52" s="12"/>
      <c r="SLR52" s="12"/>
      <c r="SLS52" s="12"/>
      <c r="SLT52" s="12"/>
      <c r="SLU52" s="12"/>
      <c r="SLV52" s="12"/>
      <c r="SLW52" s="12"/>
      <c r="SLX52" s="12"/>
      <c r="SLY52" s="12"/>
      <c r="SLZ52" s="12"/>
      <c r="SMA52" s="12"/>
      <c r="SMB52" s="12"/>
      <c r="SMC52" s="12"/>
      <c r="SMD52" s="12"/>
      <c r="SME52" s="12"/>
      <c r="SMF52" s="12"/>
      <c r="SMG52" s="12"/>
      <c r="SMH52" s="12"/>
      <c r="SMI52" s="12"/>
      <c r="SMJ52" s="12"/>
      <c r="SMK52" s="12"/>
      <c r="SML52" s="12"/>
      <c r="SMM52" s="12"/>
      <c r="SMN52" s="12"/>
      <c r="SMO52" s="12"/>
      <c r="SMP52" s="12"/>
      <c r="SMQ52" s="12"/>
      <c r="SMR52" s="12"/>
      <c r="SMS52" s="12"/>
      <c r="SMT52" s="12"/>
      <c r="SMU52" s="12"/>
      <c r="SMV52" s="12"/>
      <c r="SMW52" s="12"/>
      <c r="SMX52" s="12"/>
      <c r="SMY52" s="12"/>
      <c r="SMZ52" s="12"/>
      <c r="SNA52" s="12"/>
      <c r="SNB52" s="12"/>
      <c r="SNC52" s="12"/>
      <c r="SND52" s="12"/>
      <c r="SNE52" s="12"/>
      <c r="SNF52" s="12"/>
      <c r="SNG52" s="12"/>
      <c r="SNH52" s="12"/>
      <c r="SNI52" s="12"/>
      <c r="SNJ52" s="12"/>
      <c r="SNK52" s="12"/>
      <c r="SNL52" s="12"/>
      <c r="SNM52" s="12"/>
      <c r="SNN52" s="12"/>
      <c r="SNO52" s="12"/>
      <c r="SNP52" s="12"/>
      <c r="SNQ52" s="12"/>
      <c r="SNR52" s="12"/>
      <c r="SNS52" s="12"/>
      <c r="SNT52" s="12"/>
      <c r="SNU52" s="12"/>
      <c r="SNV52" s="12"/>
      <c r="SNW52" s="12"/>
      <c r="SNX52" s="12"/>
      <c r="SNY52" s="12"/>
      <c r="SNZ52" s="12"/>
      <c r="SOA52" s="12"/>
      <c r="SOB52" s="12"/>
      <c r="SOC52" s="12"/>
      <c r="SOD52" s="12"/>
      <c r="SOE52" s="12"/>
      <c r="SOF52" s="12"/>
      <c r="SOG52" s="12"/>
      <c r="SOH52" s="12"/>
      <c r="SOI52" s="12"/>
      <c r="SOJ52" s="12"/>
      <c r="SOK52" s="12"/>
      <c r="SOL52" s="12"/>
      <c r="SOM52" s="12"/>
      <c r="SON52" s="12"/>
      <c r="SOO52" s="12"/>
      <c r="SOP52" s="12"/>
      <c r="SOQ52" s="12"/>
      <c r="SOR52" s="12"/>
      <c r="SOS52" s="12"/>
      <c r="SOT52" s="12"/>
      <c r="SOU52" s="12"/>
      <c r="SOV52" s="12"/>
      <c r="SOW52" s="12"/>
      <c r="SOX52" s="12"/>
      <c r="SOY52" s="12"/>
      <c r="SOZ52" s="12"/>
      <c r="SPA52" s="12"/>
      <c r="SPB52" s="12"/>
      <c r="SPC52" s="12"/>
      <c r="SPD52" s="12"/>
      <c r="SPE52" s="12"/>
      <c r="SPF52" s="12"/>
      <c r="SPG52" s="12"/>
      <c r="SPH52" s="12"/>
      <c r="SPI52" s="12"/>
      <c r="SPJ52" s="12"/>
      <c r="SPK52" s="12"/>
      <c r="SPL52" s="12"/>
      <c r="SPM52" s="12"/>
      <c r="SPN52" s="12"/>
      <c r="SPO52" s="12"/>
      <c r="SPP52" s="12"/>
      <c r="SPQ52" s="12"/>
      <c r="SPR52" s="12"/>
      <c r="SPS52" s="12"/>
      <c r="SPT52" s="12"/>
      <c r="SPU52" s="12"/>
      <c r="SPV52" s="12"/>
      <c r="SPW52" s="12"/>
      <c r="SPX52" s="12"/>
      <c r="SPY52" s="12"/>
      <c r="SPZ52" s="12"/>
      <c r="SQA52" s="12"/>
      <c r="SQB52" s="12"/>
      <c r="SQC52" s="12"/>
      <c r="SQD52" s="12"/>
      <c r="SQE52" s="12"/>
      <c r="SQF52" s="12"/>
      <c r="SQG52" s="12"/>
      <c r="SQH52" s="12"/>
      <c r="SQI52" s="12"/>
      <c r="SQJ52" s="12"/>
      <c r="SQK52" s="12"/>
      <c r="SQL52" s="12"/>
      <c r="SQM52" s="12"/>
      <c r="SQN52" s="12"/>
      <c r="SQO52" s="12"/>
      <c r="SQP52" s="12"/>
      <c r="SQQ52" s="12"/>
      <c r="SQR52" s="12"/>
      <c r="SQS52" s="12"/>
      <c r="SQT52" s="12"/>
      <c r="SQU52" s="12"/>
      <c r="SQV52" s="12"/>
      <c r="SQW52" s="12"/>
      <c r="SQX52" s="12"/>
      <c r="SQY52" s="12"/>
      <c r="SQZ52" s="12"/>
      <c r="SRA52" s="12"/>
      <c r="SRB52" s="12"/>
      <c r="SRC52" s="12"/>
      <c r="SRD52" s="12"/>
      <c r="SRE52" s="12"/>
      <c r="SRF52" s="12"/>
      <c r="SRG52" s="12"/>
      <c r="SRH52" s="12"/>
      <c r="SRI52" s="12"/>
      <c r="SRJ52" s="12"/>
      <c r="SRK52" s="12"/>
      <c r="SRL52" s="12"/>
      <c r="SRM52" s="12"/>
      <c r="SRN52" s="12"/>
      <c r="SRO52" s="12"/>
      <c r="SRP52" s="12"/>
      <c r="SRQ52" s="12"/>
      <c r="SRR52" s="12"/>
      <c r="SRS52" s="12"/>
      <c r="SRT52" s="12"/>
      <c r="SRU52" s="12"/>
      <c r="SRV52" s="12"/>
      <c r="SRW52" s="12"/>
      <c r="SRX52" s="12"/>
      <c r="SRY52" s="12"/>
      <c r="SRZ52" s="12"/>
      <c r="SSA52" s="12"/>
      <c r="SSB52" s="12"/>
      <c r="SSC52" s="12"/>
      <c r="SSD52" s="12"/>
      <c r="SSE52" s="12"/>
      <c r="SSF52" s="12"/>
      <c r="SSG52" s="12"/>
      <c r="SSH52" s="12"/>
      <c r="SSI52" s="12"/>
      <c r="SSJ52" s="12"/>
      <c r="SSK52" s="12"/>
      <c r="SSL52" s="12"/>
      <c r="SSM52" s="12"/>
      <c r="SSN52" s="12"/>
      <c r="SSO52" s="12"/>
      <c r="SSP52" s="12"/>
      <c r="SSQ52" s="12"/>
      <c r="SSR52" s="12"/>
      <c r="SSS52" s="12"/>
      <c r="SST52" s="12"/>
      <c r="SSU52" s="12"/>
      <c r="SSV52" s="12"/>
      <c r="SSW52" s="12"/>
      <c r="SSX52" s="12"/>
      <c r="SSY52" s="12"/>
      <c r="SSZ52" s="12"/>
      <c r="STA52" s="12"/>
      <c r="STB52" s="12"/>
      <c r="STC52" s="12"/>
      <c r="STD52" s="12"/>
      <c r="STE52" s="12"/>
      <c r="STF52" s="12"/>
      <c r="STG52" s="12"/>
      <c r="STH52" s="12"/>
      <c r="STI52" s="12"/>
      <c r="STJ52" s="12"/>
      <c r="STK52" s="12"/>
      <c r="STL52" s="12"/>
      <c r="STM52" s="12"/>
      <c r="STN52" s="12"/>
      <c r="STO52" s="12"/>
      <c r="STP52" s="12"/>
      <c r="STQ52" s="12"/>
      <c r="STR52" s="12"/>
      <c r="STS52" s="12"/>
      <c r="STT52" s="12"/>
      <c r="STU52" s="12"/>
      <c r="STV52" s="12"/>
      <c r="STW52" s="12"/>
      <c r="STX52" s="12"/>
      <c r="STY52" s="12"/>
      <c r="STZ52" s="12"/>
      <c r="SUA52" s="12"/>
      <c r="SUB52" s="12"/>
      <c r="SUC52" s="12"/>
      <c r="SUD52" s="12"/>
      <c r="SUE52" s="12"/>
      <c r="SUF52" s="12"/>
      <c r="SUG52" s="12"/>
      <c r="SUH52" s="12"/>
      <c r="SUI52" s="12"/>
      <c r="SUJ52" s="12"/>
      <c r="SUK52" s="12"/>
      <c r="SUL52" s="12"/>
      <c r="SUM52" s="12"/>
      <c r="SUN52" s="12"/>
      <c r="SUO52" s="12"/>
      <c r="SUP52" s="12"/>
      <c r="SUQ52" s="12"/>
      <c r="SUR52" s="12"/>
      <c r="SUS52" s="12"/>
      <c r="SUT52" s="12"/>
      <c r="SUU52" s="12"/>
      <c r="SUV52" s="12"/>
      <c r="SUW52" s="12"/>
      <c r="SUX52" s="12"/>
      <c r="SUY52" s="12"/>
      <c r="SUZ52" s="12"/>
      <c r="SVA52" s="12"/>
      <c r="SVB52" s="12"/>
      <c r="SVC52" s="12"/>
      <c r="SVD52" s="12"/>
      <c r="SVE52" s="12"/>
      <c r="SVF52" s="12"/>
      <c r="SVG52" s="12"/>
      <c r="SVH52" s="12"/>
      <c r="SVI52" s="12"/>
      <c r="SVJ52" s="12"/>
      <c r="SVK52" s="12"/>
      <c r="SVL52" s="12"/>
      <c r="SVM52" s="12"/>
      <c r="SVN52" s="12"/>
      <c r="SVO52" s="12"/>
      <c r="SVP52" s="12"/>
      <c r="SVQ52" s="12"/>
      <c r="SVR52" s="12"/>
      <c r="SVS52" s="12"/>
      <c r="SVT52" s="12"/>
      <c r="SVU52" s="12"/>
      <c r="SVV52" s="12"/>
      <c r="SVW52" s="12"/>
      <c r="SVX52" s="12"/>
      <c r="SVY52" s="12"/>
      <c r="SVZ52" s="12"/>
      <c r="SWA52" s="12"/>
      <c r="SWB52" s="12"/>
      <c r="SWC52" s="12"/>
      <c r="SWD52" s="12"/>
      <c r="SWE52" s="12"/>
      <c r="SWF52" s="12"/>
      <c r="SWG52" s="12"/>
      <c r="SWH52" s="12"/>
      <c r="SWI52" s="12"/>
      <c r="SWJ52" s="12"/>
      <c r="SWK52" s="12"/>
      <c r="SWL52" s="12"/>
      <c r="SWM52" s="12"/>
      <c r="SWN52" s="12"/>
      <c r="SWO52" s="12"/>
      <c r="SWP52" s="12"/>
      <c r="SWQ52" s="12"/>
      <c r="SWR52" s="12"/>
      <c r="SWS52" s="12"/>
      <c r="SWT52" s="12"/>
      <c r="SWU52" s="12"/>
      <c r="SWV52" s="12"/>
      <c r="SWW52" s="12"/>
      <c r="SWX52" s="12"/>
      <c r="SWY52" s="12"/>
      <c r="SWZ52" s="12"/>
      <c r="SXA52" s="12"/>
      <c r="SXB52" s="12"/>
      <c r="SXC52" s="12"/>
      <c r="SXD52" s="12"/>
      <c r="SXE52" s="12"/>
      <c r="SXF52" s="12"/>
      <c r="SXG52" s="12"/>
      <c r="SXH52" s="12"/>
      <c r="SXI52" s="12"/>
      <c r="SXJ52" s="12"/>
      <c r="SXK52" s="12"/>
      <c r="SXL52" s="12"/>
      <c r="SXM52" s="12"/>
      <c r="SXN52" s="12"/>
      <c r="SXO52" s="12"/>
      <c r="SXP52" s="12"/>
      <c r="SXQ52" s="12"/>
      <c r="SXR52" s="12"/>
      <c r="SXS52" s="12"/>
      <c r="SXT52" s="12"/>
      <c r="SXU52" s="12"/>
      <c r="SXV52" s="12"/>
      <c r="SXW52" s="12"/>
      <c r="SXX52" s="12"/>
      <c r="SXY52" s="12"/>
      <c r="SXZ52" s="12"/>
      <c r="SYA52" s="12"/>
      <c r="SYB52" s="12"/>
      <c r="SYC52" s="12"/>
      <c r="SYD52" s="12"/>
      <c r="SYE52" s="12"/>
      <c r="SYF52" s="12"/>
      <c r="SYG52" s="12"/>
      <c r="SYH52" s="12"/>
      <c r="SYI52" s="12"/>
      <c r="SYJ52" s="12"/>
      <c r="SYK52" s="12"/>
      <c r="SYL52" s="12"/>
      <c r="SYM52" s="12"/>
      <c r="SYN52" s="12"/>
      <c r="SYO52" s="12"/>
      <c r="SYP52" s="12"/>
      <c r="SYQ52" s="12"/>
      <c r="SYR52" s="12"/>
      <c r="SYS52" s="12"/>
      <c r="SYT52" s="12"/>
      <c r="SYU52" s="12"/>
      <c r="SYV52" s="12"/>
      <c r="SYW52" s="12"/>
      <c r="SYX52" s="12"/>
      <c r="SYY52" s="12"/>
      <c r="SYZ52" s="12"/>
      <c r="SZA52" s="12"/>
      <c r="SZB52" s="12"/>
      <c r="SZC52" s="12"/>
      <c r="SZD52" s="12"/>
      <c r="SZE52" s="12"/>
      <c r="SZF52" s="12"/>
      <c r="SZG52" s="12"/>
      <c r="SZH52" s="12"/>
      <c r="SZI52" s="12"/>
      <c r="SZJ52" s="12"/>
      <c r="SZK52" s="12"/>
      <c r="SZL52" s="12"/>
      <c r="SZM52" s="12"/>
      <c r="SZN52" s="12"/>
      <c r="SZO52" s="12"/>
      <c r="SZP52" s="12"/>
      <c r="SZQ52" s="12"/>
      <c r="SZR52" s="12"/>
      <c r="SZS52" s="12"/>
      <c r="SZT52" s="12"/>
      <c r="SZU52" s="12"/>
      <c r="SZV52" s="12"/>
      <c r="SZW52" s="12"/>
      <c r="SZX52" s="12"/>
      <c r="SZY52" s="12"/>
      <c r="SZZ52" s="12"/>
      <c r="TAA52" s="12"/>
      <c r="TAB52" s="12"/>
      <c r="TAC52" s="12"/>
      <c r="TAD52" s="12"/>
      <c r="TAE52" s="12"/>
      <c r="TAF52" s="12"/>
      <c r="TAG52" s="12"/>
      <c r="TAH52" s="12"/>
      <c r="TAI52" s="12"/>
      <c r="TAJ52" s="12"/>
      <c r="TAK52" s="12"/>
      <c r="TAL52" s="12"/>
      <c r="TAM52" s="12"/>
      <c r="TAN52" s="12"/>
      <c r="TAO52" s="12"/>
      <c r="TAP52" s="12"/>
      <c r="TAQ52" s="12"/>
      <c r="TAR52" s="12"/>
      <c r="TAS52" s="12"/>
      <c r="TAT52" s="12"/>
      <c r="TAU52" s="12"/>
      <c r="TAV52" s="12"/>
      <c r="TAW52" s="12"/>
      <c r="TAX52" s="12"/>
      <c r="TAY52" s="12"/>
      <c r="TAZ52" s="12"/>
      <c r="TBA52" s="12"/>
      <c r="TBB52" s="12"/>
      <c r="TBC52" s="12"/>
      <c r="TBD52" s="12"/>
      <c r="TBE52" s="12"/>
      <c r="TBF52" s="12"/>
      <c r="TBG52" s="12"/>
      <c r="TBH52" s="12"/>
      <c r="TBI52" s="12"/>
      <c r="TBJ52" s="12"/>
      <c r="TBK52" s="12"/>
      <c r="TBL52" s="12"/>
      <c r="TBM52" s="12"/>
      <c r="TBN52" s="12"/>
      <c r="TBO52" s="12"/>
      <c r="TBP52" s="12"/>
      <c r="TBQ52" s="12"/>
      <c r="TBR52" s="12"/>
      <c r="TBS52" s="12"/>
      <c r="TBT52" s="12"/>
      <c r="TBU52" s="12"/>
      <c r="TBV52" s="12"/>
      <c r="TBW52" s="12"/>
      <c r="TBX52" s="12"/>
      <c r="TBY52" s="12"/>
      <c r="TBZ52" s="12"/>
      <c r="TCA52" s="12"/>
      <c r="TCB52" s="12"/>
      <c r="TCC52" s="12"/>
      <c r="TCD52" s="12"/>
      <c r="TCE52" s="12"/>
      <c r="TCF52" s="12"/>
      <c r="TCG52" s="12"/>
      <c r="TCH52" s="12"/>
      <c r="TCI52" s="12"/>
      <c r="TCJ52" s="12"/>
      <c r="TCK52" s="12"/>
      <c r="TCL52" s="12"/>
      <c r="TCM52" s="12"/>
      <c r="TCN52" s="12"/>
      <c r="TCO52" s="12"/>
      <c r="TCP52" s="12"/>
      <c r="TCQ52" s="12"/>
      <c r="TCR52" s="12"/>
      <c r="TCS52" s="12"/>
      <c r="TCT52" s="12"/>
      <c r="TCU52" s="12"/>
      <c r="TCV52" s="12"/>
      <c r="TCW52" s="12"/>
      <c r="TCX52" s="12"/>
      <c r="TCY52" s="12"/>
      <c r="TCZ52" s="12"/>
      <c r="TDA52" s="12"/>
      <c r="TDB52" s="12"/>
      <c r="TDC52" s="12"/>
      <c r="TDD52" s="12"/>
      <c r="TDE52" s="12"/>
      <c r="TDF52" s="12"/>
      <c r="TDG52" s="12"/>
      <c r="TDH52" s="12"/>
      <c r="TDI52" s="12"/>
      <c r="TDJ52" s="12"/>
      <c r="TDK52" s="12"/>
      <c r="TDL52" s="12"/>
      <c r="TDM52" s="12"/>
      <c r="TDN52" s="12"/>
      <c r="TDO52" s="12"/>
      <c r="TDP52" s="12"/>
      <c r="TDQ52" s="12"/>
      <c r="TDR52" s="12"/>
      <c r="TDS52" s="12"/>
      <c r="TDT52" s="12"/>
      <c r="TDU52" s="12"/>
      <c r="TDV52" s="12"/>
      <c r="TDW52" s="12"/>
      <c r="TDX52" s="12"/>
      <c r="TDY52" s="12"/>
      <c r="TDZ52" s="12"/>
      <c r="TEA52" s="12"/>
      <c r="TEB52" s="12"/>
      <c r="TEC52" s="12"/>
      <c r="TED52" s="12"/>
      <c r="TEE52" s="12"/>
      <c r="TEF52" s="12"/>
      <c r="TEG52" s="12"/>
      <c r="TEH52" s="12"/>
      <c r="TEI52" s="12"/>
      <c r="TEJ52" s="12"/>
      <c r="TEK52" s="12"/>
      <c r="TEL52" s="12"/>
      <c r="TEM52" s="12"/>
      <c r="TEN52" s="12"/>
      <c r="TEO52" s="12"/>
      <c r="TEP52" s="12"/>
      <c r="TEQ52" s="12"/>
      <c r="TER52" s="12"/>
      <c r="TES52" s="12"/>
      <c r="TET52" s="12"/>
      <c r="TEU52" s="12"/>
      <c r="TEV52" s="12"/>
      <c r="TEW52" s="12"/>
      <c r="TEX52" s="12"/>
      <c r="TEY52" s="12"/>
      <c r="TEZ52" s="12"/>
      <c r="TFA52" s="12"/>
      <c r="TFB52" s="12"/>
      <c r="TFC52" s="12"/>
      <c r="TFD52" s="12"/>
      <c r="TFE52" s="12"/>
      <c r="TFF52" s="12"/>
      <c r="TFG52" s="12"/>
      <c r="TFH52" s="12"/>
      <c r="TFI52" s="12"/>
      <c r="TFJ52" s="12"/>
      <c r="TFK52" s="12"/>
      <c r="TFL52" s="12"/>
      <c r="TFM52" s="12"/>
      <c r="TFN52" s="12"/>
      <c r="TFO52" s="12"/>
      <c r="TFP52" s="12"/>
      <c r="TFQ52" s="12"/>
      <c r="TFR52" s="12"/>
      <c r="TFS52" s="12"/>
      <c r="TFT52" s="12"/>
      <c r="TFU52" s="12"/>
      <c r="TFV52" s="12"/>
      <c r="TFW52" s="12"/>
      <c r="TFX52" s="12"/>
      <c r="TFY52" s="12"/>
      <c r="TFZ52" s="12"/>
      <c r="TGA52" s="12"/>
      <c r="TGB52" s="12"/>
      <c r="TGC52" s="12"/>
      <c r="TGD52" s="12"/>
      <c r="TGE52" s="12"/>
      <c r="TGF52" s="12"/>
      <c r="TGG52" s="12"/>
      <c r="TGH52" s="12"/>
      <c r="TGI52" s="12"/>
      <c r="TGJ52" s="12"/>
      <c r="TGK52" s="12"/>
      <c r="TGL52" s="12"/>
      <c r="TGM52" s="12"/>
      <c r="TGN52" s="12"/>
      <c r="TGO52" s="12"/>
      <c r="TGP52" s="12"/>
      <c r="TGQ52" s="12"/>
      <c r="TGR52" s="12"/>
      <c r="TGS52" s="12"/>
      <c r="TGT52" s="12"/>
      <c r="TGU52" s="12"/>
      <c r="TGV52" s="12"/>
      <c r="TGW52" s="12"/>
      <c r="TGX52" s="12"/>
      <c r="TGY52" s="12"/>
      <c r="TGZ52" s="12"/>
      <c r="THA52" s="12"/>
      <c r="THB52" s="12"/>
      <c r="THC52" s="12"/>
      <c r="THD52" s="12"/>
      <c r="THE52" s="12"/>
      <c r="THF52" s="12"/>
      <c r="THG52" s="12"/>
      <c r="THH52" s="12"/>
      <c r="THI52" s="12"/>
      <c r="THJ52" s="12"/>
      <c r="THK52" s="12"/>
      <c r="THL52" s="12"/>
      <c r="THM52" s="12"/>
      <c r="THN52" s="12"/>
      <c r="THO52" s="12"/>
      <c r="THP52" s="12"/>
      <c r="THQ52" s="12"/>
      <c r="THR52" s="12"/>
      <c r="THS52" s="12"/>
      <c r="THT52" s="12"/>
      <c r="THU52" s="12"/>
      <c r="THV52" s="12"/>
      <c r="THW52" s="12"/>
      <c r="THX52" s="12"/>
      <c r="THY52" s="12"/>
      <c r="THZ52" s="12"/>
      <c r="TIA52" s="12"/>
      <c r="TIB52" s="12"/>
      <c r="TIC52" s="12"/>
      <c r="TID52" s="12"/>
      <c r="TIE52" s="12"/>
      <c r="TIF52" s="12"/>
      <c r="TIG52" s="12"/>
      <c r="TIH52" s="12"/>
      <c r="TII52" s="12"/>
      <c r="TIJ52" s="12"/>
      <c r="TIK52" s="12"/>
      <c r="TIL52" s="12"/>
      <c r="TIM52" s="12"/>
      <c r="TIN52" s="12"/>
      <c r="TIO52" s="12"/>
      <c r="TIP52" s="12"/>
      <c r="TIQ52" s="12"/>
      <c r="TIR52" s="12"/>
      <c r="TIS52" s="12"/>
      <c r="TIT52" s="12"/>
      <c r="TIU52" s="12"/>
      <c r="TIV52" s="12"/>
      <c r="TIW52" s="12"/>
      <c r="TIX52" s="12"/>
      <c r="TIY52" s="12"/>
      <c r="TIZ52" s="12"/>
      <c r="TJA52" s="12"/>
      <c r="TJB52" s="12"/>
      <c r="TJC52" s="12"/>
      <c r="TJD52" s="12"/>
      <c r="TJE52" s="12"/>
      <c r="TJF52" s="12"/>
      <c r="TJG52" s="12"/>
      <c r="TJH52" s="12"/>
      <c r="TJI52" s="12"/>
      <c r="TJJ52" s="12"/>
      <c r="TJK52" s="12"/>
      <c r="TJL52" s="12"/>
      <c r="TJM52" s="12"/>
      <c r="TJN52" s="12"/>
      <c r="TJO52" s="12"/>
      <c r="TJP52" s="12"/>
      <c r="TJQ52" s="12"/>
      <c r="TJR52" s="12"/>
      <c r="TJS52" s="12"/>
      <c r="TJT52" s="12"/>
      <c r="TJU52" s="12"/>
      <c r="TJV52" s="12"/>
      <c r="TJW52" s="12"/>
      <c r="TJX52" s="12"/>
      <c r="TJY52" s="12"/>
      <c r="TJZ52" s="12"/>
      <c r="TKA52" s="12"/>
      <c r="TKB52" s="12"/>
      <c r="TKC52" s="12"/>
      <c r="TKD52" s="12"/>
      <c r="TKE52" s="12"/>
      <c r="TKF52" s="12"/>
      <c r="TKG52" s="12"/>
      <c r="TKH52" s="12"/>
      <c r="TKI52" s="12"/>
      <c r="TKJ52" s="12"/>
      <c r="TKK52" s="12"/>
      <c r="TKL52" s="12"/>
      <c r="TKM52" s="12"/>
      <c r="TKN52" s="12"/>
      <c r="TKO52" s="12"/>
      <c r="TKP52" s="12"/>
      <c r="TKQ52" s="12"/>
      <c r="TKR52" s="12"/>
      <c r="TKS52" s="12"/>
      <c r="TKT52" s="12"/>
      <c r="TKU52" s="12"/>
      <c r="TKV52" s="12"/>
      <c r="TKW52" s="12"/>
      <c r="TKX52" s="12"/>
      <c r="TKY52" s="12"/>
      <c r="TKZ52" s="12"/>
      <c r="TLA52" s="12"/>
      <c r="TLB52" s="12"/>
      <c r="TLC52" s="12"/>
      <c r="TLD52" s="12"/>
      <c r="TLE52" s="12"/>
      <c r="TLF52" s="12"/>
      <c r="TLG52" s="12"/>
      <c r="TLH52" s="12"/>
      <c r="TLI52" s="12"/>
      <c r="TLJ52" s="12"/>
      <c r="TLK52" s="12"/>
      <c r="TLL52" s="12"/>
      <c r="TLM52" s="12"/>
      <c r="TLN52" s="12"/>
      <c r="TLO52" s="12"/>
      <c r="TLP52" s="12"/>
      <c r="TLQ52" s="12"/>
      <c r="TLR52" s="12"/>
      <c r="TLS52" s="12"/>
      <c r="TLT52" s="12"/>
      <c r="TLU52" s="12"/>
      <c r="TLV52" s="12"/>
      <c r="TLW52" s="12"/>
      <c r="TLX52" s="12"/>
      <c r="TLY52" s="12"/>
      <c r="TLZ52" s="12"/>
      <c r="TMA52" s="12"/>
      <c r="TMB52" s="12"/>
      <c r="TMC52" s="12"/>
      <c r="TMD52" s="12"/>
      <c r="TME52" s="12"/>
      <c r="TMF52" s="12"/>
      <c r="TMG52" s="12"/>
      <c r="TMH52" s="12"/>
      <c r="TMI52" s="12"/>
      <c r="TMJ52" s="12"/>
      <c r="TMK52" s="12"/>
      <c r="TML52" s="12"/>
      <c r="TMM52" s="12"/>
      <c r="TMN52" s="12"/>
      <c r="TMO52" s="12"/>
      <c r="TMP52" s="12"/>
      <c r="TMQ52" s="12"/>
      <c r="TMR52" s="12"/>
      <c r="TMS52" s="12"/>
      <c r="TMT52" s="12"/>
      <c r="TMU52" s="12"/>
      <c r="TMV52" s="12"/>
      <c r="TMW52" s="12"/>
      <c r="TMX52" s="12"/>
      <c r="TMY52" s="12"/>
      <c r="TMZ52" s="12"/>
      <c r="TNA52" s="12"/>
      <c r="TNB52" s="12"/>
      <c r="TNC52" s="12"/>
      <c r="TND52" s="12"/>
      <c r="TNE52" s="12"/>
      <c r="TNF52" s="12"/>
      <c r="TNG52" s="12"/>
      <c r="TNH52" s="12"/>
      <c r="TNI52" s="12"/>
      <c r="TNJ52" s="12"/>
      <c r="TNK52" s="12"/>
      <c r="TNL52" s="12"/>
      <c r="TNM52" s="12"/>
      <c r="TNN52" s="12"/>
      <c r="TNO52" s="12"/>
      <c r="TNP52" s="12"/>
      <c r="TNQ52" s="12"/>
      <c r="TNR52" s="12"/>
      <c r="TNS52" s="12"/>
      <c r="TNT52" s="12"/>
      <c r="TNU52" s="12"/>
      <c r="TNV52" s="12"/>
      <c r="TNW52" s="12"/>
      <c r="TNX52" s="12"/>
      <c r="TNY52" s="12"/>
      <c r="TNZ52" s="12"/>
      <c r="TOA52" s="12"/>
      <c r="TOB52" s="12"/>
      <c r="TOC52" s="12"/>
      <c r="TOD52" s="12"/>
      <c r="TOE52" s="12"/>
      <c r="TOF52" s="12"/>
      <c r="TOG52" s="12"/>
      <c r="TOH52" s="12"/>
      <c r="TOI52" s="12"/>
      <c r="TOJ52" s="12"/>
      <c r="TOK52" s="12"/>
      <c r="TOL52" s="12"/>
      <c r="TOM52" s="12"/>
      <c r="TON52" s="12"/>
      <c r="TOO52" s="12"/>
      <c r="TOP52" s="12"/>
      <c r="TOQ52" s="12"/>
      <c r="TOR52" s="12"/>
      <c r="TOS52" s="12"/>
      <c r="TOT52" s="12"/>
      <c r="TOU52" s="12"/>
      <c r="TOV52" s="12"/>
      <c r="TOW52" s="12"/>
      <c r="TOX52" s="12"/>
      <c r="TOY52" s="12"/>
      <c r="TOZ52" s="12"/>
      <c r="TPA52" s="12"/>
      <c r="TPB52" s="12"/>
      <c r="TPC52" s="12"/>
      <c r="TPD52" s="12"/>
      <c r="TPE52" s="12"/>
      <c r="TPF52" s="12"/>
      <c r="TPG52" s="12"/>
      <c r="TPH52" s="12"/>
      <c r="TPI52" s="12"/>
      <c r="TPJ52" s="12"/>
      <c r="TPK52" s="12"/>
      <c r="TPL52" s="12"/>
      <c r="TPM52" s="12"/>
      <c r="TPN52" s="12"/>
      <c r="TPO52" s="12"/>
      <c r="TPP52" s="12"/>
      <c r="TPQ52" s="12"/>
      <c r="TPR52" s="12"/>
      <c r="TPS52" s="12"/>
      <c r="TPT52" s="12"/>
      <c r="TPU52" s="12"/>
      <c r="TPV52" s="12"/>
      <c r="TPW52" s="12"/>
      <c r="TPX52" s="12"/>
      <c r="TPY52" s="12"/>
      <c r="TPZ52" s="12"/>
      <c r="TQA52" s="12"/>
      <c r="TQB52" s="12"/>
      <c r="TQC52" s="12"/>
      <c r="TQD52" s="12"/>
      <c r="TQE52" s="12"/>
      <c r="TQF52" s="12"/>
      <c r="TQG52" s="12"/>
      <c r="TQH52" s="12"/>
      <c r="TQI52" s="12"/>
      <c r="TQJ52" s="12"/>
      <c r="TQK52" s="12"/>
      <c r="TQL52" s="12"/>
      <c r="TQM52" s="12"/>
      <c r="TQN52" s="12"/>
      <c r="TQO52" s="12"/>
      <c r="TQP52" s="12"/>
      <c r="TQQ52" s="12"/>
      <c r="TQR52" s="12"/>
      <c r="TQS52" s="12"/>
      <c r="TQT52" s="12"/>
      <c r="TQU52" s="12"/>
      <c r="TQV52" s="12"/>
      <c r="TQW52" s="12"/>
      <c r="TQX52" s="12"/>
      <c r="TQY52" s="12"/>
      <c r="TQZ52" s="12"/>
      <c r="TRA52" s="12"/>
      <c r="TRB52" s="12"/>
      <c r="TRC52" s="12"/>
      <c r="TRD52" s="12"/>
      <c r="TRE52" s="12"/>
      <c r="TRF52" s="12"/>
      <c r="TRG52" s="12"/>
      <c r="TRH52" s="12"/>
      <c r="TRI52" s="12"/>
      <c r="TRJ52" s="12"/>
      <c r="TRK52" s="12"/>
      <c r="TRL52" s="12"/>
      <c r="TRM52" s="12"/>
      <c r="TRN52" s="12"/>
      <c r="TRO52" s="12"/>
      <c r="TRP52" s="12"/>
      <c r="TRQ52" s="12"/>
      <c r="TRR52" s="12"/>
      <c r="TRS52" s="12"/>
      <c r="TRT52" s="12"/>
      <c r="TRU52" s="12"/>
      <c r="TRV52" s="12"/>
      <c r="TRW52" s="12"/>
      <c r="TRX52" s="12"/>
      <c r="TRY52" s="12"/>
      <c r="TRZ52" s="12"/>
      <c r="TSA52" s="12"/>
      <c r="TSB52" s="12"/>
      <c r="TSC52" s="12"/>
      <c r="TSD52" s="12"/>
      <c r="TSE52" s="12"/>
      <c r="TSF52" s="12"/>
      <c r="TSG52" s="12"/>
      <c r="TSH52" s="12"/>
      <c r="TSI52" s="12"/>
      <c r="TSJ52" s="12"/>
      <c r="TSK52" s="12"/>
      <c r="TSL52" s="12"/>
      <c r="TSM52" s="12"/>
      <c r="TSN52" s="12"/>
      <c r="TSO52" s="12"/>
      <c r="TSP52" s="12"/>
      <c r="TSQ52" s="12"/>
      <c r="TSR52" s="12"/>
      <c r="TSS52" s="12"/>
      <c r="TST52" s="12"/>
      <c r="TSU52" s="12"/>
      <c r="TSV52" s="12"/>
      <c r="TSW52" s="12"/>
      <c r="TSX52" s="12"/>
      <c r="TSY52" s="12"/>
      <c r="TSZ52" s="12"/>
      <c r="TTA52" s="12"/>
      <c r="TTB52" s="12"/>
      <c r="TTC52" s="12"/>
      <c r="TTD52" s="12"/>
      <c r="TTE52" s="12"/>
      <c r="TTF52" s="12"/>
      <c r="TTG52" s="12"/>
      <c r="TTH52" s="12"/>
      <c r="TTI52" s="12"/>
      <c r="TTJ52" s="12"/>
      <c r="TTK52" s="12"/>
      <c r="TTL52" s="12"/>
      <c r="TTM52" s="12"/>
      <c r="TTN52" s="12"/>
      <c r="TTO52" s="12"/>
      <c r="TTP52" s="12"/>
      <c r="TTQ52" s="12"/>
      <c r="TTR52" s="12"/>
      <c r="TTS52" s="12"/>
      <c r="TTT52" s="12"/>
      <c r="TTU52" s="12"/>
      <c r="TTV52" s="12"/>
      <c r="TTW52" s="12"/>
      <c r="TTX52" s="12"/>
      <c r="TTY52" s="12"/>
      <c r="TTZ52" s="12"/>
      <c r="TUA52" s="12"/>
      <c r="TUB52" s="12"/>
      <c r="TUC52" s="12"/>
      <c r="TUD52" s="12"/>
      <c r="TUE52" s="12"/>
      <c r="TUF52" s="12"/>
      <c r="TUG52" s="12"/>
      <c r="TUH52" s="12"/>
      <c r="TUI52" s="12"/>
      <c r="TUJ52" s="12"/>
      <c r="TUK52" s="12"/>
      <c r="TUL52" s="12"/>
      <c r="TUM52" s="12"/>
      <c r="TUN52" s="12"/>
      <c r="TUO52" s="12"/>
      <c r="TUP52" s="12"/>
      <c r="TUQ52" s="12"/>
      <c r="TUR52" s="12"/>
      <c r="TUS52" s="12"/>
      <c r="TUT52" s="12"/>
      <c r="TUU52" s="12"/>
      <c r="TUV52" s="12"/>
      <c r="TUW52" s="12"/>
      <c r="TUX52" s="12"/>
      <c r="TUY52" s="12"/>
      <c r="TUZ52" s="12"/>
      <c r="TVA52" s="12"/>
      <c r="TVB52" s="12"/>
      <c r="TVC52" s="12"/>
      <c r="TVD52" s="12"/>
      <c r="TVE52" s="12"/>
      <c r="TVF52" s="12"/>
      <c r="TVG52" s="12"/>
      <c r="TVH52" s="12"/>
      <c r="TVI52" s="12"/>
      <c r="TVJ52" s="12"/>
      <c r="TVK52" s="12"/>
      <c r="TVL52" s="12"/>
      <c r="TVM52" s="12"/>
      <c r="TVN52" s="12"/>
      <c r="TVO52" s="12"/>
      <c r="TVP52" s="12"/>
      <c r="TVQ52" s="12"/>
      <c r="TVR52" s="12"/>
      <c r="TVS52" s="12"/>
      <c r="TVT52" s="12"/>
      <c r="TVU52" s="12"/>
      <c r="TVV52" s="12"/>
      <c r="TVW52" s="12"/>
      <c r="TVX52" s="12"/>
      <c r="TVY52" s="12"/>
      <c r="TVZ52" s="12"/>
      <c r="TWA52" s="12"/>
      <c r="TWB52" s="12"/>
      <c r="TWC52" s="12"/>
      <c r="TWD52" s="12"/>
      <c r="TWE52" s="12"/>
      <c r="TWF52" s="12"/>
      <c r="TWG52" s="12"/>
      <c r="TWH52" s="12"/>
      <c r="TWI52" s="12"/>
      <c r="TWJ52" s="12"/>
      <c r="TWK52" s="12"/>
      <c r="TWL52" s="12"/>
      <c r="TWM52" s="12"/>
      <c r="TWN52" s="12"/>
      <c r="TWO52" s="12"/>
      <c r="TWP52" s="12"/>
      <c r="TWQ52" s="12"/>
      <c r="TWR52" s="12"/>
      <c r="TWS52" s="12"/>
      <c r="TWT52" s="12"/>
      <c r="TWU52" s="12"/>
      <c r="TWV52" s="12"/>
      <c r="TWW52" s="12"/>
      <c r="TWX52" s="12"/>
      <c r="TWY52" s="12"/>
      <c r="TWZ52" s="12"/>
      <c r="TXA52" s="12"/>
      <c r="TXB52" s="12"/>
      <c r="TXC52" s="12"/>
      <c r="TXD52" s="12"/>
      <c r="TXE52" s="12"/>
      <c r="TXF52" s="12"/>
      <c r="TXG52" s="12"/>
      <c r="TXH52" s="12"/>
      <c r="TXI52" s="12"/>
      <c r="TXJ52" s="12"/>
      <c r="TXK52" s="12"/>
      <c r="TXL52" s="12"/>
      <c r="TXM52" s="12"/>
      <c r="TXN52" s="12"/>
      <c r="TXO52" s="12"/>
      <c r="TXP52" s="12"/>
      <c r="TXQ52" s="12"/>
      <c r="TXR52" s="12"/>
      <c r="TXS52" s="12"/>
      <c r="TXT52" s="12"/>
      <c r="TXU52" s="12"/>
      <c r="TXV52" s="12"/>
      <c r="TXW52" s="12"/>
      <c r="TXX52" s="12"/>
      <c r="TXY52" s="12"/>
      <c r="TXZ52" s="12"/>
      <c r="TYA52" s="12"/>
      <c r="TYB52" s="12"/>
      <c r="TYC52" s="12"/>
      <c r="TYD52" s="12"/>
      <c r="TYE52" s="12"/>
      <c r="TYF52" s="12"/>
      <c r="TYG52" s="12"/>
      <c r="TYH52" s="12"/>
      <c r="TYI52" s="12"/>
      <c r="TYJ52" s="12"/>
      <c r="TYK52" s="12"/>
      <c r="TYL52" s="12"/>
      <c r="TYM52" s="12"/>
      <c r="TYN52" s="12"/>
      <c r="TYO52" s="12"/>
      <c r="TYP52" s="12"/>
      <c r="TYQ52" s="12"/>
      <c r="TYR52" s="12"/>
      <c r="TYS52" s="12"/>
      <c r="TYT52" s="12"/>
      <c r="TYU52" s="12"/>
      <c r="TYV52" s="12"/>
      <c r="TYW52" s="12"/>
      <c r="TYX52" s="12"/>
      <c r="TYY52" s="12"/>
      <c r="TYZ52" s="12"/>
      <c r="TZA52" s="12"/>
      <c r="TZB52" s="12"/>
      <c r="TZC52" s="12"/>
      <c r="TZD52" s="12"/>
      <c r="TZE52" s="12"/>
      <c r="TZF52" s="12"/>
      <c r="TZG52" s="12"/>
      <c r="TZH52" s="12"/>
      <c r="TZI52" s="12"/>
      <c r="TZJ52" s="12"/>
      <c r="TZK52" s="12"/>
      <c r="TZL52" s="12"/>
      <c r="TZM52" s="12"/>
      <c r="TZN52" s="12"/>
      <c r="TZO52" s="12"/>
      <c r="TZP52" s="12"/>
      <c r="TZQ52" s="12"/>
      <c r="TZR52" s="12"/>
      <c r="TZS52" s="12"/>
      <c r="TZT52" s="12"/>
      <c r="TZU52" s="12"/>
      <c r="TZV52" s="12"/>
      <c r="TZW52" s="12"/>
      <c r="TZX52" s="12"/>
      <c r="TZY52" s="12"/>
      <c r="TZZ52" s="12"/>
      <c r="UAA52" s="12"/>
      <c r="UAB52" s="12"/>
      <c r="UAC52" s="12"/>
      <c r="UAD52" s="12"/>
      <c r="UAE52" s="12"/>
      <c r="UAF52" s="12"/>
      <c r="UAG52" s="12"/>
      <c r="UAH52" s="12"/>
      <c r="UAI52" s="12"/>
      <c r="UAJ52" s="12"/>
      <c r="UAK52" s="12"/>
      <c r="UAL52" s="12"/>
      <c r="UAM52" s="12"/>
      <c r="UAN52" s="12"/>
      <c r="UAO52" s="12"/>
      <c r="UAP52" s="12"/>
      <c r="UAQ52" s="12"/>
      <c r="UAR52" s="12"/>
      <c r="UAS52" s="12"/>
      <c r="UAT52" s="12"/>
      <c r="UAU52" s="12"/>
      <c r="UAV52" s="12"/>
      <c r="UAW52" s="12"/>
      <c r="UAX52" s="12"/>
      <c r="UAY52" s="12"/>
      <c r="UAZ52" s="12"/>
      <c r="UBA52" s="12"/>
      <c r="UBB52" s="12"/>
      <c r="UBC52" s="12"/>
      <c r="UBD52" s="12"/>
      <c r="UBE52" s="12"/>
      <c r="UBF52" s="12"/>
      <c r="UBG52" s="12"/>
      <c r="UBH52" s="12"/>
      <c r="UBI52" s="12"/>
      <c r="UBJ52" s="12"/>
      <c r="UBK52" s="12"/>
      <c r="UBL52" s="12"/>
      <c r="UBM52" s="12"/>
      <c r="UBN52" s="12"/>
      <c r="UBO52" s="12"/>
      <c r="UBP52" s="12"/>
      <c r="UBQ52" s="12"/>
      <c r="UBR52" s="12"/>
      <c r="UBS52" s="12"/>
      <c r="UBT52" s="12"/>
      <c r="UBU52" s="12"/>
      <c r="UBV52" s="12"/>
      <c r="UBW52" s="12"/>
      <c r="UBX52" s="12"/>
      <c r="UBY52" s="12"/>
      <c r="UBZ52" s="12"/>
      <c r="UCA52" s="12"/>
      <c r="UCB52" s="12"/>
      <c r="UCC52" s="12"/>
      <c r="UCD52" s="12"/>
      <c r="UCE52" s="12"/>
      <c r="UCF52" s="12"/>
      <c r="UCG52" s="12"/>
      <c r="UCH52" s="12"/>
      <c r="UCI52" s="12"/>
      <c r="UCJ52" s="12"/>
      <c r="UCK52" s="12"/>
      <c r="UCL52" s="12"/>
      <c r="UCM52" s="12"/>
      <c r="UCN52" s="12"/>
      <c r="UCO52" s="12"/>
      <c r="UCP52" s="12"/>
      <c r="UCQ52" s="12"/>
      <c r="UCR52" s="12"/>
      <c r="UCS52" s="12"/>
      <c r="UCT52" s="12"/>
      <c r="UCU52" s="12"/>
      <c r="UCV52" s="12"/>
      <c r="UCW52" s="12"/>
      <c r="UCX52" s="12"/>
      <c r="UCY52" s="12"/>
      <c r="UCZ52" s="12"/>
      <c r="UDA52" s="12"/>
      <c r="UDB52" s="12"/>
      <c r="UDC52" s="12"/>
      <c r="UDD52" s="12"/>
      <c r="UDE52" s="12"/>
      <c r="UDF52" s="12"/>
      <c r="UDG52" s="12"/>
      <c r="UDH52" s="12"/>
      <c r="UDI52" s="12"/>
      <c r="UDJ52" s="12"/>
      <c r="UDK52" s="12"/>
      <c r="UDL52" s="12"/>
      <c r="UDM52" s="12"/>
      <c r="UDN52" s="12"/>
      <c r="UDO52" s="12"/>
      <c r="UDP52" s="12"/>
      <c r="UDQ52" s="12"/>
      <c r="UDR52" s="12"/>
      <c r="UDS52" s="12"/>
      <c r="UDT52" s="12"/>
      <c r="UDU52" s="12"/>
      <c r="UDV52" s="12"/>
      <c r="UDW52" s="12"/>
      <c r="UDX52" s="12"/>
      <c r="UDY52" s="12"/>
      <c r="UDZ52" s="12"/>
      <c r="UEA52" s="12"/>
      <c r="UEB52" s="12"/>
      <c r="UEC52" s="12"/>
      <c r="UED52" s="12"/>
      <c r="UEE52" s="12"/>
      <c r="UEF52" s="12"/>
      <c r="UEG52" s="12"/>
      <c r="UEH52" s="12"/>
      <c r="UEI52" s="12"/>
      <c r="UEJ52" s="12"/>
      <c r="UEK52" s="12"/>
      <c r="UEL52" s="12"/>
      <c r="UEM52" s="12"/>
      <c r="UEN52" s="12"/>
      <c r="UEO52" s="12"/>
      <c r="UEP52" s="12"/>
      <c r="UEQ52" s="12"/>
      <c r="UER52" s="12"/>
      <c r="UES52" s="12"/>
      <c r="UET52" s="12"/>
      <c r="UEU52" s="12"/>
      <c r="UEV52" s="12"/>
      <c r="UEW52" s="12"/>
      <c r="UEX52" s="12"/>
      <c r="UEY52" s="12"/>
      <c r="UEZ52" s="12"/>
      <c r="UFA52" s="12"/>
      <c r="UFB52" s="12"/>
      <c r="UFC52" s="12"/>
      <c r="UFD52" s="12"/>
      <c r="UFE52" s="12"/>
      <c r="UFF52" s="12"/>
      <c r="UFG52" s="12"/>
      <c r="UFH52" s="12"/>
      <c r="UFI52" s="12"/>
      <c r="UFJ52" s="12"/>
      <c r="UFK52" s="12"/>
      <c r="UFL52" s="12"/>
      <c r="UFM52" s="12"/>
      <c r="UFN52" s="12"/>
      <c r="UFO52" s="12"/>
      <c r="UFP52" s="12"/>
      <c r="UFQ52" s="12"/>
      <c r="UFR52" s="12"/>
      <c r="UFS52" s="12"/>
      <c r="UFT52" s="12"/>
      <c r="UFU52" s="12"/>
      <c r="UFV52" s="12"/>
      <c r="UFW52" s="12"/>
      <c r="UFX52" s="12"/>
      <c r="UFY52" s="12"/>
      <c r="UFZ52" s="12"/>
      <c r="UGA52" s="12"/>
      <c r="UGB52" s="12"/>
      <c r="UGC52" s="12"/>
      <c r="UGD52" s="12"/>
      <c r="UGE52" s="12"/>
      <c r="UGF52" s="12"/>
      <c r="UGG52" s="12"/>
      <c r="UGH52" s="12"/>
      <c r="UGI52" s="12"/>
      <c r="UGJ52" s="12"/>
      <c r="UGK52" s="12"/>
      <c r="UGL52" s="12"/>
      <c r="UGM52" s="12"/>
      <c r="UGN52" s="12"/>
      <c r="UGO52" s="12"/>
      <c r="UGP52" s="12"/>
      <c r="UGQ52" s="12"/>
      <c r="UGR52" s="12"/>
      <c r="UGS52" s="12"/>
      <c r="UGT52" s="12"/>
      <c r="UGU52" s="12"/>
      <c r="UGV52" s="12"/>
      <c r="UGW52" s="12"/>
      <c r="UGX52" s="12"/>
      <c r="UGY52" s="12"/>
      <c r="UGZ52" s="12"/>
      <c r="UHA52" s="12"/>
      <c r="UHB52" s="12"/>
      <c r="UHC52" s="12"/>
      <c r="UHD52" s="12"/>
      <c r="UHE52" s="12"/>
      <c r="UHF52" s="12"/>
      <c r="UHG52" s="12"/>
      <c r="UHH52" s="12"/>
      <c r="UHI52" s="12"/>
      <c r="UHJ52" s="12"/>
      <c r="UHK52" s="12"/>
      <c r="UHL52" s="12"/>
      <c r="UHM52" s="12"/>
      <c r="UHN52" s="12"/>
      <c r="UHO52" s="12"/>
      <c r="UHP52" s="12"/>
      <c r="UHQ52" s="12"/>
      <c r="UHR52" s="12"/>
      <c r="UHS52" s="12"/>
      <c r="UHT52" s="12"/>
      <c r="UHU52" s="12"/>
      <c r="UHV52" s="12"/>
      <c r="UHW52" s="12"/>
      <c r="UHX52" s="12"/>
      <c r="UHY52" s="12"/>
      <c r="UHZ52" s="12"/>
      <c r="UIA52" s="12"/>
      <c r="UIB52" s="12"/>
      <c r="UIC52" s="12"/>
      <c r="UID52" s="12"/>
      <c r="UIE52" s="12"/>
      <c r="UIF52" s="12"/>
      <c r="UIG52" s="12"/>
      <c r="UIH52" s="12"/>
      <c r="UII52" s="12"/>
      <c r="UIJ52" s="12"/>
      <c r="UIK52" s="12"/>
      <c r="UIL52" s="12"/>
      <c r="UIM52" s="12"/>
      <c r="UIN52" s="12"/>
      <c r="UIO52" s="12"/>
      <c r="UIP52" s="12"/>
      <c r="UIQ52" s="12"/>
      <c r="UIR52" s="12"/>
      <c r="UIS52" s="12"/>
      <c r="UIT52" s="12"/>
      <c r="UIU52" s="12"/>
      <c r="UIV52" s="12"/>
      <c r="UIW52" s="12"/>
      <c r="UIX52" s="12"/>
      <c r="UIY52" s="12"/>
      <c r="UIZ52" s="12"/>
      <c r="UJA52" s="12"/>
      <c r="UJB52" s="12"/>
      <c r="UJC52" s="12"/>
      <c r="UJD52" s="12"/>
      <c r="UJE52" s="12"/>
      <c r="UJF52" s="12"/>
      <c r="UJG52" s="12"/>
      <c r="UJH52" s="12"/>
      <c r="UJI52" s="12"/>
      <c r="UJJ52" s="12"/>
      <c r="UJK52" s="12"/>
      <c r="UJL52" s="12"/>
      <c r="UJM52" s="12"/>
      <c r="UJN52" s="12"/>
      <c r="UJO52" s="12"/>
      <c r="UJP52" s="12"/>
      <c r="UJQ52" s="12"/>
      <c r="UJR52" s="12"/>
      <c r="UJS52" s="12"/>
      <c r="UJT52" s="12"/>
      <c r="UJU52" s="12"/>
      <c r="UJV52" s="12"/>
      <c r="UJW52" s="12"/>
      <c r="UJX52" s="12"/>
      <c r="UJY52" s="12"/>
      <c r="UJZ52" s="12"/>
      <c r="UKA52" s="12"/>
      <c r="UKB52" s="12"/>
      <c r="UKC52" s="12"/>
      <c r="UKD52" s="12"/>
      <c r="UKE52" s="12"/>
      <c r="UKF52" s="12"/>
      <c r="UKG52" s="12"/>
      <c r="UKH52" s="12"/>
      <c r="UKI52" s="12"/>
      <c r="UKJ52" s="12"/>
      <c r="UKK52" s="12"/>
      <c r="UKL52" s="12"/>
      <c r="UKM52" s="12"/>
      <c r="UKN52" s="12"/>
      <c r="UKO52" s="12"/>
      <c r="UKP52" s="12"/>
      <c r="UKQ52" s="12"/>
      <c r="UKR52" s="12"/>
      <c r="UKS52" s="12"/>
      <c r="UKT52" s="12"/>
      <c r="UKU52" s="12"/>
      <c r="UKV52" s="12"/>
      <c r="UKW52" s="12"/>
      <c r="UKX52" s="12"/>
      <c r="UKY52" s="12"/>
      <c r="UKZ52" s="12"/>
      <c r="ULA52" s="12"/>
      <c r="ULB52" s="12"/>
      <c r="ULC52" s="12"/>
      <c r="ULD52" s="12"/>
      <c r="ULE52" s="12"/>
      <c r="ULF52" s="12"/>
      <c r="ULG52" s="12"/>
      <c r="ULH52" s="12"/>
      <c r="ULI52" s="12"/>
      <c r="ULJ52" s="12"/>
      <c r="ULK52" s="12"/>
      <c r="ULL52" s="12"/>
      <c r="ULM52" s="12"/>
      <c r="ULN52" s="12"/>
      <c r="ULO52" s="12"/>
      <c r="ULP52" s="12"/>
      <c r="ULQ52" s="12"/>
      <c r="ULR52" s="12"/>
      <c r="ULS52" s="12"/>
      <c r="ULT52" s="12"/>
      <c r="ULU52" s="12"/>
      <c r="ULV52" s="12"/>
      <c r="ULW52" s="12"/>
      <c r="ULX52" s="12"/>
      <c r="ULY52" s="12"/>
      <c r="ULZ52" s="12"/>
      <c r="UMA52" s="12"/>
      <c r="UMB52" s="12"/>
      <c r="UMC52" s="12"/>
      <c r="UMD52" s="12"/>
      <c r="UME52" s="12"/>
      <c r="UMF52" s="12"/>
      <c r="UMG52" s="12"/>
      <c r="UMH52" s="12"/>
      <c r="UMI52" s="12"/>
      <c r="UMJ52" s="12"/>
      <c r="UMK52" s="12"/>
      <c r="UML52" s="12"/>
      <c r="UMM52" s="12"/>
      <c r="UMN52" s="12"/>
      <c r="UMO52" s="12"/>
      <c r="UMP52" s="12"/>
      <c r="UMQ52" s="12"/>
      <c r="UMR52" s="12"/>
      <c r="UMS52" s="12"/>
      <c r="UMT52" s="12"/>
      <c r="UMU52" s="12"/>
      <c r="UMV52" s="12"/>
      <c r="UMW52" s="12"/>
      <c r="UMX52" s="12"/>
      <c r="UMY52" s="12"/>
      <c r="UMZ52" s="12"/>
      <c r="UNA52" s="12"/>
      <c r="UNB52" s="12"/>
      <c r="UNC52" s="12"/>
      <c r="UND52" s="12"/>
      <c r="UNE52" s="12"/>
      <c r="UNF52" s="12"/>
      <c r="UNG52" s="12"/>
      <c r="UNH52" s="12"/>
      <c r="UNI52" s="12"/>
      <c r="UNJ52" s="12"/>
      <c r="UNK52" s="12"/>
      <c r="UNL52" s="12"/>
      <c r="UNM52" s="12"/>
      <c r="UNN52" s="12"/>
      <c r="UNO52" s="12"/>
      <c r="UNP52" s="12"/>
      <c r="UNQ52" s="12"/>
      <c r="UNR52" s="12"/>
      <c r="UNS52" s="12"/>
      <c r="UNT52" s="12"/>
      <c r="UNU52" s="12"/>
      <c r="UNV52" s="12"/>
      <c r="UNW52" s="12"/>
      <c r="UNX52" s="12"/>
      <c r="UNY52" s="12"/>
      <c r="UNZ52" s="12"/>
      <c r="UOA52" s="12"/>
      <c r="UOB52" s="12"/>
      <c r="UOC52" s="12"/>
      <c r="UOD52" s="12"/>
      <c r="UOE52" s="12"/>
      <c r="UOF52" s="12"/>
      <c r="UOG52" s="12"/>
      <c r="UOH52" s="12"/>
      <c r="UOI52" s="12"/>
      <c r="UOJ52" s="12"/>
      <c r="UOK52" s="12"/>
      <c r="UOL52" s="12"/>
      <c r="UOM52" s="12"/>
      <c r="UON52" s="12"/>
      <c r="UOO52" s="12"/>
      <c r="UOP52" s="12"/>
      <c r="UOQ52" s="12"/>
      <c r="UOR52" s="12"/>
      <c r="UOS52" s="12"/>
      <c r="UOT52" s="12"/>
      <c r="UOU52" s="12"/>
      <c r="UOV52" s="12"/>
      <c r="UOW52" s="12"/>
      <c r="UOX52" s="12"/>
      <c r="UOY52" s="12"/>
      <c r="UOZ52" s="12"/>
      <c r="UPA52" s="12"/>
      <c r="UPB52" s="12"/>
      <c r="UPC52" s="12"/>
      <c r="UPD52" s="12"/>
      <c r="UPE52" s="12"/>
      <c r="UPF52" s="12"/>
      <c r="UPG52" s="12"/>
      <c r="UPH52" s="12"/>
      <c r="UPI52" s="12"/>
      <c r="UPJ52" s="12"/>
      <c r="UPK52" s="12"/>
      <c r="UPL52" s="12"/>
      <c r="UPM52" s="12"/>
      <c r="UPN52" s="12"/>
      <c r="UPO52" s="12"/>
      <c r="UPP52" s="12"/>
      <c r="UPQ52" s="12"/>
      <c r="UPR52" s="12"/>
      <c r="UPS52" s="12"/>
      <c r="UPT52" s="12"/>
      <c r="UPU52" s="12"/>
      <c r="UPV52" s="12"/>
      <c r="UPW52" s="12"/>
      <c r="UPX52" s="12"/>
      <c r="UPY52" s="12"/>
      <c r="UPZ52" s="12"/>
      <c r="UQA52" s="12"/>
      <c r="UQB52" s="12"/>
      <c r="UQC52" s="12"/>
      <c r="UQD52" s="12"/>
      <c r="UQE52" s="12"/>
      <c r="UQF52" s="12"/>
      <c r="UQG52" s="12"/>
      <c r="UQH52" s="12"/>
      <c r="UQI52" s="12"/>
      <c r="UQJ52" s="12"/>
      <c r="UQK52" s="12"/>
      <c r="UQL52" s="12"/>
      <c r="UQM52" s="12"/>
      <c r="UQN52" s="12"/>
      <c r="UQO52" s="12"/>
      <c r="UQP52" s="12"/>
      <c r="UQQ52" s="12"/>
      <c r="UQR52" s="12"/>
      <c r="UQS52" s="12"/>
      <c r="UQT52" s="12"/>
      <c r="UQU52" s="12"/>
      <c r="UQV52" s="12"/>
      <c r="UQW52" s="12"/>
      <c r="UQX52" s="12"/>
      <c r="UQY52" s="12"/>
      <c r="UQZ52" s="12"/>
      <c r="URA52" s="12"/>
      <c r="URB52" s="12"/>
      <c r="URC52" s="12"/>
      <c r="URD52" s="12"/>
      <c r="URE52" s="12"/>
      <c r="URF52" s="12"/>
      <c r="URG52" s="12"/>
      <c r="URH52" s="12"/>
      <c r="URI52" s="12"/>
      <c r="URJ52" s="12"/>
      <c r="URK52" s="12"/>
      <c r="URL52" s="12"/>
      <c r="URM52" s="12"/>
      <c r="URN52" s="12"/>
      <c r="URO52" s="12"/>
      <c r="URP52" s="12"/>
      <c r="URQ52" s="12"/>
      <c r="URR52" s="12"/>
      <c r="URS52" s="12"/>
      <c r="URT52" s="12"/>
      <c r="URU52" s="12"/>
      <c r="URV52" s="12"/>
      <c r="URW52" s="12"/>
      <c r="URX52" s="12"/>
      <c r="URY52" s="12"/>
      <c r="URZ52" s="12"/>
      <c r="USA52" s="12"/>
      <c r="USB52" s="12"/>
      <c r="USC52" s="12"/>
      <c r="USD52" s="12"/>
      <c r="USE52" s="12"/>
      <c r="USF52" s="12"/>
      <c r="USG52" s="12"/>
      <c r="USH52" s="12"/>
      <c r="USI52" s="12"/>
      <c r="USJ52" s="12"/>
      <c r="USK52" s="12"/>
      <c r="USL52" s="12"/>
      <c r="USM52" s="12"/>
      <c r="USN52" s="12"/>
      <c r="USO52" s="12"/>
      <c r="USP52" s="12"/>
      <c r="USQ52" s="12"/>
      <c r="USR52" s="12"/>
      <c r="USS52" s="12"/>
      <c r="UST52" s="12"/>
      <c r="USU52" s="12"/>
      <c r="USV52" s="12"/>
      <c r="USW52" s="12"/>
      <c r="USX52" s="12"/>
      <c r="USY52" s="12"/>
      <c r="USZ52" s="12"/>
      <c r="UTA52" s="12"/>
      <c r="UTB52" s="12"/>
      <c r="UTC52" s="12"/>
      <c r="UTD52" s="12"/>
      <c r="UTE52" s="12"/>
      <c r="UTF52" s="12"/>
      <c r="UTG52" s="12"/>
      <c r="UTH52" s="12"/>
      <c r="UTI52" s="12"/>
      <c r="UTJ52" s="12"/>
      <c r="UTK52" s="12"/>
      <c r="UTL52" s="12"/>
      <c r="UTM52" s="12"/>
      <c r="UTN52" s="12"/>
      <c r="UTO52" s="12"/>
      <c r="UTP52" s="12"/>
      <c r="UTQ52" s="12"/>
      <c r="UTR52" s="12"/>
      <c r="UTS52" s="12"/>
      <c r="UTT52" s="12"/>
      <c r="UTU52" s="12"/>
      <c r="UTV52" s="12"/>
      <c r="UTW52" s="12"/>
      <c r="UTX52" s="12"/>
      <c r="UTY52" s="12"/>
      <c r="UTZ52" s="12"/>
      <c r="UUA52" s="12"/>
      <c r="UUB52" s="12"/>
      <c r="UUC52" s="12"/>
      <c r="UUD52" s="12"/>
      <c r="UUE52" s="12"/>
      <c r="UUF52" s="12"/>
      <c r="UUG52" s="12"/>
      <c r="UUH52" s="12"/>
      <c r="UUI52" s="12"/>
      <c r="UUJ52" s="12"/>
      <c r="UUK52" s="12"/>
      <c r="UUL52" s="12"/>
      <c r="UUM52" s="12"/>
      <c r="UUN52" s="12"/>
      <c r="UUO52" s="12"/>
      <c r="UUP52" s="12"/>
      <c r="UUQ52" s="12"/>
      <c r="UUR52" s="12"/>
      <c r="UUS52" s="12"/>
      <c r="UUT52" s="12"/>
      <c r="UUU52" s="12"/>
      <c r="UUV52" s="12"/>
      <c r="UUW52" s="12"/>
      <c r="UUX52" s="12"/>
      <c r="UUY52" s="12"/>
      <c r="UUZ52" s="12"/>
      <c r="UVA52" s="12"/>
      <c r="UVB52" s="12"/>
      <c r="UVC52" s="12"/>
      <c r="UVD52" s="12"/>
      <c r="UVE52" s="12"/>
      <c r="UVF52" s="12"/>
      <c r="UVG52" s="12"/>
      <c r="UVH52" s="12"/>
      <c r="UVI52" s="12"/>
      <c r="UVJ52" s="12"/>
      <c r="UVK52" s="12"/>
      <c r="UVL52" s="12"/>
      <c r="UVM52" s="12"/>
      <c r="UVN52" s="12"/>
      <c r="UVO52" s="12"/>
      <c r="UVP52" s="12"/>
      <c r="UVQ52" s="12"/>
      <c r="UVR52" s="12"/>
      <c r="UVS52" s="12"/>
      <c r="UVT52" s="12"/>
      <c r="UVU52" s="12"/>
      <c r="UVV52" s="12"/>
      <c r="UVW52" s="12"/>
      <c r="UVX52" s="12"/>
      <c r="UVY52" s="12"/>
      <c r="UVZ52" s="12"/>
      <c r="UWA52" s="12"/>
      <c r="UWB52" s="12"/>
      <c r="UWC52" s="12"/>
      <c r="UWD52" s="12"/>
      <c r="UWE52" s="12"/>
      <c r="UWF52" s="12"/>
      <c r="UWG52" s="12"/>
      <c r="UWH52" s="12"/>
      <c r="UWI52" s="12"/>
      <c r="UWJ52" s="12"/>
      <c r="UWK52" s="12"/>
      <c r="UWL52" s="12"/>
      <c r="UWM52" s="12"/>
      <c r="UWN52" s="12"/>
      <c r="UWO52" s="12"/>
      <c r="UWP52" s="12"/>
      <c r="UWQ52" s="12"/>
      <c r="UWR52" s="12"/>
      <c r="UWS52" s="12"/>
      <c r="UWT52" s="12"/>
      <c r="UWU52" s="12"/>
      <c r="UWV52" s="12"/>
      <c r="UWW52" s="12"/>
      <c r="UWX52" s="12"/>
      <c r="UWY52" s="12"/>
      <c r="UWZ52" s="12"/>
      <c r="UXA52" s="12"/>
      <c r="UXB52" s="12"/>
      <c r="UXC52" s="12"/>
      <c r="UXD52" s="12"/>
      <c r="UXE52" s="12"/>
      <c r="UXF52" s="12"/>
      <c r="UXG52" s="12"/>
      <c r="UXH52" s="12"/>
      <c r="UXI52" s="12"/>
      <c r="UXJ52" s="12"/>
      <c r="UXK52" s="12"/>
      <c r="UXL52" s="12"/>
      <c r="UXM52" s="12"/>
      <c r="UXN52" s="12"/>
      <c r="UXO52" s="12"/>
      <c r="UXP52" s="12"/>
      <c r="UXQ52" s="12"/>
      <c r="UXR52" s="12"/>
      <c r="UXS52" s="12"/>
      <c r="UXT52" s="12"/>
      <c r="UXU52" s="12"/>
      <c r="UXV52" s="12"/>
      <c r="UXW52" s="12"/>
      <c r="UXX52" s="12"/>
      <c r="UXY52" s="12"/>
      <c r="UXZ52" s="12"/>
      <c r="UYA52" s="12"/>
      <c r="UYB52" s="12"/>
      <c r="UYC52" s="12"/>
      <c r="UYD52" s="12"/>
      <c r="UYE52" s="12"/>
      <c r="UYF52" s="12"/>
      <c r="UYG52" s="12"/>
      <c r="UYH52" s="12"/>
      <c r="UYI52" s="12"/>
      <c r="UYJ52" s="12"/>
      <c r="UYK52" s="12"/>
      <c r="UYL52" s="12"/>
      <c r="UYM52" s="12"/>
      <c r="UYN52" s="12"/>
      <c r="UYO52" s="12"/>
      <c r="UYP52" s="12"/>
      <c r="UYQ52" s="12"/>
      <c r="UYR52" s="12"/>
      <c r="UYS52" s="12"/>
      <c r="UYT52" s="12"/>
      <c r="UYU52" s="12"/>
      <c r="UYV52" s="12"/>
      <c r="UYW52" s="12"/>
      <c r="UYX52" s="12"/>
      <c r="UYY52" s="12"/>
      <c r="UYZ52" s="12"/>
      <c r="UZA52" s="12"/>
      <c r="UZB52" s="12"/>
      <c r="UZC52" s="12"/>
      <c r="UZD52" s="12"/>
      <c r="UZE52" s="12"/>
      <c r="UZF52" s="12"/>
      <c r="UZG52" s="12"/>
      <c r="UZH52" s="12"/>
      <c r="UZI52" s="12"/>
      <c r="UZJ52" s="12"/>
      <c r="UZK52" s="12"/>
      <c r="UZL52" s="12"/>
      <c r="UZM52" s="12"/>
      <c r="UZN52" s="12"/>
      <c r="UZO52" s="12"/>
      <c r="UZP52" s="12"/>
      <c r="UZQ52" s="12"/>
      <c r="UZR52" s="12"/>
      <c r="UZS52" s="12"/>
      <c r="UZT52" s="12"/>
      <c r="UZU52" s="12"/>
      <c r="UZV52" s="12"/>
      <c r="UZW52" s="12"/>
      <c r="UZX52" s="12"/>
      <c r="UZY52" s="12"/>
      <c r="UZZ52" s="12"/>
      <c r="VAA52" s="12"/>
      <c r="VAB52" s="12"/>
      <c r="VAC52" s="12"/>
      <c r="VAD52" s="12"/>
      <c r="VAE52" s="12"/>
      <c r="VAF52" s="12"/>
      <c r="VAG52" s="12"/>
      <c r="VAH52" s="12"/>
      <c r="VAI52" s="12"/>
      <c r="VAJ52" s="12"/>
      <c r="VAK52" s="12"/>
      <c r="VAL52" s="12"/>
      <c r="VAM52" s="12"/>
      <c r="VAN52" s="12"/>
      <c r="VAO52" s="12"/>
      <c r="VAP52" s="12"/>
      <c r="VAQ52" s="12"/>
      <c r="VAR52" s="12"/>
      <c r="VAS52" s="12"/>
      <c r="VAT52" s="12"/>
      <c r="VAU52" s="12"/>
      <c r="VAV52" s="12"/>
      <c r="VAW52" s="12"/>
      <c r="VAX52" s="12"/>
      <c r="VAY52" s="12"/>
      <c r="VAZ52" s="12"/>
      <c r="VBA52" s="12"/>
      <c r="VBB52" s="12"/>
      <c r="VBC52" s="12"/>
      <c r="VBD52" s="12"/>
      <c r="VBE52" s="12"/>
      <c r="VBF52" s="12"/>
      <c r="VBG52" s="12"/>
      <c r="VBH52" s="12"/>
      <c r="VBI52" s="12"/>
      <c r="VBJ52" s="12"/>
      <c r="VBK52" s="12"/>
      <c r="VBL52" s="12"/>
      <c r="VBM52" s="12"/>
      <c r="VBN52" s="12"/>
      <c r="VBO52" s="12"/>
      <c r="VBP52" s="12"/>
      <c r="VBQ52" s="12"/>
      <c r="VBR52" s="12"/>
      <c r="VBS52" s="12"/>
      <c r="VBT52" s="12"/>
      <c r="VBU52" s="12"/>
      <c r="VBV52" s="12"/>
      <c r="VBW52" s="12"/>
      <c r="VBX52" s="12"/>
      <c r="VBY52" s="12"/>
      <c r="VBZ52" s="12"/>
      <c r="VCA52" s="12"/>
      <c r="VCB52" s="12"/>
      <c r="VCC52" s="12"/>
      <c r="VCD52" s="12"/>
      <c r="VCE52" s="12"/>
      <c r="VCF52" s="12"/>
      <c r="VCG52" s="12"/>
      <c r="VCH52" s="12"/>
      <c r="VCI52" s="12"/>
      <c r="VCJ52" s="12"/>
      <c r="VCK52" s="12"/>
      <c r="VCL52" s="12"/>
      <c r="VCM52" s="12"/>
      <c r="VCN52" s="12"/>
      <c r="VCO52" s="12"/>
      <c r="VCP52" s="12"/>
      <c r="VCQ52" s="12"/>
      <c r="VCR52" s="12"/>
      <c r="VCS52" s="12"/>
      <c r="VCT52" s="12"/>
      <c r="VCU52" s="12"/>
      <c r="VCV52" s="12"/>
      <c r="VCW52" s="12"/>
      <c r="VCX52" s="12"/>
      <c r="VCY52" s="12"/>
      <c r="VCZ52" s="12"/>
      <c r="VDA52" s="12"/>
      <c r="VDB52" s="12"/>
      <c r="VDC52" s="12"/>
      <c r="VDD52" s="12"/>
      <c r="VDE52" s="12"/>
      <c r="VDF52" s="12"/>
      <c r="VDG52" s="12"/>
      <c r="VDH52" s="12"/>
      <c r="VDI52" s="12"/>
      <c r="VDJ52" s="12"/>
      <c r="VDK52" s="12"/>
      <c r="VDL52" s="12"/>
      <c r="VDM52" s="12"/>
      <c r="VDN52" s="12"/>
      <c r="VDO52" s="12"/>
      <c r="VDP52" s="12"/>
      <c r="VDQ52" s="12"/>
      <c r="VDR52" s="12"/>
      <c r="VDS52" s="12"/>
      <c r="VDT52" s="12"/>
      <c r="VDU52" s="12"/>
      <c r="VDV52" s="12"/>
      <c r="VDW52" s="12"/>
      <c r="VDX52" s="12"/>
      <c r="VDY52" s="12"/>
      <c r="VDZ52" s="12"/>
      <c r="VEA52" s="12"/>
      <c r="VEB52" s="12"/>
      <c r="VEC52" s="12"/>
      <c r="VED52" s="12"/>
      <c r="VEE52" s="12"/>
      <c r="VEF52" s="12"/>
      <c r="VEG52" s="12"/>
      <c r="VEH52" s="12"/>
      <c r="VEI52" s="12"/>
      <c r="VEJ52" s="12"/>
      <c r="VEK52" s="12"/>
      <c r="VEL52" s="12"/>
      <c r="VEM52" s="12"/>
      <c r="VEN52" s="12"/>
      <c r="VEO52" s="12"/>
      <c r="VEP52" s="12"/>
      <c r="VEQ52" s="12"/>
      <c r="VER52" s="12"/>
      <c r="VES52" s="12"/>
      <c r="VET52" s="12"/>
      <c r="VEU52" s="12"/>
      <c r="VEV52" s="12"/>
      <c r="VEW52" s="12"/>
      <c r="VEX52" s="12"/>
      <c r="VEY52" s="12"/>
      <c r="VEZ52" s="12"/>
      <c r="VFA52" s="12"/>
      <c r="VFB52" s="12"/>
      <c r="VFC52" s="12"/>
      <c r="VFD52" s="12"/>
      <c r="VFE52" s="12"/>
      <c r="VFF52" s="12"/>
      <c r="VFG52" s="12"/>
      <c r="VFH52" s="12"/>
      <c r="VFI52" s="12"/>
      <c r="VFJ52" s="12"/>
      <c r="VFK52" s="12"/>
      <c r="VFL52" s="12"/>
      <c r="VFM52" s="12"/>
      <c r="VFN52" s="12"/>
      <c r="VFO52" s="12"/>
      <c r="VFP52" s="12"/>
      <c r="VFQ52" s="12"/>
      <c r="VFR52" s="12"/>
      <c r="VFS52" s="12"/>
      <c r="VFT52" s="12"/>
      <c r="VFU52" s="12"/>
      <c r="VFV52" s="12"/>
      <c r="VFW52" s="12"/>
      <c r="VFX52" s="12"/>
      <c r="VFY52" s="12"/>
      <c r="VFZ52" s="12"/>
      <c r="VGA52" s="12"/>
      <c r="VGB52" s="12"/>
      <c r="VGC52" s="12"/>
      <c r="VGD52" s="12"/>
      <c r="VGE52" s="12"/>
      <c r="VGF52" s="12"/>
      <c r="VGG52" s="12"/>
      <c r="VGH52" s="12"/>
      <c r="VGI52" s="12"/>
      <c r="VGJ52" s="12"/>
      <c r="VGK52" s="12"/>
      <c r="VGL52" s="12"/>
      <c r="VGM52" s="12"/>
      <c r="VGN52" s="12"/>
      <c r="VGO52" s="12"/>
      <c r="VGP52" s="12"/>
      <c r="VGQ52" s="12"/>
      <c r="VGR52" s="12"/>
      <c r="VGS52" s="12"/>
      <c r="VGT52" s="12"/>
      <c r="VGU52" s="12"/>
      <c r="VGV52" s="12"/>
      <c r="VGW52" s="12"/>
      <c r="VGX52" s="12"/>
      <c r="VGY52" s="12"/>
      <c r="VGZ52" s="12"/>
      <c r="VHA52" s="12"/>
      <c r="VHB52" s="12"/>
      <c r="VHC52" s="12"/>
      <c r="VHD52" s="12"/>
      <c r="VHE52" s="12"/>
      <c r="VHF52" s="12"/>
      <c r="VHG52" s="12"/>
      <c r="VHH52" s="12"/>
      <c r="VHI52" s="12"/>
      <c r="VHJ52" s="12"/>
      <c r="VHK52" s="12"/>
      <c r="VHL52" s="12"/>
      <c r="VHM52" s="12"/>
      <c r="VHN52" s="12"/>
      <c r="VHO52" s="12"/>
      <c r="VHP52" s="12"/>
      <c r="VHQ52" s="12"/>
      <c r="VHR52" s="12"/>
      <c r="VHS52" s="12"/>
      <c r="VHT52" s="12"/>
      <c r="VHU52" s="12"/>
      <c r="VHV52" s="12"/>
      <c r="VHW52" s="12"/>
      <c r="VHX52" s="12"/>
      <c r="VHY52" s="12"/>
      <c r="VHZ52" s="12"/>
      <c r="VIA52" s="12"/>
      <c r="VIB52" s="12"/>
      <c r="VIC52" s="12"/>
      <c r="VID52" s="12"/>
      <c r="VIE52" s="12"/>
      <c r="VIF52" s="12"/>
      <c r="VIG52" s="12"/>
      <c r="VIH52" s="12"/>
      <c r="VII52" s="12"/>
      <c r="VIJ52" s="12"/>
      <c r="VIK52" s="12"/>
      <c r="VIL52" s="12"/>
      <c r="VIM52" s="12"/>
      <c r="VIN52" s="12"/>
      <c r="VIO52" s="12"/>
      <c r="VIP52" s="12"/>
      <c r="VIQ52" s="12"/>
      <c r="VIR52" s="12"/>
      <c r="VIS52" s="12"/>
      <c r="VIT52" s="12"/>
      <c r="VIU52" s="12"/>
      <c r="VIV52" s="12"/>
      <c r="VIW52" s="12"/>
      <c r="VIX52" s="12"/>
      <c r="VIY52" s="12"/>
      <c r="VIZ52" s="12"/>
      <c r="VJA52" s="12"/>
      <c r="VJB52" s="12"/>
      <c r="VJC52" s="12"/>
      <c r="VJD52" s="12"/>
      <c r="VJE52" s="12"/>
      <c r="VJF52" s="12"/>
      <c r="VJG52" s="12"/>
      <c r="VJH52" s="12"/>
      <c r="VJI52" s="12"/>
      <c r="VJJ52" s="12"/>
      <c r="VJK52" s="12"/>
      <c r="VJL52" s="12"/>
      <c r="VJM52" s="12"/>
      <c r="VJN52" s="12"/>
      <c r="VJO52" s="12"/>
      <c r="VJP52" s="12"/>
      <c r="VJQ52" s="12"/>
      <c r="VJR52" s="12"/>
      <c r="VJS52" s="12"/>
      <c r="VJT52" s="12"/>
      <c r="VJU52" s="12"/>
      <c r="VJV52" s="12"/>
      <c r="VJW52" s="12"/>
      <c r="VJX52" s="12"/>
      <c r="VJY52" s="12"/>
      <c r="VJZ52" s="12"/>
      <c r="VKA52" s="12"/>
      <c r="VKB52" s="12"/>
      <c r="VKC52" s="12"/>
      <c r="VKD52" s="12"/>
      <c r="VKE52" s="12"/>
      <c r="VKF52" s="12"/>
      <c r="VKG52" s="12"/>
      <c r="VKH52" s="12"/>
      <c r="VKI52" s="12"/>
      <c r="VKJ52" s="12"/>
      <c r="VKK52" s="12"/>
      <c r="VKL52" s="12"/>
      <c r="VKM52" s="12"/>
      <c r="VKN52" s="12"/>
      <c r="VKO52" s="12"/>
      <c r="VKP52" s="12"/>
      <c r="VKQ52" s="12"/>
      <c r="VKR52" s="12"/>
      <c r="VKS52" s="12"/>
      <c r="VKT52" s="12"/>
      <c r="VKU52" s="12"/>
      <c r="VKV52" s="12"/>
      <c r="VKW52" s="12"/>
      <c r="VKX52" s="12"/>
      <c r="VKY52" s="12"/>
      <c r="VKZ52" s="12"/>
      <c r="VLA52" s="12"/>
      <c r="VLB52" s="12"/>
      <c r="VLC52" s="12"/>
      <c r="VLD52" s="12"/>
      <c r="VLE52" s="12"/>
      <c r="VLF52" s="12"/>
      <c r="VLG52" s="12"/>
      <c r="VLH52" s="12"/>
      <c r="VLI52" s="12"/>
      <c r="VLJ52" s="12"/>
      <c r="VLK52" s="12"/>
      <c r="VLL52" s="12"/>
      <c r="VLM52" s="12"/>
      <c r="VLN52" s="12"/>
      <c r="VLO52" s="12"/>
      <c r="VLP52" s="12"/>
      <c r="VLQ52" s="12"/>
      <c r="VLR52" s="12"/>
      <c r="VLS52" s="12"/>
      <c r="VLT52" s="12"/>
      <c r="VLU52" s="12"/>
      <c r="VLV52" s="12"/>
      <c r="VLW52" s="12"/>
      <c r="VLX52" s="12"/>
      <c r="VLY52" s="12"/>
      <c r="VLZ52" s="12"/>
      <c r="VMA52" s="12"/>
      <c r="VMB52" s="12"/>
      <c r="VMC52" s="12"/>
      <c r="VMD52" s="12"/>
      <c r="VME52" s="12"/>
      <c r="VMF52" s="12"/>
      <c r="VMG52" s="12"/>
      <c r="VMH52" s="12"/>
      <c r="VMI52" s="12"/>
      <c r="VMJ52" s="12"/>
      <c r="VMK52" s="12"/>
      <c r="VML52" s="12"/>
      <c r="VMM52" s="12"/>
      <c r="VMN52" s="12"/>
      <c r="VMO52" s="12"/>
      <c r="VMP52" s="12"/>
      <c r="VMQ52" s="12"/>
      <c r="VMR52" s="12"/>
      <c r="VMS52" s="12"/>
      <c r="VMT52" s="12"/>
      <c r="VMU52" s="12"/>
      <c r="VMV52" s="12"/>
      <c r="VMW52" s="12"/>
      <c r="VMX52" s="12"/>
      <c r="VMY52" s="12"/>
      <c r="VMZ52" s="12"/>
      <c r="VNA52" s="12"/>
      <c r="VNB52" s="12"/>
      <c r="VNC52" s="12"/>
      <c r="VND52" s="12"/>
      <c r="VNE52" s="12"/>
      <c r="VNF52" s="12"/>
      <c r="VNG52" s="12"/>
      <c r="VNH52" s="12"/>
      <c r="VNI52" s="12"/>
      <c r="VNJ52" s="12"/>
      <c r="VNK52" s="12"/>
      <c r="VNL52" s="12"/>
      <c r="VNM52" s="12"/>
      <c r="VNN52" s="12"/>
      <c r="VNO52" s="12"/>
      <c r="VNP52" s="12"/>
      <c r="VNQ52" s="12"/>
      <c r="VNR52" s="12"/>
      <c r="VNS52" s="12"/>
      <c r="VNT52" s="12"/>
      <c r="VNU52" s="12"/>
      <c r="VNV52" s="12"/>
      <c r="VNW52" s="12"/>
      <c r="VNX52" s="12"/>
      <c r="VNY52" s="12"/>
      <c r="VNZ52" s="12"/>
      <c r="VOA52" s="12"/>
      <c r="VOB52" s="12"/>
      <c r="VOC52" s="12"/>
      <c r="VOD52" s="12"/>
      <c r="VOE52" s="12"/>
      <c r="VOF52" s="12"/>
      <c r="VOG52" s="12"/>
      <c r="VOH52" s="12"/>
      <c r="VOI52" s="12"/>
      <c r="VOJ52" s="12"/>
      <c r="VOK52" s="12"/>
      <c r="VOL52" s="12"/>
      <c r="VOM52" s="12"/>
      <c r="VON52" s="12"/>
      <c r="VOO52" s="12"/>
      <c r="VOP52" s="12"/>
      <c r="VOQ52" s="12"/>
      <c r="VOR52" s="12"/>
      <c r="VOS52" s="12"/>
      <c r="VOT52" s="12"/>
      <c r="VOU52" s="12"/>
      <c r="VOV52" s="12"/>
      <c r="VOW52" s="12"/>
      <c r="VOX52" s="12"/>
      <c r="VOY52" s="12"/>
      <c r="VOZ52" s="12"/>
      <c r="VPA52" s="12"/>
      <c r="VPB52" s="12"/>
      <c r="VPC52" s="12"/>
      <c r="VPD52" s="12"/>
      <c r="VPE52" s="12"/>
      <c r="VPF52" s="12"/>
      <c r="VPG52" s="12"/>
      <c r="VPH52" s="12"/>
      <c r="VPI52" s="12"/>
      <c r="VPJ52" s="12"/>
      <c r="VPK52" s="12"/>
      <c r="VPL52" s="12"/>
      <c r="VPM52" s="12"/>
      <c r="VPN52" s="12"/>
      <c r="VPO52" s="12"/>
      <c r="VPP52" s="12"/>
      <c r="VPQ52" s="12"/>
      <c r="VPR52" s="12"/>
      <c r="VPS52" s="12"/>
      <c r="VPT52" s="12"/>
      <c r="VPU52" s="12"/>
      <c r="VPV52" s="12"/>
      <c r="VPW52" s="12"/>
      <c r="VPX52" s="12"/>
      <c r="VPY52" s="12"/>
      <c r="VPZ52" s="12"/>
      <c r="VQA52" s="12"/>
      <c r="VQB52" s="12"/>
      <c r="VQC52" s="12"/>
      <c r="VQD52" s="12"/>
      <c r="VQE52" s="12"/>
      <c r="VQF52" s="12"/>
      <c r="VQG52" s="12"/>
      <c r="VQH52" s="12"/>
      <c r="VQI52" s="12"/>
      <c r="VQJ52" s="12"/>
      <c r="VQK52" s="12"/>
      <c r="VQL52" s="12"/>
      <c r="VQM52" s="12"/>
      <c r="VQN52" s="12"/>
      <c r="VQO52" s="12"/>
      <c r="VQP52" s="12"/>
      <c r="VQQ52" s="12"/>
      <c r="VQR52" s="12"/>
      <c r="VQS52" s="12"/>
      <c r="VQT52" s="12"/>
      <c r="VQU52" s="12"/>
      <c r="VQV52" s="12"/>
      <c r="VQW52" s="12"/>
      <c r="VQX52" s="12"/>
      <c r="VQY52" s="12"/>
      <c r="VQZ52" s="12"/>
      <c r="VRA52" s="12"/>
      <c r="VRB52" s="12"/>
      <c r="VRC52" s="12"/>
      <c r="VRD52" s="12"/>
      <c r="VRE52" s="12"/>
      <c r="VRF52" s="12"/>
      <c r="VRG52" s="12"/>
      <c r="VRH52" s="12"/>
      <c r="VRI52" s="12"/>
      <c r="VRJ52" s="12"/>
      <c r="VRK52" s="12"/>
      <c r="VRL52" s="12"/>
      <c r="VRM52" s="12"/>
      <c r="VRN52" s="12"/>
      <c r="VRO52" s="12"/>
      <c r="VRP52" s="12"/>
      <c r="VRQ52" s="12"/>
      <c r="VRR52" s="12"/>
      <c r="VRS52" s="12"/>
      <c r="VRT52" s="12"/>
      <c r="VRU52" s="12"/>
      <c r="VRV52" s="12"/>
      <c r="VRW52" s="12"/>
      <c r="VRX52" s="12"/>
      <c r="VRY52" s="12"/>
      <c r="VRZ52" s="12"/>
      <c r="VSA52" s="12"/>
      <c r="VSB52" s="12"/>
      <c r="VSC52" s="12"/>
      <c r="VSD52" s="12"/>
      <c r="VSE52" s="12"/>
      <c r="VSF52" s="12"/>
      <c r="VSG52" s="12"/>
      <c r="VSH52" s="12"/>
      <c r="VSI52" s="12"/>
      <c r="VSJ52" s="12"/>
      <c r="VSK52" s="12"/>
      <c r="VSL52" s="12"/>
      <c r="VSM52" s="12"/>
      <c r="VSN52" s="12"/>
      <c r="VSO52" s="12"/>
      <c r="VSP52" s="12"/>
      <c r="VSQ52" s="12"/>
      <c r="VSR52" s="12"/>
      <c r="VSS52" s="12"/>
      <c r="VST52" s="12"/>
      <c r="VSU52" s="12"/>
      <c r="VSV52" s="12"/>
      <c r="VSW52" s="12"/>
      <c r="VSX52" s="12"/>
      <c r="VSY52" s="12"/>
      <c r="VSZ52" s="12"/>
      <c r="VTA52" s="12"/>
      <c r="VTB52" s="12"/>
      <c r="VTC52" s="12"/>
      <c r="VTD52" s="12"/>
      <c r="VTE52" s="12"/>
      <c r="VTF52" s="12"/>
      <c r="VTG52" s="12"/>
      <c r="VTH52" s="12"/>
      <c r="VTI52" s="12"/>
      <c r="VTJ52" s="12"/>
      <c r="VTK52" s="12"/>
      <c r="VTL52" s="12"/>
      <c r="VTM52" s="12"/>
      <c r="VTN52" s="12"/>
      <c r="VTO52" s="12"/>
      <c r="VTP52" s="12"/>
      <c r="VTQ52" s="12"/>
      <c r="VTR52" s="12"/>
      <c r="VTS52" s="12"/>
      <c r="VTT52" s="12"/>
      <c r="VTU52" s="12"/>
      <c r="VTV52" s="12"/>
      <c r="VTW52" s="12"/>
      <c r="VTX52" s="12"/>
      <c r="VTY52" s="12"/>
      <c r="VTZ52" s="12"/>
      <c r="VUA52" s="12"/>
      <c r="VUB52" s="12"/>
      <c r="VUC52" s="12"/>
      <c r="VUD52" s="12"/>
      <c r="VUE52" s="12"/>
      <c r="VUF52" s="12"/>
      <c r="VUG52" s="12"/>
      <c r="VUH52" s="12"/>
      <c r="VUI52" s="12"/>
      <c r="VUJ52" s="12"/>
      <c r="VUK52" s="12"/>
      <c r="VUL52" s="12"/>
      <c r="VUM52" s="12"/>
      <c r="VUN52" s="12"/>
      <c r="VUO52" s="12"/>
      <c r="VUP52" s="12"/>
      <c r="VUQ52" s="12"/>
      <c r="VUR52" s="12"/>
      <c r="VUS52" s="12"/>
      <c r="VUT52" s="12"/>
      <c r="VUU52" s="12"/>
      <c r="VUV52" s="12"/>
      <c r="VUW52" s="12"/>
      <c r="VUX52" s="12"/>
      <c r="VUY52" s="12"/>
      <c r="VUZ52" s="12"/>
      <c r="VVA52" s="12"/>
      <c r="VVB52" s="12"/>
      <c r="VVC52" s="12"/>
      <c r="VVD52" s="12"/>
      <c r="VVE52" s="12"/>
      <c r="VVF52" s="12"/>
      <c r="VVG52" s="12"/>
      <c r="VVH52" s="12"/>
      <c r="VVI52" s="12"/>
      <c r="VVJ52" s="12"/>
      <c r="VVK52" s="12"/>
      <c r="VVL52" s="12"/>
      <c r="VVM52" s="12"/>
      <c r="VVN52" s="12"/>
      <c r="VVO52" s="12"/>
      <c r="VVP52" s="12"/>
      <c r="VVQ52" s="12"/>
      <c r="VVR52" s="12"/>
      <c r="VVS52" s="12"/>
      <c r="VVT52" s="12"/>
      <c r="VVU52" s="12"/>
      <c r="VVV52" s="12"/>
      <c r="VVW52" s="12"/>
      <c r="VVX52" s="12"/>
      <c r="VVY52" s="12"/>
      <c r="VVZ52" s="12"/>
      <c r="VWA52" s="12"/>
      <c r="VWB52" s="12"/>
      <c r="VWC52" s="12"/>
      <c r="VWD52" s="12"/>
      <c r="VWE52" s="12"/>
      <c r="VWF52" s="12"/>
      <c r="VWG52" s="12"/>
      <c r="VWH52" s="12"/>
      <c r="VWI52" s="12"/>
      <c r="VWJ52" s="12"/>
      <c r="VWK52" s="12"/>
      <c r="VWL52" s="12"/>
      <c r="VWM52" s="12"/>
      <c r="VWN52" s="12"/>
      <c r="VWO52" s="12"/>
      <c r="VWP52" s="12"/>
      <c r="VWQ52" s="12"/>
      <c r="VWR52" s="12"/>
      <c r="VWS52" s="12"/>
      <c r="VWT52" s="12"/>
      <c r="VWU52" s="12"/>
      <c r="VWV52" s="12"/>
      <c r="VWW52" s="12"/>
      <c r="VWX52" s="12"/>
      <c r="VWY52" s="12"/>
      <c r="VWZ52" s="12"/>
      <c r="VXA52" s="12"/>
      <c r="VXB52" s="12"/>
      <c r="VXC52" s="12"/>
      <c r="VXD52" s="12"/>
      <c r="VXE52" s="12"/>
      <c r="VXF52" s="12"/>
      <c r="VXG52" s="12"/>
      <c r="VXH52" s="12"/>
      <c r="VXI52" s="12"/>
      <c r="VXJ52" s="12"/>
      <c r="VXK52" s="12"/>
      <c r="VXL52" s="12"/>
      <c r="VXM52" s="12"/>
      <c r="VXN52" s="12"/>
      <c r="VXO52" s="12"/>
      <c r="VXP52" s="12"/>
      <c r="VXQ52" s="12"/>
      <c r="VXR52" s="12"/>
      <c r="VXS52" s="12"/>
      <c r="VXT52" s="12"/>
      <c r="VXU52" s="12"/>
      <c r="VXV52" s="12"/>
      <c r="VXW52" s="12"/>
      <c r="VXX52" s="12"/>
      <c r="VXY52" s="12"/>
      <c r="VXZ52" s="12"/>
      <c r="VYA52" s="12"/>
      <c r="VYB52" s="12"/>
      <c r="VYC52" s="12"/>
      <c r="VYD52" s="12"/>
      <c r="VYE52" s="12"/>
      <c r="VYF52" s="12"/>
      <c r="VYG52" s="12"/>
      <c r="VYH52" s="12"/>
      <c r="VYI52" s="12"/>
      <c r="VYJ52" s="12"/>
      <c r="VYK52" s="12"/>
      <c r="VYL52" s="12"/>
      <c r="VYM52" s="12"/>
      <c r="VYN52" s="12"/>
      <c r="VYO52" s="12"/>
      <c r="VYP52" s="12"/>
      <c r="VYQ52" s="12"/>
      <c r="VYR52" s="12"/>
      <c r="VYS52" s="12"/>
      <c r="VYT52" s="12"/>
      <c r="VYU52" s="12"/>
      <c r="VYV52" s="12"/>
      <c r="VYW52" s="12"/>
      <c r="VYX52" s="12"/>
      <c r="VYY52" s="12"/>
      <c r="VYZ52" s="12"/>
      <c r="VZA52" s="12"/>
      <c r="VZB52" s="12"/>
      <c r="VZC52" s="12"/>
      <c r="VZD52" s="12"/>
      <c r="VZE52" s="12"/>
      <c r="VZF52" s="12"/>
      <c r="VZG52" s="12"/>
      <c r="VZH52" s="12"/>
      <c r="VZI52" s="12"/>
      <c r="VZJ52" s="12"/>
      <c r="VZK52" s="12"/>
      <c r="VZL52" s="12"/>
      <c r="VZM52" s="12"/>
      <c r="VZN52" s="12"/>
      <c r="VZO52" s="12"/>
      <c r="VZP52" s="12"/>
      <c r="VZQ52" s="12"/>
      <c r="VZR52" s="12"/>
      <c r="VZS52" s="12"/>
      <c r="VZT52" s="12"/>
      <c r="VZU52" s="12"/>
      <c r="VZV52" s="12"/>
      <c r="VZW52" s="12"/>
      <c r="VZX52" s="12"/>
      <c r="VZY52" s="12"/>
      <c r="VZZ52" s="12"/>
      <c r="WAA52" s="12"/>
      <c r="WAB52" s="12"/>
      <c r="WAC52" s="12"/>
      <c r="WAD52" s="12"/>
      <c r="WAE52" s="12"/>
      <c r="WAF52" s="12"/>
      <c r="WAG52" s="12"/>
      <c r="WAH52" s="12"/>
      <c r="WAI52" s="12"/>
      <c r="WAJ52" s="12"/>
      <c r="WAK52" s="12"/>
      <c r="WAL52" s="12"/>
      <c r="WAM52" s="12"/>
      <c r="WAN52" s="12"/>
      <c r="WAO52" s="12"/>
      <c r="WAP52" s="12"/>
      <c r="WAQ52" s="12"/>
      <c r="WAR52" s="12"/>
      <c r="WAS52" s="12"/>
      <c r="WAT52" s="12"/>
      <c r="WAU52" s="12"/>
      <c r="WAV52" s="12"/>
      <c r="WAW52" s="12"/>
      <c r="WAX52" s="12"/>
      <c r="WAY52" s="12"/>
      <c r="WAZ52" s="12"/>
      <c r="WBA52" s="12"/>
      <c r="WBB52" s="12"/>
      <c r="WBC52" s="12"/>
      <c r="WBD52" s="12"/>
      <c r="WBE52" s="12"/>
      <c r="WBF52" s="12"/>
      <c r="WBG52" s="12"/>
      <c r="WBH52" s="12"/>
      <c r="WBI52" s="12"/>
      <c r="WBJ52" s="12"/>
      <c r="WBK52" s="12"/>
      <c r="WBL52" s="12"/>
      <c r="WBM52" s="12"/>
      <c r="WBN52" s="12"/>
      <c r="WBO52" s="12"/>
      <c r="WBP52" s="12"/>
      <c r="WBQ52" s="12"/>
      <c r="WBR52" s="12"/>
      <c r="WBS52" s="12"/>
      <c r="WBT52" s="12"/>
      <c r="WBU52" s="12"/>
      <c r="WBV52" s="12"/>
      <c r="WBW52" s="12"/>
      <c r="WBX52" s="12"/>
      <c r="WBY52" s="12"/>
      <c r="WBZ52" s="12"/>
      <c r="WCA52" s="12"/>
      <c r="WCB52" s="12"/>
      <c r="WCC52" s="12"/>
      <c r="WCD52" s="12"/>
      <c r="WCE52" s="12"/>
      <c r="WCF52" s="12"/>
      <c r="WCG52" s="12"/>
      <c r="WCH52" s="12"/>
      <c r="WCI52" s="12"/>
      <c r="WCJ52" s="12"/>
      <c r="WCK52" s="12"/>
      <c r="WCL52" s="12"/>
      <c r="WCM52" s="12"/>
      <c r="WCN52" s="12"/>
      <c r="WCO52" s="12"/>
      <c r="WCP52" s="12"/>
      <c r="WCQ52" s="12"/>
      <c r="WCR52" s="12"/>
      <c r="WCS52" s="12"/>
      <c r="WCT52" s="12"/>
      <c r="WCU52" s="12"/>
      <c r="WCV52" s="12"/>
      <c r="WCW52" s="12"/>
      <c r="WCX52" s="12"/>
      <c r="WCY52" s="12"/>
      <c r="WCZ52" s="12"/>
      <c r="WDA52" s="12"/>
      <c r="WDB52" s="12"/>
      <c r="WDC52" s="12"/>
      <c r="WDD52" s="12"/>
      <c r="WDE52" s="12"/>
      <c r="WDF52" s="12"/>
      <c r="WDG52" s="12"/>
      <c r="WDH52" s="12"/>
      <c r="WDI52" s="12"/>
      <c r="WDJ52" s="12"/>
      <c r="WDK52" s="12"/>
      <c r="WDL52" s="12"/>
      <c r="WDM52" s="12"/>
      <c r="WDN52" s="12"/>
      <c r="WDO52" s="12"/>
      <c r="WDP52" s="12"/>
      <c r="WDQ52" s="12"/>
      <c r="WDR52" s="12"/>
      <c r="WDS52" s="12"/>
      <c r="WDT52" s="12"/>
      <c r="WDU52" s="12"/>
      <c r="WDV52" s="12"/>
      <c r="WDW52" s="12"/>
      <c r="WDX52" s="12"/>
      <c r="WDY52" s="12"/>
      <c r="WDZ52" s="12"/>
      <c r="WEA52" s="12"/>
      <c r="WEB52" s="12"/>
      <c r="WEC52" s="12"/>
      <c r="WED52" s="12"/>
      <c r="WEE52" s="12"/>
      <c r="WEF52" s="12"/>
      <c r="WEG52" s="12"/>
      <c r="WEH52" s="12"/>
      <c r="WEI52" s="12"/>
      <c r="WEJ52" s="12"/>
      <c r="WEK52" s="12"/>
      <c r="WEL52" s="12"/>
      <c r="WEM52" s="12"/>
      <c r="WEN52" s="12"/>
      <c r="WEO52" s="12"/>
      <c r="WEP52" s="12"/>
      <c r="WEQ52" s="12"/>
      <c r="WER52" s="12"/>
      <c r="WES52" s="12"/>
      <c r="WET52" s="12"/>
      <c r="WEU52" s="12"/>
      <c r="WEV52" s="12"/>
      <c r="WEW52" s="12"/>
      <c r="WEX52" s="12"/>
      <c r="WEY52" s="12"/>
      <c r="WEZ52" s="12"/>
      <c r="WFA52" s="12"/>
      <c r="WFB52" s="12"/>
      <c r="WFC52" s="12"/>
      <c r="WFD52" s="12"/>
      <c r="WFE52" s="12"/>
      <c r="WFF52" s="12"/>
      <c r="WFG52" s="12"/>
      <c r="WFH52" s="12"/>
      <c r="WFI52" s="12"/>
      <c r="WFJ52" s="12"/>
      <c r="WFK52" s="12"/>
      <c r="WFL52" s="12"/>
      <c r="WFM52" s="12"/>
      <c r="WFN52" s="12"/>
      <c r="WFO52" s="12"/>
      <c r="WFP52" s="12"/>
      <c r="WFQ52" s="12"/>
      <c r="WFR52" s="12"/>
      <c r="WFS52" s="12"/>
      <c r="WFT52" s="12"/>
      <c r="WFU52" s="12"/>
      <c r="WFV52" s="12"/>
      <c r="WFW52" s="12"/>
      <c r="WFX52" s="12"/>
      <c r="WFY52" s="12"/>
      <c r="WFZ52" s="12"/>
      <c r="WGA52" s="12"/>
      <c r="WGB52" s="12"/>
      <c r="WGC52" s="12"/>
      <c r="WGD52" s="12"/>
      <c r="WGE52" s="12"/>
      <c r="WGF52" s="12"/>
      <c r="WGG52" s="12"/>
      <c r="WGH52" s="12"/>
      <c r="WGI52" s="12"/>
      <c r="WGJ52" s="12"/>
      <c r="WGK52" s="12"/>
      <c r="WGL52" s="12"/>
      <c r="WGM52" s="12"/>
      <c r="WGN52" s="12"/>
      <c r="WGO52" s="12"/>
      <c r="WGP52" s="12"/>
      <c r="WGQ52" s="12"/>
      <c r="WGR52" s="12"/>
      <c r="WGS52" s="12"/>
      <c r="WGT52" s="12"/>
      <c r="WGU52" s="12"/>
      <c r="WGV52" s="12"/>
      <c r="WGW52" s="12"/>
      <c r="WGX52" s="12"/>
      <c r="WGY52" s="12"/>
      <c r="WGZ52" s="12"/>
      <c r="WHA52" s="12"/>
      <c r="WHB52" s="12"/>
      <c r="WHC52" s="12"/>
      <c r="WHD52" s="12"/>
      <c r="WHE52" s="12"/>
      <c r="WHF52" s="12"/>
      <c r="WHG52" s="12"/>
      <c r="WHH52" s="12"/>
      <c r="WHI52" s="12"/>
      <c r="WHJ52" s="12"/>
      <c r="WHK52" s="12"/>
      <c r="WHL52" s="12"/>
      <c r="WHM52" s="12"/>
      <c r="WHN52" s="12"/>
      <c r="WHO52" s="12"/>
      <c r="WHP52" s="12"/>
      <c r="WHQ52" s="12"/>
      <c r="WHR52" s="12"/>
      <c r="WHS52" s="12"/>
      <c r="WHT52" s="12"/>
      <c r="WHU52" s="12"/>
      <c r="WHV52" s="12"/>
      <c r="WHW52" s="12"/>
      <c r="WHX52" s="12"/>
      <c r="WHY52" s="12"/>
      <c r="WHZ52" s="12"/>
      <c r="WIA52" s="12"/>
      <c r="WIB52" s="12"/>
      <c r="WIC52" s="12"/>
      <c r="WID52" s="12"/>
      <c r="WIE52" s="12"/>
      <c r="WIF52" s="12"/>
      <c r="WIG52" s="12"/>
      <c r="WIH52" s="12"/>
      <c r="WII52" s="12"/>
      <c r="WIJ52" s="12"/>
      <c r="WIK52" s="12"/>
      <c r="WIL52" s="12"/>
      <c r="WIM52" s="12"/>
      <c r="WIN52" s="12"/>
      <c r="WIO52" s="12"/>
      <c r="WIP52" s="12"/>
      <c r="WIQ52" s="12"/>
      <c r="WIR52" s="12"/>
      <c r="WIS52" s="12"/>
      <c r="WIT52" s="12"/>
      <c r="WIU52" s="12"/>
      <c r="WIV52" s="12"/>
      <c r="WIW52" s="12"/>
      <c r="WIX52" s="12"/>
      <c r="WIY52" s="12"/>
      <c r="WIZ52" s="12"/>
      <c r="WJA52" s="12"/>
      <c r="WJB52" s="12"/>
      <c r="WJC52" s="12"/>
      <c r="WJD52" s="12"/>
      <c r="WJE52" s="12"/>
      <c r="WJF52" s="12"/>
      <c r="WJG52" s="12"/>
      <c r="WJH52" s="12"/>
      <c r="WJI52" s="12"/>
      <c r="WJJ52" s="12"/>
      <c r="WJK52" s="12"/>
      <c r="WJL52" s="12"/>
      <c r="WJM52" s="12"/>
      <c r="WJN52" s="12"/>
      <c r="WJO52" s="12"/>
      <c r="WJP52" s="12"/>
      <c r="WJQ52" s="12"/>
      <c r="WJR52" s="12"/>
      <c r="WJS52" s="12"/>
      <c r="WJT52" s="12"/>
      <c r="WJU52" s="12"/>
      <c r="WJV52" s="12"/>
      <c r="WJW52" s="12"/>
      <c r="WJX52" s="12"/>
      <c r="WJY52" s="12"/>
      <c r="WJZ52" s="12"/>
      <c r="WKA52" s="12"/>
      <c r="WKB52" s="12"/>
      <c r="WKC52" s="12"/>
      <c r="WKD52" s="12"/>
      <c r="WKE52" s="12"/>
      <c r="WKF52" s="12"/>
      <c r="WKG52" s="12"/>
      <c r="WKH52" s="12"/>
      <c r="WKI52" s="12"/>
      <c r="WKJ52" s="12"/>
      <c r="WKK52" s="12"/>
      <c r="WKL52" s="12"/>
      <c r="WKM52" s="12"/>
      <c r="WKN52" s="12"/>
      <c r="WKO52" s="12"/>
      <c r="WKP52" s="12"/>
      <c r="WKQ52" s="12"/>
      <c r="WKR52" s="12"/>
      <c r="WKS52" s="12"/>
      <c r="WKT52" s="12"/>
      <c r="WKU52" s="12"/>
      <c r="WKV52" s="12"/>
      <c r="WKW52" s="12"/>
      <c r="WKX52" s="12"/>
      <c r="WKY52" s="12"/>
      <c r="WKZ52" s="12"/>
      <c r="WLA52" s="12"/>
      <c r="WLB52" s="12"/>
      <c r="WLC52" s="12"/>
      <c r="WLD52" s="12"/>
      <c r="WLE52" s="12"/>
      <c r="WLF52" s="12"/>
      <c r="WLG52" s="12"/>
      <c r="WLH52" s="12"/>
      <c r="WLI52" s="12"/>
      <c r="WLJ52" s="12"/>
      <c r="WLK52" s="12"/>
      <c r="WLL52" s="12"/>
      <c r="WLM52" s="12"/>
      <c r="WLN52" s="12"/>
      <c r="WLO52" s="12"/>
      <c r="WLP52" s="12"/>
      <c r="WLQ52" s="12"/>
      <c r="WLR52" s="12"/>
      <c r="WLS52" s="12"/>
      <c r="WLT52" s="12"/>
      <c r="WLU52" s="12"/>
      <c r="WLV52" s="12"/>
      <c r="WLW52" s="12"/>
      <c r="WLX52" s="12"/>
      <c r="WLY52" s="12"/>
      <c r="WLZ52" s="12"/>
      <c r="WMA52" s="12"/>
      <c r="WMB52" s="12"/>
      <c r="WMC52" s="12"/>
      <c r="WMD52" s="12"/>
      <c r="WME52" s="12"/>
      <c r="WMF52" s="12"/>
      <c r="WMG52" s="12"/>
      <c r="WMH52" s="12"/>
      <c r="WMI52" s="12"/>
      <c r="WMJ52" s="12"/>
      <c r="WMK52" s="12"/>
      <c r="WML52" s="12"/>
      <c r="WMM52" s="12"/>
      <c r="WMN52" s="12"/>
      <c r="WMO52" s="12"/>
      <c r="WMP52" s="12"/>
      <c r="WMQ52" s="12"/>
      <c r="WMR52" s="12"/>
      <c r="WMS52" s="12"/>
      <c r="WMT52" s="12"/>
      <c r="WMU52" s="12"/>
      <c r="WMV52" s="12"/>
      <c r="WMW52" s="12"/>
      <c r="WMX52" s="12"/>
      <c r="WMY52" s="12"/>
      <c r="WMZ52" s="12"/>
      <c r="WNA52" s="12"/>
      <c r="WNB52" s="12"/>
      <c r="WNC52" s="12"/>
      <c r="WND52" s="12"/>
      <c r="WNE52" s="12"/>
      <c r="WNF52" s="12"/>
      <c r="WNG52" s="12"/>
      <c r="WNH52" s="12"/>
      <c r="WNI52" s="12"/>
      <c r="WNJ52" s="12"/>
      <c r="WNK52" s="12"/>
      <c r="WNL52" s="12"/>
      <c r="WNM52" s="12"/>
      <c r="WNN52" s="12"/>
      <c r="WNO52" s="12"/>
      <c r="WNP52" s="12"/>
      <c r="WNQ52" s="12"/>
      <c r="WNR52" s="12"/>
      <c r="WNS52" s="12"/>
      <c r="WNT52" s="12"/>
      <c r="WNU52" s="12"/>
      <c r="WNV52" s="12"/>
      <c r="WNW52" s="12"/>
      <c r="WNX52" s="12"/>
      <c r="WNY52" s="12"/>
      <c r="WNZ52" s="12"/>
      <c r="WOA52" s="12"/>
      <c r="WOB52" s="12"/>
      <c r="WOC52" s="12"/>
      <c r="WOD52" s="12"/>
      <c r="WOE52" s="12"/>
      <c r="WOF52" s="12"/>
      <c r="WOG52" s="12"/>
      <c r="WOH52" s="12"/>
      <c r="WOI52" s="12"/>
      <c r="WOJ52" s="12"/>
      <c r="WOK52" s="12"/>
      <c r="WOL52" s="12"/>
      <c r="WOM52" s="12"/>
      <c r="WON52" s="12"/>
      <c r="WOO52" s="12"/>
      <c r="WOP52" s="12"/>
      <c r="WOQ52" s="12"/>
      <c r="WOR52" s="12"/>
      <c r="WOS52" s="12"/>
      <c r="WOT52" s="12"/>
      <c r="WOU52" s="12"/>
      <c r="WOV52" s="12"/>
      <c r="WOW52" s="12"/>
      <c r="WOX52" s="12"/>
      <c r="WOY52" s="12"/>
      <c r="WOZ52" s="12"/>
      <c r="WPA52" s="12"/>
      <c r="WPB52" s="12"/>
      <c r="WPC52" s="12"/>
      <c r="WPD52" s="12"/>
      <c r="WPE52" s="12"/>
      <c r="WPF52" s="12"/>
      <c r="WPG52" s="12"/>
      <c r="WPH52" s="12"/>
      <c r="WPI52" s="12"/>
      <c r="WPJ52" s="12"/>
      <c r="WPK52" s="12"/>
      <c r="WPL52" s="12"/>
      <c r="WPM52" s="12"/>
      <c r="WPN52" s="12"/>
      <c r="WPO52" s="12"/>
      <c r="WPP52" s="12"/>
      <c r="WPQ52" s="12"/>
      <c r="WPR52" s="12"/>
      <c r="WPS52" s="12"/>
      <c r="WPT52" s="12"/>
      <c r="WPU52" s="12"/>
      <c r="WPV52" s="12"/>
      <c r="WPW52" s="12"/>
      <c r="WPX52" s="12"/>
      <c r="WPY52" s="12"/>
      <c r="WPZ52" s="12"/>
      <c r="WQA52" s="12"/>
      <c r="WQB52" s="12"/>
      <c r="WQC52" s="12"/>
      <c r="WQD52" s="12"/>
      <c r="WQE52" s="12"/>
      <c r="WQF52" s="12"/>
      <c r="WQG52" s="12"/>
      <c r="WQH52" s="12"/>
      <c r="WQI52" s="12"/>
      <c r="WQJ52" s="12"/>
      <c r="WQK52" s="12"/>
      <c r="WQL52" s="12"/>
      <c r="WQM52" s="12"/>
      <c r="WQN52" s="12"/>
      <c r="WQO52" s="12"/>
      <c r="WQP52" s="12"/>
      <c r="WQQ52" s="12"/>
      <c r="WQR52" s="12"/>
      <c r="WQS52" s="12"/>
      <c r="WQT52" s="12"/>
      <c r="WQU52" s="12"/>
      <c r="WQV52" s="12"/>
      <c r="WQW52" s="12"/>
      <c r="WQX52" s="12"/>
      <c r="WQY52" s="12"/>
      <c r="WQZ52" s="12"/>
      <c r="WRA52" s="12"/>
      <c r="WRB52" s="12"/>
      <c r="WRC52" s="12"/>
      <c r="WRD52" s="12"/>
      <c r="WRE52" s="12"/>
      <c r="WRF52" s="12"/>
      <c r="WRG52" s="12"/>
      <c r="WRH52" s="12"/>
      <c r="WRI52" s="12"/>
      <c r="WRJ52" s="12"/>
      <c r="WRK52" s="12"/>
      <c r="WRL52" s="12"/>
      <c r="WRM52" s="12"/>
      <c r="WRN52" s="12"/>
      <c r="WRO52" s="12"/>
      <c r="WRP52" s="12"/>
      <c r="WRQ52" s="12"/>
      <c r="WRR52" s="12"/>
      <c r="WRS52" s="12"/>
      <c r="WRT52" s="12"/>
      <c r="WRU52" s="12"/>
      <c r="WRV52" s="12"/>
      <c r="WRW52" s="12"/>
      <c r="WRX52" s="12"/>
      <c r="WRY52" s="12"/>
      <c r="WRZ52" s="12"/>
      <c r="WSA52" s="12"/>
      <c r="WSB52" s="12"/>
      <c r="WSC52" s="12"/>
      <c r="WSD52" s="12"/>
      <c r="WSE52" s="12"/>
      <c r="WSF52" s="12"/>
      <c r="WSG52" s="12"/>
      <c r="WSH52" s="12"/>
      <c r="WSI52" s="12"/>
      <c r="WSJ52" s="12"/>
      <c r="WSK52" s="12"/>
      <c r="WSL52" s="12"/>
      <c r="WSM52" s="12"/>
      <c r="WSN52" s="12"/>
      <c r="WSO52" s="12"/>
      <c r="WSP52" s="12"/>
      <c r="WSQ52" s="12"/>
      <c r="WSR52" s="12"/>
      <c r="WSS52" s="12"/>
      <c r="WST52" s="12"/>
      <c r="WSU52" s="12"/>
      <c r="WSV52" s="12"/>
      <c r="WSW52" s="12"/>
      <c r="WSX52" s="12"/>
      <c r="WSY52" s="12"/>
      <c r="WSZ52" s="12"/>
      <c r="WTA52" s="12"/>
      <c r="WTB52" s="12"/>
      <c r="WTC52" s="12"/>
      <c r="WTD52" s="12"/>
      <c r="WTE52" s="12"/>
      <c r="WTF52" s="12"/>
      <c r="WTG52" s="12"/>
      <c r="WTH52" s="12"/>
      <c r="WTI52" s="12"/>
      <c r="WTJ52" s="12"/>
      <c r="WTK52" s="12"/>
      <c r="WTL52" s="12"/>
      <c r="WTM52" s="12"/>
      <c r="WTN52" s="12"/>
      <c r="WTO52" s="12"/>
      <c r="WTP52" s="12"/>
      <c r="WTQ52" s="12"/>
      <c r="WTR52" s="12"/>
      <c r="WTS52" s="12"/>
      <c r="WTT52" s="12"/>
      <c r="WTU52" s="12"/>
      <c r="WTV52" s="12"/>
      <c r="WTW52" s="12"/>
      <c r="WTX52" s="12"/>
      <c r="WTY52" s="12"/>
      <c r="WTZ52" s="12"/>
      <c r="WUA52" s="12"/>
      <c r="WUB52" s="12"/>
      <c r="WUC52" s="12"/>
      <c r="WUD52" s="12"/>
      <c r="WUE52" s="12"/>
      <c r="WUF52" s="12"/>
      <c r="WUG52" s="12"/>
      <c r="WUH52" s="12"/>
      <c r="WUI52" s="12"/>
      <c r="WUJ52" s="12"/>
      <c r="WUK52" s="12"/>
      <c r="WUL52" s="12"/>
      <c r="WUM52" s="12"/>
      <c r="WUN52" s="12"/>
      <c r="WUO52" s="12"/>
      <c r="WUP52" s="12"/>
      <c r="WUQ52" s="12"/>
      <c r="WUR52" s="12"/>
      <c r="WUS52" s="12"/>
      <c r="WUT52" s="12"/>
      <c r="WUU52" s="12"/>
      <c r="WUV52" s="12"/>
      <c r="WUW52" s="12"/>
      <c r="WUX52" s="12"/>
      <c r="WUY52" s="12"/>
      <c r="WUZ52" s="12"/>
      <c r="WVA52" s="12"/>
      <c r="WVB52" s="12"/>
      <c r="WVC52" s="12"/>
      <c r="WVD52" s="12"/>
      <c r="WVE52" s="12"/>
      <c r="WVF52" s="12"/>
      <c r="WVG52" s="12"/>
      <c r="WVH52" s="12"/>
      <c r="WVI52" s="12"/>
      <c r="WVJ52" s="12"/>
      <c r="WVK52" s="12"/>
      <c r="WVL52" s="12"/>
      <c r="WVM52" s="12"/>
      <c r="WVN52" s="12"/>
      <c r="WVO52" s="12"/>
      <c r="WVP52" s="12"/>
      <c r="WVQ52" s="12"/>
      <c r="WVR52" s="12"/>
      <c r="WVS52" s="12"/>
      <c r="WVT52" s="12"/>
      <c r="WVU52" s="12"/>
      <c r="WVV52" s="12"/>
      <c r="WVW52" s="12"/>
      <c r="WVX52" s="12"/>
      <c r="WVY52" s="12"/>
      <c r="WVZ52" s="12"/>
      <c r="WWA52" s="12"/>
      <c r="WWB52" s="12"/>
      <c r="WWC52" s="12"/>
      <c r="WWD52" s="12"/>
      <c r="WWE52" s="12"/>
      <c r="WWF52" s="12"/>
      <c r="WWG52" s="12"/>
      <c r="WWH52" s="12"/>
      <c r="WWI52" s="12"/>
      <c r="WWJ52" s="12"/>
      <c r="WWK52" s="12"/>
      <c r="WWL52" s="12"/>
      <c r="WWM52" s="12"/>
      <c r="WWN52" s="12"/>
      <c r="WWO52" s="12"/>
      <c r="WWP52" s="12"/>
      <c r="WWQ52" s="12"/>
      <c r="WWR52" s="12"/>
      <c r="WWS52" s="12"/>
      <c r="WWT52" s="12"/>
      <c r="WWU52" s="12"/>
      <c r="WWV52" s="12"/>
      <c r="WWW52" s="12"/>
      <c r="WWX52" s="12"/>
      <c r="WWY52" s="12"/>
      <c r="WWZ52" s="12"/>
      <c r="WXA52" s="12"/>
      <c r="WXB52" s="12"/>
      <c r="WXC52" s="12"/>
      <c r="WXD52" s="12"/>
      <c r="WXE52" s="12"/>
      <c r="WXF52" s="12"/>
      <c r="WXG52" s="12"/>
      <c r="WXH52" s="12"/>
      <c r="WXI52" s="12"/>
      <c r="WXJ52" s="12"/>
      <c r="WXK52" s="12"/>
      <c r="WXL52" s="12"/>
      <c r="WXM52" s="12"/>
      <c r="WXN52" s="12"/>
      <c r="WXO52" s="12"/>
      <c r="WXP52" s="12"/>
      <c r="WXQ52" s="12"/>
      <c r="WXR52" s="12"/>
      <c r="WXS52" s="12"/>
      <c r="WXT52" s="12"/>
      <c r="WXU52" s="12"/>
      <c r="WXV52" s="12"/>
      <c r="WXW52" s="12"/>
      <c r="WXX52" s="12"/>
      <c r="WXY52" s="12"/>
      <c r="WXZ52" s="12"/>
      <c r="WYA52" s="12"/>
      <c r="WYB52" s="12"/>
      <c r="WYC52" s="12"/>
      <c r="WYD52" s="12"/>
      <c r="WYE52" s="12"/>
      <c r="WYF52" s="12"/>
      <c r="WYG52" s="12"/>
      <c r="WYH52" s="12"/>
      <c r="WYI52" s="12"/>
      <c r="WYJ52" s="12"/>
      <c r="WYK52" s="12"/>
      <c r="WYL52" s="12"/>
      <c r="WYM52" s="12"/>
      <c r="WYN52" s="12"/>
      <c r="WYO52" s="12"/>
      <c r="WYP52" s="12"/>
      <c r="WYQ52" s="12"/>
      <c r="WYR52" s="12"/>
      <c r="WYS52" s="12"/>
      <c r="WYT52" s="12"/>
      <c r="WYU52" s="12"/>
      <c r="WYV52" s="12"/>
      <c r="WYW52" s="12"/>
      <c r="WYX52" s="12"/>
      <c r="WYY52" s="12"/>
      <c r="WYZ52" s="12"/>
      <c r="WZA52" s="12"/>
      <c r="WZB52" s="12"/>
      <c r="WZC52" s="12"/>
      <c r="WZD52" s="12"/>
      <c r="WZE52" s="12"/>
      <c r="WZF52" s="12"/>
      <c r="WZG52" s="12"/>
      <c r="WZH52" s="12"/>
      <c r="WZI52" s="12"/>
      <c r="WZJ52" s="12"/>
      <c r="WZK52" s="12"/>
      <c r="WZL52" s="12"/>
      <c r="WZM52" s="12"/>
      <c r="WZN52" s="12"/>
      <c r="WZO52" s="12"/>
      <c r="WZP52" s="12"/>
      <c r="WZQ52" s="12"/>
      <c r="WZR52" s="12"/>
      <c r="WZS52" s="12"/>
      <c r="WZT52" s="12"/>
      <c r="WZU52" s="12"/>
      <c r="WZV52" s="12"/>
      <c r="WZW52" s="12"/>
      <c r="WZX52" s="12"/>
      <c r="WZY52" s="12"/>
      <c r="WZZ52" s="12"/>
      <c r="XAA52" s="12"/>
      <c r="XAB52" s="12"/>
      <c r="XAC52" s="12"/>
      <c r="XAD52" s="12"/>
      <c r="XAE52" s="12"/>
      <c r="XAF52" s="12"/>
      <c r="XAG52" s="12"/>
      <c r="XAH52" s="12"/>
      <c r="XAI52" s="12"/>
      <c r="XAJ52" s="12"/>
      <c r="XAK52" s="12"/>
      <c r="XAL52" s="12"/>
      <c r="XAM52" s="12"/>
      <c r="XAN52" s="12"/>
      <c r="XAO52" s="12"/>
      <c r="XAP52" s="12"/>
      <c r="XAQ52" s="12"/>
      <c r="XAR52" s="12"/>
      <c r="XAS52" s="12"/>
      <c r="XAT52" s="12"/>
      <c r="XAU52" s="12"/>
      <c r="XAV52" s="12"/>
      <c r="XAW52" s="12"/>
      <c r="XAX52" s="12"/>
      <c r="XAY52" s="12"/>
      <c r="XAZ52" s="12"/>
      <c r="XBA52" s="12"/>
      <c r="XBB52" s="12"/>
      <c r="XBC52" s="12"/>
      <c r="XBD52" s="12"/>
      <c r="XBE52" s="12"/>
      <c r="XBF52" s="12"/>
      <c r="XBG52" s="12"/>
      <c r="XBH52" s="12"/>
      <c r="XBI52" s="12"/>
      <c r="XBJ52" s="12"/>
      <c r="XBK52" s="12"/>
      <c r="XBL52" s="12"/>
      <c r="XBM52" s="12"/>
      <c r="XBN52" s="12"/>
      <c r="XBO52" s="12"/>
      <c r="XBP52" s="12"/>
      <c r="XBQ52" s="12"/>
      <c r="XBR52" s="12"/>
      <c r="XBS52" s="12"/>
      <c r="XBT52" s="12"/>
      <c r="XBU52" s="12"/>
      <c r="XBV52" s="12"/>
      <c r="XBW52" s="12"/>
      <c r="XBX52" s="12"/>
      <c r="XBY52" s="12"/>
      <c r="XBZ52" s="12"/>
      <c r="XCA52" s="12"/>
      <c r="XCB52" s="12"/>
      <c r="XCC52" s="12"/>
      <c r="XCD52" s="12"/>
      <c r="XCE52" s="12"/>
      <c r="XCF52" s="12"/>
      <c r="XCG52" s="12"/>
      <c r="XCH52" s="12"/>
    </row>
    <row r="53" spans="1:16310" s="115" customFormat="1" ht="10.199999999999999" x14ac:dyDescent="0.2">
      <c r="A53" s="122">
        <v>1</v>
      </c>
      <c r="C53" s="123"/>
      <c r="D53" s="116" t="str">
        <f>IF(ISERROR(VLOOKUP('Оценка трудоемкости'!$C53,Справочники!S:V,3,0))=TRUE,"",VLOOKUP('Оценка трудоемкости'!$C53,Справочники!S:V,3,0))</f>
        <v/>
      </c>
      <c r="E53" s="116">
        <f>IF(ISERROR(VLOOKUP('Оценка трудоемкости'!$C53,Справочники!S:V,4,0))=TRUE,0,VLOOKUP('Оценка трудоемкости'!$C53,Справочники!S:V,4,0))</f>
        <v>0</v>
      </c>
      <c r="F53" s="127"/>
      <c r="G53" s="116">
        <f t="shared" si="207"/>
        <v>0</v>
      </c>
      <c r="H53" s="12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16">
        <f t="shared" si="208"/>
        <v>0</v>
      </c>
      <c r="V53" s="12"/>
      <c r="W53" s="124"/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  <c r="AH53" s="124"/>
      <c r="AI53" s="116">
        <f t="shared" si="209"/>
        <v>0</v>
      </c>
      <c r="AJ53" s="12"/>
      <c r="AK53" s="124"/>
      <c r="AL53" s="124"/>
      <c r="AM53" s="124"/>
      <c r="AN53" s="124"/>
      <c r="AO53" s="124"/>
      <c r="AP53" s="124"/>
      <c r="AQ53" s="124"/>
      <c r="AR53" s="124"/>
      <c r="AS53" s="124"/>
      <c r="AT53" s="124"/>
      <c r="AU53" s="124"/>
      <c r="AV53" s="124"/>
      <c r="AW53" s="116">
        <f t="shared" si="210"/>
        <v>0</v>
      </c>
      <c r="AX53" s="12"/>
      <c r="AY53" s="124"/>
      <c r="AZ53" s="124"/>
      <c r="BA53" s="124"/>
      <c r="BB53" s="124"/>
      <c r="BC53" s="124"/>
      <c r="BD53" s="124"/>
      <c r="BE53" s="124"/>
      <c r="BF53" s="124"/>
      <c r="BG53" s="124"/>
      <c r="BH53" s="124"/>
      <c r="BI53" s="124"/>
      <c r="BJ53" s="124"/>
      <c r="BK53" s="116">
        <f t="shared" si="211"/>
        <v>0</v>
      </c>
      <c r="BL53" s="12"/>
      <c r="BM53" s="124"/>
      <c r="BN53" s="124"/>
      <c r="BO53" s="124"/>
      <c r="BP53" s="124"/>
      <c r="BQ53" s="124"/>
      <c r="BR53" s="124"/>
      <c r="BS53" s="124"/>
      <c r="BT53" s="124"/>
      <c r="BU53" s="124"/>
      <c r="BV53" s="124"/>
      <c r="BW53" s="124"/>
      <c r="BX53" s="124"/>
      <c r="BY53" s="116">
        <f t="shared" si="212"/>
        <v>0</v>
      </c>
      <c r="BZ53" s="12"/>
      <c r="CA53" s="200">
        <f t="shared" si="213"/>
        <v>0</v>
      </c>
      <c r="CB53" s="12"/>
      <c r="CC53" s="118">
        <f t="shared" si="147"/>
        <v>0</v>
      </c>
      <c r="CD53" s="118">
        <f t="shared" si="148"/>
        <v>0</v>
      </c>
      <c r="CE53" s="118">
        <f t="shared" si="149"/>
        <v>0</v>
      </c>
      <c r="CF53" s="118">
        <f t="shared" si="150"/>
        <v>0</v>
      </c>
      <c r="CG53" s="118">
        <f t="shared" si="151"/>
        <v>0</v>
      </c>
      <c r="CH53" s="118">
        <f t="shared" si="152"/>
        <v>0</v>
      </c>
      <c r="CI53" s="118">
        <f t="shared" si="153"/>
        <v>0</v>
      </c>
      <c r="CJ53" s="118">
        <f t="shared" si="154"/>
        <v>0</v>
      </c>
      <c r="CK53" s="118">
        <f t="shared" si="155"/>
        <v>0</v>
      </c>
      <c r="CL53" s="118">
        <f t="shared" si="156"/>
        <v>0</v>
      </c>
      <c r="CM53" s="118">
        <f t="shared" si="157"/>
        <v>0</v>
      </c>
      <c r="CN53" s="118">
        <f t="shared" si="158"/>
        <v>0</v>
      </c>
      <c r="CO53" s="41">
        <f t="shared" si="214"/>
        <v>0</v>
      </c>
      <c r="CP53" s="12"/>
      <c r="CQ53" s="118">
        <f t="shared" si="159"/>
        <v>0</v>
      </c>
      <c r="CR53" s="118">
        <f t="shared" si="160"/>
        <v>0</v>
      </c>
      <c r="CS53" s="118">
        <f t="shared" si="161"/>
        <v>0</v>
      </c>
      <c r="CT53" s="118">
        <f t="shared" si="162"/>
        <v>0</v>
      </c>
      <c r="CU53" s="118">
        <f t="shared" si="163"/>
        <v>0</v>
      </c>
      <c r="CV53" s="118">
        <f t="shared" si="164"/>
        <v>0</v>
      </c>
      <c r="CW53" s="118">
        <f t="shared" si="165"/>
        <v>0</v>
      </c>
      <c r="CX53" s="118">
        <f t="shared" si="166"/>
        <v>0</v>
      </c>
      <c r="CY53" s="118">
        <f t="shared" si="167"/>
        <v>0</v>
      </c>
      <c r="CZ53" s="118">
        <f t="shared" si="168"/>
        <v>0</v>
      </c>
      <c r="DA53" s="118">
        <f t="shared" si="169"/>
        <v>0</v>
      </c>
      <c r="DB53" s="118">
        <f t="shared" si="170"/>
        <v>0</v>
      </c>
      <c r="DC53" s="41">
        <f t="shared" si="215"/>
        <v>0</v>
      </c>
      <c r="DD53" s="12"/>
      <c r="DE53" s="118">
        <f t="shared" si="171"/>
        <v>0</v>
      </c>
      <c r="DF53" s="118">
        <f t="shared" si="172"/>
        <v>0</v>
      </c>
      <c r="DG53" s="118">
        <f t="shared" si="173"/>
        <v>0</v>
      </c>
      <c r="DH53" s="118">
        <f t="shared" si="174"/>
        <v>0</v>
      </c>
      <c r="DI53" s="118">
        <f t="shared" si="175"/>
        <v>0</v>
      </c>
      <c r="DJ53" s="118">
        <f t="shared" si="176"/>
        <v>0</v>
      </c>
      <c r="DK53" s="118">
        <f t="shared" si="177"/>
        <v>0</v>
      </c>
      <c r="DL53" s="118">
        <f t="shared" si="178"/>
        <v>0</v>
      </c>
      <c r="DM53" s="118">
        <f t="shared" si="179"/>
        <v>0</v>
      </c>
      <c r="DN53" s="118">
        <f t="shared" si="180"/>
        <v>0</v>
      </c>
      <c r="DO53" s="118">
        <f t="shared" si="181"/>
        <v>0</v>
      </c>
      <c r="DP53" s="118">
        <f t="shared" si="182"/>
        <v>0</v>
      </c>
      <c r="DQ53" s="41">
        <f t="shared" si="216"/>
        <v>0</v>
      </c>
      <c r="DR53" s="12"/>
      <c r="DS53" s="118">
        <f t="shared" si="183"/>
        <v>0</v>
      </c>
      <c r="DT53" s="118">
        <f t="shared" si="184"/>
        <v>0</v>
      </c>
      <c r="DU53" s="118">
        <f t="shared" si="185"/>
        <v>0</v>
      </c>
      <c r="DV53" s="118">
        <f t="shared" si="186"/>
        <v>0</v>
      </c>
      <c r="DW53" s="118">
        <f t="shared" si="187"/>
        <v>0</v>
      </c>
      <c r="DX53" s="118">
        <f t="shared" si="188"/>
        <v>0</v>
      </c>
      <c r="DY53" s="118">
        <f t="shared" si="189"/>
        <v>0</v>
      </c>
      <c r="DZ53" s="118">
        <f t="shared" si="190"/>
        <v>0</v>
      </c>
      <c r="EA53" s="118">
        <f t="shared" si="191"/>
        <v>0</v>
      </c>
      <c r="EB53" s="118">
        <f t="shared" si="192"/>
        <v>0</v>
      </c>
      <c r="EC53" s="118">
        <f t="shared" si="193"/>
        <v>0</v>
      </c>
      <c r="ED53" s="118">
        <f t="shared" si="194"/>
        <v>0</v>
      </c>
      <c r="EE53" s="41">
        <f t="shared" si="217"/>
        <v>0</v>
      </c>
      <c r="EF53" s="12"/>
      <c r="EG53" s="118">
        <f t="shared" si="195"/>
        <v>0</v>
      </c>
      <c r="EH53" s="118">
        <f t="shared" si="196"/>
        <v>0</v>
      </c>
      <c r="EI53" s="118">
        <f t="shared" si="197"/>
        <v>0</v>
      </c>
      <c r="EJ53" s="118">
        <f t="shared" si="198"/>
        <v>0</v>
      </c>
      <c r="EK53" s="118">
        <f t="shared" si="199"/>
        <v>0</v>
      </c>
      <c r="EL53" s="118">
        <f t="shared" si="200"/>
        <v>0</v>
      </c>
      <c r="EM53" s="118">
        <f t="shared" si="201"/>
        <v>0</v>
      </c>
      <c r="EN53" s="118">
        <f t="shared" si="202"/>
        <v>0</v>
      </c>
      <c r="EO53" s="118">
        <f t="shared" si="203"/>
        <v>0</v>
      </c>
      <c r="EP53" s="118">
        <f t="shared" si="204"/>
        <v>0</v>
      </c>
      <c r="EQ53" s="118">
        <f t="shared" si="205"/>
        <v>0</v>
      </c>
      <c r="ER53" s="118">
        <f t="shared" si="206"/>
        <v>0</v>
      </c>
      <c r="ES53" s="41">
        <f t="shared" si="218"/>
        <v>0</v>
      </c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12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12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/>
      <c r="IX53" s="12"/>
      <c r="IY53" s="12"/>
      <c r="IZ53" s="12"/>
      <c r="JA53" s="12"/>
      <c r="JB53" s="12"/>
      <c r="JC53" s="12"/>
      <c r="JD53" s="12"/>
      <c r="JE53" s="12"/>
      <c r="JF53" s="12"/>
      <c r="JG53" s="12"/>
      <c r="JH53" s="12"/>
      <c r="JI53" s="12"/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/>
      <c r="JV53" s="12"/>
      <c r="JW53" s="12"/>
      <c r="JX53" s="12"/>
      <c r="JY53" s="12"/>
      <c r="JZ53" s="12"/>
      <c r="KA53" s="12"/>
      <c r="KB53" s="12"/>
      <c r="KC53" s="12"/>
      <c r="KD53" s="12"/>
      <c r="KE53" s="12"/>
      <c r="KF53" s="12"/>
      <c r="KG53" s="12"/>
      <c r="KH53" s="12"/>
      <c r="KI53" s="12"/>
      <c r="KJ53" s="12"/>
      <c r="KK53" s="12"/>
      <c r="KL53" s="12"/>
      <c r="KM53" s="12"/>
      <c r="KN53" s="12"/>
      <c r="KO53" s="12"/>
      <c r="KP53" s="12"/>
      <c r="KQ53" s="12"/>
      <c r="KR53" s="12"/>
      <c r="KS53" s="12"/>
      <c r="KT53" s="12"/>
      <c r="KU53" s="12"/>
      <c r="KV53" s="12"/>
      <c r="KW53" s="12"/>
      <c r="KX53" s="12"/>
      <c r="KY53" s="12"/>
      <c r="KZ53" s="12"/>
      <c r="LA53" s="12"/>
      <c r="LB53" s="12"/>
      <c r="LC53" s="12"/>
      <c r="LD53" s="12"/>
      <c r="LE53" s="12"/>
      <c r="LF53" s="12"/>
      <c r="LG53" s="12"/>
      <c r="LH53" s="12"/>
      <c r="LI53" s="12"/>
      <c r="LJ53" s="12"/>
      <c r="LK53" s="12"/>
      <c r="LL53" s="12"/>
      <c r="LM53" s="12"/>
      <c r="LN53" s="12"/>
      <c r="LO53" s="12"/>
      <c r="LP53" s="12"/>
      <c r="LQ53" s="12"/>
      <c r="LR53" s="12"/>
      <c r="LS53" s="12"/>
      <c r="LT53" s="12"/>
      <c r="LU53" s="12"/>
      <c r="LV53" s="12"/>
      <c r="LW53" s="12"/>
      <c r="LX53" s="12"/>
      <c r="LY53" s="12"/>
      <c r="LZ53" s="12"/>
      <c r="MA53" s="12"/>
      <c r="MB53" s="12"/>
      <c r="MC53" s="12"/>
      <c r="MD53" s="12"/>
      <c r="ME53" s="12"/>
      <c r="MF53" s="12"/>
      <c r="MG53" s="12"/>
      <c r="MH53" s="12"/>
      <c r="MI53" s="12"/>
      <c r="MJ53" s="12"/>
      <c r="MK53" s="12"/>
      <c r="ML53" s="12"/>
      <c r="MM53" s="12"/>
      <c r="MN53" s="12"/>
      <c r="MO53" s="12"/>
      <c r="MP53" s="12"/>
      <c r="MQ53" s="12"/>
      <c r="MR53" s="12"/>
      <c r="MS53" s="12"/>
      <c r="MT53" s="12"/>
      <c r="MU53" s="12"/>
      <c r="MV53" s="12"/>
      <c r="MW53" s="12"/>
      <c r="MX53" s="12"/>
      <c r="MY53" s="12"/>
      <c r="MZ53" s="12"/>
      <c r="NA53" s="12"/>
      <c r="NB53" s="12"/>
      <c r="NC53" s="12"/>
      <c r="ND53" s="12"/>
      <c r="NE53" s="12"/>
      <c r="NF53" s="12"/>
      <c r="NG53" s="12"/>
      <c r="NH53" s="12"/>
      <c r="NI53" s="12"/>
      <c r="NJ53" s="12"/>
      <c r="NK53" s="12"/>
      <c r="NL53" s="12"/>
      <c r="NM53" s="12"/>
      <c r="NN53" s="12"/>
      <c r="NO53" s="12"/>
      <c r="NP53" s="12"/>
      <c r="NQ53" s="12"/>
      <c r="NR53" s="12"/>
      <c r="NS53" s="12"/>
      <c r="NT53" s="12"/>
      <c r="NU53" s="12"/>
      <c r="NV53" s="12"/>
      <c r="NW53" s="12"/>
      <c r="NX53" s="12"/>
      <c r="NY53" s="12"/>
      <c r="NZ53" s="12"/>
      <c r="OA53" s="12"/>
      <c r="OB53" s="12"/>
      <c r="OC53" s="12"/>
      <c r="OD53" s="12"/>
      <c r="OE53" s="12"/>
      <c r="OF53" s="12"/>
      <c r="OG53" s="12"/>
      <c r="OH53" s="12"/>
      <c r="OI53" s="12"/>
      <c r="OJ53" s="12"/>
      <c r="OK53" s="12"/>
      <c r="OL53" s="12"/>
      <c r="OM53" s="12"/>
      <c r="ON53" s="12"/>
      <c r="OO53" s="12"/>
      <c r="OP53" s="12"/>
      <c r="OQ53" s="12"/>
      <c r="OR53" s="12"/>
      <c r="OS53" s="12"/>
      <c r="OT53" s="12"/>
      <c r="OU53" s="12"/>
      <c r="OV53" s="12"/>
      <c r="OW53" s="12"/>
      <c r="OX53" s="12"/>
      <c r="OY53" s="12"/>
      <c r="OZ53" s="12"/>
      <c r="PA53" s="12"/>
      <c r="PB53" s="12"/>
      <c r="PC53" s="12"/>
      <c r="PD53" s="12"/>
      <c r="PE53" s="12"/>
      <c r="PF53" s="12"/>
      <c r="PG53" s="12"/>
      <c r="PH53" s="12"/>
      <c r="PI53" s="12"/>
      <c r="PJ53" s="12"/>
      <c r="PK53" s="12"/>
      <c r="PL53" s="12"/>
      <c r="PM53" s="12"/>
      <c r="PN53" s="12"/>
      <c r="PO53" s="12"/>
      <c r="PP53" s="12"/>
      <c r="PQ53" s="12"/>
      <c r="PR53" s="12"/>
      <c r="PS53" s="12"/>
      <c r="PT53" s="12"/>
      <c r="PU53" s="12"/>
      <c r="PV53" s="12"/>
      <c r="PW53" s="12"/>
      <c r="PX53" s="12"/>
      <c r="PY53" s="12"/>
      <c r="PZ53" s="12"/>
      <c r="QA53" s="12"/>
      <c r="QB53" s="12"/>
      <c r="QC53" s="12"/>
      <c r="QD53" s="12"/>
      <c r="QE53" s="12"/>
      <c r="QF53" s="12"/>
      <c r="QG53" s="12"/>
      <c r="QH53" s="12"/>
      <c r="QI53" s="12"/>
      <c r="QJ53" s="12"/>
      <c r="QK53" s="12"/>
      <c r="QL53" s="12"/>
      <c r="QM53" s="12"/>
      <c r="QN53" s="12"/>
      <c r="QO53" s="12"/>
      <c r="QP53" s="12"/>
      <c r="QQ53" s="12"/>
      <c r="QR53" s="12"/>
      <c r="QS53" s="12"/>
      <c r="QT53" s="12"/>
      <c r="QU53" s="12"/>
      <c r="QV53" s="12"/>
      <c r="QW53" s="12"/>
      <c r="QX53" s="12"/>
      <c r="QY53" s="12"/>
      <c r="QZ53" s="12"/>
      <c r="RA53" s="12"/>
      <c r="RB53" s="12"/>
      <c r="RC53" s="12"/>
      <c r="RD53" s="12"/>
      <c r="RE53" s="12"/>
      <c r="RF53" s="12"/>
      <c r="RG53" s="12"/>
      <c r="RH53" s="12"/>
      <c r="RI53" s="12"/>
      <c r="RJ53" s="12"/>
      <c r="RK53" s="12"/>
      <c r="RL53" s="12"/>
      <c r="RM53" s="12"/>
      <c r="RN53" s="12"/>
      <c r="RO53" s="12"/>
      <c r="RP53" s="12"/>
      <c r="RQ53" s="12"/>
      <c r="RR53" s="12"/>
      <c r="RS53" s="12"/>
      <c r="RT53" s="12"/>
      <c r="RU53" s="12"/>
      <c r="RV53" s="12"/>
      <c r="RW53" s="12"/>
      <c r="RX53" s="12"/>
      <c r="RY53" s="12"/>
      <c r="RZ53" s="12"/>
      <c r="SA53" s="12"/>
      <c r="SB53" s="12"/>
      <c r="SC53" s="12"/>
      <c r="SD53" s="12"/>
      <c r="SE53" s="12"/>
      <c r="SF53" s="12"/>
      <c r="SG53" s="12"/>
      <c r="SH53" s="12"/>
      <c r="SI53" s="12"/>
      <c r="SJ53" s="12"/>
      <c r="SK53" s="12"/>
      <c r="SL53" s="12"/>
      <c r="SM53" s="12"/>
      <c r="SN53" s="12"/>
      <c r="SO53" s="12"/>
      <c r="SP53" s="12"/>
      <c r="SQ53" s="12"/>
      <c r="SR53" s="12"/>
      <c r="SS53" s="12"/>
      <c r="ST53" s="12"/>
      <c r="SU53" s="12"/>
      <c r="SV53" s="12"/>
      <c r="SW53" s="12"/>
      <c r="SX53" s="12"/>
      <c r="SY53" s="12"/>
      <c r="SZ53" s="12"/>
      <c r="TA53" s="12"/>
      <c r="TB53" s="12"/>
      <c r="TC53" s="12"/>
      <c r="TD53" s="12"/>
      <c r="TE53" s="12"/>
      <c r="TF53" s="12"/>
      <c r="TG53" s="12"/>
      <c r="TH53" s="12"/>
      <c r="TI53" s="12"/>
      <c r="TJ53" s="12"/>
      <c r="TK53" s="12"/>
      <c r="TL53" s="12"/>
      <c r="TM53" s="12"/>
      <c r="TN53" s="12"/>
      <c r="TO53" s="12"/>
      <c r="TP53" s="12"/>
      <c r="TQ53" s="12"/>
      <c r="TR53" s="12"/>
      <c r="TS53" s="12"/>
      <c r="TT53" s="12"/>
      <c r="TU53" s="12"/>
      <c r="TV53" s="12"/>
      <c r="TW53" s="12"/>
      <c r="TX53" s="12"/>
      <c r="TY53" s="12"/>
      <c r="TZ53" s="12"/>
      <c r="UA53" s="12"/>
      <c r="UB53" s="12"/>
      <c r="UC53" s="12"/>
      <c r="UD53" s="12"/>
      <c r="UE53" s="12"/>
      <c r="UF53" s="12"/>
      <c r="UG53" s="12"/>
      <c r="UH53" s="12"/>
      <c r="UI53" s="12"/>
      <c r="UJ53" s="12"/>
      <c r="UK53" s="12"/>
      <c r="UL53" s="12"/>
      <c r="UM53" s="12"/>
      <c r="UN53" s="12"/>
      <c r="UO53" s="12"/>
      <c r="UP53" s="12"/>
      <c r="UQ53" s="12"/>
      <c r="UR53" s="12"/>
      <c r="US53" s="12"/>
      <c r="UT53" s="12"/>
      <c r="UU53" s="12"/>
      <c r="UV53" s="12"/>
      <c r="UW53" s="12"/>
      <c r="UX53" s="12"/>
      <c r="UY53" s="12"/>
      <c r="UZ53" s="12"/>
      <c r="VA53" s="12"/>
      <c r="VB53" s="12"/>
      <c r="VC53" s="12"/>
      <c r="VD53" s="12"/>
      <c r="VE53" s="12"/>
      <c r="VF53" s="12"/>
      <c r="VG53" s="12"/>
      <c r="VH53" s="12"/>
      <c r="VI53" s="12"/>
      <c r="VJ53" s="12"/>
      <c r="VK53" s="12"/>
      <c r="VL53" s="12"/>
      <c r="VM53" s="12"/>
      <c r="VN53" s="12"/>
      <c r="VO53" s="12"/>
      <c r="VP53" s="12"/>
      <c r="VQ53" s="12"/>
      <c r="VR53" s="12"/>
      <c r="VS53" s="12"/>
      <c r="VT53" s="12"/>
      <c r="VU53" s="12"/>
      <c r="VV53" s="12"/>
      <c r="VW53" s="12"/>
      <c r="VX53" s="12"/>
      <c r="VY53" s="12"/>
      <c r="VZ53" s="12"/>
      <c r="WA53" s="12"/>
      <c r="WB53" s="12"/>
      <c r="WC53" s="12"/>
      <c r="WD53" s="12"/>
      <c r="WE53" s="12"/>
      <c r="WF53" s="12"/>
      <c r="WG53" s="12"/>
      <c r="WH53" s="12"/>
      <c r="WI53" s="12"/>
      <c r="WJ53" s="12"/>
      <c r="WK53" s="12"/>
      <c r="WL53" s="12"/>
      <c r="WM53" s="12"/>
      <c r="WN53" s="12"/>
      <c r="WO53" s="12"/>
      <c r="WP53" s="12"/>
      <c r="WQ53" s="12"/>
      <c r="WR53" s="12"/>
      <c r="WS53" s="12"/>
      <c r="WT53" s="12"/>
      <c r="WU53" s="12"/>
      <c r="WV53" s="12"/>
      <c r="WW53" s="12"/>
      <c r="WX53" s="12"/>
      <c r="WY53" s="12"/>
      <c r="WZ53" s="12"/>
      <c r="XA53" s="12"/>
      <c r="XB53" s="12"/>
      <c r="XC53" s="12"/>
      <c r="XD53" s="12"/>
      <c r="XE53" s="12"/>
      <c r="XF53" s="12"/>
      <c r="XG53" s="12"/>
      <c r="XH53" s="12"/>
      <c r="XI53" s="12"/>
      <c r="XJ53" s="12"/>
      <c r="XK53" s="12"/>
      <c r="XL53" s="12"/>
      <c r="XM53" s="12"/>
      <c r="XN53" s="12"/>
      <c r="XO53" s="12"/>
      <c r="XP53" s="12"/>
      <c r="XQ53" s="12"/>
      <c r="XR53" s="12"/>
      <c r="XS53" s="12"/>
      <c r="XT53" s="12"/>
      <c r="XU53" s="12"/>
      <c r="XV53" s="12"/>
      <c r="XW53" s="12"/>
      <c r="XX53" s="12"/>
      <c r="XY53" s="12"/>
      <c r="XZ53" s="12"/>
      <c r="YA53" s="12"/>
      <c r="YB53" s="12"/>
      <c r="YC53" s="12"/>
      <c r="YD53" s="12"/>
      <c r="YE53" s="12"/>
      <c r="YF53" s="12"/>
      <c r="YG53" s="12"/>
      <c r="YH53" s="12"/>
      <c r="YI53" s="12"/>
      <c r="YJ53" s="12"/>
      <c r="YK53" s="12"/>
      <c r="YL53" s="12"/>
      <c r="YM53" s="12"/>
      <c r="YN53" s="12"/>
      <c r="YO53" s="12"/>
      <c r="YP53" s="12"/>
      <c r="YQ53" s="12"/>
      <c r="YR53" s="12"/>
      <c r="YS53" s="12"/>
      <c r="YT53" s="12"/>
      <c r="YU53" s="12"/>
      <c r="YV53" s="12"/>
      <c r="YW53" s="12"/>
      <c r="YX53" s="12"/>
      <c r="YY53" s="12"/>
      <c r="YZ53" s="12"/>
      <c r="ZA53" s="12"/>
      <c r="ZB53" s="12"/>
      <c r="ZC53" s="12"/>
      <c r="ZD53" s="12"/>
      <c r="ZE53" s="12"/>
      <c r="ZF53" s="12"/>
      <c r="ZG53" s="12"/>
      <c r="ZH53" s="12"/>
      <c r="ZI53" s="12"/>
      <c r="ZJ53" s="12"/>
      <c r="ZK53" s="12"/>
      <c r="ZL53" s="12"/>
      <c r="ZM53" s="12"/>
      <c r="ZN53" s="12"/>
      <c r="ZO53" s="12"/>
      <c r="ZP53" s="12"/>
      <c r="ZQ53" s="12"/>
      <c r="ZR53" s="12"/>
      <c r="ZS53" s="12"/>
      <c r="ZT53" s="12"/>
      <c r="ZU53" s="12"/>
      <c r="ZV53" s="12"/>
      <c r="ZW53" s="12"/>
      <c r="ZX53" s="12"/>
      <c r="ZY53" s="12"/>
      <c r="ZZ53" s="12"/>
      <c r="AAA53" s="12"/>
      <c r="AAB53" s="12"/>
      <c r="AAC53" s="12"/>
      <c r="AAD53" s="12"/>
      <c r="AAE53" s="12"/>
      <c r="AAF53" s="12"/>
      <c r="AAG53" s="12"/>
      <c r="AAH53" s="12"/>
      <c r="AAI53" s="12"/>
      <c r="AAJ53" s="12"/>
      <c r="AAK53" s="12"/>
      <c r="AAL53" s="12"/>
      <c r="AAM53" s="12"/>
      <c r="AAN53" s="12"/>
      <c r="AAO53" s="12"/>
      <c r="AAP53" s="12"/>
      <c r="AAQ53" s="12"/>
      <c r="AAR53" s="12"/>
      <c r="AAS53" s="12"/>
      <c r="AAT53" s="12"/>
      <c r="AAU53" s="12"/>
      <c r="AAV53" s="12"/>
      <c r="AAW53" s="12"/>
      <c r="AAX53" s="12"/>
      <c r="AAY53" s="12"/>
      <c r="AAZ53" s="12"/>
      <c r="ABA53" s="12"/>
      <c r="ABB53" s="12"/>
      <c r="ABC53" s="12"/>
      <c r="ABD53" s="12"/>
      <c r="ABE53" s="12"/>
      <c r="ABF53" s="12"/>
      <c r="ABG53" s="12"/>
      <c r="ABH53" s="12"/>
      <c r="ABI53" s="12"/>
      <c r="ABJ53" s="12"/>
      <c r="ABK53" s="12"/>
      <c r="ABL53" s="12"/>
      <c r="ABM53" s="12"/>
      <c r="ABN53" s="12"/>
      <c r="ABO53" s="12"/>
      <c r="ABP53" s="12"/>
      <c r="ABQ53" s="12"/>
      <c r="ABR53" s="12"/>
      <c r="ABS53" s="12"/>
      <c r="ABT53" s="12"/>
      <c r="ABU53" s="12"/>
      <c r="ABV53" s="12"/>
      <c r="ABW53" s="12"/>
      <c r="ABX53" s="12"/>
      <c r="ABY53" s="12"/>
      <c r="ABZ53" s="12"/>
      <c r="ACA53" s="12"/>
      <c r="ACB53" s="12"/>
      <c r="ACC53" s="12"/>
      <c r="ACD53" s="12"/>
      <c r="ACE53" s="12"/>
      <c r="ACF53" s="12"/>
      <c r="ACG53" s="12"/>
      <c r="ACH53" s="12"/>
      <c r="ACI53" s="12"/>
      <c r="ACJ53" s="12"/>
      <c r="ACK53" s="12"/>
      <c r="ACL53" s="12"/>
      <c r="ACM53" s="12"/>
      <c r="ACN53" s="12"/>
      <c r="ACO53" s="12"/>
      <c r="ACP53" s="12"/>
      <c r="ACQ53" s="12"/>
      <c r="ACR53" s="12"/>
      <c r="ACS53" s="12"/>
      <c r="ACT53" s="12"/>
      <c r="ACU53" s="12"/>
      <c r="ACV53" s="12"/>
      <c r="ACW53" s="12"/>
      <c r="ACX53" s="12"/>
      <c r="ACY53" s="12"/>
      <c r="ACZ53" s="12"/>
      <c r="ADA53" s="12"/>
      <c r="ADB53" s="12"/>
      <c r="ADC53" s="12"/>
      <c r="ADD53" s="12"/>
      <c r="ADE53" s="12"/>
      <c r="ADF53" s="12"/>
      <c r="ADG53" s="12"/>
      <c r="ADH53" s="12"/>
      <c r="ADI53" s="12"/>
      <c r="ADJ53" s="12"/>
      <c r="ADK53" s="12"/>
      <c r="ADL53" s="12"/>
      <c r="ADM53" s="12"/>
      <c r="ADN53" s="12"/>
      <c r="ADO53" s="12"/>
      <c r="ADP53" s="12"/>
      <c r="ADQ53" s="12"/>
      <c r="ADR53" s="12"/>
      <c r="ADS53" s="12"/>
      <c r="ADT53" s="12"/>
      <c r="ADU53" s="12"/>
      <c r="ADV53" s="12"/>
      <c r="ADW53" s="12"/>
      <c r="ADX53" s="12"/>
      <c r="ADY53" s="12"/>
      <c r="ADZ53" s="12"/>
      <c r="AEA53" s="12"/>
      <c r="AEB53" s="12"/>
      <c r="AEC53" s="12"/>
      <c r="AED53" s="12"/>
      <c r="AEE53" s="12"/>
      <c r="AEF53" s="12"/>
      <c r="AEG53" s="12"/>
      <c r="AEH53" s="12"/>
      <c r="AEI53" s="12"/>
      <c r="AEJ53" s="12"/>
      <c r="AEK53" s="12"/>
      <c r="AEL53" s="12"/>
      <c r="AEM53" s="12"/>
      <c r="AEN53" s="12"/>
      <c r="AEO53" s="12"/>
      <c r="AEP53" s="12"/>
      <c r="AEQ53" s="12"/>
      <c r="AER53" s="12"/>
      <c r="AES53" s="12"/>
      <c r="AET53" s="12"/>
      <c r="AEU53" s="12"/>
      <c r="AEV53" s="12"/>
      <c r="AEW53" s="12"/>
      <c r="AEX53" s="12"/>
      <c r="AEY53" s="12"/>
      <c r="AEZ53" s="12"/>
      <c r="AFA53" s="12"/>
      <c r="AFB53" s="12"/>
      <c r="AFC53" s="12"/>
      <c r="AFD53" s="12"/>
      <c r="AFE53" s="12"/>
      <c r="AFF53" s="12"/>
      <c r="AFG53" s="12"/>
      <c r="AFH53" s="12"/>
      <c r="AFI53" s="12"/>
      <c r="AFJ53" s="12"/>
      <c r="AFK53" s="12"/>
      <c r="AFL53" s="12"/>
      <c r="AFM53" s="12"/>
      <c r="AFN53" s="12"/>
      <c r="AFO53" s="12"/>
      <c r="AFP53" s="12"/>
      <c r="AFQ53" s="12"/>
      <c r="AFR53" s="12"/>
      <c r="AFS53" s="12"/>
      <c r="AFT53" s="12"/>
      <c r="AFU53" s="12"/>
      <c r="AFV53" s="12"/>
      <c r="AFW53" s="12"/>
      <c r="AFX53" s="12"/>
      <c r="AFY53" s="12"/>
      <c r="AFZ53" s="12"/>
      <c r="AGA53" s="12"/>
      <c r="AGB53" s="12"/>
      <c r="AGC53" s="12"/>
      <c r="AGD53" s="12"/>
      <c r="AGE53" s="12"/>
      <c r="AGF53" s="12"/>
      <c r="AGG53" s="12"/>
      <c r="AGH53" s="12"/>
      <c r="AGI53" s="12"/>
      <c r="AGJ53" s="12"/>
      <c r="AGK53" s="12"/>
      <c r="AGL53" s="12"/>
      <c r="AGM53" s="12"/>
      <c r="AGN53" s="12"/>
      <c r="AGO53" s="12"/>
      <c r="AGP53" s="12"/>
      <c r="AGQ53" s="12"/>
      <c r="AGR53" s="12"/>
      <c r="AGS53" s="12"/>
      <c r="AGT53" s="12"/>
      <c r="AGU53" s="12"/>
      <c r="AGV53" s="12"/>
      <c r="AGW53" s="12"/>
      <c r="AGX53" s="12"/>
      <c r="AGY53" s="12"/>
      <c r="AGZ53" s="12"/>
      <c r="AHA53" s="12"/>
      <c r="AHB53" s="12"/>
      <c r="AHC53" s="12"/>
      <c r="AHD53" s="12"/>
      <c r="AHE53" s="12"/>
      <c r="AHF53" s="12"/>
      <c r="AHG53" s="12"/>
      <c r="AHH53" s="12"/>
      <c r="AHI53" s="12"/>
      <c r="AHJ53" s="12"/>
      <c r="AHK53" s="12"/>
      <c r="AHL53" s="12"/>
      <c r="AHM53" s="12"/>
      <c r="AHN53" s="12"/>
      <c r="AHO53" s="12"/>
      <c r="AHP53" s="12"/>
      <c r="AHQ53" s="12"/>
      <c r="AHR53" s="12"/>
      <c r="AHS53" s="12"/>
      <c r="AHT53" s="12"/>
      <c r="AHU53" s="12"/>
      <c r="AHV53" s="12"/>
      <c r="AHW53" s="12"/>
      <c r="AHX53" s="12"/>
      <c r="AHY53" s="12"/>
      <c r="AHZ53" s="12"/>
      <c r="AIA53" s="12"/>
      <c r="AIB53" s="12"/>
      <c r="AIC53" s="12"/>
      <c r="AID53" s="12"/>
      <c r="AIE53" s="12"/>
      <c r="AIF53" s="12"/>
      <c r="AIG53" s="12"/>
      <c r="AIH53" s="12"/>
      <c r="AII53" s="12"/>
      <c r="AIJ53" s="12"/>
      <c r="AIK53" s="12"/>
      <c r="AIL53" s="12"/>
      <c r="AIM53" s="12"/>
      <c r="AIN53" s="12"/>
      <c r="AIO53" s="12"/>
      <c r="AIP53" s="12"/>
      <c r="AIQ53" s="12"/>
      <c r="AIR53" s="12"/>
      <c r="AIS53" s="12"/>
      <c r="AIT53" s="12"/>
      <c r="AIU53" s="12"/>
      <c r="AIV53" s="12"/>
      <c r="AIW53" s="12"/>
      <c r="AIX53" s="12"/>
      <c r="AIY53" s="12"/>
      <c r="AIZ53" s="12"/>
      <c r="AJA53" s="12"/>
      <c r="AJB53" s="12"/>
      <c r="AJC53" s="12"/>
      <c r="AJD53" s="12"/>
      <c r="AJE53" s="12"/>
      <c r="AJF53" s="12"/>
      <c r="AJG53" s="12"/>
      <c r="AJH53" s="12"/>
      <c r="AJI53" s="12"/>
      <c r="AJJ53" s="12"/>
      <c r="AJK53" s="12"/>
      <c r="AJL53" s="12"/>
      <c r="AJM53" s="12"/>
      <c r="AJN53" s="12"/>
      <c r="AJO53" s="12"/>
      <c r="AJP53" s="12"/>
      <c r="AJQ53" s="12"/>
      <c r="AJR53" s="12"/>
      <c r="AJS53" s="12"/>
      <c r="AJT53" s="12"/>
      <c r="AJU53" s="12"/>
      <c r="AJV53" s="12"/>
      <c r="AJW53" s="12"/>
      <c r="AJX53" s="12"/>
      <c r="AJY53" s="12"/>
      <c r="AJZ53" s="12"/>
      <c r="AKA53" s="12"/>
      <c r="AKB53" s="12"/>
      <c r="AKC53" s="12"/>
      <c r="AKD53" s="12"/>
      <c r="AKE53" s="12"/>
      <c r="AKF53" s="12"/>
      <c r="AKG53" s="12"/>
      <c r="AKH53" s="12"/>
      <c r="AKI53" s="12"/>
      <c r="AKJ53" s="12"/>
      <c r="AKK53" s="12"/>
      <c r="AKL53" s="12"/>
      <c r="AKM53" s="12"/>
      <c r="AKN53" s="12"/>
      <c r="AKO53" s="12"/>
      <c r="AKP53" s="12"/>
      <c r="AKQ53" s="12"/>
      <c r="AKR53" s="12"/>
      <c r="AKS53" s="12"/>
      <c r="AKT53" s="12"/>
      <c r="AKU53" s="12"/>
      <c r="AKV53" s="12"/>
      <c r="AKW53" s="12"/>
      <c r="AKX53" s="12"/>
      <c r="AKY53" s="12"/>
      <c r="AKZ53" s="12"/>
      <c r="ALA53" s="12"/>
      <c r="ALB53" s="12"/>
      <c r="ALC53" s="12"/>
      <c r="ALD53" s="12"/>
      <c r="ALE53" s="12"/>
      <c r="ALF53" s="12"/>
      <c r="ALG53" s="12"/>
      <c r="ALH53" s="12"/>
      <c r="ALI53" s="12"/>
      <c r="ALJ53" s="12"/>
      <c r="ALK53" s="12"/>
      <c r="ALL53" s="12"/>
      <c r="ALM53" s="12"/>
      <c r="ALN53" s="12"/>
      <c r="ALO53" s="12"/>
      <c r="ALP53" s="12"/>
      <c r="ALQ53" s="12"/>
      <c r="ALR53" s="12"/>
      <c r="ALS53" s="12"/>
      <c r="ALT53" s="12"/>
      <c r="ALU53" s="12"/>
      <c r="ALV53" s="12"/>
      <c r="ALW53" s="12"/>
      <c r="ALX53" s="12"/>
      <c r="ALY53" s="12"/>
      <c r="ALZ53" s="12"/>
      <c r="AMA53" s="12"/>
      <c r="AMB53" s="12"/>
      <c r="AMC53" s="12"/>
      <c r="AMD53" s="12"/>
      <c r="AME53" s="12"/>
      <c r="AMF53" s="12"/>
      <c r="AMG53" s="12"/>
      <c r="AMH53" s="12"/>
      <c r="AMI53" s="12"/>
      <c r="AMJ53" s="12"/>
      <c r="AMK53" s="12"/>
      <c r="AML53" s="12"/>
      <c r="AMM53" s="12"/>
      <c r="AMN53" s="12"/>
      <c r="AMO53" s="12"/>
      <c r="AMP53" s="12"/>
      <c r="AMQ53" s="12"/>
      <c r="AMR53" s="12"/>
      <c r="AMS53" s="12"/>
      <c r="AMT53" s="12"/>
      <c r="AMU53" s="12"/>
      <c r="AMV53" s="12"/>
      <c r="AMW53" s="12"/>
      <c r="AMX53" s="12"/>
      <c r="AMY53" s="12"/>
      <c r="AMZ53" s="12"/>
      <c r="ANA53" s="12"/>
      <c r="ANB53" s="12"/>
      <c r="ANC53" s="12"/>
      <c r="AND53" s="12"/>
      <c r="ANE53" s="12"/>
      <c r="ANF53" s="12"/>
      <c r="ANG53" s="12"/>
      <c r="ANH53" s="12"/>
      <c r="ANI53" s="12"/>
      <c r="ANJ53" s="12"/>
      <c r="ANK53" s="12"/>
      <c r="ANL53" s="12"/>
      <c r="ANM53" s="12"/>
      <c r="ANN53" s="12"/>
      <c r="ANO53" s="12"/>
      <c r="ANP53" s="12"/>
      <c r="ANQ53" s="12"/>
      <c r="ANR53" s="12"/>
      <c r="ANS53" s="12"/>
      <c r="ANT53" s="12"/>
      <c r="ANU53" s="12"/>
      <c r="ANV53" s="12"/>
      <c r="ANW53" s="12"/>
      <c r="ANX53" s="12"/>
      <c r="ANY53" s="12"/>
      <c r="ANZ53" s="12"/>
      <c r="AOA53" s="12"/>
      <c r="AOB53" s="12"/>
      <c r="AOC53" s="12"/>
      <c r="AOD53" s="12"/>
      <c r="AOE53" s="12"/>
      <c r="AOF53" s="12"/>
      <c r="AOG53" s="12"/>
      <c r="AOH53" s="12"/>
      <c r="AOI53" s="12"/>
      <c r="AOJ53" s="12"/>
      <c r="AOK53" s="12"/>
      <c r="AOL53" s="12"/>
      <c r="AOM53" s="12"/>
      <c r="AON53" s="12"/>
      <c r="AOO53" s="12"/>
      <c r="AOP53" s="12"/>
      <c r="AOQ53" s="12"/>
      <c r="AOR53" s="12"/>
      <c r="AOS53" s="12"/>
      <c r="AOT53" s="12"/>
      <c r="AOU53" s="12"/>
      <c r="AOV53" s="12"/>
      <c r="AOW53" s="12"/>
      <c r="AOX53" s="12"/>
      <c r="AOY53" s="12"/>
      <c r="AOZ53" s="12"/>
      <c r="APA53" s="12"/>
      <c r="APB53" s="12"/>
      <c r="APC53" s="12"/>
      <c r="APD53" s="12"/>
      <c r="APE53" s="12"/>
      <c r="APF53" s="12"/>
      <c r="APG53" s="12"/>
      <c r="APH53" s="12"/>
      <c r="API53" s="12"/>
      <c r="APJ53" s="12"/>
      <c r="APK53" s="12"/>
      <c r="APL53" s="12"/>
      <c r="APM53" s="12"/>
      <c r="APN53" s="12"/>
      <c r="APO53" s="12"/>
      <c r="APP53" s="12"/>
      <c r="APQ53" s="12"/>
      <c r="APR53" s="12"/>
      <c r="APS53" s="12"/>
      <c r="APT53" s="12"/>
      <c r="APU53" s="12"/>
      <c r="APV53" s="12"/>
      <c r="APW53" s="12"/>
      <c r="APX53" s="12"/>
      <c r="APY53" s="12"/>
      <c r="APZ53" s="12"/>
      <c r="AQA53" s="12"/>
      <c r="AQB53" s="12"/>
      <c r="AQC53" s="12"/>
      <c r="AQD53" s="12"/>
      <c r="AQE53" s="12"/>
      <c r="AQF53" s="12"/>
      <c r="AQG53" s="12"/>
      <c r="AQH53" s="12"/>
      <c r="AQI53" s="12"/>
      <c r="AQJ53" s="12"/>
      <c r="AQK53" s="12"/>
      <c r="AQL53" s="12"/>
      <c r="AQM53" s="12"/>
      <c r="AQN53" s="12"/>
      <c r="AQO53" s="12"/>
      <c r="AQP53" s="12"/>
      <c r="AQQ53" s="12"/>
      <c r="AQR53" s="12"/>
      <c r="AQS53" s="12"/>
      <c r="AQT53" s="12"/>
      <c r="AQU53" s="12"/>
      <c r="AQV53" s="12"/>
      <c r="AQW53" s="12"/>
      <c r="AQX53" s="12"/>
      <c r="AQY53" s="12"/>
      <c r="AQZ53" s="12"/>
      <c r="ARA53" s="12"/>
      <c r="ARB53" s="12"/>
      <c r="ARC53" s="12"/>
      <c r="ARD53" s="12"/>
      <c r="ARE53" s="12"/>
      <c r="ARF53" s="12"/>
      <c r="ARG53" s="12"/>
      <c r="ARH53" s="12"/>
      <c r="ARI53" s="12"/>
      <c r="ARJ53" s="12"/>
      <c r="ARK53" s="12"/>
      <c r="ARL53" s="12"/>
      <c r="ARM53" s="12"/>
      <c r="ARN53" s="12"/>
      <c r="ARO53" s="12"/>
      <c r="ARP53" s="12"/>
      <c r="ARQ53" s="12"/>
      <c r="ARR53" s="12"/>
      <c r="ARS53" s="12"/>
      <c r="ART53" s="12"/>
      <c r="ARU53" s="12"/>
      <c r="ARV53" s="12"/>
      <c r="ARW53" s="12"/>
      <c r="ARX53" s="12"/>
      <c r="ARY53" s="12"/>
      <c r="ARZ53" s="12"/>
      <c r="ASA53" s="12"/>
      <c r="ASB53" s="12"/>
      <c r="ASC53" s="12"/>
      <c r="ASD53" s="12"/>
      <c r="ASE53" s="12"/>
      <c r="ASF53" s="12"/>
      <c r="ASG53" s="12"/>
      <c r="ASH53" s="12"/>
      <c r="ASI53" s="12"/>
      <c r="ASJ53" s="12"/>
      <c r="ASK53" s="12"/>
      <c r="ASL53" s="12"/>
      <c r="ASM53" s="12"/>
      <c r="ASN53" s="12"/>
      <c r="ASO53" s="12"/>
      <c r="ASP53" s="12"/>
      <c r="ASQ53" s="12"/>
      <c r="ASR53" s="12"/>
      <c r="ASS53" s="12"/>
      <c r="AST53" s="12"/>
      <c r="ASU53" s="12"/>
      <c r="ASV53" s="12"/>
      <c r="ASW53" s="12"/>
      <c r="ASX53" s="12"/>
      <c r="ASY53" s="12"/>
      <c r="ASZ53" s="12"/>
      <c r="ATA53" s="12"/>
      <c r="ATB53" s="12"/>
      <c r="ATC53" s="12"/>
      <c r="ATD53" s="12"/>
      <c r="ATE53" s="12"/>
      <c r="ATF53" s="12"/>
      <c r="ATG53" s="12"/>
      <c r="ATH53" s="12"/>
      <c r="ATI53" s="12"/>
      <c r="ATJ53" s="12"/>
      <c r="ATK53" s="12"/>
      <c r="ATL53" s="12"/>
      <c r="ATM53" s="12"/>
      <c r="ATN53" s="12"/>
      <c r="ATO53" s="12"/>
      <c r="ATP53" s="12"/>
      <c r="ATQ53" s="12"/>
      <c r="ATR53" s="12"/>
      <c r="ATS53" s="12"/>
      <c r="ATT53" s="12"/>
      <c r="ATU53" s="12"/>
      <c r="ATV53" s="12"/>
      <c r="ATW53" s="12"/>
      <c r="ATX53" s="12"/>
      <c r="ATY53" s="12"/>
      <c r="ATZ53" s="12"/>
      <c r="AUA53" s="12"/>
      <c r="AUB53" s="12"/>
      <c r="AUC53" s="12"/>
      <c r="AUD53" s="12"/>
      <c r="AUE53" s="12"/>
      <c r="AUF53" s="12"/>
      <c r="AUG53" s="12"/>
      <c r="AUH53" s="12"/>
      <c r="AUI53" s="12"/>
      <c r="AUJ53" s="12"/>
      <c r="AUK53" s="12"/>
      <c r="AUL53" s="12"/>
      <c r="AUM53" s="12"/>
      <c r="AUN53" s="12"/>
      <c r="AUO53" s="12"/>
      <c r="AUP53" s="12"/>
      <c r="AUQ53" s="12"/>
      <c r="AUR53" s="12"/>
      <c r="AUS53" s="12"/>
      <c r="AUT53" s="12"/>
      <c r="AUU53" s="12"/>
      <c r="AUV53" s="12"/>
      <c r="AUW53" s="12"/>
      <c r="AUX53" s="12"/>
      <c r="AUY53" s="12"/>
      <c r="AUZ53" s="12"/>
      <c r="AVA53" s="12"/>
      <c r="AVB53" s="12"/>
      <c r="AVC53" s="12"/>
      <c r="AVD53" s="12"/>
      <c r="AVE53" s="12"/>
      <c r="AVF53" s="12"/>
      <c r="AVG53" s="12"/>
      <c r="AVH53" s="12"/>
      <c r="AVI53" s="12"/>
      <c r="AVJ53" s="12"/>
      <c r="AVK53" s="12"/>
      <c r="AVL53" s="12"/>
      <c r="AVM53" s="12"/>
      <c r="AVN53" s="12"/>
      <c r="AVO53" s="12"/>
      <c r="AVP53" s="12"/>
      <c r="AVQ53" s="12"/>
      <c r="AVR53" s="12"/>
      <c r="AVS53" s="12"/>
      <c r="AVT53" s="12"/>
      <c r="AVU53" s="12"/>
      <c r="AVV53" s="12"/>
      <c r="AVW53" s="12"/>
      <c r="AVX53" s="12"/>
      <c r="AVY53" s="12"/>
      <c r="AVZ53" s="12"/>
      <c r="AWA53" s="12"/>
      <c r="AWB53" s="12"/>
      <c r="AWC53" s="12"/>
      <c r="AWD53" s="12"/>
      <c r="AWE53" s="12"/>
      <c r="AWF53" s="12"/>
      <c r="AWG53" s="12"/>
      <c r="AWH53" s="12"/>
      <c r="AWI53" s="12"/>
      <c r="AWJ53" s="12"/>
      <c r="AWK53" s="12"/>
      <c r="AWL53" s="12"/>
      <c r="AWM53" s="12"/>
      <c r="AWN53" s="12"/>
      <c r="AWO53" s="12"/>
      <c r="AWP53" s="12"/>
      <c r="AWQ53" s="12"/>
      <c r="AWR53" s="12"/>
      <c r="AWS53" s="12"/>
      <c r="AWT53" s="12"/>
      <c r="AWU53" s="12"/>
      <c r="AWV53" s="12"/>
      <c r="AWW53" s="12"/>
      <c r="AWX53" s="12"/>
      <c r="AWY53" s="12"/>
      <c r="AWZ53" s="12"/>
      <c r="AXA53" s="12"/>
      <c r="AXB53" s="12"/>
      <c r="AXC53" s="12"/>
      <c r="AXD53" s="12"/>
      <c r="AXE53" s="12"/>
      <c r="AXF53" s="12"/>
      <c r="AXG53" s="12"/>
      <c r="AXH53" s="12"/>
      <c r="AXI53" s="12"/>
      <c r="AXJ53" s="12"/>
      <c r="AXK53" s="12"/>
      <c r="AXL53" s="12"/>
      <c r="AXM53" s="12"/>
      <c r="AXN53" s="12"/>
      <c r="AXO53" s="12"/>
      <c r="AXP53" s="12"/>
      <c r="AXQ53" s="12"/>
      <c r="AXR53" s="12"/>
      <c r="AXS53" s="12"/>
      <c r="AXT53" s="12"/>
      <c r="AXU53" s="12"/>
      <c r="AXV53" s="12"/>
      <c r="AXW53" s="12"/>
      <c r="AXX53" s="12"/>
      <c r="AXY53" s="12"/>
      <c r="AXZ53" s="12"/>
      <c r="AYA53" s="12"/>
      <c r="AYB53" s="12"/>
      <c r="AYC53" s="12"/>
      <c r="AYD53" s="12"/>
      <c r="AYE53" s="12"/>
      <c r="AYF53" s="12"/>
      <c r="AYG53" s="12"/>
      <c r="AYH53" s="12"/>
      <c r="AYI53" s="12"/>
      <c r="AYJ53" s="12"/>
      <c r="AYK53" s="12"/>
      <c r="AYL53" s="12"/>
      <c r="AYM53" s="12"/>
      <c r="AYN53" s="12"/>
      <c r="AYO53" s="12"/>
      <c r="AYP53" s="12"/>
      <c r="AYQ53" s="12"/>
      <c r="AYR53" s="12"/>
      <c r="AYS53" s="12"/>
      <c r="AYT53" s="12"/>
      <c r="AYU53" s="12"/>
      <c r="AYV53" s="12"/>
      <c r="AYW53" s="12"/>
      <c r="AYX53" s="12"/>
      <c r="AYY53" s="12"/>
      <c r="AYZ53" s="12"/>
      <c r="AZA53" s="12"/>
      <c r="AZB53" s="12"/>
      <c r="AZC53" s="12"/>
      <c r="AZD53" s="12"/>
      <c r="AZE53" s="12"/>
      <c r="AZF53" s="12"/>
      <c r="AZG53" s="12"/>
      <c r="AZH53" s="12"/>
      <c r="AZI53" s="12"/>
      <c r="AZJ53" s="12"/>
      <c r="AZK53" s="12"/>
      <c r="AZL53" s="12"/>
      <c r="AZM53" s="12"/>
      <c r="AZN53" s="12"/>
      <c r="AZO53" s="12"/>
      <c r="AZP53" s="12"/>
      <c r="AZQ53" s="12"/>
      <c r="AZR53" s="12"/>
      <c r="AZS53" s="12"/>
      <c r="AZT53" s="12"/>
      <c r="AZU53" s="12"/>
      <c r="AZV53" s="12"/>
      <c r="AZW53" s="12"/>
      <c r="AZX53" s="12"/>
      <c r="AZY53" s="12"/>
      <c r="AZZ53" s="12"/>
      <c r="BAA53" s="12"/>
      <c r="BAB53" s="12"/>
      <c r="BAC53" s="12"/>
      <c r="BAD53" s="12"/>
      <c r="BAE53" s="12"/>
      <c r="BAF53" s="12"/>
      <c r="BAG53" s="12"/>
      <c r="BAH53" s="12"/>
      <c r="BAI53" s="12"/>
      <c r="BAJ53" s="12"/>
      <c r="BAK53" s="12"/>
      <c r="BAL53" s="12"/>
      <c r="BAM53" s="12"/>
      <c r="BAN53" s="12"/>
      <c r="BAO53" s="12"/>
      <c r="BAP53" s="12"/>
      <c r="BAQ53" s="12"/>
      <c r="BAR53" s="12"/>
      <c r="BAS53" s="12"/>
      <c r="BAT53" s="12"/>
      <c r="BAU53" s="12"/>
      <c r="BAV53" s="12"/>
      <c r="BAW53" s="12"/>
      <c r="BAX53" s="12"/>
      <c r="BAY53" s="12"/>
      <c r="BAZ53" s="12"/>
      <c r="BBA53" s="12"/>
      <c r="BBB53" s="12"/>
      <c r="BBC53" s="12"/>
      <c r="BBD53" s="12"/>
      <c r="BBE53" s="12"/>
      <c r="BBF53" s="12"/>
      <c r="BBG53" s="12"/>
      <c r="BBH53" s="12"/>
      <c r="BBI53" s="12"/>
      <c r="BBJ53" s="12"/>
      <c r="BBK53" s="12"/>
      <c r="BBL53" s="12"/>
      <c r="BBM53" s="12"/>
      <c r="BBN53" s="12"/>
      <c r="BBO53" s="12"/>
      <c r="BBP53" s="12"/>
      <c r="BBQ53" s="12"/>
      <c r="BBR53" s="12"/>
      <c r="BBS53" s="12"/>
      <c r="BBT53" s="12"/>
      <c r="BBU53" s="12"/>
      <c r="BBV53" s="12"/>
      <c r="BBW53" s="12"/>
      <c r="BBX53" s="12"/>
      <c r="BBY53" s="12"/>
      <c r="BBZ53" s="12"/>
      <c r="BCA53" s="12"/>
      <c r="BCB53" s="12"/>
      <c r="BCC53" s="12"/>
      <c r="BCD53" s="12"/>
      <c r="BCE53" s="12"/>
      <c r="BCF53" s="12"/>
      <c r="BCG53" s="12"/>
      <c r="BCH53" s="12"/>
      <c r="BCI53" s="12"/>
      <c r="BCJ53" s="12"/>
      <c r="BCK53" s="12"/>
      <c r="BCL53" s="12"/>
      <c r="BCM53" s="12"/>
      <c r="BCN53" s="12"/>
      <c r="BCO53" s="12"/>
      <c r="BCP53" s="12"/>
      <c r="BCQ53" s="12"/>
      <c r="BCR53" s="12"/>
      <c r="BCS53" s="12"/>
      <c r="BCT53" s="12"/>
      <c r="BCU53" s="12"/>
      <c r="BCV53" s="12"/>
      <c r="BCW53" s="12"/>
      <c r="BCX53" s="12"/>
      <c r="BCY53" s="12"/>
      <c r="BCZ53" s="12"/>
      <c r="BDA53" s="12"/>
      <c r="BDB53" s="12"/>
      <c r="BDC53" s="12"/>
      <c r="BDD53" s="12"/>
      <c r="BDE53" s="12"/>
      <c r="BDF53" s="12"/>
      <c r="BDG53" s="12"/>
      <c r="BDH53" s="12"/>
      <c r="BDI53" s="12"/>
      <c r="BDJ53" s="12"/>
      <c r="BDK53" s="12"/>
      <c r="BDL53" s="12"/>
      <c r="BDM53" s="12"/>
      <c r="BDN53" s="12"/>
      <c r="BDO53" s="12"/>
      <c r="BDP53" s="12"/>
      <c r="BDQ53" s="12"/>
      <c r="BDR53" s="12"/>
      <c r="BDS53" s="12"/>
      <c r="BDT53" s="12"/>
      <c r="BDU53" s="12"/>
      <c r="BDV53" s="12"/>
      <c r="BDW53" s="12"/>
      <c r="BDX53" s="12"/>
      <c r="BDY53" s="12"/>
      <c r="BDZ53" s="12"/>
      <c r="BEA53" s="12"/>
      <c r="BEB53" s="12"/>
      <c r="BEC53" s="12"/>
      <c r="BED53" s="12"/>
      <c r="BEE53" s="12"/>
      <c r="BEF53" s="12"/>
      <c r="BEG53" s="12"/>
      <c r="BEH53" s="12"/>
      <c r="BEI53" s="12"/>
      <c r="BEJ53" s="12"/>
      <c r="BEK53" s="12"/>
      <c r="BEL53" s="12"/>
      <c r="BEM53" s="12"/>
      <c r="BEN53" s="12"/>
      <c r="BEO53" s="12"/>
      <c r="BEP53" s="12"/>
      <c r="BEQ53" s="12"/>
      <c r="BER53" s="12"/>
      <c r="BES53" s="12"/>
      <c r="BET53" s="12"/>
      <c r="BEU53" s="12"/>
      <c r="BEV53" s="12"/>
      <c r="BEW53" s="12"/>
      <c r="BEX53" s="12"/>
      <c r="BEY53" s="12"/>
      <c r="BEZ53" s="12"/>
      <c r="BFA53" s="12"/>
      <c r="BFB53" s="12"/>
      <c r="BFC53" s="12"/>
      <c r="BFD53" s="12"/>
      <c r="BFE53" s="12"/>
      <c r="BFF53" s="12"/>
      <c r="BFG53" s="12"/>
      <c r="BFH53" s="12"/>
      <c r="BFI53" s="12"/>
      <c r="BFJ53" s="12"/>
      <c r="BFK53" s="12"/>
      <c r="BFL53" s="12"/>
      <c r="BFM53" s="12"/>
      <c r="BFN53" s="12"/>
      <c r="BFO53" s="12"/>
      <c r="BFP53" s="12"/>
      <c r="BFQ53" s="12"/>
      <c r="BFR53" s="12"/>
      <c r="BFS53" s="12"/>
      <c r="BFT53" s="12"/>
      <c r="BFU53" s="12"/>
      <c r="BFV53" s="12"/>
      <c r="BFW53" s="12"/>
      <c r="BFX53" s="12"/>
      <c r="BFY53" s="12"/>
      <c r="BFZ53" s="12"/>
      <c r="BGA53" s="12"/>
      <c r="BGB53" s="12"/>
      <c r="BGC53" s="12"/>
      <c r="BGD53" s="12"/>
      <c r="BGE53" s="12"/>
      <c r="BGF53" s="12"/>
      <c r="BGG53" s="12"/>
      <c r="BGH53" s="12"/>
      <c r="BGI53" s="12"/>
      <c r="BGJ53" s="12"/>
      <c r="BGK53" s="12"/>
      <c r="BGL53" s="12"/>
      <c r="BGM53" s="12"/>
      <c r="BGN53" s="12"/>
      <c r="BGO53" s="12"/>
      <c r="BGP53" s="12"/>
      <c r="BGQ53" s="12"/>
      <c r="BGR53" s="12"/>
      <c r="BGS53" s="12"/>
      <c r="BGT53" s="12"/>
      <c r="BGU53" s="12"/>
      <c r="BGV53" s="12"/>
      <c r="BGW53" s="12"/>
      <c r="BGX53" s="12"/>
      <c r="BGY53" s="12"/>
      <c r="BGZ53" s="12"/>
      <c r="BHA53" s="12"/>
      <c r="BHB53" s="12"/>
      <c r="BHC53" s="12"/>
      <c r="BHD53" s="12"/>
      <c r="BHE53" s="12"/>
      <c r="BHF53" s="12"/>
      <c r="BHG53" s="12"/>
      <c r="BHH53" s="12"/>
      <c r="BHI53" s="12"/>
      <c r="BHJ53" s="12"/>
      <c r="BHK53" s="12"/>
      <c r="BHL53" s="12"/>
      <c r="BHM53" s="12"/>
      <c r="BHN53" s="12"/>
      <c r="BHO53" s="12"/>
      <c r="BHP53" s="12"/>
      <c r="BHQ53" s="12"/>
      <c r="BHR53" s="12"/>
      <c r="BHS53" s="12"/>
      <c r="BHT53" s="12"/>
      <c r="BHU53" s="12"/>
      <c r="BHV53" s="12"/>
      <c r="BHW53" s="12"/>
      <c r="BHX53" s="12"/>
      <c r="BHY53" s="12"/>
      <c r="BHZ53" s="12"/>
      <c r="BIA53" s="12"/>
      <c r="BIB53" s="12"/>
      <c r="BIC53" s="12"/>
      <c r="BID53" s="12"/>
      <c r="BIE53" s="12"/>
      <c r="BIF53" s="12"/>
      <c r="BIG53" s="12"/>
      <c r="BIH53" s="12"/>
      <c r="BII53" s="12"/>
      <c r="BIJ53" s="12"/>
      <c r="BIK53" s="12"/>
      <c r="BIL53" s="12"/>
      <c r="BIM53" s="12"/>
      <c r="BIN53" s="12"/>
      <c r="BIO53" s="12"/>
      <c r="BIP53" s="12"/>
      <c r="BIQ53" s="12"/>
      <c r="BIR53" s="12"/>
      <c r="BIS53" s="12"/>
      <c r="BIT53" s="12"/>
      <c r="BIU53" s="12"/>
      <c r="BIV53" s="12"/>
      <c r="BIW53" s="12"/>
      <c r="BIX53" s="12"/>
      <c r="BIY53" s="12"/>
      <c r="BIZ53" s="12"/>
      <c r="BJA53" s="12"/>
      <c r="BJB53" s="12"/>
      <c r="BJC53" s="12"/>
      <c r="BJD53" s="12"/>
      <c r="BJE53" s="12"/>
      <c r="BJF53" s="12"/>
      <c r="BJG53" s="12"/>
      <c r="BJH53" s="12"/>
      <c r="BJI53" s="12"/>
      <c r="BJJ53" s="12"/>
      <c r="BJK53" s="12"/>
      <c r="BJL53" s="12"/>
      <c r="BJM53" s="12"/>
      <c r="BJN53" s="12"/>
      <c r="BJO53" s="12"/>
      <c r="BJP53" s="12"/>
      <c r="BJQ53" s="12"/>
      <c r="BJR53" s="12"/>
      <c r="BJS53" s="12"/>
      <c r="BJT53" s="12"/>
      <c r="BJU53" s="12"/>
      <c r="BJV53" s="12"/>
      <c r="BJW53" s="12"/>
      <c r="BJX53" s="12"/>
      <c r="BJY53" s="12"/>
      <c r="BJZ53" s="12"/>
      <c r="BKA53" s="12"/>
      <c r="BKB53" s="12"/>
      <c r="BKC53" s="12"/>
      <c r="BKD53" s="12"/>
      <c r="BKE53" s="12"/>
      <c r="BKF53" s="12"/>
      <c r="BKG53" s="12"/>
      <c r="BKH53" s="12"/>
      <c r="BKI53" s="12"/>
      <c r="BKJ53" s="12"/>
      <c r="BKK53" s="12"/>
      <c r="BKL53" s="12"/>
      <c r="BKM53" s="12"/>
      <c r="BKN53" s="12"/>
      <c r="BKO53" s="12"/>
      <c r="BKP53" s="12"/>
      <c r="BKQ53" s="12"/>
      <c r="BKR53" s="12"/>
      <c r="BKS53" s="12"/>
      <c r="BKT53" s="12"/>
      <c r="BKU53" s="12"/>
      <c r="BKV53" s="12"/>
      <c r="BKW53" s="12"/>
      <c r="BKX53" s="12"/>
      <c r="BKY53" s="12"/>
      <c r="BKZ53" s="12"/>
      <c r="BLA53" s="12"/>
      <c r="BLB53" s="12"/>
      <c r="BLC53" s="12"/>
      <c r="BLD53" s="12"/>
      <c r="BLE53" s="12"/>
      <c r="BLF53" s="12"/>
      <c r="BLG53" s="12"/>
      <c r="BLH53" s="12"/>
      <c r="BLI53" s="12"/>
      <c r="BLJ53" s="12"/>
      <c r="BLK53" s="12"/>
      <c r="BLL53" s="12"/>
      <c r="BLM53" s="12"/>
      <c r="BLN53" s="12"/>
      <c r="BLO53" s="12"/>
      <c r="BLP53" s="12"/>
      <c r="BLQ53" s="12"/>
      <c r="BLR53" s="12"/>
      <c r="BLS53" s="12"/>
      <c r="BLT53" s="12"/>
      <c r="BLU53" s="12"/>
      <c r="BLV53" s="12"/>
      <c r="BLW53" s="12"/>
      <c r="BLX53" s="12"/>
      <c r="BLY53" s="12"/>
      <c r="BLZ53" s="12"/>
      <c r="BMA53" s="12"/>
      <c r="BMB53" s="12"/>
      <c r="BMC53" s="12"/>
      <c r="BMD53" s="12"/>
      <c r="BME53" s="12"/>
      <c r="BMF53" s="12"/>
      <c r="BMG53" s="12"/>
      <c r="BMH53" s="12"/>
      <c r="BMI53" s="12"/>
      <c r="BMJ53" s="12"/>
      <c r="BMK53" s="12"/>
      <c r="BML53" s="12"/>
      <c r="BMM53" s="12"/>
      <c r="BMN53" s="12"/>
      <c r="BMO53" s="12"/>
      <c r="BMP53" s="12"/>
      <c r="BMQ53" s="12"/>
      <c r="BMR53" s="12"/>
      <c r="BMS53" s="12"/>
      <c r="BMT53" s="12"/>
      <c r="BMU53" s="12"/>
      <c r="BMV53" s="12"/>
      <c r="BMW53" s="12"/>
      <c r="BMX53" s="12"/>
      <c r="BMY53" s="12"/>
      <c r="BMZ53" s="12"/>
      <c r="BNA53" s="12"/>
      <c r="BNB53" s="12"/>
      <c r="BNC53" s="12"/>
      <c r="BND53" s="12"/>
      <c r="BNE53" s="12"/>
      <c r="BNF53" s="12"/>
      <c r="BNG53" s="12"/>
      <c r="BNH53" s="12"/>
      <c r="BNI53" s="12"/>
      <c r="BNJ53" s="12"/>
      <c r="BNK53" s="12"/>
      <c r="BNL53" s="12"/>
      <c r="BNM53" s="12"/>
      <c r="BNN53" s="12"/>
      <c r="BNO53" s="12"/>
      <c r="BNP53" s="12"/>
      <c r="BNQ53" s="12"/>
      <c r="BNR53" s="12"/>
      <c r="BNS53" s="12"/>
      <c r="BNT53" s="12"/>
      <c r="BNU53" s="12"/>
      <c r="BNV53" s="12"/>
      <c r="BNW53" s="12"/>
      <c r="BNX53" s="12"/>
      <c r="BNY53" s="12"/>
      <c r="BNZ53" s="12"/>
      <c r="BOA53" s="12"/>
      <c r="BOB53" s="12"/>
      <c r="BOC53" s="12"/>
      <c r="BOD53" s="12"/>
      <c r="BOE53" s="12"/>
      <c r="BOF53" s="12"/>
      <c r="BOG53" s="12"/>
      <c r="BOH53" s="12"/>
      <c r="BOI53" s="12"/>
      <c r="BOJ53" s="12"/>
      <c r="BOK53" s="12"/>
      <c r="BOL53" s="12"/>
      <c r="BOM53" s="12"/>
      <c r="BON53" s="12"/>
      <c r="BOO53" s="12"/>
      <c r="BOP53" s="12"/>
      <c r="BOQ53" s="12"/>
      <c r="BOR53" s="12"/>
      <c r="BOS53" s="12"/>
      <c r="BOT53" s="12"/>
      <c r="BOU53" s="12"/>
      <c r="BOV53" s="12"/>
      <c r="BOW53" s="12"/>
      <c r="BOX53" s="12"/>
      <c r="BOY53" s="12"/>
      <c r="BOZ53" s="12"/>
      <c r="BPA53" s="12"/>
      <c r="BPB53" s="12"/>
      <c r="BPC53" s="12"/>
      <c r="BPD53" s="12"/>
      <c r="BPE53" s="12"/>
      <c r="BPF53" s="12"/>
      <c r="BPG53" s="12"/>
      <c r="BPH53" s="12"/>
      <c r="BPI53" s="12"/>
      <c r="BPJ53" s="12"/>
      <c r="BPK53" s="12"/>
      <c r="BPL53" s="12"/>
      <c r="BPM53" s="12"/>
      <c r="BPN53" s="12"/>
      <c r="BPO53" s="12"/>
      <c r="BPP53" s="12"/>
      <c r="BPQ53" s="12"/>
      <c r="BPR53" s="12"/>
      <c r="BPS53" s="12"/>
      <c r="BPT53" s="12"/>
      <c r="BPU53" s="12"/>
      <c r="BPV53" s="12"/>
      <c r="BPW53" s="12"/>
      <c r="BPX53" s="12"/>
      <c r="BPY53" s="12"/>
      <c r="BPZ53" s="12"/>
      <c r="BQA53" s="12"/>
      <c r="BQB53" s="12"/>
      <c r="BQC53" s="12"/>
      <c r="BQD53" s="12"/>
      <c r="BQE53" s="12"/>
      <c r="BQF53" s="12"/>
      <c r="BQG53" s="12"/>
      <c r="BQH53" s="12"/>
      <c r="BQI53" s="12"/>
      <c r="BQJ53" s="12"/>
      <c r="BQK53" s="12"/>
      <c r="BQL53" s="12"/>
      <c r="BQM53" s="12"/>
      <c r="BQN53" s="12"/>
      <c r="BQO53" s="12"/>
      <c r="BQP53" s="12"/>
      <c r="BQQ53" s="12"/>
      <c r="BQR53" s="12"/>
      <c r="BQS53" s="12"/>
      <c r="BQT53" s="12"/>
      <c r="BQU53" s="12"/>
      <c r="BQV53" s="12"/>
      <c r="BQW53" s="12"/>
      <c r="BQX53" s="12"/>
      <c r="BQY53" s="12"/>
      <c r="BQZ53" s="12"/>
      <c r="BRA53" s="12"/>
      <c r="BRB53" s="12"/>
      <c r="BRC53" s="12"/>
      <c r="BRD53" s="12"/>
      <c r="BRE53" s="12"/>
      <c r="BRF53" s="12"/>
      <c r="BRG53" s="12"/>
      <c r="BRH53" s="12"/>
      <c r="BRI53" s="12"/>
      <c r="BRJ53" s="12"/>
      <c r="BRK53" s="12"/>
      <c r="BRL53" s="12"/>
      <c r="BRM53" s="12"/>
      <c r="BRN53" s="12"/>
      <c r="BRO53" s="12"/>
      <c r="BRP53" s="12"/>
      <c r="BRQ53" s="12"/>
      <c r="BRR53" s="12"/>
      <c r="BRS53" s="12"/>
      <c r="BRT53" s="12"/>
      <c r="BRU53" s="12"/>
      <c r="BRV53" s="12"/>
      <c r="BRW53" s="12"/>
      <c r="BRX53" s="12"/>
      <c r="BRY53" s="12"/>
      <c r="BRZ53" s="12"/>
      <c r="BSA53" s="12"/>
      <c r="BSB53" s="12"/>
      <c r="BSC53" s="12"/>
      <c r="BSD53" s="12"/>
      <c r="BSE53" s="12"/>
      <c r="BSF53" s="12"/>
      <c r="BSG53" s="12"/>
      <c r="BSH53" s="12"/>
      <c r="BSI53" s="12"/>
      <c r="BSJ53" s="12"/>
      <c r="BSK53" s="12"/>
      <c r="BSL53" s="12"/>
      <c r="BSM53" s="12"/>
      <c r="BSN53" s="12"/>
      <c r="BSO53" s="12"/>
      <c r="BSP53" s="12"/>
      <c r="BSQ53" s="12"/>
      <c r="BSR53" s="12"/>
      <c r="BSS53" s="12"/>
      <c r="BST53" s="12"/>
      <c r="BSU53" s="12"/>
      <c r="BSV53" s="12"/>
      <c r="BSW53" s="12"/>
      <c r="BSX53" s="12"/>
      <c r="BSY53" s="12"/>
      <c r="BSZ53" s="12"/>
      <c r="BTA53" s="12"/>
      <c r="BTB53" s="12"/>
      <c r="BTC53" s="12"/>
      <c r="BTD53" s="12"/>
      <c r="BTE53" s="12"/>
      <c r="BTF53" s="12"/>
      <c r="BTG53" s="12"/>
      <c r="BTH53" s="12"/>
      <c r="BTI53" s="12"/>
      <c r="BTJ53" s="12"/>
      <c r="BTK53" s="12"/>
      <c r="BTL53" s="12"/>
      <c r="BTM53" s="12"/>
      <c r="BTN53" s="12"/>
      <c r="BTO53" s="12"/>
      <c r="BTP53" s="12"/>
      <c r="BTQ53" s="12"/>
      <c r="BTR53" s="12"/>
      <c r="BTS53" s="12"/>
      <c r="BTT53" s="12"/>
      <c r="BTU53" s="12"/>
      <c r="BTV53" s="12"/>
      <c r="BTW53" s="12"/>
      <c r="BTX53" s="12"/>
      <c r="BTY53" s="12"/>
      <c r="BTZ53" s="12"/>
      <c r="BUA53" s="12"/>
      <c r="BUB53" s="12"/>
      <c r="BUC53" s="12"/>
      <c r="BUD53" s="12"/>
      <c r="BUE53" s="12"/>
      <c r="BUF53" s="12"/>
      <c r="BUG53" s="12"/>
      <c r="BUH53" s="12"/>
      <c r="BUI53" s="12"/>
      <c r="BUJ53" s="12"/>
      <c r="BUK53" s="12"/>
      <c r="BUL53" s="12"/>
      <c r="BUM53" s="12"/>
      <c r="BUN53" s="12"/>
      <c r="BUO53" s="12"/>
      <c r="BUP53" s="12"/>
      <c r="BUQ53" s="12"/>
      <c r="BUR53" s="12"/>
      <c r="BUS53" s="12"/>
      <c r="BUT53" s="12"/>
      <c r="BUU53" s="12"/>
      <c r="BUV53" s="12"/>
      <c r="BUW53" s="12"/>
      <c r="BUX53" s="12"/>
      <c r="BUY53" s="12"/>
      <c r="BUZ53" s="12"/>
      <c r="BVA53" s="12"/>
      <c r="BVB53" s="12"/>
      <c r="BVC53" s="12"/>
      <c r="BVD53" s="12"/>
      <c r="BVE53" s="12"/>
      <c r="BVF53" s="12"/>
      <c r="BVG53" s="12"/>
      <c r="BVH53" s="12"/>
      <c r="BVI53" s="12"/>
      <c r="BVJ53" s="12"/>
      <c r="BVK53" s="12"/>
      <c r="BVL53" s="12"/>
      <c r="BVM53" s="12"/>
      <c r="BVN53" s="12"/>
      <c r="BVO53" s="12"/>
      <c r="BVP53" s="12"/>
      <c r="BVQ53" s="12"/>
      <c r="BVR53" s="12"/>
      <c r="BVS53" s="12"/>
      <c r="BVT53" s="12"/>
      <c r="BVU53" s="12"/>
      <c r="BVV53" s="12"/>
      <c r="BVW53" s="12"/>
      <c r="BVX53" s="12"/>
      <c r="BVY53" s="12"/>
      <c r="BVZ53" s="12"/>
      <c r="BWA53" s="12"/>
      <c r="BWB53" s="12"/>
      <c r="BWC53" s="12"/>
      <c r="BWD53" s="12"/>
      <c r="BWE53" s="12"/>
      <c r="BWF53" s="12"/>
      <c r="BWG53" s="12"/>
      <c r="BWH53" s="12"/>
      <c r="BWI53" s="12"/>
      <c r="BWJ53" s="12"/>
      <c r="BWK53" s="12"/>
      <c r="BWL53" s="12"/>
      <c r="BWM53" s="12"/>
      <c r="BWN53" s="12"/>
      <c r="BWO53" s="12"/>
      <c r="BWP53" s="12"/>
      <c r="BWQ53" s="12"/>
      <c r="BWR53" s="12"/>
      <c r="BWS53" s="12"/>
      <c r="BWT53" s="12"/>
      <c r="BWU53" s="12"/>
      <c r="BWV53" s="12"/>
      <c r="BWW53" s="12"/>
      <c r="BWX53" s="12"/>
      <c r="BWY53" s="12"/>
      <c r="BWZ53" s="12"/>
      <c r="BXA53" s="12"/>
      <c r="BXB53" s="12"/>
      <c r="BXC53" s="12"/>
      <c r="BXD53" s="12"/>
      <c r="BXE53" s="12"/>
      <c r="BXF53" s="12"/>
      <c r="BXG53" s="12"/>
      <c r="BXH53" s="12"/>
      <c r="BXI53" s="12"/>
      <c r="BXJ53" s="12"/>
      <c r="BXK53" s="12"/>
      <c r="BXL53" s="12"/>
      <c r="BXM53" s="12"/>
      <c r="BXN53" s="12"/>
      <c r="BXO53" s="12"/>
      <c r="BXP53" s="12"/>
      <c r="BXQ53" s="12"/>
      <c r="BXR53" s="12"/>
      <c r="BXS53" s="12"/>
      <c r="BXT53" s="12"/>
      <c r="BXU53" s="12"/>
      <c r="BXV53" s="12"/>
      <c r="BXW53" s="12"/>
      <c r="BXX53" s="12"/>
      <c r="BXY53" s="12"/>
      <c r="BXZ53" s="12"/>
      <c r="BYA53" s="12"/>
      <c r="BYB53" s="12"/>
      <c r="BYC53" s="12"/>
      <c r="BYD53" s="12"/>
      <c r="BYE53" s="12"/>
      <c r="BYF53" s="12"/>
      <c r="BYG53" s="12"/>
      <c r="BYH53" s="12"/>
      <c r="BYI53" s="12"/>
      <c r="BYJ53" s="12"/>
      <c r="BYK53" s="12"/>
      <c r="BYL53" s="12"/>
      <c r="BYM53" s="12"/>
      <c r="BYN53" s="12"/>
      <c r="BYO53" s="12"/>
      <c r="BYP53" s="12"/>
      <c r="BYQ53" s="12"/>
      <c r="BYR53" s="12"/>
      <c r="BYS53" s="12"/>
      <c r="BYT53" s="12"/>
      <c r="BYU53" s="12"/>
      <c r="BYV53" s="12"/>
      <c r="BYW53" s="12"/>
      <c r="BYX53" s="12"/>
      <c r="BYY53" s="12"/>
      <c r="BYZ53" s="12"/>
      <c r="BZA53" s="12"/>
      <c r="BZB53" s="12"/>
      <c r="BZC53" s="12"/>
      <c r="BZD53" s="12"/>
      <c r="BZE53" s="12"/>
      <c r="BZF53" s="12"/>
      <c r="BZG53" s="12"/>
      <c r="BZH53" s="12"/>
      <c r="BZI53" s="12"/>
      <c r="BZJ53" s="12"/>
      <c r="BZK53" s="12"/>
      <c r="BZL53" s="12"/>
      <c r="BZM53" s="12"/>
      <c r="BZN53" s="12"/>
      <c r="BZO53" s="12"/>
      <c r="BZP53" s="12"/>
      <c r="BZQ53" s="12"/>
      <c r="BZR53" s="12"/>
      <c r="BZS53" s="12"/>
      <c r="BZT53" s="12"/>
      <c r="BZU53" s="12"/>
      <c r="BZV53" s="12"/>
      <c r="BZW53" s="12"/>
      <c r="BZX53" s="12"/>
      <c r="BZY53" s="12"/>
      <c r="BZZ53" s="12"/>
      <c r="CAA53" s="12"/>
      <c r="CAB53" s="12"/>
      <c r="CAC53" s="12"/>
      <c r="CAD53" s="12"/>
      <c r="CAE53" s="12"/>
      <c r="CAF53" s="12"/>
      <c r="CAG53" s="12"/>
      <c r="CAH53" s="12"/>
      <c r="CAI53" s="12"/>
      <c r="CAJ53" s="12"/>
      <c r="CAK53" s="12"/>
      <c r="CAL53" s="12"/>
      <c r="CAM53" s="12"/>
      <c r="CAN53" s="12"/>
      <c r="CAO53" s="12"/>
      <c r="CAP53" s="12"/>
      <c r="CAQ53" s="12"/>
      <c r="CAR53" s="12"/>
      <c r="CAS53" s="12"/>
      <c r="CAT53" s="12"/>
      <c r="CAU53" s="12"/>
      <c r="CAV53" s="12"/>
      <c r="CAW53" s="12"/>
      <c r="CAX53" s="12"/>
      <c r="CAY53" s="12"/>
      <c r="CAZ53" s="12"/>
      <c r="CBA53" s="12"/>
      <c r="CBB53" s="12"/>
      <c r="CBC53" s="12"/>
      <c r="CBD53" s="12"/>
      <c r="CBE53" s="12"/>
      <c r="CBF53" s="12"/>
      <c r="CBG53" s="12"/>
      <c r="CBH53" s="12"/>
      <c r="CBI53" s="12"/>
      <c r="CBJ53" s="12"/>
      <c r="CBK53" s="12"/>
      <c r="CBL53" s="12"/>
      <c r="CBM53" s="12"/>
      <c r="CBN53" s="12"/>
      <c r="CBO53" s="12"/>
      <c r="CBP53" s="12"/>
      <c r="CBQ53" s="12"/>
      <c r="CBR53" s="12"/>
      <c r="CBS53" s="12"/>
      <c r="CBT53" s="12"/>
      <c r="CBU53" s="12"/>
      <c r="CBV53" s="12"/>
      <c r="CBW53" s="12"/>
      <c r="CBX53" s="12"/>
      <c r="CBY53" s="12"/>
      <c r="CBZ53" s="12"/>
      <c r="CCA53" s="12"/>
      <c r="CCB53" s="12"/>
      <c r="CCC53" s="12"/>
      <c r="CCD53" s="12"/>
      <c r="CCE53" s="12"/>
      <c r="CCF53" s="12"/>
      <c r="CCG53" s="12"/>
      <c r="CCH53" s="12"/>
      <c r="CCI53" s="12"/>
      <c r="CCJ53" s="12"/>
      <c r="CCK53" s="12"/>
      <c r="CCL53" s="12"/>
      <c r="CCM53" s="12"/>
      <c r="CCN53" s="12"/>
      <c r="CCO53" s="12"/>
      <c r="CCP53" s="12"/>
      <c r="CCQ53" s="12"/>
      <c r="CCR53" s="12"/>
      <c r="CCS53" s="12"/>
      <c r="CCT53" s="12"/>
      <c r="CCU53" s="12"/>
      <c r="CCV53" s="12"/>
      <c r="CCW53" s="12"/>
      <c r="CCX53" s="12"/>
      <c r="CCY53" s="12"/>
      <c r="CCZ53" s="12"/>
      <c r="CDA53" s="12"/>
      <c r="CDB53" s="12"/>
      <c r="CDC53" s="12"/>
      <c r="CDD53" s="12"/>
      <c r="CDE53" s="12"/>
      <c r="CDF53" s="12"/>
      <c r="CDG53" s="12"/>
      <c r="CDH53" s="12"/>
      <c r="CDI53" s="12"/>
      <c r="CDJ53" s="12"/>
      <c r="CDK53" s="12"/>
      <c r="CDL53" s="12"/>
      <c r="CDM53" s="12"/>
      <c r="CDN53" s="12"/>
      <c r="CDO53" s="12"/>
      <c r="CDP53" s="12"/>
      <c r="CDQ53" s="12"/>
      <c r="CDR53" s="12"/>
      <c r="CDS53" s="12"/>
      <c r="CDT53" s="12"/>
      <c r="CDU53" s="12"/>
      <c r="CDV53" s="12"/>
      <c r="CDW53" s="12"/>
      <c r="CDX53" s="12"/>
      <c r="CDY53" s="12"/>
      <c r="CDZ53" s="12"/>
      <c r="CEA53" s="12"/>
      <c r="CEB53" s="12"/>
      <c r="CEC53" s="12"/>
      <c r="CED53" s="12"/>
      <c r="CEE53" s="12"/>
      <c r="CEF53" s="12"/>
      <c r="CEG53" s="12"/>
      <c r="CEH53" s="12"/>
      <c r="CEI53" s="12"/>
      <c r="CEJ53" s="12"/>
      <c r="CEK53" s="12"/>
      <c r="CEL53" s="12"/>
      <c r="CEM53" s="12"/>
      <c r="CEN53" s="12"/>
      <c r="CEO53" s="12"/>
      <c r="CEP53" s="12"/>
      <c r="CEQ53" s="12"/>
      <c r="CER53" s="12"/>
      <c r="CES53" s="12"/>
      <c r="CET53" s="12"/>
      <c r="CEU53" s="12"/>
      <c r="CEV53" s="12"/>
      <c r="CEW53" s="12"/>
      <c r="CEX53" s="12"/>
      <c r="CEY53" s="12"/>
      <c r="CEZ53" s="12"/>
      <c r="CFA53" s="12"/>
      <c r="CFB53" s="12"/>
      <c r="CFC53" s="12"/>
      <c r="CFD53" s="12"/>
      <c r="CFE53" s="12"/>
      <c r="CFF53" s="12"/>
      <c r="CFG53" s="12"/>
      <c r="CFH53" s="12"/>
      <c r="CFI53" s="12"/>
      <c r="CFJ53" s="12"/>
      <c r="CFK53" s="12"/>
      <c r="CFL53" s="12"/>
      <c r="CFM53" s="12"/>
      <c r="CFN53" s="12"/>
      <c r="CFO53" s="12"/>
      <c r="CFP53" s="12"/>
      <c r="CFQ53" s="12"/>
      <c r="CFR53" s="12"/>
      <c r="CFS53" s="12"/>
      <c r="CFT53" s="12"/>
      <c r="CFU53" s="12"/>
      <c r="CFV53" s="12"/>
      <c r="CFW53" s="12"/>
      <c r="CFX53" s="12"/>
      <c r="CFY53" s="12"/>
      <c r="CFZ53" s="12"/>
      <c r="CGA53" s="12"/>
      <c r="CGB53" s="12"/>
      <c r="CGC53" s="12"/>
      <c r="CGD53" s="12"/>
      <c r="CGE53" s="12"/>
      <c r="CGF53" s="12"/>
      <c r="CGG53" s="12"/>
      <c r="CGH53" s="12"/>
      <c r="CGI53" s="12"/>
      <c r="CGJ53" s="12"/>
      <c r="CGK53" s="12"/>
      <c r="CGL53" s="12"/>
      <c r="CGM53" s="12"/>
      <c r="CGN53" s="12"/>
      <c r="CGO53" s="12"/>
      <c r="CGP53" s="12"/>
      <c r="CGQ53" s="12"/>
      <c r="CGR53" s="12"/>
      <c r="CGS53" s="12"/>
      <c r="CGT53" s="12"/>
      <c r="CGU53" s="12"/>
      <c r="CGV53" s="12"/>
      <c r="CGW53" s="12"/>
      <c r="CGX53" s="12"/>
      <c r="CGY53" s="12"/>
      <c r="CGZ53" s="12"/>
      <c r="CHA53" s="12"/>
      <c r="CHB53" s="12"/>
      <c r="CHC53" s="12"/>
      <c r="CHD53" s="12"/>
      <c r="CHE53" s="12"/>
      <c r="CHF53" s="12"/>
      <c r="CHG53" s="12"/>
      <c r="CHH53" s="12"/>
      <c r="CHI53" s="12"/>
      <c r="CHJ53" s="12"/>
      <c r="CHK53" s="12"/>
      <c r="CHL53" s="12"/>
      <c r="CHM53" s="12"/>
      <c r="CHN53" s="12"/>
      <c r="CHO53" s="12"/>
      <c r="CHP53" s="12"/>
      <c r="CHQ53" s="12"/>
      <c r="CHR53" s="12"/>
      <c r="CHS53" s="12"/>
      <c r="CHT53" s="12"/>
      <c r="CHU53" s="12"/>
      <c r="CHV53" s="12"/>
      <c r="CHW53" s="12"/>
      <c r="CHX53" s="12"/>
      <c r="CHY53" s="12"/>
      <c r="CHZ53" s="12"/>
      <c r="CIA53" s="12"/>
      <c r="CIB53" s="12"/>
      <c r="CIC53" s="12"/>
      <c r="CID53" s="12"/>
      <c r="CIE53" s="12"/>
      <c r="CIF53" s="12"/>
      <c r="CIG53" s="12"/>
      <c r="CIH53" s="12"/>
      <c r="CII53" s="12"/>
      <c r="CIJ53" s="12"/>
      <c r="CIK53" s="12"/>
      <c r="CIL53" s="12"/>
      <c r="CIM53" s="12"/>
      <c r="CIN53" s="12"/>
      <c r="CIO53" s="12"/>
      <c r="CIP53" s="12"/>
      <c r="CIQ53" s="12"/>
      <c r="CIR53" s="12"/>
      <c r="CIS53" s="12"/>
      <c r="CIT53" s="12"/>
      <c r="CIU53" s="12"/>
      <c r="CIV53" s="12"/>
      <c r="CIW53" s="12"/>
      <c r="CIX53" s="12"/>
      <c r="CIY53" s="12"/>
      <c r="CIZ53" s="12"/>
      <c r="CJA53" s="12"/>
      <c r="CJB53" s="12"/>
      <c r="CJC53" s="12"/>
      <c r="CJD53" s="12"/>
      <c r="CJE53" s="12"/>
      <c r="CJF53" s="12"/>
      <c r="CJG53" s="12"/>
      <c r="CJH53" s="12"/>
      <c r="CJI53" s="12"/>
      <c r="CJJ53" s="12"/>
      <c r="CJK53" s="12"/>
      <c r="CJL53" s="12"/>
      <c r="CJM53" s="12"/>
      <c r="CJN53" s="12"/>
      <c r="CJO53" s="12"/>
      <c r="CJP53" s="12"/>
      <c r="CJQ53" s="12"/>
      <c r="CJR53" s="12"/>
      <c r="CJS53" s="12"/>
      <c r="CJT53" s="12"/>
      <c r="CJU53" s="12"/>
      <c r="CJV53" s="12"/>
      <c r="CJW53" s="12"/>
      <c r="CJX53" s="12"/>
      <c r="CJY53" s="12"/>
      <c r="CJZ53" s="12"/>
      <c r="CKA53" s="12"/>
      <c r="CKB53" s="12"/>
      <c r="CKC53" s="12"/>
      <c r="CKD53" s="12"/>
      <c r="CKE53" s="12"/>
      <c r="CKF53" s="12"/>
      <c r="CKG53" s="12"/>
      <c r="CKH53" s="12"/>
      <c r="CKI53" s="12"/>
      <c r="CKJ53" s="12"/>
      <c r="CKK53" s="12"/>
      <c r="CKL53" s="12"/>
      <c r="CKM53" s="12"/>
      <c r="CKN53" s="12"/>
      <c r="CKO53" s="12"/>
      <c r="CKP53" s="12"/>
      <c r="CKQ53" s="12"/>
      <c r="CKR53" s="12"/>
      <c r="CKS53" s="12"/>
      <c r="CKT53" s="12"/>
      <c r="CKU53" s="12"/>
      <c r="CKV53" s="12"/>
      <c r="CKW53" s="12"/>
      <c r="CKX53" s="12"/>
      <c r="CKY53" s="12"/>
      <c r="CKZ53" s="12"/>
      <c r="CLA53" s="12"/>
      <c r="CLB53" s="12"/>
      <c r="CLC53" s="12"/>
      <c r="CLD53" s="12"/>
      <c r="CLE53" s="12"/>
      <c r="CLF53" s="12"/>
      <c r="CLG53" s="12"/>
      <c r="CLH53" s="12"/>
      <c r="CLI53" s="12"/>
      <c r="CLJ53" s="12"/>
      <c r="CLK53" s="12"/>
      <c r="CLL53" s="12"/>
      <c r="CLM53" s="12"/>
      <c r="CLN53" s="12"/>
      <c r="CLO53" s="12"/>
      <c r="CLP53" s="12"/>
      <c r="CLQ53" s="12"/>
      <c r="CLR53" s="12"/>
      <c r="CLS53" s="12"/>
      <c r="CLT53" s="12"/>
      <c r="CLU53" s="12"/>
      <c r="CLV53" s="12"/>
      <c r="CLW53" s="12"/>
      <c r="CLX53" s="12"/>
      <c r="CLY53" s="12"/>
      <c r="CLZ53" s="12"/>
      <c r="CMA53" s="12"/>
      <c r="CMB53" s="12"/>
      <c r="CMC53" s="12"/>
      <c r="CMD53" s="12"/>
      <c r="CME53" s="12"/>
      <c r="CMF53" s="12"/>
      <c r="CMG53" s="12"/>
      <c r="CMH53" s="12"/>
      <c r="CMI53" s="12"/>
      <c r="CMJ53" s="12"/>
      <c r="CMK53" s="12"/>
      <c r="CML53" s="12"/>
      <c r="CMM53" s="12"/>
      <c r="CMN53" s="12"/>
      <c r="CMO53" s="12"/>
      <c r="CMP53" s="12"/>
      <c r="CMQ53" s="12"/>
      <c r="CMR53" s="12"/>
      <c r="CMS53" s="12"/>
      <c r="CMT53" s="12"/>
      <c r="CMU53" s="12"/>
      <c r="CMV53" s="12"/>
      <c r="CMW53" s="12"/>
      <c r="CMX53" s="12"/>
      <c r="CMY53" s="12"/>
      <c r="CMZ53" s="12"/>
      <c r="CNA53" s="12"/>
      <c r="CNB53" s="12"/>
      <c r="CNC53" s="12"/>
      <c r="CND53" s="12"/>
      <c r="CNE53" s="12"/>
      <c r="CNF53" s="12"/>
      <c r="CNG53" s="12"/>
      <c r="CNH53" s="12"/>
      <c r="CNI53" s="12"/>
      <c r="CNJ53" s="12"/>
      <c r="CNK53" s="12"/>
      <c r="CNL53" s="12"/>
      <c r="CNM53" s="12"/>
      <c r="CNN53" s="12"/>
      <c r="CNO53" s="12"/>
      <c r="CNP53" s="12"/>
      <c r="CNQ53" s="12"/>
      <c r="CNR53" s="12"/>
      <c r="CNS53" s="12"/>
      <c r="CNT53" s="12"/>
      <c r="CNU53" s="12"/>
      <c r="CNV53" s="12"/>
      <c r="CNW53" s="12"/>
      <c r="CNX53" s="12"/>
      <c r="CNY53" s="12"/>
      <c r="CNZ53" s="12"/>
      <c r="COA53" s="12"/>
      <c r="COB53" s="12"/>
      <c r="COC53" s="12"/>
      <c r="COD53" s="12"/>
      <c r="COE53" s="12"/>
      <c r="COF53" s="12"/>
      <c r="COG53" s="12"/>
      <c r="COH53" s="12"/>
      <c r="COI53" s="12"/>
      <c r="COJ53" s="12"/>
      <c r="COK53" s="12"/>
      <c r="COL53" s="12"/>
      <c r="COM53" s="12"/>
      <c r="CON53" s="12"/>
      <c r="COO53" s="12"/>
      <c r="COP53" s="12"/>
      <c r="COQ53" s="12"/>
      <c r="COR53" s="12"/>
      <c r="COS53" s="12"/>
      <c r="COT53" s="12"/>
      <c r="COU53" s="12"/>
      <c r="COV53" s="12"/>
      <c r="COW53" s="12"/>
      <c r="COX53" s="12"/>
      <c r="COY53" s="12"/>
      <c r="COZ53" s="12"/>
      <c r="CPA53" s="12"/>
      <c r="CPB53" s="12"/>
      <c r="CPC53" s="12"/>
      <c r="CPD53" s="12"/>
      <c r="CPE53" s="12"/>
      <c r="CPF53" s="12"/>
      <c r="CPG53" s="12"/>
      <c r="CPH53" s="12"/>
      <c r="CPI53" s="12"/>
      <c r="CPJ53" s="12"/>
      <c r="CPK53" s="12"/>
      <c r="CPL53" s="12"/>
      <c r="CPM53" s="12"/>
      <c r="CPN53" s="12"/>
      <c r="CPO53" s="12"/>
      <c r="CPP53" s="12"/>
      <c r="CPQ53" s="12"/>
      <c r="CPR53" s="12"/>
      <c r="CPS53" s="12"/>
      <c r="CPT53" s="12"/>
      <c r="CPU53" s="12"/>
      <c r="CPV53" s="12"/>
      <c r="CPW53" s="12"/>
      <c r="CPX53" s="12"/>
      <c r="CPY53" s="12"/>
      <c r="CPZ53" s="12"/>
      <c r="CQA53" s="12"/>
      <c r="CQB53" s="12"/>
      <c r="CQC53" s="12"/>
      <c r="CQD53" s="12"/>
      <c r="CQE53" s="12"/>
      <c r="CQF53" s="12"/>
      <c r="CQG53" s="12"/>
      <c r="CQH53" s="12"/>
      <c r="CQI53" s="12"/>
      <c r="CQJ53" s="12"/>
      <c r="CQK53" s="12"/>
      <c r="CQL53" s="12"/>
      <c r="CQM53" s="12"/>
      <c r="CQN53" s="12"/>
      <c r="CQO53" s="12"/>
      <c r="CQP53" s="12"/>
      <c r="CQQ53" s="12"/>
      <c r="CQR53" s="12"/>
      <c r="CQS53" s="12"/>
      <c r="CQT53" s="12"/>
      <c r="CQU53" s="12"/>
      <c r="CQV53" s="12"/>
      <c r="CQW53" s="12"/>
      <c r="CQX53" s="12"/>
      <c r="CQY53" s="12"/>
      <c r="CQZ53" s="12"/>
      <c r="CRA53" s="12"/>
      <c r="CRB53" s="12"/>
      <c r="CRC53" s="12"/>
      <c r="CRD53" s="12"/>
      <c r="CRE53" s="12"/>
      <c r="CRF53" s="12"/>
      <c r="CRG53" s="12"/>
      <c r="CRH53" s="12"/>
      <c r="CRI53" s="12"/>
      <c r="CRJ53" s="12"/>
      <c r="CRK53" s="12"/>
      <c r="CRL53" s="12"/>
      <c r="CRM53" s="12"/>
      <c r="CRN53" s="12"/>
      <c r="CRO53" s="12"/>
      <c r="CRP53" s="12"/>
      <c r="CRQ53" s="12"/>
      <c r="CRR53" s="12"/>
      <c r="CRS53" s="12"/>
      <c r="CRT53" s="12"/>
      <c r="CRU53" s="12"/>
      <c r="CRV53" s="12"/>
      <c r="CRW53" s="12"/>
      <c r="CRX53" s="12"/>
      <c r="CRY53" s="12"/>
      <c r="CRZ53" s="12"/>
      <c r="CSA53" s="12"/>
      <c r="CSB53" s="12"/>
      <c r="CSC53" s="12"/>
      <c r="CSD53" s="12"/>
      <c r="CSE53" s="12"/>
      <c r="CSF53" s="12"/>
      <c r="CSG53" s="12"/>
      <c r="CSH53" s="12"/>
      <c r="CSI53" s="12"/>
      <c r="CSJ53" s="12"/>
      <c r="CSK53" s="12"/>
      <c r="CSL53" s="12"/>
      <c r="CSM53" s="12"/>
      <c r="CSN53" s="12"/>
      <c r="CSO53" s="12"/>
      <c r="CSP53" s="12"/>
      <c r="CSQ53" s="12"/>
      <c r="CSR53" s="12"/>
      <c r="CSS53" s="12"/>
      <c r="CST53" s="12"/>
      <c r="CSU53" s="12"/>
      <c r="CSV53" s="12"/>
      <c r="CSW53" s="12"/>
      <c r="CSX53" s="12"/>
      <c r="CSY53" s="12"/>
      <c r="CSZ53" s="12"/>
      <c r="CTA53" s="12"/>
      <c r="CTB53" s="12"/>
      <c r="CTC53" s="12"/>
      <c r="CTD53" s="12"/>
      <c r="CTE53" s="12"/>
      <c r="CTF53" s="12"/>
      <c r="CTG53" s="12"/>
      <c r="CTH53" s="12"/>
      <c r="CTI53" s="12"/>
      <c r="CTJ53" s="12"/>
      <c r="CTK53" s="12"/>
      <c r="CTL53" s="12"/>
      <c r="CTM53" s="12"/>
      <c r="CTN53" s="12"/>
      <c r="CTO53" s="12"/>
      <c r="CTP53" s="12"/>
      <c r="CTQ53" s="12"/>
      <c r="CTR53" s="12"/>
      <c r="CTS53" s="12"/>
      <c r="CTT53" s="12"/>
      <c r="CTU53" s="12"/>
      <c r="CTV53" s="12"/>
      <c r="CTW53" s="12"/>
      <c r="CTX53" s="12"/>
      <c r="CTY53" s="12"/>
      <c r="CTZ53" s="12"/>
      <c r="CUA53" s="12"/>
      <c r="CUB53" s="12"/>
      <c r="CUC53" s="12"/>
      <c r="CUD53" s="12"/>
      <c r="CUE53" s="12"/>
      <c r="CUF53" s="12"/>
      <c r="CUG53" s="12"/>
      <c r="CUH53" s="12"/>
      <c r="CUI53" s="12"/>
      <c r="CUJ53" s="12"/>
      <c r="CUK53" s="12"/>
      <c r="CUL53" s="12"/>
      <c r="CUM53" s="12"/>
      <c r="CUN53" s="12"/>
      <c r="CUO53" s="12"/>
      <c r="CUP53" s="12"/>
      <c r="CUQ53" s="12"/>
      <c r="CUR53" s="12"/>
      <c r="CUS53" s="12"/>
      <c r="CUT53" s="12"/>
      <c r="CUU53" s="12"/>
      <c r="CUV53" s="12"/>
      <c r="CUW53" s="12"/>
      <c r="CUX53" s="12"/>
      <c r="CUY53" s="12"/>
      <c r="CUZ53" s="12"/>
      <c r="CVA53" s="12"/>
      <c r="CVB53" s="12"/>
      <c r="CVC53" s="12"/>
      <c r="CVD53" s="12"/>
      <c r="CVE53" s="12"/>
      <c r="CVF53" s="12"/>
      <c r="CVG53" s="12"/>
      <c r="CVH53" s="12"/>
      <c r="CVI53" s="12"/>
      <c r="CVJ53" s="12"/>
      <c r="CVK53" s="12"/>
      <c r="CVL53" s="12"/>
      <c r="CVM53" s="12"/>
      <c r="CVN53" s="12"/>
      <c r="CVO53" s="12"/>
      <c r="CVP53" s="12"/>
      <c r="CVQ53" s="12"/>
      <c r="CVR53" s="12"/>
      <c r="CVS53" s="12"/>
      <c r="CVT53" s="12"/>
      <c r="CVU53" s="12"/>
      <c r="CVV53" s="12"/>
      <c r="CVW53" s="12"/>
      <c r="CVX53" s="12"/>
      <c r="CVY53" s="12"/>
      <c r="CVZ53" s="12"/>
      <c r="CWA53" s="12"/>
      <c r="CWB53" s="12"/>
      <c r="CWC53" s="12"/>
      <c r="CWD53" s="12"/>
      <c r="CWE53" s="12"/>
      <c r="CWF53" s="12"/>
      <c r="CWG53" s="12"/>
      <c r="CWH53" s="12"/>
      <c r="CWI53" s="12"/>
      <c r="CWJ53" s="12"/>
      <c r="CWK53" s="12"/>
      <c r="CWL53" s="12"/>
      <c r="CWM53" s="12"/>
      <c r="CWN53" s="12"/>
      <c r="CWO53" s="12"/>
      <c r="CWP53" s="12"/>
      <c r="CWQ53" s="12"/>
      <c r="CWR53" s="12"/>
      <c r="CWS53" s="12"/>
      <c r="CWT53" s="12"/>
      <c r="CWU53" s="12"/>
      <c r="CWV53" s="12"/>
      <c r="CWW53" s="12"/>
      <c r="CWX53" s="12"/>
      <c r="CWY53" s="12"/>
      <c r="CWZ53" s="12"/>
      <c r="CXA53" s="12"/>
      <c r="CXB53" s="12"/>
      <c r="CXC53" s="12"/>
      <c r="CXD53" s="12"/>
      <c r="CXE53" s="12"/>
      <c r="CXF53" s="12"/>
      <c r="CXG53" s="12"/>
      <c r="CXH53" s="12"/>
      <c r="CXI53" s="12"/>
      <c r="CXJ53" s="12"/>
      <c r="CXK53" s="12"/>
      <c r="CXL53" s="12"/>
      <c r="CXM53" s="12"/>
      <c r="CXN53" s="12"/>
      <c r="CXO53" s="12"/>
      <c r="CXP53" s="12"/>
      <c r="CXQ53" s="12"/>
      <c r="CXR53" s="12"/>
      <c r="CXS53" s="12"/>
      <c r="CXT53" s="12"/>
      <c r="CXU53" s="12"/>
      <c r="CXV53" s="12"/>
      <c r="CXW53" s="12"/>
      <c r="CXX53" s="12"/>
      <c r="CXY53" s="12"/>
      <c r="CXZ53" s="12"/>
      <c r="CYA53" s="12"/>
      <c r="CYB53" s="12"/>
      <c r="CYC53" s="12"/>
      <c r="CYD53" s="12"/>
      <c r="CYE53" s="12"/>
      <c r="CYF53" s="12"/>
      <c r="CYG53" s="12"/>
      <c r="CYH53" s="12"/>
      <c r="CYI53" s="12"/>
      <c r="CYJ53" s="12"/>
      <c r="CYK53" s="12"/>
      <c r="CYL53" s="12"/>
      <c r="CYM53" s="12"/>
      <c r="CYN53" s="12"/>
      <c r="CYO53" s="12"/>
      <c r="CYP53" s="12"/>
      <c r="CYQ53" s="12"/>
      <c r="CYR53" s="12"/>
      <c r="CYS53" s="12"/>
      <c r="CYT53" s="12"/>
      <c r="CYU53" s="12"/>
      <c r="CYV53" s="12"/>
      <c r="CYW53" s="12"/>
      <c r="CYX53" s="12"/>
      <c r="CYY53" s="12"/>
      <c r="CYZ53" s="12"/>
      <c r="CZA53" s="12"/>
      <c r="CZB53" s="12"/>
      <c r="CZC53" s="12"/>
      <c r="CZD53" s="12"/>
      <c r="CZE53" s="12"/>
      <c r="CZF53" s="12"/>
      <c r="CZG53" s="12"/>
      <c r="CZH53" s="12"/>
      <c r="CZI53" s="12"/>
      <c r="CZJ53" s="12"/>
      <c r="CZK53" s="12"/>
      <c r="CZL53" s="12"/>
      <c r="CZM53" s="12"/>
      <c r="CZN53" s="12"/>
      <c r="CZO53" s="12"/>
      <c r="CZP53" s="12"/>
      <c r="CZQ53" s="12"/>
      <c r="CZR53" s="12"/>
      <c r="CZS53" s="12"/>
      <c r="CZT53" s="12"/>
      <c r="CZU53" s="12"/>
      <c r="CZV53" s="12"/>
      <c r="CZW53" s="12"/>
      <c r="CZX53" s="12"/>
      <c r="CZY53" s="12"/>
      <c r="CZZ53" s="12"/>
      <c r="DAA53" s="12"/>
      <c r="DAB53" s="12"/>
      <c r="DAC53" s="12"/>
      <c r="DAD53" s="12"/>
      <c r="DAE53" s="12"/>
      <c r="DAF53" s="12"/>
      <c r="DAG53" s="12"/>
      <c r="DAH53" s="12"/>
      <c r="DAI53" s="12"/>
      <c r="DAJ53" s="12"/>
      <c r="DAK53" s="12"/>
      <c r="DAL53" s="12"/>
      <c r="DAM53" s="12"/>
      <c r="DAN53" s="12"/>
      <c r="DAO53" s="12"/>
      <c r="DAP53" s="12"/>
      <c r="DAQ53" s="12"/>
      <c r="DAR53" s="12"/>
      <c r="DAS53" s="12"/>
      <c r="DAT53" s="12"/>
      <c r="DAU53" s="12"/>
      <c r="DAV53" s="12"/>
      <c r="DAW53" s="12"/>
      <c r="DAX53" s="12"/>
      <c r="DAY53" s="12"/>
      <c r="DAZ53" s="12"/>
      <c r="DBA53" s="12"/>
      <c r="DBB53" s="12"/>
      <c r="DBC53" s="12"/>
      <c r="DBD53" s="12"/>
      <c r="DBE53" s="12"/>
      <c r="DBF53" s="12"/>
      <c r="DBG53" s="12"/>
      <c r="DBH53" s="12"/>
      <c r="DBI53" s="12"/>
      <c r="DBJ53" s="12"/>
      <c r="DBK53" s="12"/>
      <c r="DBL53" s="12"/>
      <c r="DBM53" s="12"/>
      <c r="DBN53" s="12"/>
      <c r="DBO53" s="12"/>
      <c r="DBP53" s="12"/>
      <c r="DBQ53" s="12"/>
      <c r="DBR53" s="12"/>
      <c r="DBS53" s="12"/>
      <c r="DBT53" s="12"/>
      <c r="DBU53" s="12"/>
      <c r="DBV53" s="12"/>
      <c r="DBW53" s="12"/>
      <c r="DBX53" s="12"/>
      <c r="DBY53" s="12"/>
      <c r="DBZ53" s="12"/>
      <c r="DCA53" s="12"/>
      <c r="DCB53" s="12"/>
      <c r="DCC53" s="12"/>
      <c r="DCD53" s="12"/>
      <c r="DCE53" s="12"/>
      <c r="DCF53" s="12"/>
      <c r="DCG53" s="12"/>
      <c r="DCH53" s="12"/>
      <c r="DCI53" s="12"/>
      <c r="DCJ53" s="12"/>
      <c r="DCK53" s="12"/>
      <c r="DCL53" s="12"/>
      <c r="DCM53" s="12"/>
      <c r="DCN53" s="12"/>
      <c r="DCO53" s="12"/>
      <c r="DCP53" s="12"/>
      <c r="DCQ53" s="12"/>
      <c r="DCR53" s="12"/>
      <c r="DCS53" s="12"/>
      <c r="DCT53" s="12"/>
      <c r="DCU53" s="12"/>
      <c r="DCV53" s="12"/>
      <c r="DCW53" s="12"/>
      <c r="DCX53" s="12"/>
      <c r="DCY53" s="12"/>
      <c r="DCZ53" s="12"/>
      <c r="DDA53" s="12"/>
      <c r="DDB53" s="12"/>
      <c r="DDC53" s="12"/>
      <c r="DDD53" s="12"/>
      <c r="DDE53" s="12"/>
      <c r="DDF53" s="12"/>
      <c r="DDG53" s="12"/>
      <c r="DDH53" s="12"/>
      <c r="DDI53" s="12"/>
      <c r="DDJ53" s="12"/>
      <c r="DDK53" s="12"/>
      <c r="DDL53" s="12"/>
      <c r="DDM53" s="12"/>
      <c r="DDN53" s="12"/>
      <c r="DDO53" s="12"/>
      <c r="DDP53" s="12"/>
      <c r="DDQ53" s="12"/>
      <c r="DDR53" s="12"/>
      <c r="DDS53" s="12"/>
      <c r="DDT53" s="12"/>
      <c r="DDU53" s="12"/>
      <c r="DDV53" s="12"/>
      <c r="DDW53" s="12"/>
      <c r="DDX53" s="12"/>
      <c r="DDY53" s="12"/>
      <c r="DDZ53" s="12"/>
      <c r="DEA53" s="12"/>
      <c r="DEB53" s="12"/>
      <c r="DEC53" s="12"/>
      <c r="DED53" s="12"/>
      <c r="DEE53" s="12"/>
      <c r="DEF53" s="12"/>
      <c r="DEG53" s="12"/>
      <c r="DEH53" s="12"/>
      <c r="DEI53" s="12"/>
      <c r="DEJ53" s="12"/>
      <c r="DEK53" s="12"/>
      <c r="DEL53" s="12"/>
      <c r="DEM53" s="12"/>
      <c r="DEN53" s="12"/>
      <c r="DEO53" s="12"/>
      <c r="DEP53" s="12"/>
      <c r="DEQ53" s="12"/>
      <c r="DER53" s="12"/>
      <c r="DES53" s="12"/>
      <c r="DET53" s="12"/>
      <c r="DEU53" s="12"/>
      <c r="DEV53" s="12"/>
      <c r="DEW53" s="12"/>
      <c r="DEX53" s="12"/>
      <c r="DEY53" s="12"/>
      <c r="DEZ53" s="12"/>
      <c r="DFA53" s="12"/>
      <c r="DFB53" s="12"/>
      <c r="DFC53" s="12"/>
      <c r="DFD53" s="12"/>
      <c r="DFE53" s="12"/>
      <c r="DFF53" s="12"/>
      <c r="DFG53" s="12"/>
      <c r="DFH53" s="12"/>
      <c r="DFI53" s="12"/>
      <c r="DFJ53" s="12"/>
      <c r="DFK53" s="12"/>
      <c r="DFL53" s="12"/>
      <c r="DFM53" s="12"/>
      <c r="DFN53" s="12"/>
      <c r="DFO53" s="12"/>
      <c r="DFP53" s="12"/>
      <c r="DFQ53" s="12"/>
      <c r="DFR53" s="12"/>
      <c r="DFS53" s="12"/>
      <c r="DFT53" s="12"/>
      <c r="DFU53" s="12"/>
      <c r="DFV53" s="12"/>
      <c r="DFW53" s="12"/>
      <c r="DFX53" s="12"/>
      <c r="DFY53" s="12"/>
      <c r="DFZ53" s="12"/>
      <c r="DGA53" s="12"/>
      <c r="DGB53" s="12"/>
      <c r="DGC53" s="12"/>
      <c r="DGD53" s="12"/>
      <c r="DGE53" s="12"/>
      <c r="DGF53" s="12"/>
      <c r="DGG53" s="12"/>
      <c r="DGH53" s="12"/>
      <c r="DGI53" s="12"/>
      <c r="DGJ53" s="12"/>
      <c r="DGK53" s="12"/>
      <c r="DGL53" s="12"/>
      <c r="DGM53" s="12"/>
      <c r="DGN53" s="12"/>
      <c r="DGO53" s="12"/>
      <c r="DGP53" s="12"/>
      <c r="DGQ53" s="12"/>
      <c r="DGR53" s="12"/>
      <c r="DGS53" s="12"/>
      <c r="DGT53" s="12"/>
      <c r="DGU53" s="12"/>
      <c r="DGV53" s="12"/>
      <c r="DGW53" s="12"/>
      <c r="DGX53" s="12"/>
      <c r="DGY53" s="12"/>
      <c r="DGZ53" s="12"/>
      <c r="DHA53" s="12"/>
      <c r="DHB53" s="12"/>
      <c r="DHC53" s="12"/>
      <c r="DHD53" s="12"/>
      <c r="DHE53" s="12"/>
      <c r="DHF53" s="12"/>
      <c r="DHG53" s="12"/>
      <c r="DHH53" s="12"/>
      <c r="DHI53" s="12"/>
      <c r="DHJ53" s="12"/>
      <c r="DHK53" s="12"/>
      <c r="DHL53" s="12"/>
      <c r="DHM53" s="12"/>
      <c r="DHN53" s="12"/>
      <c r="DHO53" s="12"/>
      <c r="DHP53" s="12"/>
      <c r="DHQ53" s="12"/>
      <c r="DHR53" s="12"/>
      <c r="DHS53" s="12"/>
      <c r="DHT53" s="12"/>
      <c r="DHU53" s="12"/>
      <c r="DHV53" s="12"/>
      <c r="DHW53" s="12"/>
      <c r="DHX53" s="12"/>
      <c r="DHY53" s="12"/>
      <c r="DHZ53" s="12"/>
      <c r="DIA53" s="12"/>
      <c r="DIB53" s="12"/>
      <c r="DIC53" s="12"/>
      <c r="DID53" s="12"/>
      <c r="DIE53" s="12"/>
      <c r="DIF53" s="12"/>
      <c r="DIG53" s="12"/>
      <c r="DIH53" s="12"/>
      <c r="DII53" s="12"/>
      <c r="DIJ53" s="12"/>
      <c r="DIK53" s="12"/>
      <c r="DIL53" s="12"/>
      <c r="DIM53" s="12"/>
      <c r="DIN53" s="12"/>
      <c r="DIO53" s="12"/>
      <c r="DIP53" s="12"/>
      <c r="DIQ53" s="12"/>
      <c r="DIR53" s="12"/>
      <c r="DIS53" s="12"/>
      <c r="DIT53" s="12"/>
      <c r="DIU53" s="12"/>
      <c r="DIV53" s="12"/>
      <c r="DIW53" s="12"/>
      <c r="DIX53" s="12"/>
      <c r="DIY53" s="12"/>
      <c r="DIZ53" s="12"/>
      <c r="DJA53" s="12"/>
      <c r="DJB53" s="12"/>
      <c r="DJC53" s="12"/>
      <c r="DJD53" s="12"/>
      <c r="DJE53" s="12"/>
      <c r="DJF53" s="12"/>
      <c r="DJG53" s="12"/>
      <c r="DJH53" s="12"/>
      <c r="DJI53" s="12"/>
      <c r="DJJ53" s="12"/>
      <c r="DJK53" s="12"/>
      <c r="DJL53" s="12"/>
      <c r="DJM53" s="12"/>
      <c r="DJN53" s="12"/>
      <c r="DJO53" s="12"/>
      <c r="DJP53" s="12"/>
      <c r="DJQ53" s="12"/>
      <c r="DJR53" s="12"/>
      <c r="DJS53" s="12"/>
      <c r="DJT53" s="12"/>
      <c r="DJU53" s="12"/>
      <c r="DJV53" s="12"/>
      <c r="DJW53" s="12"/>
      <c r="DJX53" s="12"/>
      <c r="DJY53" s="12"/>
      <c r="DJZ53" s="12"/>
      <c r="DKA53" s="12"/>
      <c r="DKB53" s="12"/>
      <c r="DKC53" s="12"/>
      <c r="DKD53" s="12"/>
      <c r="DKE53" s="12"/>
      <c r="DKF53" s="12"/>
      <c r="DKG53" s="12"/>
      <c r="DKH53" s="12"/>
      <c r="DKI53" s="12"/>
      <c r="DKJ53" s="12"/>
      <c r="DKK53" s="12"/>
      <c r="DKL53" s="12"/>
      <c r="DKM53" s="12"/>
      <c r="DKN53" s="12"/>
      <c r="DKO53" s="12"/>
      <c r="DKP53" s="12"/>
      <c r="DKQ53" s="12"/>
      <c r="DKR53" s="12"/>
      <c r="DKS53" s="12"/>
      <c r="DKT53" s="12"/>
      <c r="DKU53" s="12"/>
      <c r="DKV53" s="12"/>
      <c r="DKW53" s="12"/>
      <c r="DKX53" s="12"/>
      <c r="DKY53" s="12"/>
      <c r="DKZ53" s="12"/>
      <c r="DLA53" s="12"/>
      <c r="DLB53" s="12"/>
      <c r="DLC53" s="12"/>
      <c r="DLD53" s="12"/>
      <c r="DLE53" s="12"/>
      <c r="DLF53" s="12"/>
      <c r="DLG53" s="12"/>
      <c r="DLH53" s="12"/>
      <c r="DLI53" s="12"/>
      <c r="DLJ53" s="12"/>
      <c r="DLK53" s="12"/>
      <c r="DLL53" s="12"/>
      <c r="DLM53" s="12"/>
      <c r="DLN53" s="12"/>
      <c r="DLO53" s="12"/>
      <c r="DLP53" s="12"/>
      <c r="DLQ53" s="12"/>
      <c r="DLR53" s="12"/>
      <c r="DLS53" s="12"/>
      <c r="DLT53" s="12"/>
      <c r="DLU53" s="12"/>
      <c r="DLV53" s="12"/>
      <c r="DLW53" s="12"/>
      <c r="DLX53" s="12"/>
      <c r="DLY53" s="12"/>
      <c r="DLZ53" s="12"/>
      <c r="DMA53" s="12"/>
      <c r="DMB53" s="12"/>
      <c r="DMC53" s="12"/>
      <c r="DMD53" s="12"/>
      <c r="DME53" s="12"/>
      <c r="DMF53" s="12"/>
      <c r="DMG53" s="12"/>
      <c r="DMH53" s="12"/>
      <c r="DMI53" s="12"/>
      <c r="DMJ53" s="12"/>
      <c r="DMK53" s="12"/>
      <c r="DML53" s="12"/>
      <c r="DMM53" s="12"/>
      <c r="DMN53" s="12"/>
      <c r="DMO53" s="12"/>
      <c r="DMP53" s="12"/>
      <c r="DMQ53" s="12"/>
      <c r="DMR53" s="12"/>
      <c r="DMS53" s="12"/>
      <c r="DMT53" s="12"/>
      <c r="DMU53" s="12"/>
      <c r="DMV53" s="12"/>
      <c r="DMW53" s="12"/>
      <c r="DMX53" s="12"/>
      <c r="DMY53" s="12"/>
      <c r="DMZ53" s="12"/>
      <c r="DNA53" s="12"/>
      <c r="DNB53" s="12"/>
      <c r="DNC53" s="12"/>
      <c r="DND53" s="12"/>
      <c r="DNE53" s="12"/>
      <c r="DNF53" s="12"/>
      <c r="DNG53" s="12"/>
      <c r="DNH53" s="12"/>
      <c r="DNI53" s="12"/>
      <c r="DNJ53" s="12"/>
      <c r="DNK53" s="12"/>
      <c r="DNL53" s="12"/>
      <c r="DNM53" s="12"/>
      <c r="DNN53" s="12"/>
      <c r="DNO53" s="12"/>
      <c r="DNP53" s="12"/>
      <c r="DNQ53" s="12"/>
      <c r="DNR53" s="12"/>
      <c r="DNS53" s="12"/>
      <c r="DNT53" s="12"/>
      <c r="DNU53" s="12"/>
      <c r="DNV53" s="12"/>
      <c r="DNW53" s="12"/>
      <c r="DNX53" s="12"/>
      <c r="DNY53" s="12"/>
      <c r="DNZ53" s="12"/>
      <c r="DOA53" s="12"/>
      <c r="DOB53" s="12"/>
      <c r="DOC53" s="12"/>
      <c r="DOD53" s="12"/>
      <c r="DOE53" s="12"/>
      <c r="DOF53" s="12"/>
      <c r="DOG53" s="12"/>
      <c r="DOH53" s="12"/>
      <c r="DOI53" s="12"/>
      <c r="DOJ53" s="12"/>
      <c r="DOK53" s="12"/>
      <c r="DOL53" s="12"/>
      <c r="DOM53" s="12"/>
      <c r="DON53" s="12"/>
      <c r="DOO53" s="12"/>
      <c r="DOP53" s="12"/>
      <c r="DOQ53" s="12"/>
      <c r="DOR53" s="12"/>
      <c r="DOS53" s="12"/>
      <c r="DOT53" s="12"/>
      <c r="DOU53" s="12"/>
      <c r="DOV53" s="12"/>
      <c r="DOW53" s="12"/>
      <c r="DOX53" s="12"/>
      <c r="DOY53" s="12"/>
      <c r="DOZ53" s="12"/>
      <c r="DPA53" s="12"/>
      <c r="DPB53" s="12"/>
      <c r="DPC53" s="12"/>
      <c r="DPD53" s="12"/>
      <c r="DPE53" s="12"/>
      <c r="DPF53" s="12"/>
      <c r="DPG53" s="12"/>
      <c r="DPH53" s="12"/>
      <c r="DPI53" s="12"/>
      <c r="DPJ53" s="12"/>
      <c r="DPK53" s="12"/>
      <c r="DPL53" s="12"/>
      <c r="DPM53" s="12"/>
      <c r="DPN53" s="12"/>
      <c r="DPO53" s="12"/>
      <c r="DPP53" s="12"/>
      <c r="DPQ53" s="12"/>
      <c r="DPR53" s="12"/>
      <c r="DPS53" s="12"/>
      <c r="DPT53" s="12"/>
      <c r="DPU53" s="12"/>
      <c r="DPV53" s="12"/>
      <c r="DPW53" s="12"/>
      <c r="DPX53" s="12"/>
      <c r="DPY53" s="12"/>
      <c r="DPZ53" s="12"/>
      <c r="DQA53" s="12"/>
      <c r="DQB53" s="12"/>
      <c r="DQC53" s="12"/>
      <c r="DQD53" s="12"/>
      <c r="DQE53" s="12"/>
      <c r="DQF53" s="12"/>
      <c r="DQG53" s="12"/>
      <c r="DQH53" s="12"/>
      <c r="DQI53" s="12"/>
      <c r="DQJ53" s="12"/>
      <c r="DQK53" s="12"/>
      <c r="DQL53" s="12"/>
      <c r="DQM53" s="12"/>
      <c r="DQN53" s="12"/>
      <c r="DQO53" s="12"/>
      <c r="DQP53" s="12"/>
      <c r="DQQ53" s="12"/>
      <c r="DQR53" s="12"/>
      <c r="DQS53" s="12"/>
      <c r="DQT53" s="12"/>
      <c r="DQU53" s="12"/>
      <c r="DQV53" s="12"/>
      <c r="DQW53" s="12"/>
      <c r="DQX53" s="12"/>
      <c r="DQY53" s="12"/>
      <c r="DQZ53" s="12"/>
      <c r="DRA53" s="12"/>
      <c r="DRB53" s="12"/>
      <c r="DRC53" s="12"/>
      <c r="DRD53" s="12"/>
      <c r="DRE53" s="12"/>
      <c r="DRF53" s="12"/>
      <c r="DRG53" s="12"/>
      <c r="DRH53" s="12"/>
      <c r="DRI53" s="12"/>
      <c r="DRJ53" s="12"/>
      <c r="DRK53" s="12"/>
      <c r="DRL53" s="12"/>
      <c r="DRM53" s="12"/>
      <c r="DRN53" s="12"/>
      <c r="DRO53" s="12"/>
      <c r="DRP53" s="12"/>
      <c r="DRQ53" s="12"/>
      <c r="DRR53" s="12"/>
      <c r="DRS53" s="12"/>
      <c r="DRT53" s="12"/>
      <c r="DRU53" s="12"/>
      <c r="DRV53" s="12"/>
      <c r="DRW53" s="12"/>
      <c r="DRX53" s="12"/>
      <c r="DRY53" s="12"/>
      <c r="DRZ53" s="12"/>
      <c r="DSA53" s="12"/>
      <c r="DSB53" s="12"/>
      <c r="DSC53" s="12"/>
      <c r="DSD53" s="12"/>
      <c r="DSE53" s="12"/>
      <c r="DSF53" s="12"/>
      <c r="DSG53" s="12"/>
      <c r="DSH53" s="12"/>
      <c r="DSI53" s="12"/>
      <c r="DSJ53" s="12"/>
      <c r="DSK53" s="12"/>
      <c r="DSL53" s="12"/>
      <c r="DSM53" s="12"/>
      <c r="DSN53" s="12"/>
      <c r="DSO53" s="12"/>
      <c r="DSP53" s="12"/>
      <c r="DSQ53" s="12"/>
      <c r="DSR53" s="12"/>
      <c r="DSS53" s="12"/>
      <c r="DST53" s="12"/>
      <c r="DSU53" s="12"/>
      <c r="DSV53" s="12"/>
      <c r="DSW53" s="12"/>
      <c r="DSX53" s="12"/>
      <c r="DSY53" s="12"/>
      <c r="DSZ53" s="12"/>
      <c r="DTA53" s="12"/>
      <c r="DTB53" s="12"/>
      <c r="DTC53" s="12"/>
      <c r="DTD53" s="12"/>
      <c r="DTE53" s="12"/>
      <c r="DTF53" s="12"/>
      <c r="DTG53" s="12"/>
      <c r="DTH53" s="12"/>
      <c r="DTI53" s="12"/>
      <c r="DTJ53" s="12"/>
      <c r="DTK53" s="12"/>
      <c r="DTL53" s="12"/>
      <c r="DTM53" s="12"/>
      <c r="DTN53" s="12"/>
      <c r="DTO53" s="12"/>
      <c r="DTP53" s="12"/>
      <c r="DTQ53" s="12"/>
      <c r="DTR53" s="12"/>
      <c r="DTS53" s="12"/>
      <c r="DTT53" s="12"/>
      <c r="DTU53" s="12"/>
      <c r="DTV53" s="12"/>
      <c r="DTW53" s="12"/>
      <c r="DTX53" s="12"/>
      <c r="DTY53" s="12"/>
      <c r="DTZ53" s="12"/>
      <c r="DUA53" s="12"/>
      <c r="DUB53" s="12"/>
      <c r="DUC53" s="12"/>
      <c r="DUD53" s="12"/>
      <c r="DUE53" s="12"/>
      <c r="DUF53" s="12"/>
      <c r="DUG53" s="12"/>
      <c r="DUH53" s="12"/>
      <c r="DUI53" s="12"/>
      <c r="DUJ53" s="12"/>
      <c r="DUK53" s="12"/>
      <c r="DUL53" s="12"/>
      <c r="DUM53" s="12"/>
      <c r="DUN53" s="12"/>
      <c r="DUO53" s="12"/>
      <c r="DUP53" s="12"/>
      <c r="DUQ53" s="12"/>
      <c r="DUR53" s="12"/>
      <c r="DUS53" s="12"/>
      <c r="DUT53" s="12"/>
      <c r="DUU53" s="12"/>
      <c r="DUV53" s="12"/>
      <c r="DUW53" s="12"/>
      <c r="DUX53" s="12"/>
      <c r="DUY53" s="12"/>
      <c r="DUZ53" s="12"/>
      <c r="DVA53" s="12"/>
      <c r="DVB53" s="12"/>
      <c r="DVC53" s="12"/>
      <c r="DVD53" s="12"/>
      <c r="DVE53" s="12"/>
      <c r="DVF53" s="12"/>
      <c r="DVG53" s="12"/>
      <c r="DVH53" s="12"/>
      <c r="DVI53" s="12"/>
      <c r="DVJ53" s="12"/>
      <c r="DVK53" s="12"/>
      <c r="DVL53" s="12"/>
      <c r="DVM53" s="12"/>
      <c r="DVN53" s="12"/>
      <c r="DVO53" s="12"/>
      <c r="DVP53" s="12"/>
      <c r="DVQ53" s="12"/>
      <c r="DVR53" s="12"/>
      <c r="DVS53" s="12"/>
      <c r="DVT53" s="12"/>
      <c r="DVU53" s="12"/>
      <c r="DVV53" s="12"/>
      <c r="DVW53" s="12"/>
      <c r="DVX53" s="12"/>
      <c r="DVY53" s="12"/>
      <c r="DVZ53" s="12"/>
      <c r="DWA53" s="12"/>
      <c r="DWB53" s="12"/>
      <c r="DWC53" s="12"/>
      <c r="DWD53" s="12"/>
      <c r="DWE53" s="12"/>
      <c r="DWF53" s="12"/>
      <c r="DWG53" s="12"/>
      <c r="DWH53" s="12"/>
      <c r="DWI53" s="12"/>
      <c r="DWJ53" s="12"/>
      <c r="DWK53" s="12"/>
      <c r="DWL53" s="12"/>
      <c r="DWM53" s="12"/>
      <c r="DWN53" s="12"/>
      <c r="DWO53" s="12"/>
      <c r="DWP53" s="12"/>
      <c r="DWQ53" s="12"/>
      <c r="DWR53" s="12"/>
      <c r="DWS53" s="12"/>
      <c r="DWT53" s="12"/>
      <c r="DWU53" s="12"/>
      <c r="DWV53" s="12"/>
      <c r="DWW53" s="12"/>
      <c r="DWX53" s="12"/>
      <c r="DWY53" s="12"/>
      <c r="DWZ53" s="12"/>
      <c r="DXA53" s="12"/>
      <c r="DXB53" s="12"/>
      <c r="DXC53" s="12"/>
      <c r="DXD53" s="12"/>
      <c r="DXE53" s="12"/>
      <c r="DXF53" s="12"/>
      <c r="DXG53" s="12"/>
      <c r="DXH53" s="12"/>
      <c r="DXI53" s="12"/>
      <c r="DXJ53" s="12"/>
      <c r="DXK53" s="12"/>
      <c r="DXL53" s="12"/>
      <c r="DXM53" s="12"/>
      <c r="DXN53" s="12"/>
      <c r="DXO53" s="12"/>
      <c r="DXP53" s="12"/>
      <c r="DXQ53" s="12"/>
      <c r="DXR53" s="12"/>
      <c r="DXS53" s="12"/>
      <c r="DXT53" s="12"/>
      <c r="DXU53" s="12"/>
      <c r="DXV53" s="12"/>
      <c r="DXW53" s="12"/>
      <c r="DXX53" s="12"/>
      <c r="DXY53" s="12"/>
      <c r="DXZ53" s="12"/>
      <c r="DYA53" s="12"/>
      <c r="DYB53" s="12"/>
      <c r="DYC53" s="12"/>
      <c r="DYD53" s="12"/>
      <c r="DYE53" s="12"/>
      <c r="DYF53" s="12"/>
      <c r="DYG53" s="12"/>
      <c r="DYH53" s="12"/>
      <c r="DYI53" s="12"/>
      <c r="DYJ53" s="12"/>
      <c r="DYK53" s="12"/>
      <c r="DYL53" s="12"/>
      <c r="DYM53" s="12"/>
      <c r="DYN53" s="12"/>
      <c r="DYO53" s="12"/>
      <c r="DYP53" s="12"/>
      <c r="DYQ53" s="12"/>
      <c r="DYR53" s="12"/>
      <c r="DYS53" s="12"/>
      <c r="DYT53" s="12"/>
      <c r="DYU53" s="12"/>
      <c r="DYV53" s="12"/>
      <c r="DYW53" s="12"/>
      <c r="DYX53" s="12"/>
      <c r="DYY53" s="12"/>
      <c r="DYZ53" s="12"/>
      <c r="DZA53" s="12"/>
      <c r="DZB53" s="12"/>
      <c r="DZC53" s="12"/>
      <c r="DZD53" s="12"/>
      <c r="DZE53" s="12"/>
      <c r="DZF53" s="12"/>
      <c r="DZG53" s="12"/>
      <c r="DZH53" s="12"/>
      <c r="DZI53" s="12"/>
      <c r="DZJ53" s="12"/>
      <c r="DZK53" s="12"/>
      <c r="DZL53" s="12"/>
      <c r="DZM53" s="12"/>
      <c r="DZN53" s="12"/>
      <c r="DZO53" s="12"/>
      <c r="DZP53" s="12"/>
      <c r="DZQ53" s="12"/>
      <c r="DZR53" s="12"/>
      <c r="DZS53" s="12"/>
      <c r="DZT53" s="12"/>
      <c r="DZU53" s="12"/>
      <c r="DZV53" s="12"/>
      <c r="DZW53" s="12"/>
      <c r="DZX53" s="12"/>
      <c r="DZY53" s="12"/>
      <c r="DZZ53" s="12"/>
      <c r="EAA53" s="12"/>
      <c r="EAB53" s="12"/>
      <c r="EAC53" s="12"/>
      <c r="EAD53" s="12"/>
      <c r="EAE53" s="12"/>
      <c r="EAF53" s="12"/>
      <c r="EAG53" s="12"/>
      <c r="EAH53" s="12"/>
      <c r="EAI53" s="12"/>
      <c r="EAJ53" s="12"/>
      <c r="EAK53" s="12"/>
      <c r="EAL53" s="12"/>
      <c r="EAM53" s="12"/>
      <c r="EAN53" s="12"/>
      <c r="EAO53" s="12"/>
      <c r="EAP53" s="12"/>
      <c r="EAQ53" s="12"/>
      <c r="EAR53" s="12"/>
      <c r="EAS53" s="12"/>
      <c r="EAT53" s="12"/>
      <c r="EAU53" s="12"/>
      <c r="EAV53" s="12"/>
      <c r="EAW53" s="12"/>
      <c r="EAX53" s="12"/>
      <c r="EAY53" s="12"/>
      <c r="EAZ53" s="12"/>
      <c r="EBA53" s="12"/>
      <c r="EBB53" s="12"/>
      <c r="EBC53" s="12"/>
      <c r="EBD53" s="12"/>
      <c r="EBE53" s="12"/>
      <c r="EBF53" s="12"/>
      <c r="EBG53" s="12"/>
      <c r="EBH53" s="12"/>
      <c r="EBI53" s="12"/>
      <c r="EBJ53" s="12"/>
      <c r="EBK53" s="12"/>
      <c r="EBL53" s="12"/>
      <c r="EBM53" s="12"/>
      <c r="EBN53" s="12"/>
      <c r="EBO53" s="12"/>
      <c r="EBP53" s="12"/>
      <c r="EBQ53" s="12"/>
      <c r="EBR53" s="12"/>
      <c r="EBS53" s="12"/>
      <c r="EBT53" s="12"/>
      <c r="EBU53" s="12"/>
      <c r="EBV53" s="12"/>
      <c r="EBW53" s="12"/>
      <c r="EBX53" s="12"/>
      <c r="EBY53" s="12"/>
      <c r="EBZ53" s="12"/>
      <c r="ECA53" s="12"/>
      <c r="ECB53" s="12"/>
      <c r="ECC53" s="12"/>
      <c r="ECD53" s="12"/>
      <c r="ECE53" s="12"/>
      <c r="ECF53" s="12"/>
      <c r="ECG53" s="12"/>
      <c r="ECH53" s="12"/>
      <c r="ECI53" s="12"/>
      <c r="ECJ53" s="12"/>
      <c r="ECK53" s="12"/>
      <c r="ECL53" s="12"/>
      <c r="ECM53" s="12"/>
      <c r="ECN53" s="12"/>
      <c r="ECO53" s="12"/>
      <c r="ECP53" s="12"/>
      <c r="ECQ53" s="12"/>
      <c r="ECR53" s="12"/>
      <c r="ECS53" s="12"/>
      <c r="ECT53" s="12"/>
      <c r="ECU53" s="12"/>
      <c r="ECV53" s="12"/>
      <c r="ECW53" s="12"/>
      <c r="ECX53" s="12"/>
      <c r="ECY53" s="12"/>
      <c r="ECZ53" s="12"/>
      <c r="EDA53" s="12"/>
      <c r="EDB53" s="12"/>
      <c r="EDC53" s="12"/>
      <c r="EDD53" s="12"/>
      <c r="EDE53" s="12"/>
      <c r="EDF53" s="12"/>
      <c r="EDG53" s="12"/>
      <c r="EDH53" s="12"/>
      <c r="EDI53" s="12"/>
      <c r="EDJ53" s="12"/>
      <c r="EDK53" s="12"/>
      <c r="EDL53" s="12"/>
      <c r="EDM53" s="12"/>
      <c r="EDN53" s="12"/>
      <c r="EDO53" s="12"/>
      <c r="EDP53" s="12"/>
      <c r="EDQ53" s="12"/>
      <c r="EDR53" s="12"/>
      <c r="EDS53" s="12"/>
      <c r="EDT53" s="12"/>
      <c r="EDU53" s="12"/>
      <c r="EDV53" s="12"/>
      <c r="EDW53" s="12"/>
      <c r="EDX53" s="12"/>
      <c r="EDY53" s="12"/>
      <c r="EDZ53" s="12"/>
      <c r="EEA53" s="12"/>
      <c r="EEB53" s="12"/>
      <c r="EEC53" s="12"/>
      <c r="EED53" s="12"/>
      <c r="EEE53" s="12"/>
      <c r="EEF53" s="12"/>
      <c r="EEG53" s="12"/>
      <c r="EEH53" s="12"/>
      <c r="EEI53" s="12"/>
      <c r="EEJ53" s="12"/>
      <c r="EEK53" s="12"/>
      <c r="EEL53" s="12"/>
      <c r="EEM53" s="12"/>
      <c r="EEN53" s="12"/>
      <c r="EEO53" s="12"/>
      <c r="EEP53" s="12"/>
      <c r="EEQ53" s="12"/>
      <c r="EER53" s="12"/>
      <c r="EES53" s="12"/>
      <c r="EET53" s="12"/>
      <c r="EEU53" s="12"/>
      <c r="EEV53" s="12"/>
      <c r="EEW53" s="12"/>
      <c r="EEX53" s="12"/>
      <c r="EEY53" s="12"/>
      <c r="EEZ53" s="12"/>
      <c r="EFA53" s="12"/>
      <c r="EFB53" s="12"/>
      <c r="EFC53" s="12"/>
      <c r="EFD53" s="12"/>
      <c r="EFE53" s="12"/>
      <c r="EFF53" s="12"/>
      <c r="EFG53" s="12"/>
      <c r="EFH53" s="12"/>
      <c r="EFI53" s="12"/>
      <c r="EFJ53" s="12"/>
      <c r="EFK53" s="12"/>
      <c r="EFL53" s="12"/>
      <c r="EFM53" s="12"/>
      <c r="EFN53" s="12"/>
      <c r="EFO53" s="12"/>
      <c r="EFP53" s="12"/>
      <c r="EFQ53" s="12"/>
      <c r="EFR53" s="12"/>
      <c r="EFS53" s="12"/>
      <c r="EFT53" s="12"/>
      <c r="EFU53" s="12"/>
      <c r="EFV53" s="12"/>
      <c r="EFW53" s="12"/>
      <c r="EFX53" s="12"/>
      <c r="EFY53" s="12"/>
      <c r="EFZ53" s="12"/>
      <c r="EGA53" s="12"/>
      <c r="EGB53" s="12"/>
      <c r="EGC53" s="12"/>
      <c r="EGD53" s="12"/>
      <c r="EGE53" s="12"/>
      <c r="EGF53" s="12"/>
      <c r="EGG53" s="12"/>
      <c r="EGH53" s="12"/>
      <c r="EGI53" s="12"/>
      <c r="EGJ53" s="12"/>
      <c r="EGK53" s="12"/>
      <c r="EGL53" s="12"/>
      <c r="EGM53" s="12"/>
      <c r="EGN53" s="12"/>
      <c r="EGO53" s="12"/>
      <c r="EGP53" s="12"/>
      <c r="EGQ53" s="12"/>
      <c r="EGR53" s="12"/>
      <c r="EGS53" s="12"/>
      <c r="EGT53" s="12"/>
      <c r="EGU53" s="12"/>
      <c r="EGV53" s="12"/>
      <c r="EGW53" s="12"/>
      <c r="EGX53" s="12"/>
      <c r="EGY53" s="12"/>
      <c r="EGZ53" s="12"/>
      <c r="EHA53" s="12"/>
      <c r="EHB53" s="12"/>
      <c r="EHC53" s="12"/>
      <c r="EHD53" s="12"/>
      <c r="EHE53" s="12"/>
      <c r="EHF53" s="12"/>
      <c r="EHG53" s="12"/>
      <c r="EHH53" s="12"/>
      <c r="EHI53" s="12"/>
      <c r="EHJ53" s="12"/>
      <c r="EHK53" s="12"/>
      <c r="EHL53" s="12"/>
      <c r="EHM53" s="12"/>
      <c r="EHN53" s="12"/>
      <c r="EHO53" s="12"/>
      <c r="EHP53" s="12"/>
      <c r="EHQ53" s="12"/>
      <c r="EHR53" s="12"/>
      <c r="EHS53" s="12"/>
      <c r="EHT53" s="12"/>
      <c r="EHU53" s="12"/>
      <c r="EHV53" s="12"/>
      <c r="EHW53" s="12"/>
      <c r="EHX53" s="12"/>
      <c r="EHY53" s="12"/>
      <c r="EHZ53" s="12"/>
      <c r="EIA53" s="12"/>
      <c r="EIB53" s="12"/>
      <c r="EIC53" s="12"/>
      <c r="EID53" s="12"/>
      <c r="EIE53" s="12"/>
      <c r="EIF53" s="12"/>
      <c r="EIG53" s="12"/>
      <c r="EIH53" s="12"/>
      <c r="EII53" s="12"/>
      <c r="EIJ53" s="12"/>
      <c r="EIK53" s="12"/>
      <c r="EIL53" s="12"/>
      <c r="EIM53" s="12"/>
      <c r="EIN53" s="12"/>
      <c r="EIO53" s="12"/>
      <c r="EIP53" s="12"/>
      <c r="EIQ53" s="12"/>
      <c r="EIR53" s="12"/>
      <c r="EIS53" s="12"/>
      <c r="EIT53" s="12"/>
      <c r="EIU53" s="12"/>
      <c r="EIV53" s="12"/>
      <c r="EIW53" s="12"/>
      <c r="EIX53" s="12"/>
      <c r="EIY53" s="12"/>
      <c r="EIZ53" s="12"/>
      <c r="EJA53" s="12"/>
      <c r="EJB53" s="12"/>
      <c r="EJC53" s="12"/>
      <c r="EJD53" s="12"/>
      <c r="EJE53" s="12"/>
      <c r="EJF53" s="12"/>
      <c r="EJG53" s="12"/>
      <c r="EJH53" s="12"/>
      <c r="EJI53" s="12"/>
      <c r="EJJ53" s="12"/>
      <c r="EJK53" s="12"/>
      <c r="EJL53" s="12"/>
      <c r="EJM53" s="12"/>
      <c r="EJN53" s="12"/>
      <c r="EJO53" s="12"/>
      <c r="EJP53" s="12"/>
      <c r="EJQ53" s="12"/>
      <c r="EJR53" s="12"/>
      <c r="EJS53" s="12"/>
      <c r="EJT53" s="12"/>
      <c r="EJU53" s="12"/>
      <c r="EJV53" s="12"/>
      <c r="EJW53" s="12"/>
      <c r="EJX53" s="12"/>
      <c r="EJY53" s="12"/>
      <c r="EJZ53" s="12"/>
      <c r="EKA53" s="12"/>
      <c r="EKB53" s="12"/>
      <c r="EKC53" s="12"/>
      <c r="EKD53" s="12"/>
      <c r="EKE53" s="12"/>
      <c r="EKF53" s="12"/>
      <c r="EKG53" s="12"/>
      <c r="EKH53" s="12"/>
      <c r="EKI53" s="12"/>
      <c r="EKJ53" s="12"/>
      <c r="EKK53" s="12"/>
      <c r="EKL53" s="12"/>
      <c r="EKM53" s="12"/>
      <c r="EKN53" s="12"/>
      <c r="EKO53" s="12"/>
      <c r="EKP53" s="12"/>
      <c r="EKQ53" s="12"/>
      <c r="EKR53" s="12"/>
      <c r="EKS53" s="12"/>
      <c r="EKT53" s="12"/>
      <c r="EKU53" s="12"/>
      <c r="EKV53" s="12"/>
      <c r="EKW53" s="12"/>
      <c r="EKX53" s="12"/>
      <c r="EKY53" s="12"/>
      <c r="EKZ53" s="12"/>
      <c r="ELA53" s="12"/>
      <c r="ELB53" s="12"/>
      <c r="ELC53" s="12"/>
      <c r="ELD53" s="12"/>
      <c r="ELE53" s="12"/>
      <c r="ELF53" s="12"/>
      <c r="ELG53" s="12"/>
      <c r="ELH53" s="12"/>
      <c r="ELI53" s="12"/>
      <c r="ELJ53" s="12"/>
      <c r="ELK53" s="12"/>
      <c r="ELL53" s="12"/>
      <c r="ELM53" s="12"/>
      <c r="ELN53" s="12"/>
      <c r="ELO53" s="12"/>
      <c r="ELP53" s="12"/>
      <c r="ELQ53" s="12"/>
      <c r="ELR53" s="12"/>
      <c r="ELS53" s="12"/>
      <c r="ELT53" s="12"/>
      <c r="ELU53" s="12"/>
      <c r="ELV53" s="12"/>
      <c r="ELW53" s="12"/>
      <c r="ELX53" s="12"/>
      <c r="ELY53" s="12"/>
      <c r="ELZ53" s="12"/>
      <c r="EMA53" s="12"/>
      <c r="EMB53" s="12"/>
      <c r="EMC53" s="12"/>
      <c r="EMD53" s="12"/>
      <c r="EME53" s="12"/>
      <c r="EMF53" s="12"/>
      <c r="EMG53" s="12"/>
      <c r="EMH53" s="12"/>
      <c r="EMI53" s="12"/>
      <c r="EMJ53" s="12"/>
      <c r="EMK53" s="12"/>
      <c r="EML53" s="12"/>
      <c r="EMM53" s="12"/>
      <c r="EMN53" s="12"/>
      <c r="EMO53" s="12"/>
      <c r="EMP53" s="12"/>
      <c r="EMQ53" s="12"/>
      <c r="EMR53" s="12"/>
      <c r="EMS53" s="12"/>
      <c r="EMT53" s="12"/>
      <c r="EMU53" s="12"/>
      <c r="EMV53" s="12"/>
      <c r="EMW53" s="12"/>
      <c r="EMX53" s="12"/>
      <c r="EMY53" s="12"/>
      <c r="EMZ53" s="12"/>
      <c r="ENA53" s="12"/>
      <c r="ENB53" s="12"/>
      <c r="ENC53" s="12"/>
      <c r="END53" s="12"/>
      <c r="ENE53" s="12"/>
      <c r="ENF53" s="12"/>
      <c r="ENG53" s="12"/>
      <c r="ENH53" s="12"/>
      <c r="ENI53" s="12"/>
      <c r="ENJ53" s="12"/>
      <c r="ENK53" s="12"/>
      <c r="ENL53" s="12"/>
      <c r="ENM53" s="12"/>
      <c r="ENN53" s="12"/>
      <c r="ENO53" s="12"/>
      <c r="ENP53" s="12"/>
      <c r="ENQ53" s="12"/>
      <c r="ENR53" s="12"/>
      <c r="ENS53" s="12"/>
      <c r="ENT53" s="12"/>
      <c r="ENU53" s="12"/>
      <c r="ENV53" s="12"/>
      <c r="ENW53" s="12"/>
      <c r="ENX53" s="12"/>
      <c r="ENY53" s="12"/>
      <c r="ENZ53" s="12"/>
      <c r="EOA53" s="12"/>
      <c r="EOB53" s="12"/>
      <c r="EOC53" s="12"/>
      <c r="EOD53" s="12"/>
      <c r="EOE53" s="12"/>
      <c r="EOF53" s="12"/>
      <c r="EOG53" s="12"/>
      <c r="EOH53" s="12"/>
      <c r="EOI53" s="12"/>
      <c r="EOJ53" s="12"/>
      <c r="EOK53" s="12"/>
      <c r="EOL53" s="12"/>
      <c r="EOM53" s="12"/>
      <c r="EON53" s="12"/>
      <c r="EOO53" s="12"/>
      <c r="EOP53" s="12"/>
      <c r="EOQ53" s="12"/>
      <c r="EOR53" s="12"/>
      <c r="EOS53" s="12"/>
      <c r="EOT53" s="12"/>
      <c r="EOU53" s="12"/>
      <c r="EOV53" s="12"/>
      <c r="EOW53" s="12"/>
      <c r="EOX53" s="12"/>
      <c r="EOY53" s="12"/>
      <c r="EOZ53" s="12"/>
      <c r="EPA53" s="12"/>
      <c r="EPB53" s="12"/>
      <c r="EPC53" s="12"/>
      <c r="EPD53" s="12"/>
      <c r="EPE53" s="12"/>
      <c r="EPF53" s="12"/>
      <c r="EPG53" s="12"/>
      <c r="EPH53" s="12"/>
      <c r="EPI53" s="12"/>
      <c r="EPJ53" s="12"/>
      <c r="EPK53" s="12"/>
      <c r="EPL53" s="12"/>
      <c r="EPM53" s="12"/>
      <c r="EPN53" s="12"/>
      <c r="EPO53" s="12"/>
      <c r="EPP53" s="12"/>
      <c r="EPQ53" s="12"/>
      <c r="EPR53" s="12"/>
      <c r="EPS53" s="12"/>
      <c r="EPT53" s="12"/>
      <c r="EPU53" s="12"/>
      <c r="EPV53" s="12"/>
      <c r="EPW53" s="12"/>
      <c r="EPX53" s="12"/>
      <c r="EPY53" s="12"/>
      <c r="EPZ53" s="12"/>
      <c r="EQA53" s="12"/>
      <c r="EQB53" s="12"/>
      <c r="EQC53" s="12"/>
      <c r="EQD53" s="12"/>
      <c r="EQE53" s="12"/>
      <c r="EQF53" s="12"/>
      <c r="EQG53" s="12"/>
      <c r="EQH53" s="12"/>
      <c r="EQI53" s="12"/>
      <c r="EQJ53" s="12"/>
      <c r="EQK53" s="12"/>
      <c r="EQL53" s="12"/>
      <c r="EQM53" s="12"/>
      <c r="EQN53" s="12"/>
      <c r="EQO53" s="12"/>
      <c r="EQP53" s="12"/>
      <c r="EQQ53" s="12"/>
      <c r="EQR53" s="12"/>
      <c r="EQS53" s="12"/>
      <c r="EQT53" s="12"/>
      <c r="EQU53" s="12"/>
      <c r="EQV53" s="12"/>
      <c r="EQW53" s="12"/>
      <c r="EQX53" s="12"/>
      <c r="EQY53" s="12"/>
      <c r="EQZ53" s="12"/>
      <c r="ERA53" s="12"/>
      <c r="ERB53" s="12"/>
      <c r="ERC53" s="12"/>
      <c r="ERD53" s="12"/>
      <c r="ERE53" s="12"/>
      <c r="ERF53" s="12"/>
      <c r="ERG53" s="12"/>
      <c r="ERH53" s="12"/>
      <c r="ERI53" s="12"/>
      <c r="ERJ53" s="12"/>
      <c r="ERK53" s="12"/>
      <c r="ERL53" s="12"/>
      <c r="ERM53" s="12"/>
      <c r="ERN53" s="12"/>
      <c r="ERO53" s="12"/>
      <c r="ERP53" s="12"/>
      <c r="ERQ53" s="12"/>
      <c r="ERR53" s="12"/>
      <c r="ERS53" s="12"/>
      <c r="ERT53" s="12"/>
      <c r="ERU53" s="12"/>
      <c r="ERV53" s="12"/>
      <c r="ERW53" s="12"/>
      <c r="ERX53" s="12"/>
      <c r="ERY53" s="12"/>
      <c r="ERZ53" s="12"/>
      <c r="ESA53" s="12"/>
      <c r="ESB53" s="12"/>
      <c r="ESC53" s="12"/>
      <c r="ESD53" s="12"/>
      <c r="ESE53" s="12"/>
      <c r="ESF53" s="12"/>
      <c r="ESG53" s="12"/>
      <c r="ESH53" s="12"/>
      <c r="ESI53" s="12"/>
      <c r="ESJ53" s="12"/>
      <c r="ESK53" s="12"/>
      <c r="ESL53" s="12"/>
      <c r="ESM53" s="12"/>
      <c r="ESN53" s="12"/>
      <c r="ESO53" s="12"/>
      <c r="ESP53" s="12"/>
      <c r="ESQ53" s="12"/>
      <c r="ESR53" s="12"/>
      <c r="ESS53" s="12"/>
      <c r="EST53" s="12"/>
      <c r="ESU53" s="12"/>
      <c r="ESV53" s="12"/>
      <c r="ESW53" s="12"/>
      <c r="ESX53" s="12"/>
      <c r="ESY53" s="12"/>
      <c r="ESZ53" s="12"/>
      <c r="ETA53" s="12"/>
      <c r="ETB53" s="12"/>
      <c r="ETC53" s="12"/>
      <c r="ETD53" s="12"/>
      <c r="ETE53" s="12"/>
      <c r="ETF53" s="12"/>
      <c r="ETG53" s="12"/>
      <c r="ETH53" s="12"/>
      <c r="ETI53" s="12"/>
      <c r="ETJ53" s="12"/>
      <c r="ETK53" s="12"/>
      <c r="ETL53" s="12"/>
      <c r="ETM53" s="12"/>
      <c r="ETN53" s="12"/>
      <c r="ETO53" s="12"/>
      <c r="ETP53" s="12"/>
      <c r="ETQ53" s="12"/>
      <c r="ETR53" s="12"/>
      <c r="ETS53" s="12"/>
      <c r="ETT53" s="12"/>
      <c r="ETU53" s="12"/>
      <c r="ETV53" s="12"/>
      <c r="ETW53" s="12"/>
      <c r="ETX53" s="12"/>
      <c r="ETY53" s="12"/>
      <c r="ETZ53" s="12"/>
      <c r="EUA53" s="12"/>
      <c r="EUB53" s="12"/>
      <c r="EUC53" s="12"/>
      <c r="EUD53" s="12"/>
      <c r="EUE53" s="12"/>
      <c r="EUF53" s="12"/>
      <c r="EUG53" s="12"/>
      <c r="EUH53" s="12"/>
      <c r="EUI53" s="12"/>
      <c r="EUJ53" s="12"/>
      <c r="EUK53" s="12"/>
      <c r="EUL53" s="12"/>
      <c r="EUM53" s="12"/>
      <c r="EUN53" s="12"/>
      <c r="EUO53" s="12"/>
      <c r="EUP53" s="12"/>
      <c r="EUQ53" s="12"/>
      <c r="EUR53" s="12"/>
      <c r="EUS53" s="12"/>
      <c r="EUT53" s="12"/>
      <c r="EUU53" s="12"/>
      <c r="EUV53" s="12"/>
      <c r="EUW53" s="12"/>
      <c r="EUX53" s="12"/>
      <c r="EUY53" s="12"/>
      <c r="EUZ53" s="12"/>
      <c r="EVA53" s="12"/>
      <c r="EVB53" s="12"/>
      <c r="EVC53" s="12"/>
      <c r="EVD53" s="12"/>
      <c r="EVE53" s="12"/>
      <c r="EVF53" s="12"/>
      <c r="EVG53" s="12"/>
      <c r="EVH53" s="12"/>
      <c r="EVI53" s="12"/>
      <c r="EVJ53" s="12"/>
      <c r="EVK53" s="12"/>
      <c r="EVL53" s="12"/>
      <c r="EVM53" s="12"/>
      <c r="EVN53" s="12"/>
      <c r="EVO53" s="12"/>
      <c r="EVP53" s="12"/>
      <c r="EVQ53" s="12"/>
      <c r="EVR53" s="12"/>
      <c r="EVS53" s="12"/>
      <c r="EVT53" s="12"/>
      <c r="EVU53" s="12"/>
      <c r="EVV53" s="12"/>
      <c r="EVW53" s="12"/>
      <c r="EVX53" s="12"/>
      <c r="EVY53" s="12"/>
      <c r="EVZ53" s="12"/>
      <c r="EWA53" s="12"/>
      <c r="EWB53" s="12"/>
      <c r="EWC53" s="12"/>
      <c r="EWD53" s="12"/>
      <c r="EWE53" s="12"/>
      <c r="EWF53" s="12"/>
      <c r="EWG53" s="12"/>
      <c r="EWH53" s="12"/>
      <c r="EWI53" s="12"/>
      <c r="EWJ53" s="12"/>
      <c r="EWK53" s="12"/>
      <c r="EWL53" s="12"/>
      <c r="EWM53" s="12"/>
      <c r="EWN53" s="12"/>
      <c r="EWO53" s="12"/>
      <c r="EWP53" s="12"/>
      <c r="EWQ53" s="12"/>
      <c r="EWR53" s="12"/>
      <c r="EWS53" s="12"/>
      <c r="EWT53" s="12"/>
      <c r="EWU53" s="12"/>
      <c r="EWV53" s="12"/>
      <c r="EWW53" s="12"/>
      <c r="EWX53" s="12"/>
      <c r="EWY53" s="12"/>
      <c r="EWZ53" s="12"/>
      <c r="EXA53" s="12"/>
      <c r="EXB53" s="12"/>
      <c r="EXC53" s="12"/>
      <c r="EXD53" s="12"/>
      <c r="EXE53" s="12"/>
      <c r="EXF53" s="12"/>
      <c r="EXG53" s="12"/>
      <c r="EXH53" s="12"/>
      <c r="EXI53" s="12"/>
      <c r="EXJ53" s="12"/>
      <c r="EXK53" s="12"/>
      <c r="EXL53" s="12"/>
      <c r="EXM53" s="12"/>
      <c r="EXN53" s="12"/>
      <c r="EXO53" s="12"/>
      <c r="EXP53" s="12"/>
      <c r="EXQ53" s="12"/>
      <c r="EXR53" s="12"/>
      <c r="EXS53" s="12"/>
      <c r="EXT53" s="12"/>
      <c r="EXU53" s="12"/>
      <c r="EXV53" s="12"/>
      <c r="EXW53" s="12"/>
      <c r="EXX53" s="12"/>
      <c r="EXY53" s="12"/>
      <c r="EXZ53" s="12"/>
      <c r="EYA53" s="12"/>
      <c r="EYB53" s="12"/>
      <c r="EYC53" s="12"/>
      <c r="EYD53" s="12"/>
      <c r="EYE53" s="12"/>
      <c r="EYF53" s="12"/>
      <c r="EYG53" s="12"/>
      <c r="EYH53" s="12"/>
      <c r="EYI53" s="12"/>
      <c r="EYJ53" s="12"/>
      <c r="EYK53" s="12"/>
      <c r="EYL53" s="12"/>
      <c r="EYM53" s="12"/>
      <c r="EYN53" s="12"/>
      <c r="EYO53" s="12"/>
      <c r="EYP53" s="12"/>
      <c r="EYQ53" s="12"/>
      <c r="EYR53" s="12"/>
      <c r="EYS53" s="12"/>
      <c r="EYT53" s="12"/>
      <c r="EYU53" s="12"/>
      <c r="EYV53" s="12"/>
      <c r="EYW53" s="12"/>
      <c r="EYX53" s="12"/>
      <c r="EYY53" s="12"/>
      <c r="EYZ53" s="12"/>
      <c r="EZA53" s="12"/>
      <c r="EZB53" s="12"/>
      <c r="EZC53" s="12"/>
      <c r="EZD53" s="12"/>
      <c r="EZE53" s="12"/>
      <c r="EZF53" s="12"/>
      <c r="EZG53" s="12"/>
      <c r="EZH53" s="12"/>
      <c r="EZI53" s="12"/>
      <c r="EZJ53" s="12"/>
      <c r="EZK53" s="12"/>
      <c r="EZL53" s="12"/>
      <c r="EZM53" s="12"/>
      <c r="EZN53" s="12"/>
      <c r="EZO53" s="12"/>
      <c r="EZP53" s="12"/>
      <c r="EZQ53" s="12"/>
      <c r="EZR53" s="12"/>
      <c r="EZS53" s="12"/>
      <c r="EZT53" s="12"/>
      <c r="EZU53" s="12"/>
      <c r="EZV53" s="12"/>
      <c r="EZW53" s="12"/>
      <c r="EZX53" s="12"/>
      <c r="EZY53" s="12"/>
      <c r="EZZ53" s="12"/>
      <c r="FAA53" s="12"/>
      <c r="FAB53" s="12"/>
      <c r="FAC53" s="12"/>
      <c r="FAD53" s="12"/>
      <c r="FAE53" s="12"/>
      <c r="FAF53" s="12"/>
      <c r="FAG53" s="12"/>
      <c r="FAH53" s="12"/>
      <c r="FAI53" s="12"/>
      <c r="FAJ53" s="12"/>
      <c r="FAK53" s="12"/>
      <c r="FAL53" s="12"/>
      <c r="FAM53" s="12"/>
      <c r="FAN53" s="12"/>
      <c r="FAO53" s="12"/>
      <c r="FAP53" s="12"/>
      <c r="FAQ53" s="12"/>
      <c r="FAR53" s="12"/>
      <c r="FAS53" s="12"/>
      <c r="FAT53" s="12"/>
      <c r="FAU53" s="12"/>
      <c r="FAV53" s="12"/>
      <c r="FAW53" s="12"/>
      <c r="FAX53" s="12"/>
      <c r="FAY53" s="12"/>
      <c r="FAZ53" s="12"/>
      <c r="FBA53" s="12"/>
      <c r="FBB53" s="12"/>
      <c r="FBC53" s="12"/>
      <c r="FBD53" s="12"/>
      <c r="FBE53" s="12"/>
      <c r="FBF53" s="12"/>
      <c r="FBG53" s="12"/>
      <c r="FBH53" s="12"/>
      <c r="FBI53" s="12"/>
      <c r="FBJ53" s="12"/>
      <c r="FBK53" s="12"/>
      <c r="FBL53" s="12"/>
      <c r="FBM53" s="12"/>
      <c r="FBN53" s="12"/>
      <c r="FBO53" s="12"/>
      <c r="FBP53" s="12"/>
      <c r="FBQ53" s="12"/>
      <c r="FBR53" s="12"/>
      <c r="FBS53" s="12"/>
      <c r="FBT53" s="12"/>
      <c r="FBU53" s="12"/>
      <c r="FBV53" s="12"/>
      <c r="FBW53" s="12"/>
      <c r="FBX53" s="12"/>
      <c r="FBY53" s="12"/>
      <c r="FBZ53" s="12"/>
      <c r="FCA53" s="12"/>
      <c r="FCB53" s="12"/>
      <c r="FCC53" s="12"/>
      <c r="FCD53" s="12"/>
      <c r="FCE53" s="12"/>
      <c r="FCF53" s="12"/>
      <c r="FCG53" s="12"/>
      <c r="FCH53" s="12"/>
      <c r="FCI53" s="12"/>
      <c r="FCJ53" s="12"/>
      <c r="FCK53" s="12"/>
      <c r="FCL53" s="12"/>
      <c r="FCM53" s="12"/>
      <c r="FCN53" s="12"/>
      <c r="FCO53" s="12"/>
      <c r="FCP53" s="12"/>
      <c r="FCQ53" s="12"/>
      <c r="FCR53" s="12"/>
      <c r="FCS53" s="12"/>
      <c r="FCT53" s="12"/>
      <c r="FCU53" s="12"/>
      <c r="FCV53" s="12"/>
      <c r="FCW53" s="12"/>
      <c r="FCX53" s="12"/>
      <c r="FCY53" s="12"/>
      <c r="FCZ53" s="12"/>
      <c r="FDA53" s="12"/>
      <c r="FDB53" s="12"/>
      <c r="FDC53" s="12"/>
      <c r="FDD53" s="12"/>
      <c r="FDE53" s="12"/>
      <c r="FDF53" s="12"/>
      <c r="FDG53" s="12"/>
      <c r="FDH53" s="12"/>
      <c r="FDI53" s="12"/>
      <c r="FDJ53" s="12"/>
      <c r="FDK53" s="12"/>
      <c r="FDL53" s="12"/>
      <c r="FDM53" s="12"/>
      <c r="FDN53" s="12"/>
      <c r="FDO53" s="12"/>
      <c r="FDP53" s="12"/>
      <c r="FDQ53" s="12"/>
      <c r="FDR53" s="12"/>
      <c r="FDS53" s="12"/>
      <c r="FDT53" s="12"/>
      <c r="FDU53" s="12"/>
      <c r="FDV53" s="12"/>
      <c r="FDW53" s="12"/>
      <c r="FDX53" s="12"/>
      <c r="FDY53" s="12"/>
      <c r="FDZ53" s="12"/>
      <c r="FEA53" s="12"/>
      <c r="FEB53" s="12"/>
      <c r="FEC53" s="12"/>
      <c r="FED53" s="12"/>
      <c r="FEE53" s="12"/>
      <c r="FEF53" s="12"/>
      <c r="FEG53" s="12"/>
      <c r="FEH53" s="12"/>
      <c r="FEI53" s="12"/>
      <c r="FEJ53" s="12"/>
      <c r="FEK53" s="12"/>
      <c r="FEL53" s="12"/>
      <c r="FEM53" s="12"/>
      <c r="FEN53" s="12"/>
      <c r="FEO53" s="12"/>
      <c r="FEP53" s="12"/>
      <c r="FEQ53" s="12"/>
      <c r="FER53" s="12"/>
      <c r="FES53" s="12"/>
      <c r="FET53" s="12"/>
      <c r="FEU53" s="12"/>
      <c r="FEV53" s="12"/>
      <c r="FEW53" s="12"/>
      <c r="FEX53" s="12"/>
      <c r="FEY53" s="12"/>
      <c r="FEZ53" s="12"/>
      <c r="FFA53" s="12"/>
      <c r="FFB53" s="12"/>
      <c r="FFC53" s="12"/>
      <c r="FFD53" s="12"/>
      <c r="FFE53" s="12"/>
      <c r="FFF53" s="12"/>
      <c r="FFG53" s="12"/>
      <c r="FFH53" s="12"/>
      <c r="FFI53" s="12"/>
      <c r="FFJ53" s="12"/>
      <c r="FFK53" s="12"/>
      <c r="FFL53" s="12"/>
      <c r="FFM53" s="12"/>
      <c r="FFN53" s="12"/>
      <c r="FFO53" s="12"/>
      <c r="FFP53" s="12"/>
      <c r="FFQ53" s="12"/>
      <c r="FFR53" s="12"/>
      <c r="FFS53" s="12"/>
      <c r="FFT53" s="12"/>
      <c r="FFU53" s="12"/>
      <c r="FFV53" s="12"/>
      <c r="FFW53" s="12"/>
      <c r="FFX53" s="12"/>
      <c r="FFY53" s="12"/>
      <c r="FFZ53" s="12"/>
      <c r="FGA53" s="12"/>
      <c r="FGB53" s="12"/>
      <c r="FGC53" s="12"/>
      <c r="FGD53" s="12"/>
      <c r="FGE53" s="12"/>
      <c r="FGF53" s="12"/>
      <c r="FGG53" s="12"/>
      <c r="FGH53" s="12"/>
      <c r="FGI53" s="12"/>
      <c r="FGJ53" s="12"/>
      <c r="FGK53" s="12"/>
      <c r="FGL53" s="12"/>
      <c r="FGM53" s="12"/>
      <c r="FGN53" s="12"/>
      <c r="FGO53" s="12"/>
      <c r="FGP53" s="12"/>
      <c r="FGQ53" s="12"/>
      <c r="FGR53" s="12"/>
      <c r="FGS53" s="12"/>
      <c r="FGT53" s="12"/>
      <c r="FGU53" s="12"/>
      <c r="FGV53" s="12"/>
      <c r="FGW53" s="12"/>
      <c r="FGX53" s="12"/>
      <c r="FGY53" s="12"/>
      <c r="FGZ53" s="12"/>
      <c r="FHA53" s="12"/>
      <c r="FHB53" s="12"/>
      <c r="FHC53" s="12"/>
      <c r="FHD53" s="12"/>
      <c r="FHE53" s="12"/>
      <c r="FHF53" s="12"/>
      <c r="FHG53" s="12"/>
      <c r="FHH53" s="12"/>
      <c r="FHI53" s="12"/>
      <c r="FHJ53" s="12"/>
      <c r="FHK53" s="12"/>
      <c r="FHL53" s="12"/>
      <c r="FHM53" s="12"/>
      <c r="FHN53" s="12"/>
      <c r="FHO53" s="12"/>
      <c r="FHP53" s="12"/>
      <c r="FHQ53" s="12"/>
      <c r="FHR53" s="12"/>
      <c r="FHS53" s="12"/>
      <c r="FHT53" s="12"/>
      <c r="FHU53" s="12"/>
      <c r="FHV53" s="12"/>
      <c r="FHW53" s="12"/>
      <c r="FHX53" s="12"/>
      <c r="FHY53" s="12"/>
      <c r="FHZ53" s="12"/>
      <c r="FIA53" s="12"/>
      <c r="FIB53" s="12"/>
      <c r="FIC53" s="12"/>
      <c r="FID53" s="12"/>
      <c r="FIE53" s="12"/>
      <c r="FIF53" s="12"/>
      <c r="FIG53" s="12"/>
      <c r="FIH53" s="12"/>
      <c r="FII53" s="12"/>
      <c r="FIJ53" s="12"/>
      <c r="FIK53" s="12"/>
      <c r="FIL53" s="12"/>
      <c r="FIM53" s="12"/>
      <c r="FIN53" s="12"/>
      <c r="FIO53" s="12"/>
      <c r="FIP53" s="12"/>
      <c r="FIQ53" s="12"/>
      <c r="FIR53" s="12"/>
      <c r="FIS53" s="12"/>
      <c r="FIT53" s="12"/>
      <c r="FIU53" s="12"/>
      <c r="FIV53" s="12"/>
      <c r="FIW53" s="12"/>
      <c r="FIX53" s="12"/>
      <c r="FIY53" s="12"/>
      <c r="FIZ53" s="12"/>
      <c r="FJA53" s="12"/>
      <c r="FJB53" s="12"/>
      <c r="FJC53" s="12"/>
      <c r="FJD53" s="12"/>
      <c r="FJE53" s="12"/>
      <c r="FJF53" s="12"/>
      <c r="FJG53" s="12"/>
      <c r="FJH53" s="12"/>
      <c r="FJI53" s="12"/>
      <c r="FJJ53" s="12"/>
      <c r="FJK53" s="12"/>
      <c r="FJL53" s="12"/>
      <c r="FJM53" s="12"/>
      <c r="FJN53" s="12"/>
      <c r="FJO53" s="12"/>
      <c r="FJP53" s="12"/>
      <c r="FJQ53" s="12"/>
      <c r="FJR53" s="12"/>
      <c r="FJS53" s="12"/>
      <c r="FJT53" s="12"/>
      <c r="FJU53" s="12"/>
      <c r="FJV53" s="12"/>
      <c r="FJW53" s="12"/>
      <c r="FJX53" s="12"/>
      <c r="FJY53" s="12"/>
      <c r="FJZ53" s="12"/>
      <c r="FKA53" s="12"/>
      <c r="FKB53" s="12"/>
      <c r="FKC53" s="12"/>
      <c r="FKD53" s="12"/>
      <c r="FKE53" s="12"/>
      <c r="FKF53" s="12"/>
      <c r="FKG53" s="12"/>
      <c r="FKH53" s="12"/>
      <c r="FKI53" s="12"/>
      <c r="FKJ53" s="12"/>
      <c r="FKK53" s="12"/>
      <c r="FKL53" s="12"/>
      <c r="FKM53" s="12"/>
      <c r="FKN53" s="12"/>
      <c r="FKO53" s="12"/>
      <c r="FKP53" s="12"/>
      <c r="FKQ53" s="12"/>
      <c r="FKR53" s="12"/>
      <c r="FKS53" s="12"/>
      <c r="FKT53" s="12"/>
      <c r="FKU53" s="12"/>
      <c r="FKV53" s="12"/>
      <c r="FKW53" s="12"/>
      <c r="FKX53" s="12"/>
      <c r="FKY53" s="12"/>
      <c r="FKZ53" s="12"/>
      <c r="FLA53" s="12"/>
      <c r="FLB53" s="12"/>
      <c r="FLC53" s="12"/>
      <c r="FLD53" s="12"/>
      <c r="FLE53" s="12"/>
      <c r="FLF53" s="12"/>
      <c r="FLG53" s="12"/>
      <c r="FLH53" s="12"/>
      <c r="FLI53" s="12"/>
      <c r="FLJ53" s="12"/>
      <c r="FLK53" s="12"/>
      <c r="FLL53" s="12"/>
      <c r="FLM53" s="12"/>
      <c r="FLN53" s="12"/>
      <c r="FLO53" s="12"/>
      <c r="FLP53" s="12"/>
      <c r="FLQ53" s="12"/>
      <c r="FLR53" s="12"/>
      <c r="FLS53" s="12"/>
      <c r="FLT53" s="12"/>
      <c r="FLU53" s="12"/>
      <c r="FLV53" s="12"/>
      <c r="FLW53" s="12"/>
      <c r="FLX53" s="12"/>
      <c r="FLY53" s="12"/>
      <c r="FLZ53" s="12"/>
      <c r="FMA53" s="12"/>
      <c r="FMB53" s="12"/>
      <c r="FMC53" s="12"/>
      <c r="FMD53" s="12"/>
      <c r="FME53" s="12"/>
      <c r="FMF53" s="12"/>
      <c r="FMG53" s="12"/>
      <c r="FMH53" s="12"/>
      <c r="FMI53" s="12"/>
      <c r="FMJ53" s="12"/>
      <c r="FMK53" s="12"/>
      <c r="FML53" s="12"/>
      <c r="FMM53" s="12"/>
      <c r="FMN53" s="12"/>
      <c r="FMO53" s="12"/>
      <c r="FMP53" s="12"/>
      <c r="FMQ53" s="12"/>
      <c r="FMR53" s="12"/>
      <c r="FMS53" s="12"/>
      <c r="FMT53" s="12"/>
      <c r="FMU53" s="12"/>
      <c r="FMV53" s="12"/>
      <c r="FMW53" s="12"/>
      <c r="FMX53" s="12"/>
      <c r="FMY53" s="12"/>
      <c r="FMZ53" s="12"/>
      <c r="FNA53" s="12"/>
      <c r="FNB53" s="12"/>
      <c r="FNC53" s="12"/>
      <c r="FND53" s="12"/>
      <c r="FNE53" s="12"/>
      <c r="FNF53" s="12"/>
      <c r="FNG53" s="12"/>
      <c r="FNH53" s="12"/>
      <c r="FNI53" s="12"/>
      <c r="FNJ53" s="12"/>
      <c r="FNK53" s="12"/>
      <c r="FNL53" s="12"/>
      <c r="FNM53" s="12"/>
      <c r="FNN53" s="12"/>
      <c r="FNO53" s="12"/>
      <c r="FNP53" s="12"/>
      <c r="FNQ53" s="12"/>
      <c r="FNR53" s="12"/>
      <c r="FNS53" s="12"/>
      <c r="FNT53" s="12"/>
      <c r="FNU53" s="12"/>
      <c r="FNV53" s="12"/>
      <c r="FNW53" s="12"/>
      <c r="FNX53" s="12"/>
      <c r="FNY53" s="12"/>
      <c r="FNZ53" s="12"/>
      <c r="FOA53" s="12"/>
      <c r="FOB53" s="12"/>
      <c r="FOC53" s="12"/>
      <c r="FOD53" s="12"/>
      <c r="FOE53" s="12"/>
      <c r="FOF53" s="12"/>
      <c r="FOG53" s="12"/>
      <c r="FOH53" s="12"/>
      <c r="FOI53" s="12"/>
      <c r="FOJ53" s="12"/>
      <c r="FOK53" s="12"/>
      <c r="FOL53" s="12"/>
      <c r="FOM53" s="12"/>
      <c r="FON53" s="12"/>
      <c r="FOO53" s="12"/>
      <c r="FOP53" s="12"/>
      <c r="FOQ53" s="12"/>
      <c r="FOR53" s="12"/>
      <c r="FOS53" s="12"/>
      <c r="FOT53" s="12"/>
      <c r="FOU53" s="12"/>
      <c r="FOV53" s="12"/>
      <c r="FOW53" s="12"/>
      <c r="FOX53" s="12"/>
      <c r="FOY53" s="12"/>
      <c r="FOZ53" s="12"/>
      <c r="FPA53" s="12"/>
      <c r="FPB53" s="12"/>
      <c r="FPC53" s="12"/>
      <c r="FPD53" s="12"/>
      <c r="FPE53" s="12"/>
      <c r="FPF53" s="12"/>
      <c r="FPG53" s="12"/>
      <c r="FPH53" s="12"/>
      <c r="FPI53" s="12"/>
      <c r="FPJ53" s="12"/>
      <c r="FPK53" s="12"/>
      <c r="FPL53" s="12"/>
      <c r="FPM53" s="12"/>
      <c r="FPN53" s="12"/>
      <c r="FPO53" s="12"/>
      <c r="FPP53" s="12"/>
      <c r="FPQ53" s="12"/>
      <c r="FPR53" s="12"/>
      <c r="FPS53" s="12"/>
      <c r="FPT53" s="12"/>
      <c r="FPU53" s="12"/>
      <c r="FPV53" s="12"/>
      <c r="FPW53" s="12"/>
      <c r="FPX53" s="12"/>
      <c r="FPY53" s="12"/>
      <c r="FPZ53" s="12"/>
      <c r="FQA53" s="12"/>
      <c r="FQB53" s="12"/>
      <c r="FQC53" s="12"/>
      <c r="FQD53" s="12"/>
      <c r="FQE53" s="12"/>
      <c r="FQF53" s="12"/>
      <c r="FQG53" s="12"/>
      <c r="FQH53" s="12"/>
      <c r="FQI53" s="12"/>
      <c r="FQJ53" s="12"/>
      <c r="FQK53" s="12"/>
      <c r="FQL53" s="12"/>
      <c r="FQM53" s="12"/>
      <c r="FQN53" s="12"/>
      <c r="FQO53" s="12"/>
      <c r="FQP53" s="12"/>
      <c r="FQQ53" s="12"/>
      <c r="FQR53" s="12"/>
      <c r="FQS53" s="12"/>
      <c r="FQT53" s="12"/>
      <c r="FQU53" s="12"/>
      <c r="FQV53" s="12"/>
      <c r="FQW53" s="12"/>
      <c r="FQX53" s="12"/>
      <c r="FQY53" s="12"/>
      <c r="FQZ53" s="12"/>
      <c r="FRA53" s="12"/>
      <c r="FRB53" s="12"/>
      <c r="FRC53" s="12"/>
      <c r="FRD53" s="12"/>
      <c r="FRE53" s="12"/>
      <c r="FRF53" s="12"/>
      <c r="FRG53" s="12"/>
      <c r="FRH53" s="12"/>
      <c r="FRI53" s="12"/>
      <c r="FRJ53" s="12"/>
      <c r="FRK53" s="12"/>
      <c r="FRL53" s="12"/>
      <c r="FRM53" s="12"/>
      <c r="FRN53" s="12"/>
      <c r="FRO53" s="12"/>
      <c r="FRP53" s="12"/>
      <c r="FRQ53" s="12"/>
      <c r="FRR53" s="12"/>
      <c r="FRS53" s="12"/>
      <c r="FRT53" s="12"/>
      <c r="FRU53" s="12"/>
      <c r="FRV53" s="12"/>
      <c r="FRW53" s="12"/>
      <c r="FRX53" s="12"/>
      <c r="FRY53" s="12"/>
      <c r="FRZ53" s="12"/>
      <c r="FSA53" s="12"/>
      <c r="FSB53" s="12"/>
      <c r="FSC53" s="12"/>
      <c r="FSD53" s="12"/>
      <c r="FSE53" s="12"/>
      <c r="FSF53" s="12"/>
      <c r="FSG53" s="12"/>
      <c r="FSH53" s="12"/>
      <c r="FSI53" s="12"/>
      <c r="FSJ53" s="12"/>
      <c r="FSK53" s="12"/>
      <c r="FSL53" s="12"/>
      <c r="FSM53" s="12"/>
      <c r="FSN53" s="12"/>
      <c r="FSO53" s="12"/>
      <c r="FSP53" s="12"/>
      <c r="FSQ53" s="12"/>
      <c r="FSR53" s="12"/>
      <c r="FSS53" s="12"/>
      <c r="FST53" s="12"/>
      <c r="FSU53" s="12"/>
      <c r="FSV53" s="12"/>
      <c r="FSW53" s="12"/>
      <c r="FSX53" s="12"/>
      <c r="FSY53" s="12"/>
      <c r="FSZ53" s="12"/>
      <c r="FTA53" s="12"/>
      <c r="FTB53" s="12"/>
      <c r="FTC53" s="12"/>
      <c r="FTD53" s="12"/>
      <c r="FTE53" s="12"/>
      <c r="FTF53" s="12"/>
      <c r="FTG53" s="12"/>
      <c r="FTH53" s="12"/>
      <c r="FTI53" s="12"/>
      <c r="FTJ53" s="12"/>
      <c r="FTK53" s="12"/>
      <c r="FTL53" s="12"/>
      <c r="FTM53" s="12"/>
      <c r="FTN53" s="12"/>
      <c r="FTO53" s="12"/>
      <c r="FTP53" s="12"/>
      <c r="FTQ53" s="12"/>
      <c r="FTR53" s="12"/>
      <c r="FTS53" s="12"/>
      <c r="FTT53" s="12"/>
      <c r="FTU53" s="12"/>
      <c r="FTV53" s="12"/>
      <c r="FTW53" s="12"/>
      <c r="FTX53" s="12"/>
      <c r="FTY53" s="12"/>
      <c r="FTZ53" s="12"/>
      <c r="FUA53" s="12"/>
      <c r="FUB53" s="12"/>
      <c r="FUC53" s="12"/>
      <c r="FUD53" s="12"/>
      <c r="FUE53" s="12"/>
      <c r="FUF53" s="12"/>
      <c r="FUG53" s="12"/>
      <c r="FUH53" s="12"/>
      <c r="FUI53" s="12"/>
      <c r="FUJ53" s="12"/>
      <c r="FUK53" s="12"/>
      <c r="FUL53" s="12"/>
      <c r="FUM53" s="12"/>
      <c r="FUN53" s="12"/>
      <c r="FUO53" s="12"/>
      <c r="FUP53" s="12"/>
      <c r="FUQ53" s="12"/>
      <c r="FUR53" s="12"/>
      <c r="FUS53" s="12"/>
      <c r="FUT53" s="12"/>
      <c r="FUU53" s="12"/>
      <c r="FUV53" s="12"/>
      <c r="FUW53" s="12"/>
      <c r="FUX53" s="12"/>
      <c r="FUY53" s="12"/>
      <c r="FUZ53" s="12"/>
      <c r="FVA53" s="12"/>
      <c r="FVB53" s="12"/>
      <c r="FVC53" s="12"/>
      <c r="FVD53" s="12"/>
      <c r="FVE53" s="12"/>
      <c r="FVF53" s="12"/>
      <c r="FVG53" s="12"/>
      <c r="FVH53" s="12"/>
      <c r="FVI53" s="12"/>
      <c r="FVJ53" s="12"/>
      <c r="FVK53" s="12"/>
      <c r="FVL53" s="12"/>
      <c r="FVM53" s="12"/>
      <c r="FVN53" s="12"/>
      <c r="FVO53" s="12"/>
      <c r="FVP53" s="12"/>
      <c r="FVQ53" s="12"/>
      <c r="FVR53" s="12"/>
      <c r="FVS53" s="12"/>
      <c r="FVT53" s="12"/>
      <c r="FVU53" s="12"/>
      <c r="FVV53" s="12"/>
      <c r="FVW53" s="12"/>
      <c r="FVX53" s="12"/>
      <c r="FVY53" s="12"/>
      <c r="FVZ53" s="12"/>
      <c r="FWA53" s="12"/>
      <c r="FWB53" s="12"/>
      <c r="FWC53" s="12"/>
      <c r="FWD53" s="12"/>
      <c r="FWE53" s="12"/>
      <c r="FWF53" s="12"/>
      <c r="FWG53" s="12"/>
      <c r="FWH53" s="12"/>
      <c r="FWI53" s="12"/>
      <c r="FWJ53" s="12"/>
      <c r="FWK53" s="12"/>
      <c r="FWL53" s="12"/>
      <c r="FWM53" s="12"/>
      <c r="FWN53" s="12"/>
      <c r="FWO53" s="12"/>
      <c r="FWP53" s="12"/>
      <c r="FWQ53" s="12"/>
      <c r="FWR53" s="12"/>
      <c r="FWS53" s="12"/>
      <c r="FWT53" s="12"/>
      <c r="FWU53" s="12"/>
      <c r="FWV53" s="12"/>
      <c r="FWW53" s="12"/>
      <c r="FWX53" s="12"/>
      <c r="FWY53" s="12"/>
      <c r="FWZ53" s="12"/>
      <c r="FXA53" s="12"/>
      <c r="FXB53" s="12"/>
      <c r="FXC53" s="12"/>
      <c r="FXD53" s="12"/>
      <c r="FXE53" s="12"/>
      <c r="FXF53" s="12"/>
      <c r="FXG53" s="12"/>
      <c r="FXH53" s="12"/>
      <c r="FXI53" s="12"/>
      <c r="FXJ53" s="12"/>
      <c r="FXK53" s="12"/>
      <c r="FXL53" s="12"/>
      <c r="FXM53" s="12"/>
      <c r="FXN53" s="12"/>
      <c r="FXO53" s="12"/>
      <c r="FXP53" s="12"/>
      <c r="FXQ53" s="12"/>
      <c r="FXR53" s="12"/>
      <c r="FXS53" s="12"/>
      <c r="FXT53" s="12"/>
      <c r="FXU53" s="12"/>
      <c r="FXV53" s="12"/>
      <c r="FXW53" s="12"/>
      <c r="FXX53" s="12"/>
      <c r="FXY53" s="12"/>
      <c r="FXZ53" s="12"/>
      <c r="FYA53" s="12"/>
      <c r="FYB53" s="12"/>
      <c r="FYC53" s="12"/>
      <c r="FYD53" s="12"/>
      <c r="FYE53" s="12"/>
      <c r="FYF53" s="12"/>
      <c r="FYG53" s="12"/>
      <c r="FYH53" s="12"/>
      <c r="FYI53" s="12"/>
      <c r="FYJ53" s="12"/>
      <c r="FYK53" s="12"/>
      <c r="FYL53" s="12"/>
      <c r="FYM53" s="12"/>
      <c r="FYN53" s="12"/>
      <c r="FYO53" s="12"/>
      <c r="FYP53" s="12"/>
      <c r="FYQ53" s="12"/>
      <c r="FYR53" s="12"/>
      <c r="FYS53" s="12"/>
      <c r="FYT53" s="12"/>
      <c r="FYU53" s="12"/>
      <c r="FYV53" s="12"/>
      <c r="FYW53" s="12"/>
      <c r="FYX53" s="12"/>
      <c r="FYY53" s="12"/>
      <c r="FYZ53" s="12"/>
      <c r="FZA53" s="12"/>
      <c r="FZB53" s="12"/>
      <c r="FZC53" s="12"/>
      <c r="FZD53" s="12"/>
      <c r="FZE53" s="12"/>
      <c r="FZF53" s="12"/>
      <c r="FZG53" s="12"/>
      <c r="FZH53" s="12"/>
      <c r="FZI53" s="12"/>
      <c r="FZJ53" s="12"/>
      <c r="FZK53" s="12"/>
      <c r="FZL53" s="12"/>
      <c r="FZM53" s="12"/>
      <c r="FZN53" s="12"/>
      <c r="FZO53" s="12"/>
      <c r="FZP53" s="12"/>
      <c r="FZQ53" s="12"/>
      <c r="FZR53" s="12"/>
      <c r="FZS53" s="12"/>
      <c r="FZT53" s="12"/>
      <c r="FZU53" s="12"/>
      <c r="FZV53" s="12"/>
      <c r="FZW53" s="12"/>
      <c r="FZX53" s="12"/>
      <c r="FZY53" s="12"/>
      <c r="FZZ53" s="12"/>
      <c r="GAA53" s="12"/>
      <c r="GAB53" s="12"/>
      <c r="GAC53" s="12"/>
      <c r="GAD53" s="12"/>
      <c r="GAE53" s="12"/>
      <c r="GAF53" s="12"/>
      <c r="GAG53" s="12"/>
      <c r="GAH53" s="12"/>
      <c r="GAI53" s="12"/>
      <c r="GAJ53" s="12"/>
      <c r="GAK53" s="12"/>
      <c r="GAL53" s="12"/>
      <c r="GAM53" s="12"/>
      <c r="GAN53" s="12"/>
      <c r="GAO53" s="12"/>
      <c r="GAP53" s="12"/>
      <c r="GAQ53" s="12"/>
      <c r="GAR53" s="12"/>
      <c r="GAS53" s="12"/>
      <c r="GAT53" s="12"/>
      <c r="GAU53" s="12"/>
      <c r="GAV53" s="12"/>
      <c r="GAW53" s="12"/>
      <c r="GAX53" s="12"/>
      <c r="GAY53" s="12"/>
      <c r="GAZ53" s="12"/>
      <c r="GBA53" s="12"/>
      <c r="GBB53" s="12"/>
      <c r="GBC53" s="12"/>
      <c r="GBD53" s="12"/>
      <c r="GBE53" s="12"/>
      <c r="GBF53" s="12"/>
      <c r="GBG53" s="12"/>
      <c r="GBH53" s="12"/>
      <c r="GBI53" s="12"/>
      <c r="GBJ53" s="12"/>
      <c r="GBK53" s="12"/>
      <c r="GBL53" s="12"/>
      <c r="GBM53" s="12"/>
      <c r="GBN53" s="12"/>
      <c r="GBO53" s="12"/>
      <c r="GBP53" s="12"/>
      <c r="GBQ53" s="12"/>
      <c r="GBR53" s="12"/>
      <c r="GBS53" s="12"/>
      <c r="GBT53" s="12"/>
      <c r="GBU53" s="12"/>
      <c r="GBV53" s="12"/>
      <c r="GBW53" s="12"/>
      <c r="GBX53" s="12"/>
      <c r="GBY53" s="12"/>
      <c r="GBZ53" s="12"/>
      <c r="GCA53" s="12"/>
      <c r="GCB53" s="12"/>
      <c r="GCC53" s="12"/>
      <c r="GCD53" s="12"/>
      <c r="GCE53" s="12"/>
      <c r="GCF53" s="12"/>
      <c r="GCG53" s="12"/>
      <c r="GCH53" s="12"/>
      <c r="GCI53" s="12"/>
      <c r="GCJ53" s="12"/>
      <c r="GCK53" s="12"/>
      <c r="GCL53" s="12"/>
      <c r="GCM53" s="12"/>
      <c r="GCN53" s="12"/>
      <c r="GCO53" s="12"/>
      <c r="GCP53" s="12"/>
      <c r="GCQ53" s="12"/>
      <c r="GCR53" s="12"/>
      <c r="GCS53" s="12"/>
      <c r="GCT53" s="12"/>
      <c r="GCU53" s="12"/>
      <c r="GCV53" s="12"/>
      <c r="GCW53" s="12"/>
      <c r="GCX53" s="12"/>
      <c r="GCY53" s="12"/>
      <c r="GCZ53" s="12"/>
      <c r="GDA53" s="12"/>
      <c r="GDB53" s="12"/>
      <c r="GDC53" s="12"/>
      <c r="GDD53" s="12"/>
      <c r="GDE53" s="12"/>
      <c r="GDF53" s="12"/>
      <c r="GDG53" s="12"/>
      <c r="GDH53" s="12"/>
      <c r="GDI53" s="12"/>
      <c r="GDJ53" s="12"/>
      <c r="GDK53" s="12"/>
      <c r="GDL53" s="12"/>
      <c r="GDM53" s="12"/>
      <c r="GDN53" s="12"/>
      <c r="GDO53" s="12"/>
      <c r="GDP53" s="12"/>
      <c r="GDQ53" s="12"/>
      <c r="GDR53" s="12"/>
      <c r="GDS53" s="12"/>
      <c r="GDT53" s="12"/>
      <c r="GDU53" s="12"/>
      <c r="GDV53" s="12"/>
      <c r="GDW53" s="12"/>
      <c r="GDX53" s="12"/>
      <c r="GDY53" s="12"/>
      <c r="GDZ53" s="12"/>
      <c r="GEA53" s="12"/>
      <c r="GEB53" s="12"/>
      <c r="GEC53" s="12"/>
      <c r="GED53" s="12"/>
      <c r="GEE53" s="12"/>
      <c r="GEF53" s="12"/>
      <c r="GEG53" s="12"/>
      <c r="GEH53" s="12"/>
      <c r="GEI53" s="12"/>
      <c r="GEJ53" s="12"/>
      <c r="GEK53" s="12"/>
      <c r="GEL53" s="12"/>
      <c r="GEM53" s="12"/>
      <c r="GEN53" s="12"/>
      <c r="GEO53" s="12"/>
      <c r="GEP53" s="12"/>
      <c r="GEQ53" s="12"/>
      <c r="GER53" s="12"/>
      <c r="GES53" s="12"/>
      <c r="GET53" s="12"/>
      <c r="GEU53" s="12"/>
      <c r="GEV53" s="12"/>
      <c r="GEW53" s="12"/>
      <c r="GEX53" s="12"/>
      <c r="GEY53" s="12"/>
      <c r="GEZ53" s="12"/>
      <c r="GFA53" s="12"/>
      <c r="GFB53" s="12"/>
      <c r="GFC53" s="12"/>
      <c r="GFD53" s="12"/>
      <c r="GFE53" s="12"/>
      <c r="GFF53" s="12"/>
      <c r="GFG53" s="12"/>
      <c r="GFH53" s="12"/>
      <c r="GFI53" s="12"/>
      <c r="GFJ53" s="12"/>
      <c r="GFK53" s="12"/>
      <c r="GFL53" s="12"/>
      <c r="GFM53" s="12"/>
      <c r="GFN53" s="12"/>
      <c r="GFO53" s="12"/>
      <c r="GFP53" s="12"/>
      <c r="GFQ53" s="12"/>
      <c r="GFR53" s="12"/>
      <c r="GFS53" s="12"/>
      <c r="GFT53" s="12"/>
      <c r="GFU53" s="12"/>
      <c r="GFV53" s="12"/>
      <c r="GFW53" s="12"/>
      <c r="GFX53" s="12"/>
      <c r="GFY53" s="12"/>
      <c r="GFZ53" s="12"/>
      <c r="GGA53" s="12"/>
      <c r="GGB53" s="12"/>
      <c r="GGC53" s="12"/>
      <c r="GGD53" s="12"/>
      <c r="GGE53" s="12"/>
      <c r="GGF53" s="12"/>
      <c r="GGG53" s="12"/>
      <c r="GGH53" s="12"/>
      <c r="GGI53" s="12"/>
      <c r="GGJ53" s="12"/>
      <c r="GGK53" s="12"/>
      <c r="GGL53" s="12"/>
      <c r="GGM53" s="12"/>
      <c r="GGN53" s="12"/>
      <c r="GGO53" s="12"/>
      <c r="GGP53" s="12"/>
      <c r="GGQ53" s="12"/>
      <c r="GGR53" s="12"/>
      <c r="GGS53" s="12"/>
      <c r="GGT53" s="12"/>
      <c r="GGU53" s="12"/>
      <c r="GGV53" s="12"/>
      <c r="GGW53" s="12"/>
      <c r="GGX53" s="12"/>
      <c r="GGY53" s="12"/>
      <c r="GGZ53" s="12"/>
      <c r="GHA53" s="12"/>
      <c r="GHB53" s="12"/>
      <c r="GHC53" s="12"/>
      <c r="GHD53" s="12"/>
      <c r="GHE53" s="12"/>
      <c r="GHF53" s="12"/>
      <c r="GHG53" s="12"/>
      <c r="GHH53" s="12"/>
      <c r="GHI53" s="12"/>
      <c r="GHJ53" s="12"/>
      <c r="GHK53" s="12"/>
      <c r="GHL53" s="12"/>
      <c r="GHM53" s="12"/>
      <c r="GHN53" s="12"/>
      <c r="GHO53" s="12"/>
      <c r="GHP53" s="12"/>
      <c r="GHQ53" s="12"/>
      <c r="GHR53" s="12"/>
      <c r="GHS53" s="12"/>
      <c r="GHT53" s="12"/>
      <c r="GHU53" s="12"/>
      <c r="GHV53" s="12"/>
      <c r="GHW53" s="12"/>
      <c r="GHX53" s="12"/>
      <c r="GHY53" s="12"/>
      <c r="GHZ53" s="12"/>
      <c r="GIA53" s="12"/>
      <c r="GIB53" s="12"/>
      <c r="GIC53" s="12"/>
      <c r="GID53" s="12"/>
      <c r="GIE53" s="12"/>
      <c r="GIF53" s="12"/>
      <c r="GIG53" s="12"/>
      <c r="GIH53" s="12"/>
      <c r="GII53" s="12"/>
      <c r="GIJ53" s="12"/>
      <c r="GIK53" s="12"/>
      <c r="GIL53" s="12"/>
      <c r="GIM53" s="12"/>
      <c r="GIN53" s="12"/>
      <c r="GIO53" s="12"/>
      <c r="GIP53" s="12"/>
      <c r="GIQ53" s="12"/>
      <c r="GIR53" s="12"/>
      <c r="GIS53" s="12"/>
      <c r="GIT53" s="12"/>
      <c r="GIU53" s="12"/>
      <c r="GIV53" s="12"/>
      <c r="GIW53" s="12"/>
      <c r="GIX53" s="12"/>
      <c r="GIY53" s="12"/>
      <c r="GIZ53" s="12"/>
      <c r="GJA53" s="12"/>
      <c r="GJB53" s="12"/>
      <c r="GJC53" s="12"/>
      <c r="GJD53" s="12"/>
      <c r="GJE53" s="12"/>
      <c r="GJF53" s="12"/>
      <c r="GJG53" s="12"/>
      <c r="GJH53" s="12"/>
      <c r="GJI53" s="12"/>
      <c r="GJJ53" s="12"/>
      <c r="GJK53" s="12"/>
      <c r="GJL53" s="12"/>
      <c r="GJM53" s="12"/>
      <c r="GJN53" s="12"/>
      <c r="GJO53" s="12"/>
      <c r="GJP53" s="12"/>
      <c r="GJQ53" s="12"/>
      <c r="GJR53" s="12"/>
      <c r="GJS53" s="12"/>
      <c r="GJT53" s="12"/>
      <c r="GJU53" s="12"/>
      <c r="GJV53" s="12"/>
      <c r="GJW53" s="12"/>
      <c r="GJX53" s="12"/>
      <c r="GJY53" s="12"/>
      <c r="GJZ53" s="12"/>
      <c r="GKA53" s="12"/>
      <c r="GKB53" s="12"/>
      <c r="GKC53" s="12"/>
      <c r="GKD53" s="12"/>
      <c r="GKE53" s="12"/>
      <c r="GKF53" s="12"/>
      <c r="GKG53" s="12"/>
      <c r="GKH53" s="12"/>
      <c r="GKI53" s="12"/>
      <c r="GKJ53" s="12"/>
      <c r="GKK53" s="12"/>
      <c r="GKL53" s="12"/>
      <c r="GKM53" s="12"/>
      <c r="GKN53" s="12"/>
      <c r="GKO53" s="12"/>
      <c r="GKP53" s="12"/>
      <c r="GKQ53" s="12"/>
      <c r="GKR53" s="12"/>
      <c r="GKS53" s="12"/>
      <c r="GKT53" s="12"/>
      <c r="GKU53" s="12"/>
      <c r="GKV53" s="12"/>
      <c r="GKW53" s="12"/>
      <c r="GKX53" s="12"/>
      <c r="GKY53" s="12"/>
      <c r="GKZ53" s="12"/>
      <c r="GLA53" s="12"/>
      <c r="GLB53" s="12"/>
      <c r="GLC53" s="12"/>
      <c r="GLD53" s="12"/>
      <c r="GLE53" s="12"/>
      <c r="GLF53" s="12"/>
      <c r="GLG53" s="12"/>
      <c r="GLH53" s="12"/>
      <c r="GLI53" s="12"/>
      <c r="GLJ53" s="12"/>
      <c r="GLK53" s="12"/>
      <c r="GLL53" s="12"/>
      <c r="GLM53" s="12"/>
      <c r="GLN53" s="12"/>
      <c r="GLO53" s="12"/>
      <c r="GLP53" s="12"/>
      <c r="GLQ53" s="12"/>
      <c r="GLR53" s="12"/>
      <c r="GLS53" s="12"/>
      <c r="GLT53" s="12"/>
      <c r="GLU53" s="12"/>
      <c r="GLV53" s="12"/>
      <c r="GLW53" s="12"/>
      <c r="GLX53" s="12"/>
      <c r="GLY53" s="12"/>
      <c r="GLZ53" s="12"/>
      <c r="GMA53" s="12"/>
      <c r="GMB53" s="12"/>
      <c r="GMC53" s="12"/>
      <c r="GMD53" s="12"/>
      <c r="GME53" s="12"/>
      <c r="GMF53" s="12"/>
      <c r="GMG53" s="12"/>
      <c r="GMH53" s="12"/>
      <c r="GMI53" s="12"/>
      <c r="GMJ53" s="12"/>
      <c r="GMK53" s="12"/>
      <c r="GML53" s="12"/>
      <c r="GMM53" s="12"/>
      <c r="GMN53" s="12"/>
      <c r="GMO53" s="12"/>
      <c r="GMP53" s="12"/>
      <c r="GMQ53" s="12"/>
      <c r="GMR53" s="12"/>
      <c r="GMS53" s="12"/>
      <c r="GMT53" s="12"/>
      <c r="GMU53" s="12"/>
      <c r="GMV53" s="12"/>
      <c r="GMW53" s="12"/>
      <c r="GMX53" s="12"/>
      <c r="GMY53" s="12"/>
      <c r="GMZ53" s="12"/>
      <c r="GNA53" s="12"/>
      <c r="GNB53" s="12"/>
      <c r="GNC53" s="12"/>
      <c r="GND53" s="12"/>
      <c r="GNE53" s="12"/>
      <c r="GNF53" s="12"/>
      <c r="GNG53" s="12"/>
      <c r="GNH53" s="12"/>
      <c r="GNI53" s="12"/>
      <c r="GNJ53" s="12"/>
      <c r="GNK53" s="12"/>
      <c r="GNL53" s="12"/>
      <c r="GNM53" s="12"/>
      <c r="GNN53" s="12"/>
      <c r="GNO53" s="12"/>
      <c r="GNP53" s="12"/>
      <c r="GNQ53" s="12"/>
      <c r="GNR53" s="12"/>
      <c r="GNS53" s="12"/>
      <c r="GNT53" s="12"/>
      <c r="GNU53" s="12"/>
      <c r="GNV53" s="12"/>
      <c r="GNW53" s="12"/>
      <c r="GNX53" s="12"/>
      <c r="GNY53" s="12"/>
      <c r="GNZ53" s="12"/>
      <c r="GOA53" s="12"/>
      <c r="GOB53" s="12"/>
      <c r="GOC53" s="12"/>
      <c r="GOD53" s="12"/>
      <c r="GOE53" s="12"/>
      <c r="GOF53" s="12"/>
      <c r="GOG53" s="12"/>
      <c r="GOH53" s="12"/>
      <c r="GOI53" s="12"/>
      <c r="GOJ53" s="12"/>
      <c r="GOK53" s="12"/>
      <c r="GOL53" s="12"/>
      <c r="GOM53" s="12"/>
      <c r="GON53" s="12"/>
      <c r="GOO53" s="12"/>
      <c r="GOP53" s="12"/>
      <c r="GOQ53" s="12"/>
      <c r="GOR53" s="12"/>
      <c r="GOS53" s="12"/>
      <c r="GOT53" s="12"/>
      <c r="GOU53" s="12"/>
      <c r="GOV53" s="12"/>
      <c r="GOW53" s="12"/>
      <c r="GOX53" s="12"/>
      <c r="GOY53" s="12"/>
      <c r="GOZ53" s="12"/>
      <c r="GPA53" s="12"/>
      <c r="GPB53" s="12"/>
      <c r="GPC53" s="12"/>
      <c r="GPD53" s="12"/>
      <c r="GPE53" s="12"/>
      <c r="GPF53" s="12"/>
      <c r="GPG53" s="12"/>
      <c r="GPH53" s="12"/>
      <c r="GPI53" s="12"/>
      <c r="GPJ53" s="12"/>
      <c r="GPK53" s="12"/>
      <c r="GPL53" s="12"/>
      <c r="GPM53" s="12"/>
      <c r="GPN53" s="12"/>
      <c r="GPO53" s="12"/>
      <c r="GPP53" s="12"/>
      <c r="GPQ53" s="12"/>
      <c r="GPR53" s="12"/>
      <c r="GPS53" s="12"/>
      <c r="GPT53" s="12"/>
      <c r="GPU53" s="12"/>
      <c r="GPV53" s="12"/>
      <c r="GPW53" s="12"/>
      <c r="GPX53" s="12"/>
      <c r="GPY53" s="12"/>
      <c r="GPZ53" s="12"/>
      <c r="GQA53" s="12"/>
      <c r="GQB53" s="12"/>
      <c r="GQC53" s="12"/>
      <c r="GQD53" s="12"/>
      <c r="GQE53" s="12"/>
      <c r="GQF53" s="12"/>
      <c r="GQG53" s="12"/>
      <c r="GQH53" s="12"/>
      <c r="GQI53" s="12"/>
      <c r="GQJ53" s="12"/>
      <c r="GQK53" s="12"/>
      <c r="GQL53" s="12"/>
      <c r="GQM53" s="12"/>
      <c r="GQN53" s="12"/>
      <c r="GQO53" s="12"/>
      <c r="GQP53" s="12"/>
      <c r="GQQ53" s="12"/>
      <c r="GQR53" s="12"/>
      <c r="GQS53" s="12"/>
      <c r="GQT53" s="12"/>
      <c r="GQU53" s="12"/>
      <c r="GQV53" s="12"/>
      <c r="GQW53" s="12"/>
      <c r="GQX53" s="12"/>
      <c r="GQY53" s="12"/>
      <c r="GQZ53" s="12"/>
      <c r="GRA53" s="12"/>
      <c r="GRB53" s="12"/>
      <c r="GRC53" s="12"/>
      <c r="GRD53" s="12"/>
      <c r="GRE53" s="12"/>
      <c r="GRF53" s="12"/>
      <c r="GRG53" s="12"/>
      <c r="GRH53" s="12"/>
      <c r="GRI53" s="12"/>
      <c r="GRJ53" s="12"/>
      <c r="GRK53" s="12"/>
      <c r="GRL53" s="12"/>
      <c r="GRM53" s="12"/>
      <c r="GRN53" s="12"/>
      <c r="GRO53" s="12"/>
      <c r="GRP53" s="12"/>
      <c r="GRQ53" s="12"/>
      <c r="GRR53" s="12"/>
      <c r="GRS53" s="12"/>
      <c r="GRT53" s="12"/>
      <c r="GRU53" s="12"/>
      <c r="GRV53" s="12"/>
      <c r="GRW53" s="12"/>
      <c r="GRX53" s="12"/>
      <c r="GRY53" s="12"/>
      <c r="GRZ53" s="12"/>
      <c r="GSA53" s="12"/>
      <c r="GSB53" s="12"/>
      <c r="GSC53" s="12"/>
      <c r="GSD53" s="12"/>
      <c r="GSE53" s="12"/>
      <c r="GSF53" s="12"/>
      <c r="GSG53" s="12"/>
      <c r="GSH53" s="12"/>
      <c r="GSI53" s="12"/>
      <c r="GSJ53" s="12"/>
      <c r="GSK53" s="12"/>
      <c r="GSL53" s="12"/>
      <c r="GSM53" s="12"/>
      <c r="GSN53" s="12"/>
      <c r="GSO53" s="12"/>
      <c r="GSP53" s="12"/>
      <c r="GSQ53" s="12"/>
      <c r="GSR53" s="12"/>
      <c r="GSS53" s="12"/>
      <c r="GST53" s="12"/>
      <c r="GSU53" s="12"/>
      <c r="GSV53" s="12"/>
      <c r="GSW53" s="12"/>
      <c r="GSX53" s="12"/>
      <c r="GSY53" s="12"/>
      <c r="GSZ53" s="12"/>
      <c r="GTA53" s="12"/>
      <c r="GTB53" s="12"/>
      <c r="GTC53" s="12"/>
      <c r="GTD53" s="12"/>
      <c r="GTE53" s="12"/>
      <c r="GTF53" s="12"/>
      <c r="GTG53" s="12"/>
      <c r="GTH53" s="12"/>
      <c r="GTI53" s="12"/>
      <c r="GTJ53" s="12"/>
      <c r="GTK53" s="12"/>
      <c r="GTL53" s="12"/>
      <c r="GTM53" s="12"/>
      <c r="GTN53" s="12"/>
      <c r="GTO53" s="12"/>
      <c r="GTP53" s="12"/>
      <c r="GTQ53" s="12"/>
      <c r="GTR53" s="12"/>
      <c r="GTS53" s="12"/>
      <c r="GTT53" s="12"/>
      <c r="GTU53" s="12"/>
      <c r="GTV53" s="12"/>
      <c r="GTW53" s="12"/>
      <c r="GTX53" s="12"/>
      <c r="GTY53" s="12"/>
      <c r="GTZ53" s="12"/>
      <c r="GUA53" s="12"/>
      <c r="GUB53" s="12"/>
      <c r="GUC53" s="12"/>
      <c r="GUD53" s="12"/>
      <c r="GUE53" s="12"/>
      <c r="GUF53" s="12"/>
      <c r="GUG53" s="12"/>
      <c r="GUH53" s="12"/>
      <c r="GUI53" s="12"/>
      <c r="GUJ53" s="12"/>
      <c r="GUK53" s="12"/>
      <c r="GUL53" s="12"/>
      <c r="GUM53" s="12"/>
      <c r="GUN53" s="12"/>
      <c r="GUO53" s="12"/>
      <c r="GUP53" s="12"/>
      <c r="GUQ53" s="12"/>
      <c r="GUR53" s="12"/>
      <c r="GUS53" s="12"/>
      <c r="GUT53" s="12"/>
      <c r="GUU53" s="12"/>
      <c r="GUV53" s="12"/>
      <c r="GUW53" s="12"/>
      <c r="GUX53" s="12"/>
      <c r="GUY53" s="12"/>
      <c r="GUZ53" s="12"/>
      <c r="GVA53" s="12"/>
      <c r="GVB53" s="12"/>
      <c r="GVC53" s="12"/>
      <c r="GVD53" s="12"/>
      <c r="GVE53" s="12"/>
      <c r="GVF53" s="12"/>
      <c r="GVG53" s="12"/>
      <c r="GVH53" s="12"/>
      <c r="GVI53" s="12"/>
      <c r="GVJ53" s="12"/>
      <c r="GVK53" s="12"/>
      <c r="GVL53" s="12"/>
      <c r="GVM53" s="12"/>
      <c r="GVN53" s="12"/>
      <c r="GVO53" s="12"/>
      <c r="GVP53" s="12"/>
      <c r="GVQ53" s="12"/>
      <c r="GVR53" s="12"/>
      <c r="GVS53" s="12"/>
      <c r="GVT53" s="12"/>
      <c r="GVU53" s="12"/>
      <c r="GVV53" s="12"/>
      <c r="GVW53" s="12"/>
      <c r="GVX53" s="12"/>
      <c r="GVY53" s="12"/>
      <c r="GVZ53" s="12"/>
      <c r="GWA53" s="12"/>
      <c r="GWB53" s="12"/>
      <c r="GWC53" s="12"/>
      <c r="GWD53" s="12"/>
      <c r="GWE53" s="12"/>
      <c r="GWF53" s="12"/>
      <c r="GWG53" s="12"/>
      <c r="GWH53" s="12"/>
      <c r="GWI53" s="12"/>
      <c r="GWJ53" s="12"/>
      <c r="GWK53" s="12"/>
      <c r="GWL53" s="12"/>
      <c r="GWM53" s="12"/>
      <c r="GWN53" s="12"/>
      <c r="GWO53" s="12"/>
      <c r="GWP53" s="12"/>
      <c r="GWQ53" s="12"/>
      <c r="GWR53" s="12"/>
      <c r="GWS53" s="12"/>
      <c r="GWT53" s="12"/>
      <c r="GWU53" s="12"/>
      <c r="GWV53" s="12"/>
      <c r="GWW53" s="12"/>
      <c r="GWX53" s="12"/>
      <c r="GWY53" s="12"/>
      <c r="GWZ53" s="12"/>
      <c r="GXA53" s="12"/>
      <c r="GXB53" s="12"/>
      <c r="GXC53" s="12"/>
      <c r="GXD53" s="12"/>
      <c r="GXE53" s="12"/>
      <c r="GXF53" s="12"/>
      <c r="GXG53" s="12"/>
      <c r="GXH53" s="12"/>
      <c r="GXI53" s="12"/>
      <c r="GXJ53" s="12"/>
      <c r="GXK53" s="12"/>
      <c r="GXL53" s="12"/>
      <c r="GXM53" s="12"/>
      <c r="GXN53" s="12"/>
      <c r="GXO53" s="12"/>
      <c r="GXP53" s="12"/>
      <c r="GXQ53" s="12"/>
      <c r="GXR53" s="12"/>
      <c r="GXS53" s="12"/>
      <c r="GXT53" s="12"/>
      <c r="GXU53" s="12"/>
      <c r="GXV53" s="12"/>
      <c r="GXW53" s="12"/>
      <c r="GXX53" s="12"/>
      <c r="GXY53" s="12"/>
      <c r="GXZ53" s="12"/>
      <c r="GYA53" s="12"/>
      <c r="GYB53" s="12"/>
      <c r="GYC53" s="12"/>
      <c r="GYD53" s="12"/>
      <c r="GYE53" s="12"/>
      <c r="GYF53" s="12"/>
      <c r="GYG53" s="12"/>
      <c r="GYH53" s="12"/>
      <c r="GYI53" s="12"/>
      <c r="GYJ53" s="12"/>
      <c r="GYK53" s="12"/>
      <c r="GYL53" s="12"/>
      <c r="GYM53" s="12"/>
      <c r="GYN53" s="12"/>
      <c r="GYO53" s="12"/>
      <c r="GYP53" s="12"/>
      <c r="GYQ53" s="12"/>
      <c r="GYR53" s="12"/>
      <c r="GYS53" s="12"/>
      <c r="GYT53" s="12"/>
      <c r="GYU53" s="12"/>
      <c r="GYV53" s="12"/>
      <c r="GYW53" s="12"/>
      <c r="GYX53" s="12"/>
      <c r="GYY53" s="12"/>
      <c r="GYZ53" s="12"/>
      <c r="GZA53" s="12"/>
      <c r="GZB53" s="12"/>
      <c r="GZC53" s="12"/>
      <c r="GZD53" s="12"/>
      <c r="GZE53" s="12"/>
      <c r="GZF53" s="12"/>
      <c r="GZG53" s="12"/>
      <c r="GZH53" s="12"/>
      <c r="GZI53" s="12"/>
      <c r="GZJ53" s="12"/>
      <c r="GZK53" s="12"/>
      <c r="GZL53" s="12"/>
      <c r="GZM53" s="12"/>
      <c r="GZN53" s="12"/>
      <c r="GZO53" s="12"/>
      <c r="GZP53" s="12"/>
      <c r="GZQ53" s="12"/>
      <c r="GZR53" s="12"/>
      <c r="GZS53" s="12"/>
      <c r="GZT53" s="12"/>
      <c r="GZU53" s="12"/>
      <c r="GZV53" s="12"/>
      <c r="GZW53" s="12"/>
      <c r="GZX53" s="12"/>
      <c r="GZY53" s="12"/>
      <c r="GZZ53" s="12"/>
      <c r="HAA53" s="12"/>
      <c r="HAB53" s="12"/>
      <c r="HAC53" s="12"/>
      <c r="HAD53" s="12"/>
      <c r="HAE53" s="12"/>
      <c r="HAF53" s="12"/>
      <c r="HAG53" s="12"/>
      <c r="HAH53" s="12"/>
      <c r="HAI53" s="12"/>
      <c r="HAJ53" s="12"/>
      <c r="HAK53" s="12"/>
      <c r="HAL53" s="12"/>
      <c r="HAM53" s="12"/>
      <c r="HAN53" s="12"/>
      <c r="HAO53" s="12"/>
      <c r="HAP53" s="12"/>
      <c r="HAQ53" s="12"/>
      <c r="HAR53" s="12"/>
      <c r="HAS53" s="12"/>
      <c r="HAT53" s="12"/>
      <c r="HAU53" s="12"/>
      <c r="HAV53" s="12"/>
      <c r="HAW53" s="12"/>
      <c r="HAX53" s="12"/>
      <c r="HAY53" s="12"/>
      <c r="HAZ53" s="12"/>
      <c r="HBA53" s="12"/>
      <c r="HBB53" s="12"/>
      <c r="HBC53" s="12"/>
      <c r="HBD53" s="12"/>
      <c r="HBE53" s="12"/>
      <c r="HBF53" s="12"/>
      <c r="HBG53" s="12"/>
      <c r="HBH53" s="12"/>
      <c r="HBI53" s="12"/>
      <c r="HBJ53" s="12"/>
      <c r="HBK53" s="12"/>
      <c r="HBL53" s="12"/>
      <c r="HBM53" s="12"/>
      <c r="HBN53" s="12"/>
      <c r="HBO53" s="12"/>
      <c r="HBP53" s="12"/>
      <c r="HBQ53" s="12"/>
      <c r="HBR53" s="12"/>
      <c r="HBS53" s="12"/>
      <c r="HBT53" s="12"/>
      <c r="HBU53" s="12"/>
      <c r="HBV53" s="12"/>
      <c r="HBW53" s="12"/>
      <c r="HBX53" s="12"/>
      <c r="HBY53" s="12"/>
      <c r="HBZ53" s="12"/>
      <c r="HCA53" s="12"/>
      <c r="HCB53" s="12"/>
      <c r="HCC53" s="12"/>
      <c r="HCD53" s="12"/>
      <c r="HCE53" s="12"/>
      <c r="HCF53" s="12"/>
      <c r="HCG53" s="12"/>
      <c r="HCH53" s="12"/>
      <c r="HCI53" s="12"/>
      <c r="HCJ53" s="12"/>
      <c r="HCK53" s="12"/>
      <c r="HCL53" s="12"/>
      <c r="HCM53" s="12"/>
      <c r="HCN53" s="12"/>
      <c r="HCO53" s="12"/>
      <c r="HCP53" s="12"/>
      <c r="HCQ53" s="12"/>
      <c r="HCR53" s="12"/>
      <c r="HCS53" s="12"/>
      <c r="HCT53" s="12"/>
      <c r="HCU53" s="12"/>
      <c r="HCV53" s="12"/>
      <c r="HCW53" s="12"/>
      <c r="HCX53" s="12"/>
      <c r="HCY53" s="12"/>
      <c r="HCZ53" s="12"/>
      <c r="HDA53" s="12"/>
      <c r="HDB53" s="12"/>
      <c r="HDC53" s="12"/>
      <c r="HDD53" s="12"/>
      <c r="HDE53" s="12"/>
      <c r="HDF53" s="12"/>
      <c r="HDG53" s="12"/>
      <c r="HDH53" s="12"/>
      <c r="HDI53" s="12"/>
      <c r="HDJ53" s="12"/>
      <c r="HDK53" s="12"/>
      <c r="HDL53" s="12"/>
      <c r="HDM53" s="12"/>
      <c r="HDN53" s="12"/>
      <c r="HDO53" s="12"/>
      <c r="HDP53" s="12"/>
      <c r="HDQ53" s="12"/>
      <c r="HDR53" s="12"/>
      <c r="HDS53" s="12"/>
      <c r="HDT53" s="12"/>
      <c r="HDU53" s="12"/>
      <c r="HDV53" s="12"/>
      <c r="HDW53" s="12"/>
      <c r="HDX53" s="12"/>
      <c r="HDY53" s="12"/>
      <c r="HDZ53" s="12"/>
      <c r="HEA53" s="12"/>
      <c r="HEB53" s="12"/>
      <c r="HEC53" s="12"/>
      <c r="HED53" s="12"/>
      <c r="HEE53" s="12"/>
      <c r="HEF53" s="12"/>
      <c r="HEG53" s="12"/>
      <c r="HEH53" s="12"/>
      <c r="HEI53" s="12"/>
      <c r="HEJ53" s="12"/>
      <c r="HEK53" s="12"/>
      <c r="HEL53" s="12"/>
      <c r="HEM53" s="12"/>
      <c r="HEN53" s="12"/>
      <c r="HEO53" s="12"/>
      <c r="HEP53" s="12"/>
      <c r="HEQ53" s="12"/>
      <c r="HER53" s="12"/>
      <c r="HES53" s="12"/>
      <c r="HET53" s="12"/>
      <c r="HEU53" s="12"/>
      <c r="HEV53" s="12"/>
      <c r="HEW53" s="12"/>
      <c r="HEX53" s="12"/>
      <c r="HEY53" s="12"/>
      <c r="HEZ53" s="12"/>
      <c r="HFA53" s="12"/>
      <c r="HFB53" s="12"/>
      <c r="HFC53" s="12"/>
      <c r="HFD53" s="12"/>
      <c r="HFE53" s="12"/>
      <c r="HFF53" s="12"/>
      <c r="HFG53" s="12"/>
      <c r="HFH53" s="12"/>
      <c r="HFI53" s="12"/>
      <c r="HFJ53" s="12"/>
      <c r="HFK53" s="12"/>
      <c r="HFL53" s="12"/>
      <c r="HFM53" s="12"/>
      <c r="HFN53" s="12"/>
      <c r="HFO53" s="12"/>
      <c r="HFP53" s="12"/>
      <c r="HFQ53" s="12"/>
      <c r="HFR53" s="12"/>
      <c r="HFS53" s="12"/>
      <c r="HFT53" s="12"/>
      <c r="HFU53" s="12"/>
      <c r="HFV53" s="12"/>
      <c r="HFW53" s="12"/>
      <c r="HFX53" s="12"/>
      <c r="HFY53" s="12"/>
      <c r="HFZ53" s="12"/>
      <c r="HGA53" s="12"/>
      <c r="HGB53" s="12"/>
      <c r="HGC53" s="12"/>
      <c r="HGD53" s="12"/>
      <c r="HGE53" s="12"/>
      <c r="HGF53" s="12"/>
      <c r="HGG53" s="12"/>
      <c r="HGH53" s="12"/>
      <c r="HGI53" s="12"/>
      <c r="HGJ53" s="12"/>
      <c r="HGK53" s="12"/>
      <c r="HGL53" s="12"/>
      <c r="HGM53" s="12"/>
      <c r="HGN53" s="12"/>
      <c r="HGO53" s="12"/>
      <c r="HGP53" s="12"/>
      <c r="HGQ53" s="12"/>
      <c r="HGR53" s="12"/>
      <c r="HGS53" s="12"/>
      <c r="HGT53" s="12"/>
      <c r="HGU53" s="12"/>
      <c r="HGV53" s="12"/>
      <c r="HGW53" s="12"/>
      <c r="HGX53" s="12"/>
      <c r="HGY53" s="12"/>
      <c r="HGZ53" s="12"/>
      <c r="HHA53" s="12"/>
      <c r="HHB53" s="12"/>
      <c r="HHC53" s="12"/>
      <c r="HHD53" s="12"/>
      <c r="HHE53" s="12"/>
      <c r="HHF53" s="12"/>
      <c r="HHG53" s="12"/>
      <c r="HHH53" s="12"/>
      <c r="HHI53" s="12"/>
      <c r="HHJ53" s="12"/>
      <c r="HHK53" s="12"/>
      <c r="HHL53" s="12"/>
      <c r="HHM53" s="12"/>
      <c r="HHN53" s="12"/>
      <c r="HHO53" s="12"/>
      <c r="HHP53" s="12"/>
      <c r="HHQ53" s="12"/>
      <c r="HHR53" s="12"/>
      <c r="HHS53" s="12"/>
      <c r="HHT53" s="12"/>
      <c r="HHU53" s="12"/>
      <c r="HHV53" s="12"/>
      <c r="HHW53" s="12"/>
      <c r="HHX53" s="12"/>
      <c r="HHY53" s="12"/>
      <c r="HHZ53" s="12"/>
      <c r="HIA53" s="12"/>
      <c r="HIB53" s="12"/>
      <c r="HIC53" s="12"/>
      <c r="HID53" s="12"/>
      <c r="HIE53" s="12"/>
      <c r="HIF53" s="12"/>
      <c r="HIG53" s="12"/>
      <c r="HIH53" s="12"/>
      <c r="HII53" s="12"/>
      <c r="HIJ53" s="12"/>
      <c r="HIK53" s="12"/>
      <c r="HIL53" s="12"/>
      <c r="HIM53" s="12"/>
      <c r="HIN53" s="12"/>
      <c r="HIO53" s="12"/>
      <c r="HIP53" s="12"/>
      <c r="HIQ53" s="12"/>
      <c r="HIR53" s="12"/>
      <c r="HIS53" s="12"/>
      <c r="HIT53" s="12"/>
      <c r="HIU53" s="12"/>
      <c r="HIV53" s="12"/>
      <c r="HIW53" s="12"/>
      <c r="HIX53" s="12"/>
      <c r="HIY53" s="12"/>
      <c r="HIZ53" s="12"/>
      <c r="HJA53" s="12"/>
      <c r="HJB53" s="12"/>
      <c r="HJC53" s="12"/>
      <c r="HJD53" s="12"/>
      <c r="HJE53" s="12"/>
      <c r="HJF53" s="12"/>
      <c r="HJG53" s="12"/>
      <c r="HJH53" s="12"/>
      <c r="HJI53" s="12"/>
      <c r="HJJ53" s="12"/>
      <c r="HJK53" s="12"/>
      <c r="HJL53" s="12"/>
      <c r="HJM53" s="12"/>
      <c r="HJN53" s="12"/>
      <c r="HJO53" s="12"/>
      <c r="HJP53" s="12"/>
      <c r="HJQ53" s="12"/>
      <c r="HJR53" s="12"/>
      <c r="HJS53" s="12"/>
      <c r="HJT53" s="12"/>
      <c r="HJU53" s="12"/>
      <c r="HJV53" s="12"/>
      <c r="HJW53" s="12"/>
      <c r="HJX53" s="12"/>
      <c r="HJY53" s="12"/>
      <c r="HJZ53" s="12"/>
      <c r="HKA53" s="12"/>
      <c r="HKB53" s="12"/>
      <c r="HKC53" s="12"/>
      <c r="HKD53" s="12"/>
      <c r="HKE53" s="12"/>
      <c r="HKF53" s="12"/>
      <c r="HKG53" s="12"/>
      <c r="HKH53" s="12"/>
      <c r="HKI53" s="12"/>
      <c r="HKJ53" s="12"/>
      <c r="HKK53" s="12"/>
      <c r="HKL53" s="12"/>
      <c r="HKM53" s="12"/>
      <c r="HKN53" s="12"/>
      <c r="HKO53" s="12"/>
      <c r="HKP53" s="12"/>
      <c r="HKQ53" s="12"/>
      <c r="HKR53" s="12"/>
      <c r="HKS53" s="12"/>
      <c r="HKT53" s="12"/>
      <c r="HKU53" s="12"/>
      <c r="HKV53" s="12"/>
      <c r="HKW53" s="12"/>
      <c r="HKX53" s="12"/>
      <c r="HKY53" s="12"/>
      <c r="HKZ53" s="12"/>
      <c r="HLA53" s="12"/>
      <c r="HLB53" s="12"/>
      <c r="HLC53" s="12"/>
      <c r="HLD53" s="12"/>
      <c r="HLE53" s="12"/>
      <c r="HLF53" s="12"/>
      <c r="HLG53" s="12"/>
      <c r="HLH53" s="12"/>
      <c r="HLI53" s="12"/>
      <c r="HLJ53" s="12"/>
      <c r="HLK53" s="12"/>
      <c r="HLL53" s="12"/>
      <c r="HLM53" s="12"/>
      <c r="HLN53" s="12"/>
      <c r="HLO53" s="12"/>
      <c r="HLP53" s="12"/>
      <c r="HLQ53" s="12"/>
      <c r="HLR53" s="12"/>
      <c r="HLS53" s="12"/>
      <c r="HLT53" s="12"/>
      <c r="HLU53" s="12"/>
      <c r="HLV53" s="12"/>
      <c r="HLW53" s="12"/>
      <c r="HLX53" s="12"/>
      <c r="HLY53" s="12"/>
      <c r="HLZ53" s="12"/>
      <c r="HMA53" s="12"/>
      <c r="HMB53" s="12"/>
      <c r="HMC53" s="12"/>
      <c r="HMD53" s="12"/>
      <c r="HME53" s="12"/>
      <c r="HMF53" s="12"/>
      <c r="HMG53" s="12"/>
      <c r="HMH53" s="12"/>
      <c r="HMI53" s="12"/>
      <c r="HMJ53" s="12"/>
      <c r="HMK53" s="12"/>
      <c r="HML53" s="12"/>
      <c r="HMM53" s="12"/>
      <c r="HMN53" s="12"/>
      <c r="HMO53" s="12"/>
      <c r="HMP53" s="12"/>
      <c r="HMQ53" s="12"/>
      <c r="HMR53" s="12"/>
      <c r="HMS53" s="12"/>
      <c r="HMT53" s="12"/>
      <c r="HMU53" s="12"/>
      <c r="HMV53" s="12"/>
      <c r="HMW53" s="12"/>
      <c r="HMX53" s="12"/>
      <c r="HMY53" s="12"/>
      <c r="HMZ53" s="12"/>
      <c r="HNA53" s="12"/>
      <c r="HNB53" s="12"/>
      <c r="HNC53" s="12"/>
      <c r="HND53" s="12"/>
      <c r="HNE53" s="12"/>
      <c r="HNF53" s="12"/>
      <c r="HNG53" s="12"/>
      <c r="HNH53" s="12"/>
      <c r="HNI53" s="12"/>
      <c r="HNJ53" s="12"/>
      <c r="HNK53" s="12"/>
      <c r="HNL53" s="12"/>
      <c r="HNM53" s="12"/>
      <c r="HNN53" s="12"/>
      <c r="HNO53" s="12"/>
      <c r="HNP53" s="12"/>
      <c r="HNQ53" s="12"/>
      <c r="HNR53" s="12"/>
      <c r="HNS53" s="12"/>
      <c r="HNT53" s="12"/>
      <c r="HNU53" s="12"/>
      <c r="HNV53" s="12"/>
      <c r="HNW53" s="12"/>
      <c r="HNX53" s="12"/>
      <c r="HNY53" s="12"/>
      <c r="HNZ53" s="12"/>
      <c r="HOA53" s="12"/>
      <c r="HOB53" s="12"/>
      <c r="HOC53" s="12"/>
      <c r="HOD53" s="12"/>
      <c r="HOE53" s="12"/>
      <c r="HOF53" s="12"/>
      <c r="HOG53" s="12"/>
      <c r="HOH53" s="12"/>
      <c r="HOI53" s="12"/>
      <c r="HOJ53" s="12"/>
      <c r="HOK53" s="12"/>
      <c r="HOL53" s="12"/>
      <c r="HOM53" s="12"/>
      <c r="HON53" s="12"/>
      <c r="HOO53" s="12"/>
      <c r="HOP53" s="12"/>
      <c r="HOQ53" s="12"/>
      <c r="HOR53" s="12"/>
      <c r="HOS53" s="12"/>
      <c r="HOT53" s="12"/>
      <c r="HOU53" s="12"/>
      <c r="HOV53" s="12"/>
      <c r="HOW53" s="12"/>
      <c r="HOX53" s="12"/>
      <c r="HOY53" s="12"/>
      <c r="HOZ53" s="12"/>
      <c r="HPA53" s="12"/>
      <c r="HPB53" s="12"/>
      <c r="HPC53" s="12"/>
      <c r="HPD53" s="12"/>
      <c r="HPE53" s="12"/>
      <c r="HPF53" s="12"/>
      <c r="HPG53" s="12"/>
      <c r="HPH53" s="12"/>
      <c r="HPI53" s="12"/>
      <c r="HPJ53" s="12"/>
      <c r="HPK53" s="12"/>
      <c r="HPL53" s="12"/>
      <c r="HPM53" s="12"/>
      <c r="HPN53" s="12"/>
      <c r="HPO53" s="12"/>
      <c r="HPP53" s="12"/>
      <c r="HPQ53" s="12"/>
      <c r="HPR53" s="12"/>
      <c r="HPS53" s="12"/>
      <c r="HPT53" s="12"/>
      <c r="HPU53" s="12"/>
      <c r="HPV53" s="12"/>
      <c r="HPW53" s="12"/>
      <c r="HPX53" s="12"/>
      <c r="HPY53" s="12"/>
      <c r="HPZ53" s="12"/>
      <c r="HQA53" s="12"/>
      <c r="HQB53" s="12"/>
      <c r="HQC53" s="12"/>
      <c r="HQD53" s="12"/>
      <c r="HQE53" s="12"/>
      <c r="HQF53" s="12"/>
      <c r="HQG53" s="12"/>
      <c r="HQH53" s="12"/>
      <c r="HQI53" s="12"/>
      <c r="HQJ53" s="12"/>
      <c r="HQK53" s="12"/>
      <c r="HQL53" s="12"/>
      <c r="HQM53" s="12"/>
      <c r="HQN53" s="12"/>
      <c r="HQO53" s="12"/>
      <c r="HQP53" s="12"/>
      <c r="HQQ53" s="12"/>
      <c r="HQR53" s="12"/>
      <c r="HQS53" s="12"/>
      <c r="HQT53" s="12"/>
      <c r="HQU53" s="12"/>
      <c r="HQV53" s="12"/>
      <c r="HQW53" s="12"/>
      <c r="HQX53" s="12"/>
      <c r="HQY53" s="12"/>
      <c r="HQZ53" s="12"/>
      <c r="HRA53" s="12"/>
      <c r="HRB53" s="12"/>
      <c r="HRC53" s="12"/>
      <c r="HRD53" s="12"/>
      <c r="HRE53" s="12"/>
      <c r="HRF53" s="12"/>
      <c r="HRG53" s="12"/>
      <c r="HRH53" s="12"/>
      <c r="HRI53" s="12"/>
      <c r="HRJ53" s="12"/>
      <c r="HRK53" s="12"/>
      <c r="HRL53" s="12"/>
      <c r="HRM53" s="12"/>
      <c r="HRN53" s="12"/>
      <c r="HRO53" s="12"/>
      <c r="HRP53" s="12"/>
      <c r="HRQ53" s="12"/>
      <c r="HRR53" s="12"/>
      <c r="HRS53" s="12"/>
      <c r="HRT53" s="12"/>
      <c r="HRU53" s="12"/>
      <c r="HRV53" s="12"/>
      <c r="HRW53" s="12"/>
      <c r="HRX53" s="12"/>
      <c r="HRY53" s="12"/>
      <c r="HRZ53" s="12"/>
      <c r="HSA53" s="12"/>
      <c r="HSB53" s="12"/>
      <c r="HSC53" s="12"/>
      <c r="HSD53" s="12"/>
      <c r="HSE53" s="12"/>
      <c r="HSF53" s="12"/>
      <c r="HSG53" s="12"/>
      <c r="HSH53" s="12"/>
      <c r="HSI53" s="12"/>
      <c r="HSJ53" s="12"/>
      <c r="HSK53" s="12"/>
      <c r="HSL53" s="12"/>
      <c r="HSM53" s="12"/>
      <c r="HSN53" s="12"/>
      <c r="HSO53" s="12"/>
      <c r="HSP53" s="12"/>
      <c r="HSQ53" s="12"/>
      <c r="HSR53" s="12"/>
      <c r="HSS53" s="12"/>
      <c r="HST53" s="12"/>
      <c r="HSU53" s="12"/>
      <c r="HSV53" s="12"/>
      <c r="HSW53" s="12"/>
      <c r="HSX53" s="12"/>
      <c r="HSY53" s="12"/>
      <c r="HSZ53" s="12"/>
      <c r="HTA53" s="12"/>
      <c r="HTB53" s="12"/>
      <c r="HTC53" s="12"/>
      <c r="HTD53" s="12"/>
      <c r="HTE53" s="12"/>
      <c r="HTF53" s="12"/>
      <c r="HTG53" s="12"/>
      <c r="HTH53" s="12"/>
      <c r="HTI53" s="12"/>
      <c r="HTJ53" s="12"/>
      <c r="HTK53" s="12"/>
      <c r="HTL53" s="12"/>
      <c r="HTM53" s="12"/>
      <c r="HTN53" s="12"/>
      <c r="HTO53" s="12"/>
      <c r="HTP53" s="12"/>
      <c r="HTQ53" s="12"/>
      <c r="HTR53" s="12"/>
      <c r="HTS53" s="12"/>
      <c r="HTT53" s="12"/>
      <c r="HTU53" s="12"/>
      <c r="HTV53" s="12"/>
      <c r="HTW53" s="12"/>
      <c r="HTX53" s="12"/>
      <c r="HTY53" s="12"/>
      <c r="HTZ53" s="12"/>
      <c r="HUA53" s="12"/>
      <c r="HUB53" s="12"/>
      <c r="HUC53" s="12"/>
      <c r="HUD53" s="12"/>
      <c r="HUE53" s="12"/>
      <c r="HUF53" s="12"/>
      <c r="HUG53" s="12"/>
      <c r="HUH53" s="12"/>
      <c r="HUI53" s="12"/>
      <c r="HUJ53" s="12"/>
      <c r="HUK53" s="12"/>
      <c r="HUL53" s="12"/>
      <c r="HUM53" s="12"/>
      <c r="HUN53" s="12"/>
      <c r="HUO53" s="12"/>
      <c r="HUP53" s="12"/>
      <c r="HUQ53" s="12"/>
      <c r="HUR53" s="12"/>
      <c r="HUS53" s="12"/>
      <c r="HUT53" s="12"/>
      <c r="HUU53" s="12"/>
      <c r="HUV53" s="12"/>
      <c r="HUW53" s="12"/>
      <c r="HUX53" s="12"/>
      <c r="HUY53" s="12"/>
      <c r="HUZ53" s="12"/>
      <c r="HVA53" s="12"/>
      <c r="HVB53" s="12"/>
      <c r="HVC53" s="12"/>
      <c r="HVD53" s="12"/>
      <c r="HVE53" s="12"/>
      <c r="HVF53" s="12"/>
      <c r="HVG53" s="12"/>
      <c r="HVH53" s="12"/>
      <c r="HVI53" s="12"/>
      <c r="HVJ53" s="12"/>
      <c r="HVK53" s="12"/>
      <c r="HVL53" s="12"/>
      <c r="HVM53" s="12"/>
      <c r="HVN53" s="12"/>
      <c r="HVO53" s="12"/>
      <c r="HVP53" s="12"/>
      <c r="HVQ53" s="12"/>
      <c r="HVR53" s="12"/>
      <c r="HVS53" s="12"/>
      <c r="HVT53" s="12"/>
      <c r="HVU53" s="12"/>
      <c r="HVV53" s="12"/>
      <c r="HVW53" s="12"/>
      <c r="HVX53" s="12"/>
      <c r="HVY53" s="12"/>
      <c r="HVZ53" s="12"/>
      <c r="HWA53" s="12"/>
      <c r="HWB53" s="12"/>
      <c r="HWC53" s="12"/>
      <c r="HWD53" s="12"/>
      <c r="HWE53" s="12"/>
      <c r="HWF53" s="12"/>
      <c r="HWG53" s="12"/>
      <c r="HWH53" s="12"/>
      <c r="HWI53" s="12"/>
      <c r="HWJ53" s="12"/>
      <c r="HWK53" s="12"/>
      <c r="HWL53" s="12"/>
      <c r="HWM53" s="12"/>
      <c r="HWN53" s="12"/>
      <c r="HWO53" s="12"/>
      <c r="HWP53" s="12"/>
      <c r="HWQ53" s="12"/>
      <c r="HWR53" s="12"/>
      <c r="HWS53" s="12"/>
      <c r="HWT53" s="12"/>
      <c r="HWU53" s="12"/>
      <c r="HWV53" s="12"/>
      <c r="HWW53" s="12"/>
      <c r="HWX53" s="12"/>
      <c r="HWY53" s="12"/>
      <c r="HWZ53" s="12"/>
      <c r="HXA53" s="12"/>
      <c r="HXB53" s="12"/>
      <c r="HXC53" s="12"/>
      <c r="HXD53" s="12"/>
      <c r="HXE53" s="12"/>
      <c r="HXF53" s="12"/>
      <c r="HXG53" s="12"/>
      <c r="HXH53" s="12"/>
      <c r="HXI53" s="12"/>
      <c r="HXJ53" s="12"/>
      <c r="HXK53" s="12"/>
      <c r="HXL53" s="12"/>
      <c r="HXM53" s="12"/>
      <c r="HXN53" s="12"/>
      <c r="HXO53" s="12"/>
      <c r="HXP53" s="12"/>
      <c r="HXQ53" s="12"/>
      <c r="HXR53" s="12"/>
      <c r="HXS53" s="12"/>
      <c r="HXT53" s="12"/>
      <c r="HXU53" s="12"/>
      <c r="HXV53" s="12"/>
      <c r="HXW53" s="12"/>
      <c r="HXX53" s="12"/>
      <c r="HXY53" s="12"/>
      <c r="HXZ53" s="12"/>
      <c r="HYA53" s="12"/>
      <c r="HYB53" s="12"/>
      <c r="HYC53" s="12"/>
      <c r="HYD53" s="12"/>
      <c r="HYE53" s="12"/>
      <c r="HYF53" s="12"/>
      <c r="HYG53" s="12"/>
      <c r="HYH53" s="12"/>
      <c r="HYI53" s="12"/>
      <c r="HYJ53" s="12"/>
      <c r="HYK53" s="12"/>
      <c r="HYL53" s="12"/>
      <c r="HYM53" s="12"/>
      <c r="HYN53" s="12"/>
      <c r="HYO53" s="12"/>
      <c r="HYP53" s="12"/>
      <c r="HYQ53" s="12"/>
      <c r="HYR53" s="12"/>
      <c r="HYS53" s="12"/>
      <c r="HYT53" s="12"/>
      <c r="HYU53" s="12"/>
      <c r="HYV53" s="12"/>
      <c r="HYW53" s="12"/>
      <c r="HYX53" s="12"/>
      <c r="HYY53" s="12"/>
      <c r="HYZ53" s="12"/>
      <c r="HZA53" s="12"/>
      <c r="HZB53" s="12"/>
      <c r="HZC53" s="12"/>
      <c r="HZD53" s="12"/>
      <c r="HZE53" s="12"/>
      <c r="HZF53" s="12"/>
      <c r="HZG53" s="12"/>
      <c r="HZH53" s="12"/>
      <c r="HZI53" s="12"/>
      <c r="HZJ53" s="12"/>
      <c r="HZK53" s="12"/>
      <c r="HZL53" s="12"/>
      <c r="HZM53" s="12"/>
      <c r="HZN53" s="12"/>
      <c r="HZO53" s="12"/>
      <c r="HZP53" s="12"/>
      <c r="HZQ53" s="12"/>
      <c r="HZR53" s="12"/>
      <c r="HZS53" s="12"/>
      <c r="HZT53" s="12"/>
      <c r="HZU53" s="12"/>
      <c r="HZV53" s="12"/>
      <c r="HZW53" s="12"/>
      <c r="HZX53" s="12"/>
      <c r="HZY53" s="12"/>
      <c r="HZZ53" s="12"/>
      <c r="IAA53" s="12"/>
      <c r="IAB53" s="12"/>
      <c r="IAC53" s="12"/>
      <c r="IAD53" s="12"/>
      <c r="IAE53" s="12"/>
      <c r="IAF53" s="12"/>
      <c r="IAG53" s="12"/>
      <c r="IAH53" s="12"/>
      <c r="IAI53" s="12"/>
      <c r="IAJ53" s="12"/>
      <c r="IAK53" s="12"/>
      <c r="IAL53" s="12"/>
      <c r="IAM53" s="12"/>
      <c r="IAN53" s="12"/>
      <c r="IAO53" s="12"/>
      <c r="IAP53" s="12"/>
      <c r="IAQ53" s="12"/>
      <c r="IAR53" s="12"/>
      <c r="IAS53" s="12"/>
      <c r="IAT53" s="12"/>
      <c r="IAU53" s="12"/>
      <c r="IAV53" s="12"/>
      <c r="IAW53" s="12"/>
      <c r="IAX53" s="12"/>
      <c r="IAY53" s="12"/>
      <c r="IAZ53" s="12"/>
      <c r="IBA53" s="12"/>
      <c r="IBB53" s="12"/>
      <c r="IBC53" s="12"/>
      <c r="IBD53" s="12"/>
      <c r="IBE53" s="12"/>
      <c r="IBF53" s="12"/>
      <c r="IBG53" s="12"/>
      <c r="IBH53" s="12"/>
      <c r="IBI53" s="12"/>
      <c r="IBJ53" s="12"/>
      <c r="IBK53" s="12"/>
      <c r="IBL53" s="12"/>
      <c r="IBM53" s="12"/>
      <c r="IBN53" s="12"/>
      <c r="IBO53" s="12"/>
      <c r="IBP53" s="12"/>
      <c r="IBQ53" s="12"/>
      <c r="IBR53" s="12"/>
      <c r="IBS53" s="12"/>
      <c r="IBT53" s="12"/>
      <c r="IBU53" s="12"/>
      <c r="IBV53" s="12"/>
      <c r="IBW53" s="12"/>
      <c r="IBX53" s="12"/>
      <c r="IBY53" s="12"/>
      <c r="IBZ53" s="12"/>
      <c r="ICA53" s="12"/>
      <c r="ICB53" s="12"/>
      <c r="ICC53" s="12"/>
      <c r="ICD53" s="12"/>
      <c r="ICE53" s="12"/>
      <c r="ICF53" s="12"/>
      <c r="ICG53" s="12"/>
      <c r="ICH53" s="12"/>
      <c r="ICI53" s="12"/>
      <c r="ICJ53" s="12"/>
      <c r="ICK53" s="12"/>
      <c r="ICL53" s="12"/>
      <c r="ICM53" s="12"/>
      <c r="ICN53" s="12"/>
      <c r="ICO53" s="12"/>
      <c r="ICP53" s="12"/>
      <c r="ICQ53" s="12"/>
      <c r="ICR53" s="12"/>
      <c r="ICS53" s="12"/>
      <c r="ICT53" s="12"/>
      <c r="ICU53" s="12"/>
      <c r="ICV53" s="12"/>
      <c r="ICW53" s="12"/>
      <c r="ICX53" s="12"/>
      <c r="ICY53" s="12"/>
      <c r="ICZ53" s="12"/>
      <c r="IDA53" s="12"/>
      <c r="IDB53" s="12"/>
      <c r="IDC53" s="12"/>
      <c r="IDD53" s="12"/>
      <c r="IDE53" s="12"/>
      <c r="IDF53" s="12"/>
      <c r="IDG53" s="12"/>
      <c r="IDH53" s="12"/>
      <c r="IDI53" s="12"/>
      <c r="IDJ53" s="12"/>
      <c r="IDK53" s="12"/>
      <c r="IDL53" s="12"/>
      <c r="IDM53" s="12"/>
      <c r="IDN53" s="12"/>
      <c r="IDO53" s="12"/>
      <c r="IDP53" s="12"/>
      <c r="IDQ53" s="12"/>
      <c r="IDR53" s="12"/>
      <c r="IDS53" s="12"/>
      <c r="IDT53" s="12"/>
      <c r="IDU53" s="12"/>
      <c r="IDV53" s="12"/>
      <c r="IDW53" s="12"/>
      <c r="IDX53" s="12"/>
      <c r="IDY53" s="12"/>
      <c r="IDZ53" s="12"/>
      <c r="IEA53" s="12"/>
      <c r="IEB53" s="12"/>
      <c r="IEC53" s="12"/>
      <c r="IED53" s="12"/>
      <c r="IEE53" s="12"/>
      <c r="IEF53" s="12"/>
      <c r="IEG53" s="12"/>
      <c r="IEH53" s="12"/>
      <c r="IEI53" s="12"/>
      <c r="IEJ53" s="12"/>
      <c r="IEK53" s="12"/>
      <c r="IEL53" s="12"/>
      <c r="IEM53" s="12"/>
      <c r="IEN53" s="12"/>
      <c r="IEO53" s="12"/>
      <c r="IEP53" s="12"/>
      <c r="IEQ53" s="12"/>
      <c r="IER53" s="12"/>
      <c r="IES53" s="12"/>
      <c r="IET53" s="12"/>
      <c r="IEU53" s="12"/>
      <c r="IEV53" s="12"/>
      <c r="IEW53" s="12"/>
      <c r="IEX53" s="12"/>
      <c r="IEY53" s="12"/>
      <c r="IEZ53" s="12"/>
      <c r="IFA53" s="12"/>
      <c r="IFB53" s="12"/>
      <c r="IFC53" s="12"/>
      <c r="IFD53" s="12"/>
      <c r="IFE53" s="12"/>
      <c r="IFF53" s="12"/>
      <c r="IFG53" s="12"/>
      <c r="IFH53" s="12"/>
      <c r="IFI53" s="12"/>
      <c r="IFJ53" s="12"/>
      <c r="IFK53" s="12"/>
      <c r="IFL53" s="12"/>
      <c r="IFM53" s="12"/>
      <c r="IFN53" s="12"/>
      <c r="IFO53" s="12"/>
      <c r="IFP53" s="12"/>
      <c r="IFQ53" s="12"/>
      <c r="IFR53" s="12"/>
      <c r="IFS53" s="12"/>
      <c r="IFT53" s="12"/>
      <c r="IFU53" s="12"/>
      <c r="IFV53" s="12"/>
      <c r="IFW53" s="12"/>
      <c r="IFX53" s="12"/>
      <c r="IFY53" s="12"/>
      <c r="IFZ53" s="12"/>
      <c r="IGA53" s="12"/>
      <c r="IGB53" s="12"/>
      <c r="IGC53" s="12"/>
      <c r="IGD53" s="12"/>
      <c r="IGE53" s="12"/>
      <c r="IGF53" s="12"/>
      <c r="IGG53" s="12"/>
      <c r="IGH53" s="12"/>
      <c r="IGI53" s="12"/>
      <c r="IGJ53" s="12"/>
      <c r="IGK53" s="12"/>
      <c r="IGL53" s="12"/>
      <c r="IGM53" s="12"/>
      <c r="IGN53" s="12"/>
      <c r="IGO53" s="12"/>
      <c r="IGP53" s="12"/>
      <c r="IGQ53" s="12"/>
      <c r="IGR53" s="12"/>
      <c r="IGS53" s="12"/>
      <c r="IGT53" s="12"/>
      <c r="IGU53" s="12"/>
      <c r="IGV53" s="12"/>
      <c r="IGW53" s="12"/>
      <c r="IGX53" s="12"/>
      <c r="IGY53" s="12"/>
      <c r="IGZ53" s="12"/>
      <c r="IHA53" s="12"/>
      <c r="IHB53" s="12"/>
      <c r="IHC53" s="12"/>
      <c r="IHD53" s="12"/>
      <c r="IHE53" s="12"/>
      <c r="IHF53" s="12"/>
      <c r="IHG53" s="12"/>
      <c r="IHH53" s="12"/>
      <c r="IHI53" s="12"/>
      <c r="IHJ53" s="12"/>
      <c r="IHK53" s="12"/>
      <c r="IHL53" s="12"/>
      <c r="IHM53" s="12"/>
      <c r="IHN53" s="12"/>
      <c r="IHO53" s="12"/>
      <c r="IHP53" s="12"/>
      <c r="IHQ53" s="12"/>
      <c r="IHR53" s="12"/>
      <c r="IHS53" s="12"/>
      <c r="IHT53" s="12"/>
      <c r="IHU53" s="12"/>
      <c r="IHV53" s="12"/>
      <c r="IHW53" s="12"/>
      <c r="IHX53" s="12"/>
      <c r="IHY53" s="12"/>
      <c r="IHZ53" s="12"/>
      <c r="IIA53" s="12"/>
      <c r="IIB53" s="12"/>
      <c r="IIC53" s="12"/>
      <c r="IID53" s="12"/>
      <c r="IIE53" s="12"/>
      <c r="IIF53" s="12"/>
      <c r="IIG53" s="12"/>
      <c r="IIH53" s="12"/>
      <c r="III53" s="12"/>
      <c r="IIJ53" s="12"/>
      <c r="IIK53" s="12"/>
      <c r="IIL53" s="12"/>
      <c r="IIM53" s="12"/>
      <c r="IIN53" s="12"/>
      <c r="IIO53" s="12"/>
      <c r="IIP53" s="12"/>
      <c r="IIQ53" s="12"/>
      <c r="IIR53" s="12"/>
      <c r="IIS53" s="12"/>
      <c r="IIT53" s="12"/>
      <c r="IIU53" s="12"/>
      <c r="IIV53" s="12"/>
      <c r="IIW53" s="12"/>
      <c r="IIX53" s="12"/>
      <c r="IIY53" s="12"/>
      <c r="IIZ53" s="12"/>
      <c r="IJA53" s="12"/>
      <c r="IJB53" s="12"/>
      <c r="IJC53" s="12"/>
      <c r="IJD53" s="12"/>
      <c r="IJE53" s="12"/>
      <c r="IJF53" s="12"/>
      <c r="IJG53" s="12"/>
      <c r="IJH53" s="12"/>
      <c r="IJI53" s="12"/>
      <c r="IJJ53" s="12"/>
      <c r="IJK53" s="12"/>
      <c r="IJL53" s="12"/>
      <c r="IJM53" s="12"/>
      <c r="IJN53" s="12"/>
      <c r="IJO53" s="12"/>
      <c r="IJP53" s="12"/>
      <c r="IJQ53" s="12"/>
      <c r="IJR53" s="12"/>
      <c r="IJS53" s="12"/>
      <c r="IJT53" s="12"/>
      <c r="IJU53" s="12"/>
      <c r="IJV53" s="12"/>
      <c r="IJW53" s="12"/>
      <c r="IJX53" s="12"/>
      <c r="IJY53" s="12"/>
      <c r="IJZ53" s="12"/>
      <c r="IKA53" s="12"/>
      <c r="IKB53" s="12"/>
      <c r="IKC53" s="12"/>
      <c r="IKD53" s="12"/>
      <c r="IKE53" s="12"/>
      <c r="IKF53" s="12"/>
      <c r="IKG53" s="12"/>
      <c r="IKH53" s="12"/>
      <c r="IKI53" s="12"/>
      <c r="IKJ53" s="12"/>
      <c r="IKK53" s="12"/>
      <c r="IKL53" s="12"/>
      <c r="IKM53" s="12"/>
      <c r="IKN53" s="12"/>
      <c r="IKO53" s="12"/>
      <c r="IKP53" s="12"/>
      <c r="IKQ53" s="12"/>
      <c r="IKR53" s="12"/>
      <c r="IKS53" s="12"/>
      <c r="IKT53" s="12"/>
      <c r="IKU53" s="12"/>
      <c r="IKV53" s="12"/>
      <c r="IKW53" s="12"/>
      <c r="IKX53" s="12"/>
      <c r="IKY53" s="12"/>
      <c r="IKZ53" s="12"/>
      <c r="ILA53" s="12"/>
      <c r="ILB53" s="12"/>
      <c r="ILC53" s="12"/>
      <c r="ILD53" s="12"/>
      <c r="ILE53" s="12"/>
      <c r="ILF53" s="12"/>
      <c r="ILG53" s="12"/>
      <c r="ILH53" s="12"/>
      <c r="ILI53" s="12"/>
      <c r="ILJ53" s="12"/>
      <c r="ILK53" s="12"/>
      <c r="ILL53" s="12"/>
      <c r="ILM53" s="12"/>
      <c r="ILN53" s="12"/>
      <c r="ILO53" s="12"/>
      <c r="ILP53" s="12"/>
      <c r="ILQ53" s="12"/>
      <c r="ILR53" s="12"/>
      <c r="ILS53" s="12"/>
      <c r="ILT53" s="12"/>
      <c r="ILU53" s="12"/>
      <c r="ILV53" s="12"/>
      <c r="ILW53" s="12"/>
      <c r="ILX53" s="12"/>
      <c r="ILY53" s="12"/>
      <c r="ILZ53" s="12"/>
      <c r="IMA53" s="12"/>
      <c r="IMB53" s="12"/>
      <c r="IMC53" s="12"/>
      <c r="IMD53" s="12"/>
      <c r="IME53" s="12"/>
      <c r="IMF53" s="12"/>
      <c r="IMG53" s="12"/>
      <c r="IMH53" s="12"/>
      <c r="IMI53" s="12"/>
      <c r="IMJ53" s="12"/>
      <c r="IMK53" s="12"/>
      <c r="IML53" s="12"/>
      <c r="IMM53" s="12"/>
      <c r="IMN53" s="12"/>
      <c r="IMO53" s="12"/>
      <c r="IMP53" s="12"/>
      <c r="IMQ53" s="12"/>
      <c r="IMR53" s="12"/>
      <c r="IMS53" s="12"/>
      <c r="IMT53" s="12"/>
      <c r="IMU53" s="12"/>
      <c r="IMV53" s="12"/>
      <c r="IMW53" s="12"/>
      <c r="IMX53" s="12"/>
      <c r="IMY53" s="12"/>
      <c r="IMZ53" s="12"/>
      <c r="INA53" s="12"/>
      <c r="INB53" s="12"/>
      <c r="INC53" s="12"/>
      <c r="IND53" s="12"/>
      <c r="INE53" s="12"/>
      <c r="INF53" s="12"/>
      <c r="ING53" s="12"/>
      <c r="INH53" s="12"/>
      <c r="INI53" s="12"/>
      <c r="INJ53" s="12"/>
      <c r="INK53" s="12"/>
      <c r="INL53" s="12"/>
      <c r="INM53" s="12"/>
      <c r="INN53" s="12"/>
      <c r="INO53" s="12"/>
      <c r="INP53" s="12"/>
      <c r="INQ53" s="12"/>
      <c r="INR53" s="12"/>
      <c r="INS53" s="12"/>
      <c r="INT53" s="12"/>
      <c r="INU53" s="12"/>
      <c r="INV53" s="12"/>
      <c r="INW53" s="12"/>
      <c r="INX53" s="12"/>
      <c r="INY53" s="12"/>
      <c r="INZ53" s="12"/>
      <c r="IOA53" s="12"/>
      <c r="IOB53" s="12"/>
      <c r="IOC53" s="12"/>
      <c r="IOD53" s="12"/>
      <c r="IOE53" s="12"/>
      <c r="IOF53" s="12"/>
      <c r="IOG53" s="12"/>
      <c r="IOH53" s="12"/>
      <c r="IOI53" s="12"/>
      <c r="IOJ53" s="12"/>
      <c r="IOK53" s="12"/>
      <c r="IOL53" s="12"/>
      <c r="IOM53" s="12"/>
      <c r="ION53" s="12"/>
      <c r="IOO53" s="12"/>
      <c r="IOP53" s="12"/>
      <c r="IOQ53" s="12"/>
      <c r="IOR53" s="12"/>
      <c r="IOS53" s="12"/>
      <c r="IOT53" s="12"/>
      <c r="IOU53" s="12"/>
      <c r="IOV53" s="12"/>
      <c r="IOW53" s="12"/>
      <c r="IOX53" s="12"/>
      <c r="IOY53" s="12"/>
      <c r="IOZ53" s="12"/>
      <c r="IPA53" s="12"/>
      <c r="IPB53" s="12"/>
      <c r="IPC53" s="12"/>
      <c r="IPD53" s="12"/>
      <c r="IPE53" s="12"/>
      <c r="IPF53" s="12"/>
      <c r="IPG53" s="12"/>
      <c r="IPH53" s="12"/>
      <c r="IPI53" s="12"/>
      <c r="IPJ53" s="12"/>
      <c r="IPK53" s="12"/>
      <c r="IPL53" s="12"/>
      <c r="IPM53" s="12"/>
      <c r="IPN53" s="12"/>
      <c r="IPO53" s="12"/>
      <c r="IPP53" s="12"/>
      <c r="IPQ53" s="12"/>
      <c r="IPR53" s="12"/>
      <c r="IPS53" s="12"/>
      <c r="IPT53" s="12"/>
      <c r="IPU53" s="12"/>
      <c r="IPV53" s="12"/>
      <c r="IPW53" s="12"/>
      <c r="IPX53" s="12"/>
      <c r="IPY53" s="12"/>
      <c r="IPZ53" s="12"/>
      <c r="IQA53" s="12"/>
      <c r="IQB53" s="12"/>
      <c r="IQC53" s="12"/>
      <c r="IQD53" s="12"/>
      <c r="IQE53" s="12"/>
      <c r="IQF53" s="12"/>
      <c r="IQG53" s="12"/>
      <c r="IQH53" s="12"/>
      <c r="IQI53" s="12"/>
      <c r="IQJ53" s="12"/>
      <c r="IQK53" s="12"/>
      <c r="IQL53" s="12"/>
      <c r="IQM53" s="12"/>
      <c r="IQN53" s="12"/>
      <c r="IQO53" s="12"/>
      <c r="IQP53" s="12"/>
      <c r="IQQ53" s="12"/>
      <c r="IQR53" s="12"/>
      <c r="IQS53" s="12"/>
      <c r="IQT53" s="12"/>
      <c r="IQU53" s="12"/>
      <c r="IQV53" s="12"/>
      <c r="IQW53" s="12"/>
      <c r="IQX53" s="12"/>
      <c r="IQY53" s="12"/>
      <c r="IQZ53" s="12"/>
      <c r="IRA53" s="12"/>
      <c r="IRB53" s="12"/>
      <c r="IRC53" s="12"/>
      <c r="IRD53" s="12"/>
      <c r="IRE53" s="12"/>
      <c r="IRF53" s="12"/>
      <c r="IRG53" s="12"/>
      <c r="IRH53" s="12"/>
      <c r="IRI53" s="12"/>
      <c r="IRJ53" s="12"/>
      <c r="IRK53" s="12"/>
      <c r="IRL53" s="12"/>
      <c r="IRM53" s="12"/>
      <c r="IRN53" s="12"/>
      <c r="IRO53" s="12"/>
      <c r="IRP53" s="12"/>
      <c r="IRQ53" s="12"/>
      <c r="IRR53" s="12"/>
      <c r="IRS53" s="12"/>
      <c r="IRT53" s="12"/>
      <c r="IRU53" s="12"/>
      <c r="IRV53" s="12"/>
      <c r="IRW53" s="12"/>
      <c r="IRX53" s="12"/>
      <c r="IRY53" s="12"/>
      <c r="IRZ53" s="12"/>
      <c r="ISA53" s="12"/>
      <c r="ISB53" s="12"/>
      <c r="ISC53" s="12"/>
      <c r="ISD53" s="12"/>
      <c r="ISE53" s="12"/>
      <c r="ISF53" s="12"/>
      <c r="ISG53" s="12"/>
      <c r="ISH53" s="12"/>
      <c r="ISI53" s="12"/>
      <c r="ISJ53" s="12"/>
      <c r="ISK53" s="12"/>
      <c r="ISL53" s="12"/>
      <c r="ISM53" s="12"/>
      <c r="ISN53" s="12"/>
      <c r="ISO53" s="12"/>
      <c r="ISP53" s="12"/>
      <c r="ISQ53" s="12"/>
      <c r="ISR53" s="12"/>
      <c r="ISS53" s="12"/>
      <c r="IST53" s="12"/>
      <c r="ISU53" s="12"/>
      <c r="ISV53" s="12"/>
      <c r="ISW53" s="12"/>
      <c r="ISX53" s="12"/>
      <c r="ISY53" s="12"/>
      <c r="ISZ53" s="12"/>
      <c r="ITA53" s="12"/>
      <c r="ITB53" s="12"/>
      <c r="ITC53" s="12"/>
      <c r="ITD53" s="12"/>
      <c r="ITE53" s="12"/>
      <c r="ITF53" s="12"/>
      <c r="ITG53" s="12"/>
      <c r="ITH53" s="12"/>
      <c r="ITI53" s="12"/>
      <c r="ITJ53" s="12"/>
      <c r="ITK53" s="12"/>
      <c r="ITL53" s="12"/>
      <c r="ITM53" s="12"/>
      <c r="ITN53" s="12"/>
      <c r="ITO53" s="12"/>
      <c r="ITP53" s="12"/>
      <c r="ITQ53" s="12"/>
      <c r="ITR53" s="12"/>
      <c r="ITS53" s="12"/>
      <c r="ITT53" s="12"/>
      <c r="ITU53" s="12"/>
      <c r="ITV53" s="12"/>
      <c r="ITW53" s="12"/>
      <c r="ITX53" s="12"/>
      <c r="ITY53" s="12"/>
      <c r="ITZ53" s="12"/>
      <c r="IUA53" s="12"/>
      <c r="IUB53" s="12"/>
      <c r="IUC53" s="12"/>
      <c r="IUD53" s="12"/>
      <c r="IUE53" s="12"/>
      <c r="IUF53" s="12"/>
      <c r="IUG53" s="12"/>
      <c r="IUH53" s="12"/>
      <c r="IUI53" s="12"/>
      <c r="IUJ53" s="12"/>
      <c r="IUK53" s="12"/>
      <c r="IUL53" s="12"/>
      <c r="IUM53" s="12"/>
      <c r="IUN53" s="12"/>
      <c r="IUO53" s="12"/>
      <c r="IUP53" s="12"/>
      <c r="IUQ53" s="12"/>
      <c r="IUR53" s="12"/>
      <c r="IUS53" s="12"/>
      <c r="IUT53" s="12"/>
      <c r="IUU53" s="12"/>
      <c r="IUV53" s="12"/>
      <c r="IUW53" s="12"/>
      <c r="IUX53" s="12"/>
      <c r="IUY53" s="12"/>
      <c r="IUZ53" s="12"/>
      <c r="IVA53" s="12"/>
      <c r="IVB53" s="12"/>
      <c r="IVC53" s="12"/>
      <c r="IVD53" s="12"/>
      <c r="IVE53" s="12"/>
      <c r="IVF53" s="12"/>
      <c r="IVG53" s="12"/>
      <c r="IVH53" s="12"/>
      <c r="IVI53" s="12"/>
      <c r="IVJ53" s="12"/>
      <c r="IVK53" s="12"/>
      <c r="IVL53" s="12"/>
      <c r="IVM53" s="12"/>
      <c r="IVN53" s="12"/>
      <c r="IVO53" s="12"/>
      <c r="IVP53" s="12"/>
      <c r="IVQ53" s="12"/>
      <c r="IVR53" s="12"/>
      <c r="IVS53" s="12"/>
      <c r="IVT53" s="12"/>
      <c r="IVU53" s="12"/>
      <c r="IVV53" s="12"/>
      <c r="IVW53" s="12"/>
      <c r="IVX53" s="12"/>
      <c r="IVY53" s="12"/>
      <c r="IVZ53" s="12"/>
      <c r="IWA53" s="12"/>
      <c r="IWB53" s="12"/>
      <c r="IWC53" s="12"/>
      <c r="IWD53" s="12"/>
      <c r="IWE53" s="12"/>
      <c r="IWF53" s="12"/>
      <c r="IWG53" s="12"/>
      <c r="IWH53" s="12"/>
      <c r="IWI53" s="12"/>
      <c r="IWJ53" s="12"/>
      <c r="IWK53" s="12"/>
      <c r="IWL53" s="12"/>
      <c r="IWM53" s="12"/>
      <c r="IWN53" s="12"/>
      <c r="IWO53" s="12"/>
      <c r="IWP53" s="12"/>
      <c r="IWQ53" s="12"/>
      <c r="IWR53" s="12"/>
      <c r="IWS53" s="12"/>
      <c r="IWT53" s="12"/>
      <c r="IWU53" s="12"/>
      <c r="IWV53" s="12"/>
      <c r="IWW53" s="12"/>
      <c r="IWX53" s="12"/>
      <c r="IWY53" s="12"/>
      <c r="IWZ53" s="12"/>
      <c r="IXA53" s="12"/>
      <c r="IXB53" s="12"/>
      <c r="IXC53" s="12"/>
      <c r="IXD53" s="12"/>
      <c r="IXE53" s="12"/>
      <c r="IXF53" s="12"/>
      <c r="IXG53" s="12"/>
      <c r="IXH53" s="12"/>
      <c r="IXI53" s="12"/>
      <c r="IXJ53" s="12"/>
      <c r="IXK53" s="12"/>
      <c r="IXL53" s="12"/>
      <c r="IXM53" s="12"/>
      <c r="IXN53" s="12"/>
      <c r="IXO53" s="12"/>
      <c r="IXP53" s="12"/>
      <c r="IXQ53" s="12"/>
      <c r="IXR53" s="12"/>
      <c r="IXS53" s="12"/>
      <c r="IXT53" s="12"/>
      <c r="IXU53" s="12"/>
      <c r="IXV53" s="12"/>
      <c r="IXW53" s="12"/>
      <c r="IXX53" s="12"/>
      <c r="IXY53" s="12"/>
      <c r="IXZ53" s="12"/>
      <c r="IYA53" s="12"/>
      <c r="IYB53" s="12"/>
      <c r="IYC53" s="12"/>
      <c r="IYD53" s="12"/>
      <c r="IYE53" s="12"/>
      <c r="IYF53" s="12"/>
      <c r="IYG53" s="12"/>
      <c r="IYH53" s="12"/>
      <c r="IYI53" s="12"/>
      <c r="IYJ53" s="12"/>
      <c r="IYK53" s="12"/>
      <c r="IYL53" s="12"/>
      <c r="IYM53" s="12"/>
      <c r="IYN53" s="12"/>
      <c r="IYO53" s="12"/>
      <c r="IYP53" s="12"/>
      <c r="IYQ53" s="12"/>
      <c r="IYR53" s="12"/>
      <c r="IYS53" s="12"/>
      <c r="IYT53" s="12"/>
      <c r="IYU53" s="12"/>
      <c r="IYV53" s="12"/>
      <c r="IYW53" s="12"/>
      <c r="IYX53" s="12"/>
      <c r="IYY53" s="12"/>
      <c r="IYZ53" s="12"/>
      <c r="IZA53" s="12"/>
      <c r="IZB53" s="12"/>
      <c r="IZC53" s="12"/>
      <c r="IZD53" s="12"/>
      <c r="IZE53" s="12"/>
      <c r="IZF53" s="12"/>
      <c r="IZG53" s="12"/>
      <c r="IZH53" s="12"/>
      <c r="IZI53" s="12"/>
      <c r="IZJ53" s="12"/>
      <c r="IZK53" s="12"/>
      <c r="IZL53" s="12"/>
      <c r="IZM53" s="12"/>
      <c r="IZN53" s="12"/>
      <c r="IZO53" s="12"/>
      <c r="IZP53" s="12"/>
      <c r="IZQ53" s="12"/>
      <c r="IZR53" s="12"/>
      <c r="IZS53" s="12"/>
      <c r="IZT53" s="12"/>
      <c r="IZU53" s="12"/>
      <c r="IZV53" s="12"/>
      <c r="IZW53" s="12"/>
      <c r="IZX53" s="12"/>
      <c r="IZY53" s="12"/>
      <c r="IZZ53" s="12"/>
      <c r="JAA53" s="12"/>
      <c r="JAB53" s="12"/>
      <c r="JAC53" s="12"/>
      <c r="JAD53" s="12"/>
      <c r="JAE53" s="12"/>
      <c r="JAF53" s="12"/>
      <c r="JAG53" s="12"/>
      <c r="JAH53" s="12"/>
      <c r="JAI53" s="12"/>
      <c r="JAJ53" s="12"/>
      <c r="JAK53" s="12"/>
      <c r="JAL53" s="12"/>
      <c r="JAM53" s="12"/>
      <c r="JAN53" s="12"/>
      <c r="JAO53" s="12"/>
      <c r="JAP53" s="12"/>
      <c r="JAQ53" s="12"/>
      <c r="JAR53" s="12"/>
      <c r="JAS53" s="12"/>
      <c r="JAT53" s="12"/>
      <c r="JAU53" s="12"/>
      <c r="JAV53" s="12"/>
      <c r="JAW53" s="12"/>
      <c r="JAX53" s="12"/>
      <c r="JAY53" s="12"/>
      <c r="JAZ53" s="12"/>
      <c r="JBA53" s="12"/>
      <c r="JBB53" s="12"/>
      <c r="JBC53" s="12"/>
      <c r="JBD53" s="12"/>
      <c r="JBE53" s="12"/>
      <c r="JBF53" s="12"/>
      <c r="JBG53" s="12"/>
      <c r="JBH53" s="12"/>
      <c r="JBI53" s="12"/>
      <c r="JBJ53" s="12"/>
      <c r="JBK53" s="12"/>
      <c r="JBL53" s="12"/>
      <c r="JBM53" s="12"/>
      <c r="JBN53" s="12"/>
      <c r="JBO53" s="12"/>
      <c r="JBP53" s="12"/>
      <c r="JBQ53" s="12"/>
      <c r="JBR53" s="12"/>
      <c r="JBS53" s="12"/>
      <c r="JBT53" s="12"/>
      <c r="JBU53" s="12"/>
      <c r="JBV53" s="12"/>
      <c r="JBW53" s="12"/>
      <c r="JBX53" s="12"/>
      <c r="JBY53" s="12"/>
      <c r="JBZ53" s="12"/>
      <c r="JCA53" s="12"/>
      <c r="JCB53" s="12"/>
      <c r="JCC53" s="12"/>
      <c r="JCD53" s="12"/>
      <c r="JCE53" s="12"/>
      <c r="JCF53" s="12"/>
      <c r="JCG53" s="12"/>
      <c r="JCH53" s="12"/>
      <c r="JCI53" s="12"/>
      <c r="JCJ53" s="12"/>
      <c r="JCK53" s="12"/>
      <c r="JCL53" s="12"/>
      <c r="JCM53" s="12"/>
      <c r="JCN53" s="12"/>
      <c r="JCO53" s="12"/>
      <c r="JCP53" s="12"/>
      <c r="JCQ53" s="12"/>
      <c r="JCR53" s="12"/>
      <c r="JCS53" s="12"/>
      <c r="JCT53" s="12"/>
      <c r="JCU53" s="12"/>
      <c r="JCV53" s="12"/>
      <c r="JCW53" s="12"/>
      <c r="JCX53" s="12"/>
      <c r="JCY53" s="12"/>
      <c r="JCZ53" s="12"/>
      <c r="JDA53" s="12"/>
      <c r="JDB53" s="12"/>
      <c r="JDC53" s="12"/>
      <c r="JDD53" s="12"/>
      <c r="JDE53" s="12"/>
      <c r="JDF53" s="12"/>
      <c r="JDG53" s="12"/>
      <c r="JDH53" s="12"/>
      <c r="JDI53" s="12"/>
      <c r="JDJ53" s="12"/>
      <c r="JDK53" s="12"/>
      <c r="JDL53" s="12"/>
      <c r="JDM53" s="12"/>
      <c r="JDN53" s="12"/>
      <c r="JDO53" s="12"/>
      <c r="JDP53" s="12"/>
      <c r="JDQ53" s="12"/>
      <c r="JDR53" s="12"/>
      <c r="JDS53" s="12"/>
      <c r="JDT53" s="12"/>
      <c r="JDU53" s="12"/>
      <c r="JDV53" s="12"/>
      <c r="JDW53" s="12"/>
      <c r="JDX53" s="12"/>
      <c r="JDY53" s="12"/>
      <c r="JDZ53" s="12"/>
      <c r="JEA53" s="12"/>
      <c r="JEB53" s="12"/>
      <c r="JEC53" s="12"/>
      <c r="JED53" s="12"/>
      <c r="JEE53" s="12"/>
      <c r="JEF53" s="12"/>
      <c r="JEG53" s="12"/>
      <c r="JEH53" s="12"/>
      <c r="JEI53" s="12"/>
      <c r="JEJ53" s="12"/>
      <c r="JEK53" s="12"/>
      <c r="JEL53" s="12"/>
      <c r="JEM53" s="12"/>
      <c r="JEN53" s="12"/>
      <c r="JEO53" s="12"/>
      <c r="JEP53" s="12"/>
      <c r="JEQ53" s="12"/>
      <c r="JER53" s="12"/>
      <c r="JES53" s="12"/>
      <c r="JET53" s="12"/>
      <c r="JEU53" s="12"/>
      <c r="JEV53" s="12"/>
      <c r="JEW53" s="12"/>
      <c r="JEX53" s="12"/>
      <c r="JEY53" s="12"/>
      <c r="JEZ53" s="12"/>
      <c r="JFA53" s="12"/>
      <c r="JFB53" s="12"/>
      <c r="JFC53" s="12"/>
      <c r="JFD53" s="12"/>
      <c r="JFE53" s="12"/>
      <c r="JFF53" s="12"/>
      <c r="JFG53" s="12"/>
      <c r="JFH53" s="12"/>
      <c r="JFI53" s="12"/>
      <c r="JFJ53" s="12"/>
      <c r="JFK53" s="12"/>
      <c r="JFL53" s="12"/>
      <c r="JFM53" s="12"/>
      <c r="JFN53" s="12"/>
      <c r="JFO53" s="12"/>
      <c r="JFP53" s="12"/>
      <c r="JFQ53" s="12"/>
      <c r="JFR53" s="12"/>
      <c r="JFS53" s="12"/>
      <c r="JFT53" s="12"/>
      <c r="JFU53" s="12"/>
      <c r="JFV53" s="12"/>
      <c r="JFW53" s="12"/>
      <c r="JFX53" s="12"/>
      <c r="JFY53" s="12"/>
      <c r="JFZ53" s="12"/>
      <c r="JGA53" s="12"/>
      <c r="JGB53" s="12"/>
      <c r="JGC53" s="12"/>
      <c r="JGD53" s="12"/>
      <c r="JGE53" s="12"/>
      <c r="JGF53" s="12"/>
      <c r="JGG53" s="12"/>
      <c r="JGH53" s="12"/>
      <c r="JGI53" s="12"/>
      <c r="JGJ53" s="12"/>
      <c r="JGK53" s="12"/>
      <c r="JGL53" s="12"/>
      <c r="JGM53" s="12"/>
      <c r="JGN53" s="12"/>
      <c r="JGO53" s="12"/>
      <c r="JGP53" s="12"/>
      <c r="JGQ53" s="12"/>
      <c r="JGR53" s="12"/>
      <c r="JGS53" s="12"/>
      <c r="JGT53" s="12"/>
      <c r="JGU53" s="12"/>
      <c r="JGV53" s="12"/>
      <c r="JGW53" s="12"/>
      <c r="JGX53" s="12"/>
      <c r="JGY53" s="12"/>
      <c r="JGZ53" s="12"/>
      <c r="JHA53" s="12"/>
      <c r="JHB53" s="12"/>
      <c r="JHC53" s="12"/>
      <c r="JHD53" s="12"/>
      <c r="JHE53" s="12"/>
      <c r="JHF53" s="12"/>
      <c r="JHG53" s="12"/>
      <c r="JHH53" s="12"/>
      <c r="JHI53" s="12"/>
      <c r="JHJ53" s="12"/>
      <c r="JHK53" s="12"/>
      <c r="JHL53" s="12"/>
      <c r="JHM53" s="12"/>
      <c r="JHN53" s="12"/>
      <c r="JHO53" s="12"/>
      <c r="JHP53" s="12"/>
      <c r="JHQ53" s="12"/>
      <c r="JHR53" s="12"/>
      <c r="JHS53" s="12"/>
      <c r="JHT53" s="12"/>
      <c r="JHU53" s="12"/>
      <c r="JHV53" s="12"/>
      <c r="JHW53" s="12"/>
      <c r="JHX53" s="12"/>
      <c r="JHY53" s="12"/>
      <c r="JHZ53" s="12"/>
      <c r="JIA53" s="12"/>
      <c r="JIB53" s="12"/>
      <c r="JIC53" s="12"/>
      <c r="JID53" s="12"/>
      <c r="JIE53" s="12"/>
      <c r="JIF53" s="12"/>
      <c r="JIG53" s="12"/>
      <c r="JIH53" s="12"/>
      <c r="JII53" s="12"/>
      <c r="JIJ53" s="12"/>
      <c r="JIK53" s="12"/>
      <c r="JIL53" s="12"/>
      <c r="JIM53" s="12"/>
      <c r="JIN53" s="12"/>
      <c r="JIO53" s="12"/>
      <c r="JIP53" s="12"/>
      <c r="JIQ53" s="12"/>
      <c r="JIR53" s="12"/>
      <c r="JIS53" s="12"/>
      <c r="JIT53" s="12"/>
      <c r="JIU53" s="12"/>
      <c r="JIV53" s="12"/>
      <c r="JIW53" s="12"/>
      <c r="JIX53" s="12"/>
      <c r="JIY53" s="12"/>
      <c r="JIZ53" s="12"/>
      <c r="JJA53" s="12"/>
      <c r="JJB53" s="12"/>
      <c r="JJC53" s="12"/>
      <c r="JJD53" s="12"/>
      <c r="JJE53" s="12"/>
      <c r="JJF53" s="12"/>
      <c r="JJG53" s="12"/>
      <c r="JJH53" s="12"/>
      <c r="JJI53" s="12"/>
      <c r="JJJ53" s="12"/>
      <c r="JJK53" s="12"/>
      <c r="JJL53" s="12"/>
      <c r="JJM53" s="12"/>
      <c r="JJN53" s="12"/>
      <c r="JJO53" s="12"/>
      <c r="JJP53" s="12"/>
      <c r="JJQ53" s="12"/>
      <c r="JJR53" s="12"/>
      <c r="JJS53" s="12"/>
      <c r="JJT53" s="12"/>
      <c r="JJU53" s="12"/>
      <c r="JJV53" s="12"/>
      <c r="JJW53" s="12"/>
      <c r="JJX53" s="12"/>
      <c r="JJY53" s="12"/>
      <c r="JJZ53" s="12"/>
      <c r="JKA53" s="12"/>
      <c r="JKB53" s="12"/>
      <c r="JKC53" s="12"/>
      <c r="JKD53" s="12"/>
      <c r="JKE53" s="12"/>
      <c r="JKF53" s="12"/>
      <c r="JKG53" s="12"/>
      <c r="JKH53" s="12"/>
      <c r="JKI53" s="12"/>
      <c r="JKJ53" s="12"/>
      <c r="JKK53" s="12"/>
      <c r="JKL53" s="12"/>
      <c r="JKM53" s="12"/>
      <c r="JKN53" s="12"/>
      <c r="JKO53" s="12"/>
      <c r="JKP53" s="12"/>
      <c r="JKQ53" s="12"/>
      <c r="JKR53" s="12"/>
      <c r="JKS53" s="12"/>
      <c r="JKT53" s="12"/>
      <c r="JKU53" s="12"/>
      <c r="JKV53" s="12"/>
      <c r="JKW53" s="12"/>
      <c r="JKX53" s="12"/>
      <c r="JKY53" s="12"/>
      <c r="JKZ53" s="12"/>
      <c r="JLA53" s="12"/>
      <c r="JLB53" s="12"/>
      <c r="JLC53" s="12"/>
      <c r="JLD53" s="12"/>
      <c r="JLE53" s="12"/>
      <c r="JLF53" s="12"/>
      <c r="JLG53" s="12"/>
      <c r="JLH53" s="12"/>
      <c r="JLI53" s="12"/>
      <c r="JLJ53" s="12"/>
      <c r="JLK53" s="12"/>
      <c r="JLL53" s="12"/>
      <c r="JLM53" s="12"/>
      <c r="JLN53" s="12"/>
      <c r="JLO53" s="12"/>
      <c r="JLP53" s="12"/>
      <c r="JLQ53" s="12"/>
      <c r="JLR53" s="12"/>
      <c r="JLS53" s="12"/>
      <c r="JLT53" s="12"/>
      <c r="JLU53" s="12"/>
      <c r="JLV53" s="12"/>
      <c r="JLW53" s="12"/>
      <c r="JLX53" s="12"/>
      <c r="JLY53" s="12"/>
      <c r="JLZ53" s="12"/>
      <c r="JMA53" s="12"/>
      <c r="JMB53" s="12"/>
      <c r="JMC53" s="12"/>
      <c r="JMD53" s="12"/>
      <c r="JME53" s="12"/>
      <c r="JMF53" s="12"/>
      <c r="JMG53" s="12"/>
      <c r="JMH53" s="12"/>
      <c r="JMI53" s="12"/>
      <c r="JMJ53" s="12"/>
      <c r="JMK53" s="12"/>
      <c r="JML53" s="12"/>
      <c r="JMM53" s="12"/>
      <c r="JMN53" s="12"/>
      <c r="JMO53" s="12"/>
      <c r="JMP53" s="12"/>
      <c r="JMQ53" s="12"/>
      <c r="JMR53" s="12"/>
      <c r="JMS53" s="12"/>
      <c r="JMT53" s="12"/>
      <c r="JMU53" s="12"/>
      <c r="JMV53" s="12"/>
      <c r="JMW53" s="12"/>
      <c r="JMX53" s="12"/>
      <c r="JMY53" s="12"/>
      <c r="JMZ53" s="12"/>
      <c r="JNA53" s="12"/>
      <c r="JNB53" s="12"/>
      <c r="JNC53" s="12"/>
      <c r="JND53" s="12"/>
      <c r="JNE53" s="12"/>
      <c r="JNF53" s="12"/>
      <c r="JNG53" s="12"/>
      <c r="JNH53" s="12"/>
      <c r="JNI53" s="12"/>
      <c r="JNJ53" s="12"/>
      <c r="JNK53" s="12"/>
      <c r="JNL53" s="12"/>
      <c r="JNM53" s="12"/>
      <c r="JNN53" s="12"/>
      <c r="JNO53" s="12"/>
      <c r="JNP53" s="12"/>
      <c r="JNQ53" s="12"/>
      <c r="JNR53" s="12"/>
      <c r="JNS53" s="12"/>
      <c r="JNT53" s="12"/>
      <c r="JNU53" s="12"/>
      <c r="JNV53" s="12"/>
      <c r="JNW53" s="12"/>
      <c r="JNX53" s="12"/>
      <c r="JNY53" s="12"/>
      <c r="JNZ53" s="12"/>
      <c r="JOA53" s="12"/>
      <c r="JOB53" s="12"/>
      <c r="JOC53" s="12"/>
      <c r="JOD53" s="12"/>
      <c r="JOE53" s="12"/>
      <c r="JOF53" s="12"/>
      <c r="JOG53" s="12"/>
      <c r="JOH53" s="12"/>
      <c r="JOI53" s="12"/>
      <c r="JOJ53" s="12"/>
      <c r="JOK53" s="12"/>
      <c r="JOL53" s="12"/>
      <c r="JOM53" s="12"/>
      <c r="JON53" s="12"/>
      <c r="JOO53" s="12"/>
      <c r="JOP53" s="12"/>
      <c r="JOQ53" s="12"/>
      <c r="JOR53" s="12"/>
      <c r="JOS53" s="12"/>
      <c r="JOT53" s="12"/>
      <c r="JOU53" s="12"/>
      <c r="JOV53" s="12"/>
      <c r="JOW53" s="12"/>
      <c r="JOX53" s="12"/>
      <c r="JOY53" s="12"/>
      <c r="JOZ53" s="12"/>
      <c r="JPA53" s="12"/>
      <c r="JPB53" s="12"/>
      <c r="JPC53" s="12"/>
      <c r="JPD53" s="12"/>
      <c r="JPE53" s="12"/>
      <c r="JPF53" s="12"/>
      <c r="JPG53" s="12"/>
      <c r="JPH53" s="12"/>
      <c r="JPI53" s="12"/>
      <c r="JPJ53" s="12"/>
      <c r="JPK53" s="12"/>
      <c r="JPL53" s="12"/>
      <c r="JPM53" s="12"/>
      <c r="JPN53" s="12"/>
      <c r="JPO53" s="12"/>
      <c r="JPP53" s="12"/>
      <c r="JPQ53" s="12"/>
      <c r="JPR53" s="12"/>
      <c r="JPS53" s="12"/>
      <c r="JPT53" s="12"/>
      <c r="JPU53" s="12"/>
      <c r="JPV53" s="12"/>
      <c r="JPW53" s="12"/>
      <c r="JPX53" s="12"/>
      <c r="JPY53" s="12"/>
      <c r="JPZ53" s="12"/>
      <c r="JQA53" s="12"/>
      <c r="JQB53" s="12"/>
      <c r="JQC53" s="12"/>
      <c r="JQD53" s="12"/>
      <c r="JQE53" s="12"/>
      <c r="JQF53" s="12"/>
      <c r="JQG53" s="12"/>
      <c r="JQH53" s="12"/>
      <c r="JQI53" s="12"/>
      <c r="JQJ53" s="12"/>
      <c r="JQK53" s="12"/>
      <c r="JQL53" s="12"/>
      <c r="JQM53" s="12"/>
      <c r="JQN53" s="12"/>
      <c r="JQO53" s="12"/>
      <c r="JQP53" s="12"/>
      <c r="JQQ53" s="12"/>
      <c r="JQR53" s="12"/>
      <c r="JQS53" s="12"/>
      <c r="JQT53" s="12"/>
      <c r="JQU53" s="12"/>
      <c r="JQV53" s="12"/>
      <c r="JQW53" s="12"/>
      <c r="JQX53" s="12"/>
      <c r="JQY53" s="12"/>
      <c r="JQZ53" s="12"/>
      <c r="JRA53" s="12"/>
      <c r="JRB53" s="12"/>
      <c r="JRC53" s="12"/>
      <c r="JRD53" s="12"/>
      <c r="JRE53" s="12"/>
      <c r="JRF53" s="12"/>
      <c r="JRG53" s="12"/>
      <c r="JRH53" s="12"/>
      <c r="JRI53" s="12"/>
      <c r="JRJ53" s="12"/>
      <c r="JRK53" s="12"/>
      <c r="JRL53" s="12"/>
      <c r="JRM53" s="12"/>
      <c r="JRN53" s="12"/>
      <c r="JRO53" s="12"/>
      <c r="JRP53" s="12"/>
      <c r="JRQ53" s="12"/>
      <c r="JRR53" s="12"/>
      <c r="JRS53" s="12"/>
      <c r="JRT53" s="12"/>
      <c r="JRU53" s="12"/>
      <c r="JRV53" s="12"/>
      <c r="JRW53" s="12"/>
      <c r="JRX53" s="12"/>
      <c r="JRY53" s="12"/>
      <c r="JRZ53" s="12"/>
      <c r="JSA53" s="12"/>
      <c r="JSB53" s="12"/>
      <c r="JSC53" s="12"/>
      <c r="JSD53" s="12"/>
      <c r="JSE53" s="12"/>
      <c r="JSF53" s="12"/>
      <c r="JSG53" s="12"/>
      <c r="JSH53" s="12"/>
      <c r="JSI53" s="12"/>
      <c r="JSJ53" s="12"/>
      <c r="JSK53" s="12"/>
      <c r="JSL53" s="12"/>
      <c r="JSM53" s="12"/>
      <c r="JSN53" s="12"/>
      <c r="JSO53" s="12"/>
      <c r="JSP53" s="12"/>
      <c r="JSQ53" s="12"/>
      <c r="JSR53" s="12"/>
      <c r="JSS53" s="12"/>
      <c r="JST53" s="12"/>
      <c r="JSU53" s="12"/>
      <c r="JSV53" s="12"/>
      <c r="JSW53" s="12"/>
      <c r="JSX53" s="12"/>
      <c r="JSY53" s="12"/>
      <c r="JSZ53" s="12"/>
      <c r="JTA53" s="12"/>
      <c r="JTB53" s="12"/>
      <c r="JTC53" s="12"/>
      <c r="JTD53" s="12"/>
      <c r="JTE53" s="12"/>
      <c r="JTF53" s="12"/>
      <c r="JTG53" s="12"/>
      <c r="JTH53" s="12"/>
      <c r="JTI53" s="12"/>
      <c r="JTJ53" s="12"/>
      <c r="JTK53" s="12"/>
      <c r="JTL53" s="12"/>
      <c r="JTM53" s="12"/>
      <c r="JTN53" s="12"/>
      <c r="JTO53" s="12"/>
      <c r="JTP53" s="12"/>
      <c r="JTQ53" s="12"/>
      <c r="JTR53" s="12"/>
      <c r="JTS53" s="12"/>
      <c r="JTT53" s="12"/>
      <c r="JTU53" s="12"/>
      <c r="JTV53" s="12"/>
      <c r="JTW53" s="12"/>
      <c r="JTX53" s="12"/>
      <c r="JTY53" s="12"/>
      <c r="JTZ53" s="12"/>
      <c r="JUA53" s="12"/>
      <c r="JUB53" s="12"/>
      <c r="JUC53" s="12"/>
      <c r="JUD53" s="12"/>
      <c r="JUE53" s="12"/>
      <c r="JUF53" s="12"/>
      <c r="JUG53" s="12"/>
      <c r="JUH53" s="12"/>
      <c r="JUI53" s="12"/>
      <c r="JUJ53" s="12"/>
      <c r="JUK53" s="12"/>
      <c r="JUL53" s="12"/>
      <c r="JUM53" s="12"/>
      <c r="JUN53" s="12"/>
      <c r="JUO53" s="12"/>
      <c r="JUP53" s="12"/>
      <c r="JUQ53" s="12"/>
      <c r="JUR53" s="12"/>
      <c r="JUS53" s="12"/>
      <c r="JUT53" s="12"/>
      <c r="JUU53" s="12"/>
      <c r="JUV53" s="12"/>
      <c r="JUW53" s="12"/>
      <c r="JUX53" s="12"/>
      <c r="JUY53" s="12"/>
      <c r="JUZ53" s="12"/>
      <c r="JVA53" s="12"/>
      <c r="JVB53" s="12"/>
      <c r="JVC53" s="12"/>
      <c r="JVD53" s="12"/>
      <c r="JVE53" s="12"/>
      <c r="JVF53" s="12"/>
      <c r="JVG53" s="12"/>
      <c r="JVH53" s="12"/>
      <c r="JVI53" s="12"/>
      <c r="JVJ53" s="12"/>
      <c r="JVK53" s="12"/>
      <c r="JVL53" s="12"/>
      <c r="JVM53" s="12"/>
      <c r="JVN53" s="12"/>
      <c r="JVO53" s="12"/>
      <c r="JVP53" s="12"/>
      <c r="JVQ53" s="12"/>
      <c r="JVR53" s="12"/>
      <c r="JVS53" s="12"/>
      <c r="JVT53" s="12"/>
      <c r="JVU53" s="12"/>
      <c r="JVV53" s="12"/>
      <c r="JVW53" s="12"/>
      <c r="JVX53" s="12"/>
      <c r="JVY53" s="12"/>
      <c r="JVZ53" s="12"/>
      <c r="JWA53" s="12"/>
      <c r="JWB53" s="12"/>
      <c r="JWC53" s="12"/>
      <c r="JWD53" s="12"/>
      <c r="JWE53" s="12"/>
      <c r="JWF53" s="12"/>
      <c r="JWG53" s="12"/>
      <c r="JWH53" s="12"/>
      <c r="JWI53" s="12"/>
      <c r="JWJ53" s="12"/>
      <c r="JWK53" s="12"/>
      <c r="JWL53" s="12"/>
      <c r="JWM53" s="12"/>
      <c r="JWN53" s="12"/>
      <c r="JWO53" s="12"/>
      <c r="JWP53" s="12"/>
      <c r="JWQ53" s="12"/>
      <c r="JWR53" s="12"/>
      <c r="JWS53" s="12"/>
      <c r="JWT53" s="12"/>
      <c r="JWU53" s="12"/>
      <c r="JWV53" s="12"/>
      <c r="JWW53" s="12"/>
      <c r="JWX53" s="12"/>
      <c r="JWY53" s="12"/>
      <c r="JWZ53" s="12"/>
      <c r="JXA53" s="12"/>
      <c r="JXB53" s="12"/>
      <c r="JXC53" s="12"/>
      <c r="JXD53" s="12"/>
      <c r="JXE53" s="12"/>
      <c r="JXF53" s="12"/>
      <c r="JXG53" s="12"/>
      <c r="JXH53" s="12"/>
      <c r="JXI53" s="12"/>
      <c r="JXJ53" s="12"/>
      <c r="JXK53" s="12"/>
      <c r="JXL53" s="12"/>
      <c r="JXM53" s="12"/>
      <c r="JXN53" s="12"/>
      <c r="JXO53" s="12"/>
      <c r="JXP53" s="12"/>
      <c r="JXQ53" s="12"/>
      <c r="JXR53" s="12"/>
      <c r="JXS53" s="12"/>
      <c r="JXT53" s="12"/>
      <c r="JXU53" s="12"/>
      <c r="JXV53" s="12"/>
      <c r="JXW53" s="12"/>
      <c r="JXX53" s="12"/>
      <c r="JXY53" s="12"/>
      <c r="JXZ53" s="12"/>
      <c r="JYA53" s="12"/>
      <c r="JYB53" s="12"/>
      <c r="JYC53" s="12"/>
      <c r="JYD53" s="12"/>
      <c r="JYE53" s="12"/>
      <c r="JYF53" s="12"/>
      <c r="JYG53" s="12"/>
      <c r="JYH53" s="12"/>
      <c r="JYI53" s="12"/>
      <c r="JYJ53" s="12"/>
      <c r="JYK53" s="12"/>
      <c r="JYL53" s="12"/>
      <c r="JYM53" s="12"/>
      <c r="JYN53" s="12"/>
      <c r="JYO53" s="12"/>
      <c r="JYP53" s="12"/>
      <c r="JYQ53" s="12"/>
      <c r="JYR53" s="12"/>
      <c r="JYS53" s="12"/>
      <c r="JYT53" s="12"/>
      <c r="JYU53" s="12"/>
      <c r="JYV53" s="12"/>
      <c r="JYW53" s="12"/>
      <c r="JYX53" s="12"/>
      <c r="JYY53" s="12"/>
      <c r="JYZ53" s="12"/>
      <c r="JZA53" s="12"/>
      <c r="JZB53" s="12"/>
      <c r="JZC53" s="12"/>
      <c r="JZD53" s="12"/>
      <c r="JZE53" s="12"/>
      <c r="JZF53" s="12"/>
      <c r="JZG53" s="12"/>
      <c r="JZH53" s="12"/>
      <c r="JZI53" s="12"/>
      <c r="JZJ53" s="12"/>
      <c r="JZK53" s="12"/>
      <c r="JZL53" s="12"/>
      <c r="JZM53" s="12"/>
      <c r="JZN53" s="12"/>
      <c r="JZO53" s="12"/>
      <c r="JZP53" s="12"/>
      <c r="JZQ53" s="12"/>
      <c r="JZR53" s="12"/>
      <c r="JZS53" s="12"/>
      <c r="JZT53" s="12"/>
      <c r="JZU53" s="12"/>
      <c r="JZV53" s="12"/>
      <c r="JZW53" s="12"/>
      <c r="JZX53" s="12"/>
      <c r="JZY53" s="12"/>
      <c r="JZZ53" s="12"/>
      <c r="KAA53" s="12"/>
      <c r="KAB53" s="12"/>
      <c r="KAC53" s="12"/>
      <c r="KAD53" s="12"/>
      <c r="KAE53" s="12"/>
      <c r="KAF53" s="12"/>
      <c r="KAG53" s="12"/>
      <c r="KAH53" s="12"/>
      <c r="KAI53" s="12"/>
      <c r="KAJ53" s="12"/>
      <c r="KAK53" s="12"/>
      <c r="KAL53" s="12"/>
      <c r="KAM53" s="12"/>
      <c r="KAN53" s="12"/>
      <c r="KAO53" s="12"/>
      <c r="KAP53" s="12"/>
      <c r="KAQ53" s="12"/>
      <c r="KAR53" s="12"/>
      <c r="KAS53" s="12"/>
      <c r="KAT53" s="12"/>
      <c r="KAU53" s="12"/>
      <c r="KAV53" s="12"/>
      <c r="KAW53" s="12"/>
      <c r="KAX53" s="12"/>
      <c r="KAY53" s="12"/>
      <c r="KAZ53" s="12"/>
      <c r="KBA53" s="12"/>
      <c r="KBB53" s="12"/>
      <c r="KBC53" s="12"/>
      <c r="KBD53" s="12"/>
      <c r="KBE53" s="12"/>
      <c r="KBF53" s="12"/>
      <c r="KBG53" s="12"/>
      <c r="KBH53" s="12"/>
      <c r="KBI53" s="12"/>
      <c r="KBJ53" s="12"/>
      <c r="KBK53" s="12"/>
      <c r="KBL53" s="12"/>
      <c r="KBM53" s="12"/>
      <c r="KBN53" s="12"/>
      <c r="KBO53" s="12"/>
      <c r="KBP53" s="12"/>
      <c r="KBQ53" s="12"/>
      <c r="KBR53" s="12"/>
      <c r="KBS53" s="12"/>
      <c r="KBT53" s="12"/>
      <c r="KBU53" s="12"/>
      <c r="KBV53" s="12"/>
      <c r="KBW53" s="12"/>
      <c r="KBX53" s="12"/>
      <c r="KBY53" s="12"/>
      <c r="KBZ53" s="12"/>
      <c r="KCA53" s="12"/>
      <c r="KCB53" s="12"/>
      <c r="KCC53" s="12"/>
      <c r="KCD53" s="12"/>
      <c r="KCE53" s="12"/>
      <c r="KCF53" s="12"/>
      <c r="KCG53" s="12"/>
      <c r="KCH53" s="12"/>
      <c r="KCI53" s="12"/>
      <c r="KCJ53" s="12"/>
      <c r="KCK53" s="12"/>
      <c r="KCL53" s="12"/>
      <c r="KCM53" s="12"/>
      <c r="KCN53" s="12"/>
      <c r="KCO53" s="12"/>
      <c r="KCP53" s="12"/>
      <c r="KCQ53" s="12"/>
      <c r="KCR53" s="12"/>
      <c r="KCS53" s="12"/>
      <c r="KCT53" s="12"/>
      <c r="KCU53" s="12"/>
      <c r="KCV53" s="12"/>
      <c r="KCW53" s="12"/>
      <c r="KCX53" s="12"/>
      <c r="KCY53" s="12"/>
      <c r="KCZ53" s="12"/>
      <c r="KDA53" s="12"/>
      <c r="KDB53" s="12"/>
      <c r="KDC53" s="12"/>
      <c r="KDD53" s="12"/>
      <c r="KDE53" s="12"/>
      <c r="KDF53" s="12"/>
      <c r="KDG53" s="12"/>
      <c r="KDH53" s="12"/>
      <c r="KDI53" s="12"/>
      <c r="KDJ53" s="12"/>
      <c r="KDK53" s="12"/>
      <c r="KDL53" s="12"/>
      <c r="KDM53" s="12"/>
      <c r="KDN53" s="12"/>
      <c r="KDO53" s="12"/>
      <c r="KDP53" s="12"/>
      <c r="KDQ53" s="12"/>
      <c r="KDR53" s="12"/>
      <c r="KDS53" s="12"/>
      <c r="KDT53" s="12"/>
      <c r="KDU53" s="12"/>
      <c r="KDV53" s="12"/>
      <c r="KDW53" s="12"/>
      <c r="KDX53" s="12"/>
      <c r="KDY53" s="12"/>
      <c r="KDZ53" s="12"/>
      <c r="KEA53" s="12"/>
      <c r="KEB53" s="12"/>
      <c r="KEC53" s="12"/>
      <c r="KED53" s="12"/>
      <c r="KEE53" s="12"/>
      <c r="KEF53" s="12"/>
      <c r="KEG53" s="12"/>
      <c r="KEH53" s="12"/>
      <c r="KEI53" s="12"/>
      <c r="KEJ53" s="12"/>
      <c r="KEK53" s="12"/>
      <c r="KEL53" s="12"/>
      <c r="KEM53" s="12"/>
      <c r="KEN53" s="12"/>
      <c r="KEO53" s="12"/>
      <c r="KEP53" s="12"/>
      <c r="KEQ53" s="12"/>
      <c r="KER53" s="12"/>
      <c r="KES53" s="12"/>
      <c r="KET53" s="12"/>
      <c r="KEU53" s="12"/>
      <c r="KEV53" s="12"/>
      <c r="KEW53" s="12"/>
      <c r="KEX53" s="12"/>
      <c r="KEY53" s="12"/>
      <c r="KEZ53" s="12"/>
      <c r="KFA53" s="12"/>
      <c r="KFB53" s="12"/>
      <c r="KFC53" s="12"/>
      <c r="KFD53" s="12"/>
      <c r="KFE53" s="12"/>
      <c r="KFF53" s="12"/>
      <c r="KFG53" s="12"/>
      <c r="KFH53" s="12"/>
      <c r="KFI53" s="12"/>
      <c r="KFJ53" s="12"/>
      <c r="KFK53" s="12"/>
      <c r="KFL53" s="12"/>
      <c r="KFM53" s="12"/>
      <c r="KFN53" s="12"/>
      <c r="KFO53" s="12"/>
      <c r="KFP53" s="12"/>
      <c r="KFQ53" s="12"/>
      <c r="KFR53" s="12"/>
      <c r="KFS53" s="12"/>
      <c r="KFT53" s="12"/>
      <c r="KFU53" s="12"/>
      <c r="KFV53" s="12"/>
      <c r="KFW53" s="12"/>
      <c r="KFX53" s="12"/>
      <c r="KFY53" s="12"/>
      <c r="KFZ53" s="12"/>
      <c r="KGA53" s="12"/>
      <c r="KGB53" s="12"/>
      <c r="KGC53" s="12"/>
      <c r="KGD53" s="12"/>
      <c r="KGE53" s="12"/>
      <c r="KGF53" s="12"/>
      <c r="KGG53" s="12"/>
      <c r="KGH53" s="12"/>
      <c r="KGI53" s="12"/>
      <c r="KGJ53" s="12"/>
      <c r="KGK53" s="12"/>
      <c r="KGL53" s="12"/>
      <c r="KGM53" s="12"/>
      <c r="KGN53" s="12"/>
      <c r="KGO53" s="12"/>
      <c r="KGP53" s="12"/>
      <c r="KGQ53" s="12"/>
      <c r="KGR53" s="12"/>
      <c r="KGS53" s="12"/>
      <c r="KGT53" s="12"/>
      <c r="KGU53" s="12"/>
      <c r="KGV53" s="12"/>
      <c r="KGW53" s="12"/>
      <c r="KGX53" s="12"/>
      <c r="KGY53" s="12"/>
      <c r="KGZ53" s="12"/>
      <c r="KHA53" s="12"/>
      <c r="KHB53" s="12"/>
      <c r="KHC53" s="12"/>
      <c r="KHD53" s="12"/>
      <c r="KHE53" s="12"/>
      <c r="KHF53" s="12"/>
      <c r="KHG53" s="12"/>
      <c r="KHH53" s="12"/>
      <c r="KHI53" s="12"/>
      <c r="KHJ53" s="12"/>
      <c r="KHK53" s="12"/>
      <c r="KHL53" s="12"/>
      <c r="KHM53" s="12"/>
      <c r="KHN53" s="12"/>
      <c r="KHO53" s="12"/>
      <c r="KHP53" s="12"/>
      <c r="KHQ53" s="12"/>
      <c r="KHR53" s="12"/>
      <c r="KHS53" s="12"/>
      <c r="KHT53" s="12"/>
      <c r="KHU53" s="12"/>
      <c r="KHV53" s="12"/>
      <c r="KHW53" s="12"/>
      <c r="KHX53" s="12"/>
      <c r="KHY53" s="12"/>
      <c r="KHZ53" s="12"/>
      <c r="KIA53" s="12"/>
      <c r="KIB53" s="12"/>
      <c r="KIC53" s="12"/>
      <c r="KID53" s="12"/>
      <c r="KIE53" s="12"/>
      <c r="KIF53" s="12"/>
      <c r="KIG53" s="12"/>
      <c r="KIH53" s="12"/>
      <c r="KII53" s="12"/>
      <c r="KIJ53" s="12"/>
      <c r="KIK53" s="12"/>
      <c r="KIL53" s="12"/>
      <c r="KIM53" s="12"/>
      <c r="KIN53" s="12"/>
      <c r="KIO53" s="12"/>
      <c r="KIP53" s="12"/>
      <c r="KIQ53" s="12"/>
      <c r="KIR53" s="12"/>
      <c r="KIS53" s="12"/>
      <c r="KIT53" s="12"/>
      <c r="KIU53" s="12"/>
      <c r="KIV53" s="12"/>
      <c r="KIW53" s="12"/>
      <c r="KIX53" s="12"/>
      <c r="KIY53" s="12"/>
      <c r="KIZ53" s="12"/>
      <c r="KJA53" s="12"/>
      <c r="KJB53" s="12"/>
      <c r="KJC53" s="12"/>
      <c r="KJD53" s="12"/>
      <c r="KJE53" s="12"/>
      <c r="KJF53" s="12"/>
      <c r="KJG53" s="12"/>
      <c r="KJH53" s="12"/>
      <c r="KJI53" s="12"/>
      <c r="KJJ53" s="12"/>
      <c r="KJK53" s="12"/>
      <c r="KJL53" s="12"/>
      <c r="KJM53" s="12"/>
      <c r="KJN53" s="12"/>
      <c r="KJO53" s="12"/>
      <c r="KJP53" s="12"/>
      <c r="KJQ53" s="12"/>
      <c r="KJR53" s="12"/>
      <c r="KJS53" s="12"/>
      <c r="KJT53" s="12"/>
      <c r="KJU53" s="12"/>
      <c r="KJV53" s="12"/>
      <c r="KJW53" s="12"/>
      <c r="KJX53" s="12"/>
      <c r="KJY53" s="12"/>
      <c r="KJZ53" s="12"/>
      <c r="KKA53" s="12"/>
      <c r="KKB53" s="12"/>
      <c r="KKC53" s="12"/>
      <c r="KKD53" s="12"/>
      <c r="KKE53" s="12"/>
      <c r="KKF53" s="12"/>
      <c r="KKG53" s="12"/>
      <c r="KKH53" s="12"/>
      <c r="KKI53" s="12"/>
      <c r="KKJ53" s="12"/>
      <c r="KKK53" s="12"/>
      <c r="KKL53" s="12"/>
      <c r="KKM53" s="12"/>
      <c r="KKN53" s="12"/>
      <c r="KKO53" s="12"/>
      <c r="KKP53" s="12"/>
      <c r="KKQ53" s="12"/>
      <c r="KKR53" s="12"/>
      <c r="KKS53" s="12"/>
      <c r="KKT53" s="12"/>
      <c r="KKU53" s="12"/>
      <c r="KKV53" s="12"/>
      <c r="KKW53" s="12"/>
      <c r="KKX53" s="12"/>
      <c r="KKY53" s="12"/>
      <c r="KKZ53" s="12"/>
      <c r="KLA53" s="12"/>
      <c r="KLB53" s="12"/>
      <c r="KLC53" s="12"/>
      <c r="KLD53" s="12"/>
      <c r="KLE53" s="12"/>
      <c r="KLF53" s="12"/>
      <c r="KLG53" s="12"/>
      <c r="KLH53" s="12"/>
      <c r="KLI53" s="12"/>
      <c r="KLJ53" s="12"/>
      <c r="KLK53" s="12"/>
      <c r="KLL53" s="12"/>
      <c r="KLM53" s="12"/>
      <c r="KLN53" s="12"/>
      <c r="KLO53" s="12"/>
      <c r="KLP53" s="12"/>
      <c r="KLQ53" s="12"/>
      <c r="KLR53" s="12"/>
      <c r="KLS53" s="12"/>
      <c r="KLT53" s="12"/>
      <c r="KLU53" s="12"/>
      <c r="KLV53" s="12"/>
      <c r="KLW53" s="12"/>
      <c r="KLX53" s="12"/>
      <c r="KLY53" s="12"/>
      <c r="KLZ53" s="12"/>
      <c r="KMA53" s="12"/>
      <c r="KMB53" s="12"/>
      <c r="KMC53" s="12"/>
      <c r="KMD53" s="12"/>
      <c r="KME53" s="12"/>
      <c r="KMF53" s="12"/>
      <c r="KMG53" s="12"/>
      <c r="KMH53" s="12"/>
      <c r="KMI53" s="12"/>
      <c r="KMJ53" s="12"/>
      <c r="KMK53" s="12"/>
      <c r="KML53" s="12"/>
      <c r="KMM53" s="12"/>
      <c r="KMN53" s="12"/>
      <c r="KMO53" s="12"/>
      <c r="KMP53" s="12"/>
      <c r="KMQ53" s="12"/>
      <c r="KMR53" s="12"/>
      <c r="KMS53" s="12"/>
      <c r="KMT53" s="12"/>
      <c r="KMU53" s="12"/>
      <c r="KMV53" s="12"/>
      <c r="KMW53" s="12"/>
      <c r="KMX53" s="12"/>
      <c r="KMY53" s="12"/>
      <c r="KMZ53" s="12"/>
      <c r="KNA53" s="12"/>
      <c r="KNB53" s="12"/>
      <c r="KNC53" s="12"/>
      <c r="KND53" s="12"/>
      <c r="KNE53" s="12"/>
      <c r="KNF53" s="12"/>
      <c r="KNG53" s="12"/>
      <c r="KNH53" s="12"/>
      <c r="KNI53" s="12"/>
      <c r="KNJ53" s="12"/>
      <c r="KNK53" s="12"/>
      <c r="KNL53" s="12"/>
      <c r="KNM53" s="12"/>
      <c r="KNN53" s="12"/>
      <c r="KNO53" s="12"/>
      <c r="KNP53" s="12"/>
      <c r="KNQ53" s="12"/>
      <c r="KNR53" s="12"/>
      <c r="KNS53" s="12"/>
      <c r="KNT53" s="12"/>
      <c r="KNU53" s="12"/>
      <c r="KNV53" s="12"/>
      <c r="KNW53" s="12"/>
      <c r="KNX53" s="12"/>
      <c r="KNY53" s="12"/>
      <c r="KNZ53" s="12"/>
      <c r="KOA53" s="12"/>
      <c r="KOB53" s="12"/>
      <c r="KOC53" s="12"/>
      <c r="KOD53" s="12"/>
      <c r="KOE53" s="12"/>
      <c r="KOF53" s="12"/>
      <c r="KOG53" s="12"/>
      <c r="KOH53" s="12"/>
      <c r="KOI53" s="12"/>
      <c r="KOJ53" s="12"/>
      <c r="KOK53" s="12"/>
      <c r="KOL53" s="12"/>
      <c r="KOM53" s="12"/>
      <c r="KON53" s="12"/>
      <c r="KOO53" s="12"/>
      <c r="KOP53" s="12"/>
      <c r="KOQ53" s="12"/>
      <c r="KOR53" s="12"/>
      <c r="KOS53" s="12"/>
      <c r="KOT53" s="12"/>
      <c r="KOU53" s="12"/>
      <c r="KOV53" s="12"/>
      <c r="KOW53" s="12"/>
      <c r="KOX53" s="12"/>
      <c r="KOY53" s="12"/>
      <c r="KOZ53" s="12"/>
      <c r="KPA53" s="12"/>
      <c r="KPB53" s="12"/>
      <c r="KPC53" s="12"/>
      <c r="KPD53" s="12"/>
      <c r="KPE53" s="12"/>
      <c r="KPF53" s="12"/>
      <c r="KPG53" s="12"/>
      <c r="KPH53" s="12"/>
      <c r="KPI53" s="12"/>
      <c r="KPJ53" s="12"/>
      <c r="KPK53" s="12"/>
      <c r="KPL53" s="12"/>
      <c r="KPM53" s="12"/>
      <c r="KPN53" s="12"/>
      <c r="KPO53" s="12"/>
      <c r="KPP53" s="12"/>
      <c r="KPQ53" s="12"/>
      <c r="KPR53" s="12"/>
      <c r="KPS53" s="12"/>
      <c r="KPT53" s="12"/>
      <c r="KPU53" s="12"/>
      <c r="KPV53" s="12"/>
      <c r="KPW53" s="12"/>
      <c r="KPX53" s="12"/>
      <c r="KPY53" s="12"/>
      <c r="KPZ53" s="12"/>
      <c r="KQA53" s="12"/>
      <c r="KQB53" s="12"/>
      <c r="KQC53" s="12"/>
      <c r="KQD53" s="12"/>
      <c r="KQE53" s="12"/>
      <c r="KQF53" s="12"/>
      <c r="KQG53" s="12"/>
      <c r="KQH53" s="12"/>
      <c r="KQI53" s="12"/>
      <c r="KQJ53" s="12"/>
      <c r="KQK53" s="12"/>
      <c r="KQL53" s="12"/>
      <c r="KQM53" s="12"/>
      <c r="KQN53" s="12"/>
      <c r="KQO53" s="12"/>
      <c r="KQP53" s="12"/>
      <c r="KQQ53" s="12"/>
      <c r="KQR53" s="12"/>
      <c r="KQS53" s="12"/>
      <c r="KQT53" s="12"/>
      <c r="KQU53" s="12"/>
      <c r="KQV53" s="12"/>
      <c r="KQW53" s="12"/>
      <c r="KQX53" s="12"/>
      <c r="KQY53" s="12"/>
      <c r="KQZ53" s="12"/>
      <c r="KRA53" s="12"/>
      <c r="KRB53" s="12"/>
      <c r="KRC53" s="12"/>
      <c r="KRD53" s="12"/>
      <c r="KRE53" s="12"/>
      <c r="KRF53" s="12"/>
      <c r="KRG53" s="12"/>
      <c r="KRH53" s="12"/>
      <c r="KRI53" s="12"/>
      <c r="KRJ53" s="12"/>
      <c r="KRK53" s="12"/>
      <c r="KRL53" s="12"/>
      <c r="KRM53" s="12"/>
      <c r="KRN53" s="12"/>
      <c r="KRO53" s="12"/>
      <c r="KRP53" s="12"/>
      <c r="KRQ53" s="12"/>
      <c r="KRR53" s="12"/>
      <c r="KRS53" s="12"/>
      <c r="KRT53" s="12"/>
      <c r="KRU53" s="12"/>
      <c r="KRV53" s="12"/>
      <c r="KRW53" s="12"/>
      <c r="KRX53" s="12"/>
      <c r="KRY53" s="12"/>
      <c r="KRZ53" s="12"/>
      <c r="KSA53" s="12"/>
      <c r="KSB53" s="12"/>
      <c r="KSC53" s="12"/>
      <c r="KSD53" s="12"/>
      <c r="KSE53" s="12"/>
      <c r="KSF53" s="12"/>
      <c r="KSG53" s="12"/>
      <c r="KSH53" s="12"/>
      <c r="KSI53" s="12"/>
      <c r="KSJ53" s="12"/>
      <c r="KSK53" s="12"/>
      <c r="KSL53" s="12"/>
      <c r="KSM53" s="12"/>
      <c r="KSN53" s="12"/>
      <c r="KSO53" s="12"/>
      <c r="KSP53" s="12"/>
      <c r="KSQ53" s="12"/>
      <c r="KSR53" s="12"/>
      <c r="KSS53" s="12"/>
      <c r="KST53" s="12"/>
      <c r="KSU53" s="12"/>
      <c r="KSV53" s="12"/>
      <c r="KSW53" s="12"/>
      <c r="KSX53" s="12"/>
      <c r="KSY53" s="12"/>
      <c r="KSZ53" s="12"/>
      <c r="KTA53" s="12"/>
      <c r="KTB53" s="12"/>
      <c r="KTC53" s="12"/>
      <c r="KTD53" s="12"/>
      <c r="KTE53" s="12"/>
      <c r="KTF53" s="12"/>
      <c r="KTG53" s="12"/>
      <c r="KTH53" s="12"/>
      <c r="KTI53" s="12"/>
      <c r="KTJ53" s="12"/>
      <c r="KTK53" s="12"/>
      <c r="KTL53" s="12"/>
      <c r="KTM53" s="12"/>
      <c r="KTN53" s="12"/>
      <c r="KTO53" s="12"/>
      <c r="KTP53" s="12"/>
      <c r="KTQ53" s="12"/>
      <c r="KTR53" s="12"/>
      <c r="KTS53" s="12"/>
      <c r="KTT53" s="12"/>
      <c r="KTU53" s="12"/>
      <c r="KTV53" s="12"/>
      <c r="KTW53" s="12"/>
      <c r="KTX53" s="12"/>
      <c r="KTY53" s="12"/>
      <c r="KTZ53" s="12"/>
      <c r="KUA53" s="12"/>
      <c r="KUB53" s="12"/>
      <c r="KUC53" s="12"/>
      <c r="KUD53" s="12"/>
      <c r="KUE53" s="12"/>
      <c r="KUF53" s="12"/>
      <c r="KUG53" s="12"/>
      <c r="KUH53" s="12"/>
      <c r="KUI53" s="12"/>
      <c r="KUJ53" s="12"/>
      <c r="KUK53" s="12"/>
      <c r="KUL53" s="12"/>
      <c r="KUM53" s="12"/>
      <c r="KUN53" s="12"/>
      <c r="KUO53" s="12"/>
      <c r="KUP53" s="12"/>
      <c r="KUQ53" s="12"/>
      <c r="KUR53" s="12"/>
      <c r="KUS53" s="12"/>
      <c r="KUT53" s="12"/>
      <c r="KUU53" s="12"/>
      <c r="KUV53" s="12"/>
      <c r="KUW53" s="12"/>
      <c r="KUX53" s="12"/>
      <c r="KUY53" s="12"/>
      <c r="KUZ53" s="12"/>
      <c r="KVA53" s="12"/>
      <c r="KVB53" s="12"/>
      <c r="KVC53" s="12"/>
      <c r="KVD53" s="12"/>
      <c r="KVE53" s="12"/>
      <c r="KVF53" s="12"/>
      <c r="KVG53" s="12"/>
      <c r="KVH53" s="12"/>
      <c r="KVI53" s="12"/>
      <c r="KVJ53" s="12"/>
      <c r="KVK53" s="12"/>
      <c r="KVL53" s="12"/>
      <c r="KVM53" s="12"/>
      <c r="KVN53" s="12"/>
      <c r="KVO53" s="12"/>
      <c r="KVP53" s="12"/>
      <c r="KVQ53" s="12"/>
      <c r="KVR53" s="12"/>
      <c r="KVS53" s="12"/>
      <c r="KVT53" s="12"/>
      <c r="KVU53" s="12"/>
      <c r="KVV53" s="12"/>
      <c r="KVW53" s="12"/>
      <c r="KVX53" s="12"/>
      <c r="KVY53" s="12"/>
      <c r="KVZ53" s="12"/>
      <c r="KWA53" s="12"/>
      <c r="KWB53" s="12"/>
      <c r="KWC53" s="12"/>
      <c r="KWD53" s="12"/>
      <c r="KWE53" s="12"/>
      <c r="KWF53" s="12"/>
      <c r="KWG53" s="12"/>
      <c r="KWH53" s="12"/>
      <c r="KWI53" s="12"/>
      <c r="KWJ53" s="12"/>
      <c r="KWK53" s="12"/>
      <c r="KWL53" s="12"/>
      <c r="KWM53" s="12"/>
      <c r="KWN53" s="12"/>
      <c r="KWO53" s="12"/>
      <c r="KWP53" s="12"/>
      <c r="KWQ53" s="12"/>
      <c r="KWR53" s="12"/>
      <c r="KWS53" s="12"/>
      <c r="KWT53" s="12"/>
      <c r="KWU53" s="12"/>
      <c r="KWV53" s="12"/>
      <c r="KWW53" s="12"/>
      <c r="KWX53" s="12"/>
      <c r="KWY53" s="12"/>
      <c r="KWZ53" s="12"/>
      <c r="KXA53" s="12"/>
      <c r="KXB53" s="12"/>
      <c r="KXC53" s="12"/>
      <c r="KXD53" s="12"/>
      <c r="KXE53" s="12"/>
      <c r="KXF53" s="12"/>
      <c r="KXG53" s="12"/>
      <c r="KXH53" s="12"/>
      <c r="KXI53" s="12"/>
      <c r="KXJ53" s="12"/>
      <c r="KXK53" s="12"/>
      <c r="KXL53" s="12"/>
      <c r="KXM53" s="12"/>
      <c r="KXN53" s="12"/>
      <c r="KXO53" s="12"/>
      <c r="KXP53" s="12"/>
      <c r="KXQ53" s="12"/>
      <c r="KXR53" s="12"/>
      <c r="KXS53" s="12"/>
      <c r="KXT53" s="12"/>
      <c r="KXU53" s="12"/>
      <c r="KXV53" s="12"/>
      <c r="KXW53" s="12"/>
      <c r="KXX53" s="12"/>
      <c r="KXY53" s="12"/>
      <c r="KXZ53" s="12"/>
      <c r="KYA53" s="12"/>
      <c r="KYB53" s="12"/>
      <c r="KYC53" s="12"/>
      <c r="KYD53" s="12"/>
      <c r="KYE53" s="12"/>
      <c r="KYF53" s="12"/>
      <c r="KYG53" s="12"/>
      <c r="KYH53" s="12"/>
      <c r="KYI53" s="12"/>
      <c r="KYJ53" s="12"/>
      <c r="KYK53" s="12"/>
      <c r="KYL53" s="12"/>
      <c r="KYM53" s="12"/>
      <c r="KYN53" s="12"/>
      <c r="KYO53" s="12"/>
      <c r="KYP53" s="12"/>
      <c r="KYQ53" s="12"/>
      <c r="KYR53" s="12"/>
      <c r="KYS53" s="12"/>
      <c r="KYT53" s="12"/>
      <c r="KYU53" s="12"/>
      <c r="KYV53" s="12"/>
      <c r="KYW53" s="12"/>
      <c r="KYX53" s="12"/>
      <c r="KYY53" s="12"/>
      <c r="KYZ53" s="12"/>
      <c r="KZA53" s="12"/>
      <c r="KZB53" s="12"/>
      <c r="KZC53" s="12"/>
      <c r="KZD53" s="12"/>
      <c r="KZE53" s="12"/>
      <c r="KZF53" s="12"/>
      <c r="KZG53" s="12"/>
      <c r="KZH53" s="12"/>
      <c r="KZI53" s="12"/>
      <c r="KZJ53" s="12"/>
      <c r="KZK53" s="12"/>
      <c r="KZL53" s="12"/>
      <c r="KZM53" s="12"/>
      <c r="KZN53" s="12"/>
      <c r="KZO53" s="12"/>
      <c r="KZP53" s="12"/>
      <c r="KZQ53" s="12"/>
      <c r="KZR53" s="12"/>
      <c r="KZS53" s="12"/>
      <c r="KZT53" s="12"/>
      <c r="KZU53" s="12"/>
      <c r="KZV53" s="12"/>
      <c r="KZW53" s="12"/>
      <c r="KZX53" s="12"/>
      <c r="KZY53" s="12"/>
      <c r="KZZ53" s="12"/>
      <c r="LAA53" s="12"/>
      <c r="LAB53" s="12"/>
      <c r="LAC53" s="12"/>
      <c r="LAD53" s="12"/>
      <c r="LAE53" s="12"/>
      <c r="LAF53" s="12"/>
      <c r="LAG53" s="12"/>
      <c r="LAH53" s="12"/>
      <c r="LAI53" s="12"/>
      <c r="LAJ53" s="12"/>
      <c r="LAK53" s="12"/>
      <c r="LAL53" s="12"/>
      <c r="LAM53" s="12"/>
      <c r="LAN53" s="12"/>
      <c r="LAO53" s="12"/>
      <c r="LAP53" s="12"/>
      <c r="LAQ53" s="12"/>
      <c r="LAR53" s="12"/>
      <c r="LAS53" s="12"/>
      <c r="LAT53" s="12"/>
      <c r="LAU53" s="12"/>
      <c r="LAV53" s="12"/>
      <c r="LAW53" s="12"/>
      <c r="LAX53" s="12"/>
      <c r="LAY53" s="12"/>
      <c r="LAZ53" s="12"/>
      <c r="LBA53" s="12"/>
      <c r="LBB53" s="12"/>
      <c r="LBC53" s="12"/>
      <c r="LBD53" s="12"/>
      <c r="LBE53" s="12"/>
      <c r="LBF53" s="12"/>
      <c r="LBG53" s="12"/>
      <c r="LBH53" s="12"/>
      <c r="LBI53" s="12"/>
      <c r="LBJ53" s="12"/>
      <c r="LBK53" s="12"/>
      <c r="LBL53" s="12"/>
      <c r="LBM53" s="12"/>
      <c r="LBN53" s="12"/>
      <c r="LBO53" s="12"/>
      <c r="LBP53" s="12"/>
      <c r="LBQ53" s="12"/>
      <c r="LBR53" s="12"/>
      <c r="LBS53" s="12"/>
      <c r="LBT53" s="12"/>
      <c r="LBU53" s="12"/>
      <c r="LBV53" s="12"/>
      <c r="LBW53" s="12"/>
      <c r="LBX53" s="12"/>
      <c r="LBY53" s="12"/>
      <c r="LBZ53" s="12"/>
      <c r="LCA53" s="12"/>
      <c r="LCB53" s="12"/>
      <c r="LCC53" s="12"/>
      <c r="LCD53" s="12"/>
      <c r="LCE53" s="12"/>
      <c r="LCF53" s="12"/>
      <c r="LCG53" s="12"/>
      <c r="LCH53" s="12"/>
      <c r="LCI53" s="12"/>
      <c r="LCJ53" s="12"/>
      <c r="LCK53" s="12"/>
      <c r="LCL53" s="12"/>
      <c r="LCM53" s="12"/>
      <c r="LCN53" s="12"/>
      <c r="LCO53" s="12"/>
      <c r="LCP53" s="12"/>
      <c r="LCQ53" s="12"/>
      <c r="LCR53" s="12"/>
      <c r="LCS53" s="12"/>
      <c r="LCT53" s="12"/>
      <c r="LCU53" s="12"/>
      <c r="LCV53" s="12"/>
      <c r="LCW53" s="12"/>
      <c r="LCX53" s="12"/>
      <c r="LCY53" s="12"/>
      <c r="LCZ53" s="12"/>
      <c r="LDA53" s="12"/>
      <c r="LDB53" s="12"/>
      <c r="LDC53" s="12"/>
      <c r="LDD53" s="12"/>
      <c r="LDE53" s="12"/>
      <c r="LDF53" s="12"/>
      <c r="LDG53" s="12"/>
      <c r="LDH53" s="12"/>
      <c r="LDI53" s="12"/>
      <c r="LDJ53" s="12"/>
      <c r="LDK53" s="12"/>
      <c r="LDL53" s="12"/>
      <c r="LDM53" s="12"/>
      <c r="LDN53" s="12"/>
      <c r="LDO53" s="12"/>
      <c r="LDP53" s="12"/>
      <c r="LDQ53" s="12"/>
      <c r="LDR53" s="12"/>
      <c r="LDS53" s="12"/>
      <c r="LDT53" s="12"/>
      <c r="LDU53" s="12"/>
      <c r="LDV53" s="12"/>
      <c r="LDW53" s="12"/>
      <c r="LDX53" s="12"/>
      <c r="LDY53" s="12"/>
      <c r="LDZ53" s="12"/>
      <c r="LEA53" s="12"/>
      <c r="LEB53" s="12"/>
      <c r="LEC53" s="12"/>
      <c r="LED53" s="12"/>
      <c r="LEE53" s="12"/>
      <c r="LEF53" s="12"/>
      <c r="LEG53" s="12"/>
      <c r="LEH53" s="12"/>
      <c r="LEI53" s="12"/>
      <c r="LEJ53" s="12"/>
      <c r="LEK53" s="12"/>
      <c r="LEL53" s="12"/>
      <c r="LEM53" s="12"/>
      <c r="LEN53" s="12"/>
      <c r="LEO53" s="12"/>
      <c r="LEP53" s="12"/>
      <c r="LEQ53" s="12"/>
      <c r="LER53" s="12"/>
      <c r="LES53" s="12"/>
      <c r="LET53" s="12"/>
      <c r="LEU53" s="12"/>
      <c r="LEV53" s="12"/>
      <c r="LEW53" s="12"/>
      <c r="LEX53" s="12"/>
      <c r="LEY53" s="12"/>
      <c r="LEZ53" s="12"/>
      <c r="LFA53" s="12"/>
      <c r="LFB53" s="12"/>
      <c r="LFC53" s="12"/>
      <c r="LFD53" s="12"/>
      <c r="LFE53" s="12"/>
      <c r="LFF53" s="12"/>
      <c r="LFG53" s="12"/>
      <c r="LFH53" s="12"/>
      <c r="LFI53" s="12"/>
      <c r="LFJ53" s="12"/>
      <c r="LFK53" s="12"/>
      <c r="LFL53" s="12"/>
      <c r="LFM53" s="12"/>
      <c r="LFN53" s="12"/>
      <c r="LFO53" s="12"/>
      <c r="LFP53" s="12"/>
      <c r="LFQ53" s="12"/>
      <c r="LFR53" s="12"/>
      <c r="LFS53" s="12"/>
      <c r="LFT53" s="12"/>
      <c r="LFU53" s="12"/>
      <c r="LFV53" s="12"/>
      <c r="LFW53" s="12"/>
      <c r="LFX53" s="12"/>
      <c r="LFY53" s="12"/>
      <c r="LFZ53" s="12"/>
      <c r="LGA53" s="12"/>
      <c r="LGB53" s="12"/>
      <c r="LGC53" s="12"/>
      <c r="LGD53" s="12"/>
      <c r="LGE53" s="12"/>
      <c r="LGF53" s="12"/>
      <c r="LGG53" s="12"/>
      <c r="LGH53" s="12"/>
      <c r="LGI53" s="12"/>
      <c r="LGJ53" s="12"/>
      <c r="LGK53" s="12"/>
      <c r="LGL53" s="12"/>
      <c r="LGM53" s="12"/>
      <c r="LGN53" s="12"/>
      <c r="LGO53" s="12"/>
      <c r="LGP53" s="12"/>
      <c r="LGQ53" s="12"/>
      <c r="LGR53" s="12"/>
      <c r="LGS53" s="12"/>
      <c r="LGT53" s="12"/>
      <c r="LGU53" s="12"/>
      <c r="LGV53" s="12"/>
      <c r="LGW53" s="12"/>
      <c r="LGX53" s="12"/>
      <c r="LGY53" s="12"/>
      <c r="LGZ53" s="12"/>
      <c r="LHA53" s="12"/>
      <c r="LHB53" s="12"/>
      <c r="LHC53" s="12"/>
      <c r="LHD53" s="12"/>
      <c r="LHE53" s="12"/>
      <c r="LHF53" s="12"/>
      <c r="LHG53" s="12"/>
      <c r="LHH53" s="12"/>
      <c r="LHI53" s="12"/>
      <c r="LHJ53" s="12"/>
      <c r="LHK53" s="12"/>
      <c r="LHL53" s="12"/>
      <c r="LHM53" s="12"/>
      <c r="LHN53" s="12"/>
      <c r="LHO53" s="12"/>
      <c r="LHP53" s="12"/>
      <c r="LHQ53" s="12"/>
      <c r="LHR53" s="12"/>
      <c r="LHS53" s="12"/>
      <c r="LHT53" s="12"/>
      <c r="LHU53" s="12"/>
      <c r="LHV53" s="12"/>
      <c r="LHW53" s="12"/>
      <c r="LHX53" s="12"/>
      <c r="LHY53" s="12"/>
      <c r="LHZ53" s="12"/>
      <c r="LIA53" s="12"/>
      <c r="LIB53" s="12"/>
      <c r="LIC53" s="12"/>
      <c r="LID53" s="12"/>
      <c r="LIE53" s="12"/>
      <c r="LIF53" s="12"/>
      <c r="LIG53" s="12"/>
      <c r="LIH53" s="12"/>
      <c r="LII53" s="12"/>
      <c r="LIJ53" s="12"/>
      <c r="LIK53" s="12"/>
      <c r="LIL53" s="12"/>
      <c r="LIM53" s="12"/>
      <c r="LIN53" s="12"/>
      <c r="LIO53" s="12"/>
      <c r="LIP53" s="12"/>
      <c r="LIQ53" s="12"/>
      <c r="LIR53" s="12"/>
      <c r="LIS53" s="12"/>
      <c r="LIT53" s="12"/>
      <c r="LIU53" s="12"/>
      <c r="LIV53" s="12"/>
      <c r="LIW53" s="12"/>
      <c r="LIX53" s="12"/>
      <c r="LIY53" s="12"/>
      <c r="LIZ53" s="12"/>
      <c r="LJA53" s="12"/>
      <c r="LJB53" s="12"/>
      <c r="LJC53" s="12"/>
      <c r="LJD53" s="12"/>
      <c r="LJE53" s="12"/>
      <c r="LJF53" s="12"/>
      <c r="LJG53" s="12"/>
      <c r="LJH53" s="12"/>
      <c r="LJI53" s="12"/>
      <c r="LJJ53" s="12"/>
      <c r="LJK53" s="12"/>
      <c r="LJL53" s="12"/>
      <c r="LJM53" s="12"/>
      <c r="LJN53" s="12"/>
      <c r="LJO53" s="12"/>
      <c r="LJP53" s="12"/>
      <c r="LJQ53" s="12"/>
      <c r="LJR53" s="12"/>
      <c r="LJS53" s="12"/>
      <c r="LJT53" s="12"/>
      <c r="LJU53" s="12"/>
      <c r="LJV53" s="12"/>
      <c r="LJW53" s="12"/>
      <c r="LJX53" s="12"/>
      <c r="LJY53" s="12"/>
      <c r="LJZ53" s="12"/>
      <c r="LKA53" s="12"/>
      <c r="LKB53" s="12"/>
      <c r="LKC53" s="12"/>
      <c r="LKD53" s="12"/>
      <c r="LKE53" s="12"/>
      <c r="LKF53" s="12"/>
      <c r="LKG53" s="12"/>
      <c r="LKH53" s="12"/>
      <c r="LKI53" s="12"/>
      <c r="LKJ53" s="12"/>
      <c r="LKK53" s="12"/>
      <c r="LKL53" s="12"/>
      <c r="LKM53" s="12"/>
      <c r="LKN53" s="12"/>
      <c r="LKO53" s="12"/>
      <c r="LKP53" s="12"/>
      <c r="LKQ53" s="12"/>
      <c r="LKR53" s="12"/>
      <c r="LKS53" s="12"/>
      <c r="LKT53" s="12"/>
      <c r="LKU53" s="12"/>
      <c r="LKV53" s="12"/>
      <c r="LKW53" s="12"/>
      <c r="LKX53" s="12"/>
      <c r="LKY53" s="12"/>
      <c r="LKZ53" s="12"/>
      <c r="LLA53" s="12"/>
      <c r="LLB53" s="12"/>
      <c r="LLC53" s="12"/>
      <c r="LLD53" s="12"/>
      <c r="LLE53" s="12"/>
      <c r="LLF53" s="12"/>
      <c r="LLG53" s="12"/>
      <c r="LLH53" s="12"/>
      <c r="LLI53" s="12"/>
      <c r="LLJ53" s="12"/>
      <c r="LLK53" s="12"/>
      <c r="LLL53" s="12"/>
      <c r="LLM53" s="12"/>
      <c r="LLN53" s="12"/>
      <c r="LLO53" s="12"/>
      <c r="LLP53" s="12"/>
      <c r="LLQ53" s="12"/>
      <c r="LLR53" s="12"/>
      <c r="LLS53" s="12"/>
      <c r="LLT53" s="12"/>
      <c r="LLU53" s="12"/>
      <c r="LLV53" s="12"/>
      <c r="LLW53" s="12"/>
      <c r="LLX53" s="12"/>
      <c r="LLY53" s="12"/>
      <c r="LLZ53" s="12"/>
      <c r="LMA53" s="12"/>
      <c r="LMB53" s="12"/>
      <c r="LMC53" s="12"/>
      <c r="LMD53" s="12"/>
      <c r="LME53" s="12"/>
      <c r="LMF53" s="12"/>
      <c r="LMG53" s="12"/>
      <c r="LMH53" s="12"/>
      <c r="LMI53" s="12"/>
      <c r="LMJ53" s="12"/>
      <c r="LMK53" s="12"/>
      <c r="LML53" s="12"/>
      <c r="LMM53" s="12"/>
      <c r="LMN53" s="12"/>
      <c r="LMO53" s="12"/>
      <c r="LMP53" s="12"/>
      <c r="LMQ53" s="12"/>
      <c r="LMR53" s="12"/>
      <c r="LMS53" s="12"/>
      <c r="LMT53" s="12"/>
      <c r="LMU53" s="12"/>
      <c r="LMV53" s="12"/>
      <c r="LMW53" s="12"/>
      <c r="LMX53" s="12"/>
      <c r="LMY53" s="12"/>
      <c r="LMZ53" s="12"/>
      <c r="LNA53" s="12"/>
      <c r="LNB53" s="12"/>
      <c r="LNC53" s="12"/>
      <c r="LND53" s="12"/>
      <c r="LNE53" s="12"/>
      <c r="LNF53" s="12"/>
      <c r="LNG53" s="12"/>
      <c r="LNH53" s="12"/>
      <c r="LNI53" s="12"/>
      <c r="LNJ53" s="12"/>
      <c r="LNK53" s="12"/>
      <c r="LNL53" s="12"/>
      <c r="LNM53" s="12"/>
      <c r="LNN53" s="12"/>
      <c r="LNO53" s="12"/>
      <c r="LNP53" s="12"/>
      <c r="LNQ53" s="12"/>
      <c r="LNR53" s="12"/>
      <c r="LNS53" s="12"/>
      <c r="LNT53" s="12"/>
      <c r="LNU53" s="12"/>
      <c r="LNV53" s="12"/>
      <c r="LNW53" s="12"/>
      <c r="LNX53" s="12"/>
      <c r="LNY53" s="12"/>
      <c r="LNZ53" s="12"/>
      <c r="LOA53" s="12"/>
      <c r="LOB53" s="12"/>
      <c r="LOC53" s="12"/>
      <c r="LOD53" s="12"/>
      <c r="LOE53" s="12"/>
      <c r="LOF53" s="12"/>
      <c r="LOG53" s="12"/>
      <c r="LOH53" s="12"/>
      <c r="LOI53" s="12"/>
      <c r="LOJ53" s="12"/>
      <c r="LOK53" s="12"/>
      <c r="LOL53" s="12"/>
      <c r="LOM53" s="12"/>
      <c r="LON53" s="12"/>
      <c r="LOO53" s="12"/>
      <c r="LOP53" s="12"/>
      <c r="LOQ53" s="12"/>
      <c r="LOR53" s="12"/>
      <c r="LOS53" s="12"/>
      <c r="LOT53" s="12"/>
      <c r="LOU53" s="12"/>
      <c r="LOV53" s="12"/>
      <c r="LOW53" s="12"/>
      <c r="LOX53" s="12"/>
      <c r="LOY53" s="12"/>
      <c r="LOZ53" s="12"/>
      <c r="LPA53" s="12"/>
      <c r="LPB53" s="12"/>
      <c r="LPC53" s="12"/>
      <c r="LPD53" s="12"/>
      <c r="LPE53" s="12"/>
      <c r="LPF53" s="12"/>
      <c r="LPG53" s="12"/>
      <c r="LPH53" s="12"/>
      <c r="LPI53" s="12"/>
      <c r="LPJ53" s="12"/>
      <c r="LPK53" s="12"/>
      <c r="LPL53" s="12"/>
      <c r="LPM53" s="12"/>
      <c r="LPN53" s="12"/>
      <c r="LPO53" s="12"/>
      <c r="LPP53" s="12"/>
      <c r="LPQ53" s="12"/>
      <c r="LPR53" s="12"/>
      <c r="LPS53" s="12"/>
      <c r="LPT53" s="12"/>
      <c r="LPU53" s="12"/>
      <c r="LPV53" s="12"/>
      <c r="LPW53" s="12"/>
      <c r="LPX53" s="12"/>
      <c r="LPY53" s="12"/>
      <c r="LPZ53" s="12"/>
      <c r="LQA53" s="12"/>
      <c r="LQB53" s="12"/>
      <c r="LQC53" s="12"/>
      <c r="LQD53" s="12"/>
      <c r="LQE53" s="12"/>
      <c r="LQF53" s="12"/>
      <c r="LQG53" s="12"/>
      <c r="LQH53" s="12"/>
      <c r="LQI53" s="12"/>
      <c r="LQJ53" s="12"/>
      <c r="LQK53" s="12"/>
      <c r="LQL53" s="12"/>
      <c r="LQM53" s="12"/>
      <c r="LQN53" s="12"/>
      <c r="LQO53" s="12"/>
      <c r="LQP53" s="12"/>
      <c r="LQQ53" s="12"/>
      <c r="LQR53" s="12"/>
      <c r="LQS53" s="12"/>
      <c r="LQT53" s="12"/>
      <c r="LQU53" s="12"/>
      <c r="LQV53" s="12"/>
      <c r="LQW53" s="12"/>
      <c r="LQX53" s="12"/>
      <c r="LQY53" s="12"/>
      <c r="LQZ53" s="12"/>
      <c r="LRA53" s="12"/>
      <c r="LRB53" s="12"/>
      <c r="LRC53" s="12"/>
      <c r="LRD53" s="12"/>
      <c r="LRE53" s="12"/>
      <c r="LRF53" s="12"/>
      <c r="LRG53" s="12"/>
      <c r="LRH53" s="12"/>
      <c r="LRI53" s="12"/>
      <c r="LRJ53" s="12"/>
      <c r="LRK53" s="12"/>
      <c r="LRL53" s="12"/>
      <c r="LRM53" s="12"/>
      <c r="LRN53" s="12"/>
      <c r="LRO53" s="12"/>
      <c r="LRP53" s="12"/>
      <c r="LRQ53" s="12"/>
      <c r="LRR53" s="12"/>
      <c r="LRS53" s="12"/>
      <c r="LRT53" s="12"/>
      <c r="LRU53" s="12"/>
      <c r="LRV53" s="12"/>
      <c r="LRW53" s="12"/>
      <c r="LRX53" s="12"/>
      <c r="LRY53" s="12"/>
      <c r="LRZ53" s="12"/>
      <c r="LSA53" s="12"/>
      <c r="LSB53" s="12"/>
      <c r="LSC53" s="12"/>
      <c r="LSD53" s="12"/>
      <c r="LSE53" s="12"/>
      <c r="LSF53" s="12"/>
      <c r="LSG53" s="12"/>
      <c r="LSH53" s="12"/>
      <c r="LSI53" s="12"/>
      <c r="LSJ53" s="12"/>
      <c r="LSK53" s="12"/>
      <c r="LSL53" s="12"/>
      <c r="LSM53" s="12"/>
      <c r="LSN53" s="12"/>
      <c r="LSO53" s="12"/>
      <c r="LSP53" s="12"/>
      <c r="LSQ53" s="12"/>
      <c r="LSR53" s="12"/>
      <c r="LSS53" s="12"/>
      <c r="LST53" s="12"/>
      <c r="LSU53" s="12"/>
      <c r="LSV53" s="12"/>
      <c r="LSW53" s="12"/>
      <c r="LSX53" s="12"/>
      <c r="LSY53" s="12"/>
      <c r="LSZ53" s="12"/>
      <c r="LTA53" s="12"/>
      <c r="LTB53" s="12"/>
      <c r="LTC53" s="12"/>
      <c r="LTD53" s="12"/>
      <c r="LTE53" s="12"/>
      <c r="LTF53" s="12"/>
      <c r="LTG53" s="12"/>
      <c r="LTH53" s="12"/>
      <c r="LTI53" s="12"/>
      <c r="LTJ53" s="12"/>
      <c r="LTK53" s="12"/>
      <c r="LTL53" s="12"/>
      <c r="LTM53" s="12"/>
      <c r="LTN53" s="12"/>
      <c r="LTO53" s="12"/>
      <c r="LTP53" s="12"/>
      <c r="LTQ53" s="12"/>
      <c r="LTR53" s="12"/>
      <c r="LTS53" s="12"/>
      <c r="LTT53" s="12"/>
      <c r="LTU53" s="12"/>
      <c r="LTV53" s="12"/>
      <c r="LTW53" s="12"/>
      <c r="LTX53" s="12"/>
      <c r="LTY53" s="12"/>
      <c r="LTZ53" s="12"/>
      <c r="LUA53" s="12"/>
      <c r="LUB53" s="12"/>
      <c r="LUC53" s="12"/>
      <c r="LUD53" s="12"/>
      <c r="LUE53" s="12"/>
      <c r="LUF53" s="12"/>
      <c r="LUG53" s="12"/>
      <c r="LUH53" s="12"/>
      <c r="LUI53" s="12"/>
      <c r="LUJ53" s="12"/>
      <c r="LUK53" s="12"/>
      <c r="LUL53" s="12"/>
      <c r="LUM53" s="12"/>
      <c r="LUN53" s="12"/>
      <c r="LUO53" s="12"/>
      <c r="LUP53" s="12"/>
      <c r="LUQ53" s="12"/>
      <c r="LUR53" s="12"/>
      <c r="LUS53" s="12"/>
      <c r="LUT53" s="12"/>
      <c r="LUU53" s="12"/>
      <c r="LUV53" s="12"/>
      <c r="LUW53" s="12"/>
      <c r="LUX53" s="12"/>
      <c r="LUY53" s="12"/>
      <c r="LUZ53" s="12"/>
      <c r="LVA53" s="12"/>
      <c r="LVB53" s="12"/>
      <c r="LVC53" s="12"/>
      <c r="LVD53" s="12"/>
      <c r="LVE53" s="12"/>
      <c r="LVF53" s="12"/>
      <c r="LVG53" s="12"/>
      <c r="LVH53" s="12"/>
      <c r="LVI53" s="12"/>
      <c r="LVJ53" s="12"/>
      <c r="LVK53" s="12"/>
      <c r="LVL53" s="12"/>
      <c r="LVM53" s="12"/>
      <c r="LVN53" s="12"/>
      <c r="LVO53" s="12"/>
      <c r="LVP53" s="12"/>
      <c r="LVQ53" s="12"/>
      <c r="LVR53" s="12"/>
      <c r="LVS53" s="12"/>
      <c r="LVT53" s="12"/>
      <c r="LVU53" s="12"/>
      <c r="LVV53" s="12"/>
      <c r="LVW53" s="12"/>
      <c r="LVX53" s="12"/>
      <c r="LVY53" s="12"/>
      <c r="LVZ53" s="12"/>
      <c r="LWA53" s="12"/>
      <c r="LWB53" s="12"/>
      <c r="LWC53" s="12"/>
      <c r="LWD53" s="12"/>
      <c r="LWE53" s="12"/>
      <c r="LWF53" s="12"/>
      <c r="LWG53" s="12"/>
      <c r="LWH53" s="12"/>
      <c r="LWI53" s="12"/>
      <c r="LWJ53" s="12"/>
      <c r="LWK53" s="12"/>
      <c r="LWL53" s="12"/>
      <c r="LWM53" s="12"/>
      <c r="LWN53" s="12"/>
      <c r="LWO53" s="12"/>
      <c r="LWP53" s="12"/>
      <c r="LWQ53" s="12"/>
      <c r="LWR53" s="12"/>
      <c r="LWS53" s="12"/>
      <c r="LWT53" s="12"/>
      <c r="LWU53" s="12"/>
      <c r="LWV53" s="12"/>
      <c r="LWW53" s="12"/>
      <c r="LWX53" s="12"/>
      <c r="LWY53" s="12"/>
      <c r="LWZ53" s="12"/>
      <c r="LXA53" s="12"/>
      <c r="LXB53" s="12"/>
      <c r="LXC53" s="12"/>
      <c r="LXD53" s="12"/>
      <c r="LXE53" s="12"/>
      <c r="LXF53" s="12"/>
      <c r="LXG53" s="12"/>
      <c r="LXH53" s="12"/>
      <c r="LXI53" s="12"/>
      <c r="LXJ53" s="12"/>
      <c r="LXK53" s="12"/>
      <c r="LXL53" s="12"/>
      <c r="LXM53" s="12"/>
      <c r="LXN53" s="12"/>
      <c r="LXO53" s="12"/>
      <c r="LXP53" s="12"/>
      <c r="LXQ53" s="12"/>
      <c r="LXR53" s="12"/>
      <c r="LXS53" s="12"/>
      <c r="LXT53" s="12"/>
      <c r="LXU53" s="12"/>
      <c r="LXV53" s="12"/>
      <c r="LXW53" s="12"/>
      <c r="LXX53" s="12"/>
      <c r="LXY53" s="12"/>
      <c r="LXZ53" s="12"/>
      <c r="LYA53" s="12"/>
      <c r="LYB53" s="12"/>
      <c r="LYC53" s="12"/>
      <c r="LYD53" s="12"/>
      <c r="LYE53" s="12"/>
      <c r="LYF53" s="12"/>
      <c r="LYG53" s="12"/>
      <c r="LYH53" s="12"/>
      <c r="LYI53" s="12"/>
      <c r="LYJ53" s="12"/>
      <c r="LYK53" s="12"/>
      <c r="LYL53" s="12"/>
      <c r="LYM53" s="12"/>
      <c r="LYN53" s="12"/>
      <c r="LYO53" s="12"/>
      <c r="LYP53" s="12"/>
      <c r="LYQ53" s="12"/>
      <c r="LYR53" s="12"/>
      <c r="LYS53" s="12"/>
      <c r="LYT53" s="12"/>
      <c r="LYU53" s="12"/>
      <c r="LYV53" s="12"/>
      <c r="LYW53" s="12"/>
      <c r="LYX53" s="12"/>
      <c r="LYY53" s="12"/>
      <c r="LYZ53" s="12"/>
      <c r="LZA53" s="12"/>
      <c r="LZB53" s="12"/>
      <c r="LZC53" s="12"/>
      <c r="LZD53" s="12"/>
      <c r="LZE53" s="12"/>
      <c r="LZF53" s="12"/>
      <c r="LZG53" s="12"/>
      <c r="LZH53" s="12"/>
      <c r="LZI53" s="12"/>
      <c r="LZJ53" s="12"/>
      <c r="LZK53" s="12"/>
      <c r="LZL53" s="12"/>
      <c r="LZM53" s="12"/>
      <c r="LZN53" s="12"/>
      <c r="LZO53" s="12"/>
      <c r="LZP53" s="12"/>
      <c r="LZQ53" s="12"/>
      <c r="LZR53" s="12"/>
      <c r="LZS53" s="12"/>
      <c r="LZT53" s="12"/>
      <c r="LZU53" s="12"/>
      <c r="LZV53" s="12"/>
      <c r="LZW53" s="12"/>
      <c r="LZX53" s="12"/>
      <c r="LZY53" s="12"/>
      <c r="LZZ53" s="12"/>
      <c r="MAA53" s="12"/>
      <c r="MAB53" s="12"/>
      <c r="MAC53" s="12"/>
      <c r="MAD53" s="12"/>
      <c r="MAE53" s="12"/>
      <c r="MAF53" s="12"/>
      <c r="MAG53" s="12"/>
      <c r="MAH53" s="12"/>
      <c r="MAI53" s="12"/>
      <c r="MAJ53" s="12"/>
      <c r="MAK53" s="12"/>
      <c r="MAL53" s="12"/>
      <c r="MAM53" s="12"/>
      <c r="MAN53" s="12"/>
      <c r="MAO53" s="12"/>
      <c r="MAP53" s="12"/>
      <c r="MAQ53" s="12"/>
      <c r="MAR53" s="12"/>
      <c r="MAS53" s="12"/>
      <c r="MAT53" s="12"/>
      <c r="MAU53" s="12"/>
      <c r="MAV53" s="12"/>
      <c r="MAW53" s="12"/>
      <c r="MAX53" s="12"/>
      <c r="MAY53" s="12"/>
      <c r="MAZ53" s="12"/>
      <c r="MBA53" s="12"/>
      <c r="MBB53" s="12"/>
      <c r="MBC53" s="12"/>
      <c r="MBD53" s="12"/>
      <c r="MBE53" s="12"/>
      <c r="MBF53" s="12"/>
      <c r="MBG53" s="12"/>
      <c r="MBH53" s="12"/>
      <c r="MBI53" s="12"/>
      <c r="MBJ53" s="12"/>
      <c r="MBK53" s="12"/>
      <c r="MBL53" s="12"/>
      <c r="MBM53" s="12"/>
      <c r="MBN53" s="12"/>
      <c r="MBO53" s="12"/>
      <c r="MBP53" s="12"/>
      <c r="MBQ53" s="12"/>
      <c r="MBR53" s="12"/>
      <c r="MBS53" s="12"/>
      <c r="MBT53" s="12"/>
      <c r="MBU53" s="12"/>
      <c r="MBV53" s="12"/>
      <c r="MBW53" s="12"/>
      <c r="MBX53" s="12"/>
      <c r="MBY53" s="12"/>
      <c r="MBZ53" s="12"/>
      <c r="MCA53" s="12"/>
      <c r="MCB53" s="12"/>
      <c r="MCC53" s="12"/>
      <c r="MCD53" s="12"/>
      <c r="MCE53" s="12"/>
      <c r="MCF53" s="12"/>
      <c r="MCG53" s="12"/>
      <c r="MCH53" s="12"/>
      <c r="MCI53" s="12"/>
      <c r="MCJ53" s="12"/>
      <c r="MCK53" s="12"/>
      <c r="MCL53" s="12"/>
      <c r="MCM53" s="12"/>
      <c r="MCN53" s="12"/>
      <c r="MCO53" s="12"/>
      <c r="MCP53" s="12"/>
      <c r="MCQ53" s="12"/>
      <c r="MCR53" s="12"/>
      <c r="MCS53" s="12"/>
      <c r="MCT53" s="12"/>
      <c r="MCU53" s="12"/>
      <c r="MCV53" s="12"/>
      <c r="MCW53" s="12"/>
      <c r="MCX53" s="12"/>
      <c r="MCY53" s="12"/>
      <c r="MCZ53" s="12"/>
      <c r="MDA53" s="12"/>
      <c r="MDB53" s="12"/>
      <c r="MDC53" s="12"/>
      <c r="MDD53" s="12"/>
      <c r="MDE53" s="12"/>
      <c r="MDF53" s="12"/>
      <c r="MDG53" s="12"/>
      <c r="MDH53" s="12"/>
      <c r="MDI53" s="12"/>
      <c r="MDJ53" s="12"/>
      <c r="MDK53" s="12"/>
      <c r="MDL53" s="12"/>
      <c r="MDM53" s="12"/>
      <c r="MDN53" s="12"/>
      <c r="MDO53" s="12"/>
      <c r="MDP53" s="12"/>
      <c r="MDQ53" s="12"/>
      <c r="MDR53" s="12"/>
      <c r="MDS53" s="12"/>
      <c r="MDT53" s="12"/>
      <c r="MDU53" s="12"/>
      <c r="MDV53" s="12"/>
      <c r="MDW53" s="12"/>
      <c r="MDX53" s="12"/>
      <c r="MDY53" s="12"/>
      <c r="MDZ53" s="12"/>
      <c r="MEA53" s="12"/>
      <c r="MEB53" s="12"/>
      <c r="MEC53" s="12"/>
      <c r="MED53" s="12"/>
      <c r="MEE53" s="12"/>
      <c r="MEF53" s="12"/>
      <c r="MEG53" s="12"/>
      <c r="MEH53" s="12"/>
      <c r="MEI53" s="12"/>
      <c r="MEJ53" s="12"/>
      <c r="MEK53" s="12"/>
      <c r="MEL53" s="12"/>
      <c r="MEM53" s="12"/>
      <c r="MEN53" s="12"/>
      <c r="MEO53" s="12"/>
      <c r="MEP53" s="12"/>
      <c r="MEQ53" s="12"/>
      <c r="MER53" s="12"/>
      <c r="MES53" s="12"/>
      <c r="MET53" s="12"/>
      <c r="MEU53" s="12"/>
      <c r="MEV53" s="12"/>
      <c r="MEW53" s="12"/>
      <c r="MEX53" s="12"/>
      <c r="MEY53" s="12"/>
      <c r="MEZ53" s="12"/>
      <c r="MFA53" s="12"/>
      <c r="MFB53" s="12"/>
      <c r="MFC53" s="12"/>
      <c r="MFD53" s="12"/>
      <c r="MFE53" s="12"/>
      <c r="MFF53" s="12"/>
      <c r="MFG53" s="12"/>
      <c r="MFH53" s="12"/>
      <c r="MFI53" s="12"/>
      <c r="MFJ53" s="12"/>
      <c r="MFK53" s="12"/>
      <c r="MFL53" s="12"/>
      <c r="MFM53" s="12"/>
      <c r="MFN53" s="12"/>
      <c r="MFO53" s="12"/>
      <c r="MFP53" s="12"/>
      <c r="MFQ53" s="12"/>
      <c r="MFR53" s="12"/>
      <c r="MFS53" s="12"/>
      <c r="MFT53" s="12"/>
      <c r="MFU53" s="12"/>
      <c r="MFV53" s="12"/>
      <c r="MFW53" s="12"/>
      <c r="MFX53" s="12"/>
      <c r="MFY53" s="12"/>
      <c r="MFZ53" s="12"/>
      <c r="MGA53" s="12"/>
      <c r="MGB53" s="12"/>
      <c r="MGC53" s="12"/>
      <c r="MGD53" s="12"/>
      <c r="MGE53" s="12"/>
      <c r="MGF53" s="12"/>
      <c r="MGG53" s="12"/>
      <c r="MGH53" s="12"/>
      <c r="MGI53" s="12"/>
      <c r="MGJ53" s="12"/>
      <c r="MGK53" s="12"/>
      <c r="MGL53" s="12"/>
      <c r="MGM53" s="12"/>
      <c r="MGN53" s="12"/>
      <c r="MGO53" s="12"/>
      <c r="MGP53" s="12"/>
      <c r="MGQ53" s="12"/>
      <c r="MGR53" s="12"/>
      <c r="MGS53" s="12"/>
      <c r="MGT53" s="12"/>
      <c r="MGU53" s="12"/>
      <c r="MGV53" s="12"/>
      <c r="MGW53" s="12"/>
      <c r="MGX53" s="12"/>
      <c r="MGY53" s="12"/>
      <c r="MGZ53" s="12"/>
      <c r="MHA53" s="12"/>
      <c r="MHB53" s="12"/>
      <c r="MHC53" s="12"/>
      <c r="MHD53" s="12"/>
      <c r="MHE53" s="12"/>
      <c r="MHF53" s="12"/>
      <c r="MHG53" s="12"/>
      <c r="MHH53" s="12"/>
      <c r="MHI53" s="12"/>
      <c r="MHJ53" s="12"/>
      <c r="MHK53" s="12"/>
      <c r="MHL53" s="12"/>
      <c r="MHM53" s="12"/>
      <c r="MHN53" s="12"/>
      <c r="MHO53" s="12"/>
      <c r="MHP53" s="12"/>
      <c r="MHQ53" s="12"/>
      <c r="MHR53" s="12"/>
      <c r="MHS53" s="12"/>
      <c r="MHT53" s="12"/>
      <c r="MHU53" s="12"/>
      <c r="MHV53" s="12"/>
      <c r="MHW53" s="12"/>
      <c r="MHX53" s="12"/>
      <c r="MHY53" s="12"/>
      <c r="MHZ53" s="12"/>
      <c r="MIA53" s="12"/>
      <c r="MIB53" s="12"/>
      <c r="MIC53" s="12"/>
      <c r="MID53" s="12"/>
      <c r="MIE53" s="12"/>
      <c r="MIF53" s="12"/>
      <c r="MIG53" s="12"/>
      <c r="MIH53" s="12"/>
      <c r="MII53" s="12"/>
      <c r="MIJ53" s="12"/>
      <c r="MIK53" s="12"/>
      <c r="MIL53" s="12"/>
      <c r="MIM53" s="12"/>
      <c r="MIN53" s="12"/>
      <c r="MIO53" s="12"/>
      <c r="MIP53" s="12"/>
      <c r="MIQ53" s="12"/>
      <c r="MIR53" s="12"/>
      <c r="MIS53" s="12"/>
      <c r="MIT53" s="12"/>
      <c r="MIU53" s="12"/>
      <c r="MIV53" s="12"/>
      <c r="MIW53" s="12"/>
      <c r="MIX53" s="12"/>
      <c r="MIY53" s="12"/>
      <c r="MIZ53" s="12"/>
      <c r="MJA53" s="12"/>
      <c r="MJB53" s="12"/>
      <c r="MJC53" s="12"/>
      <c r="MJD53" s="12"/>
      <c r="MJE53" s="12"/>
      <c r="MJF53" s="12"/>
      <c r="MJG53" s="12"/>
      <c r="MJH53" s="12"/>
      <c r="MJI53" s="12"/>
      <c r="MJJ53" s="12"/>
      <c r="MJK53" s="12"/>
      <c r="MJL53" s="12"/>
      <c r="MJM53" s="12"/>
      <c r="MJN53" s="12"/>
      <c r="MJO53" s="12"/>
      <c r="MJP53" s="12"/>
      <c r="MJQ53" s="12"/>
      <c r="MJR53" s="12"/>
      <c r="MJS53" s="12"/>
      <c r="MJT53" s="12"/>
      <c r="MJU53" s="12"/>
      <c r="MJV53" s="12"/>
      <c r="MJW53" s="12"/>
      <c r="MJX53" s="12"/>
      <c r="MJY53" s="12"/>
      <c r="MJZ53" s="12"/>
      <c r="MKA53" s="12"/>
      <c r="MKB53" s="12"/>
      <c r="MKC53" s="12"/>
      <c r="MKD53" s="12"/>
      <c r="MKE53" s="12"/>
      <c r="MKF53" s="12"/>
      <c r="MKG53" s="12"/>
      <c r="MKH53" s="12"/>
      <c r="MKI53" s="12"/>
      <c r="MKJ53" s="12"/>
      <c r="MKK53" s="12"/>
      <c r="MKL53" s="12"/>
      <c r="MKM53" s="12"/>
      <c r="MKN53" s="12"/>
      <c r="MKO53" s="12"/>
      <c r="MKP53" s="12"/>
      <c r="MKQ53" s="12"/>
      <c r="MKR53" s="12"/>
      <c r="MKS53" s="12"/>
      <c r="MKT53" s="12"/>
      <c r="MKU53" s="12"/>
      <c r="MKV53" s="12"/>
      <c r="MKW53" s="12"/>
      <c r="MKX53" s="12"/>
      <c r="MKY53" s="12"/>
      <c r="MKZ53" s="12"/>
      <c r="MLA53" s="12"/>
      <c r="MLB53" s="12"/>
      <c r="MLC53" s="12"/>
      <c r="MLD53" s="12"/>
      <c r="MLE53" s="12"/>
      <c r="MLF53" s="12"/>
      <c r="MLG53" s="12"/>
      <c r="MLH53" s="12"/>
      <c r="MLI53" s="12"/>
      <c r="MLJ53" s="12"/>
      <c r="MLK53" s="12"/>
      <c r="MLL53" s="12"/>
      <c r="MLM53" s="12"/>
      <c r="MLN53" s="12"/>
      <c r="MLO53" s="12"/>
      <c r="MLP53" s="12"/>
      <c r="MLQ53" s="12"/>
      <c r="MLR53" s="12"/>
      <c r="MLS53" s="12"/>
      <c r="MLT53" s="12"/>
      <c r="MLU53" s="12"/>
      <c r="MLV53" s="12"/>
      <c r="MLW53" s="12"/>
      <c r="MLX53" s="12"/>
      <c r="MLY53" s="12"/>
      <c r="MLZ53" s="12"/>
      <c r="MMA53" s="12"/>
      <c r="MMB53" s="12"/>
      <c r="MMC53" s="12"/>
      <c r="MMD53" s="12"/>
      <c r="MME53" s="12"/>
      <c r="MMF53" s="12"/>
      <c r="MMG53" s="12"/>
      <c r="MMH53" s="12"/>
      <c r="MMI53" s="12"/>
      <c r="MMJ53" s="12"/>
      <c r="MMK53" s="12"/>
      <c r="MML53" s="12"/>
      <c r="MMM53" s="12"/>
      <c r="MMN53" s="12"/>
      <c r="MMO53" s="12"/>
      <c r="MMP53" s="12"/>
      <c r="MMQ53" s="12"/>
      <c r="MMR53" s="12"/>
      <c r="MMS53" s="12"/>
      <c r="MMT53" s="12"/>
      <c r="MMU53" s="12"/>
      <c r="MMV53" s="12"/>
      <c r="MMW53" s="12"/>
      <c r="MMX53" s="12"/>
      <c r="MMY53" s="12"/>
      <c r="MMZ53" s="12"/>
      <c r="MNA53" s="12"/>
      <c r="MNB53" s="12"/>
      <c r="MNC53" s="12"/>
      <c r="MND53" s="12"/>
      <c r="MNE53" s="12"/>
      <c r="MNF53" s="12"/>
      <c r="MNG53" s="12"/>
      <c r="MNH53" s="12"/>
      <c r="MNI53" s="12"/>
      <c r="MNJ53" s="12"/>
      <c r="MNK53" s="12"/>
      <c r="MNL53" s="12"/>
      <c r="MNM53" s="12"/>
      <c r="MNN53" s="12"/>
      <c r="MNO53" s="12"/>
      <c r="MNP53" s="12"/>
      <c r="MNQ53" s="12"/>
      <c r="MNR53" s="12"/>
      <c r="MNS53" s="12"/>
      <c r="MNT53" s="12"/>
      <c r="MNU53" s="12"/>
      <c r="MNV53" s="12"/>
      <c r="MNW53" s="12"/>
      <c r="MNX53" s="12"/>
      <c r="MNY53" s="12"/>
      <c r="MNZ53" s="12"/>
      <c r="MOA53" s="12"/>
      <c r="MOB53" s="12"/>
      <c r="MOC53" s="12"/>
      <c r="MOD53" s="12"/>
      <c r="MOE53" s="12"/>
      <c r="MOF53" s="12"/>
      <c r="MOG53" s="12"/>
      <c r="MOH53" s="12"/>
      <c r="MOI53" s="12"/>
      <c r="MOJ53" s="12"/>
      <c r="MOK53" s="12"/>
      <c r="MOL53" s="12"/>
      <c r="MOM53" s="12"/>
      <c r="MON53" s="12"/>
      <c r="MOO53" s="12"/>
      <c r="MOP53" s="12"/>
      <c r="MOQ53" s="12"/>
      <c r="MOR53" s="12"/>
      <c r="MOS53" s="12"/>
      <c r="MOT53" s="12"/>
      <c r="MOU53" s="12"/>
      <c r="MOV53" s="12"/>
      <c r="MOW53" s="12"/>
      <c r="MOX53" s="12"/>
      <c r="MOY53" s="12"/>
      <c r="MOZ53" s="12"/>
      <c r="MPA53" s="12"/>
      <c r="MPB53" s="12"/>
      <c r="MPC53" s="12"/>
      <c r="MPD53" s="12"/>
      <c r="MPE53" s="12"/>
      <c r="MPF53" s="12"/>
      <c r="MPG53" s="12"/>
      <c r="MPH53" s="12"/>
      <c r="MPI53" s="12"/>
      <c r="MPJ53" s="12"/>
      <c r="MPK53" s="12"/>
      <c r="MPL53" s="12"/>
      <c r="MPM53" s="12"/>
      <c r="MPN53" s="12"/>
      <c r="MPO53" s="12"/>
      <c r="MPP53" s="12"/>
      <c r="MPQ53" s="12"/>
      <c r="MPR53" s="12"/>
      <c r="MPS53" s="12"/>
      <c r="MPT53" s="12"/>
      <c r="MPU53" s="12"/>
      <c r="MPV53" s="12"/>
      <c r="MPW53" s="12"/>
      <c r="MPX53" s="12"/>
      <c r="MPY53" s="12"/>
      <c r="MPZ53" s="12"/>
      <c r="MQA53" s="12"/>
      <c r="MQB53" s="12"/>
      <c r="MQC53" s="12"/>
      <c r="MQD53" s="12"/>
      <c r="MQE53" s="12"/>
      <c r="MQF53" s="12"/>
      <c r="MQG53" s="12"/>
      <c r="MQH53" s="12"/>
      <c r="MQI53" s="12"/>
      <c r="MQJ53" s="12"/>
      <c r="MQK53" s="12"/>
      <c r="MQL53" s="12"/>
      <c r="MQM53" s="12"/>
      <c r="MQN53" s="12"/>
      <c r="MQO53" s="12"/>
      <c r="MQP53" s="12"/>
      <c r="MQQ53" s="12"/>
      <c r="MQR53" s="12"/>
      <c r="MQS53" s="12"/>
      <c r="MQT53" s="12"/>
      <c r="MQU53" s="12"/>
      <c r="MQV53" s="12"/>
      <c r="MQW53" s="12"/>
      <c r="MQX53" s="12"/>
      <c r="MQY53" s="12"/>
      <c r="MQZ53" s="12"/>
      <c r="MRA53" s="12"/>
      <c r="MRB53" s="12"/>
      <c r="MRC53" s="12"/>
      <c r="MRD53" s="12"/>
      <c r="MRE53" s="12"/>
      <c r="MRF53" s="12"/>
      <c r="MRG53" s="12"/>
      <c r="MRH53" s="12"/>
      <c r="MRI53" s="12"/>
      <c r="MRJ53" s="12"/>
      <c r="MRK53" s="12"/>
      <c r="MRL53" s="12"/>
      <c r="MRM53" s="12"/>
      <c r="MRN53" s="12"/>
      <c r="MRO53" s="12"/>
      <c r="MRP53" s="12"/>
      <c r="MRQ53" s="12"/>
      <c r="MRR53" s="12"/>
      <c r="MRS53" s="12"/>
      <c r="MRT53" s="12"/>
      <c r="MRU53" s="12"/>
      <c r="MRV53" s="12"/>
      <c r="MRW53" s="12"/>
      <c r="MRX53" s="12"/>
      <c r="MRY53" s="12"/>
      <c r="MRZ53" s="12"/>
      <c r="MSA53" s="12"/>
      <c r="MSB53" s="12"/>
      <c r="MSC53" s="12"/>
      <c r="MSD53" s="12"/>
      <c r="MSE53" s="12"/>
      <c r="MSF53" s="12"/>
      <c r="MSG53" s="12"/>
      <c r="MSH53" s="12"/>
      <c r="MSI53" s="12"/>
      <c r="MSJ53" s="12"/>
      <c r="MSK53" s="12"/>
      <c r="MSL53" s="12"/>
      <c r="MSM53" s="12"/>
      <c r="MSN53" s="12"/>
      <c r="MSO53" s="12"/>
      <c r="MSP53" s="12"/>
      <c r="MSQ53" s="12"/>
      <c r="MSR53" s="12"/>
      <c r="MSS53" s="12"/>
      <c r="MST53" s="12"/>
      <c r="MSU53" s="12"/>
      <c r="MSV53" s="12"/>
      <c r="MSW53" s="12"/>
      <c r="MSX53" s="12"/>
      <c r="MSY53" s="12"/>
      <c r="MSZ53" s="12"/>
      <c r="MTA53" s="12"/>
      <c r="MTB53" s="12"/>
      <c r="MTC53" s="12"/>
      <c r="MTD53" s="12"/>
      <c r="MTE53" s="12"/>
      <c r="MTF53" s="12"/>
      <c r="MTG53" s="12"/>
      <c r="MTH53" s="12"/>
      <c r="MTI53" s="12"/>
      <c r="MTJ53" s="12"/>
      <c r="MTK53" s="12"/>
      <c r="MTL53" s="12"/>
      <c r="MTM53" s="12"/>
      <c r="MTN53" s="12"/>
      <c r="MTO53" s="12"/>
      <c r="MTP53" s="12"/>
      <c r="MTQ53" s="12"/>
      <c r="MTR53" s="12"/>
      <c r="MTS53" s="12"/>
      <c r="MTT53" s="12"/>
      <c r="MTU53" s="12"/>
      <c r="MTV53" s="12"/>
      <c r="MTW53" s="12"/>
      <c r="MTX53" s="12"/>
      <c r="MTY53" s="12"/>
      <c r="MTZ53" s="12"/>
      <c r="MUA53" s="12"/>
      <c r="MUB53" s="12"/>
      <c r="MUC53" s="12"/>
      <c r="MUD53" s="12"/>
      <c r="MUE53" s="12"/>
      <c r="MUF53" s="12"/>
      <c r="MUG53" s="12"/>
      <c r="MUH53" s="12"/>
      <c r="MUI53" s="12"/>
      <c r="MUJ53" s="12"/>
      <c r="MUK53" s="12"/>
      <c r="MUL53" s="12"/>
      <c r="MUM53" s="12"/>
      <c r="MUN53" s="12"/>
      <c r="MUO53" s="12"/>
      <c r="MUP53" s="12"/>
      <c r="MUQ53" s="12"/>
      <c r="MUR53" s="12"/>
      <c r="MUS53" s="12"/>
      <c r="MUT53" s="12"/>
      <c r="MUU53" s="12"/>
      <c r="MUV53" s="12"/>
      <c r="MUW53" s="12"/>
      <c r="MUX53" s="12"/>
      <c r="MUY53" s="12"/>
      <c r="MUZ53" s="12"/>
      <c r="MVA53" s="12"/>
      <c r="MVB53" s="12"/>
      <c r="MVC53" s="12"/>
      <c r="MVD53" s="12"/>
      <c r="MVE53" s="12"/>
      <c r="MVF53" s="12"/>
      <c r="MVG53" s="12"/>
      <c r="MVH53" s="12"/>
      <c r="MVI53" s="12"/>
      <c r="MVJ53" s="12"/>
      <c r="MVK53" s="12"/>
      <c r="MVL53" s="12"/>
      <c r="MVM53" s="12"/>
      <c r="MVN53" s="12"/>
      <c r="MVO53" s="12"/>
      <c r="MVP53" s="12"/>
      <c r="MVQ53" s="12"/>
      <c r="MVR53" s="12"/>
      <c r="MVS53" s="12"/>
      <c r="MVT53" s="12"/>
      <c r="MVU53" s="12"/>
      <c r="MVV53" s="12"/>
      <c r="MVW53" s="12"/>
      <c r="MVX53" s="12"/>
      <c r="MVY53" s="12"/>
      <c r="MVZ53" s="12"/>
      <c r="MWA53" s="12"/>
      <c r="MWB53" s="12"/>
      <c r="MWC53" s="12"/>
      <c r="MWD53" s="12"/>
      <c r="MWE53" s="12"/>
      <c r="MWF53" s="12"/>
      <c r="MWG53" s="12"/>
      <c r="MWH53" s="12"/>
      <c r="MWI53" s="12"/>
      <c r="MWJ53" s="12"/>
      <c r="MWK53" s="12"/>
      <c r="MWL53" s="12"/>
      <c r="MWM53" s="12"/>
      <c r="MWN53" s="12"/>
      <c r="MWO53" s="12"/>
      <c r="MWP53" s="12"/>
      <c r="MWQ53" s="12"/>
      <c r="MWR53" s="12"/>
      <c r="MWS53" s="12"/>
      <c r="MWT53" s="12"/>
      <c r="MWU53" s="12"/>
      <c r="MWV53" s="12"/>
      <c r="MWW53" s="12"/>
      <c r="MWX53" s="12"/>
      <c r="MWY53" s="12"/>
      <c r="MWZ53" s="12"/>
      <c r="MXA53" s="12"/>
      <c r="MXB53" s="12"/>
      <c r="MXC53" s="12"/>
      <c r="MXD53" s="12"/>
      <c r="MXE53" s="12"/>
      <c r="MXF53" s="12"/>
      <c r="MXG53" s="12"/>
      <c r="MXH53" s="12"/>
      <c r="MXI53" s="12"/>
      <c r="MXJ53" s="12"/>
      <c r="MXK53" s="12"/>
      <c r="MXL53" s="12"/>
      <c r="MXM53" s="12"/>
      <c r="MXN53" s="12"/>
      <c r="MXO53" s="12"/>
      <c r="MXP53" s="12"/>
      <c r="MXQ53" s="12"/>
      <c r="MXR53" s="12"/>
      <c r="MXS53" s="12"/>
      <c r="MXT53" s="12"/>
      <c r="MXU53" s="12"/>
      <c r="MXV53" s="12"/>
      <c r="MXW53" s="12"/>
      <c r="MXX53" s="12"/>
      <c r="MXY53" s="12"/>
      <c r="MXZ53" s="12"/>
      <c r="MYA53" s="12"/>
      <c r="MYB53" s="12"/>
      <c r="MYC53" s="12"/>
      <c r="MYD53" s="12"/>
      <c r="MYE53" s="12"/>
      <c r="MYF53" s="12"/>
      <c r="MYG53" s="12"/>
      <c r="MYH53" s="12"/>
      <c r="MYI53" s="12"/>
      <c r="MYJ53" s="12"/>
      <c r="MYK53" s="12"/>
      <c r="MYL53" s="12"/>
      <c r="MYM53" s="12"/>
      <c r="MYN53" s="12"/>
      <c r="MYO53" s="12"/>
      <c r="MYP53" s="12"/>
      <c r="MYQ53" s="12"/>
      <c r="MYR53" s="12"/>
      <c r="MYS53" s="12"/>
      <c r="MYT53" s="12"/>
      <c r="MYU53" s="12"/>
      <c r="MYV53" s="12"/>
      <c r="MYW53" s="12"/>
      <c r="MYX53" s="12"/>
      <c r="MYY53" s="12"/>
      <c r="MYZ53" s="12"/>
      <c r="MZA53" s="12"/>
      <c r="MZB53" s="12"/>
      <c r="MZC53" s="12"/>
      <c r="MZD53" s="12"/>
      <c r="MZE53" s="12"/>
      <c r="MZF53" s="12"/>
      <c r="MZG53" s="12"/>
      <c r="MZH53" s="12"/>
      <c r="MZI53" s="12"/>
      <c r="MZJ53" s="12"/>
      <c r="MZK53" s="12"/>
      <c r="MZL53" s="12"/>
      <c r="MZM53" s="12"/>
      <c r="MZN53" s="12"/>
      <c r="MZO53" s="12"/>
      <c r="MZP53" s="12"/>
      <c r="MZQ53" s="12"/>
      <c r="MZR53" s="12"/>
      <c r="MZS53" s="12"/>
      <c r="MZT53" s="12"/>
      <c r="MZU53" s="12"/>
      <c r="MZV53" s="12"/>
      <c r="MZW53" s="12"/>
      <c r="MZX53" s="12"/>
      <c r="MZY53" s="12"/>
      <c r="MZZ53" s="12"/>
      <c r="NAA53" s="12"/>
      <c r="NAB53" s="12"/>
      <c r="NAC53" s="12"/>
      <c r="NAD53" s="12"/>
      <c r="NAE53" s="12"/>
      <c r="NAF53" s="12"/>
      <c r="NAG53" s="12"/>
      <c r="NAH53" s="12"/>
      <c r="NAI53" s="12"/>
      <c r="NAJ53" s="12"/>
      <c r="NAK53" s="12"/>
      <c r="NAL53" s="12"/>
      <c r="NAM53" s="12"/>
      <c r="NAN53" s="12"/>
      <c r="NAO53" s="12"/>
      <c r="NAP53" s="12"/>
      <c r="NAQ53" s="12"/>
      <c r="NAR53" s="12"/>
      <c r="NAS53" s="12"/>
      <c r="NAT53" s="12"/>
      <c r="NAU53" s="12"/>
      <c r="NAV53" s="12"/>
      <c r="NAW53" s="12"/>
      <c r="NAX53" s="12"/>
      <c r="NAY53" s="12"/>
      <c r="NAZ53" s="12"/>
      <c r="NBA53" s="12"/>
      <c r="NBB53" s="12"/>
      <c r="NBC53" s="12"/>
      <c r="NBD53" s="12"/>
      <c r="NBE53" s="12"/>
      <c r="NBF53" s="12"/>
      <c r="NBG53" s="12"/>
      <c r="NBH53" s="12"/>
      <c r="NBI53" s="12"/>
      <c r="NBJ53" s="12"/>
      <c r="NBK53" s="12"/>
      <c r="NBL53" s="12"/>
      <c r="NBM53" s="12"/>
      <c r="NBN53" s="12"/>
      <c r="NBO53" s="12"/>
      <c r="NBP53" s="12"/>
      <c r="NBQ53" s="12"/>
      <c r="NBR53" s="12"/>
      <c r="NBS53" s="12"/>
      <c r="NBT53" s="12"/>
      <c r="NBU53" s="12"/>
      <c r="NBV53" s="12"/>
      <c r="NBW53" s="12"/>
      <c r="NBX53" s="12"/>
      <c r="NBY53" s="12"/>
      <c r="NBZ53" s="12"/>
      <c r="NCA53" s="12"/>
      <c r="NCB53" s="12"/>
      <c r="NCC53" s="12"/>
      <c r="NCD53" s="12"/>
      <c r="NCE53" s="12"/>
      <c r="NCF53" s="12"/>
      <c r="NCG53" s="12"/>
      <c r="NCH53" s="12"/>
      <c r="NCI53" s="12"/>
      <c r="NCJ53" s="12"/>
      <c r="NCK53" s="12"/>
      <c r="NCL53" s="12"/>
      <c r="NCM53" s="12"/>
      <c r="NCN53" s="12"/>
      <c r="NCO53" s="12"/>
      <c r="NCP53" s="12"/>
      <c r="NCQ53" s="12"/>
      <c r="NCR53" s="12"/>
      <c r="NCS53" s="12"/>
      <c r="NCT53" s="12"/>
      <c r="NCU53" s="12"/>
      <c r="NCV53" s="12"/>
      <c r="NCW53" s="12"/>
      <c r="NCX53" s="12"/>
      <c r="NCY53" s="12"/>
      <c r="NCZ53" s="12"/>
      <c r="NDA53" s="12"/>
      <c r="NDB53" s="12"/>
      <c r="NDC53" s="12"/>
      <c r="NDD53" s="12"/>
      <c r="NDE53" s="12"/>
      <c r="NDF53" s="12"/>
      <c r="NDG53" s="12"/>
      <c r="NDH53" s="12"/>
      <c r="NDI53" s="12"/>
      <c r="NDJ53" s="12"/>
      <c r="NDK53" s="12"/>
      <c r="NDL53" s="12"/>
      <c r="NDM53" s="12"/>
      <c r="NDN53" s="12"/>
      <c r="NDO53" s="12"/>
      <c r="NDP53" s="12"/>
      <c r="NDQ53" s="12"/>
      <c r="NDR53" s="12"/>
      <c r="NDS53" s="12"/>
      <c r="NDT53" s="12"/>
      <c r="NDU53" s="12"/>
      <c r="NDV53" s="12"/>
      <c r="NDW53" s="12"/>
      <c r="NDX53" s="12"/>
      <c r="NDY53" s="12"/>
      <c r="NDZ53" s="12"/>
      <c r="NEA53" s="12"/>
      <c r="NEB53" s="12"/>
      <c r="NEC53" s="12"/>
      <c r="NED53" s="12"/>
      <c r="NEE53" s="12"/>
      <c r="NEF53" s="12"/>
      <c r="NEG53" s="12"/>
      <c r="NEH53" s="12"/>
      <c r="NEI53" s="12"/>
      <c r="NEJ53" s="12"/>
      <c r="NEK53" s="12"/>
      <c r="NEL53" s="12"/>
      <c r="NEM53" s="12"/>
      <c r="NEN53" s="12"/>
      <c r="NEO53" s="12"/>
      <c r="NEP53" s="12"/>
      <c r="NEQ53" s="12"/>
      <c r="NER53" s="12"/>
      <c r="NES53" s="12"/>
      <c r="NET53" s="12"/>
      <c r="NEU53" s="12"/>
      <c r="NEV53" s="12"/>
      <c r="NEW53" s="12"/>
      <c r="NEX53" s="12"/>
      <c r="NEY53" s="12"/>
      <c r="NEZ53" s="12"/>
      <c r="NFA53" s="12"/>
      <c r="NFB53" s="12"/>
      <c r="NFC53" s="12"/>
      <c r="NFD53" s="12"/>
      <c r="NFE53" s="12"/>
      <c r="NFF53" s="12"/>
      <c r="NFG53" s="12"/>
      <c r="NFH53" s="12"/>
      <c r="NFI53" s="12"/>
      <c r="NFJ53" s="12"/>
      <c r="NFK53" s="12"/>
      <c r="NFL53" s="12"/>
      <c r="NFM53" s="12"/>
      <c r="NFN53" s="12"/>
      <c r="NFO53" s="12"/>
      <c r="NFP53" s="12"/>
      <c r="NFQ53" s="12"/>
      <c r="NFR53" s="12"/>
      <c r="NFS53" s="12"/>
      <c r="NFT53" s="12"/>
      <c r="NFU53" s="12"/>
      <c r="NFV53" s="12"/>
      <c r="NFW53" s="12"/>
      <c r="NFX53" s="12"/>
      <c r="NFY53" s="12"/>
      <c r="NFZ53" s="12"/>
      <c r="NGA53" s="12"/>
      <c r="NGB53" s="12"/>
      <c r="NGC53" s="12"/>
      <c r="NGD53" s="12"/>
      <c r="NGE53" s="12"/>
      <c r="NGF53" s="12"/>
      <c r="NGG53" s="12"/>
      <c r="NGH53" s="12"/>
      <c r="NGI53" s="12"/>
      <c r="NGJ53" s="12"/>
      <c r="NGK53" s="12"/>
      <c r="NGL53" s="12"/>
      <c r="NGM53" s="12"/>
      <c r="NGN53" s="12"/>
      <c r="NGO53" s="12"/>
      <c r="NGP53" s="12"/>
      <c r="NGQ53" s="12"/>
      <c r="NGR53" s="12"/>
      <c r="NGS53" s="12"/>
      <c r="NGT53" s="12"/>
      <c r="NGU53" s="12"/>
      <c r="NGV53" s="12"/>
      <c r="NGW53" s="12"/>
      <c r="NGX53" s="12"/>
      <c r="NGY53" s="12"/>
      <c r="NGZ53" s="12"/>
      <c r="NHA53" s="12"/>
      <c r="NHB53" s="12"/>
      <c r="NHC53" s="12"/>
      <c r="NHD53" s="12"/>
      <c r="NHE53" s="12"/>
      <c r="NHF53" s="12"/>
      <c r="NHG53" s="12"/>
      <c r="NHH53" s="12"/>
      <c r="NHI53" s="12"/>
      <c r="NHJ53" s="12"/>
      <c r="NHK53" s="12"/>
      <c r="NHL53" s="12"/>
      <c r="NHM53" s="12"/>
      <c r="NHN53" s="12"/>
      <c r="NHO53" s="12"/>
      <c r="NHP53" s="12"/>
      <c r="NHQ53" s="12"/>
      <c r="NHR53" s="12"/>
      <c r="NHS53" s="12"/>
      <c r="NHT53" s="12"/>
      <c r="NHU53" s="12"/>
      <c r="NHV53" s="12"/>
      <c r="NHW53" s="12"/>
      <c r="NHX53" s="12"/>
      <c r="NHY53" s="12"/>
      <c r="NHZ53" s="12"/>
      <c r="NIA53" s="12"/>
      <c r="NIB53" s="12"/>
      <c r="NIC53" s="12"/>
      <c r="NID53" s="12"/>
      <c r="NIE53" s="12"/>
      <c r="NIF53" s="12"/>
      <c r="NIG53" s="12"/>
      <c r="NIH53" s="12"/>
      <c r="NII53" s="12"/>
      <c r="NIJ53" s="12"/>
      <c r="NIK53" s="12"/>
      <c r="NIL53" s="12"/>
      <c r="NIM53" s="12"/>
      <c r="NIN53" s="12"/>
      <c r="NIO53" s="12"/>
      <c r="NIP53" s="12"/>
      <c r="NIQ53" s="12"/>
      <c r="NIR53" s="12"/>
      <c r="NIS53" s="12"/>
      <c r="NIT53" s="12"/>
      <c r="NIU53" s="12"/>
      <c r="NIV53" s="12"/>
      <c r="NIW53" s="12"/>
      <c r="NIX53" s="12"/>
      <c r="NIY53" s="12"/>
      <c r="NIZ53" s="12"/>
      <c r="NJA53" s="12"/>
      <c r="NJB53" s="12"/>
      <c r="NJC53" s="12"/>
      <c r="NJD53" s="12"/>
      <c r="NJE53" s="12"/>
      <c r="NJF53" s="12"/>
      <c r="NJG53" s="12"/>
      <c r="NJH53" s="12"/>
      <c r="NJI53" s="12"/>
      <c r="NJJ53" s="12"/>
      <c r="NJK53" s="12"/>
      <c r="NJL53" s="12"/>
      <c r="NJM53" s="12"/>
      <c r="NJN53" s="12"/>
      <c r="NJO53" s="12"/>
      <c r="NJP53" s="12"/>
      <c r="NJQ53" s="12"/>
      <c r="NJR53" s="12"/>
      <c r="NJS53" s="12"/>
      <c r="NJT53" s="12"/>
      <c r="NJU53" s="12"/>
      <c r="NJV53" s="12"/>
      <c r="NJW53" s="12"/>
      <c r="NJX53" s="12"/>
      <c r="NJY53" s="12"/>
      <c r="NJZ53" s="12"/>
      <c r="NKA53" s="12"/>
      <c r="NKB53" s="12"/>
      <c r="NKC53" s="12"/>
      <c r="NKD53" s="12"/>
      <c r="NKE53" s="12"/>
      <c r="NKF53" s="12"/>
      <c r="NKG53" s="12"/>
      <c r="NKH53" s="12"/>
      <c r="NKI53" s="12"/>
      <c r="NKJ53" s="12"/>
      <c r="NKK53" s="12"/>
      <c r="NKL53" s="12"/>
      <c r="NKM53" s="12"/>
      <c r="NKN53" s="12"/>
      <c r="NKO53" s="12"/>
      <c r="NKP53" s="12"/>
      <c r="NKQ53" s="12"/>
      <c r="NKR53" s="12"/>
      <c r="NKS53" s="12"/>
      <c r="NKT53" s="12"/>
      <c r="NKU53" s="12"/>
      <c r="NKV53" s="12"/>
      <c r="NKW53" s="12"/>
      <c r="NKX53" s="12"/>
      <c r="NKY53" s="12"/>
      <c r="NKZ53" s="12"/>
      <c r="NLA53" s="12"/>
      <c r="NLB53" s="12"/>
      <c r="NLC53" s="12"/>
      <c r="NLD53" s="12"/>
      <c r="NLE53" s="12"/>
      <c r="NLF53" s="12"/>
      <c r="NLG53" s="12"/>
      <c r="NLH53" s="12"/>
      <c r="NLI53" s="12"/>
      <c r="NLJ53" s="12"/>
      <c r="NLK53" s="12"/>
      <c r="NLL53" s="12"/>
      <c r="NLM53" s="12"/>
      <c r="NLN53" s="12"/>
      <c r="NLO53" s="12"/>
      <c r="NLP53" s="12"/>
      <c r="NLQ53" s="12"/>
      <c r="NLR53" s="12"/>
      <c r="NLS53" s="12"/>
      <c r="NLT53" s="12"/>
      <c r="NLU53" s="12"/>
      <c r="NLV53" s="12"/>
      <c r="NLW53" s="12"/>
      <c r="NLX53" s="12"/>
      <c r="NLY53" s="12"/>
      <c r="NLZ53" s="12"/>
      <c r="NMA53" s="12"/>
      <c r="NMB53" s="12"/>
      <c r="NMC53" s="12"/>
      <c r="NMD53" s="12"/>
      <c r="NME53" s="12"/>
      <c r="NMF53" s="12"/>
      <c r="NMG53" s="12"/>
      <c r="NMH53" s="12"/>
      <c r="NMI53" s="12"/>
      <c r="NMJ53" s="12"/>
      <c r="NMK53" s="12"/>
      <c r="NML53" s="12"/>
      <c r="NMM53" s="12"/>
      <c r="NMN53" s="12"/>
      <c r="NMO53" s="12"/>
      <c r="NMP53" s="12"/>
      <c r="NMQ53" s="12"/>
      <c r="NMR53" s="12"/>
      <c r="NMS53" s="12"/>
      <c r="NMT53" s="12"/>
      <c r="NMU53" s="12"/>
      <c r="NMV53" s="12"/>
      <c r="NMW53" s="12"/>
      <c r="NMX53" s="12"/>
      <c r="NMY53" s="12"/>
      <c r="NMZ53" s="12"/>
      <c r="NNA53" s="12"/>
      <c r="NNB53" s="12"/>
      <c r="NNC53" s="12"/>
      <c r="NND53" s="12"/>
      <c r="NNE53" s="12"/>
      <c r="NNF53" s="12"/>
      <c r="NNG53" s="12"/>
      <c r="NNH53" s="12"/>
      <c r="NNI53" s="12"/>
      <c r="NNJ53" s="12"/>
      <c r="NNK53" s="12"/>
      <c r="NNL53" s="12"/>
      <c r="NNM53" s="12"/>
      <c r="NNN53" s="12"/>
      <c r="NNO53" s="12"/>
      <c r="NNP53" s="12"/>
      <c r="NNQ53" s="12"/>
      <c r="NNR53" s="12"/>
      <c r="NNS53" s="12"/>
      <c r="NNT53" s="12"/>
      <c r="NNU53" s="12"/>
      <c r="NNV53" s="12"/>
      <c r="NNW53" s="12"/>
      <c r="NNX53" s="12"/>
      <c r="NNY53" s="12"/>
      <c r="NNZ53" s="12"/>
      <c r="NOA53" s="12"/>
      <c r="NOB53" s="12"/>
      <c r="NOC53" s="12"/>
      <c r="NOD53" s="12"/>
      <c r="NOE53" s="12"/>
      <c r="NOF53" s="12"/>
      <c r="NOG53" s="12"/>
      <c r="NOH53" s="12"/>
      <c r="NOI53" s="12"/>
      <c r="NOJ53" s="12"/>
      <c r="NOK53" s="12"/>
      <c r="NOL53" s="12"/>
      <c r="NOM53" s="12"/>
      <c r="NON53" s="12"/>
      <c r="NOO53" s="12"/>
      <c r="NOP53" s="12"/>
      <c r="NOQ53" s="12"/>
      <c r="NOR53" s="12"/>
      <c r="NOS53" s="12"/>
      <c r="NOT53" s="12"/>
      <c r="NOU53" s="12"/>
      <c r="NOV53" s="12"/>
      <c r="NOW53" s="12"/>
      <c r="NOX53" s="12"/>
      <c r="NOY53" s="12"/>
      <c r="NOZ53" s="12"/>
      <c r="NPA53" s="12"/>
      <c r="NPB53" s="12"/>
      <c r="NPC53" s="12"/>
      <c r="NPD53" s="12"/>
      <c r="NPE53" s="12"/>
      <c r="NPF53" s="12"/>
      <c r="NPG53" s="12"/>
      <c r="NPH53" s="12"/>
      <c r="NPI53" s="12"/>
      <c r="NPJ53" s="12"/>
      <c r="NPK53" s="12"/>
      <c r="NPL53" s="12"/>
      <c r="NPM53" s="12"/>
      <c r="NPN53" s="12"/>
      <c r="NPO53" s="12"/>
      <c r="NPP53" s="12"/>
      <c r="NPQ53" s="12"/>
      <c r="NPR53" s="12"/>
      <c r="NPS53" s="12"/>
      <c r="NPT53" s="12"/>
      <c r="NPU53" s="12"/>
      <c r="NPV53" s="12"/>
      <c r="NPW53" s="12"/>
      <c r="NPX53" s="12"/>
      <c r="NPY53" s="12"/>
      <c r="NPZ53" s="12"/>
      <c r="NQA53" s="12"/>
      <c r="NQB53" s="12"/>
      <c r="NQC53" s="12"/>
      <c r="NQD53" s="12"/>
      <c r="NQE53" s="12"/>
      <c r="NQF53" s="12"/>
      <c r="NQG53" s="12"/>
      <c r="NQH53" s="12"/>
      <c r="NQI53" s="12"/>
      <c r="NQJ53" s="12"/>
      <c r="NQK53" s="12"/>
      <c r="NQL53" s="12"/>
      <c r="NQM53" s="12"/>
      <c r="NQN53" s="12"/>
      <c r="NQO53" s="12"/>
      <c r="NQP53" s="12"/>
      <c r="NQQ53" s="12"/>
      <c r="NQR53" s="12"/>
      <c r="NQS53" s="12"/>
      <c r="NQT53" s="12"/>
      <c r="NQU53" s="12"/>
      <c r="NQV53" s="12"/>
      <c r="NQW53" s="12"/>
      <c r="NQX53" s="12"/>
      <c r="NQY53" s="12"/>
      <c r="NQZ53" s="12"/>
      <c r="NRA53" s="12"/>
      <c r="NRB53" s="12"/>
      <c r="NRC53" s="12"/>
      <c r="NRD53" s="12"/>
      <c r="NRE53" s="12"/>
      <c r="NRF53" s="12"/>
      <c r="NRG53" s="12"/>
      <c r="NRH53" s="12"/>
      <c r="NRI53" s="12"/>
      <c r="NRJ53" s="12"/>
      <c r="NRK53" s="12"/>
      <c r="NRL53" s="12"/>
      <c r="NRM53" s="12"/>
      <c r="NRN53" s="12"/>
      <c r="NRO53" s="12"/>
      <c r="NRP53" s="12"/>
      <c r="NRQ53" s="12"/>
      <c r="NRR53" s="12"/>
      <c r="NRS53" s="12"/>
      <c r="NRT53" s="12"/>
      <c r="NRU53" s="12"/>
      <c r="NRV53" s="12"/>
      <c r="NRW53" s="12"/>
      <c r="NRX53" s="12"/>
      <c r="NRY53" s="12"/>
      <c r="NRZ53" s="12"/>
      <c r="NSA53" s="12"/>
      <c r="NSB53" s="12"/>
      <c r="NSC53" s="12"/>
      <c r="NSD53" s="12"/>
      <c r="NSE53" s="12"/>
      <c r="NSF53" s="12"/>
      <c r="NSG53" s="12"/>
      <c r="NSH53" s="12"/>
      <c r="NSI53" s="12"/>
      <c r="NSJ53" s="12"/>
      <c r="NSK53" s="12"/>
      <c r="NSL53" s="12"/>
      <c r="NSM53" s="12"/>
      <c r="NSN53" s="12"/>
      <c r="NSO53" s="12"/>
      <c r="NSP53" s="12"/>
      <c r="NSQ53" s="12"/>
      <c r="NSR53" s="12"/>
      <c r="NSS53" s="12"/>
      <c r="NST53" s="12"/>
      <c r="NSU53" s="12"/>
      <c r="NSV53" s="12"/>
      <c r="NSW53" s="12"/>
      <c r="NSX53" s="12"/>
      <c r="NSY53" s="12"/>
      <c r="NSZ53" s="12"/>
      <c r="NTA53" s="12"/>
      <c r="NTB53" s="12"/>
      <c r="NTC53" s="12"/>
      <c r="NTD53" s="12"/>
      <c r="NTE53" s="12"/>
      <c r="NTF53" s="12"/>
      <c r="NTG53" s="12"/>
      <c r="NTH53" s="12"/>
      <c r="NTI53" s="12"/>
      <c r="NTJ53" s="12"/>
      <c r="NTK53" s="12"/>
      <c r="NTL53" s="12"/>
      <c r="NTM53" s="12"/>
      <c r="NTN53" s="12"/>
      <c r="NTO53" s="12"/>
      <c r="NTP53" s="12"/>
      <c r="NTQ53" s="12"/>
      <c r="NTR53" s="12"/>
      <c r="NTS53" s="12"/>
      <c r="NTT53" s="12"/>
      <c r="NTU53" s="12"/>
      <c r="NTV53" s="12"/>
      <c r="NTW53" s="12"/>
      <c r="NTX53" s="12"/>
      <c r="NTY53" s="12"/>
      <c r="NTZ53" s="12"/>
      <c r="NUA53" s="12"/>
      <c r="NUB53" s="12"/>
      <c r="NUC53" s="12"/>
      <c r="NUD53" s="12"/>
      <c r="NUE53" s="12"/>
      <c r="NUF53" s="12"/>
      <c r="NUG53" s="12"/>
      <c r="NUH53" s="12"/>
      <c r="NUI53" s="12"/>
      <c r="NUJ53" s="12"/>
      <c r="NUK53" s="12"/>
      <c r="NUL53" s="12"/>
      <c r="NUM53" s="12"/>
      <c r="NUN53" s="12"/>
      <c r="NUO53" s="12"/>
      <c r="NUP53" s="12"/>
      <c r="NUQ53" s="12"/>
      <c r="NUR53" s="12"/>
      <c r="NUS53" s="12"/>
      <c r="NUT53" s="12"/>
      <c r="NUU53" s="12"/>
      <c r="NUV53" s="12"/>
      <c r="NUW53" s="12"/>
      <c r="NUX53" s="12"/>
      <c r="NUY53" s="12"/>
      <c r="NUZ53" s="12"/>
      <c r="NVA53" s="12"/>
      <c r="NVB53" s="12"/>
      <c r="NVC53" s="12"/>
      <c r="NVD53" s="12"/>
      <c r="NVE53" s="12"/>
      <c r="NVF53" s="12"/>
      <c r="NVG53" s="12"/>
      <c r="NVH53" s="12"/>
      <c r="NVI53" s="12"/>
      <c r="NVJ53" s="12"/>
      <c r="NVK53" s="12"/>
      <c r="NVL53" s="12"/>
      <c r="NVM53" s="12"/>
      <c r="NVN53" s="12"/>
      <c r="NVO53" s="12"/>
      <c r="NVP53" s="12"/>
      <c r="NVQ53" s="12"/>
      <c r="NVR53" s="12"/>
      <c r="NVS53" s="12"/>
      <c r="NVT53" s="12"/>
      <c r="NVU53" s="12"/>
      <c r="NVV53" s="12"/>
      <c r="NVW53" s="12"/>
      <c r="NVX53" s="12"/>
      <c r="NVY53" s="12"/>
      <c r="NVZ53" s="12"/>
      <c r="NWA53" s="12"/>
      <c r="NWB53" s="12"/>
      <c r="NWC53" s="12"/>
      <c r="NWD53" s="12"/>
      <c r="NWE53" s="12"/>
      <c r="NWF53" s="12"/>
      <c r="NWG53" s="12"/>
      <c r="NWH53" s="12"/>
      <c r="NWI53" s="12"/>
      <c r="NWJ53" s="12"/>
      <c r="NWK53" s="12"/>
      <c r="NWL53" s="12"/>
      <c r="NWM53" s="12"/>
      <c r="NWN53" s="12"/>
      <c r="NWO53" s="12"/>
      <c r="NWP53" s="12"/>
      <c r="NWQ53" s="12"/>
      <c r="NWR53" s="12"/>
      <c r="NWS53" s="12"/>
      <c r="NWT53" s="12"/>
      <c r="NWU53" s="12"/>
      <c r="NWV53" s="12"/>
      <c r="NWW53" s="12"/>
      <c r="NWX53" s="12"/>
      <c r="NWY53" s="12"/>
      <c r="NWZ53" s="12"/>
      <c r="NXA53" s="12"/>
      <c r="NXB53" s="12"/>
      <c r="NXC53" s="12"/>
      <c r="NXD53" s="12"/>
      <c r="NXE53" s="12"/>
      <c r="NXF53" s="12"/>
      <c r="NXG53" s="12"/>
      <c r="NXH53" s="12"/>
      <c r="NXI53" s="12"/>
      <c r="NXJ53" s="12"/>
      <c r="NXK53" s="12"/>
      <c r="NXL53" s="12"/>
      <c r="NXM53" s="12"/>
      <c r="NXN53" s="12"/>
      <c r="NXO53" s="12"/>
      <c r="NXP53" s="12"/>
      <c r="NXQ53" s="12"/>
      <c r="NXR53" s="12"/>
      <c r="NXS53" s="12"/>
      <c r="NXT53" s="12"/>
      <c r="NXU53" s="12"/>
      <c r="NXV53" s="12"/>
      <c r="NXW53" s="12"/>
      <c r="NXX53" s="12"/>
      <c r="NXY53" s="12"/>
      <c r="NXZ53" s="12"/>
      <c r="NYA53" s="12"/>
      <c r="NYB53" s="12"/>
      <c r="NYC53" s="12"/>
      <c r="NYD53" s="12"/>
      <c r="NYE53" s="12"/>
      <c r="NYF53" s="12"/>
      <c r="NYG53" s="12"/>
      <c r="NYH53" s="12"/>
      <c r="NYI53" s="12"/>
      <c r="NYJ53" s="12"/>
      <c r="NYK53" s="12"/>
      <c r="NYL53" s="12"/>
      <c r="NYM53" s="12"/>
      <c r="NYN53" s="12"/>
      <c r="NYO53" s="12"/>
      <c r="NYP53" s="12"/>
      <c r="NYQ53" s="12"/>
      <c r="NYR53" s="12"/>
      <c r="NYS53" s="12"/>
      <c r="NYT53" s="12"/>
      <c r="NYU53" s="12"/>
      <c r="NYV53" s="12"/>
      <c r="NYW53" s="12"/>
      <c r="NYX53" s="12"/>
      <c r="NYY53" s="12"/>
      <c r="NYZ53" s="12"/>
      <c r="NZA53" s="12"/>
      <c r="NZB53" s="12"/>
      <c r="NZC53" s="12"/>
      <c r="NZD53" s="12"/>
      <c r="NZE53" s="12"/>
      <c r="NZF53" s="12"/>
      <c r="NZG53" s="12"/>
      <c r="NZH53" s="12"/>
      <c r="NZI53" s="12"/>
      <c r="NZJ53" s="12"/>
      <c r="NZK53" s="12"/>
      <c r="NZL53" s="12"/>
      <c r="NZM53" s="12"/>
      <c r="NZN53" s="12"/>
      <c r="NZO53" s="12"/>
      <c r="NZP53" s="12"/>
      <c r="NZQ53" s="12"/>
      <c r="NZR53" s="12"/>
      <c r="NZS53" s="12"/>
      <c r="NZT53" s="12"/>
      <c r="NZU53" s="12"/>
      <c r="NZV53" s="12"/>
      <c r="NZW53" s="12"/>
      <c r="NZX53" s="12"/>
      <c r="NZY53" s="12"/>
      <c r="NZZ53" s="12"/>
      <c r="OAA53" s="12"/>
      <c r="OAB53" s="12"/>
      <c r="OAC53" s="12"/>
      <c r="OAD53" s="12"/>
      <c r="OAE53" s="12"/>
      <c r="OAF53" s="12"/>
      <c r="OAG53" s="12"/>
      <c r="OAH53" s="12"/>
      <c r="OAI53" s="12"/>
      <c r="OAJ53" s="12"/>
      <c r="OAK53" s="12"/>
      <c r="OAL53" s="12"/>
      <c r="OAM53" s="12"/>
      <c r="OAN53" s="12"/>
      <c r="OAO53" s="12"/>
      <c r="OAP53" s="12"/>
      <c r="OAQ53" s="12"/>
      <c r="OAR53" s="12"/>
      <c r="OAS53" s="12"/>
      <c r="OAT53" s="12"/>
      <c r="OAU53" s="12"/>
      <c r="OAV53" s="12"/>
      <c r="OAW53" s="12"/>
      <c r="OAX53" s="12"/>
      <c r="OAY53" s="12"/>
      <c r="OAZ53" s="12"/>
      <c r="OBA53" s="12"/>
      <c r="OBB53" s="12"/>
      <c r="OBC53" s="12"/>
      <c r="OBD53" s="12"/>
      <c r="OBE53" s="12"/>
      <c r="OBF53" s="12"/>
      <c r="OBG53" s="12"/>
      <c r="OBH53" s="12"/>
      <c r="OBI53" s="12"/>
      <c r="OBJ53" s="12"/>
      <c r="OBK53" s="12"/>
      <c r="OBL53" s="12"/>
      <c r="OBM53" s="12"/>
      <c r="OBN53" s="12"/>
      <c r="OBO53" s="12"/>
      <c r="OBP53" s="12"/>
      <c r="OBQ53" s="12"/>
      <c r="OBR53" s="12"/>
      <c r="OBS53" s="12"/>
      <c r="OBT53" s="12"/>
      <c r="OBU53" s="12"/>
      <c r="OBV53" s="12"/>
      <c r="OBW53" s="12"/>
      <c r="OBX53" s="12"/>
      <c r="OBY53" s="12"/>
      <c r="OBZ53" s="12"/>
      <c r="OCA53" s="12"/>
      <c r="OCB53" s="12"/>
      <c r="OCC53" s="12"/>
      <c r="OCD53" s="12"/>
      <c r="OCE53" s="12"/>
      <c r="OCF53" s="12"/>
      <c r="OCG53" s="12"/>
      <c r="OCH53" s="12"/>
      <c r="OCI53" s="12"/>
      <c r="OCJ53" s="12"/>
      <c r="OCK53" s="12"/>
      <c r="OCL53" s="12"/>
      <c r="OCM53" s="12"/>
      <c r="OCN53" s="12"/>
      <c r="OCO53" s="12"/>
      <c r="OCP53" s="12"/>
      <c r="OCQ53" s="12"/>
      <c r="OCR53" s="12"/>
      <c r="OCS53" s="12"/>
      <c r="OCT53" s="12"/>
      <c r="OCU53" s="12"/>
      <c r="OCV53" s="12"/>
      <c r="OCW53" s="12"/>
      <c r="OCX53" s="12"/>
      <c r="OCY53" s="12"/>
      <c r="OCZ53" s="12"/>
      <c r="ODA53" s="12"/>
      <c r="ODB53" s="12"/>
      <c r="ODC53" s="12"/>
      <c r="ODD53" s="12"/>
      <c r="ODE53" s="12"/>
      <c r="ODF53" s="12"/>
      <c r="ODG53" s="12"/>
      <c r="ODH53" s="12"/>
      <c r="ODI53" s="12"/>
      <c r="ODJ53" s="12"/>
      <c r="ODK53" s="12"/>
      <c r="ODL53" s="12"/>
      <c r="ODM53" s="12"/>
      <c r="ODN53" s="12"/>
      <c r="ODO53" s="12"/>
      <c r="ODP53" s="12"/>
      <c r="ODQ53" s="12"/>
      <c r="ODR53" s="12"/>
      <c r="ODS53" s="12"/>
      <c r="ODT53" s="12"/>
      <c r="ODU53" s="12"/>
      <c r="ODV53" s="12"/>
      <c r="ODW53" s="12"/>
      <c r="ODX53" s="12"/>
      <c r="ODY53" s="12"/>
      <c r="ODZ53" s="12"/>
      <c r="OEA53" s="12"/>
      <c r="OEB53" s="12"/>
      <c r="OEC53" s="12"/>
      <c r="OED53" s="12"/>
      <c r="OEE53" s="12"/>
      <c r="OEF53" s="12"/>
      <c r="OEG53" s="12"/>
      <c r="OEH53" s="12"/>
      <c r="OEI53" s="12"/>
      <c r="OEJ53" s="12"/>
      <c r="OEK53" s="12"/>
      <c r="OEL53" s="12"/>
      <c r="OEM53" s="12"/>
      <c r="OEN53" s="12"/>
      <c r="OEO53" s="12"/>
      <c r="OEP53" s="12"/>
      <c r="OEQ53" s="12"/>
      <c r="OER53" s="12"/>
      <c r="OES53" s="12"/>
      <c r="OET53" s="12"/>
      <c r="OEU53" s="12"/>
      <c r="OEV53" s="12"/>
      <c r="OEW53" s="12"/>
      <c r="OEX53" s="12"/>
      <c r="OEY53" s="12"/>
      <c r="OEZ53" s="12"/>
      <c r="OFA53" s="12"/>
      <c r="OFB53" s="12"/>
      <c r="OFC53" s="12"/>
      <c r="OFD53" s="12"/>
      <c r="OFE53" s="12"/>
      <c r="OFF53" s="12"/>
      <c r="OFG53" s="12"/>
      <c r="OFH53" s="12"/>
      <c r="OFI53" s="12"/>
      <c r="OFJ53" s="12"/>
      <c r="OFK53" s="12"/>
      <c r="OFL53" s="12"/>
      <c r="OFM53" s="12"/>
      <c r="OFN53" s="12"/>
      <c r="OFO53" s="12"/>
      <c r="OFP53" s="12"/>
      <c r="OFQ53" s="12"/>
      <c r="OFR53" s="12"/>
      <c r="OFS53" s="12"/>
      <c r="OFT53" s="12"/>
      <c r="OFU53" s="12"/>
      <c r="OFV53" s="12"/>
      <c r="OFW53" s="12"/>
      <c r="OFX53" s="12"/>
      <c r="OFY53" s="12"/>
      <c r="OFZ53" s="12"/>
      <c r="OGA53" s="12"/>
      <c r="OGB53" s="12"/>
      <c r="OGC53" s="12"/>
      <c r="OGD53" s="12"/>
      <c r="OGE53" s="12"/>
      <c r="OGF53" s="12"/>
      <c r="OGG53" s="12"/>
      <c r="OGH53" s="12"/>
      <c r="OGI53" s="12"/>
      <c r="OGJ53" s="12"/>
      <c r="OGK53" s="12"/>
      <c r="OGL53" s="12"/>
      <c r="OGM53" s="12"/>
      <c r="OGN53" s="12"/>
      <c r="OGO53" s="12"/>
      <c r="OGP53" s="12"/>
      <c r="OGQ53" s="12"/>
      <c r="OGR53" s="12"/>
      <c r="OGS53" s="12"/>
      <c r="OGT53" s="12"/>
      <c r="OGU53" s="12"/>
      <c r="OGV53" s="12"/>
      <c r="OGW53" s="12"/>
      <c r="OGX53" s="12"/>
      <c r="OGY53" s="12"/>
      <c r="OGZ53" s="12"/>
      <c r="OHA53" s="12"/>
      <c r="OHB53" s="12"/>
      <c r="OHC53" s="12"/>
      <c r="OHD53" s="12"/>
      <c r="OHE53" s="12"/>
      <c r="OHF53" s="12"/>
      <c r="OHG53" s="12"/>
      <c r="OHH53" s="12"/>
      <c r="OHI53" s="12"/>
      <c r="OHJ53" s="12"/>
      <c r="OHK53" s="12"/>
      <c r="OHL53" s="12"/>
      <c r="OHM53" s="12"/>
      <c r="OHN53" s="12"/>
      <c r="OHO53" s="12"/>
      <c r="OHP53" s="12"/>
      <c r="OHQ53" s="12"/>
      <c r="OHR53" s="12"/>
      <c r="OHS53" s="12"/>
      <c r="OHT53" s="12"/>
      <c r="OHU53" s="12"/>
      <c r="OHV53" s="12"/>
      <c r="OHW53" s="12"/>
      <c r="OHX53" s="12"/>
      <c r="OHY53" s="12"/>
      <c r="OHZ53" s="12"/>
      <c r="OIA53" s="12"/>
      <c r="OIB53" s="12"/>
      <c r="OIC53" s="12"/>
      <c r="OID53" s="12"/>
      <c r="OIE53" s="12"/>
      <c r="OIF53" s="12"/>
      <c r="OIG53" s="12"/>
      <c r="OIH53" s="12"/>
      <c r="OII53" s="12"/>
      <c r="OIJ53" s="12"/>
      <c r="OIK53" s="12"/>
      <c r="OIL53" s="12"/>
      <c r="OIM53" s="12"/>
      <c r="OIN53" s="12"/>
      <c r="OIO53" s="12"/>
      <c r="OIP53" s="12"/>
      <c r="OIQ53" s="12"/>
      <c r="OIR53" s="12"/>
      <c r="OIS53" s="12"/>
      <c r="OIT53" s="12"/>
      <c r="OIU53" s="12"/>
      <c r="OIV53" s="12"/>
      <c r="OIW53" s="12"/>
      <c r="OIX53" s="12"/>
      <c r="OIY53" s="12"/>
      <c r="OIZ53" s="12"/>
      <c r="OJA53" s="12"/>
      <c r="OJB53" s="12"/>
      <c r="OJC53" s="12"/>
      <c r="OJD53" s="12"/>
      <c r="OJE53" s="12"/>
      <c r="OJF53" s="12"/>
      <c r="OJG53" s="12"/>
      <c r="OJH53" s="12"/>
      <c r="OJI53" s="12"/>
      <c r="OJJ53" s="12"/>
      <c r="OJK53" s="12"/>
      <c r="OJL53" s="12"/>
      <c r="OJM53" s="12"/>
      <c r="OJN53" s="12"/>
      <c r="OJO53" s="12"/>
      <c r="OJP53" s="12"/>
      <c r="OJQ53" s="12"/>
      <c r="OJR53" s="12"/>
      <c r="OJS53" s="12"/>
      <c r="OJT53" s="12"/>
      <c r="OJU53" s="12"/>
      <c r="OJV53" s="12"/>
      <c r="OJW53" s="12"/>
      <c r="OJX53" s="12"/>
      <c r="OJY53" s="12"/>
      <c r="OJZ53" s="12"/>
      <c r="OKA53" s="12"/>
      <c r="OKB53" s="12"/>
      <c r="OKC53" s="12"/>
      <c r="OKD53" s="12"/>
      <c r="OKE53" s="12"/>
      <c r="OKF53" s="12"/>
      <c r="OKG53" s="12"/>
      <c r="OKH53" s="12"/>
      <c r="OKI53" s="12"/>
      <c r="OKJ53" s="12"/>
      <c r="OKK53" s="12"/>
      <c r="OKL53" s="12"/>
      <c r="OKM53" s="12"/>
      <c r="OKN53" s="12"/>
      <c r="OKO53" s="12"/>
      <c r="OKP53" s="12"/>
      <c r="OKQ53" s="12"/>
      <c r="OKR53" s="12"/>
      <c r="OKS53" s="12"/>
      <c r="OKT53" s="12"/>
      <c r="OKU53" s="12"/>
      <c r="OKV53" s="12"/>
      <c r="OKW53" s="12"/>
      <c r="OKX53" s="12"/>
      <c r="OKY53" s="12"/>
      <c r="OKZ53" s="12"/>
      <c r="OLA53" s="12"/>
      <c r="OLB53" s="12"/>
      <c r="OLC53" s="12"/>
      <c r="OLD53" s="12"/>
      <c r="OLE53" s="12"/>
      <c r="OLF53" s="12"/>
      <c r="OLG53" s="12"/>
      <c r="OLH53" s="12"/>
      <c r="OLI53" s="12"/>
      <c r="OLJ53" s="12"/>
      <c r="OLK53" s="12"/>
      <c r="OLL53" s="12"/>
      <c r="OLM53" s="12"/>
      <c r="OLN53" s="12"/>
      <c r="OLO53" s="12"/>
      <c r="OLP53" s="12"/>
      <c r="OLQ53" s="12"/>
      <c r="OLR53" s="12"/>
      <c r="OLS53" s="12"/>
      <c r="OLT53" s="12"/>
      <c r="OLU53" s="12"/>
      <c r="OLV53" s="12"/>
      <c r="OLW53" s="12"/>
      <c r="OLX53" s="12"/>
      <c r="OLY53" s="12"/>
      <c r="OLZ53" s="12"/>
      <c r="OMA53" s="12"/>
      <c r="OMB53" s="12"/>
      <c r="OMC53" s="12"/>
      <c r="OMD53" s="12"/>
      <c r="OME53" s="12"/>
      <c r="OMF53" s="12"/>
      <c r="OMG53" s="12"/>
      <c r="OMH53" s="12"/>
      <c r="OMI53" s="12"/>
      <c r="OMJ53" s="12"/>
      <c r="OMK53" s="12"/>
      <c r="OML53" s="12"/>
      <c r="OMM53" s="12"/>
      <c r="OMN53" s="12"/>
      <c r="OMO53" s="12"/>
      <c r="OMP53" s="12"/>
      <c r="OMQ53" s="12"/>
      <c r="OMR53" s="12"/>
      <c r="OMS53" s="12"/>
      <c r="OMT53" s="12"/>
      <c r="OMU53" s="12"/>
      <c r="OMV53" s="12"/>
      <c r="OMW53" s="12"/>
      <c r="OMX53" s="12"/>
      <c r="OMY53" s="12"/>
      <c r="OMZ53" s="12"/>
      <c r="ONA53" s="12"/>
      <c r="ONB53" s="12"/>
      <c r="ONC53" s="12"/>
      <c r="OND53" s="12"/>
      <c r="ONE53" s="12"/>
      <c r="ONF53" s="12"/>
      <c r="ONG53" s="12"/>
      <c r="ONH53" s="12"/>
      <c r="ONI53" s="12"/>
      <c r="ONJ53" s="12"/>
      <c r="ONK53" s="12"/>
      <c r="ONL53" s="12"/>
      <c r="ONM53" s="12"/>
      <c r="ONN53" s="12"/>
      <c r="ONO53" s="12"/>
      <c r="ONP53" s="12"/>
      <c r="ONQ53" s="12"/>
      <c r="ONR53" s="12"/>
      <c r="ONS53" s="12"/>
      <c r="ONT53" s="12"/>
      <c r="ONU53" s="12"/>
      <c r="ONV53" s="12"/>
      <c r="ONW53" s="12"/>
      <c r="ONX53" s="12"/>
      <c r="ONY53" s="12"/>
      <c r="ONZ53" s="12"/>
      <c r="OOA53" s="12"/>
      <c r="OOB53" s="12"/>
      <c r="OOC53" s="12"/>
      <c r="OOD53" s="12"/>
      <c r="OOE53" s="12"/>
      <c r="OOF53" s="12"/>
      <c r="OOG53" s="12"/>
      <c r="OOH53" s="12"/>
      <c r="OOI53" s="12"/>
      <c r="OOJ53" s="12"/>
      <c r="OOK53" s="12"/>
      <c r="OOL53" s="12"/>
      <c r="OOM53" s="12"/>
      <c r="OON53" s="12"/>
      <c r="OOO53" s="12"/>
      <c r="OOP53" s="12"/>
      <c r="OOQ53" s="12"/>
      <c r="OOR53" s="12"/>
      <c r="OOS53" s="12"/>
      <c r="OOT53" s="12"/>
      <c r="OOU53" s="12"/>
      <c r="OOV53" s="12"/>
      <c r="OOW53" s="12"/>
      <c r="OOX53" s="12"/>
      <c r="OOY53" s="12"/>
      <c r="OOZ53" s="12"/>
      <c r="OPA53" s="12"/>
      <c r="OPB53" s="12"/>
      <c r="OPC53" s="12"/>
      <c r="OPD53" s="12"/>
      <c r="OPE53" s="12"/>
      <c r="OPF53" s="12"/>
      <c r="OPG53" s="12"/>
      <c r="OPH53" s="12"/>
      <c r="OPI53" s="12"/>
      <c r="OPJ53" s="12"/>
      <c r="OPK53" s="12"/>
      <c r="OPL53" s="12"/>
      <c r="OPM53" s="12"/>
      <c r="OPN53" s="12"/>
      <c r="OPO53" s="12"/>
      <c r="OPP53" s="12"/>
      <c r="OPQ53" s="12"/>
      <c r="OPR53" s="12"/>
      <c r="OPS53" s="12"/>
      <c r="OPT53" s="12"/>
      <c r="OPU53" s="12"/>
      <c r="OPV53" s="12"/>
      <c r="OPW53" s="12"/>
      <c r="OPX53" s="12"/>
      <c r="OPY53" s="12"/>
      <c r="OPZ53" s="12"/>
      <c r="OQA53" s="12"/>
      <c r="OQB53" s="12"/>
      <c r="OQC53" s="12"/>
      <c r="OQD53" s="12"/>
      <c r="OQE53" s="12"/>
      <c r="OQF53" s="12"/>
      <c r="OQG53" s="12"/>
      <c r="OQH53" s="12"/>
      <c r="OQI53" s="12"/>
      <c r="OQJ53" s="12"/>
      <c r="OQK53" s="12"/>
      <c r="OQL53" s="12"/>
      <c r="OQM53" s="12"/>
      <c r="OQN53" s="12"/>
      <c r="OQO53" s="12"/>
      <c r="OQP53" s="12"/>
      <c r="OQQ53" s="12"/>
      <c r="OQR53" s="12"/>
      <c r="OQS53" s="12"/>
      <c r="OQT53" s="12"/>
      <c r="OQU53" s="12"/>
      <c r="OQV53" s="12"/>
      <c r="OQW53" s="12"/>
      <c r="OQX53" s="12"/>
      <c r="OQY53" s="12"/>
      <c r="OQZ53" s="12"/>
      <c r="ORA53" s="12"/>
      <c r="ORB53" s="12"/>
      <c r="ORC53" s="12"/>
      <c r="ORD53" s="12"/>
      <c r="ORE53" s="12"/>
      <c r="ORF53" s="12"/>
      <c r="ORG53" s="12"/>
      <c r="ORH53" s="12"/>
      <c r="ORI53" s="12"/>
      <c r="ORJ53" s="12"/>
      <c r="ORK53" s="12"/>
      <c r="ORL53" s="12"/>
      <c r="ORM53" s="12"/>
      <c r="ORN53" s="12"/>
      <c r="ORO53" s="12"/>
      <c r="ORP53" s="12"/>
      <c r="ORQ53" s="12"/>
      <c r="ORR53" s="12"/>
      <c r="ORS53" s="12"/>
      <c r="ORT53" s="12"/>
      <c r="ORU53" s="12"/>
      <c r="ORV53" s="12"/>
      <c r="ORW53" s="12"/>
      <c r="ORX53" s="12"/>
      <c r="ORY53" s="12"/>
      <c r="ORZ53" s="12"/>
      <c r="OSA53" s="12"/>
      <c r="OSB53" s="12"/>
      <c r="OSC53" s="12"/>
      <c r="OSD53" s="12"/>
      <c r="OSE53" s="12"/>
      <c r="OSF53" s="12"/>
      <c r="OSG53" s="12"/>
      <c r="OSH53" s="12"/>
      <c r="OSI53" s="12"/>
      <c r="OSJ53" s="12"/>
      <c r="OSK53" s="12"/>
      <c r="OSL53" s="12"/>
      <c r="OSM53" s="12"/>
      <c r="OSN53" s="12"/>
      <c r="OSO53" s="12"/>
      <c r="OSP53" s="12"/>
      <c r="OSQ53" s="12"/>
      <c r="OSR53" s="12"/>
      <c r="OSS53" s="12"/>
      <c r="OST53" s="12"/>
      <c r="OSU53" s="12"/>
      <c r="OSV53" s="12"/>
      <c r="OSW53" s="12"/>
      <c r="OSX53" s="12"/>
      <c r="OSY53" s="12"/>
      <c r="OSZ53" s="12"/>
      <c r="OTA53" s="12"/>
      <c r="OTB53" s="12"/>
      <c r="OTC53" s="12"/>
      <c r="OTD53" s="12"/>
      <c r="OTE53" s="12"/>
      <c r="OTF53" s="12"/>
      <c r="OTG53" s="12"/>
      <c r="OTH53" s="12"/>
      <c r="OTI53" s="12"/>
      <c r="OTJ53" s="12"/>
      <c r="OTK53" s="12"/>
      <c r="OTL53" s="12"/>
      <c r="OTM53" s="12"/>
      <c r="OTN53" s="12"/>
      <c r="OTO53" s="12"/>
      <c r="OTP53" s="12"/>
      <c r="OTQ53" s="12"/>
      <c r="OTR53" s="12"/>
      <c r="OTS53" s="12"/>
      <c r="OTT53" s="12"/>
      <c r="OTU53" s="12"/>
      <c r="OTV53" s="12"/>
      <c r="OTW53" s="12"/>
      <c r="OTX53" s="12"/>
      <c r="OTY53" s="12"/>
      <c r="OTZ53" s="12"/>
      <c r="OUA53" s="12"/>
      <c r="OUB53" s="12"/>
      <c r="OUC53" s="12"/>
      <c r="OUD53" s="12"/>
      <c r="OUE53" s="12"/>
      <c r="OUF53" s="12"/>
      <c r="OUG53" s="12"/>
      <c r="OUH53" s="12"/>
      <c r="OUI53" s="12"/>
      <c r="OUJ53" s="12"/>
      <c r="OUK53" s="12"/>
      <c r="OUL53" s="12"/>
      <c r="OUM53" s="12"/>
      <c r="OUN53" s="12"/>
      <c r="OUO53" s="12"/>
      <c r="OUP53" s="12"/>
      <c r="OUQ53" s="12"/>
      <c r="OUR53" s="12"/>
      <c r="OUS53" s="12"/>
      <c r="OUT53" s="12"/>
      <c r="OUU53" s="12"/>
      <c r="OUV53" s="12"/>
      <c r="OUW53" s="12"/>
      <c r="OUX53" s="12"/>
      <c r="OUY53" s="12"/>
      <c r="OUZ53" s="12"/>
      <c r="OVA53" s="12"/>
      <c r="OVB53" s="12"/>
      <c r="OVC53" s="12"/>
      <c r="OVD53" s="12"/>
      <c r="OVE53" s="12"/>
      <c r="OVF53" s="12"/>
      <c r="OVG53" s="12"/>
      <c r="OVH53" s="12"/>
      <c r="OVI53" s="12"/>
      <c r="OVJ53" s="12"/>
      <c r="OVK53" s="12"/>
      <c r="OVL53" s="12"/>
      <c r="OVM53" s="12"/>
      <c r="OVN53" s="12"/>
      <c r="OVO53" s="12"/>
      <c r="OVP53" s="12"/>
      <c r="OVQ53" s="12"/>
      <c r="OVR53" s="12"/>
      <c r="OVS53" s="12"/>
      <c r="OVT53" s="12"/>
      <c r="OVU53" s="12"/>
      <c r="OVV53" s="12"/>
      <c r="OVW53" s="12"/>
      <c r="OVX53" s="12"/>
      <c r="OVY53" s="12"/>
      <c r="OVZ53" s="12"/>
      <c r="OWA53" s="12"/>
      <c r="OWB53" s="12"/>
      <c r="OWC53" s="12"/>
      <c r="OWD53" s="12"/>
      <c r="OWE53" s="12"/>
      <c r="OWF53" s="12"/>
      <c r="OWG53" s="12"/>
      <c r="OWH53" s="12"/>
      <c r="OWI53" s="12"/>
      <c r="OWJ53" s="12"/>
      <c r="OWK53" s="12"/>
      <c r="OWL53" s="12"/>
      <c r="OWM53" s="12"/>
      <c r="OWN53" s="12"/>
      <c r="OWO53" s="12"/>
      <c r="OWP53" s="12"/>
      <c r="OWQ53" s="12"/>
      <c r="OWR53" s="12"/>
      <c r="OWS53" s="12"/>
      <c r="OWT53" s="12"/>
      <c r="OWU53" s="12"/>
      <c r="OWV53" s="12"/>
      <c r="OWW53" s="12"/>
      <c r="OWX53" s="12"/>
      <c r="OWY53" s="12"/>
      <c r="OWZ53" s="12"/>
      <c r="OXA53" s="12"/>
      <c r="OXB53" s="12"/>
      <c r="OXC53" s="12"/>
      <c r="OXD53" s="12"/>
      <c r="OXE53" s="12"/>
      <c r="OXF53" s="12"/>
      <c r="OXG53" s="12"/>
      <c r="OXH53" s="12"/>
      <c r="OXI53" s="12"/>
      <c r="OXJ53" s="12"/>
      <c r="OXK53" s="12"/>
      <c r="OXL53" s="12"/>
      <c r="OXM53" s="12"/>
      <c r="OXN53" s="12"/>
      <c r="OXO53" s="12"/>
      <c r="OXP53" s="12"/>
      <c r="OXQ53" s="12"/>
      <c r="OXR53" s="12"/>
      <c r="OXS53" s="12"/>
      <c r="OXT53" s="12"/>
      <c r="OXU53" s="12"/>
      <c r="OXV53" s="12"/>
      <c r="OXW53" s="12"/>
      <c r="OXX53" s="12"/>
      <c r="OXY53" s="12"/>
      <c r="OXZ53" s="12"/>
      <c r="OYA53" s="12"/>
      <c r="OYB53" s="12"/>
      <c r="OYC53" s="12"/>
      <c r="OYD53" s="12"/>
      <c r="OYE53" s="12"/>
      <c r="OYF53" s="12"/>
      <c r="OYG53" s="12"/>
      <c r="OYH53" s="12"/>
      <c r="OYI53" s="12"/>
      <c r="OYJ53" s="12"/>
      <c r="OYK53" s="12"/>
      <c r="OYL53" s="12"/>
      <c r="OYM53" s="12"/>
      <c r="OYN53" s="12"/>
      <c r="OYO53" s="12"/>
      <c r="OYP53" s="12"/>
      <c r="OYQ53" s="12"/>
      <c r="OYR53" s="12"/>
      <c r="OYS53" s="12"/>
      <c r="OYT53" s="12"/>
      <c r="OYU53" s="12"/>
      <c r="OYV53" s="12"/>
      <c r="OYW53" s="12"/>
      <c r="OYX53" s="12"/>
      <c r="OYY53" s="12"/>
      <c r="OYZ53" s="12"/>
      <c r="OZA53" s="12"/>
      <c r="OZB53" s="12"/>
      <c r="OZC53" s="12"/>
      <c r="OZD53" s="12"/>
      <c r="OZE53" s="12"/>
      <c r="OZF53" s="12"/>
      <c r="OZG53" s="12"/>
      <c r="OZH53" s="12"/>
      <c r="OZI53" s="12"/>
      <c r="OZJ53" s="12"/>
      <c r="OZK53" s="12"/>
      <c r="OZL53" s="12"/>
      <c r="OZM53" s="12"/>
      <c r="OZN53" s="12"/>
      <c r="OZO53" s="12"/>
      <c r="OZP53" s="12"/>
      <c r="OZQ53" s="12"/>
      <c r="OZR53" s="12"/>
      <c r="OZS53" s="12"/>
      <c r="OZT53" s="12"/>
      <c r="OZU53" s="12"/>
      <c r="OZV53" s="12"/>
      <c r="OZW53" s="12"/>
      <c r="OZX53" s="12"/>
      <c r="OZY53" s="12"/>
      <c r="OZZ53" s="12"/>
      <c r="PAA53" s="12"/>
      <c r="PAB53" s="12"/>
      <c r="PAC53" s="12"/>
      <c r="PAD53" s="12"/>
      <c r="PAE53" s="12"/>
      <c r="PAF53" s="12"/>
      <c r="PAG53" s="12"/>
      <c r="PAH53" s="12"/>
      <c r="PAI53" s="12"/>
      <c r="PAJ53" s="12"/>
      <c r="PAK53" s="12"/>
      <c r="PAL53" s="12"/>
      <c r="PAM53" s="12"/>
      <c r="PAN53" s="12"/>
      <c r="PAO53" s="12"/>
      <c r="PAP53" s="12"/>
      <c r="PAQ53" s="12"/>
      <c r="PAR53" s="12"/>
      <c r="PAS53" s="12"/>
      <c r="PAT53" s="12"/>
      <c r="PAU53" s="12"/>
      <c r="PAV53" s="12"/>
      <c r="PAW53" s="12"/>
      <c r="PAX53" s="12"/>
      <c r="PAY53" s="12"/>
      <c r="PAZ53" s="12"/>
      <c r="PBA53" s="12"/>
      <c r="PBB53" s="12"/>
      <c r="PBC53" s="12"/>
      <c r="PBD53" s="12"/>
      <c r="PBE53" s="12"/>
      <c r="PBF53" s="12"/>
      <c r="PBG53" s="12"/>
      <c r="PBH53" s="12"/>
      <c r="PBI53" s="12"/>
      <c r="PBJ53" s="12"/>
      <c r="PBK53" s="12"/>
      <c r="PBL53" s="12"/>
      <c r="PBM53" s="12"/>
      <c r="PBN53" s="12"/>
      <c r="PBO53" s="12"/>
      <c r="PBP53" s="12"/>
      <c r="PBQ53" s="12"/>
      <c r="PBR53" s="12"/>
      <c r="PBS53" s="12"/>
      <c r="PBT53" s="12"/>
      <c r="PBU53" s="12"/>
      <c r="PBV53" s="12"/>
      <c r="PBW53" s="12"/>
      <c r="PBX53" s="12"/>
      <c r="PBY53" s="12"/>
      <c r="PBZ53" s="12"/>
      <c r="PCA53" s="12"/>
      <c r="PCB53" s="12"/>
      <c r="PCC53" s="12"/>
      <c r="PCD53" s="12"/>
      <c r="PCE53" s="12"/>
      <c r="PCF53" s="12"/>
      <c r="PCG53" s="12"/>
      <c r="PCH53" s="12"/>
      <c r="PCI53" s="12"/>
      <c r="PCJ53" s="12"/>
      <c r="PCK53" s="12"/>
      <c r="PCL53" s="12"/>
      <c r="PCM53" s="12"/>
      <c r="PCN53" s="12"/>
      <c r="PCO53" s="12"/>
      <c r="PCP53" s="12"/>
      <c r="PCQ53" s="12"/>
      <c r="PCR53" s="12"/>
      <c r="PCS53" s="12"/>
      <c r="PCT53" s="12"/>
      <c r="PCU53" s="12"/>
      <c r="PCV53" s="12"/>
      <c r="PCW53" s="12"/>
      <c r="PCX53" s="12"/>
      <c r="PCY53" s="12"/>
      <c r="PCZ53" s="12"/>
      <c r="PDA53" s="12"/>
      <c r="PDB53" s="12"/>
      <c r="PDC53" s="12"/>
      <c r="PDD53" s="12"/>
      <c r="PDE53" s="12"/>
      <c r="PDF53" s="12"/>
      <c r="PDG53" s="12"/>
      <c r="PDH53" s="12"/>
      <c r="PDI53" s="12"/>
      <c r="PDJ53" s="12"/>
      <c r="PDK53" s="12"/>
      <c r="PDL53" s="12"/>
      <c r="PDM53" s="12"/>
      <c r="PDN53" s="12"/>
      <c r="PDO53" s="12"/>
      <c r="PDP53" s="12"/>
      <c r="PDQ53" s="12"/>
      <c r="PDR53" s="12"/>
      <c r="PDS53" s="12"/>
      <c r="PDT53" s="12"/>
      <c r="PDU53" s="12"/>
      <c r="PDV53" s="12"/>
      <c r="PDW53" s="12"/>
      <c r="PDX53" s="12"/>
      <c r="PDY53" s="12"/>
      <c r="PDZ53" s="12"/>
      <c r="PEA53" s="12"/>
      <c r="PEB53" s="12"/>
      <c r="PEC53" s="12"/>
      <c r="PED53" s="12"/>
      <c r="PEE53" s="12"/>
      <c r="PEF53" s="12"/>
      <c r="PEG53" s="12"/>
      <c r="PEH53" s="12"/>
      <c r="PEI53" s="12"/>
      <c r="PEJ53" s="12"/>
      <c r="PEK53" s="12"/>
      <c r="PEL53" s="12"/>
      <c r="PEM53" s="12"/>
      <c r="PEN53" s="12"/>
      <c r="PEO53" s="12"/>
      <c r="PEP53" s="12"/>
      <c r="PEQ53" s="12"/>
      <c r="PER53" s="12"/>
      <c r="PES53" s="12"/>
      <c r="PET53" s="12"/>
      <c r="PEU53" s="12"/>
      <c r="PEV53" s="12"/>
      <c r="PEW53" s="12"/>
      <c r="PEX53" s="12"/>
      <c r="PEY53" s="12"/>
      <c r="PEZ53" s="12"/>
      <c r="PFA53" s="12"/>
      <c r="PFB53" s="12"/>
      <c r="PFC53" s="12"/>
      <c r="PFD53" s="12"/>
      <c r="PFE53" s="12"/>
      <c r="PFF53" s="12"/>
      <c r="PFG53" s="12"/>
      <c r="PFH53" s="12"/>
      <c r="PFI53" s="12"/>
      <c r="PFJ53" s="12"/>
      <c r="PFK53" s="12"/>
      <c r="PFL53" s="12"/>
      <c r="PFM53" s="12"/>
      <c r="PFN53" s="12"/>
      <c r="PFO53" s="12"/>
      <c r="PFP53" s="12"/>
      <c r="PFQ53" s="12"/>
      <c r="PFR53" s="12"/>
      <c r="PFS53" s="12"/>
      <c r="PFT53" s="12"/>
      <c r="PFU53" s="12"/>
      <c r="PFV53" s="12"/>
      <c r="PFW53" s="12"/>
      <c r="PFX53" s="12"/>
      <c r="PFY53" s="12"/>
      <c r="PFZ53" s="12"/>
      <c r="PGA53" s="12"/>
      <c r="PGB53" s="12"/>
      <c r="PGC53" s="12"/>
      <c r="PGD53" s="12"/>
      <c r="PGE53" s="12"/>
      <c r="PGF53" s="12"/>
      <c r="PGG53" s="12"/>
      <c r="PGH53" s="12"/>
      <c r="PGI53" s="12"/>
      <c r="PGJ53" s="12"/>
      <c r="PGK53" s="12"/>
      <c r="PGL53" s="12"/>
      <c r="PGM53" s="12"/>
      <c r="PGN53" s="12"/>
      <c r="PGO53" s="12"/>
      <c r="PGP53" s="12"/>
      <c r="PGQ53" s="12"/>
      <c r="PGR53" s="12"/>
      <c r="PGS53" s="12"/>
      <c r="PGT53" s="12"/>
      <c r="PGU53" s="12"/>
      <c r="PGV53" s="12"/>
      <c r="PGW53" s="12"/>
      <c r="PGX53" s="12"/>
      <c r="PGY53" s="12"/>
      <c r="PGZ53" s="12"/>
      <c r="PHA53" s="12"/>
      <c r="PHB53" s="12"/>
      <c r="PHC53" s="12"/>
      <c r="PHD53" s="12"/>
      <c r="PHE53" s="12"/>
      <c r="PHF53" s="12"/>
      <c r="PHG53" s="12"/>
      <c r="PHH53" s="12"/>
      <c r="PHI53" s="12"/>
      <c r="PHJ53" s="12"/>
      <c r="PHK53" s="12"/>
      <c r="PHL53" s="12"/>
      <c r="PHM53" s="12"/>
      <c r="PHN53" s="12"/>
      <c r="PHO53" s="12"/>
      <c r="PHP53" s="12"/>
      <c r="PHQ53" s="12"/>
      <c r="PHR53" s="12"/>
      <c r="PHS53" s="12"/>
      <c r="PHT53" s="12"/>
      <c r="PHU53" s="12"/>
      <c r="PHV53" s="12"/>
      <c r="PHW53" s="12"/>
      <c r="PHX53" s="12"/>
      <c r="PHY53" s="12"/>
      <c r="PHZ53" s="12"/>
      <c r="PIA53" s="12"/>
      <c r="PIB53" s="12"/>
      <c r="PIC53" s="12"/>
      <c r="PID53" s="12"/>
      <c r="PIE53" s="12"/>
      <c r="PIF53" s="12"/>
      <c r="PIG53" s="12"/>
      <c r="PIH53" s="12"/>
      <c r="PII53" s="12"/>
      <c r="PIJ53" s="12"/>
      <c r="PIK53" s="12"/>
      <c r="PIL53" s="12"/>
      <c r="PIM53" s="12"/>
      <c r="PIN53" s="12"/>
      <c r="PIO53" s="12"/>
      <c r="PIP53" s="12"/>
      <c r="PIQ53" s="12"/>
      <c r="PIR53" s="12"/>
      <c r="PIS53" s="12"/>
      <c r="PIT53" s="12"/>
      <c r="PIU53" s="12"/>
      <c r="PIV53" s="12"/>
      <c r="PIW53" s="12"/>
      <c r="PIX53" s="12"/>
      <c r="PIY53" s="12"/>
      <c r="PIZ53" s="12"/>
      <c r="PJA53" s="12"/>
      <c r="PJB53" s="12"/>
      <c r="PJC53" s="12"/>
      <c r="PJD53" s="12"/>
      <c r="PJE53" s="12"/>
      <c r="PJF53" s="12"/>
      <c r="PJG53" s="12"/>
      <c r="PJH53" s="12"/>
      <c r="PJI53" s="12"/>
      <c r="PJJ53" s="12"/>
      <c r="PJK53" s="12"/>
      <c r="PJL53" s="12"/>
      <c r="PJM53" s="12"/>
      <c r="PJN53" s="12"/>
      <c r="PJO53" s="12"/>
      <c r="PJP53" s="12"/>
      <c r="PJQ53" s="12"/>
      <c r="PJR53" s="12"/>
      <c r="PJS53" s="12"/>
      <c r="PJT53" s="12"/>
      <c r="PJU53" s="12"/>
      <c r="PJV53" s="12"/>
      <c r="PJW53" s="12"/>
      <c r="PJX53" s="12"/>
      <c r="PJY53" s="12"/>
      <c r="PJZ53" s="12"/>
      <c r="PKA53" s="12"/>
      <c r="PKB53" s="12"/>
      <c r="PKC53" s="12"/>
      <c r="PKD53" s="12"/>
      <c r="PKE53" s="12"/>
      <c r="PKF53" s="12"/>
      <c r="PKG53" s="12"/>
      <c r="PKH53" s="12"/>
      <c r="PKI53" s="12"/>
      <c r="PKJ53" s="12"/>
      <c r="PKK53" s="12"/>
      <c r="PKL53" s="12"/>
      <c r="PKM53" s="12"/>
      <c r="PKN53" s="12"/>
      <c r="PKO53" s="12"/>
      <c r="PKP53" s="12"/>
      <c r="PKQ53" s="12"/>
      <c r="PKR53" s="12"/>
      <c r="PKS53" s="12"/>
      <c r="PKT53" s="12"/>
      <c r="PKU53" s="12"/>
      <c r="PKV53" s="12"/>
      <c r="PKW53" s="12"/>
      <c r="PKX53" s="12"/>
      <c r="PKY53" s="12"/>
      <c r="PKZ53" s="12"/>
      <c r="PLA53" s="12"/>
      <c r="PLB53" s="12"/>
      <c r="PLC53" s="12"/>
      <c r="PLD53" s="12"/>
      <c r="PLE53" s="12"/>
      <c r="PLF53" s="12"/>
      <c r="PLG53" s="12"/>
      <c r="PLH53" s="12"/>
      <c r="PLI53" s="12"/>
      <c r="PLJ53" s="12"/>
      <c r="PLK53" s="12"/>
      <c r="PLL53" s="12"/>
      <c r="PLM53" s="12"/>
      <c r="PLN53" s="12"/>
      <c r="PLO53" s="12"/>
      <c r="PLP53" s="12"/>
      <c r="PLQ53" s="12"/>
      <c r="PLR53" s="12"/>
      <c r="PLS53" s="12"/>
      <c r="PLT53" s="12"/>
      <c r="PLU53" s="12"/>
      <c r="PLV53" s="12"/>
      <c r="PLW53" s="12"/>
      <c r="PLX53" s="12"/>
      <c r="PLY53" s="12"/>
      <c r="PLZ53" s="12"/>
      <c r="PMA53" s="12"/>
      <c r="PMB53" s="12"/>
      <c r="PMC53" s="12"/>
      <c r="PMD53" s="12"/>
      <c r="PME53" s="12"/>
      <c r="PMF53" s="12"/>
      <c r="PMG53" s="12"/>
      <c r="PMH53" s="12"/>
      <c r="PMI53" s="12"/>
      <c r="PMJ53" s="12"/>
      <c r="PMK53" s="12"/>
      <c r="PML53" s="12"/>
      <c r="PMM53" s="12"/>
      <c r="PMN53" s="12"/>
      <c r="PMO53" s="12"/>
      <c r="PMP53" s="12"/>
      <c r="PMQ53" s="12"/>
      <c r="PMR53" s="12"/>
      <c r="PMS53" s="12"/>
      <c r="PMT53" s="12"/>
      <c r="PMU53" s="12"/>
      <c r="PMV53" s="12"/>
      <c r="PMW53" s="12"/>
      <c r="PMX53" s="12"/>
      <c r="PMY53" s="12"/>
      <c r="PMZ53" s="12"/>
      <c r="PNA53" s="12"/>
      <c r="PNB53" s="12"/>
      <c r="PNC53" s="12"/>
      <c r="PND53" s="12"/>
      <c r="PNE53" s="12"/>
      <c r="PNF53" s="12"/>
      <c r="PNG53" s="12"/>
      <c r="PNH53" s="12"/>
      <c r="PNI53" s="12"/>
      <c r="PNJ53" s="12"/>
      <c r="PNK53" s="12"/>
      <c r="PNL53" s="12"/>
      <c r="PNM53" s="12"/>
      <c r="PNN53" s="12"/>
      <c r="PNO53" s="12"/>
      <c r="PNP53" s="12"/>
      <c r="PNQ53" s="12"/>
      <c r="PNR53" s="12"/>
      <c r="PNS53" s="12"/>
      <c r="PNT53" s="12"/>
      <c r="PNU53" s="12"/>
      <c r="PNV53" s="12"/>
      <c r="PNW53" s="12"/>
      <c r="PNX53" s="12"/>
      <c r="PNY53" s="12"/>
      <c r="PNZ53" s="12"/>
      <c r="POA53" s="12"/>
      <c r="POB53" s="12"/>
      <c r="POC53" s="12"/>
      <c r="POD53" s="12"/>
      <c r="POE53" s="12"/>
      <c r="POF53" s="12"/>
      <c r="POG53" s="12"/>
      <c r="POH53" s="12"/>
      <c r="POI53" s="12"/>
      <c r="POJ53" s="12"/>
      <c r="POK53" s="12"/>
      <c r="POL53" s="12"/>
      <c r="POM53" s="12"/>
      <c r="PON53" s="12"/>
      <c r="POO53" s="12"/>
      <c r="POP53" s="12"/>
      <c r="POQ53" s="12"/>
      <c r="POR53" s="12"/>
      <c r="POS53" s="12"/>
      <c r="POT53" s="12"/>
      <c r="POU53" s="12"/>
      <c r="POV53" s="12"/>
      <c r="POW53" s="12"/>
      <c r="POX53" s="12"/>
      <c r="POY53" s="12"/>
      <c r="POZ53" s="12"/>
      <c r="PPA53" s="12"/>
      <c r="PPB53" s="12"/>
      <c r="PPC53" s="12"/>
      <c r="PPD53" s="12"/>
      <c r="PPE53" s="12"/>
      <c r="PPF53" s="12"/>
      <c r="PPG53" s="12"/>
      <c r="PPH53" s="12"/>
      <c r="PPI53" s="12"/>
      <c r="PPJ53" s="12"/>
      <c r="PPK53" s="12"/>
      <c r="PPL53" s="12"/>
      <c r="PPM53" s="12"/>
      <c r="PPN53" s="12"/>
      <c r="PPO53" s="12"/>
      <c r="PPP53" s="12"/>
      <c r="PPQ53" s="12"/>
      <c r="PPR53" s="12"/>
      <c r="PPS53" s="12"/>
      <c r="PPT53" s="12"/>
      <c r="PPU53" s="12"/>
      <c r="PPV53" s="12"/>
      <c r="PPW53" s="12"/>
      <c r="PPX53" s="12"/>
      <c r="PPY53" s="12"/>
      <c r="PPZ53" s="12"/>
      <c r="PQA53" s="12"/>
      <c r="PQB53" s="12"/>
      <c r="PQC53" s="12"/>
      <c r="PQD53" s="12"/>
      <c r="PQE53" s="12"/>
      <c r="PQF53" s="12"/>
      <c r="PQG53" s="12"/>
      <c r="PQH53" s="12"/>
      <c r="PQI53" s="12"/>
      <c r="PQJ53" s="12"/>
      <c r="PQK53" s="12"/>
      <c r="PQL53" s="12"/>
      <c r="PQM53" s="12"/>
      <c r="PQN53" s="12"/>
      <c r="PQO53" s="12"/>
      <c r="PQP53" s="12"/>
      <c r="PQQ53" s="12"/>
      <c r="PQR53" s="12"/>
      <c r="PQS53" s="12"/>
      <c r="PQT53" s="12"/>
      <c r="PQU53" s="12"/>
      <c r="PQV53" s="12"/>
      <c r="PQW53" s="12"/>
      <c r="PQX53" s="12"/>
      <c r="PQY53" s="12"/>
      <c r="PQZ53" s="12"/>
      <c r="PRA53" s="12"/>
      <c r="PRB53" s="12"/>
      <c r="PRC53" s="12"/>
      <c r="PRD53" s="12"/>
      <c r="PRE53" s="12"/>
      <c r="PRF53" s="12"/>
      <c r="PRG53" s="12"/>
      <c r="PRH53" s="12"/>
      <c r="PRI53" s="12"/>
      <c r="PRJ53" s="12"/>
      <c r="PRK53" s="12"/>
      <c r="PRL53" s="12"/>
      <c r="PRM53" s="12"/>
      <c r="PRN53" s="12"/>
      <c r="PRO53" s="12"/>
      <c r="PRP53" s="12"/>
      <c r="PRQ53" s="12"/>
      <c r="PRR53" s="12"/>
      <c r="PRS53" s="12"/>
      <c r="PRT53" s="12"/>
      <c r="PRU53" s="12"/>
      <c r="PRV53" s="12"/>
      <c r="PRW53" s="12"/>
      <c r="PRX53" s="12"/>
      <c r="PRY53" s="12"/>
      <c r="PRZ53" s="12"/>
      <c r="PSA53" s="12"/>
      <c r="PSB53" s="12"/>
      <c r="PSC53" s="12"/>
      <c r="PSD53" s="12"/>
      <c r="PSE53" s="12"/>
      <c r="PSF53" s="12"/>
      <c r="PSG53" s="12"/>
      <c r="PSH53" s="12"/>
      <c r="PSI53" s="12"/>
      <c r="PSJ53" s="12"/>
      <c r="PSK53" s="12"/>
      <c r="PSL53" s="12"/>
      <c r="PSM53" s="12"/>
      <c r="PSN53" s="12"/>
      <c r="PSO53" s="12"/>
      <c r="PSP53" s="12"/>
      <c r="PSQ53" s="12"/>
      <c r="PSR53" s="12"/>
      <c r="PSS53" s="12"/>
      <c r="PST53" s="12"/>
      <c r="PSU53" s="12"/>
      <c r="PSV53" s="12"/>
      <c r="PSW53" s="12"/>
      <c r="PSX53" s="12"/>
      <c r="PSY53" s="12"/>
      <c r="PSZ53" s="12"/>
      <c r="PTA53" s="12"/>
      <c r="PTB53" s="12"/>
      <c r="PTC53" s="12"/>
      <c r="PTD53" s="12"/>
      <c r="PTE53" s="12"/>
      <c r="PTF53" s="12"/>
      <c r="PTG53" s="12"/>
      <c r="PTH53" s="12"/>
      <c r="PTI53" s="12"/>
      <c r="PTJ53" s="12"/>
      <c r="PTK53" s="12"/>
      <c r="PTL53" s="12"/>
      <c r="PTM53" s="12"/>
      <c r="PTN53" s="12"/>
      <c r="PTO53" s="12"/>
      <c r="PTP53" s="12"/>
      <c r="PTQ53" s="12"/>
      <c r="PTR53" s="12"/>
      <c r="PTS53" s="12"/>
      <c r="PTT53" s="12"/>
      <c r="PTU53" s="12"/>
      <c r="PTV53" s="12"/>
      <c r="PTW53" s="12"/>
      <c r="PTX53" s="12"/>
      <c r="PTY53" s="12"/>
      <c r="PTZ53" s="12"/>
      <c r="PUA53" s="12"/>
      <c r="PUB53" s="12"/>
      <c r="PUC53" s="12"/>
      <c r="PUD53" s="12"/>
      <c r="PUE53" s="12"/>
      <c r="PUF53" s="12"/>
      <c r="PUG53" s="12"/>
      <c r="PUH53" s="12"/>
      <c r="PUI53" s="12"/>
      <c r="PUJ53" s="12"/>
      <c r="PUK53" s="12"/>
      <c r="PUL53" s="12"/>
      <c r="PUM53" s="12"/>
      <c r="PUN53" s="12"/>
      <c r="PUO53" s="12"/>
      <c r="PUP53" s="12"/>
      <c r="PUQ53" s="12"/>
      <c r="PUR53" s="12"/>
      <c r="PUS53" s="12"/>
      <c r="PUT53" s="12"/>
      <c r="PUU53" s="12"/>
      <c r="PUV53" s="12"/>
      <c r="PUW53" s="12"/>
      <c r="PUX53" s="12"/>
      <c r="PUY53" s="12"/>
      <c r="PUZ53" s="12"/>
      <c r="PVA53" s="12"/>
      <c r="PVB53" s="12"/>
      <c r="PVC53" s="12"/>
      <c r="PVD53" s="12"/>
      <c r="PVE53" s="12"/>
      <c r="PVF53" s="12"/>
      <c r="PVG53" s="12"/>
      <c r="PVH53" s="12"/>
      <c r="PVI53" s="12"/>
      <c r="PVJ53" s="12"/>
      <c r="PVK53" s="12"/>
      <c r="PVL53" s="12"/>
      <c r="PVM53" s="12"/>
      <c r="PVN53" s="12"/>
      <c r="PVO53" s="12"/>
      <c r="PVP53" s="12"/>
      <c r="PVQ53" s="12"/>
      <c r="PVR53" s="12"/>
      <c r="PVS53" s="12"/>
      <c r="PVT53" s="12"/>
      <c r="PVU53" s="12"/>
      <c r="PVV53" s="12"/>
      <c r="PVW53" s="12"/>
      <c r="PVX53" s="12"/>
      <c r="PVY53" s="12"/>
      <c r="PVZ53" s="12"/>
      <c r="PWA53" s="12"/>
      <c r="PWB53" s="12"/>
      <c r="PWC53" s="12"/>
      <c r="PWD53" s="12"/>
      <c r="PWE53" s="12"/>
      <c r="PWF53" s="12"/>
      <c r="PWG53" s="12"/>
      <c r="PWH53" s="12"/>
      <c r="PWI53" s="12"/>
      <c r="PWJ53" s="12"/>
      <c r="PWK53" s="12"/>
      <c r="PWL53" s="12"/>
      <c r="PWM53" s="12"/>
      <c r="PWN53" s="12"/>
      <c r="PWO53" s="12"/>
      <c r="PWP53" s="12"/>
      <c r="PWQ53" s="12"/>
      <c r="PWR53" s="12"/>
      <c r="PWS53" s="12"/>
      <c r="PWT53" s="12"/>
      <c r="PWU53" s="12"/>
      <c r="PWV53" s="12"/>
      <c r="PWW53" s="12"/>
      <c r="PWX53" s="12"/>
      <c r="PWY53" s="12"/>
      <c r="PWZ53" s="12"/>
      <c r="PXA53" s="12"/>
      <c r="PXB53" s="12"/>
      <c r="PXC53" s="12"/>
      <c r="PXD53" s="12"/>
      <c r="PXE53" s="12"/>
      <c r="PXF53" s="12"/>
      <c r="PXG53" s="12"/>
      <c r="PXH53" s="12"/>
      <c r="PXI53" s="12"/>
      <c r="PXJ53" s="12"/>
      <c r="PXK53" s="12"/>
      <c r="PXL53" s="12"/>
      <c r="PXM53" s="12"/>
      <c r="PXN53" s="12"/>
      <c r="PXO53" s="12"/>
      <c r="PXP53" s="12"/>
      <c r="PXQ53" s="12"/>
      <c r="PXR53" s="12"/>
      <c r="PXS53" s="12"/>
      <c r="PXT53" s="12"/>
      <c r="PXU53" s="12"/>
      <c r="PXV53" s="12"/>
      <c r="PXW53" s="12"/>
      <c r="PXX53" s="12"/>
      <c r="PXY53" s="12"/>
      <c r="PXZ53" s="12"/>
      <c r="PYA53" s="12"/>
      <c r="PYB53" s="12"/>
      <c r="PYC53" s="12"/>
      <c r="PYD53" s="12"/>
      <c r="PYE53" s="12"/>
      <c r="PYF53" s="12"/>
      <c r="PYG53" s="12"/>
      <c r="PYH53" s="12"/>
      <c r="PYI53" s="12"/>
      <c r="PYJ53" s="12"/>
      <c r="PYK53" s="12"/>
      <c r="PYL53" s="12"/>
      <c r="PYM53" s="12"/>
      <c r="PYN53" s="12"/>
      <c r="PYO53" s="12"/>
      <c r="PYP53" s="12"/>
      <c r="PYQ53" s="12"/>
      <c r="PYR53" s="12"/>
      <c r="PYS53" s="12"/>
      <c r="PYT53" s="12"/>
      <c r="PYU53" s="12"/>
      <c r="PYV53" s="12"/>
      <c r="PYW53" s="12"/>
      <c r="PYX53" s="12"/>
      <c r="PYY53" s="12"/>
      <c r="PYZ53" s="12"/>
      <c r="PZA53" s="12"/>
      <c r="PZB53" s="12"/>
      <c r="PZC53" s="12"/>
      <c r="PZD53" s="12"/>
      <c r="PZE53" s="12"/>
      <c r="PZF53" s="12"/>
      <c r="PZG53" s="12"/>
      <c r="PZH53" s="12"/>
      <c r="PZI53" s="12"/>
      <c r="PZJ53" s="12"/>
      <c r="PZK53" s="12"/>
      <c r="PZL53" s="12"/>
      <c r="PZM53" s="12"/>
      <c r="PZN53" s="12"/>
      <c r="PZO53" s="12"/>
      <c r="PZP53" s="12"/>
      <c r="PZQ53" s="12"/>
      <c r="PZR53" s="12"/>
      <c r="PZS53" s="12"/>
      <c r="PZT53" s="12"/>
      <c r="PZU53" s="12"/>
      <c r="PZV53" s="12"/>
      <c r="PZW53" s="12"/>
      <c r="PZX53" s="12"/>
      <c r="PZY53" s="12"/>
      <c r="PZZ53" s="12"/>
      <c r="QAA53" s="12"/>
      <c r="QAB53" s="12"/>
      <c r="QAC53" s="12"/>
      <c r="QAD53" s="12"/>
      <c r="QAE53" s="12"/>
      <c r="QAF53" s="12"/>
      <c r="QAG53" s="12"/>
      <c r="QAH53" s="12"/>
      <c r="QAI53" s="12"/>
      <c r="QAJ53" s="12"/>
      <c r="QAK53" s="12"/>
      <c r="QAL53" s="12"/>
      <c r="QAM53" s="12"/>
      <c r="QAN53" s="12"/>
      <c r="QAO53" s="12"/>
      <c r="QAP53" s="12"/>
      <c r="QAQ53" s="12"/>
      <c r="QAR53" s="12"/>
      <c r="QAS53" s="12"/>
      <c r="QAT53" s="12"/>
      <c r="QAU53" s="12"/>
      <c r="QAV53" s="12"/>
      <c r="QAW53" s="12"/>
      <c r="QAX53" s="12"/>
      <c r="QAY53" s="12"/>
      <c r="QAZ53" s="12"/>
      <c r="QBA53" s="12"/>
      <c r="QBB53" s="12"/>
      <c r="QBC53" s="12"/>
      <c r="QBD53" s="12"/>
      <c r="QBE53" s="12"/>
      <c r="QBF53" s="12"/>
      <c r="QBG53" s="12"/>
      <c r="QBH53" s="12"/>
      <c r="QBI53" s="12"/>
      <c r="QBJ53" s="12"/>
      <c r="QBK53" s="12"/>
      <c r="QBL53" s="12"/>
      <c r="QBM53" s="12"/>
      <c r="QBN53" s="12"/>
      <c r="QBO53" s="12"/>
      <c r="QBP53" s="12"/>
      <c r="QBQ53" s="12"/>
      <c r="QBR53" s="12"/>
      <c r="QBS53" s="12"/>
      <c r="QBT53" s="12"/>
      <c r="QBU53" s="12"/>
      <c r="QBV53" s="12"/>
      <c r="QBW53" s="12"/>
      <c r="QBX53" s="12"/>
      <c r="QBY53" s="12"/>
      <c r="QBZ53" s="12"/>
      <c r="QCA53" s="12"/>
      <c r="QCB53" s="12"/>
      <c r="QCC53" s="12"/>
      <c r="QCD53" s="12"/>
      <c r="QCE53" s="12"/>
      <c r="QCF53" s="12"/>
      <c r="QCG53" s="12"/>
      <c r="QCH53" s="12"/>
      <c r="QCI53" s="12"/>
      <c r="QCJ53" s="12"/>
      <c r="QCK53" s="12"/>
      <c r="QCL53" s="12"/>
      <c r="QCM53" s="12"/>
      <c r="QCN53" s="12"/>
      <c r="QCO53" s="12"/>
      <c r="QCP53" s="12"/>
      <c r="QCQ53" s="12"/>
      <c r="QCR53" s="12"/>
      <c r="QCS53" s="12"/>
      <c r="QCT53" s="12"/>
      <c r="QCU53" s="12"/>
      <c r="QCV53" s="12"/>
      <c r="QCW53" s="12"/>
      <c r="QCX53" s="12"/>
      <c r="QCY53" s="12"/>
      <c r="QCZ53" s="12"/>
      <c r="QDA53" s="12"/>
      <c r="QDB53" s="12"/>
      <c r="QDC53" s="12"/>
      <c r="QDD53" s="12"/>
      <c r="QDE53" s="12"/>
      <c r="QDF53" s="12"/>
      <c r="QDG53" s="12"/>
      <c r="QDH53" s="12"/>
      <c r="QDI53" s="12"/>
      <c r="QDJ53" s="12"/>
      <c r="QDK53" s="12"/>
      <c r="QDL53" s="12"/>
      <c r="QDM53" s="12"/>
      <c r="QDN53" s="12"/>
      <c r="QDO53" s="12"/>
      <c r="QDP53" s="12"/>
      <c r="QDQ53" s="12"/>
      <c r="QDR53" s="12"/>
      <c r="QDS53" s="12"/>
      <c r="QDT53" s="12"/>
      <c r="QDU53" s="12"/>
      <c r="QDV53" s="12"/>
      <c r="QDW53" s="12"/>
      <c r="QDX53" s="12"/>
      <c r="QDY53" s="12"/>
      <c r="QDZ53" s="12"/>
      <c r="QEA53" s="12"/>
      <c r="QEB53" s="12"/>
      <c r="QEC53" s="12"/>
      <c r="QED53" s="12"/>
      <c r="QEE53" s="12"/>
      <c r="QEF53" s="12"/>
      <c r="QEG53" s="12"/>
      <c r="QEH53" s="12"/>
      <c r="QEI53" s="12"/>
      <c r="QEJ53" s="12"/>
      <c r="QEK53" s="12"/>
      <c r="QEL53" s="12"/>
      <c r="QEM53" s="12"/>
      <c r="QEN53" s="12"/>
      <c r="QEO53" s="12"/>
      <c r="QEP53" s="12"/>
      <c r="QEQ53" s="12"/>
      <c r="QER53" s="12"/>
      <c r="QES53" s="12"/>
      <c r="QET53" s="12"/>
      <c r="QEU53" s="12"/>
      <c r="QEV53" s="12"/>
      <c r="QEW53" s="12"/>
      <c r="QEX53" s="12"/>
      <c r="QEY53" s="12"/>
      <c r="QEZ53" s="12"/>
      <c r="QFA53" s="12"/>
      <c r="QFB53" s="12"/>
      <c r="QFC53" s="12"/>
      <c r="QFD53" s="12"/>
      <c r="QFE53" s="12"/>
      <c r="QFF53" s="12"/>
      <c r="QFG53" s="12"/>
      <c r="QFH53" s="12"/>
      <c r="QFI53" s="12"/>
      <c r="QFJ53" s="12"/>
      <c r="QFK53" s="12"/>
      <c r="QFL53" s="12"/>
      <c r="QFM53" s="12"/>
      <c r="QFN53" s="12"/>
      <c r="QFO53" s="12"/>
      <c r="QFP53" s="12"/>
      <c r="QFQ53" s="12"/>
      <c r="QFR53" s="12"/>
      <c r="QFS53" s="12"/>
      <c r="QFT53" s="12"/>
      <c r="QFU53" s="12"/>
      <c r="QFV53" s="12"/>
      <c r="QFW53" s="12"/>
      <c r="QFX53" s="12"/>
      <c r="QFY53" s="12"/>
      <c r="QFZ53" s="12"/>
      <c r="QGA53" s="12"/>
      <c r="QGB53" s="12"/>
      <c r="QGC53" s="12"/>
      <c r="QGD53" s="12"/>
      <c r="QGE53" s="12"/>
      <c r="QGF53" s="12"/>
      <c r="QGG53" s="12"/>
      <c r="QGH53" s="12"/>
      <c r="QGI53" s="12"/>
      <c r="QGJ53" s="12"/>
      <c r="QGK53" s="12"/>
      <c r="QGL53" s="12"/>
      <c r="QGM53" s="12"/>
      <c r="QGN53" s="12"/>
      <c r="QGO53" s="12"/>
      <c r="QGP53" s="12"/>
      <c r="QGQ53" s="12"/>
      <c r="QGR53" s="12"/>
      <c r="QGS53" s="12"/>
      <c r="QGT53" s="12"/>
      <c r="QGU53" s="12"/>
      <c r="QGV53" s="12"/>
      <c r="QGW53" s="12"/>
      <c r="QGX53" s="12"/>
      <c r="QGY53" s="12"/>
      <c r="QGZ53" s="12"/>
      <c r="QHA53" s="12"/>
      <c r="QHB53" s="12"/>
      <c r="QHC53" s="12"/>
      <c r="QHD53" s="12"/>
      <c r="QHE53" s="12"/>
      <c r="QHF53" s="12"/>
      <c r="QHG53" s="12"/>
      <c r="QHH53" s="12"/>
      <c r="QHI53" s="12"/>
      <c r="QHJ53" s="12"/>
      <c r="QHK53" s="12"/>
      <c r="QHL53" s="12"/>
      <c r="QHM53" s="12"/>
      <c r="QHN53" s="12"/>
      <c r="QHO53" s="12"/>
      <c r="QHP53" s="12"/>
      <c r="QHQ53" s="12"/>
      <c r="QHR53" s="12"/>
      <c r="QHS53" s="12"/>
      <c r="QHT53" s="12"/>
      <c r="QHU53" s="12"/>
      <c r="QHV53" s="12"/>
      <c r="QHW53" s="12"/>
      <c r="QHX53" s="12"/>
      <c r="QHY53" s="12"/>
      <c r="QHZ53" s="12"/>
      <c r="QIA53" s="12"/>
      <c r="QIB53" s="12"/>
      <c r="QIC53" s="12"/>
      <c r="QID53" s="12"/>
      <c r="QIE53" s="12"/>
      <c r="QIF53" s="12"/>
      <c r="QIG53" s="12"/>
      <c r="QIH53" s="12"/>
      <c r="QII53" s="12"/>
      <c r="QIJ53" s="12"/>
      <c r="QIK53" s="12"/>
      <c r="QIL53" s="12"/>
      <c r="QIM53" s="12"/>
      <c r="QIN53" s="12"/>
      <c r="QIO53" s="12"/>
      <c r="QIP53" s="12"/>
      <c r="QIQ53" s="12"/>
      <c r="QIR53" s="12"/>
      <c r="QIS53" s="12"/>
      <c r="QIT53" s="12"/>
      <c r="QIU53" s="12"/>
      <c r="QIV53" s="12"/>
      <c r="QIW53" s="12"/>
      <c r="QIX53" s="12"/>
      <c r="QIY53" s="12"/>
      <c r="QIZ53" s="12"/>
      <c r="QJA53" s="12"/>
      <c r="QJB53" s="12"/>
      <c r="QJC53" s="12"/>
      <c r="QJD53" s="12"/>
      <c r="QJE53" s="12"/>
      <c r="QJF53" s="12"/>
      <c r="QJG53" s="12"/>
      <c r="QJH53" s="12"/>
      <c r="QJI53" s="12"/>
      <c r="QJJ53" s="12"/>
      <c r="QJK53" s="12"/>
      <c r="QJL53" s="12"/>
      <c r="QJM53" s="12"/>
      <c r="QJN53" s="12"/>
      <c r="QJO53" s="12"/>
      <c r="QJP53" s="12"/>
      <c r="QJQ53" s="12"/>
      <c r="QJR53" s="12"/>
      <c r="QJS53" s="12"/>
      <c r="QJT53" s="12"/>
      <c r="QJU53" s="12"/>
      <c r="QJV53" s="12"/>
      <c r="QJW53" s="12"/>
      <c r="QJX53" s="12"/>
      <c r="QJY53" s="12"/>
      <c r="QJZ53" s="12"/>
      <c r="QKA53" s="12"/>
      <c r="QKB53" s="12"/>
      <c r="QKC53" s="12"/>
      <c r="QKD53" s="12"/>
      <c r="QKE53" s="12"/>
      <c r="QKF53" s="12"/>
      <c r="QKG53" s="12"/>
      <c r="QKH53" s="12"/>
      <c r="QKI53" s="12"/>
      <c r="QKJ53" s="12"/>
      <c r="QKK53" s="12"/>
      <c r="QKL53" s="12"/>
      <c r="QKM53" s="12"/>
      <c r="QKN53" s="12"/>
      <c r="QKO53" s="12"/>
      <c r="QKP53" s="12"/>
      <c r="QKQ53" s="12"/>
      <c r="QKR53" s="12"/>
      <c r="QKS53" s="12"/>
      <c r="QKT53" s="12"/>
      <c r="QKU53" s="12"/>
      <c r="QKV53" s="12"/>
      <c r="QKW53" s="12"/>
      <c r="QKX53" s="12"/>
      <c r="QKY53" s="12"/>
      <c r="QKZ53" s="12"/>
      <c r="QLA53" s="12"/>
      <c r="QLB53" s="12"/>
      <c r="QLC53" s="12"/>
      <c r="QLD53" s="12"/>
      <c r="QLE53" s="12"/>
      <c r="QLF53" s="12"/>
      <c r="QLG53" s="12"/>
      <c r="QLH53" s="12"/>
      <c r="QLI53" s="12"/>
      <c r="QLJ53" s="12"/>
      <c r="QLK53" s="12"/>
      <c r="QLL53" s="12"/>
      <c r="QLM53" s="12"/>
      <c r="QLN53" s="12"/>
      <c r="QLO53" s="12"/>
      <c r="QLP53" s="12"/>
      <c r="QLQ53" s="12"/>
      <c r="QLR53" s="12"/>
      <c r="QLS53" s="12"/>
      <c r="QLT53" s="12"/>
      <c r="QLU53" s="12"/>
      <c r="QLV53" s="12"/>
      <c r="QLW53" s="12"/>
      <c r="QLX53" s="12"/>
      <c r="QLY53" s="12"/>
      <c r="QLZ53" s="12"/>
      <c r="QMA53" s="12"/>
      <c r="QMB53" s="12"/>
      <c r="QMC53" s="12"/>
      <c r="QMD53" s="12"/>
      <c r="QME53" s="12"/>
      <c r="QMF53" s="12"/>
      <c r="QMG53" s="12"/>
      <c r="QMH53" s="12"/>
      <c r="QMI53" s="12"/>
      <c r="QMJ53" s="12"/>
      <c r="QMK53" s="12"/>
      <c r="QML53" s="12"/>
      <c r="QMM53" s="12"/>
      <c r="QMN53" s="12"/>
      <c r="QMO53" s="12"/>
      <c r="QMP53" s="12"/>
      <c r="QMQ53" s="12"/>
      <c r="QMR53" s="12"/>
      <c r="QMS53" s="12"/>
      <c r="QMT53" s="12"/>
      <c r="QMU53" s="12"/>
      <c r="QMV53" s="12"/>
      <c r="QMW53" s="12"/>
      <c r="QMX53" s="12"/>
      <c r="QMY53" s="12"/>
      <c r="QMZ53" s="12"/>
      <c r="QNA53" s="12"/>
      <c r="QNB53" s="12"/>
      <c r="QNC53" s="12"/>
      <c r="QND53" s="12"/>
      <c r="QNE53" s="12"/>
      <c r="QNF53" s="12"/>
      <c r="QNG53" s="12"/>
      <c r="QNH53" s="12"/>
      <c r="QNI53" s="12"/>
      <c r="QNJ53" s="12"/>
      <c r="QNK53" s="12"/>
      <c r="QNL53" s="12"/>
      <c r="QNM53" s="12"/>
      <c r="QNN53" s="12"/>
      <c r="QNO53" s="12"/>
      <c r="QNP53" s="12"/>
      <c r="QNQ53" s="12"/>
      <c r="QNR53" s="12"/>
      <c r="QNS53" s="12"/>
      <c r="QNT53" s="12"/>
      <c r="QNU53" s="12"/>
      <c r="QNV53" s="12"/>
      <c r="QNW53" s="12"/>
      <c r="QNX53" s="12"/>
      <c r="QNY53" s="12"/>
      <c r="QNZ53" s="12"/>
      <c r="QOA53" s="12"/>
      <c r="QOB53" s="12"/>
      <c r="QOC53" s="12"/>
      <c r="QOD53" s="12"/>
      <c r="QOE53" s="12"/>
      <c r="QOF53" s="12"/>
      <c r="QOG53" s="12"/>
      <c r="QOH53" s="12"/>
      <c r="QOI53" s="12"/>
      <c r="QOJ53" s="12"/>
      <c r="QOK53" s="12"/>
      <c r="QOL53" s="12"/>
      <c r="QOM53" s="12"/>
      <c r="QON53" s="12"/>
      <c r="QOO53" s="12"/>
      <c r="QOP53" s="12"/>
      <c r="QOQ53" s="12"/>
      <c r="QOR53" s="12"/>
      <c r="QOS53" s="12"/>
      <c r="QOT53" s="12"/>
      <c r="QOU53" s="12"/>
      <c r="QOV53" s="12"/>
      <c r="QOW53" s="12"/>
      <c r="QOX53" s="12"/>
      <c r="QOY53" s="12"/>
      <c r="QOZ53" s="12"/>
      <c r="QPA53" s="12"/>
      <c r="QPB53" s="12"/>
      <c r="QPC53" s="12"/>
      <c r="QPD53" s="12"/>
      <c r="QPE53" s="12"/>
      <c r="QPF53" s="12"/>
      <c r="QPG53" s="12"/>
      <c r="QPH53" s="12"/>
      <c r="QPI53" s="12"/>
      <c r="QPJ53" s="12"/>
      <c r="QPK53" s="12"/>
      <c r="QPL53" s="12"/>
      <c r="QPM53" s="12"/>
      <c r="QPN53" s="12"/>
      <c r="QPO53" s="12"/>
      <c r="QPP53" s="12"/>
      <c r="QPQ53" s="12"/>
      <c r="QPR53" s="12"/>
      <c r="QPS53" s="12"/>
      <c r="QPT53" s="12"/>
      <c r="QPU53" s="12"/>
      <c r="QPV53" s="12"/>
      <c r="QPW53" s="12"/>
      <c r="QPX53" s="12"/>
      <c r="QPY53" s="12"/>
      <c r="QPZ53" s="12"/>
      <c r="QQA53" s="12"/>
      <c r="QQB53" s="12"/>
      <c r="QQC53" s="12"/>
      <c r="QQD53" s="12"/>
      <c r="QQE53" s="12"/>
      <c r="QQF53" s="12"/>
      <c r="QQG53" s="12"/>
      <c r="QQH53" s="12"/>
      <c r="QQI53" s="12"/>
      <c r="QQJ53" s="12"/>
      <c r="QQK53" s="12"/>
      <c r="QQL53" s="12"/>
      <c r="QQM53" s="12"/>
      <c r="QQN53" s="12"/>
      <c r="QQO53" s="12"/>
      <c r="QQP53" s="12"/>
      <c r="QQQ53" s="12"/>
      <c r="QQR53" s="12"/>
      <c r="QQS53" s="12"/>
      <c r="QQT53" s="12"/>
      <c r="QQU53" s="12"/>
      <c r="QQV53" s="12"/>
      <c r="QQW53" s="12"/>
      <c r="QQX53" s="12"/>
      <c r="QQY53" s="12"/>
      <c r="QQZ53" s="12"/>
      <c r="QRA53" s="12"/>
      <c r="QRB53" s="12"/>
      <c r="QRC53" s="12"/>
      <c r="QRD53" s="12"/>
      <c r="QRE53" s="12"/>
      <c r="QRF53" s="12"/>
      <c r="QRG53" s="12"/>
      <c r="QRH53" s="12"/>
      <c r="QRI53" s="12"/>
      <c r="QRJ53" s="12"/>
      <c r="QRK53" s="12"/>
      <c r="QRL53" s="12"/>
      <c r="QRM53" s="12"/>
      <c r="QRN53" s="12"/>
      <c r="QRO53" s="12"/>
      <c r="QRP53" s="12"/>
      <c r="QRQ53" s="12"/>
      <c r="QRR53" s="12"/>
      <c r="QRS53" s="12"/>
      <c r="QRT53" s="12"/>
      <c r="QRU53" s="12"/>
      <c r="QRV53" s="12"/>
      <c r="QRW53" s="12"/>
      <c r="QRX53" s="12"/>
      <c r="QRY53" s="12"/>
      <c r="QRZ53" s="12"/>
      <c r="QSA53" s="12"/>
      <c r="QSB53" s="12"/>
      <c r="QSC53" s="12"/>
      <c r="QSD53" s="12"/>
      <c r="QSE53" s="12"/>
      <c r="QSF53" s="12"/>
      <c r="QSG53" s="12"/>
      <c r="QSH53" s="12"/>
      <c r="QSI53" s="12"/>
      <c r="QSJ53" s="12"/>
      <c r="QSK53" s="12"/>
      <c r="QSL53" s="12"/>
      <c r="QSM53" s="12"/>
      <c r="QSN53" s="12"/>
      <c r="QSO53" s="12"/>
      <c r="QSP53" s="12"/>
      <c r="QSQ53" s="12"/>
      <c r="QSR53" s="12"/>
      <c r="QSS53" s="12"/>
      <c r="QST53" s="12"/>
      <c r="QSU53" s="12"/>
      <c r="QSV53" s="12"/>
      <c r="QSW53" s="12"/>
      <c r="QSX53" s="12"/>
      <c r="QSY53" s="12"/>
      <c r="QSZ53" s="12"/>
      <c r="QTA53" s="12"/>
      <c r="QTB53" s="12"/>
      <c r="QTC53" s="12"/>
      <c r="QTD53" s="12"/>
      <c r="QTE53" s="12"/>
      <c r="QTF53" s="12"/>
      <c r="QTG53" s="12"/>
      <c r="QTH53" s="12"/>
      <c r="QTI53" s="12"/>
      <c r="QTJ53" s="12"/>
      <c r="QTK53" s="12"/>
      <c r="QTL53" s="12"/>
      <c r="QTM53" s="12"/>
      <c r="QTN53" s="12"/>
      <c r="QTO53" s="12"/>
      <c r="QTP53" s="12"/>
      <c r="QTQ53" s="12"/>
      <c r="QTR53" s="12"/>
      <c r="QTS53" s="12"/>
      <c r="QTT53" s="12"/>
      <c r="QTU53" s="12"/>
      <c r="QTV53" s="12"/>
      <c r="QTW53" s="12"/>
      <c r="QTX53" s="12"/>
      <c r="QTY53" s="12"/>
      <c r="QTZ53" s="12"/>
      <c r="QUA53" s="12"/>
      <c r="QUB53" s="12"/>
      <c r="QUC53" s="12"/>
      <c r="QUD53" s="12"/>
      <c r="QUE53" s="12"/>
      <c r="QUF53" s="12"/>
      <c r="QUG53" s="12"/>
      <c r="QUH53" s="12"/>
      <c r="QUI53" s="12"/>
      <c r="QUJ53" s="12"/>
      <c r="QUK53" s="12"/>
      <c r="QUL53" s="12"/>
      <c r="QUM53" s="12"/>
      <c r="QUN53" s="12"/>
      <c r="QUO53" s="12"/>
      <c r="QUP53" s="12"/>
      <c r="QUQ53" s="12"/>
      <c r="QUR53" s="12"/>
      <c r="QUS53" s="12"/>
      <c r="QUT53" s="12"/>
      <c r="QUU53" s="12"/>
      <c r="QUV53" s="12"/>
      <c r="QUW53" s="12"/>
      <c r="QUX53" s="12"/>
      <c r="QUY53" s="12"/>
      <c r="QUZ53" s="12"/>
      <c r="QVA53" s="12"/>
      <c r="QVB53" s="12"/>
      <c r="QVC53" s="12"/>
      <c r="QVD53" s="12"/>
      <c r="QVE53" s="12"/>
      <c r="QVF53" s="12"/>
      <c r="QVG53" s="12"/>
      <c r="QVH53" s="12"/>
      <c r="QVI53" s="12"/>
      <c r="QVJ53" s="12"/>
      <c r="QVK53" s="12"/>
      <c r="QVL53" s="12"/>
      <c r="QVM53" s="12"/>
      <c r="QVN53" s="12"/>
      <c r="QVO53" s="12"/>
      <c r="QVP53" s="12"/>
      <c r="QVQ53" s="12"/>
      <c r="QVR53" s="12"/>
      <c r="QVS53" s="12"/>
      <c r="QVT53" s="12"/>
      <c r="QVU53" s="12"/>
      <c r="QVV53" s="12"/>
      <c r="QVW53" s="12"/>
      <c r="QVX53" s="12"/>
      <c r="QVY53" s="12"/>
      <c r="QVZ53" s="12"/>
      <c r="QWA53" s="12"/>
      <c r="QWB53" s="12"/>
      <c r="QWC53" s="12"/>
      <c r="QWD53" s="12"/>
      <c r="QWE53" s="12"/>
      <c r="QWF53" s="12"/>
      <c r="QWG53" s="12"/>
      <c r="QWH53" s="12"/>
      <c r="QWI53" s="12"/>
      <c r="QWJ53" s="12"/>
      <c r="QWK53" s="12"/>
      <c r="QWL53" s="12"/>
      <c r="QWM53" s="12"/>
      <c r="QWN53" s="12"/>
      <c r="QWO53" s="12"/>
      <c r="QWP53" s="12"/>
      <c r="QWQ53" s="12"/>
      <c r="QWR53" s="12"/>
      <c r="QWS53" s="12"/>
      <c r="QWT53" s="12"/>
      <c r="QWU53" s="12"/>
      <c r="QWV53" s="12"/>
      <c r="QWW53" s="12"/>
      <c r="QWX53" s="12"/>
      <c r="QWY53" s="12"/>
      <c r="QWZ53" s="12"/>
      <c r="QXA53" s="12"/>
      <c r="QXB53" s="12"/>
      <c r="QXC53" s="12"/>
      <c r="QXD53" s="12"/>
      <c r="QXE53" s="12"/>
      <c r="QXF53" s="12"/>
      <c r="QXG53" s="12"/>
      <c r="QXH53" s="12"/>
      <c r="QXI53" s="12"/>
      <c r="QXJ53" s="12"/>
      <c r="QXK53" s="12"/>
      <c r="QXL53" s="12"/>
      <c r="QXM53" s="12"/>
      <c r="QXN53" s="12"/>
      <c r="QXO53" s="12"/>
      <c r="QXP53" s="12"/>
      <c r="QXQ53" s="12"/>
      <c r="QXR53" s="12"/>
      <c r="QXS53" s="12"/>
      <c r="QXT53" s="12"/>
      <c r="QXU53" s="12"/>
      <c r="QXV53" s="12"/>
      <c r="QXW53" s="12"/>
      <c r="QXX53" s="12"/>
      <c r="QXY53" s="12"/>
      <c r="QXZ53" s="12"/>
      <c r="QYA53" s="12"/>
      <c r="QYB53" s="12"/>
      <c r="QYC53" s="12"/>
      <c r="QYD53" s="12"/>
      <c r="QYE53" s="12"/>
      <c r="QYF53" s="12"/>
      <c r="QYG53" s="12"/>
      <c r="QYH53" s="12"/>
      <c r="QYI53" s="12"/>
      <c r="QYJ53" s="12"/>
      <c r="QYK53" s="12"/>
      <c r="QYL53" s="12"/>
      <c r="QYM53" s="12"/>
      <c r="QYN53" s="12"/>
      <c r="QYO53" s="12"/>
      <c r="QYP53" s="12"/>
      <c r="QYQ53" s="12"/>
      <c r="QYR53" s="12"/>
      <c r="QYS53" s="12"/>
      <c r="QYT53" s="12"/>
      <c r="QYU53" s="12"/>
      <c r="QYV53" s="12"/>
      <c r="QYW53" s="12"/>
      <c r="QYX53" s="12"/>
      <c r="QYY53" s="12"/>
      <c r="QYZ53" s="12"/>
      <c r="QZA53" s="12"/>
      <c r="QZB53" s="12"/>
      <c r="QZC53" s="12"/>
      <c r="QZD53" s="12"/>
      <c r="QZE53" s="12"/>
      <c r="QZF53" s="12"/>
      <c r="QZG53" s="12"/>
      <c r="QZH53" s="12"/>
      <c r="QZI53" s="12"/>
      <c r="QZJ53" s="12"/>
      <c r="QZK53" s="12"/>
      <c r="QZL53" s="12"/>
      <c r="QZM53" s="12"/>
      <c r="QZN53" s="12"/>
      <c r="QZO53" s="12"/>
      <c r="QZP53" s="12"/>
      <c r="QZQ53" s="12"/>
      <c r="QZR53" s="12"/>
      <c r="QZS53" s="12"/>
      <c r="QZT53" s="12"/>
      <c r="QZU53" s="12"/>
      <c r="QZV53" s="12"/>
      <c r="QZW53" s="12"/>
      <c r="QZX53" s="12"/>
      <c r="QZY53" s="12"/>
      <c r="QZZ53" s="12"/>
      <c r="RAA53" s="12"/>
      <c r="RAB53" s="12"/>
      <c r="RAC53" s="12"/>
      <c r="RAD53" s="12"/>
      <c r="RAE53" s="12"/>
      <c r="RAF53" s="12"/>
      <c r="RAG53" s="12"/>
      <c r="RAH53" s="12"/>
      <c r="RAI53" s="12"/>
      <c r="RAJ53" s="12"/>
      <c r="RAK53" s="12"/>
      <c r="RAL53" s="12"/>
      <c r="RAM53" s="12"/>
      <c r="RAN53" s="12"/>
      <c r="RAO53" s="12"/>
      <c r="RAP53" s="12"/>
      <c r="RAQ53" s="12"/>
      <c r="RAR53" s="12"/>
      <c r="RAS53" s="12"/>
      <c r="RAT53" s="12"/>
      <c r="RAU53" s="12"/>
      <c r="RAV53" s="12"/>
      <c r="RAW53" s="12"/>
      <c r="RAX53" s="12"/>
      <c r="RAY53" s="12"/>
      <c r="RAZ53" s="12"/>
      <c r="RBA53" s="12"/>
      <c r="RBB53" s="12"/>
      <c r="RBC53" s="12"/>
      <c r="RBD53" s="12"/>
      <c r="RBE53" s="12"/>
      <c r="RBF53" s="12"/>
      <c r="RBG53" s="12"/>
      <c r="RBH53" s="12"/>
      <c r="RBI53" s="12"/>
      <c r="RBJ53" s="12"/>
      <c r="RBK53" s="12"/>
      <c r="RBL53" s="12"/>
      <c r="RBM53" s="12"/>
      <c r="RBN53" s="12"/>
      <c r="RBO53" s="12"/>
      <c r="RBP53" s="12"/>
      <c r="RBQ53" s="12"/>
      <c r="RBR53" s="12"/>
      <c r="RBS53" s="12"/>
      <c r="RBT53" s="12"/>
      <c r="RBU53" s="12"/>
      <c r="RBV53" s="12"/>
      <c r="RBW53" s="12"/>
      <c r="RBX53" s="12"/>
      <c r="RBY53" s="12"/>
      <c r="RBZ53" s="12"/>
      <c r="RCA53" s="12"/>
      <c r="RCB53" s="12"/>
      <c r="RCC53" s="12"/>
      <c r="RCD53" s="12"/>
      <c r="RCE53" s="12"/>
      <c r="RCF53" s="12"/>
      <c r="RCG53" s="12"/>
      <c r="RCH53" s="12"/>
      <c r="RCI53" s="12"/>
      <c r="RCJ53" s="12"/>
      <c r="RCK53" s="12"/>
      <c r="RCL53" s="12"/>
      <c r="RCM53" s="12"/>
      <c r="RCN53" s="12"/>
      <c r="RCO53" s="12"/>
      <c r="RCP53" s="12"/>
      <c r="RCQ53" s="12"/>
      <c r="RCR53" s="12"/>
      <c r="RCS53" s="12"/>
      <c r="RCT53" s="12"/>
      <c r="RCU53" s="12"/>
      <c r="RCV53" s="12"/>
      <c r="RCW53" s="12"/>
      <c r="RCX53" s="12"/>
      <c r="RCY53" s="12"/>
      <c r="RCZ53" s="12"/>
      <c r="RDA53" s="12"/>
      <c r="RDB53" s="12"/>
      <c r="RDC53" s="12"/>
      <c r="RDD53" s="12"/>
      <c r="RDE53" s="12"/>
      <c r="RDF53" s="12"/>
      <c r="RDG53" s="12"/>
      <c r="RDH53" s="12"/>
      <c r="RDI53" s="12"/>
      <c r="RDJ53" s="12"/>
      <c r="RDK53" s="12"/>
      <c r="RDL53" s="12"/>
      <c r="RDM53" s="12"/>
      <c r="RDN53" s="12"/>
      <c r="RDO53" s="12"/>
      <c r="RDP53" s="12"/>
      <c r="RDQ53" s="12"/>
      <c r="RDR53" s="12"/>
      <c r="RDS53" s="12"/>
      <c r="RDT53" s="12"/>
      <c r="RDU53" s="12"/>
      <c r="RDV53" s="12"/>
      <c r="RDW53" s="12"/>
      <c r="RDX53" s="12"/>
      <c r="RDY53" s="12"/>
      <c r="RDZ53" s="12"/>
      <c r="REA53" s="12"/>
      <c r="REB53" s="12"/>
      <c r="REC53" s="12"/>
      <c r="RED53" s="12"/>
      <c r="REE53" s="12"/>
      <c r="REF53" s="12"/>
      <c r="REG53" s="12"/>
      <c r="REH53" s="12"/>
      <c r="REI53" s="12"/>
      <c r="REJ53" s="12"/>
      <c r="REK53" s="12"/>
      <c r="REL53" s="12"/>
      <c r="REM53" s="12"/>
      <c r="REN53" s="12"/>
      <c r="REO53" s="12"/>
      <c r="REP53" s="12"/>
      <c r="REQ53" s="12"/>
      <c r="RER53" s="12"/>
      <c r="RES53" s="12"/>
      <c r="RET53" s="12"/>
      <c r="REU53" s="12"/>
      <c r="REV53" s="12"/>
      <c r="REW53" s="12"/>
      <c r="REX53" s="12"/>
      <c r="REY53" s="12"/>
      <c r="REZ53" s="12"/>
      <c r="RFA53" s="12"/>
      <c r="RFB53" s="12"/>
      <c r="RFC53" s="12"/>
      <c r="RFD53" s="12"/>
      <c r="RFE53" s="12"/>
      <c r="RFF53" s="12"/>
      <c r="RFG53" s="12"/>
      <c r="RFH53" s="12"/>
      <c r="RFI53" s="12"/>
      <c r="RFJ53" s="12"/>
      <c r="RFK53" s="12"/>
      <c r="RFL53" s="12"/>
      <c r="RFM53" s="12"/>
      <c r="RFN53" s="12"/>
      <c r="RFO53" s="12"/>
      <c r="RFP53" s="12"/>
      <c r="RFQ53" s="12"/>
      <c r="RFR53" s="12"/>
      <c r="RFS53" s="12"/>
      <c r="RFT53" s="12"/>
      <c r="RFU53" s="12"/>
      <c r="RFV53" s="12"/>
      <c r="RFW53" s="12"/>
      <c r="RFX53" s="12"/>
      <c r="RFY53" s="12"/>
      <c r="RFZ53" s="12"/>
      <c r="RGA53" s="12"/>
      <c r="RGB53" s="12"/>
      <c r="RGC53" s="12"/>
      <c r="RGD53" s="12"/>
      <c r="RGE53" s="12"/>
      <c r="RGF53" s="12"/>
      <c r="RGG53" s="12"/>
      <c r="RGH53" s="12"/>
      <c r="RGI53" s="12"/>
      <c r="RGJ53" s="12"/>
      <c r="RGK53" s="12"/>
      <c r="RGL53" s="12"/>
      <c r="RGM53" s="12"/>
      <c r="RGN53" s="12"/>
      <c r="RGO53" s="12"/>
      <c r="RGP53" s="12"/>
      <c r="RGQ53" s="12"/>
      <c r="RGR53" s="12"/>
      <c r="RGS53" s="12"/>
      <c r="RGT53" s="12"/>
      <c r="RGU53" s="12"/>
      <c r="RGV53" s="12"/>
      <c r="RGW53" s="12"/>
      <c r="RGX53" s="12"/>
      <c r="RGY53" s="12"/>
      <c r="RGZ53" s="12"/>
      <c r="RHA53" s="12"/>
      <c r="RHB53" s="12"/>
      <c r="RHC53" s="12"/>
      <c r="RHD53" s="12"/>
      <c r="RHE53" s="12"/>
      <c r="RHF53" s="12"/>
      <c r="RHG53" s="12"/>
      <c r="RHH53" s="12"/>
      <c r="RHI53" s="12"/>
      <c r="RHJ53" s="12"/>
      <c r="RHK53" s="12"/>
      <c r="RHL53" s="12"/>
      <c r="RHM53" s="12"/>
      <c r="RHN53" s="12"/>
      <c r="RHO53" s="12"/>
      <c r="RHP53" s="12"/>
      <c r="RHQ53" s="12"/>
      <c r="RHR53" s="12"/>
      <c r="RHS53" s="12"/>
      <c r="RHT53" s="12"/>
      <c r="RHU53" s="12"/>
      <c r="RHV53" s="12"/>
      <c r="RHW53" s="12"/>
      <c r="RHX53" s="12"/>
      <c r="RHY53" s="12"/>
      <c r="RHZ53" s="12"/>
      <c r="RIA53" s="12"/>
      <c r="RIB53" s="12"/>
      <c r="RIC53" s="12"/>
      <c r="RID53" s="12"/>
      <c r="RIE53" s="12"/>
      <c r="RIF53" s="12"/>
      <c r="RIG53" s="12"/>
      <c r="RIH53" s="12"/>
      <c r="RII53" s="12"/>
      <c r="RIJ53" s="12"/>
      <c r="RIK53" s="12"/>
      <c r="RIL53" s="12"/>
      <c r="RIM53" s="12"/>
      <c r="RIN53" s="12"/>
      <c r="RIO53" s="12"/>
      <c r="RIP53" s="12"/>
      <c r="RIQ53" s="12"/>
      <c r="RIR53" s="12"/>
      <c r="RIS53" s="12"/>
      <c r="RIT53" s="12"/>
      <c r="RIU53" s="12"/>
      <c r="RIV53" s="12"/>
      <c r="RIW53" s="12"/>
      <c r="RIX53" s="12"/>
      <c r="RIY53" s="12"/>
      <c r="RIZ53" s="12"/>
      <c r="RJA53" s="12"/>
      <c r="RJB53" s="12"/>
      <c r="RJC53" s="12"/>
      <c r="RJD53" s="12"/>
      <c r="RJE53" s="12"/>
      <c r="RJF53" s="12"/>
      <c r="RJG53" s="12"/>
      <c r="RJH53" s="12"/>
      <c r="RJI53" s="12"/>
      <c r="RJJ53" s="12"/>
      <c r="RJK53" s="12"/>
      <c r="RJL53" s="12"/>
      <c r="RJM53" s="12"/>
      <c r="RJN53" s="12"/>
      <c r="RJO53" s="12"/>
      <c r="RJP53" s="12"/>
      <c r="RJQ53" s="12"/>
      <c r="RJR53" s="12"/>
      <c r="RJS53" s="12"/>
      <c r="RJT53" s="12"/>
      <c r="RJU53" s="12"/>
      <c r="RJV53" s="12"/>
      <c r="RJW53" s="12"/>
      <c r="RJX53" s="12"/>
      <c r="RJY53" s="12"/>
      <c r="RJZ53" s="12"/>
      <c r="RKA53" s="12"/>
      <c r="RKB53" s="12"/>
      <c r="RKC53" s="12"/>
      <c r="RKD53" s="12"/>
      <c r="RKE53" s="12"/>
      <c r="RKF53" s="12"/>
      <c r="RKG53" s="12"/>
      <c r="RKH53" s="12"/>
      <c r="RKI53" s="12"/>
      <c r="RKJ53" s="12"/>
      <c r="RKK53" s="12"/>
      <c r="RKL53" s="12"/>
      <c r="RKM53" s="12"/>
      <c r="RKN53" s="12"/>
      <c r="RKO53" s="12"/>
      <c r="RKP53" s="12"/>
      <c r="RKQ53" s="12"/>
      <c r="RKR53" s="12"/>
      <c r="RKS53" s="12"/>
      <c r="RKT53" s="12"/>
      <c r="RKU53" s="12"/>
      <c r="RKV53" s="12"/>
      <c r="RKW53" s="12"/>
      <c r="RKX53" s="12"/>
      <c r="RKY53" s="12"/>
      <c r="RKZ53" s="12"/>
      <c r="RLA53" s="12"/>
      <c r="RLB53" s="12"/>
      <c r="RLC53" s="12"/>
      <c r="RLD53" s="12"/>
      <c r="RLE53" s="12"/>
      <c r="RLF53" s="12"/>
      <c r="RLG53" s="12"/>
      <c r="RLH53" s="12"/>
      <c r="RLI53" s="12"/>
      <c r="RLJ53" s="12"/>
      <c r="RLK53" s="12"/>
      <c r="RLL53" s="12"/>
      <c r="RLM53" s="12"/>
      <c r="RLN53" s="12"/>
      <c r="RLO53" s="12"/>
      <c r="RLP53" s="12"/>
      <c r="RLQ53" s="12"/>
      <c r="RLR53" s="12"/>
      <c r="RLS53" s="12"/>
      <c r="RLT53" s="12"/>
      <c r="RLU53" s="12"/>
      <c r="RLV53" s="12"/>
      <c r="RLW53" s="12"/>
      <c r="RLX53" s="12"/>
      <c r="RLY53" s="12"/>
      <c r="RLZ53" s="12"/>
      <c r="RMA53" s="12"/>
      <c r="RMB53" s="12"/>
      <c r="RMC53" s="12"/>
      <c r="RMD53" s="12"/>
      <c r="RME53" s="12"/>
      <c r="RMF53" s="12"/>
      <c r="RMG53" s="12"/>
      <c r="RMH53" s="12"/>
      <c r="RMI53" s="12"/>
      <c r="RMJ53" s="12"/>
      <c r="RMK53" s="12"/>
      <c r="RML53" s="12"/>
      <c r="RMM53" s="12"/>
      <c r="RMN53" s="12"/>
      <c r="RMO53" s="12"/>
      <c r="RMP53" s="12"/>
      <c r="RMQ53" s="12"/>
      <c r="RMR53" s="12"/>
      <c r="RMS53" s="12"/>
      <c r="RMT53" s="12"/>
      <c r="RMU53" s="12"/>
      <c r="RMV53" s="12"/>
      <c r="RMW53" s="12"/>
      <c r="RMX53" s="12"/>
      <c r="RMY53" s="12"/>
      <c r="RMZ53" s="12"/>
      <c r="RNA53" s="12"/>
      <c r="RNB53" s="12"/>
      <c r="RNC53" s="12"/>
      <c r="RND53" s="12"/>
      <c r="RNE53" s="12"/>
      <c r="RNF53" s="12"/>
      <c r="RNG53" s="12"/>
      <c r="RNH53" s="12"/>
      <c r="RNI53" s="12"/>
      <c r="RNJ53" s="12"/>
      <c r="RNK53" s="12"/>
      <c r="RNL53" s="12"/>
      <c r="RNM53" s="12"/>
      <c r="RNN53" s="12"/>
      <c r="RNO53" s="12"/>
      <c r="RNP53" s="12"/>
      <c r="RNQ53" s="12"/>
      <c r="RNR53" s="12"/>
      <c r="RNS53" s="12"/>
      <c r="RNT53" s="12"/>
      <c r="RNU53" s="12"/>
      <c r="RNV53" s="12"/>
      <c r="RNW53" s="12"/>
      <c r="RNX53" s="12"/>
      <c r="RNY53" s="12"/>
      <c r="RNZ53" s="12"/>
      <c r="ROA53" s="12"/>
      <c r="ROB53" s="12"/>
      <c r="ROC53" s="12"/>
      <c r="ROD53" s="12"/>
      <c r="ROE53" s="12"/>
      <c r="ROF53" s="12"/>
      <c r="ROG53" s="12"/>
      <c r="ROH53" s="12"/>
      <c r="ROI53" s="12"/>
      <c r="ROJ53" s="12"/>
      <c r="ROK53" s="12"/>
      <c r="ROL53" s="12"/>
      <c r="ROM53" s="12"/>
      <c r="RON53" s="12"/>
      <c r="ROO53" s="12"/>
      <c r="ROP53" s="12"/>
      <c r="ROQ53" s="12"/>
      <c r="ROR53" s="12"/>
      <c r="ROS53" s="12"/>
      <c r="ROT53" s="12"/>
      <c r="ROU53" s="12"/>
      <c r="ROV53" s="12"/>
      <c r="ROW53" s="12"/>
      <c r="ROX53" s="12"/>
      <c r="ROY53" s="12"/>
      <c r="ROZ53" s="12"/>
      <c r="RPA53" s="12"/>
      <c r="RPB53" s="12"/>
      <c r="RPC53" s="12"/>
      <c r="RPD53" s="12"/>
      <c r="RPE53" s="12"/>
      <c r="RPF53" s="12"/>
      <c r="RPG53" s="12"/>
      <c r="RPH53" s="12"/>
      <c r="RPI53" s="12"/>
      <c r="RPJ53" s="12"/>
      <c r="RPK53" s="12"/>
      <c r="RPL53" s="12"/>
      <c r="RPM53" s="12"/>
      <c r="RPN53" s="12"/>
      <c r="RPO53" s="12"/>
      <c r="RPP53" s="12"/>
      <c r="RPQ53" s="12"/>
      <c r="RPR53" s="12"/>
      <c r="RPS53" s="12"/>
      <c r="RPT53" s="12"/>
      <c r="RPU53" s="12"/>
      <c r="RPV53" s="12"/>
      <c r="RPW53" s="12"/>
      <c r="RPX53" s="12"/>
      <c r="RPY53" s="12"/>
      <c r="RPZ53" s="12"/>
      <c r="RQA53" s="12"/>
      <c r="RQB53" s="12"/>
      <c r="RQC53" s="12"/>
      <c r="RQD53" s="12"/>
      <c r="RQE53" s="12"/>
      <c r="RQF53" s="12"/>
      <c r="RQG53" s="12"/>
      <c r="RQH53" s="12"/>
      <c r="RQI53" s="12"/>
      <c r="RQJ53" s="12"/>
      <c r="RQK53" s="12"/>
      <c r="RQL53" s="12"/>
      <c r="RQM53" s="12"/>
      <c r="RQN53" s="12"/>
      <c r="RQO53" s="12"/>
      <c r="RQP53" s="12"/>
      <c r="RQQ53" s="12"/>
      <c r="RQR53" s="12"/>
      <c r="RQS53" s="12"/>
      <c r="RQT53" s="12"/>
      <c r="RQU53" s="12"/>
      <c r="RQV53" s="12"/>
      <c r="RQW53" s="12"/>
      <c r="RQX53" s="12"/>
      <c r="RQY53" s="12"/>
      <c r="RQZ53" s="12"/>
      <c r="RRA53" s="12"/>
      <c r="RRB53" s="12"/>
      <c r="RRC53" s="12"/>
      <c r="RRD53" s="12"/>
      <c r="RRE53" s="12"/>
      <c r="RRF53" s="12"/>
      <c r="RRG53" s="12"/>
      <c r="RRH53" s="12"/>
      <c r="RRI53" s="12"/>
      <c r="RRJ53" s="12"/>
      <c r="RRK53" s="12"/>
      <c r="RRL53" s="12"/>
      <c r="RRM53" s="12"/>
      <c r="RRN53" s="12"/>
      <c r="RRO53" s="12"/>
      <c r="RRP53" s="12"/>
      <c r="RRQ53" s="12"/>
      <c r="RRR53" s="12"/>
      <c r="RRS53" s="12"/>
      <c r="RRT53" s="12"/>
      <c r="RRU53" s="12"/>
      <c r="RRV53" s="12"/>
      <c r="RRW53" s="12"/>
      <c r="RRX53" s="12"/>
      <c r="RRY53" s="12"/>
      <c r="RRZ53" s="12"/>
      <c r="RSA53" s="12"/>
      <c r="RSB53" s="12"/>
      <c r="RSC53" s="12"/>
      <c r="RSD53" s="12"/>
      <c r="RSE53" s="12"/>
      <c r="RSF53" s="12"/>
      <c r="RSG53" s="12"/>
      <c r="RSH53" s="12"/>
      <c r="RSI53" s="12"/>
      <c r="RSJ53" s="12"/>
      <c r="RSK53" s="12"/>
      <c r="RSL53" s="12"/>
      <c r="RSM53" s="12"/>
      <c r="RSN53" s="12"/>
      <c r="RSO53" s="12"/>
      <c r="RSP53" s="12"/>
      <c r="RSQ53" s="12"/>
      <c r="RSR53" s="12"/>
      <c r="RSS53" s="12"/>
      <c r="RST53" s="12"/>
      <c r="RSU53" s="12"/>
      <c r="RSV53" s="12"/>
      <c r="RSW53" s="12"/>
      <c r="RSX53" s="12"/>
      <c r="RSY53" s="12"/>
      <c r="RSZ53" s="12"/>
      <c r="RTA53" s="12"/>
      <c r="RTB53" s="12"/>
      <c r="RTC53" s="12"/>
      <c r="RTD53" s="12"/>
      <c r="RTE53" s="12"/>
      <c r="RTF53" s="12"/>
      <c r="RTG53" s="12"/>
      <c r="RTH53" s="12"/>
      <c r="RTI53" s="12"/>
      <c r="RTJ53" s="12"/>
      <c r="RTK53" s="12"/>
      <c r="RTL53" s="12"/>
      <c r="RTM53" s="12"/>
      <c r="RTN53" s="12"/>
      <c r="RTO53" s="12"/>
      <c r="RTP53" s="12"/>
      <c r="RTQ53" s="12"/>
      <c r="RTR53" s="12"/>
      <c r="RTS53" s="12"/>
      <c r="RTT53" s="12"/>
      <c r="RTU53" s="12"/>
      <c r="RTV53" s="12"/>
      <c r="RTW53" s="12"/>
      <c r="RTX53" s="12"/>
      <c r="RTY53" s="12"/>
      <c r="RTZ53" s="12"/>
      <c r="RUA53" s="12"/>
      <c r="RUB53" s="12"/>
      <c r="RUC53" s="12"/>
      <c r="RUD53" s="12"/>
      <c r="RUE53" s="12"/>
      <c r="RUF53" s="12"/>
      <c r="RUG53" s="12"/>
      <c r="RUH53" s="12"/>
      <c r="RUI53" s="12"/>
      <c r="RUJ53" s="12"/>
      <c r="RUK53" s="12"/>
      <c r="RUL53" s="12"/>
      <c r="RUM53" s="12"/>
      <c r="RUN53" s="12"/>
      <c r="RUO53" s="12"/>
      <c r="RUP53" s="12"/>
      <c r="RUQ53" s="12"/>
      <c r="RUR53" s="12"/>
      <c r="RUS53" s="12"/>
      <c r="RUT53" s="12"/>
      <c r="RUU53" s="12"/>
      <c r="RUV53" s="12"/>
      <c r="RUW53" s="12"/>
      <c r="RUX53" s="12"/>
      <c r="RUY53" s="12"/>
      <c r="RUZ53" s="12"/>
      <c r="RVA53" s="12"/>
      <c r="RVB53" s="12"/>
      <c r="RVC53" s="12"/>
      <c r="RVD53" s="12"/>
      <c r="RVE53" s="12"/>
      <c r="RVF53" s="12"/>
      <c r="RVG53" s="12"/>
      <c r="RVH53" s="12"/>
      <c r="RVI53" s="12"/>
      <c r="RVJ53" s="12"/>
      <c r="RVK53" s="12"/>
      <c r="RVL53" s="12"/>
      <c r="RVM53" s="12"/>
      <c r="RVN53" s="12"/>
      <c r="RVO53" s="12"/>
      <c r="RVP53" s="12"/>
      <c r="RVQ53" s="12"/>
      <c r="RVR53" s="12"/>
      <c r="RVS53" s="12"/>
      <c r="RVT53" s="12"/>
      <c r="RVU53" s="12"/>
      <c r="RVV53" s="12"/>
      <c r="RVW53" s="12"/>
      <c r="RVX53" s="12"/>
      <c r="RVY53" s="12"/>
      <c r="RVZ53" s="12"/>
      <c r="RWA53" s="12"/>
      <c r="RWB53" s="12"/>
      <c r="RWC53" s="12"/>
      <c r="RWD53" s="12"/>
      <c r="RWE53" s="12"/>
      <c r="RWF53" s="12"/>
      <c r="RWG53" s="12"/>
      <c r="RWH53" s="12"/>
      <c r="RWI53" s="12"/>
      <c r="RWJ53" s="12"/>
      <c r="RWK53" s="12"/>
      <c r="RWL53" s="12"/>
      <c r="RWM53" s="12"/>
      <c r="RWN53" s="12"/>
      <c r="RWO53" s="12"/>
      <c r="RWP53" s="12"/>
      <c r="RWQ53" s="12"/>
      <c r="RWR53" s="12"/>
      <c r="RWS53" s="12"/>
      <c r="RWT53" s="12"/>
      <c r="RWU53" s="12"/>
      <c r="RWV53" s="12"/>
      <c r="RWW53" s="12"/>
      <c r="RWX53" s="12"/>
      <c r="RWY53" s="12"/>
      <c r="RWZ53" s="12"/>
      <c r="RXA53" s="12"/>
      <c r="RXB53" s="12"/>
      <c r="RXC53" s="12"/>
      <c r="RXD53" s="12"/>
      <c r="RXE53" s="12"/>
      <c r="RXF53" s="12"/>
      <c r="RXG53" s="12"/>
      <c r="RXH53" s="12"/>
      <c r="RXI53" s="12"/>
      <c r="RXJ53" s="12"/>
      <c r="RXK53" s="12"/>
      <c r="RXL53" s="12"/>
      <c r="RXM53" s="12"/>
      <c r="RXN53" s="12"/>
      <c r="RXO53" s="12"/>
      <c r="RXP53" s="12"/>
      <c r="RXQ53" s="12"/>
      <c r="RXR53" s="12"/>
      <c r="RXS53" s="12"/>
      <c r="RXT53" s="12"/>
      <c r="RXU53" s="12"/>
      <c r="RXV53" s="12"/>
      <c r="RXW53" s="12"/>
      <c r="RXX53" s="12"/>
      <c r="RXY53" s="12"/>
      <c r="RXZ53" s="12"/>
      <c r="RYA53" s="12"/>
      <c r="RYB53" s="12"/>
      <c r="RYC53" s="12"/>
      <c r="RYD53" s="12"/>
      <c r="RYE53" s="12"/>
      <c r="RYF53" s="12"/>
      <c r="RYG53" s="12"/>
      <c r="RYH53" s="12"/>
      <c r="RYI53" s="12"/>
      <c r="RYJ53" s="12"/>
      <c r="RYK53" s="12"/>
      <c r="RYL53" s="12"/>
      <c r="RYM53" s="12"/>
      <c r="RYN53" s="12"/>
      <c r="RYO53" s="12"/>
      <c r="RYP53" s="12"/>
      <c r="RYQ53" s="12"/>
      <c r="RYR53" s="12"/>
      <c r="RYS53" s="12"/>
      <c r="RYT53" s="12"/>
      <c r="RYU53" s="12"/>
      <c r="RYV53" s="12"/>
      <c r="RYW53" s="12"/>
      <c r="RYX53" s="12"/>
      <c r="RYY53" s="12"/>
      <c r="RYZ53" s="12"/>
      <c r="RZA53" s="12"/>
      <c r="RZB53" s="12"/>
      <c r="RZC53" s="12"/>
      <c r="RZD53" s="12"/>
      <c r="RZE53" s="12"/>
      <c r="RZF53" s="12"/>
      <c r="RZG53" s="12"/>
      <c r="RZH53" s="12"/>
      <c r="RZI53" s="12"/>
      <c r="RZJ53" s="12"/>
      <c r="RZK53" s="12"/>
      <c r="RZL53" s="12"/>
      <c r="RZM53" s="12"/>
      <c r="RZN53" s="12"/>
      <c r="RZO53" s="12"/>
      <c r="RZP53" s="12"/>
      <c r="RZQ53" s="12"/>
      <c r="RZR53" s="12"/>
      <c r="RZS53" s="12"/>
      <c r="RZT53" s="12"/>
      <c r="RZU53" s="12"/>
      <c r="RZV53" s="12"/>
      <c r="RZW53" s="12"/>
      <c r="RZX53" s="12"/>
      <c r="RZY53" s="12"/>
      <c r="RZZ53" s="12"/>
      <c r="SAA53" s="12"/>
      <c r="SAB53" s="12"/>
      <c r="SAC53" s="12"/>
      <c r="SAD53" s="12"/>
      <c r="SAE53" s="12"/>
      <c r="SAF53" s="12"/>
      <c r="SAG53" s="12"/>
      <c r="SAH53" s="12"/>
      <c r="SAI53" s="12"/>
      <c r="SAJ53" s="12"/>
      <c r="SAK53" s="12"/>
      <c r="SAL53" s="12"/>
      <c r="SAM53" s="12"/>
      <c r="SAN53" s="12"/>
      <c r="SAO53" s="12"/>
      <c r="SAP53" s="12"/>
      <c r="SAQ53" s="12"/>
      <c r="SAR53" s="12"/>
      <c r="SAS53" s="12"/>
      <c r="SAT53" s="12"/>
      <c r="SAU53" s="12"/>
      <c r="SAV53" s="12"/>
      <c r="SAW53" s="12"/>
      <c r="SAX53" s="12"/>
      <c r="SAY53" s="12"/>
      <c r="SAZ53" s="12"/>
      <c r="SBA53" s="12"/>
      <c r="SBB53" s="12"/>
      <c r="SBC53" s="12"/>
      <c r="SBD53" s="12"/>
      <c r="SBE53" s="12"/>
      <c r="SBF53" s="12"/>
      <c r="SBG53" s="12"/>
      <c r="SBH53" s="12"/>
      <c r="SBI53" s="12"/>
      <c r="SBJ53" s="12"/>
      <c r="SBK53" s="12"/>
      <c r="SBL53" s="12"/>
      <c r="SBM53" s="12"/>
      <c r="SBN53" s="12"/>
      <c r="SBO53" s="12"/>
      <c r="SBP53" s="12"/>
      <c r="SBQ53" s="12"/>
      <c r="SBR53" s="12"/>
      <c r="SBS53" s="12"/>
      <c r="SBT53" s="12"/>
      <c r="SBU53" s="12"/>
      <c r="SBV53" s="12"/>
      <c r="SBW53" s="12"/>
      <c r="SBX53" s="12"/>
      <c r="SBY53" s="12"/>
      <c r="SBZ53" s="12"/>
      <c r="SCA53" s="12"/>
      <c r="SCB53" s="12"/>
      <c r="SCC53" s="12"/>
      <c r="SCD53" s="12"/>
      <c r="SCE53" s="12"/>
      <c r="SCF53" s="12"/>
      <c r="SCG53" s="12"/>
      <c r="SCH53" s="12"/>
      <c r="SCI53" s="12"/>
      <c r="SCJ53" s="12"/>
      <c r="SCK53" s="12"/>
      <c r="SCL53" s="12"/>
      <c r="SCM53" s="12"/>
      <c r="SCN53" s="12"/>
      <c r="SCO53" s="12"/>
      <c r="SCP53" s="12"/>
      <c r="SCQ53" s="12"/>
      <c r="SCR53" s="12"/>
      <c r="SCS53" s="12"/>
      <c r="SCT53" s="12"/>
      <c r="SCU53" s="12"/>
      <c r="SCV53" s="12"/>
      <c r="SCW53" s="12"/>
      <c r="SCX53" s="12"/>
      <c r="SCY53" s="12"/>
      <c r="SCZ53" s="12"/>
      <c r="SDA53" s="12"/>
      <c r="SDB53" s="12"/>
      <c r="SDC53" s="12"/>
      <c r="SDD53" s="12"/>
      <c r="SDE53" s="12"/>
      <c r="SDF53" s="12"/>
      <c r="SDG53" s="12"/>
      <c r="SDH53" s="12"/>
      <c r="SDI53" s="12"/>
      <c r="SDJ53" s="12"/>
      <c r="SDK53" s="12"/>
      <c r="SDL53" s="12"/>
      <c r="SDM53" s="12"/>
      <c r="SDN53" s="12"/>
      <c r="SDO53" s="12"/>
      <c r="SDP53" s="12"/>
      <c r="SDQ53" s="12"/>
      <c r="SDR53" s="12"/>
      <c r="SDS53" s="12"/>
      <c r="SDT53" s="12"/>
      <c r="SDU53" s="12"/>
      <c r="SDV53" s="12"/>
      <c r="SDW53" s="12"/>
      <c r="SDX53" s="12"/>
      <c r="SDY53" s="12"/>
      <c r="SDZ53" s="12"/>
      <c r="SEA53" s="12"/>
      <c r="SEB53" s="12"/>
      <c r="SEC53" s="12"/>
      <c r="SED53" s="12"/>
      <c r="SEE53" s="12"/>
      <c r="SEF53" s="12"/>
      <c r="SEG53" s="12"/>
      <c r="SEH53" s="12"/>
      <c r="SEI53" s="12"/>
      <c r="SEJ53" s="12"/>
      <c r="SEK53" s="12"/>
      <c r="SEL53" s="12"/>
      <c r="SEM53" s="12"/>
      <c r="SEN53" s="12"/>
      <c r="SEO53" s="12"/>
      <c r="SEP53" s="12"/>
      <c r="SEQ53" s="12"/>
      <c r="SER53" s="12"/>
      <c r="SES53" s="12"/>
      <c r="SET53" s="12"/>
      <c r="SEU53" s="12"/>
      <c r="SEV53" s="12"/>
      <c r="SEW53" s="12"/>
      <c r="SEX53" s="12"/>
      <c r="SEY53" s="12"/>
      <c r="SEZ53" s="12"/>
      <c r="SFA53" s="12"/>
      <c r="SFB53" s="12"/>
      <c r="SFC53" s="12"/>
      <c r="SFD53" s="12"/>
      <c r="SFE53" s="12"/>
      <c r="SFF53" s="12"/>
      <c r="SFG53" s="12"/>
      <c r="SFH53" s="12"/>
      <c r="SFI53" s="12"/>
      <c r="SFJ53" s="12"/>
      <c r="SFK53" s="12"/>
      <c r="SFL53" s="12"/>
      <c r="SFM53" s="12"/>
      <c r="SFN53" s="12"/>
      <c r="SFO53" s="12"/>
      <c r="SFP53" s="12"/>
      <c r="SFQ53" s="12"/>
      <c r="SFR53" s="12"/>
      <c r="SFS53" s="12"/>
      <c r="SFT53" s="12"/>
      <c r="SFU53" s="12"/>
      <c r="SFV53" s="12"/>
      <c r="SFW53" s="12"/>
      <c r="SFX53" s="12"/>
      <c r="SFY53" s="12"/>
      <c r="SFZ53" s="12"/>
      <c r="SGA53" s="12"/>
      <c r="SGB53" s="12"/>
      <c r="SGC53" s="12"/>
      <c r="SGD53" s="12"/>
      <c r="SGE53" s="12"/>
      <c r="SGF53" s="12"/>
      <c r="SGG53" s="12"/>
      <c r="SGH53" s="12"/>
      <c r="SGI53" s="12"/>
      <c r="SGJ53" s="12"/>
      <c r="SGK53" s="12"/>
      <c r="SGL53" s="12"/>
      <c r="SGM53" s="12"/>
      <c r="SGN53" s="12"/>
      <c r="SGO53" s="12"/>
      <c r="SGP53" s="12"/>
      <c r="SGQ53" s="12"/>
      <c r="SGR53" s="12"/>
      <c r="SGS53" s="12"/>
      <c r="SGT53" s="12"/>
      <c r="SGU53" s="12"/>
      <c r="SGV53" s="12"/>
      <c r="SGW53" s="12"/>
      <c r="SGX53" s="12"/>
      <c r="SGY53" s="12"/>
      <c r="SGZ53" s="12"/>
      <c r="SHA53" s="12"/>
      <c r="SHB53" s="12"/>
      <c r="SHC53" s="12"/>
      <c r="SHD53" s="12"/>
      <c r="SHE53" s="12"/>
      <c r="SHF53" s="12"/>
      <c r="SHG53" s="12"/>
      <c r="SHH53" s="12"/>
      <c r="SHI53" s="12"/>
      <c r="SHJ53" s="12"/>
      <c r="SHK53" s="12"/>
      <c r="SHL53" s="12"/>
      <c r="SHM53" s="12"/>
      <c r="SHN53" s="12"/>
      <c r="SHO53" s="12"/>
      <c r="SHP53" s="12"/>
      <c r="SHQ53" s="12"/>
      <c r="SHR53" s="12"/>
      <c r="SHS53" s="12"/>
      <c r="SHT53" s="12"/>
      <c r="SHU53" s="12"/>
      <c r="SHV53" s="12"/>
      <c r="SHW53" s="12"/>
      <c r="SHX53" s="12"/>
      <c r="SHY53" s="12"/>
      <c r="SHZ53" s="12"/>
      <c r="SIA53" s="12"/>
      <c r="SIB53" s="12"/>
      <c r="SIC53" s="12"/>
      <c r="SID53" s="12"/>
      <c r="SIE53" s="12"/>
      <c r="SIF53" s="12"/>
      <c r="SIG53" s="12"/>
      <c r="SIH53" s="12"/>
      <c r="SII53" s="12"/>
      <c r="SIJ53" s="12"/>
      <c r="SIK53" s="12"/>
      <c r="SIL53" s="12"/>
      <c r="SIM53" s="12"/>
      <c r="SIN53" s="12"/>
      <c r="SIO53" s="12"/>
      <c r="SIP53" s="12"/>
      <c r="SIQ53" s="12"/>
      <c r="SIR53" s="12"/>
      <c r="SIS53" s="12"/>
      <c r="SIT53" s="12"/>
      <c r="SIU53" s="12"/>
      <c r="SIV53" s="12"/>
      <c r="SIW53" s="12"/>
      <c r="SIX53" s="12"/>
      <c r="SIY53" s="12"/>
      <c r="SIZ53" s="12"/>
      <c r="SJA53" s="12"/>
      <c r="SJB53" s="12"/>
      <c r="SJC53" s="12"/>
      <c r="SJD53" s="12"/>
      <c r="SJE53" s="12"/>
      <c r="SJF53" s="12"/>
      <c r="SJG53" s="12"/>
      <c r="SJH53" s="12"/>
      <c r="SJI53" s="12"/>
      <c r="SJJ53" s="12"/>
      <c r="SJK53" s="12"/>
      <c r="SJL53" s="12"/>
      <c r="SJM53" s="12"/>
      <c r="SJN53" s="12"/>
      <c r="SJO53" s="12"/>
      <c r="SJP53" s="12"/>
      <c r="SJQ53" s="12"/>
      <c r="SJR53" s="12"/>
      <c r="SJS53" s="12"/>
      <c r="SJT53" s="12"/>
      <c r="SJU53" s="12"/>
      <c r="SJV53" s="12"/>
      <c r="SJW53" s="12"/>
      <c r="SJX53" s="12"/>
      <c r="SJY53" s="12"/>
      <c r="SJZ53" s="12"/>
      <c r="SKA53" s="12"/>
      <c r="SKB53" s="12"/>
      <c r="SKC53" s="12"/>
      <c r="SKD53" s="12"/>
      <c r="SKE53" s="12"/>
      <c r="SKF53" s="12"/>
      <c r="SKG53" s="12"/>
      <c r="SKH53" s="12"/>
      <c r="SKI53" s="12"/>
      <c r="SKJ53" s="12"/>
      <c r="SKK53" s="12"/>
      <c r="SKL53" s="12"/>
      <c r="SKM53" s="12"/>
      <c r="SKN53" s="12"/>
      <c r="SKO53" s="12"/>
      <c r="SKP53" s="12"/>
      <c r="SKQ53" s="12"/>
      <c r="SKR53" s="12"/>
      <c r="SKS53" s="12"/>
      <c r="SKT53" s="12"/>
      <c r="SKU53" s="12"/>
      <c r="SKV53" s="12"/>
      <c r="SKW53" s="12"/>
      <c r="SKX53" s="12"/>
      <c r="SKY53" s="12"/>
      <c r="SKZ53" s="12"/>
      <c r="SLA53" s="12"/>
      <c r="SLB53" s="12"/>
      <c r="SLC53" s="12"/>
      <c r="SLD53" s="12"/>
      <c r="SLE53" s="12"/>
      <c r="SLF53" s="12"/>
      <c r="SLG53" s="12"/>
      <c r="SLH53" s="12"/>
      <c r="SLI53" s="12"/>
      <c r="SLJ53" s="12"/>
      <c r="SLK53" s="12"/>
      <c r="SLL53" s="12"/>
      <c r="SLM53" s="12"/>
      <c r="SLN53" s="12"/>
      <c r="SLO53" s="12"/>
      <c r="SLP53" s="12"/>
      <c r="SLQ53" s="12"/>
      <c r="SLR53" s="12"/>
      <c r="SLS53" s="12"/>
      <c r="SLT53" s="12"/>
      <c r="SLU53" s="12"/>
      <c r="SLV53" s="12"/>
      <c r="SLW53" s="12"/>
      <c r="SLX53" s="12"/>
      <c r="SLY53" s="12"/>
      <c r="SLZ53" s="12"/>
      <c r="SMA53" s="12"/>
      <c r="SMB53" s="12"/>
      <c r="SMC53" s="12"/>
      <c r="SMD53" s="12"/>
      <c r="SME53" s="12"/>
      <c r="SMF53" s="12"/>
      <c r="SMG53" s="12"/>
      <c r="SMH53" s="12"/>
      <c r="SMI53" s="12"/>
      <c r="SMJ53" s="12"/>
      <c r="SMK53" s="12"/>
      <c r="SML53" s="12"/>
      <c r="SMM53" s="12"/>
      <c r="SMN53" s="12"/>
      <c r="SMO53" s="12"/>
      <c r="SMP53" s="12"/>
      <c r="SMQ53" s="12"/>
      <c r="SMR53" s="12"/>
      <c r="SMS53" s="12"/>
      <c r="SMT53" s="12"/>
      <c r="SMU53" s="12"/>
      <c r="SMV53" s="12"/>
      <c r="SMW53" s="12"/>
      <c r="SMX53" s="12"/>
      <c r="SMY53" s="12"/>
      <c r="SMZ53" s="12"/>
      <c r="SNA53" s="12"/>
      <c r="SNB53" s="12"/>
      <c r="SNC53" s="12"/>
      <c r="SND53" s="12"/>
      <c r="SNE53" s="12"/>
      <c r="SNF53" s="12"/>
      <c r="SNG53" s="12"/>
      <c r="SNH53" s="12"/>
      <c r="SNI53" s="12"/>
      <c r="SNJ53" s="12"/>
      <c r="SNK53" s="12"/>
      <c r="SNL53" s="12"/>
      <c r="SNM53" s="12"/>
      <c r="SNN53" s="12"/>
      <c r="SNO53" s="12"/>
      <c r="SNP53" s="12"/>
      <c r="SNQ53" s="12"/>
      <c r="SNR53" s="12"/>
      <c r="SNS53" s="12"/>
      <c r="SNT53" s="12"/>
      <c r="SNU53" s="12"/>
      <c r="SNV53" s="12"/>
      <c r="SNW53" s="12"/>
      <c r="SNX53" s="12"/>
      <c r="SNY53" s="12"/>
      <c r="SNZ53" s="12"/>
      <c r="SOA53" s="12"/>
      <c r="SOB53" s="12"/>
      <c r="SOC53" s="12"/>
      <c r="SOD53" s="12"/>
      <c r="SOE53" s="12"/>
      <c r="SOF53" s="12"/>
      <c r="SOG53" s="12"/>
      <c r="SOH53" s="12"/>
      <c r="SOI53" s="12"/>
      <c r="SOJ53" s="12"/>
      <c r="SOK53" s="12"/>
      <c r="SOL53" s="12"/>
      <c r="SOM53" s="12"/>
      <c r="SON53" s="12"/>
      <c r="SOO53" s="12"/>
      <c r="SOP53" s="12"/>
      <c r="SOQ53" s="12"/>
      <c r="SOR53" s="12"/>
      <c r="SOS53" s="12"/>
      <c r="SOT53" s="12"/>
      <c r="SOU53" s="12"/>
      <c r="SOV53" s="12"/>
      <c r="SOW53" s="12"/>
      <c r="SOX53" s="12"/>
      <c r="SOY53" s="12"/>
      <c r="SOZ53" s="12"/>
      <c r="SPA53" s="12"/>
      <c r="SPB53" s="12"/>
      <c r="SPC53" s="12"/>
      <c r="SPD53" s="12"/>
      <c r="SPE53" s="12"/>
      <c r="SPF53" s="12"/>
      <c r="SPG53" s="12"/>
      <c r="SPH53" s="12"/>
      <c r="SPI53" s="12"/>
      <c r="SPJ53" s="12"/>
      <c r="SPK53" s="12"/>
      <c r="SPL53" s="12"/>
      <c r="SPM53" s="12"/>
      <c r="SPN53" s="12"/>
      <c r="SPO53" s="12"/>
      <c r="SPP53" s="12"/>
      <c r="SPQ53" s="12"/>
      <c r="SPR53" s="12"/>
      <c r="SPS53" s="12"/>
      <c r="SPT53" s="12"/>
      <c r="SPU53" s="12"/>
      <c r="SPV53" s="12"/>
      <c r="SPW53" s="12"/>
      <c r="SPX53" s="12"/>
      <c r="SPY53" s="12"/>
      <c r="SPZ53" s="12"/>
      <c r="SQA53" s="12"/>
      <c r="SQB53" s="12"/>
      <c r="SQC53" s="12"/>
      <c r="SQD53" s="12"/>
      <c r="SQE53" s="12"/>
      <c r="SQF53" s="12"/>
      <c r="SQG53" s="12"/>
      <c r="SQH53" s="12"/>
      <c r="SQI53" s="12"/>
      <c r="SQJ53" s="12"/>
      <c r="SQK53" s="12"/>
      <c r="SQL53" s="12"/>
      <c r="SQM53" s="12"/>
      <c r="SQN53" s="12"/>
      <c r="SQO53" s="12"/>
      <c r="SQP53" s="12"/>
      <c r="SQQ53" s="12"/>
      <c r="SQR53" s="12"/>
      <c r="SQS53" s="12"/>
      <c r="SQT53" s="12"/>
      <c r="SQU53" s="12"/>
      <c r="SQV53" s="12"/>
      <c r="SQW53" s="12"/>
      <c r="SQX53" s="12"/>
      <c r="SQY53" s="12"/>
      <c r="SQZ53" s="12"/>
      <c r="SRA53" s="12"/>
      <c r="SRB53" s="12"/>
      <c r="SRC53" s="12"/>
      <c r="SRD53" s="12"/>
      <c r="SRE53" s="12"/>
      <c r="SRF53" s="12"/>
      <c r="SRG53" s="12"/>
      <c r="SRH53" s="12"/>
      <c r="SRI53" s="12"/>
      <c r="SRJ53" s="12"/>
      <c r="SRK53" s="12"/>
      <c r="SRL53" s="12"/>
      <c r="SRM53" s="12"/>
      <c r="SRN53" s="12"/>
      <c r="SRO53" s="12"/>
      <c r="SRP53" s="12"/>
      <c r="SRQ53" s="12"/>
      <c r="SRR53" s="12"/>
      <c r="SRS53" s="12"/>
      <c r="SRT53" s="12"/>
      <c r="SRU53" s="12"/>
      <c r="SRV53" s="12"/>
      <c r="SRW53" s="12"/>
      <c r="SRX53" s="12"/>
      <c r="SRY53" s="12"/>
      <c r="SRZ53" s="12"/>
      <c r="SSA53" s="12"/>
      <c r="SSB53" s="12"/>
      <c r="SSC53" s="12"/>
      <c r="SSD53" s="12"/>
      <c r="SSE53" s="12"/>
      <c r="SSF53" s="12"/>
      <c r="SSG53" s="12"/>
      <c r="SSH53" s="12"/>
      <c r="SSI53" s="12"/>
      <c r="SSJ53" s="12"/>
      <c r="SSK53" s="12"/>
      <c r="SSL53" s="12"/>
      <c r="SSM53" s="12"/>
      <c r="SSN53" s="12"/>
      <c r="SSO53" s="12"/>
      <c r="SSP53" s="12"/>
      <c r="SSQ53" s="12"/>
      <c r="SSR53" s="12"/>
      <c r="SSS53" s="12"/>
      <c r="SST53" s="12"/>
      <c r="SSU53" s="12"/>
      <c r="SSV53" s="12"/>
      <c r="SSW53" s="12"/>
      <c r="SSX53" s="12"/>
      <c r="SSY53" s="12"/>
      <c r="SSZ53" s="12"/>
      <c r="STA53" s="12"/>
      <c r="STB53" s="12"/>
      <c r="STC53" s="12"/>
      <c r="STD53" s="12"/>
      <c r="STE53" s="12"/>
      <c r="STF53" s="12"/>
      <c r="STG53" s="12"/>
      <c r="STH53" s="12"/>
      <c r="STI53" s="12"/>
      <c r="STJ53" s="12"/>
      <c r="STK53" s="12"/>
      <c r="STL53" s="12"/>
      <c r="STM53" s="12"/>
      <c r="STN53" s="12"/>
      <c r="STO53" s="12"/>
      <c r="STP53" s="12"/>
      <c r="STQ53" s="12"/>
      <c r="STR53" s="12"/>
      <c r="STS53" s="12"/>
      <c r="STT53" s="12"/>
      <c r="STU53" s="12"/>
      <c r="STV53" s="12"/>
      <c r="STW53" s="12"/>
      <c r="STX53" s="12"/>
      <c r="STY53" s="12"/>
      <c r="STZ53" s="12"/>
      <c r="SUA53" s="12"/>
      <c r="SUB53" s="12"/>
      <c r="SUC53" s="12"/>
      <c r="SUD53" s="12"/>
      <c r="SUE53" s="12"/>
      <c r="SUF53" s="12"/>
      <c r="SUG53" s="12"/>
      <c r="SUH53" s="12"/>
      <c r="SUI53" s="12"/>
      <c r="SUJ53" s="12"/>
      <c r="SUK53" s="12"/>
      <c r="SUL53" s="12"/>
      <c r="SUM53" s="12"/>
      <c r="SUN53" s="12"/>
      <c r="SUO53" s="12"/>
      <c r="SUP53" s="12"/>
      <c r="SUQ53" s="12"/>
      <c r="SUR53" s="12"/>
      <c r="SUS53" s="12"/>
      <c r="SUT53" s="12"/>
      <c r="SUU53" s="12"/>
      <c r="SUV53" s="12"/>
      <c r="SUW53" s="12"/>
      <c r="SUX53" s="12"/>
      <c r="SUY53" s="12"/>
      <c r="SUZ53" s="12"/>
      <c r="SVA53" s="12"/>
      <c r="SVB53" s="12"/>
      <c r="SVC53" s="12"/>
      <c r="SVD53" s="12"/>
      <c r="SVE53" s="12"/>
      <c r="SVF53" s="12"/>
      <c r="SVG53" s="12"/>
      <c r="SVH53" s="12"/>
      <c r="SVI53" s="12"/>
      <c r="SVJ53" s="12"/>
      <c r="SVK53" s="12"/>
      <c r="SVL53" s="12"/>
      <c r="SVM53" s="12"/>
      <c r="SVN53" s="12"/>
      <c r="SVO53" s="12"/>
      <c r="SVP53" s="12"/>
      <c r="SVQ53" s="12"/>
      <c r="SVR53" s="12"/>
      <c r="SVS53" s="12"/>
      <c r="SVT53" s="12"/>
      <c r="SVU53" s="12"/>
      <c r="SVV53" s="12"/>
      <c r="SVW53" s="12"/>
      <c r="SVX53" s="12"/>
      <c r="SVY53" s="12"/>
      <c r="SVZ53" s="12"/>
      <c r="SWA53" s="12"/>
      <c r="SWB53" s="12"/>
      <c r="SWC53" s="12"/>
      <c r="SWD53" s="12"/>
      <c r="SWE53" s="12"/>
      <c r="SWF53" s="12"/>
      <c r="SWG53" s="12"/>
      <c r="SWH53" s="12"/>
      <c r="SWI53" s="12"/>
      <c r="SWJ53" s="12"/>
      <c r="SWK53" s="12"/>
      <c r="SWL53" s="12"/>
      <c r="SWM53" s="12"/>
      <c r="SWN53" s="12"/>
      <c r="SWO53" s="12"/>
      <c r="SWP53" s="12"/>
      <c r="SWQ53" s="12"/>
      <c r="SWR53" s="12"/>
      <c r="SWS53" s="12"/>
      <c r="SWT53" s="12"/>
      <c r="SWU53" s="12"/>
      <c r="SWV53" s="12"/>
      <c r="SWW53" s="12"/>
      <c r="SWX53" s="12"/>
      <c r="SWY53" s="12"/>
      <c r="SWZ53" s="12"/>
      <c r="SXA53" s="12"/>
      <c r="SXB53" s="12"/>
      <c r="SXC53" s="12"/>
      <c r="SXD53" s="12"/>
      <c r="SXE53" s="12"/>
      <c r="SXF53" s="12"/>
      <c r="SXG53" s="12"/>
      <c r="SXH53" s="12"/>
      <c r="SXI53" s="12"/>
      <c r="SXJ53" s="12"/>
      <c r="SXK53" s="12"/>
      <c r="SXL53" s="12"/>
      <c r="SXM53" s="12"/>
      <c r="SXN53" s="12"/>
      <c r="SXO53" s="12"/>
      <c r="SXP53" s="12"/>
      <c r="SXQ53" s="12"/>
      <c r="SXR53" s="12"/>
      <c r="SXS53" s="12"/>
      <c r="SXT53" s="12"/>
      <c r="SXU53" s="12"/>
      <c r="SXV53" s="12"/>
      <c r="SXW53" s="12"/>
      <c r="SXX53" s="12"/>
      <c r="SXY53" s="12"/>
      <c r="SXZ53" s="12"/>
      <c r="SYA53" s="12"/>
      <c r="SYB53" s="12"/>
      <c r="SYC53" s="12"/>
      <c r="SYD53" s="12"/>
      <c r="SYE53" s="12"/>
      <c r="SYF53" s="12"/>
      <c r="SYG53" s="12"/>
      <c r="SYH53" s="12"/>
      <c r="SYI53" s="12"/>
      <c r="SYJ53" s="12"/>
      <c r="SYK53" s="12"/>
      <c r="SYL53" s="12"/>
      <c r="SYM53" s="12"/>
      <c r="SYN53" s="12"/>
      <c r="SYO53" s="12"/>
      <c r="SYP53" s="12"/>
      <c r="SYQ53" s="12"/>
      <c r="SYR53" s="12"/>
      <c r="SYS53" s="12"/>
      <c r="SYT53" s="12"/>
      <c r="SYU53" s="12"/>
      <c r="SYV53" s="12"/>
      <c r="SYW53" s="12"/>
      <c r="SYX53" s="12"/>
      <c r="SYY53" s="12"/>
      <c r="SYZ53" s="12"/>
      <c r="SZA53" s="12"/>
      <c r="SZB53" s="12"/>
      <c r="SZC53" s="12"/>
      <c r="SZD53" s="12"/>
      <c r="SZE53" s="12"/>
      <c r="SZF53" s="12"/>
      <c r="SZG53" s="12"/>
      <c r="SZH53" s="12"/>
      <c r="SZI53" s="12"/>
      <c r="SZJ53" s="12"/>
      <c r="SZK53" s="12"/>
      <c r="SZL53" s="12"/>
      <c r="SZM53" s="12"/>
      <c r="SZN53" s="12"/>
      <c r="SZO53" s="12"/>
      <c r="SZP53" s="12"/>
      <c r="SZQ53" s="12"/>
      <c r="SZR53" s="12"/>
      <c r="SZS53" s="12"/>
      <c r="SZT53" s="12"/>
      <c r="SZU53" s="12"/>
      <c r="SZV53" s="12"/>
      <c r="SZW53" s="12"/>
      <c r="SZX53" s="12"/>
      <c r="SZY53" s="12"/>
      <c r="SZZ53" s="12"/>
      <c r="TAA53" s="12"/>
      <c r="TAB53" s="12"/>
      <c r="TAC53" s="12"/>
      <c r="TAD53" s="12"/>
      <c r="TAE53" s="12"/>
      <c r="TAF53" s="12"/>
      <c r="TAG53" s="12"/>
      <c r="TAH53" s="12"/>
      <c r="TAI53" s="12"/>
      <c r="TAJ53" s="12"/>
      <c r="TAK53" s="12"/>
      <c r="TAL53" s="12"/>
      <c r="TAM53" s="12"/>
      <c r="TAN53" s="12"/>
      <c r="TAO53" s="12"/>
      <c r="TAP53" s="12"/>
      <c r="TAQ53" s="12"/>
      <c r="TAR53" s="12"/>
      <c r="TAS53" s="12"/>
      <c r="TAT53" s="12"/>
      <c r="TAU53" s="12"/>
      <c r="TAV53" s="12"/>
      <c r="TAW53" s="12"/>
      <c r="TAX53" s="12"/>
      <c r="TAY53" s="12"/>
      <c r="TAZ53" s="12"/>
      <c r="TBA53" s="12"/>
      <c r="TBB53" s="12"/>
      <c r="TBC53" s="12"/>
      <c r="TBD53" s="12"/>
      <c r="TBE53" s="12"/>
      <c r="TBF53" s="12"/>
      <c r="TBG53" s="12"/>
      <c r="TBH53" s="12"/>
      <c r="TBI53" s="12"/>
      <c r="TBJ53" s="12"/>
      <c r="TBK53" s="12"/>
      <c r="TBL53" s="12"/>
      <c r="TBM53" s="12"/>
      <c r="TBN53" s="12"/>
      <c r="TBO53" s="12"/>
      <c r="TBP53" s="12"/>
      <c r="TBQ53" s="12"/>
      <c r="TBR53" s="12"/>
      <c r="TBS53" s="12"/>
      <c r="TBT53" s="12"/>
      <c r="TBU53" s="12"/>
      <c r="TBV53" s="12"/>
      <c r="TBW53" s="12"/>
      <c r="TBX53" s="12"/>
      <c r="TBY53" s="12"/>
      <c r="TBZ53" s="12"/>
      <c r="TCA53" s="12"/>
      <c r="TCB53" s="12"/>
      <c r="TCC53" s="12"/>
      <c r="TCD53" s="12"/>
      <c r="TCE53" s="12"/>
      <c r="TCF53" s="12"/>
      <c r="TCG53" s="12"/>
      <c r="TCH53" s="12"/>
      <c r="TCI53" s="12"/>
      <c r="TCJ53" s="12"/>
      <c r="TCK53" s="12"/>
      <c r="TCL53" s="12"/>
      <c r="TCM53" s="12"/>
      <c r="TCN53" s="12"/>
      <c r="TCO53" s="12"/>
      <c r="TCP53" s="12"/>
      <c r="TCQ53" s="12"/>
      <c r="TCR53" s="12"/>
      <c r="TCS53" s="12"/>
      <c r="TCT53" s="12"/>
      <c r="TCU53" s="12"/>
      <c r="TCV53" s="12"/>
      <c r="TCW53" s="12"/>
      <c r="TCX53" s="12"/>
      <c r="TCY53" s="12"/>
      <c r="TCZ53" s="12"/>
      <c r="TDA53" s="12"/>
      <c r="TDB53" s="12"/>
      <c r="TDC53" s="12"/>
      <c r="TDD53" s="12"/>
      <c r="TDE53" s="12"/>
      <c r="TDF53" s="12"/>
      <c r="TDG53" s="12"/>
      <c r="TDH53" s="12"/>
      <c r="TDI53" s="12"/>
      <c r="TDJ53" s="12"/>
      <c r="TDK53" s="12"/>
      <c r="TDL53" s="12"/>
      <c r="TDM53" s="12"/>
      <c r="TDN53" s="12"/>
      <c r="TDO53" s="12"/>
      <c r="TDP53" s="12"/>
      <c r="TDQ53" s="12"/>
      <c r="TDR53" s="12"/>
      <c r="TDS53" s="12"/>
      <c r="TDT53" s="12"/>
      <c r="TDU53" s="12"/>
      <c r="TDV53" s="12"/>
      <c r="TDW53" s="12"/>
      <c r="TDX53" s="12"/>
      <c r="TDY53" s="12"/>
      <c r="TDZ53" s="12"/>
      <c r="TEA53" s="12"/>
      <c r="TEB53" s="12"/>
      <c r="TEC53" s="12"/>
      <c r="TED53" s="12"/>
      <c r="TEE53" s="12"/>
      <c r="TEF53" s="12"/>
      <c r="TEG53" s="12"/>
      <c r="TEH53" s="12"/>
      <c r="TEI53" s="12"/>
      <c r="TEJ53" s="12"/>
      <c r="TEK53" s="12"/>
      <c r="TEL53" s="12"/>
      <c r="TEM53" s="12"/>
      <c r="TEN53" s="12"/>
      <c r="TEO53" s="12"/>
      <c r="TEP53" s="12"/>
      <c r="TEQ53" s="12"/>
      <c r="TER53" s="12"/>
      <c r="TES53" s="12"/>
      <c r="TET53" s="12"/>
      <c r="TEU53" s="12"/>
      <c r="TEV53" s="12"/>
      <c r="TEW53" s="12"/>
      <c r="TEX53" s="12"/>
      <c r="TEY53" s="12"/>
      <c r="TEZ53" s="12"/>
      <c r="TFA53" s="12"/>
      <c r="TFB53" s="12"/>
      <c r="TFC53" s="12"/>
      <c r="TFD53" s="12"/>
      <c r="TFE53" s="12"/>
      <c r="TFF53" s="12"/>
      <c r="TFG53" s="12"/>
      <c r="TFH53" s="12"/>
      <c r="TFI53" s="12"/>
      <c r="TFJ53" s="12"/>
      <c r="TFK53" s="12"/>
      <c r="TFL53" s="12"/>
      <c r="TFM53" s="12"/>
      <c r="TFN53" s="12"/>
      <c r="TFO53" s="12"/>
      <c r="TFP53" s="12"/>
      <c r="TFQ53" s="12"/>
      <c r="TFR53" s="12"/>
      <c r="TFS53" s="12"/>
      <c r="TFT53" s="12"/>
      <c r="TFU53" s="12"/>
      <c r="TFV53" s="12"/>
      <c r="TFW53" s="12"/>
      <c r="TFX53" s="12"/>
      <c r="TFY53" s="12"/>
      <c r="TFZ53" s="12"/>
      <c r="TGA53" s="12"/>
      <c r="TGB53" s="12"/>
      <c r="TGC53" s="12"/>
      <c r="TGD53" s="12"/>
      <c r="TGE53" s="12"/>
      <c r="TGF53" s="12"/>
      <c r="TGG53" s="12"/>
      <c r="TGH53" s="12"/>
      <c r="TGI53" s="12"/>
      <c r="TGJ53" s="12"/>
      <c r="TGK53" s="12"/>
      <c r="TGL53" s="12"/>
      <c r="TGM53" s="12"/>
      <c r="TGN53" s="12"/>
      <c r="TGO53" s="12"/>
      <c r="TGP53" s="12"/>
      <c r="TGQ53" s="12"/>
      <c r="TGR53" s="12"/>
      <c r="TGS53" s="12"/>
      <c r="TGT53" s="12"/>
      <c r="TGU53" s="12"/>
      <c r="TGV53" s="12"/>
      <c r="TGW53" s="12"/>
      <c r="TGX53" s="12"/>
      <c r="TGY53" s="12"/>
      <c r="TGZ53" s="12"/>
      <c r="THA53" s="12"/>
      <c r="THB53" s="12"/>
      <c r="THC53" s="12"/>
      <c r="THD53" s="12"/>
      <c r="THE53" s="12"/>
      <c r="THF53" s="12"/>
      <c r="THG53" s="12"/>
      <c r="THH53" s="12"/>
      <c r="THI53" s="12"/>
      <c r="THJ53" s="12"/>
      <c r="THK53" s="12"/>
      <c r="THL53" s="12"/>
      <c r="THM53" s="12"/>
      <c r="THN53" s="12"/>
      <c r="THO53" s="12"/>
      <c r="THP53" s="12"/>
      <c r="THQ53" s="12"/>
      <c r="THR53" s="12"/>
      <c r="THS53" s="12"/>
      <c r="THT53" s="12"/>
      <c r="THU53" s="12"/>
      <c r="THV53" s="12"/>
      <c r="THW53" s="12"/>
      <c r="THX53" s="12"/>
      <c r="THY53" s="12"/>
      <c r="THZ53" s="12"/>
      <c r="TIA53" s="12"/>
      <c r="TIB53" s="12"/>
      <c r="TIC53" s="12"/>
      <c r="TID53" s="12"/>
      <c r="TIE53" s="12"/>
      <c r="TIF53" s="12"/>
      <c r="TIG53" s="12"/>
      <c r="TIH53" s="12"/>
      <c r="TII53" s="12"/>
      <c r="TIJ53" s="12"/>
      <c r="TIK53" s="12"/>
      <c r="TIL53" s="12"/>
      <c r="TIM53" s="12"/>
      <c r="TIN53" s="12"/>
      <c r="TIO53" s="12"/>
      <c r="TIP53" s="12"/>
      <c r="TIQ53" s="12"/>
      <c r="TIR53" s="12"/>
      <c r="TIS53" s="12"/>
      <c r="TIT53" s="12"/>
      <c r="TIU53" s="12"/>
      <c r="TIV53" s="12"/>
      <c r="TIW53" s="12"/>
      <c r="TIX53" s="12"/>
      <c r="TIY53" s="12"/>
      <c r="TIZ53" s="12"/>
      <c r="TJA53" s="12"/>
      <c r="TJB53" s="12"/>
      <c r="TJC53" s="12"/>
      <c r="TJD53" s="12"/>
      <c r="TJE53" s="12"/>
      <c r="TJF53" s="12"/>
      <c r="TJG53" s="12"/>
      <c r="TJH53" s="12"/>
      <c r="TJI53" s="12"/>
      <c r="TJJ53" s="12"/>
      <c r="TJK53" s="12"/>
      <c r="TJL53" s="12"/>
      <c r="TJM53" s="12"/>
      <c r="TJN53" s="12"/>
      <c r="TJO53" s="12"/>
      <c r="TJP53" s="12"/>
      <c r="TJQ53" s="12"/>
      <c r="TJR53" s="12"/>
      <c r="TJS53" s="12"/>
      <c r="TJT53" s="12"/>
      <c r="TJU53" s="12"/>
      <c r="TJV53" s="12"/>
      <c r="TJW53" s="12"/>
      <c r="TJX53" s="12"/>
      <c r="TJY53" s="12"/>
      <c r="TJZ53" s="12"/>
      <c r="TKA53" s="12"/>
      <c r="TKB53" s="12"/>
      <c r="TKC53" s="12"/>
      <c r="TKD53" s="12"/>
      <c r="TKE53" s="12"/>
      <c r="TKF53" s="12"/>
      <c r="TKG53" s="12"/>
      <c r="TKH53" s="12"/>
      <c r="TKI53" s="12"/>
      <c r="TKJ53" s="12"/>
      <c r="TKK53" s="12"/>
      <c r="TKL53" s="12"/>
      <c r="TKM53" s="12"/>
      <c r="TKN53" s="12"/>
      <c r="TKO53" s="12"/>
      <c r="TKP53" s="12"/>
      <c r="TKQ53" s="12"/>
      <c r="TKR53" s="12"/>
      <c r="TKS53" s="12"/>
      <c r="TKT53" s="12"/>
      <c r="TKU53" s="12"/>
      <c r="TKV53" s="12"/>
      <c r="TKW53" s="12"/>
      <c r="TKX53" s="12"/>
      <c r="TKY53" s="12"/>
      <c r="TKZ53" s="12"/>
      <c r="TLA53" s="12"/>
      <c r="TLB53" s="12"/>
      <c r="TLC53" s="12"/>
      <c r="TLD53" s="12"/>
      <c r="TLE53" s="12"/>
      <c r="TLF53" s="12"/>
      <c r="TLG53" s="12"/>
      <c r="TLH53" s="12"/>
      <c r="TLI53" s="12"/>
      <c r="TLJ53" s="12"/>
      <c r="TLK53" s="12"/>
      <c r="TLL53" s="12"/>
      <c r="TLM53" s="12"/>
      <c r="TLN53" s="12"/>
      <c r="TLO53" s="12"/>
      <c r="TLP53" s="12"/>
      <c r="TLQ53" s="12"/>
      <c r="TLR53" s="12"/>
      <c r="TLS53" s="12"/>
      <c r="TLT53" s="12"/>
      <c r="TLU53" s="12"/>
      <c r="TLV53" s="12"/>
      <c r="TLW53" s="12"/>
      <c r="TLX53" s="12"/>
      <c r="TLY53" s="12"/>
      <c r="TLZ53" s="12"/>
      <c r="TMA53" s="12"/>
      <c r="TMB53" s="12"/>
      <c r="TMC53" s="12"/>
      <c r="TMD53" s="12"/>
      <c r="TME53" s="12"/>
      <c r="TMF53" s="12"/>
      <c r="TMG53" s="12"/>
      <c r="TMH53" s="12"/>
      <c r="TMI53" s="12"/>
      <c r="TMJ53" s="12"/>
      <c r="TMK53" s="12"/>
      <c r="TML53" s="12"/>
      <c r="TMM53" s="12"/>
      <c r="TMN53" s="12"/>
      <c r="TMO53" s="12"/>
      <c r="TMP53" s="12"/>
      <c r="TMQ53" s="12"/>
      <c r="TMR53" s="12"/>
      <c r="TMS53" s="12"/>
      <c r="TMT53" s="12"/>
      <c r="TMU53" s="12"/>
      <c r="TMV53" s="12"/>
      <c r="TMW53" s="12"/>
      <c r="TMX53" s="12"/>
      <c r="TMY53" s="12"/>
      <c r="TMZ53" s="12"/>
      <c r="TNA53" s="12"/>
      <c r="TNB53" s="12"/>
      <c r="TNC53" s="12"/>
      <c r="TND53" s="12"/>
      <c r="TNE53" s="12"/>
      <c r="TNF53" s="12"/>
      <c r="TNG53" s="12"/>
      <c r="TNH53" s="12"/>
      <c r="TNI53" s="12"/>
      <c r="TNJ53" s="12"/>
      <c r="TNK53" s="12"/>
      <c r="TNL53" s="12"/>
      <c r="TNM53" s="12"/>
      <c r="TNN53" s="12"/>
      <c r="TNO53" s="12"/>
      <c r="TNP53" s="12"/>
      <c r="TNQ53" s="12"/>
      <c r="TNR53" s="12"/>
      <c r="TNS53" s="12"/>
      <c r="TNT53" s="12"/>
      <c r="TNU53" s="12"/>
      <c r="TNV53" s="12"/>
      <c r="TNW53" s="12"/>
      <c r="TNX53" s="12"/>
      <c r="TNY53" s="12"/>
      <c r="TNZ53" s="12"/>
      <c r="TOA53" s="12"/>
      <c r="TOB53" s="12"/>
      <c r="TOC53" s="12"/>
      <c r="TOD53" s="12"/>
      <c r="TOE53" s="12"/>
      <c r="TOF53" s="12"/>
      <c r="TOG53" s="12"/>
      <c r="TOH53" s="12"/>
      <c r="TOI53" s="12"/>
      <c r="TOJ53" s="12"/>
      <c r="TOK53" s="12"/>
      <c r="TOL53" s="12"/>
      <c r="TOM53" s="12"/>
      <c r="TON53" s="12"/>
      <c r="TOO53" s="12"/>
      <c r="TOP53" s="12"/>
      <c r="TOQ53" s="12"/>
      <c r="TOR53" s="12"/>
      <c r="TOS53" s="12"/>
      <c r="TOT53" s="12"/>
      <c r="TOU53" s="12"/>
      <c r="TOV53" s="12"/>
      <c r="TOW53" s="12"/>
      <c r="TOX53" s="12"/>
      <c r="TOY53" s="12"/>
      <c r="TOZ53" s="12"/>
      <c r="TPA53" s="12"/>
      <c r="TPB53" s="12"/>
      <c r="TPC53" s="12"/>
      <c r="TPD53" s="12"/>
      <c r="TPE53" s="12"/>
      <c r="TPF53" s="12"/>
      <c r="TPG53" s="12"/>
      <c r="TPH53" s="12"/>
      <c r="TPI53" s="12"/>
      <c r="TPJ53" s="12"/>
      <c r="TPK53" s="12"/>
      <c r="TPL53" s="12"/>
      <c r="TPM53" s="12"/>
      <c r="TPN53" s="12"/>
      <c r="TPO53" s="12"/>
      <c r="TPP53" s="12"/>
      <c r="TPQ53" s="12"/>
      <c r="TPR53" s="12"/>
      <c r="TPS53" s="12"/>
      <c r="TPT53" s="12"/>
      <c r="TPU53" s="12"/>
      <c r="TPV53" s="12"/>
      <c r="TPW53" s="12"/>
      <c r="TPX53" s="12"/>
      <c r="TPY53" s="12"/>
      <c r="TPZ53" s="12"/>
      <c r="TQA53" s="12"/>
      <c r="TQB53" s="12"/>
      <c r="TQC53" s="12"/>
      <c r="TQD53" s="12"/>
      <c r="TQE53" s="12"/>
      <c r="TQF53" s="12"/>
      <c r="TQG53" s="12"/>
      <c r="TQH53" s="12"/>
      <c r="TQI53" s="12"/>
      <c r="TQJ53" s="12"/>
      <c r="TQK53" s="12"/>
      <c r="TQL53" s="12"/>
      <c r="TQM53" s="12"/>
      <c r="TQN53" s="12"/>
      <c r="TQO53" s="12"/>
      <c r="TQP53" s="12"/>
      <c r="TQQ53" s="12"/>
      <c r="TQR53" s="12"/>
      <c r="TQS53" s="12"/>
      <c r="TQT53" s="12"/>
      <c r="TQU53" s="12"/>
      <c r="TQV53" s="12"/>
      <c r="TQW53" s="12"/>
      <c r="TQX53" s="12"/>
      <c r="TQY53" s="12"/>
      <c r="TQZ53" s="12"/>
      <c r="TRA53" s="12"/>
      <c r="TRB53" s="12"/>
      <c r="TRC53" s="12"/>
      <c r="TRD53" s="12"/>
      <c r="TRE53" s="12"/>
      <c r="TRF53" s="12"/>
      <c r="TRG53" s="12"/>
      <c r="TRH53" s="12"/>
      <c r="TRI53" s="12"/>
      <c r="TRJ53" s="12"/>
      <c r="TRK53" s="12"/>
      <c r="TRL53" s="12"/>
      <c r="TRM53" s="12"/>
      <c r="TRN53" s="12"/>
      <c r="TRO53" s="12"/>
      <c r="TRP53" s="12"/>
      <c r="TRQ53" s="12"/>
      <c r="TRR53" s="12"/>
      <c r="TRS53" s="12"/>
      <c r="TRT53" s="12"/>
      <c r="TRU53" s="12"/>
      <c r="TRV53" s="12"/>
      <c r="TRW53" s="12"/>
      <c r="TRX53" s="12"/>
      <c r="TRY53" s="12"/>
      <c r="TRZ53" s="12"/>
      <c r="TSA53" s="12"/>
      <c r="TSB53" s="12"/>
      <c r="TSC53" s="12"/>
      <c r="TSD53" s="12"/>
      <c r="TSE53" s="12"/>
      <c r="TSF53" s="12"/>
      <c r="TSG53" s="12"/>
      <c r="TSH53" s="12"/>
      <c r="TSI53" s="12"/>
      <c r="TSJ53" s="12"/>
      <c r="TSK53" s="12"/>
      <c r="TSL53" s="12"/>
      <c r="TSM53" s="12"/>
      <c r="TSN53" s="12"/>
      <c r="TSO53" s="12"/>
      <c r="TSP53" s="12"/>
      <c r="TSQ53" s="12"/>
      <c r="TSR53" s="12"/>
      <c r="TSS53" s="12"/>
      <c r="TST53" s="12"/>
      <c r="TSU53" s="12"/>
      <c r="TSV53" s="12"/>
      <c r="TSW53" s="12"/>
      <c r="TSX53" s="12"/>
      <c r="TSY53" s="12"/>
      <c r="TSZ53" s="12"/>
      <c r="TTA53" s="12"/>
      <c r="TTB53" s="12"/>
      <c r="TTC53" s="12"/>
      <c r="TTD53" s="12"/>
      <c r="TTE53" s="12"/>
      <c r="TTF53" s="12"/>
      <c r="TTG53" s="12"/>
      <c r="TTH53" s="12"/>
      <c r="TTI53" s="12"/>
      <c r="TTJ53" s="12"/>
      <c r="TTK53" s="12"/>
      <c r="TTL53" s="12"/>
      <c r="TTM53" s="12"/>
      <c r="TTN53" s="12"/>
      <c r="TTO53" s="12"/>
      <c r="TTP53" s="12"/>
      <c r="TTQ53" s="12"/>
      <c r="TTR53" s="12"/>
      <c r="TTS53" s="12"/>
      <c r="TTT53" s="12"/>
      <c r="TTU53" s="12"/>
      <c r="TTV53" s="12"/>
      <c r="TTW53" s="12"/>
      <c r="TTX53" s="12"/>
      <c r="TTY53" s="12"/>
      <c r="TTZ53" s="12"/>
      <c r="TUA53" s="12"/>
      <c r="TUB53" s="12"/>
      <c r="TUC53" s="12"/>
      <c r="TUD53" s="12"/>
      <c r="TUE53" s="12"/>
      <c r="TUF53" s="12"/>
      <c r="TUG53" s="12"/>
      <c r="TUH53" s="12"/>
      <c r="TUI53" s="12"/>
      <c r="TUJ53" s="12"/>
      <c r="TUK53" s="12"/>
      <c r="TUL53" s="12"/>
      <c r="TUM53" s="12"/>
      <c r="TUN53" s="12"/>
      <c r="TUO53" s="12"/>
      <c r="TUP53" s="12"/>
      <c r="TUQ53" s="12"/>
      <c r="TUR53" s="12"/>
      <c r="TUS53" s="12"/>
      <c r="TUT53" s="12"/>
      <c r="TUU53" s="12"/>
      <c r="TUV53" s="12"/>
      <c r="TUW53" s="12"/>
      <c r="TUX53" s="12"/>
      <c r="TUY53" s="12"/>
      <c r="TUZ53" s="12"/>
      <c r="TVA53" s="12"/>
      <c r="TVB53" s="12"/>
      <c r="TVC53" s="12"/>
      <c r="TVD53" s="12"/>
      <c r="TVE53" s="12"/>
      <c r="TVF53" s="12"/>
      <c r="TVG53" s="12"/>
      <c r="TVH53" s="12"/>
      <c r="TVI53" s="12"/>
      <c r="TVJ53" s="12"/>
      <c r="TVK53" s="12"/>
      <c r="TVL53" s="12"/>
      <c r="TVM53" s="12"/>
      <c r="TVN53" s="12"/>
      <c r="TVO53" s="12"/>
      <c r="TVP53" s="12"/>
      <c r="TVQ53" s="12"/>
      <c r="TVR53" s="12"/>
      <c r="TVS53" s="12"/>
      <c r="TVT53" s="12"/>
      <c r="TVU53" s="12"/>
      <c r="TVV53" s="12"/>
      <c r="TVW53" s="12"/>
      <c r="TVX53" s="12"/>
      <c r="TVY53" s="12"/>
      <c r="TVZ53" s="12"/>
      <c r="TWA53" s="12"/>
      <c r="TWB53" s="12"/>
      <c r="TWC53" s="12"/>
      <c r="TWD53" s="12"/>
      <c r="TWE53" s="12"/>
      <c r="TWF53" s="12"/>
      <c r="TWG53" s="12"/>
      <c r="TWH53" s="12"/>
      <c r="TWI53" s="12"/>
      <c r="TWJ53" s="12"/>
      <c r="TWK53" s="12"/>
      <c r="TWL53" s="12"/>
      <c r="TWM53" s="12"/>
      <c r="TWN53" s="12"/>
      <c r="TWO53" s="12"/>
      <c r="TWP53" s="12"/>
      <c r="TWQ53" s="12"/>
      <c r="TWR53" s="12"/>
      <c r="TWS53" s="12"/>
      <c r="TWT53" s="12"/>
      <c r="TWU53" s="12"/>
      <c r="TWV53" s="12"/>
      <c r="TWW53" s="12"/>
      <c r="TWX53" s="12"/>
      <c r="TWY53" s="12"/>
      <c r="TWZ53" s="12"/>
      <c r="TXA53" s="12"/>
      <c r="TXB53" s="12"/>
      <c r="TXC53" s="12"/>
      <c r="TXD53" s="12"/>
      <c r="TXE53" s="12"/>
      <c r="TXF53" s="12"/>
      <c r="TXG53" s="12"/>
      <c r="TXH53" s="12"/>
      <c r="TXI53" s="12"/>
      <c r="TXJ53" s="12"/>
      <c r="TXK53" s="12"/>
      <c r="TXL53" s="12"/>
      <c r="TXM53" s="12"/>
      <c r="TXN53" s="12"/>
      <c r="TXO53" s="12"/>
      <c r="TXP53" s="12"/>
      <c r="TXQ53" s="12"/>
      <c r="TXR53" s="12"/>
      <c r="TXS53" s="12"/>
      <c r="TXT53" s="12"/>
      <c r="TXU53" s="12"/>
      <c r="TXV53" s="12"/>
      <c r="TXW53" s="12"/>
      <c r="TXX53" s="12"/>
      <c r="TXY53" s="12"/>
      <c r="TXZ53" s="12"/>
      <c r="TYA53" s="12"/>
      <c r="TYB53" s="12"/>
      <c r="TYC53" s="12"/>
      <c r="TYD53" s="12"/>
      <c r="TYE53" s="12"/>
      <c r="TYF53" s="12"/>
      <c r="TYG53" s="12"/>
      <c r="TYH53" s="12"/>
      <c r="TYI53" s="12"/>
      <c r="TYJ53" s="12"/>
      <c r="TYK53" s="12"/>
      <c r="TYL53" s="12"/>
      <c r="TYM53" s="12"/>
      <c r="TYN53" s="12"/>
      <c r="TYO53" s="12"/>
      <c r="TYP53" s="12"/>
      <c r="TYQ53" s="12"/>
      <c r="TYR53" s="12"/>
      <c r="TYS53" s="12"/>
      <c r="TYT53" s="12"/>
      <c r="TYU53" s="12"/>
      <c r="TYV53" s="12"/>
      <c r="TYW53" s="12"/>
      <c r="TYX53" s="12"/>
      <c r="TYY53" s="12"/>
      <c r="TYZ53" s="12"/>
      <c r="TZA53" s="12"/>
      <c r="TZB53" s="12"/>
      <c r="TZC53" s="12"/>
      <c r="TZD53" s="12"/>
      <c r="TZE53" s="12"/>
      <c r="TZF53" s="12"/>
      <c r="TZG53" s="12"/>
      <c r="TZH53" s="12"/>
      <c r="TZI53" s="12"/>
      <c r="TZJ53" s="12"/>
      <c r="TZK53" s="12"/>
      <c r="TZL53" s="12"/>
      <c r="TZM53" s="12"/>
      <c r="TZN53" s="12"/>
      <c r="TZO53" s="12"/>
      <c r="TZP53" s="12"/>
      <c r="TZQ53" s="12"/>
      <c r="TZR53" s="12"/>
      <c r="TZS53" s="12"/>
      <c r="TZT53" s="12"/>
      <c r="TZU53" s="12"/>
      <c r="TZV53" s="12"/>
      <c r="TZW53" s="12"/>
      <c r="TZX53" s="12"/>
      <c r="TZY53" s="12"/>
      <c r="TZZ53" s="12"/>
      <c r="UAA53" s="12"/>
      <c r="UAB53" s="12"/>
      <c r="UAC53" s="12"/>
      <c r="UAD53" s="12"/>
      <c r="UAE53" s="12"/>
      <c r="UAF53" s="12"/>
      <c r="UAG53" s="12"/>
      <c r="UAH53" s="12"/>
      <c r="UAI53" s="12"/>
      <c r="UAJ53" s="12"/>
      <c r="UAK53" s="12"/>
      <c r="UAL53" s="12"/>
      <c r="UAM53" s="12"/>
      <c r="UAN53" s="12"/>
      <c r="UAO53" s="12"/>
      <c r="UAP53" s="12"/>
      <c r="UAQ53" s="12"/>
      <c r="UAR53" s="12"/>
      <c r="UAS53" s="12"/>
      <c r="UAT53" s="12"/>
      <c r="UAU53" s="12"/>
      <c r="UAV53" s="12"/>
      <c r="UAW53" s="12"/>
      <c r="UAX53" s="12"/>
      <c r="UAY53" s="12"/>
      <c r="UAZ53" s="12"/>
      <c r="UBA53" s="12"/>
      <c r="UBB53" s="12"/>
      <c r="UBC53" s="12"/>
      <c r="UBD53" s="12"/>
      <c r="UBE53" s="12"/>
      <c r="UBF53" s="12"/>
      <c r="UBG53" s="12"/>
      <c r="UBH53" s="12"/>
      <c r="UBI53" s="12"/>
      <c r="UBJ53" s="12"/>
      <c r="UBK53" s="12"/>
      <c r="UBL53" s="12"/>
      <c r="UBM53" s="12"/>
      <c r="UBN53" s="12"/>
      <c r="UBO53" s="12"/>
      <c r="UBP53" s="12"/>
      <c r="UBQ53" s="12"/>
      <c r="UBR53" s="12"/>
      <c r="UBS53" s="12"/>
      <c r="UBT53" s="12"/>
      <c r="UBU53" s="12"/>
      <c r="UBV53" s="12"/>
      <c r="UBW53" s="12"/>
      <c r="UBX53" s="12"/>
      <c r="UBY53" s="12"/>
      <c r="UBZ53" s="12"/>
      <c r="UCA53" s="12"/>
      <c r="UCB53" s="12"/>
      <c r="UCC53" s="12"/>
      <c r="UCD53" s="12"/>
      <c r="UCE53" s="12"/>
      <c r="UCF53" s="12"/>
      <c r="UCG53" s="12"/>
      <c r="UCH53" s="12"/>
      <c r="UCI53" s="12"/>
      <c r="UCJ53" s="12"/>
      <c r="UCK53" s="12"/>
      <c r="UCL53" s="12"/>
      <c r="UCM53" s="12"/>
      <c r="UCN53" s="12"/>
      <c r="UCO53" s="12"/>
      <c r="UCP53" s="12"/>
      <c r="UCQ53" s="12"/>
      <c r="UCR53" s="12"/>
      <c r="UCS53" s="12"/>
      <c r="UCT53" s="12"/>
      <c r="UCU53" s="12"/>
      <c r="UCV53" s="12"/>
      <c r="UCW53" s="12"/>
      <c r="UCX53" s="12"/>
      <c r="UCY53" s="12"/>
      <c r="UCZ53" s="12"/>
      <c r="UDA53" s="12"/>
      <c r="UDB53" s="12"/>
      <c r="UDC53" s="12"/>
      <c r="UDD53" s="12"/>
      <c r="UDE53" s="12"/>
      <c r="UDF53" s="12"/>
      <c r="UDG53" s="12"/>
      <c r="UDH53" s="12"/>
      <c r="UDI53" s="12"/>
      <c r="UDJ53" s="12"/>
      <c r="UDK53" s="12"/>
      <c r="UDL53" s="12"/>
      <c r="UDM53" s="12"/>
      <c r="UDN53" s="12"/>
      <c r="UDO53" s="12"/>
      <c r="UDP53" s="12"/>
      <c r="UDQ53" s="12"/>
      <c r="UDR53" s="12"/>
      <c r="UDS53" s="12"/>
      <c r="UDT53" s="12"/>
      <c r="UDU53" s="12"/>
      <c r="UDV53" s="12"/>
      <c r="UDW53" s="12"/>
      <c r="UDX53" s="12"/>
      <c r="UDY53" s="12"/>
      <c r="UDZ53" s="12"/>
      <c r="UEA53" s="12"/>
      <c r="UEB53" s="12"/>
      <c r="UEC53" s="12"/>
      <c r="UED53" s="12"/>
      <c r="UEE53" s="12"/>
      <c r="UEF53" s="12"/>
      <c r="UEG53" s="12"/>
      <c r="UEH53" s="12"/>
      <c r="UEI53" s="12"/>
      <c r="UEJ53" s="12"/>
      <c r="UEK53" s="12"/>
      <c r="UEL53" s="12"/>
      <c r="UEM53" s="12"/>
      <c r="UEN53" s="12"/>
      <c r="UEO53" s="12"/>
      <c r="UEP53" s="12"/>
      <c r="UEQ53" s="12"/>
      <c r="UER53" s="12"/>
      <c r="UES53" s="12"/>
      <c r="UET53" s="12"/>
      <c r="UEU53" s="12"/>
      <c r="UEV53" s="12"/>
      <c r="UEW53" s="12"/>
      <c r="UEX53" s="12"/>
      <c r="UEY53" s="12"/>
      <c r="UEZ53" s="12"/>
      <c r="UFA53" s="12"/>
      <c r="UFB53" s="12"/>
      <c r="UFC53" s="12"/>
      <c r="UFD53" s="12"/>
      <c r="UFE53" s="12"/>
      <c r="UFF53" s="12"/>
      <c r="UFG53" s="12"/>
      <c r="UFH53" s="12"/>
      <c r="UFI53" s="12"/>
      <c r="UFJ53" s="12"/>
      <c r="UFK53" s="12"/>
      <c r="UFL53" s="12"/>
      <c r="UFM53" s="12"/>
      <c r="UFN53" s="12"/>
      <c r="UFO53" s="12"/>
      <c r="UFP53" s="12"/>
      <c r="UFQ53" s="12"/>
      <c r="UFR53" s="12"/>
      <c r="UFS53" s="12"/>
      <c r="UFT53" s="12"/>
      <c r="UFU53" s="12"/>
      <c r="UFV53" s="12"/>
      <c r="UFW53" s="12"/>
      <c r="UFX53" s="12"/>
      <c r="UFY53" s="12"/>
      <c r="UFZ53" s="12"/>
      <c r="UGA53" s="12"/>
      <c r="UGB53" s="12"/>
      <c r="UGC53" s="12"/>
      <c r="UGD53" s="12"/>
      <c r="UGE53" s="12"/>
      <c r="UGF53" s="12"/>
      <c r="UGG53" s="12"/>
      <c r="UGH53" s="12"/>
      <c r="UGI53" s="12"/>
      <c r="UGJ53" s="12"/>
      <c r="UGK53" s="12"/>
      <c r="UGL53" s="12"/>
      <c r="UGM53" s="12"/>
      <c r="UGN53" s="12"/>
      <c r="UGO53" s="12"/>
      <c r="UGP53" s="12"/>
      <c r="UGQ53" s="12"/>
      <c r="UGR53" s="12"/>
      <c r="UGS53" s="12"/>
      <c r="UGT53" s="12"/>
      <c r="UGU53" s="12"/>
      <c r="UGV53" s="12"/>
      <c r="UGW53" s="12"/>
      <c r="UGX53" s="12"/>
      <c r="UGY53" s="12"/>
      <c r="UGZ53" s="12"/>
      <c r="UHA53" s="12"/>
      <c r="UHB53" s="12"/>
      <c r="UHC53" s="12"/>
      <c r="UHD53" s="12"/>
      <c r="UHE53" s="12"/>
      <c r="UHF53" s="12"/>
      <c r="UHG53" s="12"/>
      <c r="UHH53" s="12"/>
      <c r="UHI53" s="12"/>
      <c r="UHJ53" s="12"/>
      <c r="UHK53" s="12"/>
      <c r="UHL53" s="12"/>
      <c r="UHM53" s="12"/>
      <c r="UHN53" s="12"/>
      <c r="UHO53" s="12"/>
      <c r="UHP53" s="12"/>
      <c r="UHQ53" s="12"/>
      <c r="UHR53" s="12"/>
      <c r="UHS53" s="12"/>
      <c r="UHT53" s="12"/>
      <c r="UHU53" s="12"/>
      <c r="UHV53" s="12"/>
      <c r="UHW53" s="12"/>
      <c r="UHX53" s="12"/>
      <c r="UHY53" s="12"/>
      <c r="UHZ53" s="12"/>
      <c r="UIA53" s="12"/>
      <c r="UIB53" s="12"/>
      <c r="UIC53" s="12"/>
      <c r="UID53" s="12"/>
      <c r="UIE53" s="12"/>
      <c r="UIF53" s="12"/>
      <c r="UIG53" s="12"/>
      <c r="UIH53" s="12"/>
      <c r="UII53" s="12"/>
      <c r="UIJ53" s="12"/>
      <c r="UIK53" s="12"/>
      <c r="UIL53" s="12"/>
      <c r="UIM53" s="12"/>
      <c r="UIN53" s="12"/>
      <c r="UIO53" s="12"/>
      <c r="UIP53" s="12"/>
      <c r="UIQ53" s="12"/>
      <c r="UIR53" s="12"/>
      <c r="UIS53" s="12"/>
      <c r="UIT53" s="12"/>
      <c r="UIU53" s="12"/>
      <c r="UIV53" s="12"/>
      <c r="UIW53" s="12"/>
      <c r="UIX53" s="12"/>
      <c r="UIY53" s="12"/>
      <c r="UIZ53" s="12"/>
      <c r="UJA53" s="12"/>
      <c r="UJB53" s="12"/>
      <c r="UJC53" s="12"/>
      <c r="UJD53" s="12"/>
      <c r="UJE53" s="12"/>
      <c r="UJF53" s="12"/>
      <c r="UJG53" s="12"/>
      <c r="UJH53" s="12"/>
      <c r="UJI53" s="12"/>
      <c r="UJJ53" s="12"/>
      <c r="UJK53" s="12"/>
      <c r="UJL53" s="12"/>
      <c r="UJM53" s="12"/>
      <c r="UJN53" s="12"/>
      <c r="UJO53" s="12"/>
      <c r="UJP53" s="12"/>
      <c r="UJQ53" s="12"/>
      <c r="UJR53" s="12"/>
      <c r="UJS53" s="12"/>
      <c r="UJT53" s="12"/>
      <c r="UJU53" s="12"/>
      <c r="UJV53" s="12"/>
      <c r="UJW53" s="12"/>
      <c r="UJX53" s="12"/>
      <c r="UJY53" s="12"/>
      <c r="UJZ53" s="12"/>
      <c r="UKA53" s="12"/>
      <c r="UKB53" s="12"/>
      <c r="UKC53" s="12"/>
      <c r="UKD53" s="12"/>
      <c r="UKE53" s="12"/>
      <c r="UKF53" s="12"/>
      <c r="UKG53" s="12"/>
      <c r="UKH53" s="12"/>
      <c r="UKI53" s="12"/>
      <c r="UKJ53" s="12"/>
      <c r="UKK53" s="12"/>
      <c r="UKL53" s="12"/>
      <c r="UKM53" s="12"/>
      <c r="UKN53" s="12"/>
      <c r="UKO53" s="12"/>
      <c r="UKP53" s="12"/>
      <c r="UKQ53" s="12"/>
      <c r="UKR53" s="12"/>
      <c r="UKS53" s="12"/>
      <c r="UKT53" s="12"/>
      <c r="UKU53" s="12"/>
      <c r="UKV53" s="12"/>
      <c r="UKW53" s="12"/>
      <c r="UKX53" s="12"/>
      <c r="UKY53" s="12"/>
      <c r="UKZ53" s="12"/>
      <c r="ULA53" s="12"/>
      <c r="ULB53" s="12"/>
      <c r="ULC53" s="12"/>
      <c r="ULD53" s="12"/>
      <c r="ULE53" s="12"/>
      <c r="ULF53" s="12"/>
      <c r="ULG53" s="12"/>
      <c r="ULH53" s="12"/>
      <c r="ULI53" s="12"/>
      <c r="ULJ53" s="12"/>
      <c r="ULK53" s="12"/>
      <c r="ULL53" s="12"/>
      <c r="ULM53" s="12"/>
      <c r="ULN53" s="12"/>
      <c r="ULO53" s="12"/>
      <c r="ULP53" s="12"/>
      <c r="ULQ53" s="12"/>
      <c r="ULR53" s="12"/>
      <c r="ULS53" s="12"/>
      <c r="ULT53" s="12"/>
      <c r="ULU53" s="12"/>
      <c r="ULV53" s="12"/>
      <c r="ULW53" s="12"/>
      <c r="ULX53" s="12"/>
      <c r="ULY53" s="12"/>
      <c r="ULZ53" s="12"/>
      <c r="UMA53" s="12"/>
      <c r="UMB53" s="12"/>
      <c r="UMC53" s="12"/>
      <c r="UMD53" s="12"/>
      <c r="UME53" s="12"/>
      <c r="UMF53" s="12"/>
      <c r="UMG53" s="12"/>
      <c r="UMH53" s="12"/>
      <c r="UMI53" s="12"/>
      <c r="UMJ53" s="12"/>
      <c r="UMK53" s="12"/>
      <c r="UML53" s="12"/>
      <c r="UMM53" s="12"/>
      <c r="UMN53" s="12"/>
      <c r="UMO53" s="12"/>
      <c r="UMP53" s="12"/>
      <c r="UMQ53" s="12"/>
      <c r="UMR53" s="12"/>
      <c r="UMS53" s="12"/>
      <c r="UMT53" s="12"/>
      <c r="UMU53" s="12"/>
      <c r="UMV53" s="12"/>
      <c r="UMW53" s="12"/>
      <c r="UMX53" s="12"/>
      <c r="UMY53" s="12"/>
      <c r="UMZ53" s="12"/>
      <c r="UNA53" s="12"/>
      <c r="UNB53" s="12"/>
      <c r="UNC53" s="12"/>
      <c r="UND53" s="12"/>
      <c r="UNE53" s="12"/>
      <c r="UNF53" s="12"/>
      <c r="UNG53" s="12"/>
      <c r="UNH53" s="12"/>
      <c r="UNI53" s="12"/>
      <c r="UNJ53" s="12"/>
      <c r="UNK53" s="12"/>
      <c r="UNL53" s="12"/>
      <c r="UNM53" s="12"/>
      <c r="UNN53" s="12"/>
      <c r="UNO53" s="12"/>
      <c r="UNP53" s="12"/>
      <c r="UNQ53" s="12"/>
      <c r="UNR53" s="12"/>
      <c r="UNS53" s="12"/>
      <c r="UNT53" s="12"/>
      <c r="UNU53" s="12"/>
      <c r="UNV53" s="12"/>
      <c r="UNW53" s="12"/>
      <c r="UNX53" s="12"/>
      <c r="UNY53" s="12"/>
      <c r="UNZ53" s="12"/>
      <c r="UOA53" s="12"/>
      <c r="UOB53" s="12"/>
      <c r="UOC53" s="12"/>
      <c r="UOD53" s="12"/>
      <c r="UOE53" s="12"/>
      <c r="UOF53" s="12"/>
      <c r="UOG53" s="12"/>
      <c r="UOH53" s="12"/>
      <c r="UOI53" s="12"/>
      <c r="UOJ53" s="12"/>
      <c r="UOK53" s="12"/>
      <c r="UOL53" s="12"/>
      <c r="UOM53" s="12"/>
      <c r="UON53" s="12"/>
      <c r="UOO53" s="12"/>
      <c r="UOP53" s="12"/>
      <c r="UOQ53" s="12"/>
      <c r="UOR53" s="12"/>
      <c r="UOS53" s="12"/>
      <c r="UOT53" s="12"/>
      <c r="UOU53" s="12"/>
      <c r="UOV53" s="12"/>
      <c r="UOW53" s="12"/>
      <c r="UOX53" s="12"/>
      <c r="UOY53" s="12"/>
      <c r="UOZ53" s="12"/>
      <c r="UPA53" s="12"/>
      <c r="UPB53" s="12"/>
      <c r="UPC53" s="12"/>
      <c r="UPD53" s="12"/>
      <c r="UPE53" s="12"/>
      <c r="UPF53" s="12"/>
      <c r="UPG53" s="12"/>
      <c r="UPH53" s="12"/>
      <c r="UPI53" s="12"/>
      <c r="UPJ53" s="12"/>
      <c r="UPK53" s="12"/>
      <c r="UPL53" s="12"/>
      <c r="UPM53" s="12"/>
      <c r="UPN53" s="12"/>
      <c r="UPO53" s="12"/>
      <c r="UPP53" s="12"/>
      <c r="UPQ53" s="12"/>
      <c r="UPR53" s="12"/>
      <c r="UPS53" s="12"/>
      <c r="UPT53" s="12"/>
      <c r="UPU53" s="12"/>
      <c r="UPV53" s="12"/>
      <c r="UPW53" s="12"/>
      <c r="UPX53" s="12"/>
      <c r="UPY53" s="12"/>
      <c r="UPZ53" s="12"/>
      <c r="UQA53" s="12"/>
      <c r="UQB53" s="12"/>
      <c r="UQC53" s="12"/>
      <c r="UQD53" s="12"/>
      <c r="UQE53" s="12"/>
      <c r="UQF53" s="12"/>
      <c r="UQG53" s="12"/>
      <c r="UQH53" s="12"/>
      <c r="UQI53" s="12"/>
      <c r="UQJ53" s="12"/>
      <c r="UQK53" s="12"/>
      <c r="UQL53" s="12"/>
      <c r="UQM53" s="12"/>
      <c r="UQN53" s="12"/>
      <c r="UQO53" s="12"/>
      <c r="UQP53" s="12"/>
      <c r="UQQ53" s="12"/>
      <c r="UQR53" s="12"/>
      <c r="UQS53" s="12"/>
      <c r="UQT53" s="12"/>
      <c r="UQU53" s="12"/>
      <c r="UQV53" s="12"/>
      <c r="UQW53" s="12"/>
      <c r="UQX53" s="12"/>
      <c r="UQY53" s="12"/>
      <c r="UQZ53" s="12"/>
      <c r="URA53" s="12"/>
      <c r="URB53" s="12"/>
      <c r="URC53" s="12"/>
      <c r="URD53" s="12"/>
      <c r="URE53" s="12"/>
      <c r="URF53" s="12"/>
      <c r="URG53" s="12"/>
      <c r="URH53" s="12"/>
      <c r="URI53" s="12"/>
      <c r="URJ53" s="12"/>
      <c r="URK53" s="12"/>
      <c r="URL53" s="12"/>
      <c r="URM53" s="12"/>
      <c r="URN53" s="12"/>
      <c r="URO53" s="12"/>
      <c r="URP53" s="12"/>
      <c r="URQ53" s="12"/>
      <c r="URR53" s="12"/>
      <c r="URS53" s="12"/>
      <c r="URT53" s="12"/>
      <c r="URU53" s="12"/>
      <c r="URV53" s="12"/>
      <c r="URW53" s="12"/>
      <c r="URX53" s="12"/>
      <c r="URY53" s="12"/>
      <c r="URZ53" s="12"/>
      <c r="USA53" s="12"/>
      <c r="USB53" s="12"/>
      <c r="USC53" s="12"/>
      <c r="USD53" s="12"/>
      <c r="USE53" s="12"/>
      <c r="USF53" s="12"/>
      <c r="USG53" s="12"/>
      <c r="USH53" s="12"/>
      <c r="USI53" s="12"/>
      <c r="USJ53" s="12"/>
      <c r="USK53" s="12"/>
      <c r="USL53" s="12"/>
      <c r="USM53" s="12"/>
      <c r="USN53" s="12"/>
      <c r="USO53" s="12"/>
      <c r="USP53" s="12"/>
      <c r="USQ53" s="12"/>
      <c r="USR53" s="12"/>
      <c r="USS53" s="12"/>
      <c r="UST53" s="12"/>
      <c r="USU53" s="12"/>
      <c r="USV53" s="12"/>
      <c r="USW53" s="12"/>
      <c r="USX53" s="12"/>
      <c r="USY53" s="12"/>
      <c r="USZ53" s="12"/>
      <c r="UTA53" s="12"/>
      <c r="UTB53" s="12"/>
      <c r="UTC53" s="12"/>
      <c r="UTD53" s="12"/>
      <c r="UTE53" s="12"/>
      <c r="UTF53" s="12"/>
      <c r="UTG53" s="12"/>
      <c r="UTH53" s="12"/>
      <c r="UTI53" s="12"/>
      <c r="UTJ53" s="12"/>
      <c r="UTK53" s="12"/>
      <c r="UTL53" s="12"/>
      <c r="UTM53" s="12"/>
      <c r="UTN53" s="12"/>
      <c r="UTO53" s="12"/>
      <c r="UTP53" s="12"/>
      <c r="UTQ53" s="12"/>
      <c r="UTR53" s="12"/>
      <c r="UTS53" s="12"/>
      <c r="UTT53" s="12"/>
      <c r="UTU53" s="12"/>
      <c r="UTV53" s="12"/>
      <c r="UTW53" s="12"/>
      <c r="UTX53" s="12"/>
      <c r="UTY53" s="12"/>
      <c r="UTZ53" s="12"/>
      <c r="UUA53" s="12"/>
      <c r="UUB53" s="12"/>
      <c r="UUC53" s="12"/>
      <c r="UUD53" s="12"/>
      <c r="UUE53" s="12"/>
      <c r="UUF53" s="12"/>
      <c r="UUG53" s="12"/>
      <c r="UUH53" s="12"/>
      <c r="UUI53" s="12"/>
      <c r="UUJ53" s="12"/>
      <c r="UUK53" s="12"/>
      <c r="UUL53" s="12"/>
      <c r="UUM53" s="12"/>
      <c r="UUN53" s="12"/>
      <c r="UUO53" s="12"/>
      <c r="UUP53" s="12"/>
      <c r="UUQ53" s="12"/>
      <c r="UUR53" s="12"/>
      <c r="UUS53" s="12"/>
      <c r="UUT53" s="12"/>
      <c r="UUU53" s="12"/>
      <c r="UUV53" s="12"/>
      <c r="UUW53" s="12"/>
      <c r="UUX53" s="12"/>
      <c r="UUY53" s="12"/>
      <c r="UUZ53" s="12"/>
      <c r="UVA53" s="12"/>
      <c r="UVB53" s="12"/>
      <c r="UVC53" s="12"/>
      <c r="UVD53" s="12"/>
      <c r="UVE53" s="12"/>
      <c r="UVF53" s="12"/>
      <c r="UVG53" s="12"/>
      <c r="UVH53" s="12"/>
      <c r="UVI53" s="12"/>
      <c r="UVJ53" s="12"/>
      <c r="UVK53" s="12"/>
      <c r="UVL53" s="12"/>
      <c r="UVM53" s="12"/>
      <c r="UVN53" s="12"/>
      <c r="UVO53" s="12"/>
      <c r="UVP53" s="12"/>
      <c r="UVQ53" s="12"/>
      <c r="UVR53" s="12"/>
      <c r="UVS53" s="12"/>
      <c r="UVT53" s="12"/>
      <c r="UVU53" s="12"/>
      <c r="UVV53" s="12"/>
      <c r="UVW53" s="12"/>
      <c r="UVX53" s="12"/>
      <c r="UVY53" s="12"/>
      <c r="UVZ53" s="12"/>
      <c r="UWA53" s="12"/>
      <c r="UWB53" s="12"/>
      <c r="UWC53" s="12"/>
      <c r="UWD53" s="12"/>
      <c r="UWE53" s="12"/>
      <c r="UWF53" s="12"/>
      <c r="UWG53" s="12"/>
      <c r="UWH53" s="12"/>
      <c r="UWI53" s="12"/>
      <c r="UWJ53" s="12"/>
      <c r="UWK53" s="12"/>
      <c r="UWL53" s="12"/>
      <c r="UWM53" s="12"/>
      <c r="UWN53" s="12"/>
      <c r="UWO53" s="12"/>
      <c r="UWP53" s="12"/>
      <c r="UWQ53" s="12"/>
      <c r="UWR53" s="12"/>
      <c r="UWS53" s="12"/>
      <c r="UWT53" s="12"/>
      <c r="UWU53" s="12"/>
      <c r="UWV53" s="12"/>
      <c r="UWW53" s="12"/>
      <c r="UWX53" s="12"/>
      <c r="UWY53" s="12"/>
      <c r="UWZ53" s="12"/>
      <c r="UXA53" s="12"/>
      <c r="UXB53" s="12"/>
      <c r="UXC53" s="12"/>
      <c r="UXD53" s="12"/>
      <c r="UXE53" s="12"/>
      <c r="UXF53" s="12"/>
      <c r="UXG53" s="12"/>
      <c r="UXH53" s="12"/>
      <c r="UXI53" s="12"/>
      <c r="UXJ53" s="12"/>
      <c r="UXK53" s="12"/>
      <c r="UXL53" s="12"/>
      <c r="UXM53" s="12"/>
      <c r="UXN53" s="12"/>
      <c r="UXO53" s="12"/>
      <c r="UXP53" s="12"/>
      <c r="UXQ53" s="12"/>
      <c r="UXR53" s="12"/>
      <c r="UXS53" s="12"/>
      <c r="UXT53" s="12"/>
      <c r="UXU53" s="12"/>
      <c r="UXV53" s="12"/>
      <c r="UXW53" s="12"/>
      <c r="UXX53" s="12"/>
      <c r="UXY53" s="12"/>
      <c r="UXZ53" s="12"/>
      <c r="UYA53" s="12"/>
      <c r="UYB53" s="12"/>
      <c r="UYC53" s="12"/>
      <c r="UYD53" s="12"/>
      <c r="UYE53" s="12"/>
      <c r="UYF53" s="12"/>
      <c r="UYG53" s="12"/>
      <c r="UYH53" s="12"/>
      <c r="UYI53" s="12"/>
      <c r="UYJ53" s="12"/>
      <c r="UYK53" s="12"/>
      <c r="UYL53" s="12"/>
      <c r="UYM53" s="12"/>
      <c r="UYN53" s="12"/>
      <c r="UYO53" s="12"/>
      <c r="UYP53" s="12"/>
      <c r="UYQ53" s="12"/>
      <c r="UYR53" s="12"/>
      <c r="UYS53" s="12"/>
      <c r="UYT53" s="12"/>
      <c r="UYU53" s="12"/>
      <c r="UYV53" s="12"/>
      <c r="UYW53" s="12"/>
      <c r="UYX53" s="12"/>
      <c r="UYY53" s="12"/>
      <c r="UYZ53" s="12"/>
      <c r="UZA53" s="12"/>
      <c r="UZB53" s="12"/>
      <c r="UZC53" s="12"/>
      <c r="UZD53" s="12"/>
      <c r="UZE53" s="12"/>
      <c r="UZF53" s="12"/>
      <c r="UZG53" s="12"/>
      <c r="UZH53" s="12"/>
      <c r="UZI53" s="12"/>
      <c r="UZJ53" s="12"/>
      <c r="UZK53" s="12"/>
      <c r="UZL53" s="12"/>
      <c r="UZM53" s="12"/>
      <c r="UZN53" s="12"/>
      <c r="UZO53" s="12"/>
      <c r="UZP53" s="12"/>
      <c r="UZQ53" s="12"/>
      <c r="UZR53" s="12"/>
      <c r="UZS53" s="12"/>
      <c r="UZT53" s="12"/>
      <c r="UZU53" s="12"/>
      <c r="UZV53" s="12"/>
      <c r="UZW53" s="12"/>
      <c r="UZX53" s="12"/>
      <c r="UZY53" s="12"/>
      <c r="UZZ53" s="12"/>
      <c r="VAA53" s="12"/>
      <c r="VAB53" s="12"/>
      <c r="VAC53" s="12"/>
      <c r="VAD53" s="12"/>
      <c r="VAE53" s="12"/>
      <c r="VAF53" s="12"/>
      <c r="VAG53" s="12"/>
      <c r="VAH53" s="12"/>
      <c r="VAI53" s="12"/>
      <c r="VAJ53" s="12"/>
      <c r="VAK53" s="12"/>
      <c r="VAL53" s="12"/>
      <c r="VAM53" s="12"/>
      <c r="VAN53" s="12"/>
      <c r="VAO53" s="12"/>
      <c r="VAP53" s="12"/>
      <c r="VAQ53" s="12"/>
      <c r="VAR53" s="12"/>
      <c r="VAS53" s="12"/>
      <c r="VAT53" s="12"/>
      <c r="VAU53" s="12"/>
      <c r="VAV53" s="12"/>
      <c r="VAW53" s="12"/>
      <c r="VAX53" s="12"/>
      <c r="VAY53" s="12"/>
      <c r="VAZ53" s="12"/>
      <c r="VBA53" s="12"/>
      <c r="VBB53" s="12"/>
      <c r="VBC53" s="12"/>
      <c r="VBD53" s="12"/>
      <c r="VBE53" s="12"/>
      <c r="VBF53" s="12"/>
      <c r="VBG53" s="12"/>
      <c r="VBH53" s="12"/>
      <c r="VBI53" s="12"/>
      <c r="VBJ53" s="12"/>
      <c r="VBK53" s="12"/>
      <c r="VBL53" s="12"/>
      <c r="VBM53" s="12"/>
      <c r="VBN53" s="12"/>
      <c r="VBO53" s="12"/>
      <c r="VBP53" s="12"/>
      <c r="VBQ53" s="12"/>
      <c r="VBR53" s="12"/>
      <c r="VBS53" s="12"/>
      <c r="VBT53" s="12"/>
      <c r="VBU53" s="12"/>
      <c r="VBV53" s="12"/>
      <c r="VBW53" s="12"/>
      <c r="VBX53" s="12"/>
      <c r="VBY53" s="12"/>
      <c r="VBZ53" s="12"/>
      <c r="VCA53" s="12"/>
      <c r="VCB53" s="12"/>
      <c r="VCC53" s="12"/>
      <c r="VCD53" s="12"/>
      <c r="VCE53" s="12"/>
      <c r="VCF53" s="12"/>
      <c r="VCG53" s="12"/>
      <c r="VCH53" s="12"/>
      <c r="VCI53" s="12"/>
      <c r="VCJ53" s="12"/>
      <c r="VCK53" s="12"/>
      <c r="VCL53" s="12"/>
      <c r="VCM53" s="12"/>
      <c r="VCN53" s="12"/>
      <c r="VCO53" s="12"/>
      <c r="VCP53" s="12"/>
      <c r="VCQ53" s="12"/>
      <c r="VCR53" s="12"/>
      <c r="VCS53" s="12"/>
      <c r="VCT53" s="12"/>
      <c r="VCU53" s="12"/>
      <c r="VCV53" s="12"/>
      <c r="VCW53" s="12"/>
      <c r="VCX53" s="12"/>
      <c r="VCY53" s="12"/>
      <c r="VCZ53" s="12"/>
      <c r="VDA53" s="12"/>
      <c r="VDB53" s="12"/>
      <c r="VDC53" s="12"/>
      <c r="VDD53" s="12"/>
      <c r="VDE53" s="12"/>
      <c r="VDF53" s="12"/>
      <c r="VDG53" s="12"/>
      <c r="VDH53" s="12"/>
      <c r="VDI53" s="12"/>
      <c r="VDJ53" s="12"/>
      <c r="VDK53" s="12"/>
      <c r="VDL53" s="12"/>
      <c r="VDM53" s="12"/>
      <c r="VDN53" s="12"/>
      <c r="VDO53" s="12"/>
      <c r="VDP53" s="12"/>
      <c r="VDQ53" s="12"/>
      <c r="VDR53" s="12"/>
      <c r="VDS53" s="12"/>
      <c r="VDT53" s="12"/>
      <c r="VDU53" s="12"/>
      <c r="VDV53" s="12"/>
      <c r="VDW53" s="12"/>
      <c r="VDX53" s="12"/>
      <c r="VDY53" s="12"/>
      <c r="VDZ53" s="12"/>
      <c r="VEA53" s="12"/>
      <c r="VEB53" s="12"/>
      <c r="VEC53" s="12"/>
      <c r="VED53" s="12"/>
      <c r="VEE53" s="12"/>
      <c r="VEF53" s="12"/>
      <c r="VEG53" s="12"/>
      <c r="VEH53" s="12"/>
      <c r="VEI53" s="12"/>
      <c r="VEJ53" s="12"/>
      <c r="VEK53" s="12"/>
      <c r="VEL53" s="12"/>
      <c r="VEM53" s="12"/>
      <c r="VEN53" s="12"/>
      <c r="VEO53" s="12"/>
      <c r="VEP53" s="12"/>
      <c r="VEQ53" s="12"/>
      <c r="VER53" s="12"/>
      <c r="VES53" s="12"/>
      <c r="VET53" s="12"/>
      <c r="VEU53" s="12"/>
      <c r="VEV53" s="12"/>
      <c r="VEW53" s="12"/>
      <c r="VEX53" s="12"/>
      <c r="VEY53" s="12"/>
      <c r="VEZ53" s="12"/>
      <c r="VFA53" s="12"/>
      <c r="VFB53" s="12"/>
      <c r="VFC53" s="12"/>
      <c r="VFD53" s="12"/>
      <c r="VFE53" s="12"/>
      <c r="VFF53" s="12"/>
      <c r="VFG53" s="12"/>
      <c r="VFH53" s="12"/>
      <c r="VFI53" s="12"/>
      <c r="VFJ53" s="12"/>
      <c r="VFK53" s="12"/>
      <c r="VFL53" s="12"/>
      <c r="VFM53" s="12"/>
      <c r="VFN53" s="12"/>
      <c r="VFO53" s="12"/>
      <c r="VFP53" s="12"/>
      <c r="VFQ53" s="12"/>
      <c r="VFR53" s="12"/>
      <c r="VFS53" s="12"/>
      <c r="VFT53" s="12"/>
      <c r="VFU53" s="12"/>
      <c r="VFV53" s="12"/>
      <c r="VFW53" s="12"/>
      <c r="VFX53" s="12"/>
      <c r="VFY53" s="12"/>
      <c r="VFZ53" s="12"/>
      <c r="VGA53" s="12"/>
      <c r="VGB53" s="12"/>
      <c r="VGC53" s="12"/>
      <c r="VGD53" s="12"/>
      <c r="VGE53" s="12"/>
      <c r="VGF53" s="12"/>
      <c r="VGG53" s="12"/>
      <c r="VGH53" s="12"/>
      <c r="VGI53" s="12"/>
      <c r="VGJ53" s="12"/>
      <c r="VGK53" s="12"/>
      <c r="VGL53" s="12"/>
      <c r="VGM53" s="12"/>
      <c r="VGN53" s="12"/>
      <c r="VGO53" s="12"/>
      <c r="VGP53" s="12"/>
      <c r="VGQ53" s="12"/>
      <c r="VGR53" s="12"/>
      <c r="VGS53" s="12"/>
      <c r="VGT53" s="12"/>
      <c r="VGU53" s="12"/>
      <c r="VGV53" s="12"/>
      <c r="VGW53" s="12"/>
      <c r="VGX53" s="12"/>
      <c r="VGY53" s="12"/>
      <c r="VGZ53" s="12"/>
      <c r="VHA53" s="12"/>
      <c r="VHB53" s="12"/>
      <c r="VHC53" s="12"/>
      <c r="VHD53" s="12"/>
      <c r="VHE53" s="12"/>
      <c r="VHF53" s="12"/>
      <c r="VHG53" s="12"/>
      <c r="VHH53" s="12"/>
      <c r="VHI53" s="12"/>
      <c r="VHJ53" s="12"/>
      <c r="VHK53" s="12"/>
      <c r="VHL53" s="12"/>
      <c r="VHM53" s="12"/>
      <c r="VHN53" s="12"/>
      <c r="VHO53" s="12"/>
      <c r="VHP53" s="12"/>
      <c r="VHQ53" s="12"/>
      <c r="VHR53" s="12"/>
      <c r="VHS53" s="12"/>
      <c r="VHT53" s="12"/>
      <c r="VHU53" s="12"/>
      <c r="VHV53" s="12"/>
      <c r="VHW53" s="12"/>
      <c r="VHX53" s="12"/>
      <c r="VHY53" s="12"/>
      <c r="VHZ53" s="12"/>
      <c r="VIA53" s="12"/>
      <c r="VIB53" s="12"/>
      <c r="VIC53" s="12"/>
      <c r="VID53" s="12"/>
      <c r="VIE53" s="12"/>
      <c r="VIF53" s="12"/>
      <c r="VIG53" s="12"/>
      <c r="VIH53" s="12"/>
      <c r="VII53" s="12"/>
      <c r="VIJ53" s="12"/>
      <c r="VIK53" s="12"/>
      <c r="VIL53" s="12"/>
      <c r="VIM53" s="12"/>
      <c r="VIN53" s="12"/>
      <c r="VIO53" s="12"/>
      <c r="VIP53" s="12"/>
      <c r="VIQ53" s="12"/>
      <c r="VIR53" s="12"/>
      <c r="VIS53" s="12"/>
      <c r="VIT53" s="12"/>
      <c r="VIU53" s="12"/>
      <c r="VIV53" s="12"/>
      <c r="VIW53" s="12"/>
      <c r="VIX53" s="12"/>
      <c r="VIY53" s="12"/>
      <c r="VIZ53" s="12"/>
      <c r="VJA53" s="12"/>
      <c r="VJB53" s="12"/>
      <c r="VJC53" s="12"/>
      <c r="VJD53" s="12"/>
      <c r="VJE53" s="12"/>
      <c r="VJF53" s="12"/>
      <c r="VJG53" s="12"/>
      <c r="VJH53" s="12"/>
      <c r="VJI53" s="12"/>
      <c r="VJJ53" s="12"/>
      <c r="VJK53" s="12"/>
      <c r="VJL53" s="12"/>
      <c r="VJM53" s="12"/>
      <c r="VJN53" s="12"/>
      <c r="VJO53" s="12"/>
      <c r="VJP53" s="12"/>
      <c r="VJQ53" s="12"/>
      <c r="VJR53" s="12"/>
      <c r="VJS53" s="12"/>
      <c r="VJT53" s="12"/>
      <c r="VJU53" s="12"/>
      <c r="VJV53" s="12"/>
      <c r="VJW53" s="12"/>
      <c r="VJX53" s="12"/>
      <c r="VJY53" s="12"/>
      <c r="VJZ53" s="12"/>
      <c r="VKA53" s="12"/>
      <c r="VKB53" s="12"/>
      <c r="VKC53" s="12"/>
      <c r="VKD53" s="12"/>
      <c r="VKE53" s="12"/>
      <c r="VKF53" s="12"/>
      <c r="VKG53" s="12"/>
      <c r="VKH53" s="12"/>
      <c r="VKI53" s="12"/>
      <c r="VKJ53" s="12"/>
      <c r="VKK53" s="12"/>
      <c r="VKL53" s="12"/>
      <c r="VKM53" s="12"/>
      <c r="VKN53" s="12"/>
      <c r="VKO53" s="12"/>
      <c r="VKP53" s="12"/>
      <c r="VKQ53" s="12"/>
      <c r="VKR53" s="12"/>
      <c r="VKS53" s="12"/>
      <c r="VKT53" s="12"/>
      <c r="VKU53" s="12"/>
      <c r="VKV53" s="12"/>
      <c r="VKW53" s="12"/>
      <c r="VKX53" s="12"/>
      <c r="VKY53" s="12"/>
      <c r="VKZ53" s="12"/>
      <c r="VLA53" s="12"/>
      <c r="VLB53" s="12"/>
      <c r="VLC53" s="12"/>
      <c r="VLD53" s="12"/>
      <c r="VLE53" s="12"/>
      <c r="VLF53" s="12"/>
      <c r="VLG53" s="12"/>
      <c r="VLH53" s="12"/>
      <c r="VLI53" s="12"/>
      <c r="VLJ53" s="12"/>
      <c r="VLK53" s="12"/>
      <c r="VLL53" s="12"/>
      <c r="VLM53" s="12"/>
      <c r="VLN53" s="12"/>
      <c r="VLO53" s="12"/>
      <c r="VLP53" s="12"/>
      <c r="VLQ53" s="12"/>
      <c r="VLR53" s="12"/>
      <c r="VLS53" s="12"/>
      <c r="VLT53" s="12"/>
      <c r="VLU53" s="12"/>
      <c r="VLV53" s="12"/>
      <c r="VLW53" s="12"/>
      <c r="VLX53" s="12"/>
      <c r="VLY53" s="12"/>
      <c r="VLZ53" s="12"/>
      <c r="VMA53" s="12"/>
      <c r="VMB53" s="12"/>
      <c r="VMC53" s="12"/>
      <c r="VMD53" s="12"/>
      <c r="VME53" s="12"/>
      <c r="VMF53" s="12"/>
      <c r="VMG53" s="12"/>
      <c r="VMH53" s="12"/>
      <c r="VMI53" s="12"/>
      <c r="VMJ53" s="12"/>
      <c r="VMK53" s="12"/>
      <c r="VML53" s="12"/>
      <c r="VMM53" s="12"/>
      <c r="VMN53" s="12"/>
      <c r="VMO53" s="12"/>
      <c r="VMP53" s="12"/>
      <c r="VMQ53" s="12"/>
      <c r="VMR53" s="12"/>
      <c r="VMS53" s="12"/>
      <c r="VMT53" s="12"/>
      <c r="VMU53" s="12"/>
      <c r="VMV53" s="12"/>
      <c r="VMW53" s="12"/>
      <c r="VMX53" s="12"/>
      <c r="VMY53" s="12"/>
      <c r="VMZ53" s="12"/>
      <c r="VNA53" s="12"/>
      <c r="VNB53" s="12"/>
      <c r="VNC53" s="12"/>
      <c r="VND53" s="12"/>
      <c r="VNE53" s="12"/>
      <c r="VNF53" s="12"/>
      <c r="VNG53" s="12"/>
      <c r="VNH53" s="12"/>
      <c r="VNI53" s="12"/>
      <c r="VNJ53" s="12"/>
      <c r="VNK53" s="12"/>
      <c r="VNL53" s="12"/>
      <c r="VNM53" s="12"/>
      <c r="VNN53" s="12"/>
      <c r="VNO53" s="12"/>
      <c r="VNP53" s="12"/>
      <c r="VNQ53" s="12"/>
      <c r="VNR53" s="12"/>
      <c r="VNS53" s="12"/>
      <c r="VNT53" s="12"/>
      <c r="VNU53" s="12"/>
      <c r="VNV53" s="12"/>
      <c r="VNW53" s="12"/>
      <c r="VNX53" s="12"/>
      <c r="VNY53" s="12"/>
      <c r="VNZ53" s="12"/>
      <c r="VOA53" s="12"/>
      <c r="VOB53" s="12"/>
      <c r="VOC53" s="12"/>
      <c r="VOD53" s="12"/>
      <c r="VOE53" s="12"/>
      <c r="VOF53" s="12"/>
      <c r="VOG53" s="12"/>
      <c r="VOH53" s="12"/>
      <c r="VOI53" s="12"/>
      <c r="VOJ53" s="12"/>
      <c r="VOK53" s="12"/>
      <c r="VOL53" s="12"/>
      <c r="VOM53" s="12"/>
      <c r="VON53" s="12"/>
      <c r="VOO53" s="12"/>
      <c r="VOP53" s="12"/>
      <c r="VOQ53" s="12"/>
      <c r="VOR53" s="12"/>
      <c r="VOS53" s="12"/>
      <c r="VOT53" s="12"/>
      <c r="VOU53" s="12"/>
      <c r="VOV53" s="12"/>
      <c r="VOW53" s="12"/>
      <c r="VOX53" s="12"/>
      <c r="VOY53" s="12"/>
      <c r="VOZ53" s="12"/>
      <c r="VPA53" s="12"/>
      <c r="VPB53" s="12"/>
      <c r="VPC53" s="12"/>
      <c r="VPD53" s="12"/>
      <c r="VPE53" s="12"/>
      <c r="VPF53" s="12"/>
      <c r="VPG53" s="12"/>
      <c r="VPH53" s="12"/>
      <c r="VPI53" s="12"/>
      <c r="VPJ53" s="12"/>
      <c r="VPK53" s="12"/>
      <c r="VPL53" s="12"/>
      <c r="VPM53" s="12"/>
      <c r="VPN53" s="12"/>
      <c r="VPO53" s="12"/>
      <c r="VPP53" s="12"/>
      <c r="VPQ53" s="12"/>
      <c r="VPR53" s="12"/>
      <c r="VPS53" s="12"/>
      <c r="VPT53" s="12"/>
      <c r="VPU53" s="12"/>
      <c r="VPV53" s="12"/>
      <c r="VPW53" s="12"/>
      <c r="VPX53" s="12"/>
      <c r="VPY53" s="12"/>
      <c r="VPZ53" s="12"/>
      <c r="VQA53" s="12"/>
      <c r="VQB53" s="12"/>
      <c r="VQC53" s="12"/>
      <c r="VQD53" s="12"/>
      <c r="VQE53" s="12"/>
      <c r="VQF53" s="12"/>
      <c r="VQG53" s="12"/>
      <c r="VQH53" s="12"/>
      <c r="VQI53" s="12"/>
      <c r="VQJ53" s="12"/>
      <c r="VQK53" s="12"/>
      <c r="VQL53" s="12"/>
      <c r="VQM53" s="12"/>
      <c r="VQN53" s="12"/>
      <c r="VQO53" s="12"/>
      <c r="VQP53" s="12"/>
      <c r="VQQ53" s="12"/>
      <c r="VQR53" s="12"/>
      <c r="VQS53" s="12"/>
      <c r="VQT53" s="12"/>
      <c r="VQU53" s="12"/>
      <c r="VQV53" s="12"/>
      <c r="VQW53" s="12"/>
      <c r="VQX53" s="12"/>
      <c r="VQY53" s="12"/>
      <c r="VQZ53" s="12"/>
      <c r="VRA53" s="12"/>
      <c r="VRB53" s="12"/>
      <c r="VRC53" s="12"/>
      <c r="VRD53" s="12"/>
      <c r="VRE53" s="12"/>
      <c r="VRF53" s="12"/>
      <c r="VRG53" s="12"/>
      <c r="VRH53" s="12"/>
      <c r="VRI53" s="12"/>
      <c r="VRJ53" s="12"/>
      <c r="VRK53" s="12"/>
      <c r="VRL53" s="12"/>
      <c r="VRM53" s="12"/>
      <c r="VRN53" s="12"/>
      <c r="VRO53" s="12"/>
      <c r="VRP53" s="12"/>
      <c r="VRQ53" s="12"/>
      <c r="VRR53" s="12"/>
      <c r="VRS53" s="12"/>
      <c r="VRT53" s="12"/>
      <c r="VRU53" s="12"/>
      <c r="VRV53" s="12"/>
      <c r="VRW53" s="12"/>
      <c r="VRX53" s="12"/>
      <c r="VRY53" s="12"/>
      <c r="VRZ53" s="12"/>
      <c r="VSA53" s="12"/>
      <c r="VSB53" s="12"/>
      <c r="VSC53" s="12"/>
      <c r="VSD53" s="12"/>
      <c r="VSE53" s="12"/>
      <c r="VSF53" s="12"/>
      <c r="VSG53" s="12"/>
      <c r="VSH53" s="12"/>
      <c r="VSI53" s="12"/>
      <c r="VSJ53" s="12"/>
      <c r="VSK53" s="12"/>
      <c r="VSL53" s="12"/>
      <c r="VSM53" s="12"/>
      <c r="VSN53" s="12"/>
      <c r="VSO53" s="12"/>
      <c r="VSP53" s="12"/>
      <c r="VSQ53" s="12"/>
      <c r="VSR53" s="12"/>
      <c r="VSS53" s="12"/>
      <c r="VST53" s="12"/>
      <c r="VSU53" s="12"/>
      <c r="VSV53" s="12"/>
      <c r="VSW53" s="12"/>
      <c r="VSX53" s="12"/>
      <c r="VSY53" s="12"/>
      <c r="VSZ53" s="12"/>
      <c r="VTA53" s="12"/>
      <c r="VTB53" s="12"/>
      <c r="VTC53" s="12"/>
      <c r="VTD53" s="12"/>
      <c r="VTE53" s="12"/>
      <c r="VTF53" s="12"/>
      <c r="VTG53" s="12"/>
      <c r="VTH53" s="12"/>
      <c r="VTI53" s="12"/>
      <c r="VTJ53" s="12"/>
      <c r="VTK53" s="12"/>
      <c r="VTL53" s="12"/>
      <c r="VTM53" s="12"/>
      <c r="VTN53" s="12"/>
      <c r="VTO53" s="12"/>
      <c r="VTP53" s="12"/>
      <c r="VTQ53" s="12"/>
      <c r="VTR53" s="12"/>
      <c r="VTS53" s="12"/>
      <c r="VTT53" s="12"/>
      <c r="VTU53" s="12"/>
      <c r="VTV53" s="12"/>
      <c r="VTW53" s="12"/>
      <c r="VTX53" s="12"/>
      <c r="VTY53" s="12"/>
      <c r="VTZ53" s="12"/>
      <c r="VUA53" s="12"/>
      <c r="VUB53" s="12"/>
      <c r="VUC53" s="12"/>
      <c r="VUD53" s="12"/>
      <c r="VUE53" s="12"/>
      <c r="VUF53" s="12"/>
      <c r="VUG53" s="12"/>
      <c r="VUH53" s="12"/>
      <c r="VUI53" s="12"/>
      <c r="VUJ53" s="12"/>
      <c r="VUK53" s="12"/>
      <c r="VUL53" s="12"/>
      <c r="VUM53" s="12"/>
      <c r="VUN53" s="12"/>
      <c r="VUO53" s="12"/>
      <c r="VUP53" s="12"/>
      <c r="VUQ53" s="12"/>
      <c r="VUR53" s="12"/>
      <c r="VUS53" s="12"/>
      <c r="VUT53" s="12"/>
      <c r="VUU53" s="12"/>
      <c r="VUV53" s="12"/>
      <c r="VUW53" s="12"/>
      <c r="VUX53" s="12"/>
      <c r="VUY53" s="12"/>
      <c r="VUZ53" s="12"/>
      <c r="VVA53" s="12"/>
      <c r="VVB53" s="12"/>
      <c r="VVC53" s="12"/>
      <c r="VVD53" s="12"/>
      <c r="VVE53" s="12"/>
      <c r="VVF53" s="12"/>
      <c r="VVG53" s="12"/>
      <c r="VVH53" s="12"/>
      <c r="VVI53" s="12"/>
      <c r="VVJ53" s="12"/>
      <c r="VVK53" s="12"/>
      <c r="VVL53" s="12"/>
      <c r="VVM53" s="12"/>
      <c r="VVN53" s="12"/>
      <c r="VVO53" s="12"/>
      <c r="VVP53" s="12"/>
      <c r="VVQ53" s="12"/>
      <c r="VVR53" s="12"/>
      <c r="VVS53" s="12"/>
      <c r="VVT53" s="12"/>
      <c r="VVU53" s="12"/>
      <c r="VVV53" s="12"/>
      <c r="VVW53" s="12"/>
      <c r="VVX53" s="12"/>
      <c r="VVY53" s="12"/>
      <c r="VVZ53" s="12"/>
      <c r="VWA53" s="12"/>
      <c r="VWB53" s="12"/>
      <c r="VWC53" s="12"/>
      <c r="VWD53" s="12"/>
      <c r="VWE53" s="12"/>
      <c r="VWF53" s="12"/>
      <c r="VWG53" s="12"/>
      <c r="VWH53" s="12"/>
      <c r="VWI53" s="12"/>
      <c r="VWJ53" s="12"/>
      <c r="VWK53" s="12"/>
      <c r="VWL53" s="12"/>
      <c r="VWM53" s="12"/>
      <c r="VWN53" s="12"/>
      <c r="VWO53" s="12"/>
      <c r="VWP53" s="12"/>
      <c r="VWQ53" s="12"/>
      <c r="VWR53" s="12"/>
      <c r="VWS53" s="12"/>
      <c r="VWT53" s="12"/>
      <c r="VWU53" s="12"/>
      <c r="VWV53" s="12"/>
      <c r="VWW53" s="12"/>
      <c r="VWX53" s="12"/>
      <c r="VWY53" s="12"/>
      <c r="VWZ53" s="12"/>
      <c r="VXA53" s="12"/>
      <c r="VXB53" s="12"/>
      <c r="VXC53" s="12"/>
      <c r="VXD53" s="12"/>
      <c r="VXE53" s="12"/>
      <c r="VXF53" s="12"/>
      <c r="VXG53" s="12"/>
      <c r="VXH53" s="12"/>
      <c r="VXI53" s="12"/>
      <c r="VXJ53" s="12"/>
      <c r="VXK53" s="12"/>
      <c r="VXL53" s="12"/>
      <c r="VXM53" s="12"/>
      <c r="VXN53" s="12"/>
      <c r="VXO53" s="12"/>
      <c r="VXP53" s="12"/>
      <c r="VXQ53" s="12"/>
      <c r="VXR53" s="12"/>
      <c r="VXS53" s="12"/>
      <c r="VXT53" s="12"/>
      <c r="VXU53" s="12"/>
      <c r="VXV53" s="12"/>
      <c r="VXW53" s="12"/>
      <c r="VXX53" s="12"/>
      <c r="VXY53" s="12"/>
      <c r="VXZ53" s="12"/>
      <c r="VYA53" s="12"/>
      <c r="VYB53" s="12"/>
      <c r="VYC53" s="12"/>
      <c r="VYD53" s="12"/>
      <c r="VYE53" s="12"/>
      <c r="VYF53" s="12"/>
      <c r="VYG53" s="12"/>
      <c r="VYH53" s="12"/>
      <c r="VYI53" s="12"/>
      <c r="VYJ53" s="12"/>
      <c r="VYK53" s="12"/>
      <c r="VYL53" s="12"/>
      <c r="VYM53" s="12"/>
      <c r="VYN53" s="12"/>
      <c r="VYO53" s="12"/>
      <c r="VYP53" s="12"/>
      <c r="VYQ53" s="12"/>
      <c r="VYR53" s="12"/>
      <c r="VYS53" s="12"/>
      <c r="VYT53" s="12"/>
      <c r="VYU53" s="12"/>
      <c r="VYV53" s="12"/>
      <c r="VYW53" s="12"/>
      <c r="VYX53" s="12"/>
      <c r="VYY53" s="12"/>
      <c r="VYZ53" s="12"/>
      <c r="VZA53" s="12"/>
      <c r="VZB53" s="12"/>
      <c r="VZC53" s="12"/>
      <c r="VZD53" s="12"/>
      <c r="VZE53" s="12"/>
      <c r="VZF53" s="12"/>
      <c r="VZG53" s="12"/>
      <c r="VZH53" s="12"/>
      <c r="VZI53" s="12"/>
      <c r="VZJ53" s="12"/>
      <c r="VZK53" s="12"/>
      <c r="VZL53" s="12"/>
      <c r="VZM53" s="12"/>
      <c r="VZN53" s="12"/>
      <c r="VZO53" s="12"/>
      <c r="VZP53" s="12"/>
      <c r="VZQ53" s="12"/>
      <c r="VZR53" s="12"/>
      <c r="VZS53" s="12"/>
      <c r="VZT53" s="12"/>
      <c r="VZU53" s="12"/>
      <c r="VZV53" s="12"/>
      <c r="VZW53" s="12"/>
      <c r="VZX53" s="12"/>
      <c r="VZY53" s="12"/>
      <c r="VZZ53" s="12"/>
      <c r="WAA53" s="12"/>
      <c r="WAB53" s="12"/>
      <c r="WAC53" s="12"/>
      <c r="WAD53" s="12"/>
      <c r="WAE53" s="12"/>
      <c r="WAF53" s="12"/>
      <c r="WAG53" s="12"/>
      <c r="WAH53" s="12"/>
      <c r="WAI53" s="12"/>
      <c r="WAJ53" s="12"/>
      <c r="WAK53" s="12"/>
      <c r="WAL53" s="12"/>
      <c r="WAM53" s="12"/>
      <c r="WAN53" s="12"/>
      <c r="WAO53" s="12"/>
      <c r="WAP53" s="12"/>
      <c r="WAQ53" s="12"/>
      <c r="WAR53" s="12"/>
      <c r="WAS53" s="12"/>
      <c r="WAT53" s="12"/>
      <c r="WAU53" s="12"/>
      <c r="WAV53" s="12"/>
      <c r="WAW53" s="12"/>
      <c r="WAX53" s="12"/>
      <c r="WAY53" s="12"/>
      <c r="WAZ53" s="12"/>
      <c r="WBA53" s="12"/>
      <c r="WBB53" s="12"/>
      <c r="WBC53" s="12"/>
      <c r="WBD53" s="12"/>
      <c r="WBE53" s="12"/>
      <c r="WBF53" s="12"/>
      <c r="WBG53" s="12"/>
      <c r="WBH53" s="12"/>
      <c r="WBI53" s="12"/>
      <c r="WBJ53" s="12"/>
      <c r="WBK53" s="12"/>
      <c r="WBL53" s="12"/>
      <c r="WBM53" s="12"/>
      <c r="WBN53" s="12"/>
      <c r="WBO53" s="12"/>
      <c r="WBP53" s="12"/>
      <c r="WBQ53" s="12"/>
      <c r="WBR53" s="12"/>
      <c r="WBS53" s="12"/>
      <c r="WBT53" s="12"/>
      <c r="WBU53" s="12"/>
      <c r="WBV53" s="12"/>
      <c r="WBW53" s="12"/>
      <c r="WBX53" s="12"/>
      <c r="WBY53" s="12"/>
      <c r="WBZ53" s="12"/>
      <c r="WCA53" s="12"/>
      <c r="WCB53" s="12"/>
      <c r="WCC53" s="12"/>
      <c r="WCD53" s="12"/>
      <c r="WCE53" s="12"/>
      <c r="WCF53" s="12"/>
      <c r="WCG53" s="12"/>
      <c r="WCH53" s="12"/>
      <c r="WCI53" s="12"/>
      <c r="WCJ53" s="12"/>
      <c r="WCK53" s="12"/>
      <c r="WCL53" s="12"/>
      <c r="WCM53" s="12"/>
      <c r="WCN53" s="12"/>
      <c r="WCO53" s="12"/>
      <c r="WCP53" s="12"/>
      <c r="WCQ53" s="12"/>
      <c r="WCR53" s="12"/>
      <c r="WCS53" s="12"/>
      <c r="WCT53" s="12"/>
      <c r="WCU53" s="12"/>
      <c r="WCV53" s="12"/>
      <c r="WCW53" s="12"/>
      <c r="WCX53" s="12"/>
      <c r="WCY53" s="12"/>
      <c r="WCZ53" s="12"/>
      <c r="WDA53" s="12"/>
      <c r="WDB53" s="12"/>
      <c r="WDC53" s="12"/>
      <c r="WDD53" s="12"/>
      <c r="WDE53" s="12"/>
      <c r="WDF53" s="12"/>
      <c r="WDG53" s="12"/>
      <c r="WDH53" s="12"/>
      <c r="WDI53" s="12"/>
      <c r="WDJ53" s="12"/>
      <c r="WDK53" s="12"/>
      <c r="WDL53" s="12"/>
      <c r="WDM53" s="12"/>
      <c r="WDN53" s="12"/>
      <c r="WDO53" s="12"/>
      <c r="WDP53" s="12"/>
      <c r="WDQ53" s="12"/>
      <c r="WDR53" s="12"/>
      <c r="WDS53" s="12"/>
      <c r="WDT53" s="12"/>
      <c r="WDU53" s="12"/>
      <c r="WDV53" s="12"/>
      <c r="WDW53" s="12"/>
      <c r="WDX53" s="12"/>
      <c r="WDY53" s="12"/>
      <c r="WDZ53" s="12"/>
      <c r="WEA53" s="12"/>
      <c r="WEB53" s="12"/>
      <c r="WEC53" s="12"/>
      <c r="WED53" s="12"/>
      <c r="WEE53" s="12"/>
      <c r="WEF53" s="12"/>
      <c r="WEG53" s="12"/>
      <c r="WEH53" s="12"/>
      <c r="WEI53" s="12"/>
      <c r="WEJ53" s="12"/>
      <c r="WEK53" s="12"/>
      <c r="WEL53" s="12"/>
      <c r="WEM53" s="12"/>
      <c r="WEN53" s="12"/>
      <c r="WEO53" s="12"/>
      <c r="WEP53" s="12"/>
      <c r="WEQ53" s="12"/>
      <c r="WER53" s="12"/>
      <c r="WES53" s="12"/>
      <c r="WET53" s="12"/>
      <c r="WEU53" s="12"/>
      <c r="WEV53" s="12"/>
      <c r="WEW53" s="12"/>
      <c r="WEX53" s="12"/>
      <c r="WEY53" s="12"/>
      <c r="WEZ53" s="12"/>
      <c r="WFA53" s="12"/>
      <c r="WFB53" s="12"/>
      <c r="WFC53" s="12"/>
      <c r="WFD53" s="12"/>
      <c r="WFE53" s="12"/>
      <c r="WFF53" s="12"/>
      <c r="WFG53" s="12"/>
      <c r="WFH53" s="12"/>
      <c r="WFI53" s="12"/>
      <c r="WFJ53" s="12"/>
      <c r="WFK53" s="12"/>
      <c r="WFL53" s="12"/>
      <c r="WFM53" s="12"/>
      <c r="WFN53" s="12"/>
      <c r="WFO53" s="12"/>
      <c r="WFP53" s="12"/>
      <c r="WFQ53" s="12"/>
      <c r="WFR53" s="12"/>
      <c r="WFS53" s="12"/>
      <c r="WFT53" s="12"/>
      <c r="WFU53" s="12"/>
      <c r="WFV53" s="12"/>
      <c r="WFW53" s="12"/>
      <c r="WFX53" s="12"/>
      <c r="WFY53" s="12"/>
      <c r="WFZ53" s="12"/>
      <c r="WGA53" s="12"/>
      <c r="WGB53" s="12"/>
      <c r="WGC53" s="12"/>
      <c r="WGD53" s="12"/>
      <c r="WGE53" s="12"/>
      <c r="WGF53" s="12"/>
      <c r="WGG53" s="12"/>
      <c r="WGH53" s="12"/>
      <c r="WGI53" s="12"/>
      <c r="WGJ53" s="12"/>
      <c r="WGK53" s="12"/>
      <c r="WGL53" s="12"/>
      <c r="WGM53" s="12"/>
      <c r="WGN53" s="12"/>
      <c r="WGO53" s="12"/>
      <c r="WGP53" s="12"/>
      <c r="WGQ53" s="12"/>
      <c r="WGR53" s="12"/>
      <c r="WGS53" s="12"/>
      <c r="WGT53" s="12"/>
      <c r="WGU53" s="12"/>
      <c r="WGV53" s="12"/>
      <c r="WGW53" s="12"/>
      <c r="WGX53" s="12"/>
      <c r="WGY53" s="12"/>
      <c r="WGZ53" s="12"/>
      <c r="WHA53" s="12"/>
      <c r="WHB53" s="12"/>
      <c r="WHC53" s="12"/>
      <c r="WHD53" s="12"/>
      <c r="WHE53" s="12"/>
      <c r="WHF53" s="12"/>
      <c r="WHG53" s="12"/>
      <c r="WHH53" s="12"/>
      <c r="WHI53" s="12"/>
      <c r="WHJ53" s="12"/>
      <c r="WHK53" s="12"/>
      <c r="WHL53" s="12"/>
      <c r="WHM53" s="12"/>
      <c r="WHN53" s="12"/>
      <c r="WHO53" s="12"/>
      <c r="WHP53" s="12"/>
      <c r="WHQ53" s="12"/>
      <c r="WHR53" s="12"/>
      <c r="WHS53" s="12"/>
      <c r="WHT53" s="12"/>
      <c r="WHU53" s="12"/>
      <c r="WHV53" s="12"/>
      <c r="WHW53" s="12"/>
      <c r="WHX53" s="12"/>
      <c r="WHY53" s="12"/>
      <c r="WHZ53" s="12"/>
      <c r="WIA53" s="12"/>
      <c r="WIB53" s="12"/>
      <c r="WIC53" s="12"/>
      <c r="WID53" s="12"/>
      <c r="WIE53" s="12"/>
      <c r="WIF53" s="12"/>
      <c r="WIG53" s="12"/>
      <c r="WIH53" s="12"/>
      <c r="WII53" s="12"/>
      <c r="WIJ53" s="12"/>
      <c r="WIK53" s="12"/>
      <c r="WIL53" s="12"/>
      <c r="WIM53" s="12"/>
      <c r="WIN53" s="12"/>
      <c r="WIO53" s="12"/>
      <c r="WIP53" s="12"/>
      <c r="WIQ53" s="12"/>
      <c r="WIR53" s="12"/>
      <c r="WIS53" s="12"/>
      <c r="WIT53" s="12"/>
      <c r="WIU53" s="12"/>
      <c r="WIV53" s="12"/>
      <c r="WIW53" s="12"/>
      <c r="WIX53" s="12"/>
      <c r="WIY53" s="12"/>
      <c r="WIZ53" s="12"/>
      <c r="WJA53" s="12"/>
      <c r="WJB53" s="12"/>
      <c r="WJC53" s="12"/>
      <c r="WJD53" s="12"/>
      <c r="WJE53" s="12"/>
      <c r="WJF53" s="12"/>
      <c r="WJG53" s="12"/>
      <c r="WJH53" s="12"/>
      <c r="WJI53" s="12"/>
      <c r="WJJ53" s="12"/>
      <c r="WJK53" s="12"/>
      <c r="WJL53" s="12"/>
      <c r="WJM53" s="12"/>
      <c r="WJN53" s="12"/>
      <c r="WJO53" s="12"/>
      <c r="WJP53" s="12"/>
      <c r="WJQ53" s="12"/>
      <c r="WJR53" s="12"/>
      <c r="WJS53" s="12"/>
      <c r="WJT53" s="12"/>
      <c r="WJU53" s="12"/>
      <c r="WJV53" s="12"/>
      <c r="WJW53" s="12"/>
      <c r="WJX53" s="12"/>
      <c r="WJY53" s="12"/>
      <c r="WJZ53" s="12"/>
      <c r="WKA53" s="12"/>
      <c r="WKB53" s="12"/>
      <c r="WKC53" s="12"/>
      <c r="WKD53" s="12"/>
      <c r="WKE53" s="12"/>
      <c r="WKF53" s="12"/>
      <c r="WKG53" s="12"/>
      <c r="WKH53" s="12"/>
      <c r="WKI53" s="12"/>
      <c r="WKJ53" s="12"/>
      <c r="WKK53" s="12"/>
      <c r="WKL53" s="12"/>
      <c r="WKM53" s="12"/>
      <c r="WKN53" s="12"/>
      <c r="WKO53" s="12"/>
      <c r="WKP53" s="12"/>
      <c r="WKQ53" s="12"/>
      <c r="WKR53" s="12"/>
      <c r="WKS53" s="12"/>
      <c r="WKT53" s="12"/>
      <c r="WKU53" s="12"/>
      <c r="WKV53" s="12"/>
      <c r="WKW53" s="12"/>
      <c r="WKX53" s="12"/>
      <c r="WKY53" s="12"/>
      <c r="WKZ53" s="12"/>
      <c r="WLA53" s="12"/>
      <c r="WLB53" s="12"/>
      <c r="WLC53" s="12"/>
      <c r="WLD53" s="12"/>
      <c r="WLE53" s="12"/>
      <c r="WLF53" s="12"/>
      <c r="WLG53" s="12"/>
      <c r="WLH53" s="12"/>
      <c r="WLI53" s="12"/>
      <c r="WLJ53" s="12"/>
      <c r="WLK53" s="12"/>
      <c r="WLL53" s="12"/>
      <c r="WLM53" s="12"/>
      <c r="WLN53" s="12"/>
      <c r="WLO53" s="12"/>
      <c r="WLP53" s="12"/>
      <c r="WLQ53" s="12"/>
      <c r="WLR53" s="12"/>
      <c r="WLS53" s="12"/>
      <c r="WLT53" s="12"/>
      <c r="WLU53" s="12"/>
      <c r="WLV53" s="12"/>
      <c r="WLW53" s="12"/>
      <c r="WLX53" s="12"/>
      <c r="WLY53" s="12"/>
      <c r="WLZ53" s="12"/>
      <c r="WMA53" s="12"/>
      <c r="WMB53" s="12"/>
      <c r="WMC53" s="12"/>
      <c r="WMD53" s="12"/>
      <c r="WME53" s="12"/>
      <c r="WMF53" s="12"/>
      <c r="WMG53" s="12"/>
      <c r="WMH53" s="12"/>
      <c r="WMI53" s="12"/>
      <c r="WMJ53" s="12"/>
      <c r="WMK53" s="12"/>
      <c r="WML53" s="12"/>
      <c r="WMM53" s="12"/>
      <c r="WMN53" s="12"/>
      <c r="WMO53" s="12"/>
      <c r="WMP53" s="12"/>
      <c r="WMQ53" s="12"/>
      <c r="WMR53" s="12"/>
      <c r="WMS53" s="12"/>
      <c r="WMT53" s="12"/>
      <c r="WMU53" s="12"/>
      <c r="WMV53" s="12"/>
      <c r="WMW53" s="12"/>
      <c r="WMX53" s="12"/>
      <c r="WMY53" s="12"/>
      <c r="WMZ53" s="12"/>
      <c r="WNA53" s="12"/>
      <c r="WNB53" s="12"/>
      <c r="WNC53" s="12"/>
      <c r="WND53" s="12"/>
      <c r="WNE53" s="12"/>
      <c r="WNF53" s="12"/>
      <c r="WNG53" s="12"/>
      <c r="WNH53" s="12"/>
      <c r="WNI53" s="12"/>
      <c r="WNJ53" s="12"/>
      <c r="WNK53" s="12"/>
      <c r="WNL53" s="12"/>
      <c r="WNM53" s="12"/>
      <c r="WNN53" s="12"/>
      <c r="WNO53" s="12"/>
      <c r="WNP53" s="12"/>
      <c r="WNQ53" s="12"/>
      <c r="WNR53" s="12"/>
      <c r="WNS53" s="12"/>
      <c r="WNT53" s="12"/>
      <c r="WNU53" s="12"/>
      <c r="WNV53" s="12"/>
      <c r="WNW53" s="12"/>
      <c r="WNX53" s="12"/>
      <c r="WNY53" s="12"/>
      <c r="WNZ53" s="12"/>
      <c r="WOA53" s="12"/>
      <c r="WOB53" s="12"/>
      <c r="WOC53" s="12"/>
      <c r="WOD53" s="12"/>
      <c r="WOE53" s="12"/>
      <c r="WOF53" s="12"/>
      <c r="WOG53" s="12"/>
      <c r="WOH53" s="12"/>
      <c r="WOI53" s="12"/>
      <c r="WOJ53" s="12"/>
      <c r="WOK53" s="12"/>
      <c r="WOL53" s="12"/>
      <c r="WOM53" s="12"/>
      <c r="WON53" s="12"/>
      <c r="WOO53" s="12"/>
      <c r="WOP53" s="12"/>
      <c r="WOQ53" s="12"/>
      <c r="WOR53" s="12"/>
      <c r="WOS53" s="12"/>
      <c r="WOT53" s="12"/>
      <c r="WOU53" s="12"/>
      <c r="WOV53" s="12"/>
      <c r="WOW53" s="12"/>
      <c r="WOX53" s="12"/>
      <c r="WOY53" s="12"/>
      <c r="WOZ53" s="12"/>
      <c r="WPA53" s="12"/>
      <c r="WPB53" s="12"/>
      <c r="WPC53" s="12"/>
      <c r="WPD53" s="12"/>
      <c r="WPE53" s="12"/>
      <c r="WPF53" s="12"/>
      <c r="WPG53" s="12"/>
      <c r="WPH53" s="12"/>
      <c r="WPI53" s="12"/>
      <c r="WPJ53" s="12"/>
      <c r="WPK53" s="12"/>
      <c r="WPL53" s="12"/>
      <c r="WPM53" s="12"/>
      <c r="WPN53" s="12"/>
      <c r="WPO53" s="12"/>
      <c r="WPP53" s="12"/>
      <c r="WPQ53" s="12"/>
      <c r="WPR53" s="12"/>
      <c r="WPS53" s="12"/>
      <c r="WPT53" s="12"/>
      <c r="WPU53" s="12"/>
      <c r="WPV53" s="12"/>
      <c r="WPW53" s="12"/>
      <c r="WPX53" s="12"/>
      <c r="WPY53" s="12"/>
      <c r="WPZ53" s="12"/>
      <c r="WQA53" s="12"/>
      <c r="WQB53" s="12"/>
      <c r="WQC53" s="12"/>
      <c r="WQD53" s="12"/>
      <c r="WQE53" s="12"/>
      <c r="WQF53" s="12"/>
      <c r="WQG53" s="12"/>
      <c r="WQH53" s="12"/>
      <c r="WQI53" s="12"/>
      <c r="WQJ53" s="12"/>
      <c r="WQK53" s="12"/>
      <c r="WQL53" s="12"/>
      <c r="WQM53" s="12"/>
      <c r="WQN53" s="12"/>
      <c r="WQO53" s="12"/>
      <c r="WQP53" s="12"/>
      <c r="WQQ53" s="12"/>
      <c r="WQR53" s="12"/>
      <c r="WQS53" s="12"/>
      <c r="WQT53" s="12"/>
      <c r="WQU53" s="12"/>
      <c r="WQV53" s="12"/>
      <c r="WQW53" s="12"/>
      <c r="WQX53" s="12"/>
      <c r="WQY53" s="12"/>
      <c r="WQZ53" s="12"/>
      <c r="WRA53" s="12"/>
      <c r="WRB53" s="12"/>
      <c r="WRC53" s="12"/>
      <c r="WRD53" s="12"/>
      <c r="WRE53" s="12"/>
      <c r="WRF53" s="12"/>
      <c r="WRG53" s="12"/>
      <c r="WRH53" s="12"/>
      <c r="WRI53" s="12"/>
      <c r="WRJ53" s="12"/>
      <c r="WRK53" s="12"/>
      <c r="WRL53" s="12"/>
      <c r="WRM53" s="12"/>
      <c r="WRN53" s="12"/>
      <c r="WRO53" s="12"/>
      <c r="WRP53" s="12"/>
      <c r="WRQ53" s="12"/>
      <c r="WRR53" s="12"/>
      <c r="WRS53" s="12"/>
      <c r="WRT53" s="12"/>
      <c r="WRU53" s="12"/>
      <c r="WRV53" s="12"/>
      <c r="WRW53" s="12"/>
      <c r="WRX53" s="12"/>
      <c r="WRY53" s="12"/>
      <c r="WRZ53" s="12"/>
      <c r="WSA53" s="12"/>
      <c r="WSB53" s="12"/>
      <c r="WSC53" s="12"/>
      <c r="WSD53" s="12"/>
      <c r="WSE53" s="12"/>
      <c r="WSF53" s="12"/>
      <c r="WSG53" s="12"/>
      <c r="WSH53" s="12"/>
      <c r="WSI53" s="12"/>
      <c r="WSJ53" s="12"/>
      <c r="WSK53" s="12"/>
      <c r="WSL53" s="12"/>
      <c r="WSM53" s="12"/>
      <c r="WSN53" s="12"/>
      <c r="WSO53" s="12"/>
      <c r="WSP53" s="12"/>
      <c r="WSQ53" s="12"/>
      <c r="WSR53" s="12"/>
      <c r="WSS53" s="12"/>
      <c r="WST53" s="12"/>
      <c r="WSU53" s="12"/>
      <c r="WSV53" s="12"/>
      <c r="WSW53" s="12"/>
      <c r="WSX53" s="12"/>
      <c r="WSY53" s="12"/>
      <c r="WSZ53" s="12"/>
      <c r="WTA53" s="12"/>
      <c r="WTB53" s="12"/>
      <c r="WTC53" s="12"/>
      <c r="WTD53" s="12"/>
      <c r="WTE53" s="12"/>
      <c r="WTF53" s="12"/>
      <c r="WTG53" s="12"/>
      <c r="WTH53" s="12"/>
      <c r="WTI53" s="12"/>
      <c r="WTJ53" s="12"/>
      <c r="WTK53" s="12"/>
      <c r="WTL53" s="12"/>
      <c r="WTM53" s="12"/>
      <c r="WTN53" s="12"/>
      <c r="WTO53" s="12"/>
      <c r="WTP53" s="12"/>
      <c r="WTQ53" s="12"/>
      <c r="WTR53" s="12"/>
      <c r="WTS53" s="12"/>
      <c r="WTT53" s="12"/>
      <c r="WTU53" s="12"/>
      <c r="WTV53" s="12"/>
      <c r="WTW53" s="12"/>
      <c r="WTX53" s="12"/>
      <c r="WTY53" s="12"/>
      <c r="WTZ53" s="12"/>
      <c r="WUA53" s="12"/>
      <c r="WUB53" s="12"/>
      <c r="WUC53" s="12"/>
      <c r="WUD53" s="12"/>
      <c r="WUE53" s="12"/>
      <c r="WUF53" s="12"/>
      <c r="WUG53" s="12"/>
      <c r="WUH53" s="12"/>
      <c r="WUI53" s="12"/>
      <c r="WUJ53" s="12"/>
      <c r="WUK53" s="12"/>
      <c r="WUL53" s="12"/>
      <c r="WUM53" s="12"/>
      <c r="WUN53" s="12"/>
      <c r="WUO53" s="12"/>
      <c r="WUP53" s="12"/>
      <c r="WUQ53" s="12"/>
      <c r="WUR53" s="12"/>
      <c r="WUS53" s="12"/>
      <c r="WUT53" s="12"/>
      <c r="WUU53" s="12"/>
      <c r="WUV53" s="12"/>
      <c r="WUW53" s="12"/>
      <c r="WUX53" s="12"/>
      <c r="WUY53" s="12"/>
      <c r="WUZ53" s="12"/>
      <c r="WVA53" s="12"/>
      <c r="WVB53" s="12"/>
      <c r="WVC53" s="12"/>
      <c r="WVD53" s="12"/>
      <c r="WVE53" s="12"/>
      <c r="WVF53" s="12"/>
      <c r="WVG53" s="12"/>
      <c r="WVH53" s="12"/>
      <c r="WVI53" s="12"/>
      <c r="WVJ53" s="12"/>
      <c r="WVK53" s="12"/>
      <c r="WVL53" s="12"/>
      <c r="WVM53" s="12"/>
      <c r="WVN53" s="12"/>
      <c r="WVO53" s="12"/>
      <c r="WVP53" s="12"/>
      <c r="WVQ53" s="12"/>
      <c r="WVR53" s="12"/>
      <c r="WVS53" s="12"/>
      <c r="WVT53" s="12"/>
      <c r="WVU53" s="12"/>
      <c r="WVV53" s="12"/>
      <c r="WVW53" s="12"/>
      <c r="WVX53" s="12"/>
      <c r="WVY53" s="12"/>
      <c r="WVZ53" s="12"/>
      <c r="WWA53" s="12"/>
      <c r="WWB53" s="12"/>
      <c r="WWC53" s="12"/>
      <c r="WWD53" s="12"/>
      <c r="WWE53" s="12"/>
      <c r="WWF53" s="12"/>
      <c r="WWG53" s="12"/>
      <c r="WWH53" s="12"/>
      <c r="WWI53" s="12"/>
      <c r="WWJ53" s="12"/>
      <c r="WWK53" s="12"/>
      <c r="WWL53" s="12"/>
      <c r="WWM53" s="12"/>
      <c r="WWN53" s="12"/>
      <c r="WWO53" s="12"/>
      <c r="WWP53" s="12"/>
      <c r="WWQ53" s="12"/>
      <c r="WWR53" s="12"/>
      <c r="WWS53" s="12"/>
      <c r="WWT53" s="12"/>
      <c r="WWU53" s="12"/>
      <c r="WWV53" s="12"/>
      <c r="WWW53" s="12"/>
      <c r="WWX53" s="12"/>
      <c r="WWY53" s="12"/>
      <c r="WWZ53" s="12"/>
      <c r="WXA53" s="12"/>
      <c r="WXB53" s="12"/>
      <c r="WXC53" s="12"/>
      <c r="WXD53" s="12"/>
      <c r="WXE53" s="12"/>
      <c r="WXF53" s="12"/>
      <c r="WXG53" s="12"/>
      <c r="WXH53" s="12"/>
      <c r="WXI53" s="12"/>
      <c r="WXJ53" s="12"/>
      <c r="WXK53" s="12"/>
      <c r="WXL53" s="12"/>
      <c r="WXM53" s="12"/>
      <c r="WXN53" s="12"/>
      <c r="WXO53" s="12"/>
      <c r="WXP53" s="12"/>
      <c r="WXQ53" s="12"/>
      <c r="WXR53" s="12"/>
      <c r="WXS53" s="12"/>
      <c r="WXT53" s="12"/>
      <c r="WXU53" s="12"/>
      <c r="WXV53" s="12"/>
      <c r="WXW53" s="12"/>
      <c r="WXX53" s="12"/>
      <c r="WXY53" s="12"/>
      <c r="WXZ53" s="12"/>
      <c r="WYA53" s="12"/>
      <c r="WYB53" s="12"/>
      <c r="WYC53" s="12"/>
      <c r="WYD53" s="12"/>
      <c r="WYE53" s="12"/>
      <c r="WYF53" s="12"/>
      <c r="WYG53" s="12"/>
      <c r="WYH53" s="12"/>
      <c r="WYI53" s="12"/>
      <c r="WYJ53" s="12"/>
      <c r="WYK53" s="12"/>
      <c r="WYL53" s="12"/>
      <c r="WYM53" s="12"/>
      <c r="WYN53" s="12"/>
      <c r="WYO53" s="12"/>
      <c r="WYP53" s="12"/>
      <c r="WYQ53" s="12"/>
      <c r="WYR53" s="12"/>
      <c r="WYS53" s="12"/>
      <c r="WYT53" s="12"/>
      <c r="WYU53" s="12"/>
      <c r="WYV53" s="12"/>
      <c r="WYW53" s="12"/>
      <c r="WYX53" s="12"/>
      <c r="WYY53" s="12"/>
      <c r="WYZ53" s="12"/>
      <c r="WZA53" s="12"/>
      <c r="WZB53" s="12"/>
      <c r="WZC53" s="12"/>
      <c r="WZD53" s="12"/>
      <c r="WZE53" s="12"/>
      <c r="WZF53" s="12"/>
      <c r="WZG53" s="12"/>
      <c r="WZH53" s="12"/>
      <c r="WZI53" s="12"/>
      <c r="WZJ53" s="12"/>
      <c r="WZK53" s="12"/>
      <c r="WZL53" s="12"/>
      <c r="WZM53" s="12"/>
      <c r="WZN53" s="12"/>
      <c r="WZO53" s="12"/>
      <c r="WZP53" s="12"/>
      <c r="WZQ53" s="12"/>
      <c r="WZR53" s="12"/>
      <c r="WZS53" s="12"/>
      <c r="WZT53" s="12"/>
      <c r="WZU53" s="12"/>
      <c r="WZV53" s="12"/>
      <c r="WZW53" s="12"/>
      <c r="WZX53" s="12"/>
      <c r="WZY53" s="12"/>
      <c r="WZZ53" s="12"/>
      <c r="XAA53" s="12"/>
      <c r="XAB53" s="12"/>
      <c r="XAC53" s="12"/>
      <c r="XAD53" s="12"/>
      <c r="XAE53" s="12"/>
      <c r="XAF53" s="12"/>
      <c r="XAG53" s="12"/>
      <c r="XAH53" s="12"/>
      <c r="XAI53" s="12"/>
      <c r="XAJ53" s="12"/>
      <c r="XAK53" s="12"/>
      <c r="XAL53" s="12"/>
      <c r="XAM53" s="12"/>
      <c r="XAN53" s="12"/>
      <c r="XAO53" s="12"/>
      <c r="XAP53" s="12"/>
      <c r="XAQ53" s="12"/>
      <c r="XAR53" s="12"/>
      <c r="XAS53" s="12"/>
      <c r="XAT53" s="12"/>
      <c r="XAU53" s="12"/>
      <c r="XAV53" s="12"/>
      <c r="XAW53" s="12"/>
      <c r="XAX53" s="12"/>
      <c r="XAY53" s="12"/>
      <c r="XAZ53" s="12"/>
      <c r="XBA53" s="12"/>
      <c r="XBB53" s="12"/>
      <c r="XBC53" s="12"/>
      <c r="XBD53" s="12"/>
      <c r="XBE53" s="12"/>
      <c r="XBF53" s="12"/>
      <c r="XBG53" s="12"/>
      <c r="XBH53" s="12"/>
      <c r="XBI53" s="12"/>
      <c r="XBJ53" s="12"/>
      <c r="XBK53" s="12"/>
      <c r="XBL53" s="12"/>
      <c r="XBM53" s="12"/>
      <c r="XBN53" s="12"/>
      <c r="XBO53" s="12"/>
      <c r="XBP53" s="12"/>
      <c r="XBQ53" s="12"/>
      <c r="XBR53" s="12"/>
      <c r="XBS53" s="12"/>
      <c r="XBT53" s="12"/>
      <c r="XBU53" s="12"/>
      <c r="XBV53" s="12"/>
      <c r="XBW53" s="12"/>
      <c r="XBX53" s="12"/>
      <c r="XBY53" s="12"/>
      <c r="XBZ53" s="12"/>
      <c r="XCA53" s="12"/>
      <c r="XCB53" s="12"/>
      <c r="XCC53" s="12"/>
      <c r="XCD53" s="12"/>
      <c r="XCE53" s="12"/>
      <c r="XCF53" s="12"/>
      <c r="XCG53" s="12"/>
      <c r="XCH53" s="12"/>
    </row>
    <row r="54" spans="1:16310" s="115" customFormat="1" ht="10.199999999999999" x14ac:dyDescent="0.2">
      <c r="A54" s="122">
        <v>1</v>
      </c>
      <c r="C54" s="123"/>
      <c r="D54" s="116" t="str">
        <f>IF(ISERROR(VLOOKUP('Оценка трудоемкости'!$C54,Справочники!S:V,3,0))=TRUE,"",VLOOKUP('Оценка трудоемкости'!$C54,Справочники!S:V,3,0))</f>
        <v/>
      </c>
      <c r="E54" s="116">
        <f>IF(ISERROR(VLOOKUP('Оценка трудоемкости'!$C54,Справочники!S:V,4,0))=TRUE,0,VLOOKUP('Оценка трудоемкости'!$C54,Справочники!S:V,4,0))</f>
        <v>0</v>
      </c>
      <c r="F54" s="127"/>
      <c r="G54" s="116">
        <f t="shared" si="207"/>
        <v>0</v>
      </c>
      <c r="H54" s="12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16">
        <f t="shared" si="208"/>
        <v>0</v>
      </c>
      <c r="V54" s="12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16">
        <f t="shared" si="209"/>
        <v>0</v>
      </c>
      <c r="AJ54" s="12"/>
      <c r="AK54" s="124"/>
      <c r="AL54" s="124"/>
      <c r="AM54" s="124"/>
      <c r="AN54" s="124"/>
      <c r="AO54" s="124"/>
      <c r="AP54" s="124"/>
      <c r="AQ54" s="124"/>
      <c r="AR54" s="124"/>
      <c r="AS54" s="124"/>
      <c r="AT54" s="124"/>
      <c r="AU54" s="124"/>
      <c r="AV54" s="124"/>
      <c r="AW54" s="116">
        <f t="shared" si="210"/>
        <v>0</v>
      </c>
      <c r="AX54" s="12"/>
      <c r="AY54" s="124"/>
      <c r="AZ54" s="124"/>
      <c r="BA54" s="124"/>
      <c r="BB54" s="124"/>
      <c r="BC54" s="124"/>
      <c r="BD54" s="124"/>
      <c r="BE54" s="124"/>
      <c r="BF54" s="124"/>
      <c r="BG54" s="124"/>
      <c r="BH54" s="124"/>
      <c r="BI54" s="124"/>
      <c r="BJ54" s="124"/>
      <c r="BK54" s="116">
        <f t="shared" si="211"/>
        <v>0</v>
      </c>
      <c r="BL54" s="12"/>
      <c r="BM54" s="124"/>
      <c r="BN54" s="124"/>
      <c r="BO54" s="124"/>
      <c r="BP54" s="124"/>
      <c r="BQ54" s="124"/>
      <c r="BR54" s="124"/>
      <c r="BS54" s="124"/>
      <c r="BT54" s="124"/>
      <c r="BU54" s="124"/>
      <c r="BV54" s="124"/>
      <c r="BW54" s="124"/>
      <c r="BX54" s="124"/>
      <c r="BY54" s="116">
        <f t="shared" si="212"/>
        <v>0</v>
      </c>
      <c r="BZ54" s="12"/>
      <c r="CA54" s="200">
        <f t="shared" si="213"/>
        <v>0</v>
      </c>
      <c r="CB54" s="12"/>
      <c r="CC54" s="118">
        <f t="shared" si="147"/>
        <v>0</v>
      </c>
      <c r="CD54" s="118">
        <f t="shared" si="148"/>
        <v>0</v>
      </c>
      <c r="CE54" s="118">
        <f t="shared" si="149"/>
        <v>0</v>
      </c>
      <c r="CF54" s="118">
        <f t="shared" si="150"/>
        <v>0</v>
      </c>
      <c r="CG54" s="118">
        <f t="shared" si="151"/>
        <v>0</v>
      </c>
      <c r="CH54" s="118">
        <f t="shared" si="152"/>
        <v>0</v>
      </c>
      <c r="CI54" s="118">
        <f t="shared" si="153"/>
        <v>0</v>
      </c>
      <c r="CJ54" s="118">
        <f t="shared" si="154"/>
        <v>0</v>
      </c>
      <c r="CK54" s="118">
        <f t="shared" si="155"/>
        <v>0</v>
      </c>
      <c r="CL54" s="118">
        <f t="shared" si="156"/>
        <v>0</v>
      </c>
      <c r="CM54" s="118">
        <f t="shared" si="157"/>
        <v>0</v>
      </c>
      <c r="CN54" s="118">
        <f t="shared" si="158"/>
        <v>0</v>
      </c>
      <c r="CO54" s="41">
        <f t="shared" ref="CO54:CO59" si="219">SUM(CC54:CN54)</f>
        <v>0</v>
      </c>
      <c r="CP54" s="12"/>
      <c r="CQ54" s="118">
        <f t="shared" si="159"/>
        <v>0</v>
      </c>
      <c r="CR54" s="118">
        <f t="shared" si="160"/>
        <v>0</v>
      </c>
      <c r="CS54" s="118">
        <f t="shared" si="161"/>
        <v>0</v>
      </c>
      <c r="CT54" s="118">
        <f t="shared" si="162"/>
        <v>0</v>
      </c>
      <c r="CU54" s="118">
        <f t="shared" si="163"/>
        <v>0</v>
      </c>
      <c r="CV54" s="118">
        <f t="shared" si="164"/>
        <v>0</v>
      </c>
      <c r="CW54" s="118">
        <f t="shared" si="165"/>
        <v>0</v>
      </c>
      <c r="CX54" s="118">
        <f t="shared" si="166"/>
        <v>0</v>
      </c>
      <c r="CY54" s="118">
        <f t="shared" si="167"/>
        <v>0</v>
      </c>
      <c r="CZ54" s="118">
        <f t="shared" si="168"/>
        <v>0</v>
      </c>
      <c r="DA54" s="118">
        <f t="shared" si="169"/>
        <v>0</v>
      </c>
      <c r="DB54" s="118">
        <f t="shared" si="170"/>
        <v>0</v>
      </c>
      <c r="DC54" s="41">
        <f t="shared" ref="DC54:DC59" si="220">SUM(CQ54:DB54)</f>
        <v>0</v>
      </c>
      <c r="DD54" s="12"/>
      <c r="DE54" s="118">
        <f t="shared" si="171"/>
        <v>0</v>
      </c>
      <c r="DF54" s="118">
        <f t="shared" si="172"/>
        <v>0</v>
      </c>
      <c r="DG54" s="118">
        <f t="shared" si="173"/>
        <v>0</v>
      </c>
      <c r="DH54" s="118">
        <f t="shared" si="174"/>
        <v>0</v>
      </c>
      <c r="DI54" s="118">
        <f t="shared" si="175"/>
        <v>0</v>
      </c>
      <c r="DJ54" s="118">
        <f t="shared" si="176"/>
        <v>0</v>
      </c>
      <c r="DK54" s="118">
        <f t="shared" si="177"/>
        <v>0</v>
      </c>
      <c r="DL54" s="118">
        <f t="shared" si="178"/>
        <v>0</v>
      </c>
      <c r="DM54" s="118">
        <f t="shared" si="179"/>
        <v>0</v>
      </c>
      <c r="DN54" s="118">
        <f t="shared" si="180"/>
        <v>0</v>
      </c>
      <c r="DO54" s="118">
        <f t="shared" si="181"/>
        <v>0</v>
      </c>
      <c r="DP54" s="118">
        <f t="shared" si="182"/>
        <v>0</v>
      </c>
      <c r="DQ54" s="41">
        <f t="shared" ref="DQ54:DQ59" si="221">SUM(DE54:DP54)</f>
        <v>0</v>
      </c>
      <c r="DR54" s="12"/>
      <c r="DS54" s="118">
        <f t="shared" si="183"/>
        <v>0</v>
      </c>
      <c r="DT54" s="118">
        <f t="shared" si="184"/>
        <v>0</v>
      </c>
      <c r="DU54" s="118">
        <f t="shared" si="185"/>
        <v>0</v>
      </c>
      <c r="DV54" s="118">
        <f t="shared" si="186"/>
        <v>0</v>
      </c>
      <c r="DW54" s="118">
        <f t="shared" si="187"/>
        <v>0</v>
      </c>
      <c r="DX54" s="118">
        <f t="shared" si="188"/>
        <v>0</v>
      </c>
      <c r="DY54" s="118">
        <f t="shared" si="189"/>
        <v>0</v>
      </c>
      <c r="DZ54" s="118">
        <f t="shared" si="190"/>
        <v>0</v>
      </c>
      <c r="EA54" s="118">
        <f t="shared" si="191"/>
        <v>0</v>
      </c>
      <c r="EB54" s="118">
        <f t="shared" si="192"/>
        <v>0</v>
      </c>
      <c r="EC54" s="118">
        <f t="shared" si="193"/>
        <v>0</v>
      </c>
      <c r="ED54" s="118">
        <f t="shared" si="194"/>
        <v>0</v>
      </c>
      <c r="EE54" s="41">
        <f t="shared" ref="EE54:EE59" si="222">SUM(DS54:ED54)</f>
        <v>0</v>
      </c>
      <c r="EF54" s="12"/>
      <c r="EG54" s="118">
        <f t="shared" si="195"/>
        <v>0</v>
      </c>
      <c r="EH54" s="118">
        <f t="shared" si="196"/>
        <v>0</v>
      </c>
      <c r="EI54" s="118">
        <f t="shared" si="197"/>
        <v>0</v>
      </c>
      <c r="EJ54" s="118">
        <f t="shared" si="198"/>
        <v>0</v>
      </c>
      <c r="EK54" s="118">
        <f t="shared" si="199"/>
        <v>0</v>
      </c>
      <c r="EL54" s="118">
        <f t="shared" si="200"/>
        <v>0</v>
      </c>
      <c r="EM54" s="118">
        <f t="shared" si="201"/>
        <v>0</v>
      </c>
      <c r="EN54" s="118">
        <f t="shared" si="202"/>
        <v>0</v>
      </c>
      <c r="EO54" s="118">
        <f t="shared" si="203"/>
        <v>0</v>
      </c>
      <c r="EP54" s="118">
        <f t="shared" si="204"/>
        <v>0</v>
      </c>
      <c r="EQ54" s="118">
        <f t="shared" si="205"/>
        <v>0</v>
      </c>
      <c r="ER54" s="118">
        <f t="shared" si="206"/>
        <v>0</v>
      </c>
      <c r="ES54" s="41">
        <f t="shared" ref="ES54:ES59" si="223">SUM(EG54:ER54)</f>
        <v>0</v>
      </c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12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12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12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12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12"/>
      <c r="JX54" s="12"/>
      <c r="JY54" s="12"/>
      <c r="JZ54" s="12"/>
      <c r="KA54" s="12"/>
      <c r="KB54" s="12"/>
      <c r="KC54" s="12"/>
      <c r="KD54" s="12"/>
      <c r="KE54" s="12"/>
      <c r="KF54" s="12"/>
      <c r="KG54" s="12"/>
      <c r="KH54" s="12"/>
      <c r="KI54" s="12"/>
      <c r="KJ54" s="12"/>
      <c r="KK54" s="12"/>
      <c r="KL54" s="12"/>
      <c r="KM54" s="12"/>
      <c r="KN54" s="12"/>
      <c r="KO54" s="12"/>
      <c r="KP54" s="12"/>
      <c r="KQ54" s="12"/>
      <c r="KR54" s="12"/>
      <c r="KS54" s="12"/>
      <c r="KT54" s="12"/>
      <c r="KU54" s="12"/>
      <c r="KV54" s="12"/>
      <c r="KW54" s="12"/>
      <c r="KX54" s="12"/>
      <c r="KY54" s="12"/>
      <c r="KZ54" s="12"/>
      <c r="LA54" s="12"/>
      <c r="LB54" s="12"/>
      <c r="LC54" s="12"/>
      <c r="LD54" s="12"/>
      <c r="LE54" s="12"/>
      <c r="LF54" s="12"/>
      <c r="LG54" s="12"/>
      <c r="LH54" s="12"/>
      <c r="LI54" s="12"/>
      <c r="LJ54" s="12"/>
      <c r="LK54" s="12"/>
      <c r="LL54" s="12"/>
      <c r="LM54" s="12"/>
      <c r="LN54" s="12"/>
      <c r="LO54" s="12"/>
      <c r="LP54" s="12"/>
      <c r="LQ54" s="12"/>
      <c r="LR54" s="12"/>
      <c r="LS54" s="12"/>
      <c r="LT54" s="12"/>
      <c r="LU54" s="12"/>
      <c r="LV54" s="12"/>
      <c r="LW54" s="12"/>
      <c r="LX54" s="12"/>
      <c r="LY54" s="12"/>
      <c r="LZ54" s="12"/>
      <c r="MA54" s="12"/>
      <c r="MB54" s="12"/>
      <c r="MC54" s="12"/>
      <c r="MD54" s="12"/>
      <c r="ME54" s="12"/>
      <c r="MF54" s="12"/>
      <c r="MG54" s="12"/>
      <c r="MH54" s="12"/>
      <c r="MI54" s="12"/>
      <c r="MJ54" s="12"/>
      <c r="MK54" s="12"/>
      <c r="ML54" s="12"/>
      <c r="MM54" s="12"/>
      <c r="MN54" s="12"/>
      <c r="MO54" s="12"/>
      <c r="MP54" s="12"/>
      <c r="MQ54" s="12"/>
      <c r="MR54" s="12"/>
      <c r="MS54" s="12"/>
      <c r="MT54" s="12"/>
      <c r="MU54" s="12"/>
      <c r="MV54" s="12"/>
      <c r="MW54" s="12"/>
      <c r="MX54" s="12"/>
      <c r="MY54" s="12"/>
      <c r="MZ54" s="12"/>
      <c r="NA54" s="12"/>
      <c r="NB54" s="12"/>
      <c r="NC54" s="12"/>
      <c r="ND54" s="12"/>
      <c r="NE54" s="12"/>
      <c r="NF54" s="12"/>
      <c r="NG54" s="12"/>
      <c r="NH54" s="12"/>
      <c r="NI54" s="12"/>
      <c r="NJ54" s="12"/>
      <c r="NK54" s="12"/>
      <c r="NL54" s="12"/>
      <c r="NM54" s="12"/>
      <c r="NN54" s="12"/>
      <c r="NO54" s="12"/>
      <c r="NP54" s="12"/>
      <c r="NQ54" s="12"/>
      <c r="NR54" s="12"/>
      <c r="NS54" s="12"/>
      <c r="NT54" s="12"/>
      <c r="NU54" s="12"/>
      <c r="NV54" s="12"/>
      <c r="NW54" s="12"/>
      <c r="NX54" s="12"/>
      <c r="NY54" s="12"/>
      <c r="NZ54" s="12"/>
      <c r="OA54" s="12"/>
      <c r="OB54" s="12"/>
      <c r="OC54" s="12"/>
      <c r="OD54" s="12"/>
      <c r="OE54" s="12"/>
      <c r="OF54" s="12"/>
      <c r="OG54" s="12"/>
      <c r="OH54" s="12"/>
      <c r="OI54" s="12"/>
      <c r="OJ54" s="12"/>
      <c r="OK54" s="12"/>
      <c r="OL54" s="12"/>
      <c r="OM54" s="12"/>
      <c r="ON54" s="12"/>
      <c r="OO54" s="12"/>
      <c r="OP54" s="12"/>
      <c r="OQ54" s="12"/>
      <c r="OR54" s="12"/>
      <c r="OS54" s="12"/>
      <c r="OT54" s="12"/>
      <c r="OU54" s="12"/>
      <c r="OV54" s="12"/>
      <c r="OW54" s="12"/>
      <c r="OX54" s="12"/>
      <c r="OY54" s="12"/>
      <c r="OZ54" s="12"/>
      <c r="PA54" s="12"/>
      <c r="PB54" s="12"/>
      <c r="PC54" s="12"/>
      <c r="PD54" s="12"/>
      <c r="PE54" s="12"/>
      <c r="PF54" s="12"/>
      <c r="PG54" s="12"/>
      <c r="PH54" s="12"/>
      <c r="PI54" s="12"/>
      <c r="PJ54" s="12"/>
      <c r="PK54" s="12"/>
      <c r="PL54" s="12"/>
      <c r="PM54" s="12"/>
      <c r="PN54" s="12"/>
      <c r="PO54" s="12"/>
      <c r="PP54" s="12"/>
      <c r="PQ54" s="12"/>
      <c r="PR54" s="12"/>
      <c r="PS54" s="12"/>
      <c r="PT54" s="12"/>
      <c r="PU54" s="12"/>
      <c r="PV54" s="12"/>
      <c r="PW54" s="12"/>
      <c r="PX54" s="12"/>
      <c r="PY54" s="12"/>
      <c r="PZ54" s="12"/>
      <c r="QA54" s="12"/>
      <c r="QB54" s="12"/>
      <c r="QC54" s="12"/>
      <c r="QD54" s="12"/>
      <c r="QE54" s="12"/>
      <c r="QF54" s="12"/>
      <c r="QG54" s="12"/>
      <c r="QH54" s="12"/>
      <c r="QI54" s="12"/>
      <c r="QJ54" s="12"/>
      <c r="QK54" s="12"/>
      <c r="QL54" s="12"/>
      <c r="QM54" s="12"/>
      <c r="QN54" s="12"/>
      <c r="QO54" s="12"/>
      <c r="QP54" s="12"/>
      <c r="QQ54" s="12"/>
      <c r="QR54" s="12"/>
      <c r="QS54" s="12"/>
      <c r="QT54" s="12"/>
      <c r="QU54" s="12"/>
      <c r="QV54" s="12"/>
      <c r="QW54" s="12"/>
      <c r="QX54" s="12"/>
      <c r="QY54" s="12"/>
      <c r="QZ54" s="12"/>
      <c r="RA54" s="12"/>
      <c r="RB54" s="12"/>
      <c r="RC54" s="12"/>
      <c r="RD54" s="12"/>
      <c r="RE54" s="12"/>
      <c r="RF54" s="12"/>
      <c r="RG54" s="12"/>
      <c r="RH54" s="12"/>
      <c r="RI54" s="12"/>
      <c r="RJ54" s="12"/>
      <c r="RK54" s="12"/>
      <c r="RL54" s="12"/>
      <c r="RM54" s="12"/>
      <c r="RN54" s="12"/>
      <c r="RO54" s="12"/>
      <c r="RP54" s="12"/>
      <c r="RQ54" s="12"/>
      <c r="RR54" s="12"/>
      <c r="RS54" s="12"/>
      <c r="RT54" s="12"/>
      <c r="RU54" s="12"/>
      <c r="RV54" s="12"/>
      <c r="RW54" s="12"/>
      <c r="RX54" s="12"/>
      <c r="RY54" s="12"/>
      <c r="RZ54" s="12"/>
      <c r="SA54" s="12"/>
      <c r="SB54" s="12"/>
      <c r="SC54" s="12"/>
      <c r="SD54" s="12"/>
      <c r="SE54" s="12"/>
      <c r="SF54" s="12"/>
      <c r="SG54" s="12"/>
      <c r="SH54" s="12"/>
      <c r="SI54" s="12"/>
      <c r="SJ54" s="12"/>
      <c r="SK54" s="12"/>
      <c r="SL54" s="12"/>
      <c r="SM54" s="12"/>
      <c r="SN54" s="12"/>
      <c r="SO54" s="12"/>
      <c r="SP54" s="12"/>
      <c r="SQ54" s="12"/>
      <c r="SR54" s="12"/>
      <c r="SS54" s="12"/>
      <c r="ST54" s="12"/>
      <c r="SU54" s="12"/>
      <c r="SV54" s="12"/>
      <c r="SW54" s="12"/>
      <c r="SX54" s="12"/>
      <c r="SY54" s="12"/>
      <c r="SZ54" s="12"/>
      <c r="TA54" s="12"/>
      <c r="TB54" s="12"/>
      <c r="TC54" s="12"/>
      <c r="TD54" s="12"/>
      <c r="TE54" s="12"/>
      <c r="TF54" s="12"/>
      <c r="TG54" s="12"/>
      <c r="TH54" s="12"/>
      <c r="TI54" s="12"/>
      <c r="TJ54" s="12"/>
      <c r="TK54" s="12"/>
      <c r="TL54" s="12"/>
      <c r="TM54" s="12"/>
      <c r="TN54" s="12"/>
      <c r="TO54" s="12"/>
      <c r="TP54" s="12"/>
      <c r="TQ54" s="12"/>
      <c r="TR54" s="12"/>
      <c r="TS54" s="12"/>
      <c r="TT54" s="12"/>
      <c r="TU54" s="12"/>
      <c r="TV54" s="12"/>
      <c r="TW54" s="12"/>
      <c r="TX54" s="12"/>
      <c r="TY54" s="12"/>
      <c r="TZ54" s="12"/>
      <c r="UA54" s="12"/>
      <c r="UB54" s="12"/>
      <c r="UC54" s="12"/>
      <c r="UD54" s="12"/>
      <c r="UE54" s="12"/>
      <c r="UF54" s="12"/>
      <c r="UG54" s="12"/>
      <c r="UH54" s="12"/>
      <c r="UI54" s="12"/>
      <c r="UJ54" s="12"/>
      <c r="UK54" s="12"/>
      <c r="UL54" s="12"/>
      <c r="UM54" s="12"/>
      <c r="UN54" s="12"/>
      <c r="UO54" s="12"/>
      <c r="UP54" s="12"/>
      <c r="UQ54" s="12"/>
      <c r="UR54" s="12"/>
      <c r="US54" s="12"/>
      <c r="UT54" s="12"/>
      <c r="UU54" s="12"/>
      <c r="UV54" s="12"/>
      <c r="UW54" s="12"/>
      <c r="UX54" s="12"/>
      <c r="UY54" s="12"/>
      <c r="UZ54" s="12"/>
      <c r="VA54" s="12"/>
      <c r="VB54" s="12"/>
      <c r="VC54" s="12"/>
      <c r="VD54" s="12"/>
      <c r="VE54" s="12"/>
      <c r="VF54" s="12"/>
      <c r="VG54" s="12"/>
      <c r="VH54" s="12"/>
      <c r="VI54" s="12"/>
      <c r="VJ54" s="12"/>
      <c r="VK54" s="12"/>
      <c r="VL54" s="12"/>
      <c r="VM54" s="12"/>
      <c r="VN54" s="12"/>
      <c r="VO54" s="12"/>
      <c r="VP54" s="12"/>
      <c r="VQ54" s="12"/>
      <c r="VR54" s="12"/>
      <c r="VS54" s="12"/>
      <c r="VT54" s="12"/>
      <c r="VU54" s="12"/>
      <c r="VV54" s="12"/>
      <c r="VW54" s="12"/>
      <c r="VX54" s="12"/>
      <c r="VY54" s="12"/>
      <c r="VZ54" s="12"/>
      <c r="WA54" s="12"/>
      <c r="WB54" s="12"/>
      <c r="WC54" s="12"/>
      <c r="WD54" s="12"/>
      <c r="WE54" s="12"/>
      <c r="WF54" s="12"/>
      <c r="WG54" s="12"/>
      <c r="WH54" s="12"/>
      <c r="WI54" s="12"/>
      <c r="WJ54" s="12"/>
      <c r="WK54" s="12"/>
      <c r="WL54" s="12"/>
      <c r="WM54" s="12"/>
      <c r="WN54" s="12"/>
      <c r="WO54" s="12"/>
      <c r="WP54" s="12"/>
      <c r="WQ54" s="12"/>
      <c r="WR54" s="12"/>
      <c r="WS54" s="12"/>
      <c r="WT54" s="12"/>
      <c r="WU54" s="12"/>
      <c r="WV54" s="12"/>
      <c r="WW54" s="12"/>
      <c r="WX54" s="12"/>
      <c r="WY54" s="12"/>
      <c r="WZ54" s="12"/>
      <c r="XA54" s="12"/>
      <c r="XB54" s="12"/>
      <c r="XC54" s="12"/>
      <c r="XD54" s="12"/>
      <c r="XE54" s="12"/>
      <c r="XF54" s="12"/>
      <c r="XG54" s="12"/>
      <c r="XH54" s="12"/>
      <c r="XI54" s="12"/>
      <c r="XJ54" s="12"/>
      <c r="XK54" s="12"/>
      <c r="XL54" s="12"/>
      <c r="XM54" s="12"/>
      <c r="XN54" s="12"/>
      <c r="XO54" s="12"/>
      <c r="XP54" s="12"/>
      <c r="XQ54" s="12"/>
      <c r="XR54" s="12"/>
      <c r="XS54" s="12"/>
      <c r="XT54" s="12"/>
      <c r="XU54" s="12"/>
      <c r="XV54" s="12"/>
      <c r="XW54" s="12"/>
      <c r="XX54" s="12"/>
      <c r="XY54" s="12"/>
      <c r="XZ54" s="12"/>
      <c r="YA54" s="12"/>
      <c r="YB54" s="12"/>
      <c r="YC54" s="12"/>
      <c r="YD54" s="12"/>
      <c r="YE54" s="12"/>
      <c r="YF54" s="12"/>
      <c r="YG54" s="12"/>
      <c r="YH54" s="12"/>
      <c r="YI54" s="12"/>
      <c r="YJ54" s="12"/>
      <c r="YK54" s="12"/>
      <c r="YL54" s="12"/>
      <c r="YM54" s="12"/>
      <c r="YN54" s="12"/>
      <c r="YO54" s="12"/>
      <c r="YP54" s="12"/>
      <c r="YQ54" s="12"/>
      <c r="YR54" s="12"/>
      <c r="YS54" s="12"/>
      <c r="YT54" s="12"/>
      <c r="YU54" s="12"/>
      <c r="YV54" s="12"/>
      <c r="YW54" s="12"/>
      <c r="YX54" s="12"/>
      <c r="YY54" s="12"/>
      <c r="YZ54" s="12"/>
      <c r="ZA54" s="12"/>
      <c r="ZB54" s="12"/>
      <c r="ZC54" s="12"/>
      <c r="ZD54" s="12"/>
      <c r="ZE54" s="12"/>
      <c r="ZF54" s="12"/>
      <c r="ZG54" s="12"/>
      <c r="ZH54" s="12"/>
      <c r="ZI54" s="12"/>
      <c r="ZJ54" s="12"/>
      <c r="ZK54" s="12"/>
      <c r="ZL54" s="12"/>
      <c r="ZM54" s="12"/>
      <c r="ZN54" s="12"/>
      <c r="ZO54" s="12"/>
      <c r="ZP54" s="12"/>
      <c r="ZQ54" s="12"/>
      <c r="ZR54" s="12"/>
      <c r="ZS54" s="12"/>
      <c r="ZT54" s="12"/>
      <c r="ZU54" s="12"/>
      <c r="ZV54" s="12"/>
      <c r="ZW54" s="12"/>
      <c r="ZX54" s="12"/>
      <c r="ZY54" s="12"/>
      <c r="ZZ54" s="12"/>
      <c r="AAA54" s="12"/>
      <c r="AAB54" s="12"/>
      <c r="AAC54" s="12"/>
      <c r="AAD54" s="12"/>
      <c r="AAE54" s="12"/>
      <c r="AAF54" s="12"/>
      <c r="AAG54" s="12"/>
      <c r="AAH54" s="12"/>
      <c r="AAI54" s="12"/>
      <c r="AAJ54" s="12"/>
      <c r="AAK54" s="12"/>
      <c r="AAL54" s="12"/>
      <c r="AAM54" s="12"/>
      <c r="AAN54" s="12"/>
      <c r="AAO54" s="12"/>
      <c r="AAP54" s="12"/>
      <c r="AAQ54" s="12"/>
      <c r="AAR54" s="12"/>
      <c r="AAS54" s="12"/>
      <c r="AAT54" s="12"/>
      <c r="AAU54" s="12"/>
      <c r="AAV54" s="12"/>
      <c r="AAW54" s="12"/>
      <c r="AAX54" s="12"/>
      <c r="AAY54" s="12"/>
      <c r="AAZ54" s="12"/>
      <c r="ABA54" s="12"/>
      <c r="ABB54" s="12"/>
      <c r="ABC54" s="12"/>
      <c r="ABD54" s="12"/>
      <c r="ABE54" s="12"/>
      <c r="ABF54" s="12"/>
      <c r="ABG54" s="12"/>
      <c r="ABH54" s="12"/>
      <c r="ABI54" s="12"/>
      <c r="ABJ54" s="12"/>
      <c r="ABK54" s="12"/>
      <c r="ABL54" s="12"/>
      <c r="ABM54" s="12"/>
      <c r="ABN54" s="12"/>
      <c r="ABO54" s="12"/>
      <c r="ABP54" s="12"/>
      <c r="ABQ54" s="12"/>
      <c r="ABR54" s="12"/>
      <c r="ABS54" s="12"/>
      <c r="ABT54" s="12"/>
      <c r="ABU54" s="12"/>
      <c r="ABV54" s="12"/>
      <c r="ABW54" s="12"/>
      <c r="ABX54" s="12"/>
      <c r="ABY54" s="12"/>
      <c r="ABZ54" s="12"/>
      <c r="ACA54" s="12"/>
      <c r="ACB54" s="12"/>
      <c r="ACC54" s="12"/>
      <c r="ACD54" s="12"/>
      <c r="ACE54" s="12"/>
      <c r="ACF54" s="12"/>
      <c r="ACG54" s="12"/>
      <c r="ACH54" s="12"/>
      <c r="ACI54" s="12"/>
      <c r="ACJ54" s="12"/>
      <c r="ACK54" s="12"/>
      <c r="ACL54" s="12"/>
      <c r="ACM54" s="12"/>
      <c r="ACN54" s="12"/>
      <c r="ACO54" s="12"/>
      <c r="ACP54" s="12"/>
      <c r="ACQ54" s="12"/>
      <c r="ACR54" s="12"/>
      <c r="ACS54" s="12"/>
      <c r="ACT54" s="12"/>
      <c r="ACU54" s="12"/>
      <c r="ACV54" s="12"/>
      <c r="ACW54" s="12"/>
      <c r="ACX54" s="12"/>
      <c r="ACY54" s="12"/>
      <c r="ACZ54" s="12"/>
      <c r="ADA54" s="12"/>
      <c r="ADB54" s="12"/>
      <c r="ADC54" s="12"/>
      <c r="ADD54" s="12"/>
      <c r="ADE54" s="12"/>
      <c r="ADF54" s="12"/>
      <c r="ADG54" s="12"/>
      <c r="ADH54" s="12"/>
      <c r="ADI54" s="12"/>
      <c r="ADJ54" s="12"/>
      <c r="ADK54" s="12"/>
      <c r="ADL54" s="12"/>
      <c r="ADM54" s="12"/>
      <c r="ADN54" s="12"/>
      <c r="ADO54" s="12"/>
      <c r="ADP54" s="12"/>
      <c r="ADQ54" s="12"/>
      <c r="ADR54" s="12"/>
      <c r="ADS54" s="12"/>
      <c r="ADT54" s="12"/>
      <c r="ADU54" s="12"/>
      <c r="ADV54" s="12"/>
      <c r="ADW54" s="12"/>
      <c r="ADX54" s="12"/>
      <c r="ADY54" s="12"/>
      <c r="ADZ54" s="12"/>
      <c r="AEA54" s="12"/>
      <c r="AEB54" s="12"/>
      <c r="AEC54" s="12"/>
      <c r="AED54" s="12"/>
      <c r="AEE54" s="12"/>
      <c r="AEF54" s="12"/>
      <c r="AEG54" s="12"/>
      <c r="AEH54" s="12"/>
      <c r="AEI54" s="12"/>
      <c r="AEJ54" s="12"/>
      <c r="AEK54" s="12"/>
      <c r="AEL54" s="12"/>
      <c r="AEM54" s="12"/>
      <c r="AEN54" s="12"/>
      <c r="AEO54" s="12"/>
      <c r="AEP54" s="12"/>
      <c r="AEQ54" s="12"/>
      <c r="AER54" s="12"/>
      <c r="AES54" s="12"/>
      <c r="AET54" s="12"/>
      <c r="AEU54" s="12"/>
      <c r="AEV54" s="12"/>
      <c r="AEW54" s="12"/>
      <c r="AEX54" s="12"/>
      <c r="AEY54" s="12"/>
      <c r="AEZ54" s="12"/>
      <c r="AFA54" s="12"/>
      <c r="AFB54" s="12"/>
      <c r="AFC54" s="12"/>
      <c r="AFD54" s="12"/>
      <c r="AFE54" s="12"/>
      <c r="AFF54" s="12"/>
      <c r="AFG54" s="12"/>
      <c r="AFH54" s="12"/>
      <c r="AFI54" s="12"/>
      <c r="AFJ54" s="12"/>
      <c r="AFK54" s="12"/>
      <c r="AFL54" s="12"/>
      <c r="AFM54" s="12"/>
      <c r="AFN54" s="12"/>
      <c r="AFO54" s="12"/>
      <c r="AFP54" s="12"/>
      <c r="AFQ54" s="12"/>
      <c r="AFR54" s="12"/>
      <c r="AFS54" s="12"/>
      <c r="AFT54" s="12"/>
      <c r="AFU54" s="12"/>
      <c r="AFV54" s="12"/>
      <c r="AFW54" s="12"/>
      <c r="AFX54" s="12"/>
      <c r="AFY54" s="12"/>
      <c r="AFZ54" s="12"/>
      <c r="AGA54" s="12"/>
      <c r="AGB54" s="12"/>
      <c r="AGC54" s="12"/>
      <c r="AGD54" s="12"/>
      <c r="AGE54" s="12"/>
      <c r="AGF54" s="12"/>
      <c r="AGG54" s="12"/>
      <c r="AGH54" s="12"/>
      <c r="AGI54" s="12"/>
      <c r="AGJ54" s="12"/>
      <c r="AGK54" s="12"/>
      <c r="AGL54" s="12"/>
      <c r="AGM54" s="12"/>
      <c r="AGN54" s="12"/>
      <c r="AGO54" s="12"/>
      <c r="AGP54" s="12"/>
      <c r="AGQ54" s="12"/>
      <c r="AGR54" s="12"/>
      <c r="AGS54" s="12"/>
      <c r="AGT54" s="12"/>
      <c r="AGU54" s="12"/>
      <c r="AGV54" s="12"/>
      <c r="AGW54" s="12"/>
      <c r="AGX54" s="12"/>
      <c r="AGY54" s="12"/>
      <c r="AGZ54" s="12"/>
      <c r="AHA54" s="12"/>
      <c r="AHB54" s="12"/>
      <c r="AHC54" s="12"/>
      <c r="AHD54" s="12"/>
      <c r="AHE54" s="12"/>
      <c r="AHF54" s="12"/>
      <c r="AHG54" s="12"/>
      <c r="AHH54" s="12"/>
      <c r="AHI54" s="12"/>
      <c r="AHJ54" s="12"/>
      <c r="AHK54" s="12"/>
      <c r="AHL54" s="12"/>
      <c r="AHM54" s="12"/>
      <c r="AHN54" s="12"/>
      <c r="AHO54" s="12"/>
      <c r="AHP54" s="12"/>
      <c r="AHQ54" s="12"/>
      <c r="AHR54" s="12"/>
      <c r="AHS54" s="12"/>
      <c r="AHT54" s="12"/>
      <c r="AHU54" s="12"/>
      <c r="AHV54" s="12"/>
      <c r="AHW54" s="12"/>
      <c r="AHX54" s="12"/>
      <c r="AHY54" s="12"/>
      <c r="AHZ54" s="12"/>
      <c r="AIA54" s="12"/>
      <c r="AIB54" s="12"/>
      <c r="AIC54" s="12"/>
      <c r="AID54" s="12"/>
      <c r="AIE54" s="12"/>
      <c r="AIF54" s="12"/>
      <c r="AIG54" s="12"/>
      <c r="AIH54" s="12"/>
      <c r="AII54" s="12"/>
      <c r="AIJ54" s="12"/>
      <c r="AIK54" s="12"/>
      <c r="AIL54" s="12"/>
      <c r="AIM54" s="12"/>
      <c r="AIN54" s="12"/>
      <c r="AIO54" s="12"/>
      <c r="AIP54" s="12"/>
      <c r="AIQ54" s="12"/>
      <c r="AIR54" s="12"/>
      <c r="AIS54" s="12"/>
      <c r="AIT54" s="12"/>
      <c r="AIU54" s="12"/>
      <c r="AIV54" s="12"/>
      <c r="AIW54" s="12"/>
      <c r="AIX54" s="12"/>
      <c r="AIY54" s="12"/>
      <c r="AIZ54" s="12"/>
      <c r="AJA54" s="12"/>
      <c r="AJB54" s="12"/>
      <c r="AJC54" s="12"/>
      <c r="AJD54" s="12"/>
      <c r="AJE54" s="12"/>
      <c r="AJF54" s="12"/>
      <c r="AJG54" s="12"/>
      <c r="AJH54" s="12"/>
      <c r="AJI54" s="12"/>
      <c r="AJJ54" s="12"/>
      <c r="AJK54" s="12"/>
      <c r="AJL54" s="12"/>
      <c r="AJM54" s="12"/>
      <c r="AJN54" s="12"/>
      <c r="AJO54" s="12"/>
      <c r="AJP54" s="12"/>
      <c r="AJQ54" s="12"/>
      <c r="AJR54" s="12"/>
      <c r="AJS54" s="12"/>
      <c r="AJT54" s="12"/>
      <c r="AJU54" s="12"/>
      <c r="AJV54" s="12"/>
      <c r="AJW54" s="12"/>
      <c r="AJX54" s="12"/>
      <c r="AJY54" s="12"/>
      <c r="AJZ54" s="12"/>
      <c r="AKA54" s="12"/>
      <c r="AKB54" s="12"/>
      <c r="AKC54" s="12"/>
      <c r="AKD54" s="12"/>
      <c r="AKE54" s="12"/>
      <c r="AKF54" s="12"/>
      <c r="AKG54" s="12"/>
      <c r="AKH54" s="12"/>
      <c r="AKI54" s="12"/>
      <c r="AKJ54" s="12"/>
      <c r="AKK54" s="12"/>
      <c r="AKL54" s="12"/>
      <c r="AKM54" s="12"/>
      <c r="AKN54" s="12"/>
      <c r="AKO54" s="12"/>
      <c r="AKP54" s="12"/>
      <c r="AKQ54" s="12"/>
      <c r="AKR54" s="12"/>
      <c r="AKS54" s="12"/>
      <c r="AKT54" s="12"/>
      <c r="AKU54" s="12"/>
      <c r="AKV54" s="12"/>
      <c r="AKW54" s="12"/>
      <c r="AKX54" s="12"/>
      <c r="AKY54" s="12"/>
      <c r="AKZ54" s="12"/>
      <c r="ALA54" s="12"/>
      <c r="ALB54" s="12"/>
      <c r="ALC54" s="12"/>
      <c r="ALD54" s="12"/>
      <c r="ALE54" s="12"/>
      <c r="ALF54" s="12"/>
      <c r="ALG54" s="12"/>
      <c r="ALH54" s="12"/>
      <c r="ALI54" s="12"/>
      <c r="ALJ54" s="12"/>
      <c r="ALK54" s="12"/>
      <c r="ALL54" s="12"/>
      <c r="ALM54" s="12"/>
      <c r="ALN54" s="12"/>
      <c r="ALO54" s="12"/>
      <c r="ALP54" s="12"/>
      <c r="ALQ54" s="12"/>
      <c r="ALR54" s="12"/>
      <c r="ALS54" s="12"/>
      <c r="ALT54" s="12"/>
      <c r="ALU54" s="12"/>
      <c r="ALV54" s="12"/>
      <c r="ALW54" s="12"/>
      <c r="ALX54" s="12"/>
      <c r="ALY54" s="12"/>
      <c r="ALZ54" s="12"/>
      <c r="AMA54" s="12"/>
      <c r="AMB54" s="12"/>
      <c r="AMC54" s="12"/>
      <c r="AMD54" s="12"/>
      <c r="AME54" s="12"/>
      <c r="AMF54" s="12"/>
      <c r="AMG54" s="12"/>
      <c r="AMH54" s="12"/>
      <c r="AMI54" s="12"/>
      <c r="AMJ54" s="12"/>
      <c r="AMK54" s="12"/>
      <c r="AML54" s="12"/>
      <c r="AMM54" s="12"/>
      <c r="AMN54" s="12"/>
      <c r="AMO54" s="12"/>
      <c r="AMP54" s="12"/>
      <c r="AMQ54" s="12"/>
      <c r="AMR54" s="12"/>
      <c r="AMS54" s="12"/>
      <c r="AMT54" s="12"/>
      <c r="AMU54" s="12"/>
      <c r="AMV54" s="12"/>
      <c r="AMW54" s="12"/>
      <c r="AMX54" s="12"/>
      <c r="AMY54" s="12"/>
      <c r="AMZ54" s="12"/>
      <c r="ANA54" s="12"/>
      <c r="ANB54" s="12"/>
      <c r="ANC54" s="12"/>
      <c r="AND54" s="12"/>
      <c r="ANE54" s="12"/>
      <c r="ANF54" s="12"/>
      <c r="ANG54" s="12"/>
      <c r="ANH54" s="12"/>
      <c r="ANI54" s="12"/>
      <c r="ANJ54" s="12"/>
      <c r="ANK54" s="12"/>
      <c r="ANL54" s="12"/>
      <c r="ANM54" s="12"/>
      <c r="ANN54" s="12"/>
      <c r="ANO54" s="12"/>
      <c r="ANP54" s="12"/>
      <c r="ANQ54" s="12"/>
      <c r="ANR54" s="12"/>
      <c r="ANS54" s="12"/>
      <c r="ANT54" s="12"/>
      <c r="ANU54" s="12"/>
      <c r="ANV54" s="12"/>
      <c r="ANW54" s="12"/>
      <c r="ANX54" s="12"/>
      <c r="ANY54" s="12"/>
      <c r="ANZ54" s="12"/>
      <c r="AOA54" s="12"/>
      <c r="AOB54" s="12"/>
      <c r="AOC54" s="12"/>
      <c r="AOD54" s="12"/>
      <c r="AOE54" s="12"/>
      <c r="AOF54" s="12"/>
      <c r="AOG54" s="12"/>
      <c r="AOH54" s="12"/>
      <c r="AOI54" s="12"/>
      <c r="AOJ54" s="12"/>
      <c r="AOK54" s="12"/>
      <c r="AOL54" s="12"/>
      <c r="AOM54" s="12"/>
      <c r="AON54" s="12"/>
      <c r="AOO54" s="12"/>
      <c r="AOP54" s="12"/>
      <c r="AOQ54" s="12"/>
      <c r="AOR54" s="12"/>
      <c r="AOS54" s="12"/>
      <c r="AOT54" s="12"/>
      <c r="AOU54" s="12"/>
      <c r="AOV54" s="12"/>
      <c r="AOW54" s="12"/>
      <c r="AOX54" s="12"/>
      <c r="AOY54" s="12"/>
      <c r="AOZ54" s="12"/>
      <c r="APA54" s="12"/>
      <c r="APB54" s="12"/>
      <c r="APC54" s="12"/>
      <c r="APD54" s="12"/>
      <c r="APE54" s="12"/>
      <c r="APF54" s="12"/>
      <c r="APG54" s="12"/>
      <c r="APH54" s="12"/>
      <c r="API54" s="12"/>
      <c r="APJ54" s="12"/>
      <c r="APK54" s="12"/>
      <c r="APL54" s="12"/>
      <c r="APM54" s="12"/>
      <c r="APN54" s="12"/>
      <c r="APO54" s="12"/>
      <c r="APP54" s="12"/>
      <c r="APQ54" s="12"/>
      <c r="APR54" s="12"/>
      <c r="APS54" s="12"/>
      <c r="APT54" s="12"/>
      <c r="APU54" s="12"/>
      <c r="APV54" s="12"/>
      <c r="APW54" s="12"/>
      <c r="APX54" s="12"/>
      <c r="APY54" s="12"/>
      <c r="APZ54" s="12"/>
      <c r="AQA54" s="12"/>
      <c r="AQB54" s="12"/>
      <c r="AQC54" s="12"/>
      <c r="AQD54" s="12"/>
      <c r="AQE54" s="12"/>
      <c r="AQF54" s="12"/>
      <c r="AQG54" s="12"/>
      <c r="AQH54" s="12"/>
      <c r="AQI54" s="12"/>
      <c r="AQJ54" s="12"/>
      <c r="AQK54" s="12"/>
      <c r="AQL54" s="12"/>
      <c r="AQM54" s="12"/>
      <c r="AQN54" s="12"/>
      <c r="AQO54" s="12"/>
      <c r="AQP54" s="12"/>
      <c r="AQQ54" s="12"/>
      <c r="AQR54" s="12"/>
      <c r="AQS54" s="12"/>
      <c r="AQT54" s="12"/>
      <c r="AQU54" s="12"/>
      <c r="AQV54" s="12"/>
      <c r="AQW54" s="12"/>
      <c r="AQX54" s="12"/>
      <c r="AQY54" s="12"/>
      <c r="AQZ54" s="12"/>
      <c r="ARA54" s="12"/>
      <c r="ARB54" s="12"/>
      <c r="ARC54" s="12"/>
      <c r="ARD54" s="12"/>
      <c r="ARE54" s="12"/>
      <c r="ARF54" s="12"/>
      <c r="ARG54" s="12"/>
      <c r="ARH54" s="12"/>
      <c r="ARI54" s="12"/>
      <c r="ARJ54" s="12"/>
      <c r="ARK54" s="12"/>
      <c r="ARL54" s="12"/>
      <c r="ARM54" s="12"/>
      <c r="ARN54" s="12"/>
      <c r="ARO54" s="12"/>
      <c r="ARP54" s="12"/>
      <c r="ARQ54" s="12"/>
      <c r="ARR54" s="12"/>
      <c r="ARS54" s="12"/>
      <c r="ART54" s="12"/>
      <c r="ARU54" s="12"/>
      <c r="ARV54" s="12"/>
      <c r="ARW54" s="12"/>
      <c r="ARX54" s="12"/>
      <c r="ARY54" s="12"/>
      <c r="ARZ54" s="12"/>
      <c r="ASA54" s="12"/>
      <c r="ASB54" s="12"/>
      <c r="ASC54" s="12"/>
      <c r="ASD54" s="12"/>
      <c r="ASE54" s="12"/>
      <c r="ASF54" s="12"/>
      <c r="ASG54" s="12"/>
      <c r="ASH54" s="12"/>
      <c r="ASI54" s="12"/>
      <c r="ASJ54" s="12"/>
      <c r="ASK54" s="12"/>
      <c r="ASL54" s="12"/>
      <c r="ASM54" s="12"/>
      <c r="ASN54" s="12"/>
      <c r="ASO54" s="12"/>
      <c r="ASP54" s="12"/>
      <c r="ASQ54" s="12"/>
      <c r="ASR54" s="12"/>
      <c r="ASS54" s="12"/>
      <c r="AST54" s="12"/>
      <c r="ASU54" s="12"/>
      <c r="ASV54" s="12"/>
      <c r="ASW54" s="12"/>
      <c r="ASX54" s="12"/>
      <c r="ASY54" s="12"/>
      <c r="ASZ54" s="12"/>
      <c r="ATA54" s="12"/>
      <c r="ATB54" s="12"/>
      <c r="ATC54" s="12"/>
      <c r="ATD54" s="12"/>
      <c r="ATE54" s="12"/>
      <c r="ATF54" s="12"/>
      <c r="ATG54" s="12"/>
      <c r="ATH54" s="12"/>
      <c r="ATI54" s="12"/>
      <c r="ATJ54" s="12"/>
      <c r="ATK54" s="12"/>
      <c r="ATL54" s="12"/>
      <c r="ATM54" s="12"/>
      <c r="ATN54" s="12"/>
      <c r="ATO54" s="12"/>
      <c r="ATP54" s="12"/>
      <c r="ATQ54" s="12"/>
      <c r="ATR54" s="12"/>
      <c r="ATS54" s="12"/>
      <c r="ATT54" s="12"/>
      <c r="ATU54" s="12"/>
      <c r="ATV54" s="12"/>
      <c r="ATW54" s="12"/>
      <c r="ATX54" s="12"/>
      <c r="ATY54" s="12"/>
      <c r="ATZ54" s="12"/>
      <c r="AUA54" s="12"/>
      <c r="AUB54" s="12"/>
      <c r="AUC54" s="12"/>
      <c r="AUD54" s="12"/>
      <c r="AUE54" s="12"/>
      <c r="AUF54" s="12"/>
      <c r="AUG54" s="12"/>
      <c r="AUH54" s="12"/>
      <c r="AUI54" s="12"/>
      <c r="AUJ54" s="12"/>
      <c r="AUK54" s="12"/>
      <c r="AUL54" s="12"/>
      <c r="AUM54" s="12"/>
      <c r="AUN54" s="12"/>
      <c r="AUO54" s="12"/>
      <c r="AUP54" s="12"/>
      <c r="AUQ54" s="12"/>
      <c r="AUR54" s="12"/>
      <c r="AUS54" s="12"/>
      <c r="AUT54" s="12"/>
      <c r="AUU54" s="12"/>
      <c r="AUV54" s="12"/>
      <c r="AUW54" s="12"/>
      <c r="AUX54" s="12"/>
      <c r="AUY54" s="12"/>
      <c r="AUZ54" s="12"/>
      <c r="AVA54" s="12"/>
      <c r="AVB54" s="12"/>
      <c r="AVC54" s="12"/>
      <c r="AVD54" s="12"/>
      <c r="AVE54" s="12"/>
      <c r="AVF54" s="12"/>
      <c r="AVG54" s="12"/>
      <c r="AVH54" s="12"/>
      <c r="AVI54" s="12"/>
      <c r="AVJ54" s="12"/>
      <c r="AVK54" s="12"/>
      <c r="AVL54" s="12"/>
      <c r="AVM54" s="12"/>
      <c r="AVN54" s="12"/>
      <c r="AVO54" s="12"/>
      <c r="AVP54" s="12"/>
      <c r="AVQ54" s="12"/>
      <c r="AVR54" s="12"/>
      <c r="AVS54" s="12"/>
      <c r="AVT54" s="12"/>
      <c r="AVU54" s="12"/>
      <c r="AVV54" s="12"/>
      <c r="AVW54" s="12"/>
      <c r="AVX54" s="12"/>
      <c r="AVY54" s="12"/>
      <c r="AVZ54" s="12"/>
      <c r="AWA54" s="12"/>
      <c r="AWB54" s="12"/>
      <c r="AWC54" s="12"/>
      <c r="AWD54" s="12"/>
      <c r="AWE54" s="12"/>
      <c r="AWF54" s="12"/>
      <c r="AWG54" s="12"/>
      <c r="AWH54" s="12"/>
      <c r="AWI54" s="12"/>
      <c r="AWJ54" s="12"/>
      <c r="AWK54" s="12"/>
      <c r="AWL54" s="12"/>
      <c r="AWM54" s="12"/>
      <c r="AWN54" s="12"/>
      <c r="AWO54" s="12"/>
      <c r="AWP54" s="12"/>
      <c r="AWQ54" s="12"/>
      <c r="AWR54" s="12"/>
      <c r="AWS54" s="12"/>
      <c r="AWT54" s="12"/>
      <c r="AWU54" s="12"/>
      <c r="AWV54" s="12"/>
      <c r="AWW54" s="12"/>
      <c r="AWX54" s="12"/>
      <c r="AWY54" s="12"/>
      <c r="AWZ54" s="12"/>
      <c r="AXA54" s="12"/>
      <c r="AXB54" s="12"/>
      <c r="AXC54" s="12"/>
      <c r="AXD54" s="12"/>
      <c r="AXE54" s="12"/>
      <c r="AXF54" s="12"/>
      <c r="AXG54" s="12"/>
      <c r="AXH54" s="12"/>
      <c r="AXI54" s="12"/>
      <c r="AXJ54" s="12"/>
      <c r="AXK54" s="12"/>
      <c r="AXL54" s="12"/>
      <c r="AXM54" s="12"/>
      <c r="AXN54" s="12"/>
      <c r="AXO54" s="12"/>
      <c r="AXP54" s="12"/>
      <c r="AXQ54" s="12"/>
      <c r="AXR54" s="12"/>
      <c r="AXS54" s="12"/>
      <c r="AXT54" s="12"/>
      <c r="AXU54" s="12"/>
      <c r="AXV54" s="12"/>
      <c r="AXW54" s="12"/>
      <c r="AXX54" s="12"/>
      <c r="AXY54" s="12"/>
      <c r="AXZ54" s="12"/>
      <c r="AYA54" s="12"/>
      <c r="AYB54" s="12"/>
      <c r="AYC54" s="12"/>
      <c r="AYD54" s="12"/>
      <c r="AYE54" s="12"/>
      <c r="AYF54" s="12"/>
      <c r="AYG54" s="12"/>
      <c r="AYH54" s="12"/>
      <c r="AYI54" s="12"/>
      <c r="AYJ54" s="12"/>
      <c r="AYK54" s="12"/>
      <c r="AYL54" s="12"/>
      <c r="AYM54" s="12"/>
      <c r="AYN54" s="12"/>
      <c r="AYO54" s="12"/>
      <c r="AYP54" s="12"/>
      <c r="AYQ54" s="12"/>
      <c r="AYR54" s="12"/>
      <c r="AYS54" s="12"/>
      <c r="AYT54" s="12"/>
      <c r="AYU54" s="12"/>
      <c r="AYV54" s="12"/>
      <c r="AYW54" s="12"/>
      <c r="AYX54" s="12"/>
      <c r="AYY54" s="12"/>
      <c r="AYZ54" s="12"/>
      <c r="AZA54" s="12"/>
      <c r="AZB54" s="12"/>
      <c r="AZC54" s="12"/>
      <c r="AZD54" s="12"/>
      <c r="AZE54" s="12"/>
      <c r="AZF54" s="12"/>
      <c r="AZG54" s="12"/>
      <c r="AZH54" s="12"/>
      <c r="AZI54" s="12"/>
      <c r="AZJ54" s="12"/>
      <c r="AZK54" s="12"/>
      <c r="AZL54" s="12"/>
      <c r="AZM54" s="12"/>
      <c r="AZN54" s="12"/>
      <c r="AZO54" s="12"/>
      <c r="AZP54" s="12"/>
      <c r="AZQ54" s="12"/>
      <c r="AZR54" s="12"/>
      <c r="AZS54" s="12"/>
      <c r="AZT54" s="12"/>
      <c r="AZU54" s="12"/>
      <c r="AZV54" s="12"/>
      <c r="AZW54" s="12"/>
      <c r="AZX54" s="12"/>
      <c r="AZY54" s="12"/>
      <c r="AZZ54" s="12"/>
      <c r="BAA54" s="12"/>
      <c r="BAB54" s="12"/>
      <c r="BAC54" s="12"/>
      <c r="BAD54" s="12"/>
      <c r="BAE54" s="12"/>
      <c r="BAF54" s="12"/>
      <c r="BAG54" s="12"/>
      <c r="BAH54" s="12"/>
      <c r="BAI54" s="12"/>
      <c r="BAJ54" s="12"/>
      <c r="BAK54" s="12"/>
      <c r="BAL54" s="12"/>
      <c r="BAM54" s="12"/>
      <c r="BAN54" s="12"/>
      <c r="BAO54" s="12"/>
      <c r="BAP54" s="12"/>
      <c r="BAQ54" s="12"/>
      <c r="BAR54" s="12"/>
      <c r="BAS54" s="12"/>
      <c r="BAT54" s="12"/>
      <c r="BAU54" s="12"/>
      <c r="BAV54" s="12"/>
      <c r="BAW54" s="12"/>
      <c r="BAX54" s="12"/>
      <c r="BAY54" s="12"/>
      <c r="BAZ54" s="12"/>
      <c r="BBA54" s="12"/>
      <c r="BBB54" s="12"/>
      <c r="BBC54" s="12"/>
      <c r="BBD54" s="12"/>
      <c r="BBE54" s="12"/>
      <c r="BBF54" s="12"/>
      <c r="BBG54" s="12"/>
      <c r="BBH54" s="12"/>
      <c r="BBI54" s="12"/>
      <c r="BBJ54" s="12"/>
      <c r="BBK54" s="12"/>
      <c r="BBL54" s="12"/>
      <c r="BBM54" s="12"/>
      <c r="BBN54" s="12"/>
      <c r="BBO54" s="12"/>
      <c r="BBP54" s="12"/>
      <c r="BBQ54" s="12"/>
      <c r="BBR54" s="12"/>
      <c r="BBS54" s="12"/>
      <c r="BBT54" s="12"/>
      <c r="BBU54" s="12"/>
      <c r="BBV54" s="12"/>
      <c r="BBW54" s="12"/>
      <c r="BBX54" s="12"/>
      <c r="BBY54" s="12"/>
      <c r="BBZ54" s="12"/>
      <c r="BCA54" s="12"/>
      <c r="BCB54" s="12"/>
      <c r="BCC54" s="12"/>
      <c r="BCD54" s="12"/>
      <c r="BCE54" s="12"/>
      <c r="BCF54" s="12"/>
      <c r="BCG54" s="12"/>
      <c r="BCH54" s="12"/>
      <c r="BCI54" s="12"/>
      <c r="BCJ54" s="12"/>
      <c r="BCK54" s="12"/>
      <c r="BCL54" s="12"/>
      <c r="BCM54" s="12"/>
      <c r="BCN54" s="12"/>
      <c r="BCO54" s="12"/>
      <c r="BCP54" s="12"/>
      <c r="BCQ54" s="12"/>
      <c r="BCR54" s="12"/>
      <c r="BCS54" s="12"/>
      <c r="BCT54" s="12"/>
      <c r="BCU54" s="12"/>
      <c r="BCV54" s="12"/>
      <c r="BCW54" s="12"/>
      <c r="BCX54" s="12"/>
      <c r="BCY54" s="12"/>
      <c r="BCZ54" s="12"/>
      <c r="BDA54" s="12"/>
      <c r="BDB54" s="12"/>
      <c r="BDC54" s="12"/>
      <c r="BDD54" s="12"/>
      <c r="BDE54" s="12"/>
      <c r="BDF54" s="12"/>
      <c r="BDG54" s="12"/>
      <c r="BDH54" s="12"/>
      <c r="BDI54" s="12"/>
      <c r="BDJ54" s="12"/>
      <c r="BDK54" s="12"/>
      <c r="BDL54" s="12"/>
      <c r="BDM54" s="12"/>
      <c r="BDN54" s="12"/>
      <c r="BDO54" s="12"/>
      <c r="BDP54" s="12"/>
      <c r="BDQ54" s="12"/>
      <c r="BDR54" s="12"/>
      <c r="BDS54" s="12"/>
      <c r="BDT54" s="12"/>
      <c r="BDU54" s="12"/>
      <c r="BDV54" s="12"/>
      <c r="BDW54" s="12"/>
      <c r="BDX54" s="12"/>
      <c r="BDY54" s="12"/>
      <c r="BDZ54" s="12"/>
      <c r="BEA54" s="12"/>
      <c r="BEB54" s="12"/>
      <c r="BEC54" s="12"/>
      <c r="BED54" s="12"/>
      <c r="BEE54" s="12"/>
      <c r="BEF54" s="12"/>
      <c r="BEG54" s="12"/>
      <c r="BEH54" s="12"/>
      <c r="BEI54" s="12"/>
      <c r="BEJ54" s="12"/>
      <c r="BEK54" s="12"/>
      <c r="BEL54" s="12"/>
      <c r="BEM54" s="12"/>
      <c r="BEN54" s="12"/>
      <c r="BEO54" s="12"/>
      <c r="BEP54" s="12"/>
      <c r="BEQ54" s="12"/>
      <c r="BER54" s="12"/>
      <c r="BES54" s="12"/>
      <c r="BET54" s="12"/>
      <c r="BEU54" s="12"/>
      <c r="BEV54" s="12"/>
      <c r="BEW54" s="12"/>
      <c r="BEX54" s="12"/>
      <c r="BEY54" s="12"/>
      <c r="BEZ54" s="12"/>
      <c r="BFA54" s="12"/>
      <c r="BFB54" s="12"/>
      <c r="BFC54" s="12"/>
      <c r="BFD54" s="12"/>
      <c r="BFE54" s="12"/>
      <c r="BFF54" s="12"/>
      <c r="BFG54" s="12"/>
      <c r="BFH54" s="12"/>
      <c r="BFI54" s="12"/>
      <c r="BFJ54" s="12"/>
      <c r="BFK54" s="12"/>
      <c r="BFL54" s="12"/>
      <c r="BFM54" s="12"/>
      <c r="BFN54" s="12"/>
      <c r="BFO54" s="12"/>
      <c r="BFP54" s="12"/>
      <c r="BFQ54" s="12"/>
      <c r="BFR54" s="12"/>
      <c r="BFS54" s="12"/>
      <c r="BFT54" s="12"/>
      <c r="BFU54" s="12"/>
      <c r="BFV54" s="12"/>
      <c r="BFW54" s="12"/>
      <c r="BFX54" s="12"/>
      <c r="BFY54" s="12"/>
      <c r="BFZ54" s="12"/>
      <c r="BGA54" s="12"/>
      <c r="BGB54" s="12"/>
      <c r="BGC54" s="12"/>
      <c r="BGD54" s="12"/>
      <c r="BGE54" s="12"/>
      <c r="BGF54" s="12"/>
      <c r="BGG54" s="12"/>
      <c r="BGH54" s="12"/>
      <c r="BGI54" s="12"/>
      <c r="BGJ54" s="12"/>
      <c r="BGK54" s="12"/>
      <c r="BGL54" s="12"/>
      <c r="BGM54" s="12"/>
      <c r="BGN54" s="12"/>
      <c r="BGO54" s="12"/>
      <c r="BGP54" s="12"/>
      <c r="BGQ54" s="12"/>
      <c r="BGR54" s="12"/>
      <c r="BGS54" s="12"/>
      <c r="BGT54" s="12"/>
      <c r="BGU54" s="12"/>
      <c r="BGV54" s="12"/>
      <c r="BGW54" s="12"/>
      <c r="BGX54" s="12"/>
      <c r="BGY54" s="12"/>
      <c r="BGZ54" s="12"/>
      <c r="BHA54" s="12"/>
      <c r="BHB54" s="12"/>
      <c r="BHC54" s="12"/>
      <c r="BHD54" s="12"/>
      <c r="BHE54" s="12"/>
      <c r="BHF54" s="12"/>
      <c r="BHG54" s="12"/>
      <c r="BHH54" s="12"/>
      <c r="BHI54" s="12"/>
      <c r="BHJ54" s="12"/>
      <c r="BHK54" s="12"/>
      <c r="BHL54" s="12"/>
      <c r="BHM54" s="12"/>
      <c r="BHN54" s="12"/>
      <c r="BHO54" s="12"/>
      <c r="BHP54" s="12"/>
      <c r="BHQ54" s="12"/>
      <c r="BHR54" s="12"/>
      <c r="BHS54" s="12"/>
      <c r="BHT54" s="12"/>
      <c r="BHU54" s="12"/>
      <c r="BHV54" s="12"/>
      <c r="BHW54" s="12"/>
      <c r="BHX54" s="12"/>
      <c r="BHY54" s="12"/>
      <c r="BHZ54" s="12"/>
      <c r="BIA54" s="12"/>
      <c r="BIB54" s="12"/>
      <c r="BIC54" s="12"/>
      <c r="BID54" s="12"/>
      <c r="BIE54" s="12"/>
      <c r="BIF54" s="12"/>
      <c r="BIG54" s="12"/>
      <c r="BIH54" s="12"/>
      <c r="BII54" s="12"/>
      <c r="BIJ54" s="12"/>
      <c r="BIK54" s="12"/>
      <c r="BIL54" s="12"/>
      <c r="BIM54" s="12"/>
      <c r="BIN54" s="12"/>
      <c r="BIO54" s="12"/>
      <c r="BIP54" s="12"/>
      <c r="BIQ54" s="12"/>
      <c r="BIR54" s="12"/>
      <c r="BIS54" s="12"/>
      <c r="BIT54" s="12"/>
      <c r="BIU54" s="12"/>
      <c r="BIV54" s="12"/>
      <c r="BIW54" s="12"/>
      <c r="BIX54" s="12"/>
      <c r="BIY54" s="12"/>
      <c r="BIZ54" s="12"/>
      <c r="BJA54" s="12"/>
      <c r="BJB54" s="12"/>
      <c r="BJC54" s="12"/>
      <c r="BJD54" s="12"/>
      <c r="BJE54" s="12"/>
      <c r="BJF54" s="12"/>
      <c r="BJG54" s="12"/>
      <c r="BJH54" s="12"/>
      <c r="BJI54" s="12"/>
      <c r="BJJ54" s="12"/>
      <c r="BJK54" s="12"/>
      <c r="BJL54" s="12"/>
      <c r="BJM54" s="12"/>
      <c r="BJN54" s="12"/>
      <c r="BJO54" s="12"/>
      <c r="BJP54" s="12"/>
      <c r="BJQ54" s="12"/>
      <c r="BJR54" s="12"/>
      <c r="BJS54" s="12"/>
      <c r="BJT54" s="12"/>
      <c r="BJU54" s="12"/>
      <c r="BJV54" s="12"/>
      <c r="BJW54" s="12"/>
      <c r="BJX54" s="12"/>
      <c r="BJY54" s="12"/>
      <c r="BJZ54" s="12"/>
      <c r="BKA54" s="12"/>
      <c r="BKB54" s="12"/>
      <c r="BKC54" s="12"/>
      <c r="BKD54" s="12"/>
      <c r="BKE54" s="12"/>
      <c r="BKF54" s="12"/>
      <c r="BKG54" s="12"/>
      <c r="BKH54" s="12"/>
      <c r="BKI54" s="12"/>
      <c r="BKJ54" s="12"/>
      <c r="BKK54" s="12"/>
      <c r="BKL54" s="12"/>
      <c r="BKM54" s="12"/>
      <c r="BKN54" s="12"/>
      <c r="BKO54" s="12"/>
      <c r="BKP54" s="12"/>
      <c r="BKQ54" s="12"/>
      <c r="BKR54" s="12"/>
      <c r="BKS54" s="12"/>
      <c r="BKT54" s="12"/>
      <c r="BKU54" s="12"/>
      <c r="BKV54" s="12"/>
      <c r="BKW54" s="12"/>
      <c r="BKX54" s="12"/>
      <c r="BKY54" s="12"/>
      <c r="BKZ54" s="12"/>
      <c r="BLA54" s="12"/>
      <c r="BLB54" s="12"/>
      <c r="BLC54" s="12"/>
      <c r="BLD54" s="12"/>
      <c r="BLE54" s="12"/>
      <c r="BLF54" s="12"/>
      <c r="BLG54" s="12"/>
      <c r="BLH54" s="12"/>
      <c r="BLI54" s="12"/>
      <c r="BLJ54" s="12"/>
      <c r="BLK54" s="12"/>
      <c r="BLL54" s="12"/>
      <c r="BLM54" s="12"/>
      <c r="BLN54" s="12"/>
      <c r="BLO54" s="12"/>
      <c r="BLP54" s="12"/>
      <c r="BLQ54" s="12"/>
      <c r="BLR54" s="12"/>
      <c r="BLS54" s="12"/>
      <c r="BLT54" s="12"/>
      <c r="BLU54" s="12"/>
      <c r="BLV54" s="12"/>
      <c r="BLW54" s="12"/>
      <c r="BLX54" s="12"/>
      <c r="BLY54" s="12"/>
      <c r="BLZ54" s="12"/>
      <c r="BMA54" s="12"/>
      <c r="BMB54" s="12"/>
      <c r="BMC54" s="12"/>
      <c r="BMD54" s="12"/>
      <c r="BME54" s="12"/>
      <c r="BMF54" s="12"/>
      <c r="BMG54" s="12"/>
      <c r="BMH54" s="12"/>
      <c r="BMI54" s="12"/>
      <c r="BMJ54" s="12"/>
      <c r="BMK54" s="12"/>
      <c r="BML54" s="12"/>
      <c r="BMM54" s="12"/>
      <c r="BMN54" s="12"/>
      <c r="BMO54" s="12"/>
      <c r="BMP54" s="12"/>
      <c r="BMQ54" s="12"/>
      <c r="BMR54" s="12"/>
      <c r="BMS54" s="12"/>
      <c r="BMT54" s="12"/>
      <c r="BMU54" s="12"/>
      <c r="BMV54" s="12"/>
      <c r="BMW54" s="12"/>
      <c r="BMX54" s="12"/>
      <c r="BMY54" s="12"/>
      <c r="BMZ54" s="12"/>
      <c r="BNA54" s="12"/>
      <c r="BNB54" s="12"/>
      <c r="BNC54" s="12"/>
      <c r="BND54" s="12"/>
      <c r="BNE54" s="12"/>
      <c r="BNF54" s="12"/>
      <c r="BNG54" s="12"/>
      <c r="BNH54" s="12"/>
      <c r="BNI54" s="12"/>
      <c r="BNJ54" s="12"/>
      <c r="BNK54" s="12"/>
      <c r="BNL54" s="12"/>
      <c r="BNM54" s="12"/>
      <c r="BNN54" s="12"/>
      <c r="BNO54" s="12"/>
      <c r="BNP54" s="12"/>
      <c r="BNQ54" s="12"/>
      <c r="BNR54" s="12"/>
      <c r="BNS54" s="12"/>
      <c r="BNT54" s="12"/>
      <c r="BNU54" s="12"/>
      <c r="BNV54" s="12"/>
      <c r="BNW54" s="12"/>
      <c r="BNX54" s="12"/>
      <c r="BNY54" s="12"/>
      <c r="BNZ54" s="12"/>
      <c r="BOA54" s="12"/>
      <c r="BOB54" s="12"/>
      <c r="BOC54" s="12"/>
      <c r="BOD54" s="12"/>
      <c r="BOE54" s="12"/>
      <c r="BOF54" s="12"/>
      <c r="BOG54" s="12"/>
      <c r="BOH54" s="12"/>
      <c r="BOI54" s="12"/>
      <c r="BOJ54" s="12"/>
      <c r="BOK54" s="12"/>
      <c r="BOL54" s="12"/>
      <c r="BOM54" s="12"/>
      <c r="BON54" s="12"/>
      <c r="BOO54" s="12"/>
      <c r="BOP54" s="12"/>
      <c r="BOQ54" s="12"/>
      <c r="BOR54" s="12"/>
      <c r="BOS54" s="12"/>
      <c r="BOT54" s="12"/>
      <c r="BOU54" s="12"/>
      <c r="BOV54" s="12"/>
      <c r="BOW54" s="12"/>
      <c r="BOX54" s="12"/>
      <c r="BOY54" s="12"/>
      <c r="BOZ54" s="12"/>
      <c r="BPA54" s="12"/>
      <c r="BPB54" s="12"/>
      <c r="BPC54" s="12"/>
      <c r="BPD54" s="12"/>
      <c r="BPE54" s="12"/>
      <c r="BPF54" s="12"/>
      <c r="BPG54" s="12"/>
      <c r="BPH54" s="12"/>
      <c r="BPI54" s="12"/>
      <c r="BPJ54" s="12"/>
      <c r="BPK54" s="12"/>
      <c r="BPL54" s="12"/>
      <c r="BPM54" s="12"/>
      <c r="BPN54" s="12"/>
      <c r="BPO54" s="12"/>
      <c r="BPP54" s="12"/>
      <c r="BPQ54" s="12"/>
      <c r="BPR54" s="12"/>
      <c r="BPS54" s="12"/>
      <c r="BPT54" s="12"/>
      <c r="BPU54" s="12"/>
      <c r="BPV54" s="12"/>
      <c r="BPW54" s="12"/>
      <c r="BPX54" s="12"/>
      <c r="BPY54" s="12"/>
      <c r="BPZ54" s="12"/>
      <c r="BQA54" s="12"/>
      <c r="BQB54" s="12"/>
      <c r="BQC54" s="12"/>
      <c r="BQD54" s="12"/>
      <c r="BQE54" s="12"/>
      <c r="BQF54" s="12"/>
      <c r="BQG54" s="12"/>
      <c r="BQH54" s="12"/>
      <c r="BQI54" s="12"/>
      <c r="BQJ54" s="12"/>
      <c r="BQK54" s="12"/>
      <c r="BQL54" s="12"/>
      <c r="BQM54" s="12"/>
      <c r="BQN54" s="12"/>
      <c r="BQO54" s="12"/>
      <c r="BQP54" s="12"/>
      <c r="BQQ54" s="12"/>
      <c r="BQR54" s="12"/>
      <c r="BQS54" s="12"/>
      <c r="BQT54" s="12"/>
      <c r="BQU54" s="12"/>
      <c r="BQV54" s="12"/>
      <c r="BQW54" s="12"/>
      <c r="BQX54" s="12"/>
      <c r="BQY54" s="12"/>
      <c r="BQZ54" s="12"/>
      <c r="BRA54" s="12"/>
      <c r="BRB54" s="12"/>
      <c r="BRC54" s="12"/>
      <c r="BRD54" s="12"/>
      <c r="BRE54" s="12"/>
      <c r="BRF54" s="12"/>
      <c r="BRG54" s="12"/>
      <c r="BRH54" s="12"/>
      <c r="BRI54" s="12"/>
      <c r="BRJ54" s="12"/>
      <c r="BRK54" s="12"/>
      <c r="BRL54" s="12"/>
      <c r="BRM54" s="12"/>
      <c r="BRN54" s="12"/>
      <c r="BRO54" s="12"/>
      <c r="BRP54" s="12"/>
      <c r="BRQ54" s="12"/>
      <c r="BRR54" s="12"/>
      <c r="BRS54" s="12"/>
      <c r="BRT54" s="12"/>
      <c r="BRU54" s="12"/>
      <c r="BRV54" s="12"/>
      <c r="BRW54" s="12"/>
      <c r="BRX54" s="12"/>
      <c r="BRY54" s="12"/>
      <c r="BRZ54" s="12"/>
      <c r="BSA54" s="12"/>
      <c r="BSB54" s="12"/>
      <c r="BSC54" s="12"/>
      <c r="BSD54" s="12"/>
      <c r="BSE54" s="12"/>
      <c r="BSF54" s="12"/>
      <c r="BSG54" s="12"/>
      <c r="BSH54" s="12"/>
      <c r="BSI54" s="12"/>
      <c r="BSJ54" s="12"/>
      <c r="BSK54" s="12"/>
      <c r="BSL54" s="12"/>
      <c r="BSM54" s="12"/>
      <c r="BSN54" s="12"/>
      <c r="BSO54" s="12"/>
      <c r="BSP54" s="12"/>
      <c r="BSQ54" s="12"/>
      <c r="BSR54" s="12"/>
      <c r="BSS54" s="12"/>
      <c r="BST54" s="12"/>
      <c r="BSU54" s="12"/>
      <c r="BSV54" s="12"/>
      <c r="BSW54" s="12"/>
      <c r="BSX54" s="12"/>
      <c r="BSY54" s="12"/>
      <c r="BSZ54" s="12"/>
      <c r="BTA54" s="12"/>
      <c r="BTB54" s="12"/>
      <c r="BTC54" s="12"/>
      <c r="BTD54" s="12"/>
      <c r="BTE54" s="12"/>
      <c r="BTF54" s="12"/>
      <c r="BTG54" s="12"/>
      <c r="BTH54" s="12"/>
      <c r="BTI54" s="12"/>
      <c r="BTJ54" s="12"/>
      <c r="BTK54" s="12"/>
      <c r="BTL54" s="12"/>
      <c r="BTM54" s="12"/>
      <c r="BTN54" s="12"/>
      <c r="BTO54" s="12"/>
      <c r="BTP54" s="12"/>
      <c r="BTQ54" s="12"/>
      <c r="BTR54" s="12"/>
      <c r="BTS54" s="12"/>
      <c r="BTT54" s="12"/>
      <c r="BTU54" s="12"/>
      <c r="BTV54" s="12"/>
      <c r="BTW54" s="12"/>
      <c r="BTX54" s="12"/>
      <c r="BTY54" s="12"/>
      <c r="BTZ54" s="12"/>
      <c r="BUA54" s="12"/>
      <c r="BUB54" s="12"/>
      <c r="BUC54" s="12"/>
      <c r="BUD54" s="12"/>
      <c r="BUE54" s="12"/>
      <c r="BUF54" s="12"/>
      <c r="BUG54" s="12"/>
      <c r="BUH54" s="12"/>
      <c r="BUI54" s="12"/>
      <c r="BUJ54" s="12"/>
      <c r="BUK54" s="12"/>
      <c r="BUL54" s="12"/>
      <c r="BUM54" s="12"/>
      <c r="BUN54" s="12"/>
      <c r="BUO54" s="12"/>
      <c r="BUP54" s="12"/>
      <c r="BUQ54" s="12"/>
      <c r="BUR54" s="12"/>
      <c r="BUS54" s="12"/>
      <c r="BUT54" s="12"/>
      <c r="BUU54" s="12"/>
      <c r="BUV54" s="12"/>
      <c r="BUW54" s="12"/>
      <c r="BUX54" s="12"/>
      <c r="BUY54" s="12"/>
      <c r="BUZ54" s="12"/>
      <c r="BVA54" s="12"/>
      <c r="BVB54" s="12"/>
      <c r="BVC54" s="12"/>
      <c r="BVD54" s="12"/>
      <c r="BVE54" s="12"/>
      <c r="BVF54" s="12"/>
      <c r="BVG54" s="12"/>
      <c r="BVH54" s="12"/>
      <c r="BVI54" s="12"/>
      <c r="BVJ54" s="12"/>
      <c r="BVK54" s="12"/>
      <c r="BVL54" s="12"/>
      <c r="BVM54" s="12"/>
      <c r="BVN54" s="12"/>
      <c r="BVO54" s="12"/>
      <c r="BVP54" s="12"/>
      <c r="BVQ54" s="12"/>
      <c r="BVR54" s="12"/>
      <c r="BVS54" s="12"/>
      <c r="BVT54" s="12"/>
      <c r="BVU54" s="12"/>
      <c r="BVV54" s="12"/>
      <c r="BVW54" s="12"/>
      <c r="BVX54" s="12"/>
      <c r="BVY54" s="12"/>
      <c r="BVZ54" s="12"/>
      <c r="BWA54" s="12"/>
      <c r="BWB54" s="12"/>
      <c r="BWC54" s="12"/>
      <c r="BWD54" s="12"/>
      <c r="BWE54" s="12"/>
      <c r="BWF54" s="12"/>
      <c r="BWG54" s="12"/>
      <c r="BWH54" s="12"/>
      <c r="BWI54" s="12"/>
      <c r="BWJ54" s="12"/>
      <c r="BWK54" s="12"/>
      <c r="BWL54" s="12"/>
      <c r="BWM54" s="12"/>
      <c r="BWN54" s="12"/>
      <c r="BWO54" s="12"/>
      <c r="BWP54" s="12"/>
      <c r="BWQ54" s="12"/>
      <c r="BWR54" s="12"/>
      <c r="BWS54" s="12"/>
      <c r="BWT54" s="12"/>
      <c r="BWU54" s="12"/>
      <c r="BWV54" s="12"/>
      <c r="BWW54" s="12"/>
      <c r="BWX54" s="12"/>
      <c r="BWY54" s="12"/>
      <c r="BWZ54" s="12"/>
      <c r="BXA54" s="12"/>
      <c r="BXB54" s="12"/>
      <c r="BXC54" s="12"/>
      <c r="BXD54" s="12"/>
      <c r="BXE54" s="12"/>
      <c r="BXF54" s="12"/>
      <c r="BXG54" s="12"/>
      <c r="BXH54" s="12"/>
      <c r="BXI54" s="12"/>
      <c r="BXJ54" s="12"/>
      <c r="BXK54" s="12"/>
      <c r="BXL54" s="12"/>
      <c r="BXM54" s="12"/>
      <c r="BXN54" s="12"/>
      <c r="BXO54" s="12"/>
      <c r="BXP54" s="12"/>
      <c r="BXQ54" s="12"/>
      <c r="BXR54" s="12"/>
      <c r="BXS54" s="12"/>
      <c r="BXT54" s="12"/>
      <c r="BXU54" s="12"/>
      <c r="BXV54" s="12"/>
      <c r="BXW54" s="12"/>
      <c r="BXX54" s="12"/>
      <c r="BXY54" s="12"/>
      <c r="BXZ54" s="12"/>
      <c r="BYA54" s="12"/>
      <c r="BYB54" s="12"/>
      <c r="BYC54" s="12"/>
      <c r="BYD54" s="12"/>
      <c r="BYE54" s="12"/>
      <c r="BYF54" s="12"/>
      <c r="BYG54" s="12"/>
      <c r="BYH54" s="12"/>
      <c r="BYI54" s="12"/>
      <c r="BYJ54" s="12"/>
      <c r="BYK54" s="12"/>
      <c r="BYL54" s="12"/>
      <c r="BYM54" s="12"/>
      <c r="BYN54" s="12"/>
      <c r="BYO54" s="12"/>
      <c r="BYP54" s="12"/>
      <c r="BYQ54" s="12"/>
      <c r="BYR54" s="12"/>
      <c r="BYS54" s="12"/>
      <c r="BYT54" s="12"/>
      <c r="BYU54" s="12"/>
      <c r="BYV54" s="12"/>
      <c r="BYW54" s="12"/>
      <c r="BYX54" s="12"/>
      <c r="BYY54" s="12"/>
      <c r="BYZ54" s="12"/>
      <c r="BZA54" s="12"/>
      <c r="BZB54" s="12"/>
      <c r="BZC54" s="12"/>
      <c r="BZD54" s="12"/>
      <c r="BZE54" s="12"/>
      <c r="BZF54" s="12"/>
      <c r="BZG54" s="12"/>
      <c r="BZH54" s="12"/>
      <c r="BZI54" s="12"/>
      <c r="BZJ54" s="12"/>
      <c r="BZK54" s="12"/>
      <c r="BZL54" s="12"/>
      <c r="BZM54" s="12"/>
      <c r="BZN54" s="12"/>
      <c r="BZO54" s="12"/>
      <c r="BZP54" s="12"/>
      <c r="BZQ54" s="12"/>
      <c r="BZR54" s="12"/>
      <c r="BZS54" s="12"/>
      <c r="BZT54" s="12"/>
      <c r="BZU54" s="12"/>
      <c r="BZV54" s="12"/>
      <c r="BZW54" s="12"/>
      <c r="BZX54" s="12"/>
      <c r="BZY54" s="12"/>
      <c r="BZZ54" s="12"/>
      <c r="CAA54" s="12"/>
      <c r="CAB54" s="12"/>
      <c r="CAC54" s="12"/>
      <c r="CAD54" s="12"/>
      <c r="CAE54" s="12"/>
      <c r="CAF54" s="12"/>
      <c r="CAG54" s="12"/>
      <c r="CAH54" s="12"/>
      <c r="CAI54" s="12"/>
      <c r="CAJ54" s="12"/>
      <c r="CAK54" s="12"/>
      <c r="CAL54" s="12"/>
      <c r="CAM54" s="12"/>
      <c r="CAN54" s="12"/>
      <c r="CAO54" s="12"/>
      <c r="CAP54" s="12"/>
      <c r="CAQ54" s="12"/>
      <c r="CAR54" s="12"/>
      <c r="CAS54" s="12"/>
      <c r="CAT54" s="12"/>
      <c r="CAU54" s="12"/>
      <c r="CAV54" s="12"/>
      <c r="CAW54" s="12"/>
      <c r="CAX54" s="12"/>
      <c r="CAY54" s="12"/>
      <c r="CAZ54" s="12"/>
      <c r="CBA54" s="12"/>
      <c r="CBB54" s="12"/>
      <c r="CBC54" s="12"/>
      <c r="CBD54" s="12"/>
      <c r="CBE54" s="12"/>
      <c r="CBF54" s="12"/>
      <c r="CBG54" s="12"/>
      <c r="CBH54" s="12"/>
      <c r="CBI54" s="12"/>
      <c r="CBJ54" s="12"/>
      <c r="CBK54" s="12"/>
      <c r="CBL54" s="12"/>
      <c r="CBM54" s="12"/>
      <c r="CBN54" s="12"/>
      <c r="CBO54" s="12"/>
      <c r="CBP54" s="12"/>
      <c r="CBQ54" s="12"/>
      <c r="CBR54" s="12"/>
      <c r="CBS54" s="12"/>
      <c r="CBT54" s="12"/>
      <c r="CBU54" s="12"/>
      <c r="CBV54" s="12"/>
      <c r="CBW54" s="12"/>
      <c r="CBX54" s="12"/>
      <c r="CBY54" s="12"/>
      <c r="CBZ54" s="12"/>
      <c r="CCA54" s="12"/>
      <c r="CCB54" s="12"/>
      <c r="CCC54" s="12"/>
      <c r="CCD54" s="12"/>
      <c r="CCE54" s="12"/>
      <c r="CCF54" s="12"/>
      <c r="CCG54" s="12"/>
      <c r="CCH54" s="12"/>
      <c r="CCI54" s="12"/>
      <c r="CCJ54" s="12"/>
      <c r="CCK54" s="12"/>
      <c r="CCL54" s="12"/>
      <c r="CCM54" s="12"/>
      <c r="CCN54" s="12"/>
      <c r="CCO54" s="12"/>
      <c r="CCP54" s="12"/>
      <c r="CCQ54" s="12"/>
      <c r="CCR54" s="12"/>
      <c r="CCS54" s="12"/>
      <c r="CCT54" s="12"/>
      <c r="CCU54" s="12"/>
      <c r="CCV54" s="12"/>
      <c r="CCW54" s="12"/>
      <c r="CCX54" s="12"/>
      <c r="CCY54" s="12"/>
      <c r="CCZ54" s="12"/>
      <c r="CDA54" s="12"/>
      <c r="CDB54" s="12"/>
      <c r="CDC54" s="12"/>
      <c r="CDD54" s="12"/>
      <c r="CDE54" s="12"/>
      <c r="CDF54" s="12"/>
      <c r="CDG54" s="12"/>
      <c r="CDH54" s="12"/>
      <c r="CDI54" s="12"/>
      <c r="CDJ54" s="12"/>
      <c r="CDK54" s="12"/>
      <c r="CDL54" s="12"/>
      <c r="CDM54" s="12"/>
      <c r="CDN54" s="12"/>
      <c r="CDO54" s="12"/>
      <c r="CDP54" s="12"/>
      <c r="CDQ54" s="12"/>
      <c r="CDR54" s="12"/>
      <c r="CDS54" s="12"/>
      <c r="CDT54" s="12"/>
      <c r="CDU54" s="12"/>
      <c r="CDV54" s="12"/>
      <c r="CDW54" s="12"/>
      <c r="CDX54" s="12"/>
      <c r="CDY54" s="12"/>
      <c r="CDZ54" s="12"/>
      <c r="CEA54" s="12"/>
      <c r="CEB54" s="12"/>
      <c r="CEC54" s="12"/>
      <c r="CED54" s="12"/>
      <c r="CEE54" s="12"/>
      <c r="CEF54" s="12"/>
      <c r="CEG54" s="12"/>
      <c r="CEH54" s="12"/>
      <c r="CEI54" s="12"/>
      <c r="CEJ54" s="12"/>
      <c r="CEK54" s="12"/>
      <c r="CEL54" s="12"/>
      <c r="CEM54" s="12"/>
      <c r="CEN54" s="12"/>
      <c r="CEO54" s="12"/>
      <c r="CEP54" s="12"/>
      <c r="CEQ54" s="12"/>
      <c r="CER54" s="12"/>
      <c r="CES54" s="12"/>
      <c r="CET54" s="12"/>
      <c r="CEU54" s="12"/>
      <c r="CEV54" s="12"/>
      <c r="CEW54" s="12"/>
      <c r="CEX54" s="12"/>
      <c r="CEY54" s="12"/>
      <c r="CEZ54" s="12"/>
      <c r="CFA54" s="12"/>
      <c r="CFB54" s="12"/>
      <c r="CFC54" s="12"/>
      <c r="CFD54" s="12"/>
      <c r="CFE54" s="12"/>
      <c r="CFF54" s="12"/>
      <c r="CFG54" s="12"/>
      <c r="CFH54" s="12"/>
      <c r="CFI54" s="12"/>
      <c r="CFJ54" s="12"/>
      <c r="CFK54" s="12"/>
      <c r="CFL54" s="12"/>
      <c r="CFM54" s="12"/>
      <c r="CFN54" s="12"/>
      <c r="CFO54" s="12"/>
      <c r="CFP54" s="12"/>
      <c r="CFQ54" s="12"/>
      <c r="CFR54" s="12"/>
      <c r="CFS54" s="12"/>
      <c r="CFT54" s="12"/>
      <c r="CFU54" s="12"/>
      <c r="CFV54" s="12"/>
      <c r="CFW54" s="12"/>
      <c r="CFX54" s="12"/>
      <c r="CFY54" s="12"/>
      <c r="CFZ54" s="12"/>
      <c r="CGA54" s="12"/>
      <c r="CGB54" s="12"/>
      <c r="CGC54" s="12"/>
      <c r="CGD54" s="12"/>
      <c r="CGE54" s="12"/>
      <c r="CGF54" s="12"/>
      <c r="CGG54" s="12"/>
      <c r="CGH54" s="12"/>
      <c r="CGI54" s="12"/>
      <c r="CGJ54" s="12"/>
      <c r="CGK54" s="12"/>
      <c r="CGL54" s="12"/>
      <c r="CGM54" s="12"/>
      <c r="CGN54" s="12"/>
      <c r="CGO54" s="12"/>
      <c r="CGP54" s="12"/>
      <c r="CGQ54" s="12"/>
      <c r="CGR54" s="12"/>
      <c r="CGS54" s="12"/>
      <c r="CGT54" s="12"/>
      <c r="CGU54" s="12"/>
      <c r="CGV54" s="12"/>
      <c r="CGW54" s="12"/>
      <c r="CGX54" s="12"/>
      <c r="CGY54" s="12"/>
      <c r="CGZ54" s="12"/>
      <c r="CHA54" s="12"/>
      <c r="CHB54" s="12"/>
      <c r="CHC54" s="12"/>
      <c r="CHD54" s="12"/>
      <c r="CHE54" s="12"/>
      <c r="CHF54" s="12"/>
      <c r="CHG54" s="12"/>
      <c r="CHH54" s="12"/>
      <c r="CHI54" s="12"/>
      <c r="CHJ54" s="12"/>
      <c r="CHK54" s="12"/>
      <c r="CHL54" s="12"/>
      <c r="CHM54" s="12"/>
      <c r="CHN54" s="12"/>
      <c r="CHO54" s="12"/>
      <c r="CHP54" s="12"/>
      <c r="CHQ54" s="12"/>
      <c r="CHR54" s="12"/>
      <c r="CHS54" s="12"/>
      <c r="CHT54" s="12"/>
      <c r="CHU54" s="12"/>
      <c r="CHV54" s="12"/>
      <c r="CHW54" s="12"/>
      <c r="CHX54" s="12"/>
      <c r="CHY54" s="12"/>
      <c r="CHZ54" s="12"/>
      <c r="CIA54" s="12"/>
      <c r="CIB54" s="12"/>
      <c r="CIC54" s="12"/>
      <c r="CID54" s="12"/>
      <c r="CIE54" s="12"/>
      <c r="CIF54" s="12"/>
      <c r="CIG54" s="12"/>
      <c r="CIH54" s="12"/>
      <c r="CII54" s="12"/>
      <c r="CIJ54" s="12"/>
      <c r="CIK54" s="12"/>
      <c r="CIL54" s="12"/>
      <c r="CIM54" s="12"/>
      <c r="CIN54" s="12"/>
      <c r="CIO54" s="12"/>
      <c r="CIP54" s="12"/>
      <c r="CIQ54" s="12"/>
      <c r="CIR54" s="12"/>
      <c r="CIS54" s="12"/>
      <c r="CIT54" s="12"/>
      <c r="CIU54" s="12"/>
      <c r="CIV54" s="12"/>
      <c r="CIW54" s="12"/>
      <c r="CIX54" s="12"/>
      <c r="CIY54" s="12"/>
      <c r="CIZ54" s="12"/>
      <c r="CJA54" s="12"/>
      <c r="CJB54" s="12"/>
      <c r="CJC54" s="12"/>
      <c r="CJD54" s="12"/>
      <c r="CJE54" s="12"/>
      <c r="CJF54" s="12"/>
      <c r="CJG54" s="12"/>
      <c r="CJH54" s="12"/>
      <c r="CJI54" s="12"/>
      <c r="CJJ54" s="12"/>
      <c r="CJK54" s="12"/>
      <c r="CJL54" s="12"/>
      <c r="CJM54" s="12"/>
      <c r="CJN54" s="12"/>
      <c r="CJO54" s="12"/>
      <c r="CJP54" s="12"/>
      <c r="CJQ54" s="12"/>
      <c r="CJR54" s="12"/>
      <c r="CJS54" s="12"/>
      <c r="CJT54" s="12"/>
      <c r="CJU54" s="12"/>
      <c r="CJV54" s="12"/>
      <c r="CJW54" s="12"/>
      <c r="CJX54" s="12"/>
      <c r="CJY54" s="12"/>
      <c r="CJZ54" s="12"/>
      <c r="CKA54" s="12"/>
      <c r="CKB54" s="12"/>
      <c r="CKC54" s="12"/>
      <c r="CKD54" s="12"/>
      <c r="CKE54" s="12"/>
      <c r="CKF54" s="12"/>
      <c r="CKG54" s="12"/>
      <c r="CKH54" s="12"/>
      <c r="CKI54" s="12"/>
      <c r="CKJ54" s="12"/>
      <c r="CKK54" s="12"/>
      <c r="CKL54" s="12"/>
      <c r="CKM54" s="12"/>
      <c r="CKN54" s="12"/>
      <c r="CKO54" s="12"/>
      <c r="CKP54" s="12"/>
      <c r="CKQ54" s="12"/>
      <c r="CKR54" s="12"/>
      <c r="CKS54" s="12"/>
      <c r="CKT54" s="12"/>
      <c r="CKU54" s="12"/>
      <c r="CKV54" s="12"/>
      <c r="CKW54" s="12"/>
      <c r="CKX54" s="12"/>
      <c r="CKY54" s="12"/>
      <c r="CKZ54" s="12"/>
      <c r="CLA54" s="12"/>
      <c r="CLB54" s="12"/>
      <c r="CLC54" s="12"/>
      <c r="CLD54" s="12"/>
      <c r="CLE54" s="12"/>
      <c r="CLF54" s="12"/>
      <c r="CLG54" s="12"/>
      <c r="CLH54" s="12"/>
      <c r="CLI54" s="12"/>
      <c r="CLJ54" s="12"/>
      <c r="CLK54" s="12"/>
      <c r="CLL54" s="12"/>
      <c r="CLM54" s="12"/>
      <c r="CLN54" s="12"/>
      <c r="CLO54" s="12"/>
      <c r="CLP54" s="12"/>
      <c r="CLQ54" s="12"/>
      <c r="CLR54" s="12"/>
      <c r="CLS54" s="12"/>
      <c r="CLT54" s="12"/>
      <c r="CLU54" s="12"/>
      <c r="CLV54" s="12"/>
      <c r="CLW54" s="12"/>
      <c r="CLX54" s="12"/>
      <c r="CLY54" s="12"/>
      <c r="CLZ54" s="12"/>
      <c r="CMA54" s="12"/>
      <c r="CMB54" s="12"/>
      <c r="CMC54" s="12"/>
      <c r="CMD54" s="12"/>
      <c r="CME54" s="12"/>
      <c r="CMF54" s="12"/>
      <c r="CMG54" s="12"/>
      <c r="CMH54" s="12"/>
      <c r="CMI54" s="12"/>
      <c r="CMJ54" s="12"/>
      <c r="CMK54" s="12"/>
      <c r="CML54" s="12"/>
      <c r="CMM54" s="12"/>
      <c r="CMN54" s="12"/>
      <c r="CMO54" s="12"/>
      <c r="CMP54" s="12"/>
      <c r="CMQ54" s="12"/>
      <c r="CMR54" s="12"/>
      <c r="CMS54" s="12"/>
      <c r="CMT54" s="12"/>
      <c r="CMU54" s="12"/>
      <c r="CMV54" s="12"/>
      <c r="CMW54" s="12"/>
      <c r="CMX54" s="12"/>
      <c r="CMY54" s="12"/>
      <c r="CMZ54" s="12"/>
      <c r="CNA54" s="12"/>
      <c r="CNB54" s="12"/>
      <c r="CNC54" s="12"/>
      <c r="CND54" s="12"/>
      <c r="CNE54" s="12"/>
      <c r="CNF54" s="12"/>
      <c r="CNG54" s="12"/>
      <c r="CNH54" s="12"/>
      <c r="CNI54" s="12"/>
      <c r="CNJ54" s="12"/>
      <c r="CNK54" s="12"/>
      <c r="CNL54" s="12"/>
      <c r="CNM54" s="12"/>
      <c r="CNN54" s="12"/>
      <c r="CNO54" s="12"/>
      <c r="CNP54" s="12"/>
      <c r="CNQ54" s="12"/>
      <c r="CNR54" s="12"/>
      <c r="CNS54" s="12"/>
      <c r="CNT54" s="12"/>
      <c r="CNU54" s="12"/>
      <c r="CNV54" s="12"/>
      <c r="CNW54" s="12"/>
      <c r="CNX54" s="12"/>
      <c r="CNY54" s="12"/>
      <c r="CNZ54" s="12"/>
      <c r="COA54" s="12"/>
      <c r="COB54" s="12"/>
      <c r="COC54" s="12"/>
      <c r="COD54" s="12"/>
      <c r="COE54" s="12"/>
      <c r="COF54" s="12"/>
      <c r="COG54" s="12"/>
      <c r="COH54" s="12"/>
      <c r="COI54" s="12"/>
      <c r="COJ54" s="12"/>
      <c r="COK54" s="12"/>
      <c r="COL54" s="12"/>
      <c r="COM54" s="12"/>
      <c r="CON54" s="12"/>
      <c r="COO54" s="12"/>
      <c r="COP54" s="12"/>
      <c r="COQ54" s="12"/>
      <c r="COR54" s="12"/>
      <c r="COS54" s="12"/>
      <c r="COT54" s="12"/>
      <c r="COU54" s="12"/>
      <c r="COV54" s="12"/>
      <c r="COW54" s="12"/>
      <c r="COX54" s="12"/>
      <c r="COY54" s="12"/>
      <c r="COZ54" s="12"/>
      <c r="CPA54" s="12"/>
      <c r="CPB54" s="12"/>
      <c r="CPC54" s="12"/>
      <c r="CPD54" s="12"/>
      <c r="CPE54" s="12"/>
      <c r="CPF54" s="12"/>
      <c r="CPG54" s="12"/>
      <c r="CPH54" s="12"/>
      <c r="CPI54" s="12"/>
      <c r="CPJ54" s="12"/>
      <c r="CPK54" s="12"/>
      <c r="CPL54" s="12"/>
      <c r="CPM54" s="12"/>
      <c r="CPN54" s="12"/>
      <c r="CPO54" s="12"/>
      <c r="CPP54" s="12"/>
      <c r="CPQ54" s="12"/>
      <c r="CPR54" s="12"/>
      <c r="CPS54" s="12"/>
      <c r="CPT54" s="12"/>
      <c r="CPU54" s="12"/>
      <c r="CPV54" s="12"/>
      <c r="CPW54" s="12"/>
      <c r="CPX54" s="12"/>
      <c r="CPY54" s="12"/>
      <c r="CPZ54" s="12"/>
      <c r="CQA54" s="12"/>
      <c r="CQB54" s="12"/>
      <c r="CQC54" s="12"/>
      <c r="CQD54" s="12"/>
      <c r="CQE54" s="12"/>
      <c r="CQF54" s="12"/>
      <c r="CQG54" s="12"/>
      <c r="CQH54" s="12"/>
      <c r="CQI54" s="12"/>
      <c r="CQJ54" s="12"/>
      <c r="CQK54" s="12"/>
      <c r="CQL54" s="12"/>
      <c r="CQM54" s="12"/>
      <c r="CQN54" s="12"/>
      <c r="CQO54" s="12"/>
      <c r="CQP54" s="12"/>
      <c r="CQQ54" s="12"/>
      <c r="CQR54" s="12"/>
      <c r="CQS54" s="12"/>
      <c r="CQT54" s="12"/>
      <c r="CQU54" s="12"/>
      <c r="CQV54" s="12"/>
      <c r="CQW54" s="12"/>
      <c r="CQX54" s="12"/>
      <c r="CQY54" s="12"/>
      <c r="CQZ54" s="12"/>
      <c r="CRA54" s="12"/>
      <c r="CRB54" s="12"/>
      <c r="CRC54" s="12"/>
      <c r="CRD54" s="12"/>
      <c r="CRE54" s="12"/>
      <c r="CRF54" s="12"/>
      <c r="CRG54" s="12"/>
      <c r="CRH54" s="12"/>
      <c r="CRI54" s="12"/>
      <c r="CRJ54" s="12"/>
      <c r="CRK54" s="12"/>
      <c r="CRL54" s="12"/>
      <c r="CRM54" s="12"/>
      <c r="CRN54" s="12"/>
      <c r="CRO54" s="12"/>
      <c r="CRP54" s="12"/>
      <c r="CRQ54" s="12"/>
      <c r="CRR54" s="12"/>
      <c r="CRS54" s="12"/>
      <c r="CRT54" s="12"/>
      <c r="CRU54" s="12"/>
      <c r="CRV54" s="12"/>
      <c r="CRW54" s="12"/>
      <c r="CRX54" s="12"/>
      <c r="CRY54" s="12"/>
      <c r="CRZ54" s="12"/>
      <c r="CSA54" s="12"/>
      <c r="CSB54" s="12"/>
      <c r="CSC54" s="12"/>
      <c r="CSD54" s="12"/>
      <c r="CSE54" s="12"/>
      <c r="CSF54" s="12"/>
      <c r="CSG54" s="12"/>
      <c r="CSH54" s="12"/>
      <c r="CSI54" s="12"/>
      <c r="CSJ54" s="12"/>
      <c r="CSK54" s="12"/>
      <c r="CSL54" s="12"/>
      <c r="CSM54" s="12"/>
      <c r="CSN54" s="12"/>
      <c r="CSO54" s="12"/>
      <c r="CSP54" s="12"/>
      <c r="CSQ54" s="12"/>
      <c r="CSR54" s="12"/>
      <c r="CSS54" s="12"/>
      <c r="CST54" s="12"/>
      <c r="CSU54" s="12"/>
      <c r="CSV54" s="12"/>
      <c r="CSW54" s="12"/>
      <c r="CSX54" s="12"/>
      <c r="CSY54" s="12"/>
      <c r="CSZ54" s="12"/>
      <c r="CTA54" s="12"/>
      <c r="CTB54" s="12"/>
      <c r="CTC54" s="12"/>
      <c r="CTD54" s="12"/>
      <c r="CTE54" s="12"/>
      <c r="CTF54" s="12"/>
      <c r="CTG54" s="12"/>
      <c r="CTH54" s="12"/>
      <c r="CTI54" s="12"/>
      <c r="CTJ54" s="12"/>
      <c r="CTK54" s="12"/>
      <c r="CTL54" s="12"/>
      <c r="CTM54" s="12"/>
      <c r="CTN54" s="12"/>
      <c r="CTO54" s="12"/>
      <c r="CTP54" s="12"/>
      <c r="CTQ54" s="12"/>
      <c r="CTR54" s="12"/>
      <c r="CTS54" s="12"/>
      <c r="CTT54" s="12"/>
      <c r="CTU54" s="12"/>
      <c r="CTV54" s="12"/>
      <c r="CTW54" s="12"/>
      <c r="CTX54" s="12"/>
      <c r="CTY54" s="12"/>
      <c r="CTZ54" s="12"/>
      <c r="CUA54" s="12"/>
      <c r="CUB54" s="12"/>
      <c r="CUC54" s="12"/>
      <c r="CUD54" s="12"/>
      <c r="CUE54" s="12"/>
      <c r="CUF54" s="12"/>
      <c r="CUG54" s="12"/>
      <c r="CUH54" s="12"/>
      <c r="CUI54" s="12"/>
      <c r="CUJ54" s="12"/>
      <c r="CUK54" s="12"/>
      <c r="CUL54" s="12"/>
      <c r="CUM54" s="12"/>
      <c r="CUN54" s="12"/>
      <c r="CUO54" s="12"/>
      <c r="CUP54" s="12"/>
      <c r="CUQ54" s="12"/>
      <c r="CUR54" s="12"/>
      <c r="CUS54" s="12"/>
      <c r="CUT54" s="12"/>
      <c r="CUU54" s="12"/>
      <c r="CUV54" s="12"/>
      <c r="CUW54" s="12"/>
      <c r="CUX54" s="12"/>
      <c r="CUY54" s="12"/>
      <c r="CUZ54" s="12"/>
      <c r="CVA54" s="12"/>
      <c r="CVB54" s="12"/>
      <c r="CVC54" s="12"/>
      <c r="CVD54" s="12"/>
      <c r="CVE54" s="12"/>
      <c r="CVF54" s="12"/>
      <c r="CVG54" s="12"/>
      <c r="CVH54" s="12"/>
      <c r="CVI54" s="12"/>
      <c r="CVJ54" s="12"/>
      <c r="CVK54" s="12"/>
      <c r="CVL54" s="12"/>
      <c r="CVM54" s="12"/>
      <c r="CVN54" s="12"/>
      <c r="CVO54" s="12"/>
      <c r="CVP54" s="12"/>
      <c r="CVQ54" s="12"/>
      <c r="CVR54" s="12"/>
      <c r="CVS54" s="12"/>
      <c r="CVT54" s="12"/>
      <c r="CVU54" s="12"/>
      <c r="CVV54" s="12"/>
      <c r="CVW54" s="12"/>
      <c r="CVX54" s="12"/>
      <c r="CVY54" s="12"/>
      <c r="CVZ54" s="12"/>
      <c r="CWA54" s="12"/>
      <c r="CWB54" s="12"/>
      <c r="CWC54" s="12"/>
      <c r="CWD54" s="12"/>
      <c r="CWE54" s="12"/>
      <c r="CWF54" s="12"/>
      <c r="CWG54" s="12"/>
      <c r="CWH54" s="12"/>
      <c r="CWI54" s="12"/>
      <c r="CWJ54" s="12"/>
      <c r="CWK54" s="12"/>
      <c r="CWL54" s="12"/>
      <c r="CWM54" s="12"/>
      <c r="CWN54" s="12"/>
      <c r="CWO54" s="12"/>
      <c r="CWP54" s="12"/>
      <c r="CWQ54" s="12"/>
      <c r="CWR54" s="12"/>
      <c r="CWS54" s="12"/>
      <c r="CWT54" s="12"/>
      <c r="CWU54" s="12"/>
      <c r="CWV54" s="12"/>
      <c r="CWW54" s="12"/>
      <c r="CWX54" s="12"/>
      <c r="CWY54" s="12"/>
      <c r="CWZ54" s="12"/>
      <c r="CXA54" s="12"/>
      <c r="CXB54" s="12"/>
      <c r="CXC54" s="12"/>
      <c r="CXD54" s="12"/>
      <c r="CXE54" s="12"/>
      <c r="CXF54" s="12"/>
      <c r="CXG54" s="12"/>
      <c r="CXH54" s="12"/>
      <c r="CXI54" s="12"/>
      <c r="CXJ54" s="12"/>
      <c r="CXK54" s="12"/>
      <c r="CXL54" s="12"/>
      <c r="CXM54" s="12"/>
      <c r="CXN54" s="12"/>
      <c r="CXO54" s="12"/>
      <c r="CXP54" s="12"/>
      <c r="CXQ54" s="12"/>
      <c r="CXR54" s="12"/>
      <c r="CXS54" s="12"/>
      <c r="CXT54" s="12"/>
      <c r="CXU54" s="12"/>
      <c r="CXV54" s="12"/>
      <c r="CXW54" s="12"/>
      <c r="CXX54" s="12"/>
      <c r="CXY54" s="12"/>
      <c r="CXZ54" s="12"/>
      <c r="CYA54" s="12"/>
      <c r="CYB54" s="12"/>
      <c r="CYC54" s="12"/>
      <c r="CYD54" s="12"/>
      <c r="CYE54" s="12"/>
      <c r="CYF54" s="12"/>
      <c r="CYG54" s="12"/>
      <c r="CYH54" s="12"/>
      <c r="CYI54" s="12"/>
      <c r="CYJ54" s="12"/>
      <c r="CYK54" s="12"/>
      <c r="CYL54" s="12"/>
      <c r="CYM54" s="12"/>
      <c r="CYN54" s="12"/>
      <c r="CYO54" s="12"/>
      <c r="CYP54" s="12"/>
      <c r="CYQ54" s="12"/>
      <c r="CYR54" s="12"/>
      <c r="CYS54" s="12"/>
      <c r="CYT54" s="12"/>
      <c r="CYU54" s="12"/>
      <c r="CYV54" s="12"/>
      <c r="CYW54" s="12"/>
      <c r="CYX54" s="12"/>
      <c r="CYY54" s="12"/>
      <c r="CYZ54" s="12"/>
      <c r="CZA54" s="12"/>
      <c r="CZB54" s="12"/>
      <c r="CZC54" s="12"/>
      <c r="CZD54" s="12"/>
      <c r="CZE54" s="12"/>
      <c r="CZF54" s="12"/>
      <c r="CZG54" s="12"/>
      <c r="CZH54" s="12"/>
      <c r="CZI54" s="12"/>
      <c r="CZJ54" s="12"/>
      <c r="CZK54" s="12"/>
      <c r="CZL54" s="12"/>
      <c r="CZM54" s="12"/>
      <c r="CZN54" s="12"/>
      <c r="CZO54" s="12"/>
      <c r="CZP54" s="12"/>
      <c r="CZQ54" s="12"/>
      <c r="CZR54" s="12"/>
      <c r="CZS54" s="12"/>
      <c r="CZT54" s="12"/>
      <c r="CZU54" s="12"/>
      <c r="CZV54" s="12"/>
      <c r="CZW54" s="12"/>
      <c r="CZX54" s="12"/>
      <c r="CZY54" s="12"/>
      <c r="CZZ54" s="12"/>
      <c r="DAA54" s="12"/>
      <c r="DAB54" s="12"/>
      <c r="DAC54" s="12"/>
      <c r="DAD54" s="12"/>
      <c r="DAE54" s="12"/>
      <c r="DAF54" s="12"/>
      <c r="DAG54" s="12"/>
      <c r="DAH54" s="12"/>
      <c r="DAI54" s="12"/>
      <c r="DAJ54" s="12"/>
      <c r="DAK54" s="12"/>
      <c r="DAL54" s="12"/>
      <c r="DAM54" s="12"/>
      <c r="DAN54" s="12"/>
      <c r="DAO54" s="12"/>
      <c r="DAP54" s="12"/>
      <c r="DAQ54" s="12"/>
      <c r="DAR54" s="12"/>
      <c r="DAS54" s="12"/>
      <c r="DAT54" s="12"/>
      <c r="DAU54" s="12"/>
      <c r="DAV54" s="12"/>
      <c r="DAW54" s="12"/>
      <c r="DAX54" s="12"/>
      <c r="DAY54" s="12"/>
      <c r="DAZ54" s="12"/>
      <c r="DBA54" s="12"/>
      <c r="DBB54" s="12"/>
      <c r="DBC54" s="12"/>
      <c r="DBD54" s="12"/>
      <c r="DBE54" s="12"/>
      <c r="DBF54" s="12"/>
      <c r="DBG54" s="12"/>
      <c r="DBH54" s="12"/>
      <c r="DBI54" s="12"/>
      <c r="DBJ54" s="12"/>
      <c r="DBK54" s="12"/>
      <c r="DBL54" s="12"/>
      <c r="DBM54" s="12"/>
      <c r="DBN54" s="12"/>
      <c r="DBO54" s="12"/>
      <c r="DBP54" s="12"/>
      <c r="DBQ54" s="12"/>
      <c r="DBR54" s="12"/>
      <c r="DBS54" s="12"/>
      <c r="DBT54" s="12"/>
      <c r="DBU54" s="12"/>
      <c r="DBV54" s="12"/>
      <c r="DBW54" s="12"/>
      <c r="DBX54" s="12"/>
      <c r="DBY54" s="12"/>
      <c r="DBZ54" s="12"/>
      <c r="DCA54" s="12"/>
      <c r="DCB54" s="12"/>
      <c r="DCC54" s="12"/>
      <c r="DCD54" s="12"/>
      <c r="DCE54" s="12"/>
      <c r="DCF54" s="12"/>
      <c r="DCG54" s="12"/>
      <c r="DCH54" s="12"/>
      <c r="DCI54" s="12"/>
      <c r="DCJ54" s="12"/>
      <c r="DCK54" s="12"/>
      <c r="DCL54" s="12"/>
      <c r="DCM54" s="12"/>
      <c r="DCN54" s="12"/>
      <c r="DCO54" s="12"/>
      <c r="DCP54" s="12"/>
      <c r="DCQ54" s="12"/>
      <c r="DCR54" s="12"/>
      <c r="DCS54" s="12"/>
      <c r="DCT54" s="12"/>
      <c r="DCU54" s="12"/>
      <c r="DCV54" s="12"/>
      <c r="DCW54" s="12"/>
      <c r="DCX54" s="12"/>
      <c r="DCY54" s="12"/>
      <c r="DCZ54" s="12"/>
      <c r="DDA54" s="12"/>
      <c r="DDB54" s="12"/>
      <c r="DDC54" s="12"/>
      <c r="DDD54" s="12"/>
      <c r="DDE54" s="12"/>
      <c r="DDF54" s="12"/>
      <c r="DDG54" s="12"/>
      <c r="DDH54" s="12"/>
      <c r="DDI54" s="12"/>
      <c r="DDJ54" s="12"/>
      <c r="DDK54" s="12"/>
      <c r="DDL54" s="12"/>
      <c r="DDM54" s="12"/>
      <c r="DDN54" s="12"/>
      <c r="DDO54" s="12"/>
      <c r="DDP54" s="12"/>
      <c r="DDQ54" s="12"/>
      <c r="DDR54" s="12"/>
      <c r="DDS54" s="12"/>
      <c r="DDT54" s="12"/>
      <c r="DDU54" s="12"/>
      <c r="DDV54" s="12"/>
      <c r="DDW54" s="12"/>
      <c r="DDX54" s="12"/>
      <c r="DDY54" s="12"/>
      <c r="DDZ54" s="12"/>
      <c r="DEA54" s="12"/>
      <c r="DEB54" s="12"/>
      <c r="DEC54" s="12"/>
      <c r="DED54" s="12"/>
      <c r="DEE54" s="12"/>
      <c r="DEF54" s="12"/>
      <c r="DEG54" s="12"/>
      <c r="DEH54" s="12"/>
      <c r="DEI54" s="12"/>
      <c r="DEJ54" s="12"/>
      <c r="DEK54" s="12"/>
      <c r="DEL54" s="12"/>
      <c r="DEM54" s="12"/>
      <c r="DEN54" s="12"/>
      <c r="DEO54" s="12"/>
      <c r="DEP54" s="12"/>
      <c r="DEQ54" s="12"/>
      <c r="DER54" s="12"/>
      <c r="DES54" s="12"/>
      <c r="DET54" s="12"/>
      <c r="DEU54" s="12"/>
      <c r="DEV54" s="12"/>
      <c r="DEW54" s="12"/>
      <c r="DEX54" s="12"/>
      <c r="DEY54" s="12"/>
      <c r="DEZ54" s="12"/>
      <c r="DFA54" s="12"/>
      <c r="DFB54" s="12"/>
      <c r="DFC54" s="12"/>
      <c r="DFD54" s="12"/>
      <c r="DFE54" s="12"/>
      <c r="DFF54" s="12"/>
      <c r="DFG54" s="12"/>
      <c r="DFH54" s="12"/>
      <c r="DFI54" s="12"/>
      <c r="DFJ54" s="12"/>
      <c r="DFK54" s="12"/>
      <c r="DFL54" s="12"/>
      <c r="DFM54" s="12"/>
      <c r="DFN54" s="12"/>
      <c r="DFO54" s="12"/>
      <c r="DFP54" s="12"/>
      <c r="DFQ54" s="12"/>
      <c r="DFR54" s="12"/>
      <c r="DFS54" s="12"/>
      <c r="DFT54" s="12"/>
      <c r="DFU54" s="12"/>
      <c r="DFV54" s="12"/>
      <c r="DFW54" s="12"/>
      <c r="DFX54" s="12"/>
      <c r="DFY54" s="12"/>
      <c r="DFZ54" s="12"/>
      <c r="DGA54" s="12"/>
      <c r="DGB54" s="12"/>
      <c r="DGC54" s="12"/>
      <c r="DGD54" s="12"/>
      <c r="DGE54" s="12"/>
      <c r="DGF54" s="12"/>
      <c r="DGG54" s="12"/>
      <c r="DGH54" s="12"/>
      <c r="DGI54" s="12"/>
      <c r="DGJ54" s="12"/>
      <c r="DGK54" s="12"/>
      <c r="DGL54" s="12"/>
      <c r="DGM54" s="12"/>
      <c r="DGN54" s="12"/>
      <c r="DGO54" s="12"/>
      <c r="DGP54" s="12"/>
      <c r="DGQ54" s="12"/>
      <c r="DGR54" s="12"/>
      <c r="DGS54" s="12"/>
      <c r="DGT54" s="12"/>
      <c r="DGU54" s="12"/>
      <c r="DGV54" s="12"/>
      <c r="DGW54" s="12"/>
      <c r="DGX54" s="12"/>
      <c r="DGY54" s="12"/>
      <c r="DGZ54" s="12"/>
      <c r="DHA54" s="12"/>
      <c r="DHB54" s="12"/>
      <c r="DHC54" s="12"/>
      <c r="DHD54" s="12"/>
      <c r="DHE54" s="12"/>
      <c r="DHF54" s="12"/>
      <c r="DHG54" s="12"/>
      <c r="DHH54" s="12"/>
      <c r="DHI54" s="12"/>
      <c r="DHJ54" s="12"/>
      <c r="DHK54" s="12"/>
      <c r="DHL54" s="12"/>
      <c r="DHM54" s="12"/>
      <c r="DHN54" s="12"/>
      <c r="DHO54" s="12"/>
      <c r="DHP54" s="12"/>
      <c r="DHQ54" s="12"/>
      <c r="DHR54" s="12"/>
      <c r="DHS54" s="12"/>
      <c r="DHT54" s="12"/>
      <c r="DHU54" s="12"/>
      <c r="DHV54" s="12"/>
      <c r="DHW54" s="12"/>
      <c r="DHX54" s="12"/>
      <c r="DHY54" s="12"/>
      <c r="DHZ54" s="12"/>
      <c r="DIA54" s="12"/>
      <c r="DIB54" s="12"/>
      <c r="DIC54" s="12"/>
      <c r="DID54" s="12"/>
      <c r="DIE54" s="12"/>
      <c r="DIF54" s="12"/>
      <c r="DIG54" s="12"/>
      <c r="DIH54" s="12"/>
      <c r="DII54" s="12"/>
      <c r="DIJ54" s="12"/>
      <c r="DIK54" s="12"/>
      <c r="DIL54" s="12"/>
      <c r="DIM54" s="12"/>
      <c r="DIN54" s="12"/>
      <c r="DIO54" s="12"/>
      <c r="DIP54" s="12"/>
      <c r="DIQ54" s="12"/>
      <c r="DIR54" s="12"/>
      <c r="DIS54" s="12"/>
      <c r="DIT54" s="12"/>
      <c r="DIU54" s="12"/>
      <c r="DIV54" s="12"/>
      <c r="DIW54" s="12"/>
      <c r="DIX54" s="12"/>
      <c r="DIY54" s="12"/>
      <c r="DIZ54" s="12"/>
      <c r="DJA54" s="12"/>
      <c r="DJB54" s="12"/>
      <c r="DJC54" s="12"/>
      <c r="DJD54" s="12"/>
      <c r="DJE54" s="12"/>
      <c r="DJF54" s="12"/>
      <c r="DJG54" s="12"/>
      <c r="DJH54" s="12"/>
      <c r="DJI54" s="12"/>
      <c r="DJJ54" s="12"/>
      <c r="DJK54" s="12"/>
      <c r="DJL54" s="12"/>
      <c r="DJM54" s="12"/>
      <c r="DJN54" s="12"/>
      <c r="DJO54" s="12"/>
      <c r="DJP54" s="12"/>
      <c r="DJQ54" s="12"/>
      <c r="DJR54" s="12"/>
      <c r="DJS54" s="12"/>
      <c r="DJT54" s="12"/>
      <c r="DJU54" s="12"/>
      <c r="DJV54" s="12"/>
      <c r="DJW54" s="12"/>
      <c r="DJX54" s="12"/>
      <c r="DJY54" s="12"/>
      <c r="DJZ54" s="12"/>
      <c r="DKA54" s="12"/>
      <c r="DKB54" s="12"/>
      <c r="DKC54" s="12"/>
      <c r="DKD54" s="12"/>
      <c r="DKE54" s="12"/>
      <c r="DKF54" s="12"/>
      <c r="DKG54" s="12"/>
      <c r="DKH54" s="12"/>
      <c r="DKI54" s="12"/>
      <c r="DKJ54" s="12"/>
      <c r="DKK54" s="12"/>
      <c r="DKL54" s="12"/>
      <c r="DKM54" s="12"/>
      <c r="DKN54" s="12"/>
      <c r="DKO54" s="12"/>
      <c r="DKP54" s="12"/>
      <c r="DKQ54" s="12"/>
      <c r="DKR54" s="12"/>
      <c r="DKS54" s="12"/>
      <c r="DKT54" s="12"/>
      <c r="DKU54" s="12"/>
      <c r="DKV54" s="12"/>
      <c r="DKW54" s="12"/>
      <c r="DKX54" s="12"/>
      <c r="DKY54" s="12"/>
      <c r="DKZ54" s="12"/>
      <c r="DLA54" s="12"/>
      <c r="DLB54" s="12"/>
      <c r="DLC54" s="12"/>
      <c r="DLD54" s="12"/>
      <c r="DLE54" s="12"/>
      <c r="DLF54" s="12"/>
      <c r="DLG54" s="12"/>
      <c r="DLH54" s="12"/>
      <c r="DLI54" s="12"/>
      <c r="DLJ54" s="12"/>
      <c r="DLK54" s="12"/>
      <c r="DLL54" s="12"/>
      <c r="DLM54" s="12"/>
      <c r="DLN54" s="12"/>
      <c r="DLO54" s="12"/>
      <c r="DLP54" s="12"/>
      <c r="DLQ54" s="12"/>
      <c r="DLR54" s="12"/>
      <c r="DLS54" s="12"/>
      <c r="DLT54" s="12"/>
      <c r="DLU54" s="12"/>
      <c r="DLV54" s="12"/>
      <c r="DLW54" s="12"/>
      <c r="DLX54" s="12"/>
      <c r="DLY54" s="12"/>
      <c r="DLZ54" s="12"/>
      <c r="DMA54" s="12"/>
      <c r="DMB54" s="12"/>
      <c r="DMC54" s="12"/>
      <c r="DMD54" s="12"/>
      <c r="DME54" s="12"/>
      <c r="DMF54" s="12"/>
      <c r="DMG54" s="12"/>
      <c r="DMH54" s="12"/>
      <c r="DMI54" s="12"/>
      <c r="DMJ54" s="12"/>
      <c r="DMK54" s="12"/>
      <c r="DML54" s="12"/>
      <c r="DMM54" s="12"/>
      <c r="DMN54" s="12"/>
      <c r="DMO54" s="12"/>
      <c r="DMP54" s="12"/>
      <c r="DMQ54" s="12"/>
      <c r="DMR54" s="12"/>
      <c r="DMS54" s="12"/>
      <c r="DMT54" s="12"/>
      <c r="DMU54" s="12"/>
      <c r="DMV54" s="12"/>
      <c r="DMW54" s="12"/>
      <c r="DMX54" s="12"/>
      <c r="DMY54" s="12"/>
      <c r="DMZ54" s="12"/>
      <c r="DNA54" s="12"/>
      <c r="DNB54" s="12"/>
      <c r="DNC54" s="12"/>
      <c r="DND54" s="12"/>
      <c r="DNE54" s="12"/>
      <c r="DNF54" s="12"/>
      <c r="DNG54" s="12"/>
      <c r="DNH54" s="12"/>
      <c r="DNI54" s="12"/>
      <c r="DNJ54" s="12"/>
      <c r="DNK54" s="12"/>
      <c r="DNL54" s="12"/>
      <c r="DNM54" s="12"/>
      <c r="DNN54" s="12"/>
      <c r="DNO54" s="12"/>
      <c r="DNP54" s="12"/>
      <c r="DNQ54" s="12"/>
      <c r="DNR54" s="12"/>
      <c r="DNS54" s="12"/>
      <c r="DNT54" s="12"/>
      <c r="DNU54" s="12"/>
      <c r="DNV54" s="12"/>
      <c r="DNW54" s="12"/>
      <c r="DNX54" s="12"/>
      <c r="DNY54" s="12"/>
      <c r="DNZ54" s="12"/>
      <c r="DOA54" s="12"/>
      <c r="DOB54" s="12"/>
      <c r="DOC54" s="12"/>
      <c r="DOD54" s="12"/>
      <c r="DOE54" s="12"/>
      <c r="DOF54" s="12"/>
      <c r="DOG54" s="12"/>
      <c r="DOH54" s="12"/>
      <c r="DOI54" s="12"/>
      <c r="DOJ54" s="12"/>
      <c r="DOK54" s="12"/>
      <c r="DOL54" s="12"/>
      <c r="DOM54" s="12"/>
      <c r="DON54" s="12"/>
      <c r="DOO54" s="12"/>
      <c r="DOP54" s="12"/>
      <c r="DOQ54" s="12"/>
      <c r="DOR54" s="12"/>
      <c r="DOS54" s="12"/>
      <c r="DOT54" s="12"/>
      <c r="DOU54" s="12"/>
      <c r="DOV54" s="12"/>
      <c r="DOW54" s="12"/>
      <c r="DOX54" s="12"/>
      <c r="DOY54" s="12"/>
      <c r="DOZ54" s="12"/>
      <c r="DPA54" s="12"/>
      <c r="DPB54" s="12"/>
      <c r="DPC54" s="12"/>
      <c r="DPD54" s="12"/>
      <c r="DPE54" s="12"/>
      <c r="DPF54" s="12"/>
      <c r="DPG54" s="12"/>
      <c r="DPH54" s="12"/>
      <c r="DPI54" s="12"/>
      <c r="DPJ54" s="12"/>
      <c r="DPK54" s="12"/>
      <c r="DPL54" s="12"/>
      <c r="DPM54" s="12"/>
      <c r="DPN54" s="12"/>
      <c r="DPO54" s="12"/>
      <c r="DPP54" s="12"/>
      <c r="DPQ54" s="12"/>
      <c r="DPR54" s="12"/>
      <c r="DPS54" s="12"/>
      <c r="DPT54" s="12"/>
      <c r="DPU54" s="12"/>
      <c r="DPV54" s="12"/>
      <c r="DPW54" s="12"/>
      <c r="DPX54" s="12"/>
      <c r="DPY54" s="12"/>
      <c r="DPZ54" s="12"/>
      <c r="DQA54" s="12"/>
      <c r="DQB54" s="12"/>
      <c r="DQC54" s="12"/>
      <c r="DQD54" s="12"/>
      <c r="DQE54" s="12"/>
      <c r="DQF54" s="12"/>
      <c r="DQG54" s="12"/>
      <c r="DQH54" s="12"/>
      <c r="DQI54" s="12"/>
      <c r="DQJ54" s="12"/>
      <c r="DQK54" s="12"/>
      <c r="DQL54" s="12"/>
      <c r="DQM54" s="12"/>
      <c r="DQN54" s="12"/>
      <c r="DQO54" s="12"/>
      <c r="DQP54" s="12"/>
      <c r="DQQ54" s="12"/>
      <c r="DQR54" s="12"/>
      <c r="DQS54" s="12"/>
      <c r="DQT54" s="12"/>
      <c r="DQU54" s="12"/>
      <c r="DQV54" s="12"/>
      <c r="DQW54" s="12"/>
      <c r="DQX54" s="12"/>
      <c r="DQY54" s="12"/>
      <c r="DQZ54" s="12"/>
      <c r="DRA54" s="12"/>
      <c r="DRB54" s="12"/>
      <c r="DRC54" s="12"/>
      <c r="DRD54" s="12"/>
      <c r="DRE54" s="12"/>
      <c r="DRF54" s="12"/>
      <c r="DRG54" s="12"/>
      <c r="DRH54" s="12"/>
      <c r="DRI54" s="12"/>
      <c r="DRJ54" s="12"/>
      <c r="DRK54" s="12"/>
      <c r="DRL54" s="12"/>
      <c r="DRM54" s="12"/>
      <c r="DRN54" s="12"/>
      <c r="DRO54" s="12"/>
      <c r="DRP54" s="12"/>
      <c r="DRQ54" s="12"/>
      <c r="DRR54" s="12"/>
      <c r="DRS54" s="12"/>
      <c r="DRT54" s="12"/>
      <c r="DRU54" s="12"/>
      <c r="DRV54" s="12"/>
      <c r="DRW54" s="12"/>
      <c r="DRX54" s="12"/>
      <c r="DRY54" s="12"/>
      <c r="DRZ54" s="12"/>
      <c r="DSA54" s="12"/>
      <c r="DSB54" s="12"/>
      <c r="DSC54" s="12"/>
      <c r="DSD54" s="12"/>
      <c r="DSE54" s="12"/>
      <c r="DSF54" s="12"/>
      <c r="DSG54" s="12"/>
      <c r="DSH54" s="12"/>
      <c r="DSI54" s="12"/>
      <c r="DSJ54" s="12"/>
      <c r="DSK54" s="12"/>
      <c r="DSL54" s="12"/>
      <c r="DSM54" s="12"/>
      <c r="DSN54" s="12"/>
      <c r="DSO54" s="12"/>
      <c r="DSP54" s="12"/>
      <c r="DSQ54" s="12"/>
      <c r="DSR54" s="12"/>
      <c r="DSS54" s="12"/>
      <c r="DST54" s="12"/>
      <c r="DSU54" s="12"/>
      <c r="DSV54" s="12"/>
      <c r="DSW54" s="12"/>
      <c r="DSX54" s="12"/>
      <c r="DSY54" s="12"/>
      <c r="DSZ54" s="12"/>
      <c r="DTA54" s="12"/>
      <c r="DTB54" s="12"/>
      <c r="DTC54" s="12"/>
      <c r="DTD54" s="12"/>
      <c r="DTE54" s="12"/>
      <c r="DTF54" s="12"/>
      <c r="DTG54" s="12"/>
      <c r="DTH54" s="12"/>
      <c r="DTI54" s="12"/>
      <c r="DTJ54" s="12"/>
      <c r="DTK54" s="12"/>
      <c r="DTL54" s="12"/>
      <c r="DTM54" s="12"/>
      <c r="DTN54" s="12"/>
      <c r="DTO54" s="12"/>
      <c r="DTP54" s="12"/>
      <c r="DTQ54" s="12"/>
      <c r="DTR54" s="12"/>
      <c r="DTS54" s="12"/>
      <c r="DTT54" s="12"/>
      <c r="DTU54" s="12"/>
      <c r="DTV54" s="12"/>
      <c r="DTW54" s="12"/>
      <c r="DTX54" s="12"/>
      <c r="DTY54" s="12"/>
      <c r="DTZ54" s="12"/>
      <c r="DUA54" s="12"/>
      <c r="DUB54" s="12"/>
      <c r="DUC54" s="12"/>
      <c r="DUD54" s="12"/>
      <c r="DUE54" s="12"/>
      <c r="DUF54" s="12"/>
      <c r="DUG54" s="12"/>
      <c r="DUH54" s="12"/>
      <c r="DUI54" s="12"/>
      <c r="DUJ54" s="12"/>
      <c r="DUK54" s="12"/>
      <c r="DUL54" s="12"/>
      <c r="DUM54" s="12"/>
      <c r="DUN54" s="12"/>
      <c r="DUO54" s="12"/>
      <c r="DUP54" s="12"/>
      <c r="DUQ54" s="12"/>
      <c r="DUR54" s="12"/>
      <c r="DUS54" s="12"/>
      <c r="DUT54" s="12"/>
      <c r="DUU54" s="12"/>
      <c r="DUV54" s="12"/>
      <c r="DUW54" s="12"/>
      <c r="DUX54" s="12"/>
      <c r="DUY54" s="12"/>
      <c r="DUZ54" s="12"/>
      <c r="DVA54" s="12"/>
      <c r="DVB54" s="12"/>
      <c r="DVC54" s="12"/>
      <c r="DVD54" s="12"/>
      <c r="DVE54" s="12"/>
      <c r="DVF54" s="12"/>
      <c r="DVG54" s="12"/>
      <c r="DVH54" s="12"/>
      <c r="DVI54" s="12"/>
      <c r="DVJ54" s="12"/>
      <c r="DVK54" s="12"/>
      <c r="DVL54" s="12"/>
      <c r="DVM54" s="12"/>
      <c r="DVN54" s="12"/>
      <c r="DVO54" s="12"/>
      <c r="DVP54" s="12"/>
      <c r="DVQ54" s="12"/>
      <c r="DVR54" s="12"/>
      <c r="DVS54" s="12"/>
      <c r="DVT54" s="12"/>
      <c r="DVU54" s="12"/>
      <c r="DVV54" s="12"/>
      <c r="DVW54" s="12"/>
      <c r="DVX54" s="12"/>
      <c r="DVY54" s="12"/>
      <c r="DVZ54" s="12"/>
      <c r="DWA54" s="12"/>
      <c r="DWB54" s="12"/>
      <c r="DWC54" s="12"/>
      <c r="DWD54" s="12"/>
      <c r="DWE54" s="12"/>
      <c r="DWF54" s="12"/>
      <c r="DWG54" s="12"/>
      <c r="DWH54" s="12"/>
      <c r="DWI54" s="12"/>
      <c r="DWJ54" s="12"/>
      <c r="DWK54" s="12"/>
      <c r="DWL54" s="12"/>
      <c r="DWM54" s="12"/>
      <c r="DWN54" s="12"/>
      <c r="DWO54" s="12"/>
      <c r="DWP54" s="12"/>
      <c r="DWQ54" s="12"/>
      <c r="DWR54" s="12"/>
      <c r="DWS54" s="12"/>
      <c r="DWT54" s="12"/>
      <c r="DWU54" s="12"/>
      <c r="DWV54" s="12"/>
      <c r="DWW54" s="12"/>
      <c r="DWX54" s="12"/>
      <c r="DWY54" s="12"/>
      <c r="DWZ54" s="12"/>
      <c r="DXA54" s="12"/>
      <c r="DXB54" s="12"/>
      <c r="DXC54" s="12"/>
      <c r="DXD54" s="12"/>
      <c r="DXE54" s="12"/>
      <c r="DXF54" s="12"/>
      <c r="DXG54" s="12"/>
      <c r="DXH54" s="12"/>
      <c r="DXI54" s="12"/>
      <c r="DXJ54" s="12"/>
      <c r="DXK54" s="12"/>
      <c r="DXL54" s="12"/>
      <c r="DXM54" s="12"/>
      <c r="DXN54" s="12"/>
      <c r="DXO54" s="12"/>
      <c r="DXP54" s="12"/>
      <c r="DXQ54" s="12"/>
      <c r="DXR54" s="12"/>
      <c r="DXS54" s="12"/>
      <c r="DXT54" s="12"/>
      <c r="DXU54" s="12"/>
      <c r="DXV54" s="12"/>
      <c r="DXW54" s="12"/>
      <c r="DXX54" s="12"/>
      <c r="DXY54" s="12"/>
      <c r="DXZ54" s="12"/>
      <c r="DYA54" s="12"/>
      <c r="DYB54" s="12"/>
      <c r="DYC54" s="12"/>
      <c r="DYD54" s="12"/>
      <c r="DYE54" s="12"/>
      <c r="DYF54" s="12"/>
      <c r="DYG54" s="12"/>
      <c r="DYH54" s="12"/>
      <c r="DYI54" s="12"/>
      <c r="DYJ54" s="12"/>
      <c r="DYK54" s="12"/>
      <c r="DYL54" s="12"/>
      <c r="DYM54" s="12"/>
      <c r="DYN54" s="12"/>
      <c r="DYO54" s="12"/>
      <c r="DYP54" s="12"/>
      <c r="DYQ54" s="12"/>
      <c r="DYR54" s="12"/>
      <c r="DYS54" s="12"/>
      <c r="DYT54" s="12"/>
      <c r="DYU54" s="12"/>
      <c r="DYV54" s="12"/>
      <c r="DYW54" s="12"/>
      <c r="DYX54" s="12"/>
      <c r="DYY54" s="12"/>
      <c r="DYZ54" s="12"/>
      <c r="DZA54" s="12"/>
      <c r="DZB54" s="12"/>
      <c r="DZC54" s="12"/>
      <c r="DZD54" s="12"/>
      <c r="DZE54" s="12"/>
      <c r="DZF54" s="12"/>
      <c r="DZG54" s="12"/>
      <c r="DZH54" s="12"/>
      <c r="DZI54" s="12"/>
      <c r="DZJ54" s="12"/>
      <c r="DZK54" s="12"/>
      <c r="DZL54" s="12"/>
      <c r="DZM54" s="12"/>
      <c r="DZN54" s="12"/>
      <c r="DZO54" s="12"/>
      <c r="DZP54" s="12"/>
      <c r="DZQ54" s="12"/>
      <c r="DZR54" s="12"/>
      <c r="DZS54" s="12"/>
      <c r="DZT54" s="12"/>
      <c r="DZU54" s="12"/>
      <c r="DZV54" s="12"/>
      <c r="DZW54" s="12"/>
      <c r="DZX54" s="12"/>
      <c r="DZY54" s="12"/>
      <c r="DZZ54" s="12"/>
      <c r="EAA54" s="12"/>
      <c r="EAB54" s="12"/>
      <c r="EAC54" s="12"/>
      <c r="EAD54" s="12"/>
      <c r="EAE54" s="12"/>
      <c r="EAF54" s="12"/>
      <c r="EAG54" s="12"/>
      <c r="EAH54" s="12"/>
      <c r="EAI54" s="12"/>
      <c r="EAJ54" s="12"/>
      <c r="EAK54" s="12"/>
      <c r="EAL54" s="12"/>
      <c r="EAM54" s="12"/>
      <c r="EAN54" s="12"/>
      <c r="EAO54" s="12"/>
      <c r="EAP54" s="12"/>
      <c r="EAQ54" s="12"/>
      <c r="EAR54" s="12"/>
      <c r="EAS54" s="12"/>
      <c r="EAT54" s="12"/>
      <c r="EAU54" s="12"/>
      <c r="EAV54" s="12"/>
      <c r="EAW54" s="12"/>
      <c r="EAX54" s="12"/>
      <c r="EAY54" s="12"/>
      <c r="EAZ54" s="12"/>
      <c r="EBA54" s="12"/>
      <c r="EBB54" s="12"/>
      <c r="EBC54" s="12"/>
      <c r="EBD54" s="12"/>
      <c r="EBE54" s="12"/>
      <c r="EBF54" s="12"/>
      <c r="EBG54" s="12"/>
      <c r="EBH54" s="12"/>
      <c r="EBI54" s="12"/>
      <c r="EBJ54" s="12"/>
      <c r="EBK54" s="12"/>
      <c r="EBL54" s="12"/>
      <c r="EBM54" s="12"/>
      <c r="EBN54" s="12"/>
      <c r="EBO54" s="12"/>
      <c r="EBP54" s="12"/>
      <c r="EBQ54" s="12"/>
      <c r="EBR54" s="12"/>
      <c r="EBS54" s="12"/>
      <c r="EBT54" s="12"/>
      <c r="EBU54" s="12"/>
      <c r="EBV54" s="12"/>
      <c r="EBW54" s="12"/>
      <c r="EBX54" s="12"/>
      <c r="EBY54" s="12"/>
      <c r="EBZ54" s="12"/>
      <c r="ECA54" s="12"/>
      <c r="ECB54" s="12"/>
      <c r="ECC54" s="12"/>
      <c r="ECD54" s="12"/>
      <c r="ECE54" s="12"/>
      <c r="ECF54" s="12"/>
      <c r="ECG54" s="12"/>
      <c r="ECH54" s="12"/>
      <c r="ECI54" s="12"/>
      <c r="ECJ54" s="12"/>
      <c r="ECK54" s="12"/>
      <c r="ECL54" s="12"/>
      <c r="ECM54" s="12"/>
      <c r="ECN54" s="12"/>
      <c r="ECO54" s="12"/>
      <c r="ECP54" s="12"/>
      <c r="ECQ54" s="12"/>
      <c r="ECR54" s="12"/>
      <c r="ECS54" s="12"/>
      <c r="ECT54" s="12"/>
      <c r="ECU54" s="12"/>
      <c r="ECV54" s="12"/>
      <c r="ECW54" s="12"/>
      <c r="ECX54" s="12"/>
      <c r="ECY54" s="12"/>
      <c r="ECZ54" s="12"/>
      <c r="EDA54" s="12"/>
      <c r="EDB54" s="12"/>
      <c r="EDC54" s="12"/>
      <c r="EDD54" s="12"/>
      <c r="EDE54" s="12"/>
      <c r="EDF54" s="12"/>
      <c r="EDG54" s="12"/>
      <c r="EDH54" s="12"/>
      <c r="EDI54" s="12"/>
      <c r="EDJ54" s="12"/>
      <c r="EDK54" s="12"/>
      <c r="EDL54" s="12"/>
      <c r="EDM54" s="12"/>
      <c r="EDN54" s="12"/>
      <c r="EDO54" s="12"/>
      <c r="EDP54" s="12"/>
      <c r="EDQ54" s="12"/>
      <c r="EDR54" s="12"/>
      <c r="EDS54" s="12"/>
      <c r="EDT54" s="12"/>
      <c r="EDU54" s="12"/>
      <c r="EDV54" s="12"/>
      <c r="EDW54" s="12"/>
      <c r="EDX54" s="12"/>
      <c r="EDY54" s="12"/>
      <c r="EDZ54" s="12"/>
      <c r="EEA54" s="12"/>
      <c r="EEB54" s="12"/>
      <c r="EEC54" s="12"/>
      <c r="EED54" s="12"/>
      <c r="EEE54" s="12"/>
      <c r="EEF54" s="12"/>
      <c r="EEG54" s="12"/>
      <c r="EEH54" s="12"/>
      <c r="EEI54" s="12"/>
      <c r="EEJ54" s="12"/>
      <c r="EEK54" s="12"/>
      <c r="EEL54" s="12"/>
      <c r="EEM54" s="12"/>
      <c r="EEN54" s="12"/>
      <c r="EEO54" s="12"/>
      <c r="EEP54" s="12"/>
      <c r="EEQ54" s="12"/>
      <c r="EER54" s="12"/>
      <c r="EES54" s="12"/>
      <c r="EET54" s="12"/>
      <c r="EEU54" s="12"/>
      <c r="EEV54" s="12"/>
      <c r="EEW54" s="12"/>
      <c r="EEX54" s="12"/>
      <c r="EEY54" s="12"/>
      <c r="EEZ54" s="12"/>
      <c r="EFA54" s="12"/>
      <c r="EFB54" s="12"/>
      <c r="EFC54" s="12"/>
      <c r="EFD54" s="12"/>
      <c r="EFE54" s="12"/>
      <c r="EFF54" s="12"/>
      <c r="EFG54" s="12"/>
      <c r="EFH54" s="12"/>
      <c r="EFI54" s="12"/>
      <c r="EFJ54" s="12"/>
      <c r="EFK54" s="12"/>
      <c r="EFL54" s="12"/>
      <c r="EFM54" s="12"/>
      <c r="EFN54" s="12"/>
      <c r="EFO54" s="12"/>
      <c r="EFP54" s="12"/>
      <c r="EFQ54" s="12"/>
      <c r="EFR54" s="12"/>
      <c r="EFS54" s="12"/>
      <c r="EFT54" s="12"/>
      <c r="EFU54" s="12"/>
      <c r="EFV54" s="12"/>
      <c r="EFW54" s="12"/>
      <c r="EFX54" s="12"/>
      <c r="EFY54" s="12"/>
      <c r="EFZ54" s="12"/>
      <c r="EGA54" s="12"/>
      <c r="EGB54" s="12"/>
      <c r="EGC54" s="12"/>
      <c r="EGD54" s="12"/>
      <c r="EGE54" s="12"/>
      <c r="EGF54" s="12"/>
      <c r="EGG54" s="12"/>
      <c r="EGH54" s="12"/>
      <c r="EGI54" s="12"/>
      <c r="EGJ54" s="12"/>
      <c r="EGK54" s="12"/>
      <c r="EGL54" s="12"/>
      <c r="EGM54" s="12"/>
      <c r="EGN54" s="12"/>
      <c r="EGO54" s="12"/>
      <c r="EGP54" s="12"/>
      <c r="EGQ54" s="12"/>
      <c r="EGR54" s="12"/>
      <c r="EGS54" s="12"/>
      <c r="EGT54" s="12"/>
      <c r="EGU54" s="12"/>
      <c r="EGV54" s="12"/>
      <c r="EGW54" s="12"/>
      <c r="EGX54" s="12"/>
      <c r="EGY54" s="12"/>
      <c r="EGZ54" s="12"/>
      <c r="EHA54" s="12"/>
      <c r="EHB54" s="12"/>
      <c r="EHC54" s="12"/>
      <c r="EHD54" s="12"/>
      <c r="EHE54" s="12"/>
      <c r="EHF54" s="12"/>
      <c r="EHG54" s="12"/>
      <c r="EHH54" s="12"/>
      <c r="EHI54" s="12"/>
      <c r="EHJ54" s="12"/>
      <c r="EHK54" s="12"/>
      <c r="EHL54" s="12"/>
      <c r="EHM54" s="12"/>
      <c r="EHN54" s="12"/>
      <c r="EHO54" s="12"/>
      <c r="EHP54" s="12"/>
      <c r="EHQ54" s="12"/>
      <c r="EHR54" s="12"/>
      <c r="EHS54" s="12"/>
      <c r="EHT54" s="12"/>
      <c r="EHU54" s="12"/>
      <c r="EHV54" s="12"/>
      <c r="EHW54" s="12"/>
      <c r="EHX54" s="12"/>
      <c r="EHY54" s="12"/>
      <c r="EHZ54" s="12"/>
      <c r="EIA54" s="12"/>
      <c r="EIB54" s="12"/>
      <c r="EIC54" s="12"/>
      <c r="EID54" s="12"/>
      <c r="EIE54" s="12"/>
      <c r="EIF54" s="12"/>
      <c r="EIG54" s="12"/>
      <c r="EIH54" s="12"/>
      <c r="EII54" s="12"/>
      <c r="EIJ54" s="12"/>
      <c r="EIK54" s="12"/>
      <c r="EIL54" s="12"/>
      <c r="EIM54" s="12"/>
      <c r="EIN54" s="12"/>
      <c r="EIO54" s="12"/>
      <c r="EIP54" s="12"/>
      <c r="EIQ54" s="12"/>
      <c r="EIR54" s="12"/>
      <c r="EIS54" s="12"/>
      <c r="EIT54" s="12"/>
      <c r="EIU54" s="12"/>
      <c r="EIV54" s="12"/>
      <c r="EIW54" s="12"/>
      <c r="EIX54" s="12"/>
      <c r="EIY54" s="12"/>
      <c r="EIZ54" s="12"/>
      <c r="EJA54" s="12"/>
      <c r="EJB54" s="12"/>
      <c r="EJC54" s="12"/>
      <c r="EJD54" s="12"/>
      <c r="EJE54" s="12"/>
      <c r="EJF54" s="12"/>
      <c r="EJG54" s="12"/>
      <c r="EJH54" s="12"/>
      <c r="EJI54" s="12"/>
      <c r="EJJ54" s="12"/>
      <c r="EJK54" s="12"/>
      <c r="EJL54" s="12"/>
      <c r="EJM54" s="12"/>
      <c r="EJN54" s="12"/>
      <c r="EJO54" s="12"/>
      <c r="EJP54" s="12"/>
      <c r="EJQ54" s="12"/>
      <c r="EJR54" s="12"/>
      <c r="EJS54" s="12"/>
      <c r="EJT54" s="12"/>
      <c r="EJU54" s="12"/>
      <c r="EJV54" s="12"/>
      <c r="EJW54" s="12"/>
      <c r="EJX54" s="12"/>
      <c r="EJY54" s="12"/>
      <c r="EJZ54" s="12"/>
      <c r="EKA54" s="12"/>
      <c r="EKB54" s="12"/>
      <c r="EKC54" s="12"/>
      <c r="EKD54" s="12"/>
      <c r="EKE54" s="12"/>
      <c r="EKF54" s="12"/>
      <c r="EKG54" s="12"/>
      <c r="EKH54" s="12"/>
      <c r="EKI54" s="12"/>
      <c r="EKJ54" s="12"/>
      <c r="EKK54" s="12"/>
      <c r="EKL54" s="12"/>
      <c r="EKM54" s="12"/>
      <c r="EKN54" s="12"/>
      <c r="EKO54" s="12"/>
      <c r="EKP54" s="12"/>
      <c r="EKQ54" s="12"/>
      <c r="EKR54" s="12"/>
      <c r="EKS54" s="12"/>
      <c r="EKT54" s="12"/>
      <c r="EKU54" s="12"/>
      <c r="EKV54" s="12"/>
      <c r="EKW54" s="12"/>
      <c r="EKX54" s="12"/>
      <c r="EKY54" s="12"/>
      <c r="EKZ54" s="12"/>
      <c r="ELA54" s="12"/>
      <c r="ELB54" s="12"/>
      <c r="ELC54" s="12"/>
      <c r="ELD54" s="12"/>
      <c r="ELE54" s="12"/>
      <c r="ELF54" s="12"/>
      <c r="ELG54" s="12"/>
      <c r="ELH54" s="12"/>
      <c r="ELI54" s="12"/>
      <c r="ELJ54" s="12"/>
      <c r="ELK54" s="12"/>
      <c r="ELL54" s="12"/>
      <c r="ELM54" s="12"/>
      <c r="ELN54" s="12"/>
      <c r="ELO54" s="12"/>
      <c r="ELP54" s="12"/>
      <c r="ELQ54" s="12"/>
      <c r="ELR54" s="12"/>
      <c r="ELS54" s="12"/>
      <c r="ELT54" s="12"/>
      <c r="ELU54" s="12"/>
      <c r="ELV54" s="12"/>
      <c r="ELW54" s="12"/>
      <c r="ELX54" s="12"/>
      <c r="ELY54" s="12"/>
      <c r="ELZ54" s="12"/>
      <c r="EMA54" s="12"/>
      <c r="EMB54" s="12"/>
      <c r="EMC54" s="12"/>
      <c r="EMD54" s="12"/>
      <c r="EME54" s="12"/>
      <c r="EMF54" s="12"/>
      <c r="EMG54" s="12"/>
      <c r="EMH54" s="12"/>
      <c r="EMI54" s="12"/>
      <c r="EMJ54" s="12"/>
      <c r="EMK54" s="12"/>
      <c r="EML54" s="12"/>
      <c r="EMM54" s="12"/>
      <c r="EMN54" s="12"/>
      <c r="EMO54" s="12"/>
      <c r="EMP54" s="12"/>
      <c r="EMQ54" s="12"/>
      <c r="EMR54" s="12"/>
      <c r="EMS54" s="12"/>
      <c r="EMT54" s="12"/>
      <c r="EMU54" s="12"/>
      <c r="EMV54" s="12"/>
      <c r="EMW54" s="12"/>
      <c r="EMX54" s="12"/>
      <c r="EMY54" s="12"/>
      <c r="EMZ54" s="12"/>
      <c r="ENA54" s="12"/>
      <c r="ENB54" s="12"/>
      <c r="ENC54" s="12"/>
      <c r="END54" s="12"/>
      <c r="ENE54" s="12"/>
      <c r="ENF54" s="12"/>
      <c r="ENG54" s="12"/>
      <c r="ENH54" s="12"/>
      <c r="ENI54" s="12"/>
      <c r="ENJ54" s="12"/>
      <c r="ENK54" s="12"/>
      <c r="ENL54" s="12"/>
      <c r="ENM54" s="12"/>
      <c r="ENN54" s="12"/>
      <c r="ENO54" s="12"/>
      <c r="ENP54" s="12"/>
      <c r="ENQ54" s="12"/>
      <c r="ENR54" s="12"/>
      <c r="ENS54" s="12"/>
      <c r="ENT54" s="12"/>
      <c r="ENU54" s="12"/>
      <c r="ENV54" s="12"/>
      <c r="ENW54" s="12"/>
      <c r="ENX54" s="12"/>
      <c r="ENY54" s="12"/>
      <c r="ENZ54" s="12"/>
      <c r="EOA54" s="12"/>
      <c r="EOB54" s="12"/>
      <c r="EOC54" s="12"/>
      <c r="EOD54" s="12"/>
      <c r="EOE54" s="12"/>
      <c r="EOF54" s="12"/>
      <c r="EOG54" s="12"/>
      <c r="EOH54" s="12"/>
      <c r="EOI54" s="12"/>
      <c r="EOJ54" s="12"/>
      <c r="EOK54" s="12"/>
      <c r="EOL54" s="12"/>
      <c r="EOM54" s="12"/>
      <c r="EON54" s="12"/>
      <c r="EOO54" s="12"/>
      <c r="EOP54" s="12"/>
      <c r="EOQ54" s="12"/>
      <c r="EOR54" s="12"/>
      <c r="EOS54" s="12"/>
      <c r="EOT54" s="12"/>
      <c r="EOU54" s="12"/>
      <c r="EOV54" s="12"/>
      <c r="EOW54" s="12"/>
      <c r="EOX54" s="12"/>
      <c r="EOY54" s="12"/>
      <c r="EOZ54" s="12"/>
      <c r="EPA54" s="12"/>
      <c r="EPB54" s="12"/>
      <c r="EPC54" s="12"/>
      <c r="EPD54" s="12"/>
      <c r="EPE54" s="12"/>
      <c r="EPF54" s="12"/>
      <c r="EPG54" s="12"/>
      <c r="EPH54" s="12"/>
      <c r="EPI54" s="12"/>
      <c r="EPJ54" s="12"/>
      <c r="EPK54" s="12"/>
      <c r="EPL54" s="12"/>
      <c r="EPM54" s="12"/>
      <c r="EPN54" s="12"/>
      <c r="EPO54" s="12"/>
      <c r="EPP54" s="12"/>
      <c r="EPQ54" s="12"/>
      <c r="EPR54" s="12"/>
      <c r="EPS54" s="12"/>
      <c r="EPT54" s="12"/>
      <c r="EPU54" s="12"/>
      <c r="EPV54" s="12"/>
      <c r="EPW54" s="12"/>
      <c r="EPX54" s="12"/>
      <c r="EPY54" s="12"/>
      <c r="EPZ54" s="12"/>
      <c r="EQA54" s="12"/>
      <c r="EQB54" s="12"/>
      <c r="EQC54" s="12"/>
      <c r="EQD54" s="12"/>
      <c r="EQE54" s="12"/>
      <c r="EQF54" s="12"/>
      <c r="EQG54" s="12"/>
      <c r="EQH54" s="12"/>
      <c r="EQI54" s="12"/>
      <c r="EQJ54" s="12"/>
      <c r="EQK54" s="12"/>
      <c r="EQL54" s="12"/>
      <c r="EQM54" s="12"/>
      <c r="EQN54" s="12"/>
      <c r="EQO54" s="12"/>
      <c r="EQP54" s="12"/>
      <c r="EQQ54" s="12"/>
      <c r="EQR54" s="12"/>
      <c r="EQS54" s="12"/>
      <c r="EQT54" s="12"/>
      <c r="EQU54" s="12"/>
      <c r="EQV54" s="12"/>
      <c r="EQW54" s="12"/>
      <c r="EQX54" s="12"/>
      <c r="EQY54" s="12"/>
      <c r="EQZ54" s="12"/>
      <c r="ERA54" s="12"/>
      <c r="ERB54" s="12"/>
      <c r="ERC54" s="12"/>
      <c r="ERD54" s="12"/>
      <c r="ERE54" s="12"/>
      <c r="ERF54" s="12"/>
      <c r="ERG54" s="12"/>
      <c r="ERH54" s="12"/>
      <c r="ERI54" s="12"/>
      <c r="ERJ54" s="12"/>
      <c r="ERK54" s="12"/>
      <c r="ERL54" s="12"/>
      <c r="ERM54" s="12"/>
      <c r="ERN54" s="12"/>
      <c r="ERO54" s="12"/>
      <c r="ERP54" s="12"/>
      <c r="ERQ54" s="12"/>
      <c r="ERR54" s="12"/>
      <c r="ERS54" s="12"/>
      <c r="ERT54" s="12"/>
      <c r="ERU54" s="12"/>
      <c r="ERV54" s="12"/>
      <c r="ERW54" s="12"/>
      <c r="ERX54" s="12"/>
      <c r="ERY54" s="12"/>
      <c r="ERZ54" s="12"/>
      <c r="ESA54" s="12"/>
      <c r="ESB54" s="12"/>
      <c r="ESC54" s="12"/>
      <c r="ESD54" s="12"/>
      <c r="ESE54" s="12"/>
      <c r="ESF54" s="12"/>
      <c r="ESG54" s="12"/>
      <c r="ESH54" s="12"/>
      <c r="ESI54" s="12"/>
      <c r="ESJ54" s="12"/>
      <c r="ESK54" s="12"/>
      <c r="ESL54" s="12"/>
      <c r="ESM54" s="12"/>
      <c r="ESN54" s="12"/>
      <c r="ESO54" s="12"/>
      <c r="ESP54" s="12"/>
      <c r="ESQ54" s="12"/>
      <c r="ESR54" s="12"/>
      <c r="ESS54" s="12"/>
      <c r="EST54" s="12"/>
      <c r="ESU54" s="12"/>
      <c r="ESV54" s="12"/>
      <c r="ESW54" s="12"/>
      <c r="ESX54" s="12"/>
      <c r="ESY54" s="12"/>
      <c r="ESZ54" s="12"/>
      <c r="ETA54" s="12"/>
      <c r="ETB54" s="12"/>
      <c r="ETC54" s="12"/>
      <c r="ETD54" s="12"/>
      <c r="ETE54" s="12"/>
      <c r="ETF54" s="12"/>
      <c r="ETG54" s="12"/>
      <c r="ETH54" s="12"/>
      <c r="ETI54" s="12"/>
      <c r="ETJ54" s="12"/>
      <c r="ETK54" s="12"/>
      <c r="ETL54" s="12"/>
      <c r="ETM54" s="12"/>
      <c r="ETN54" s="12"/>
      <c r="ETO54" s="12"/>
      <c r="ETP54" s="12"/>
      <c r="ETQ54" s="12"/>
      <c r="ETR54" s="12"/>
      <c r="ETS54" s="12"/>
      <c r="ETT54" s="12"/>
      <c r="ETU54" s="12"/>
      <c r="ETV54" s="12"/>
      <c r="ETW54" s="12"/>
      <c r="ETX54" s="12"/>
      <c r="ETY54" s="12"/>
      <c r="ETZ54" s="12"/>
      <c r="EUA54" s="12"/>
      <c r="EUB54" s="12"/>
      <c r="EUC54" s="12"/>
      <c r="EUD54" s="12"/>
      <c r="EUE54" s="12"/>
      <c r="EUF54" s="12"/>
      <c r="EUG54" s="12"/>
      <c r="EUH54" s="12"/>
      <c r="EUI54" s="12"/>
      <c r="EUJ54" s="12"/>
      <c r="EUK54" s="12"/>
      <c r="EUL54" s="12"/>
      <c r="EUM54" s="12"/>
      <c r="EUN54" s="12"/>
      <c r="EUO54" s="12"/>
      <c r="EUP54" s="12"/>
      <c r="EUQ54" s="12"/>
      <c r="EUR54" s="12"/>
      <c r="EUS54" s="12"/>
      <c r="EUT54" s="12"/>
      <c r="EUU54" s="12"/>
      <c r="EUV54" s="12"/>
      <c r="EUW54" s="12"/>
      <c r="EUX54" s="12"/>
      <c r="EUY54" s="12"/>
      <c r="EUZ54" s="12"/>
      <c r="EVA54" s="12"/>
      <c r="EVB54" s="12"/>
      <c r="EVC54" s="12"/>
      <c r="EVD54" s="12"/>
      <c r="EVE54" s="12"/>
      <c r="EVF54" s="12"/>
      <c r="EVG54" s="12"/>
      <c r="EVH54" s="12"/>
      <c r="EVI54" s="12"/>
      <c r="EVJ54" s="12"/>
      <c r="EVK54" s="12"/>
      <c r="EVL54" s="12"/>
      <c r="EVM54" s="12"/>
      <c r="EVN54" s="12"/>
      <c r="EVO54" s="12"/>
      <c r="EVP54" s="12"/>
      <c r="EVQ54" s="12"/>
      <c r="EVR54" s="12"/>
      <c r="EVS54" s="12"/>
      <c r="EVT54" s="12"/>
      <c r="EVU54" s="12"/>
      <c r="EVV54" s="12"/>
      <c r="EVW54" s="12"/>
      <c r="EVX54" s="12"/>
      <c r="EVY54" s="12"/>
      <c r="EVZ54" s="12"/>
      <c r="EWA54" s="12"/>
      <c r="EWB54" s="12"/>
      <c r="EWC54" s="12"/>
      <c r="EWD54" s="12"/>
      <c r="EWE54" s="12"/>
      <c r="EWF54" s="12"/>
      <c r="EWG54" s="12"/>
      <c r="EWH54" s="12"/>
      <c r="EWI54" s="12"/>
      <c r="EWJ54" s="12"/>
      <c r="EWK54" s="12"/>
      <c r="EWL54" s="12"/>
      <c r="EWM54" s="12"/>
      <c r="EWN54" s="12"/>
      <c r="EWO54" s="12"/>
      <c r="EWP54" s="12"/>
      <c r="EWQ54" s="12"/>
      <c r="EWR54" s="12"/>
      <c r="EWS54" s="12"/>
      <c r="EWT54" s="12"/>
      <c r="EWU54" s="12"/>
      <c r="EWV54" s="12"/>
      <c r="EWW54" s="12"/>
      <c r="EWX54" s="12"/>
      <c r="EWY54" s="12"/>
      <c r="EWZ54" s="12"/>
      <c r="EXA54" s="12"/>
      <c r="EXB54" s="12"/>
      <c r="EXC54" s="12"/>
      <c r="EXD54" s="12"/>
      <c r="EXE54" s="12"/>
      <c r="EXF54" s="12"/>
      <c r="EXG54" s="12"/>
      <c r="EXH54" s="12"/>
      <c r="EXI54" s="12"/>
      <c r="EXJ54" s="12"/>
      <c r="EXK54" s="12"/>
      <c r="EXL54" s="12"/>
      <c r="EXM54" s="12"/>
      <c r="EXN54" s="12"/>
      <c r="EXO54" s="12"/>
      <c r="EXP54" s="12"/>
      <c r="EXQ54" s="12"/>
      <c r="EXR54" s="12"/>
      <c r="EXS54" s="12"/>
      <c r="EXT54" s="12"/>
      <c r="EXU54" s="12"/>
      <c r="EXV54" s="12"/>
      <c r="EXW54" s="12"/>
      <c r="EXX54" s="12"/>
      <c r="EXY54" s="12"/>
      <c r="EXZ54" s="12"/>
      <c r="EYA54" s="12"/>
      <c r="EYB54" s="12"/>
      <c r="EYC54" s="12"/>
      <c r="EYD54" s="12"/>
      <c r="EYE54" s="12"/>
      <c r="EYF54" s="12"/>
      <c r="EYG54" s="12"/>
      <c r="EYH54" s="12"/>
      <c r="EYI54" s="12"/>
      <c r="EYJ54" s="12"/>
      <c r="EYK54" s="12"/>
      <c r="EYL54" s="12"/>
      <c r="EYM54" s="12"/>
      <c r="EYN54" s="12"/>
      <c r="EYO54" s="12"/>
      <c r="EYP54" s="12"/>
      <c r="EYQ54" s="12"/>
      <c r="EYR54" s="12"/>
      <c r="EYS54" s="12"/>
      <c r="EYT54" s="12"/>
      <c r="EYU54" s="12"/>
      <c r="EYV54" s="12"/>
      <c r="EYW54" s="12"/>
      <c r="EYX54" s="12"/>
      <c r="EYY54" s="12"/>
      <c r="EYZ54" s="12"/>
      <c r="EZA54" s="12"/>
      <c r="EZB54" s="12"/>
      <c r="EZC54" s="12"/>
      <c r="EZD54" s="12"/>
      <c r="EZE54" s="12"/>
      <c r="EZF54" s="12"/>
      <c r="EZG54" s="12"/>
      <c r="EZH54" s="12"/>
      <c r="EZI54" s="12"/>
      <c r="EZJ54" s="12"/>
      <c r="EZK54" s="12"/>
      <c r="EZL54" s="12"/>
      <c r="EZM54" s="12"/>
      <c r="EZN54" s="12"/>
      <c r="EZO54" s="12"/>
      <c r="EZP54" s="12"/>
      <c r="EZQ54" s="12"/>
      <c r="EZR54" s="12"/>
      <c r="EZS54" s="12"/>
      <c r="EZT54" s="12"/>
      <c r="EZU54" s="12"/>
      <c r="EZV54" s="12"/>
      <c r="EZW54" s="12"/>
      <c r="EZX54" s="12"/>
      <c r="EZY54" s="12"/>
      <c r="EZZ54" s="12"/>
      <c r="FAA54" s="12"/>
      <c r="FAB54" s="12"/>
      <c r="FAC54" s="12"/>
      <c r="FAD54" s="12"/>
      <c r="FAE54" s="12"/>
      <c r="FAF54" s="12"/>
      <c r="FAG54" s="12"/>
      <c r="FAH54" s="12"/>
      <c r="FAI54" s="12"/>
      <c r="FAJ54" s="12"/>
      <c r="FAK54" s="12"/>
      <c r="FAL54" s="12"/>
      <c r="FAM54" s="12"/>
      <c r="FAN54" s="12"/>
      <c r="FAO54" s="12"/>
      <c r="FAP54" s="12"/>
      <c r="FAQ54" s="12"/>
      <c r="FAR54" s="12"/>
      <c r="FAS54" s="12"/>
      <c r="FAT54" s="12"/>
      <c r="FAU54" s="12"/>
      <c r="FAV54" s="12"/>
      <c r="FAW54" s="12"/>
      <c r="FAX54" s="12"/>
      <c r="FAY54" s="12"/>
      <c r="FAZ54" s="12"/>
      <c r="FBA54" s="12"/>
      <c r="FBB54" s="12"/>
      <c r="FBC54" s="12"/>
      <c r="FBD54" s="12"/>
      <c r="FBE54" s="12"/>
      <c r="FBF54" s="12"/>
      <c r="FBG54" s="12"/>
      <c r="FBH54" s="12"/>
      <c r="FBI54" s="12"/>
      <c r="FBJ54" s="12"/>
      <c r="FBK54" s="12"/>
      <c r="FBL54" s="12"/>
      <c r="FBM54" s="12"/>
      <c r="FBN54" s="12"/>
      <c r="FBO54" s="12"/>
      <c r="FBP54" s="12"/>
      <c r="FBQ54" s="12"/>
      <c r="FBR54" s="12"/>
      <c r="FBS54" s="12"/>
      <c r="FBT54" s="12"/>
      <c r="FBU54" s="12"/>
      <c r="FBV54" s="12"/>
      <c r="FBW54" s="12"/>
      <c r="FBX54" s="12"/>
      <c r="FBY54" s="12"/>
      <c r="FBZ54" s="12"/>
      <c r="FCA54" s="12"/>
      <c r="FCB54" s="12"/>
      <c r="FCC54" s="12"/>
      <c r="FCD54" s="12"/>
      <c r="FCE54" s="12"/>
      <c r="FCF54" s="12"/>
      <c r="FCG54" s="12"/>
      <c r="FCH54" s="12"/>
      <c r="FCI54" s="12"/>
      <c r="FCJ54" s="12"/>
      <c r="FCK54" s="12"/>
      <c r="FCL54" s="12"/>
      <c r="FCM54" s="12"/>
      <c r="FCN54" s="12"/>
      <c r="FCO54" s="12"/>
      <c r="FCP54" s="12"/>
      <c r="FCQ54" s="12"/>
      <c r="FCR54" s="12"/>
      <c r="FCS54" s="12"/>
      <c r="FCT54" s="12"/>
      <c r="FCU54" s="12"/>
      <c r="FCV54" s="12"/>
      <c r="FCW54" s="12"/>
      <c r="FCX54" s="12"/>
      <c r="FCY54" s="12"/>
      <c r="FCZ54" s="12"/>
      <c r="FDA54" s="12"/>
      <c r="FDB54" s="12"/>
      <c r="FDC54" s="12"/>
      <c r="FDD54" s="12"/>
      <c r="FDE54" s="12"/>
      <c r="FDF54" s="12"/>
      <c r="FDG54" s="12"/>
      <c r="FDH54" s="12"/>
      <c r="FDI54" s="12"/>
      <c r="FDJ54" s="12"/>
      <c r="FDK54" s="12"/>
      <c r="FDL54" s="12"/>
      <c r="FDM54" s="12"/>
      <c r="FDN54" s="12"/>
      <c r="FDO54" s="12"/>
      <c r="FDP54" s="12"/>
      <c r="FDQ54" s="12"/>
      <c r="FDR54" s="12"/>
      <c r="FDS54" s="12"/>
      <c r="FDT54" s="12"/>
      <c r="FDU54" s="12"/>
      <c r="FDV54" s="12"/>
      <c r="FDW54" s="12"/>
      <c r="FDX54" s="12"/>
      <c r="FDY54" s="12"/>
      <c r="FDZ54" s="12"/>
      <c r="FEA54" s="12"/>
      <c r="FEB54" s="12"/>
      <c r="FEC54" s="12"/>
      <c r="FED54" s="12"/>
      <c r="FEE54" s="12"/>
      <c r="FEF54" s="12"/>
      <c r="FEG54" s="12"/>
      <c r="FEH54" s="12"/>
      <c r="FEI54" s="12"/>
      <c r="FEJ54" s="12"/>
      <c r="FEK54" s="12"/>
      <c r="FEL54" s="12"/>
      <c r="FEM54" s="12"/>
      <c r="FEN54" s="12"/>
      <c r="FEO54" s="12"/>
      <c r="FEP54" s="12"/>
      <c r="FEQ54" s="12"/>
      <c r="FER54" s="12"/>
      <c r="FES54" s="12"/>
      <c r="FET54" s="12"/>
      <c r="FEU54" s="12"/>
      <c r="FEV54" s="12"/>
      <c r="FEW54" s="12"/>
      <c r="FEX54" s="12"/>
      <c r="FEY54" s="12"/>
      <c r="FEZ54" s="12"/>
      <c r="FFA54" s="12"/>
      <c r="FFB54" s="12"/>
      <c r="FFC54" s="12"/>
      <c r="FFD54" s="12"/>
      <c r="FFE54" s="12"/>
      <c r="FFF54" s="12"/>
      <c r="FFG54" s="12"/>
      <c r="FFH54" s="12"/>
      <c r="FFI54" s="12"/>
      <c r="FFJ54" s="12"/>
      <c r="FFK54" s="12"/>
      <c r="FFL54" s="12"/>
      <c r="FFM54" s="12"/>
      <c r="FFN54" s="12"/>
      <c r="FFO54" s="12"/>
      <c r="FFP54" s="12"/>
      <c r="FFQ54" s="12"/>
      <c r="FFR54" s="12"/>
      <c r="FFS54" s="12"/>
      <c r="FFT54" s="12"/>
      <c r="FFU54" s="12"/>
      <c r="FFV54" s="12"/>
      <c r="FFW54" s="12"/>
      <c r="FFX54" s="12"/>
      <c r="FFY54" s="12"/>
      <c r="FFZ54" s="12"/>
      <c r="FGA54" s="12"/>
      <c r="FGB54" s="12"/>
      <c r="FGC54" s="12"/>
      <c r="FGD54" s="12"/>
      <c r="FGE54" s="12"/>
      <c r="FGF54" s="12"/>
      <c r="FGG54" s="12"/>
      <c r="FGH54" s="12"/>
      <c r="FGI54" s="12"/>
      <c r="FGJ54" s="12"/>
      <c r="FGK54" s="12"/>
      <c r="FGL54" s="12"/>
      <c r="FGM54" s="12"/>
      <c r="FGN54" s="12"/>
      <c r="FGO54" s="12"/>
      <c r="FGP54" s="12"/>
      <c r="FGQ54" s="12"/>
      <c r="FGR54" s="12"/>
      <c r="FGS54" s="12"/>
      <c r="FGT54" s="12"/>
      <c r="FGU54" s="12"/>
      <c r="FGV54" s="12"/>
      <c r="FGW54" s="12"/>
      <c r="FGX54" s="12"/>
      <c r="FGY54" s="12"/>
      <c r="FGZ54" s="12"/>
      <c r="FHA54" s="12"/>
      <c r="FHB54" s="12"/>
      <c r="FHC54" s="12"/>
      <c r="FHD54" s="12"/>
      <c r="FHE54" s="12"/>
      <c r="FHF54" s="12"/>
      <c r="FHG54" s="12"/>
      <c r="FHH54" s="12"/>
      <c r="FHI54" s="12"/>
      <c r="FHJ54" s="12"/>
      <c r="FHK54" s="12"/>
      <c r="FHL54" s="12"/>
      <c r="FHM54" s="12"/>
      <c r="FHN54" s="12"/>
      <c r="FHO54" s="12"/>
      <c r="FHP54" s="12"/>
      <c r="FHQ54" s="12"/>
      <c r="FHR54" s="12"/>
      <c r="FHS54" s="12"/>
      <c r="FHT54" s="12"/>
      <c r="FHU54" s="12"/>
      <c r="FHV54" s="12"/>
      <c r="FHW54" s="12"/>
      <c r="FHX54" s="12"/>
      <c r="FHY54" s="12"/>
      <c r="FHZ54" s="12"/>
      <c r="FIA54" s="12"/>
      <c r="FIB54" s="12"/>
      <c r="FIC54" s="12"/>
      <c r="FID54" s="12"/>
      <c r="FIE54" s="12"/>
      <c r="FIF54" s="12"/>
      <c r="FIG54" s="12"/>
      <c r="FIH54" s="12"/>
      <c r="FII54" s="12"/>
      <c r="FIJ54" s="12"/>
      <c r="FIK54" s="12"/>
      <c r="FIL54" s="12"/>
      <c r="FIM54" s="12"/>
      <c r="FIN54" s="12"/>
      <c r="FIO54" s="12"/>
      <c r="FIP54" s="12"/>
      <c r="FIQ54" s="12"/>
      <c r="FIR54" s="12"/>
      <c r="FIS54" s="12"/>
      <c r="FIT54" s="12"/>
      <c r="FIU54" s="12"/>
      <c r="FIV54" s="12"/>
      <c r="FIW54" s="12"/>
      <c r="FIX54" s="12"/>
      <c r="FIY54" s="12"/>
      <c r="FIZ54" s="12"/>
      <c r="FJA54" s="12"/>
      <c r="FJB54" s="12"/>
      <c r="FJC54" s="12"/>
      <c r="FJD54" s="12"/>
      <c r="FJE54" s="12"/>
      <c r="FJF54" s="12"/>
      <c r="FJG54" s="12"/>
      <c r="FJH54" s="12"/>
      <c r="FJI54" s="12"/>
      <c r="FJJ54" s="12"/>
      <c r="FJK54" s="12"/>
      <c r="FJL54" s="12"/>
      <c r="FJM54" s="12"/>
      <c r="FJN54" s="12"/>
      <c r="FJO54" s="12"/>
      <c r="FJP54" s="12"/>
      <c r="FJQ54" s="12"/>
      <c r="FJR54" s="12"/>
      <c r="FJS54" s="12"/>
      <c r="FJT54" s="12"/>
      <c r="FJU54" s="12"/>
      <c r="FJV54" s="12"/>
      <c r="FJW54" s="12"/>
      <c r="FJX54" s="12"/>
      <c r="FJY54" s="12"/>
      <c r="FJZ54" s="12"/>
      <c r="FKA54" s="12"/>
      <c r="FKB54" s="12"/>
      <c r="FKC54" s="12"/>
      <c r="FKD54" s="12"/>
      <c r="FKE54" s="12"/>
      <c r="FKF54" s="12"/>
      <c r="FKG54" s="12"/>
      <c r="FKH54" s="12"/>
      <c r="FKI54" s="12"/>
      <c r="FKJ54" s="12"/>
      <c r="FKK54" s="12"/>
      <c r="FKL54" s="12"/>
      <c r="FKM54" s="12"/>
      <c r="FKN54" s="12"/>
      <c r="FKO54" s="12"/>
      <c r="FKP54" s="12"/>
      <c r="FKQ54" s="12"/>
      <c r="FKR54" s="12"/>
      <c r="FKS54" s="12"/>
      <c r="FKT54" s="12"/>
      <c r="FKU54" s="12"/>
      <c r="FKV54" s="12"/>
      <c r="FKW54" s="12"/>
      <c r="FKX54" s="12"/>
      <c r="FKY54" s="12"/>
      <c r="FKZ54" s="12"/>
      <c r="FLA54" s="12"/>
      <c r="FLB54" s="12"/>
      <c r="FLC54" s="12"/>
      <c r="FLD54" s="12"/>
      <c r="FLE54" s="12"/>
      <c r="FLF54" s="12"/>
      <c r="FLG54" s="12"/>
      <c r="FLH54" s="12"/>
      <c r="FLI54" s="12"/>
      <c r="FLJ54" s="12"/>
      <c r="FLK54" s="12"/>
      <c r="FLL54" s="12"/>
      <c r="FLM54" s="12"/>
      <c r="FLN54" s="12"/>
      <c r="FLO54" s="12"/>
      <c r="FLP54" s="12"/>
      <c r="FLQ54" s="12"/>
      <c r="FLR54" s="12"/>
      <c r="FLS54" s="12"/>
      <c r="FLT54" s="12"/>
      <c r="FLU54" s="12"/>
      <c r="FLV54" s="12"/>
      <c r="FLW54" s="12"/>
      <c r="FLX54" s="12"/>
      <c r="FLY54" s="12"/>
      <c r="FLZ54" s="12"/>
      <c r="FMA54" s="12"/>
      <c r="FMB54" s="12"/>
      <c r="FMC54" s="12"/>
      <c r="FMD54" s="12"/>
      <c r="FME54" s="12"/>
      <c r="FMF54" s="12"/>
      <c r="FMG54" s="12"/>
      <c r="FMH54" s="12"/>
      <c r="FMI54" s="12"/>
      <c r="FMJ54" s="12"/>
      <c r="FMK54" s="12"/>
      <c r="FML54" s="12"/>
      <c r="FMM54" s="12"/>
      <c r="FMN54" s="12"/>
      <c r="FMO54" s="12"/>
      <c r="FMP54" s="12"/>
      <c r="FMQ54" s="12"/>
      <c r="FMR54" s="12"/>
      <c r="FMS54" s="12"/>
      <c r="FMT54" s="12"/>
      <c r="FMU54" s="12"/>
      <c r="FMV54" s="12"/>
      <c r="FMW54" s="12"/>
      <c r="FMX54" s="12"/>
      <c r="FMY54" s="12"/>
      <c r="FMZ54" s="12"/>
      <c r="FNA54" s="12"/>
      <c r="FNB54" s="12"/>
      <c r="FNC54" s="12"/>
      <c r="FND54" s="12"/>
      <c r="FNE54" s="12"/>
      <c r="FNF54" s="12"/>
      <c r="FNG54" s="12"/>
      <c r="FNH54" s="12"/>
      <c r="FNI54" s="12"/>
      <c r="FNJ54" s="12"/>
      <c r="FNK54" s="12"/>
      <c r="FNL54" s="12"/>
      <c r="FNM54" s="12"/>
      <c r="FNN54" s="12"/>
      <c r="FNO54" s="12"/>
      <c r="FNP54" s="12"/>
      <c r="FNQ54" s="12"/>
      <c r="FNR54" s="12"/>
      <c r="FNS54" s="12"/>
      <c r="FNT54" s="12"/>
      <c r="FNU54" s="12"/>
      <c r="FNV54" s="12"/>
      <c r="FNW54" s="12"/>
      <c r="FNX54" s="12"/>
      <c r="FNY54" s="12"/>
      <c r="FNZ54" s="12"/>
      <c r="FOA54" s="12"/>
      <c r="FOB54" s="12"/>
      <c r="FOC54" s="12"/>
      <c r="FOD54" s="12"/>
      <c r="FOE54" s="12"/>
      <c r="FOF54" s="12"/>
      <c r="FOG54" s="12"/>
      <c r="FOH54" s="12"/>
      <c r="FOI54" s="12"/>
      <c r="FOJ54" s="12"/>
      <c r="FOK54" s="12"/>
      <c r="FOL54" s="12"/>
      <c r="FOM54" s="12"/>
      <c r="FON54" s="12"/>
      <c r="FOO54" s="12"/>
      <c r="FOP54" s="12"/>
      <c r="FOQ54" s="12"/>
      <c r="FOR54" s="12"/>
      <c r="FOS54" s="12"/>
      <c r="FOT54" s="12"/>
      <c r="FOU54" s="12"/>
      <c r="FOV54" s="12"/>
      <c r="FOW54" s="12"/>
      <c r="FOX54" s="12"/>
      <c r="FOY54" s="12"/>
      <c r="FOZ54" s="12"/>
      <c r="FPA54" s="12"/>
      <c r="FPB54" s="12"/>
      <c r="FPC54" s="12"/>
      <c r="FPD54" s="12"/>
      <c r="FPE54" s="12"/>
      <c r="FPF54" s="12"/>
      <c r="FPG54" s="12"/>
      <c r="FPH54" s="12"/>
      <c r="FPI54" s="12"/>
      <c r="FPJ54" s="12"/>
      <c r="FPK54" s="12"/>
      <c r="FPL54" s="12"/>
      <c r="FPM54" s="12"/>
      <c r="FPN54" s="12"/>
      <c r="FPO54" s="12"/>
      <c r="FPP54" s="12"/>
      <c r="FPQ54" s="12"/>
      <c r="FPR54" s="12"/>
      <c r="FPS54" s="12"/>
      <c r="FPT54" s="12"/>
      <c r="FPU54" s="12"/>
      <c r="FPV54" s="12"/>
      <c r="FPW54" s="12"/>
      <c r="FPX54" s="12"/>
      <c r="FPY54" s="12"/>
      <c r="FPZ54" s="12"/>
      <c r="FQA54" s="12"/>
      <c r="FQB54" s="12"/>
      <c r="FQC54" s="12"/>
      <c r="FQD54" s="12"/>
      <c r="FQE54" s="12"/>
      <c r="FQF54" s="12"/>
      <c r="FQG54" s="12"/>
      <c r="FQH54" s="12"/>
      <c r="FQI54" s="12"/>
      <c r="FQJ54" s="12"/>
      <c r="FQK54" s="12"/>
      <c r="FQL54" s="12"/>
      <c r="FQM54" s="12"/>
      <c r="FQN54" s="12"/>
      <c r="FQO54" s="12"/>
      <c r="FQP54" s="12"/>
      <c r="FQQ54" s="12"/>
      <c r="FQR54" s="12"/>
      <c r="FQS54" s="12"/>
      <c r="FQT54" s="12"/>
      <c r="FQU54" s="12"/>
      <c r="FQV54" s="12"/>
      <c r="FQW54" s="12"/>
      <c r="FQX54" s="12"/>
      <c r="FQY54" s="12"/>
      <c r="FQZ54" s="12"/>
      <c r="FRA54" s="12"/>
      <c r="FRB54" s="12"/>
      <c r="FRC54" s="12"/>
      <c r="FRD54" s="12"/>
      <c r="FRE54" s="12"/>
      <c r="FRF54" s="12"/>
      <c r="FRG54" s="12"/>
      <c r="FRH54" s="12"/>
      <c r="FRI54" s="12"/>
      <c r="FRJ54" s="12"/>
      <c r="FRK54" s="12"/>
      <c r="FRL54" s="12"/>
      <c r="FRM54" s="12"/>
      <c r="FRN54" s="12"/>
      <c r="FRO54" s="12"/>
      <c r="FRP54" s="12"/>
      <c r="FRQ54" s="12"/>
      <c r="FRR54" s="12"/>
      <c r="FRS54" s="12"/>
      <c r="FRT54" s="12"/>
      <c r="FRU54" s="12"/>
      <c r="FRV54" s="12"/>
      <c r="FRW54" s="12"/>
      <c r="FRX54" s="12"/>
      <c r="FRY54" s="12"/>
      <c r="FRZ54" s="12"/>
      <c r="FSA54" s="12"/>
      <c r="FSB54" s="12"/>
      <c r="FSC54" s="12"/>
      <c r="FSD54" s="12"/>
      <c r="FSE54" s="12"/>
      <c r="FSF54" s="12"/>
      <c r="FSG54" s="12"/>
      <c r="FSH54" s="12"/>
      <c r="FSI54" s="12"/>
      <c r="FSJ54" s="12"/>
      <c r="FSK54" s="12"/>
      <c r="FSL54" s="12"/>
      <c r="FSM54" s="12"/>
      <c r="FSN54" s="12"/>
      <c r="FSO54" s="12"/>
      <c r="FSP54" s="12"/>
      <c r="FSQ54" s="12"/>
      <c r="FSR54" s="12"/>
      <c r="FSS54" s="12"/>
      <c r="FST54" s="12"/>
      <c r="FSU54" s="12"/>
      <c r="FSV54" s="12"/>
      <c r="FSW54" s="12"/>
      <c r="FSX54" s="12"/>
      <c r="FSY54" s="12"/>
      <c r="FSZ54" s="12"/>
      <c r="FTA54" s="12"/>
      <c r="FTB54" s="12"/>
      <c r="FTC54" s="12"/>
      <c r="FTD54" s="12"/>
      <c r="FTE54" s="12"/>
      <c r="FTF54" s="12"/>
      <c r="FTG54" s="12"/>
      <c r="FTH54" s="12"/>
      <c r="FTI54" s="12"/>
      <c r="FTJ54" s="12"/>
      <c r="FTK54" s="12"/>
      <c r="FTL54" s="12"/>
      <c r="FTM54" s="12"/>
      <c r="FTN54" s="12"/>
      <c r="FTO54" s="12"/>
      <c r="FTP54" s="12"/>
      <c r="FTQ54" s="12"/>
      <c r="FTR54" s="12"/>
      <c r="FTS54" s="12"/>
      <c r="FTT54" s="12"/>
      <c r="FTU54" s="12"/>
      <c r="FTV54" s="12"/>
      <c r="FTW54" s="12"/>
      <c r="FTX54" s="12"/>
      <c r="FTY54" s="12"/>
      <c r="FTZ54" s="12"/>
      <c r="FUA54" s="12"/>
      <c r="FUB54" s="12"/>
      <c r="FUC54" s="12"/>
      <c r="FUD54" s="12"/>
      <c r="FUE54" s="12"/>
      <c r="FUF54" s="12"/>
      <c r="FUG54" s="12"/>
      <c r="FUH54" s="12"/>
      <c r="FUI54" s="12"/>
      <c r="FUJ54" s="12"/>
      <c r="FUK54" s="12"/>
      <c r="FUL54" s="12"/>
      <c r="FUM54" s="12"/>
      <c r="FUN54" s="12"/>
      <c r="FUO54" s="12"/>
      <c r="FUP54" s="12"/>
      <c r="FUQ54" s="12"/>
      <c r="FUR54" s="12"/>
      <c r="FUS54" s="12"/>
      <c r="FUT54" s="12"/>
      <c r="FUU54" s="12"/>
      <c r="FUV54" s="12"/>
      <c r="FUW54" s="12"/>
      <c r="FUX54" s="12"/>
      <c r="FUY54" s="12"/>
      <c r="FUZ54" s="12"/>
      <c r="FVA54" s="12"/>
      <c r="FVB54" s="12"/>
      <c r="FVC54" s="12"/>
      <c r="FVD54" s="12"/>
      <c r="FVE54" s="12"/>
      <c r="FVF54" s="12"/>
      <c r="FVG54" s="12"/>
      <c r="FVH54" s="12"/>
      <c r="FVI54" s="12"/>
      <c r="FVJ54" s="12"/>
      <c r="FVK54" s="12"/>
      <c r="FVL54" s="12"/>
      <c r="FVM54" s="12"/>
      <c r="FVN54" s="12"/>
      <c r="FVO54" s="12"/>
      <c r="FVP54" s="12"/>
      <c r="FVQ54" s="12"/>
      <c r="FVR54" s="12"/>
      <c r="FVS54" s="12"/>
      <c r="FVT54" s="12"/>
      <c r="FVU54" s="12"/>
      <c r="FVV54" s="12"/>
      <c r="FVW54" s="12"/>
      <c r="FVX54" s="12"/>
      <c r="FVY54" s="12"/>
      <c r="FVZ54" s="12"/>
      <c r="FWA54" s="12"/>
      <c r="FWB54" s="12"/>
      <c r="FWC54" s="12"/>
      <c r="FWD54" s="12"/>
      <c r="FWE54" s="12"/>
      <c r="FWF54" s="12"/>
      <c r="FWG54" s="12"/>
      <c r="FWH54" s="12"/>
      <c r="FWI54" s="12"/>
      <c r="FWJ54" s="12"/>
      <c r="FWK54" s="12"/>
      <c r="FWL54" s="12"/>
      <c r="FWM54" s="12"/>
      <c r="FWN54" s="12"/>
      <c r="FWO54" s="12"/>
      <c r="FWP54" s="12"/>
      <c r="FWQ54" s="12"/>
      <c r="FWR54" s="12"/>
      <c r="FWS54" s="12"/>
      <c r="FWT54" s="12"/>
      <c r="FWU54" s="12"/>
      <c r="FWV54" s="12"/>
      <c r="FWW54" s="12"/>
      <c r="FWX54" s="12"/>
      <c r="FWY54" s="12"/>
      <c r="FWZ54" s="12"/>
      <c r="FXA54" s="12"/>
      <c r="FXB54" s="12"/>
      <c r="FXC54" s="12"/>
      <c r="FXD54" s="12"/>
      <c r="FXE54" s="12"/>
      <c r="FXF54" s="12"/>
      <c r="FXG54" s="12"/>
      <c r="FXH54" s="12"/>
      <c r="FXI54" s="12"/>
      <c r="FXJ54" s="12"/>
      <c r="FXK54" s="12"/>
      <c r="FXL54" s="12"/>
      <c r="FXM54" s="12"/>
      <c r="FXN54" s="12"/>
      <c r="FXO54" s="12"/>
      <c r="FXP54" s="12"/>
      <c r="FXQ54" s="12"/>
      <c r="FXR54" s="12"/>
      <c r="FXS54" s="12"/>
      <c r="FXT54" s="12"/>
      <c r="FXU54" s="12"/>
      <c r="FXV54" s="12"/>
      <c r="FXW54" s="12"/>
      <c r="FXX54" s="12"/>
      <c r="FXY54" s="12"/>
      <c r="FXZ54" s="12"/>
      <c r="FYA54" s="12"/>
      <c r="FYB54" s="12"/>
      <c r="FYC54" s="12"/>
      <c r="FYD54" s="12"/>
      <c r="FYE54" s="12"/>
      <c r="FYF54" s="12"/>
      <c r="FYG54" s="12"/>
      <c r="FYH54" s="12"/>
      <c r="FYI54" s="12"/>
      <c r="FYJ54" s="12"/>
      <c r="FYK54" s="12"/>
      <c r="FYL54" s="12"/>
      <c r="FYM54" s="12"/>
      <c r="FYN54" s="12"/>
      <c r="FYO54" s="12"/>
      <c r="FYP54" s="12"/>
      <c r="FYQ54" s="12"/>
      <c r="FYR54" s="12"/>
      <c r="FYS54" s="12"/>
      <c r="FYT54" s="12"/>
      <c r="FYU54" s="12"/>
      <c r="FYV54" s="12"/>
      <c r="FYW54" s="12"/>
      <c r="FYX54" s="12"/>
      <c r="FYY54" s="12"/>
      <c r="FYZ54" s="12"/>
      <c r="FZA54" s="12"/>
      <c r="FZB54" s="12"/>
      <c r="FZC54" s="12"/>
      <c r="FZD54" s="12"/>
      <c r="FZE54" s="12"/>
      <c r="FZF54" s="12"/>
      <c r="FZG54" s="12"/>
      <c r="FZH54" s="12"/>
      <c r="FZI54" s="12"/>
      <c r="FZJ54" s="12"/>
      <c r="FZK54" s="12"/>
      <c r="FZL54" s="12"/>
      <c r="FZM54" s="12"/>
      <c r="FZN54" s="12"/>
      <c r="FZO54" s="12"/>
      <c r="FZP54" s="12"/>
      <c r="FZQ54" s="12"/>
      <c r="FZR54" s="12"/>
      <c r="FZS54" s="12"/>
      <c r="FZT54" s="12"/>
      <c r="FZU54" s="12"/>
      <c r="FZV54" s="12"/>
      <c r="FZW54" s="12"/>
      <c r="FZX54" s="12"/>
      <c r="FZY54" s="12"/>
      <c r="FZZ54" s="12"/>
      <c r="GAA54" s="12"/>
      <c r="GAB54" s="12"/>
      <c r="GAC54" s="12"/>
      <c r="GAD54" s="12"/>
      <c r="GAE54" s="12"/>
      <c r="GAF54" s="12"/>
      <c r="GAG54" s="12"/>
      <c r="GAH54" s="12"/>
      <c r="GAI54" s="12"/>
      <c r="GAJ54" s="12"/>
      <c r="GAK54" s="12"/>
      <c r="GAL54" s="12"/>
      <c r="GAM54" s="12"/>
      <c r="GAN54" s="12"/>
      <c r="GAO54" s="12"/>
      <c r="GAP54" s="12"/>
      <c r="GAQ54" s="12"/>
      <c r="GAR54" s="12"/>
      <c r="GAS54" s="12"/>
      <c r="GAT54" s="12"/>
      <c r="GAU54" s="12"/>
      <c r="GAV54" s="12"/>
      <c r="GAW54" s="12"/>
      <c r="GAX54" s="12"/>
      <c r="GAY54" s="12"/>
      <c r="GAZ54" s="12"/>
      <c r="GBA54" s="12"/>
      <c r="GBB54" s="12"/>
      <c r="GBC54" s="12"/>
      <c r="GBD54" s="12"/>
      <c r="GBE54" s="12"/>
      <c r="GBF54" s="12"/>
      <c r="GBG54" s="12"/>
      <c r="GBH54" s="12"/>
      <c r="GBI54" s="12"/>
      <c r="GBJ54" s="12"/>
      <c r="GBK54" s="12"/>
      <c r="GBL54" s="12"/>
      <c r="GBM54" s="12"/>
      <c r="GBN54" s="12"/>
      <c r="GBO54" s="12"/>
      <c r="GBP54" s="12"/>
      <c r="GBQ54" s="12"/>
      <c r="GBR54" s="12"/>
      <c r="GBS54" s="12"/>
      <c r="GBT54" s="12"/>
      <c r="GBU54" s="12"/>
      <c r="GBV54" s="12"/>
      <c r="GBW54" s="12"/>
      <c r="GBX54" s="12"/>
      <c r="GBY54" s="12"/>
      <c r="GBZ54" s="12"/>
      <c r="GCA54" s="12"/>
      <c r="GCB54" s="12"/>
      <c r="GCC54" s="12"/>
      <c r="GCD54" s="12"/>
      <c r="GCE54" s="12"/>
      <c r="GCF54" s="12"/>
      <c r="GCG54" s="12"/>
      <c r="GCH54" s="12"/>
      <c r="GCI54" s="12"/>
      <c r="GCJ54" s="12"/>
      <c r="GCK54" s="12"/>
      <c r="GCL54" s="12"/>
      <c r="GCM54" s="12"/>
      <c r="GCN54" s="12"/>
      <c r="GCO54" s="12"/>
      <c r="GCP54" s="12"/>
      <c r="GCQ54" s="12"/>
      <c r="GCR54" s="12"/>
      <c r="GCS54" s="12"/>
      <c r="GCT54" s="12"/>
      <c r="GCU54" s="12"/>
      <c r="GCV54" s="12"/>
      <c r="GCW54" s="12"/>
      <c r="GCX54" s="12"/>
      <c r="GCY54" s="12"/>
      <c r="GCZ54" s="12"/>
      <c r="GDA54" s="12"/>
      <c r="GDB54" s="12"/>
      <c r="GDC54" s="12"/>
      <c r="GDD54" s="12"/>
      <c r="GDE54" s="12"/>
      <c r="GDF54" s="12"/>
      <c r="GDG54" s="12"/>
      <c r="GDH54" s="12"/>
      <c r="GDI54" s="12"/>
      <c r="GDJ54" s="12"/>
      <c r="GDK54" s="12"/>
      <c r="GDL54" s="12"/>
      <c r="GDM54" s="12"/>
      <c r="GDN54" s="12"/>
      <c r="GDO54" s="12"/>
      <c r="GDP54" s="12"/>
      <c r="GDQ54" s="12"/>
      <c r="GDR54" s="12"/>
      <c r="GDS54" s="12"/>
      <c r="GDT54" s="12"/>
      <c r="GDU54" s="12"/>
      <c r="GDV54" s="12"/>
      <c r="GDW54" s="12"/>
      <c r="GDX54" s="12"/>
      <c r="GDY54" s="12"/>
      <c r="GDZ54" s="12"/>
      <c r="GEA54" s="12"/>
      <c r="GEB54" s="12"/>
      <c r="GEC54" s="12"/>
      <c r="GED54" s="12"/>
      <c r="GEE54" s="12"/>
      <c r="GEF54" s="12"/>
      <c r="GEG54" s="12"/>
      <c r="GEH54" s="12"/>
      <c r="GEI54" s="12"/>
      <c r="GEJ54" s="12"/>
      <c r="GEK54" s="12"/>
      <c r="GEL54" s="12"/>
      <c r="GEM54" s="12"/>
      <c r="GEN54" s="12"/>
      <c r="GEO54" s="12"/>
      <c r="GEP54" s="12"/>
      <c r="GEQ54" s="12"/>
      <c r="GER54" s="12"/>
      <c r="GES54" s="12"/>
      <c r="GET54" s="12"/>
      <c r="GEU54" s="12"/>
      <c r="GEV54" s="12"/>
      <c r="GEW54" s="12"/>
      <c r="GEX54" s="12"/>
      <c r="GEY54" s="12"/>
      <c r="GEZ54" s="12"/>
      <c r="GFA54" s="12"/>
      <c r="GFB54" s="12"/>
      <c r="GFC54" s="12"/>
      <c r="GFD54" s="12"/>
      <c r="GFE54" s="12"/>
      <c r="GFF54" s="12"/>
      <c r="GFG54" s="12"/>
      <c r="GFH54" s="12"/>
      <c r="GFI54" s="12"/>
      <c r="GFJ54" s="12"/>
      <c r="GFK54" s="12"/>
      <c r="GFL54" s="12"/>
      <c r="GFM54" s="12"/>
      <c r="GFN54" s="12"/>
      <c r="GFO54" s="12"/>
      <c r="GFP54" s="12"/>
      <c r="GFQ54" s="12"/>
      <c r="GFR54" s="12"/>
      <c r="GFS54" s="12"/>
      <c r="GFT54" s="12"/>
      <c r="GFU54" s="12"/>
      <c r="GFV54" s="12"/>
      <c r="GFW54" s="12"/>
      <c r="GFX54" s="12"/>
      <c r="GFY54" s="12"/>
      <c r="GFZ54" s="12"/>
      <c r="GGA54" s="12"/>
      <c r="GGB54" s="12"/>
      <c r="GGC54" s="12"/>
      <c r="GGD54" s="12"/>
      <c r="GGE54" s="12"/>
      <c r="GGF54" s="12"/>
      <c r="GGG54" s="12"/>
      <c r="GGH54" s="12"/>
      <c r="GGI54" s="12"/>
      <c r="GGJ54" s="12"/>
      <c r="GGK54" s="12"/>
      <c r="GGL54" s="12"/>
      <c r="GGM54" s="12"/>
      <c r="GGN54" s="12"/>
      <c r="GGO54" s="12"/>
      <c r="GGP54" s="12"/>
      <c r="GGQ54" s="12"/>
      <c r="GGR54" s="12"/>
      <c r="GGS54" s="12"/>
      <c r="GGT54" s="12"/>
      <c r="GGU54" s="12"/>
      <c r="GGV54" s="12"/>
      <c r="GGW54" s="12"/>
      <c r="GGX54" s="12"/>
      <c r="GGY54" s="12"/>
      <c r="GGZ54" s="12"/>
      <c r="GHA54" s="12"/>
      <c r="GHB54" s="12"/>
      <c r="GHC54" s="12"/>
      <c r="GHD54" s="12"/>
      <c r="GHE54" s="12"/>
      <c r="GHF54" s="12"/>
      <c r="GHG54" s="12"/>
      <c r="GHH54" s="12"/>
      <c r="GHI54" s="12"/>
      <c r="GHJ54" s="12"/>
      <c r="GHK54" s="12"/>
      <c r="GHL54" s="12"/>
      <c r="GHM54" s="12"/>
      <c r="GHN54" s="12"/>
      <c r="GHO54" s="12"/>
      <c r="GHP54" s="12"/>
      <c r="GHQ54" s="12"/>
      <c r="GHR54" s="12"/>
      <c r="GHS54" s="12"/>
      <c r="GHT54" s="12"/>
      <c r="GHU54" s="12"/>
      <c r="GHV54" s="12"/>
      <c r="GHW54" s="12"/>
      <c r="GHX54" s="12"/>
      <c r="GHY54" s="12"/>
      <c r="GHZ54" s="12"/>
      <c r="GIA54" s="12"/>
      <c r="GIB54" s="12"/>
      <c r="GIC54" s="12"/>
      <c r="GID54" s="12"/>
      <c r="GIE54" s="12"/>
      <c r="GIF54" s="12"/>
      <c r="GIG54" s="12"/>
      <c r="GIH54" s="12"/>
      <c r="GII54" s="12"/>
      <c r="GIJ54" s="12"/>
      <c r="GIK54" s="12"/>
      <c r="GIL54" s="12"/>
      <c r="GIM54" s="12"/>
      <c r="GIN54" s="12"/>
      <c r="GIO54" s="12"/>
      <c r="GIP54" s="12"/>
      <c r="GIQ54" s="12"/>
      <c r="GIR54" s="12"/>
      <c r="GIS54" s="12"/>
      <c r="GIT54" s="12"/>
      <c r="GIU54" s="12"/>
      <c r="GIV54" s="12"/>
      <c r="GIW54" s="12"/>
      <c r="GIX54" s="12"/>
      <c r="GIY54" s="12"/>
      <c r="GIZ54" s="12"/>
      <c r="GJA54" s="12"/>
      <c r="GJB54" s="12"/>
      <c r="GJC54" s="12"/>
      <c r="GJD54" s="12"/>
      <c r="GJE54" s="12"/>
      <c r="GJF54" s="12"/>
      <c r="GJG54" s="12"/>
      <c r="GJH54" s="12"/>
      <c r="GJI54" s="12"/>
      <c r="GJJ54" s="12"/>
      <c r="GJK54" s="12"/>
      <c r="GJL54" s="12"/>
      <c r="GJM54" s="12"/>
      <c r="GJN54" s="12"/>
      <c r="GJO54" s="12"/>
      <c r="GJP54" s="12"/>
      <c r="GJQ54" s="12"/>
      <c r="GJR54" s="12"/>
      <c r="GJS54" s="12"/>
      <c r="GJT54" s="12"/>
      <c r="GJU54" s="12"/>
      <c r="GJV54" s="12"/>
      <c r="GJW54" s="12"/>
      <c r="GJX54" s="12"/>
      <c r="GJY54" s="12"/>
      <c r="GJZ54" s="12"/>
      <c r="GKA54" s="12"/>
      <c r="GKB54" s="12"/>
      <c r="GKC54" s="12"/>
      <c r="GKD54" s="12"/>
      <c r="GKE54" s="12"/>
      <c r="GKF54" s="12"/>
      <c r="GKG54" s="12"/>
      <c r="GKH54" s="12"/>
      <c r="GKI54" s="12"/>
      <c r="GKJ54" s="12"/>
      <c r="GKK54" s="12"/>
      <c r="GKL54" s="12"/>
      <c r="GKM54" s="12"/>
      <c r="GKN54" s="12"/>
      <c r="GKO54" s="12"/>
      <c r="GKP54" s="12"/>
      <c r="GKQ54" s="12"/>
      <c r="GKR54" s="12"/>
      <c r="GKS54" s="12"/>
      <c r="GKT54" s="12"/>
      <c r="GKU54" s="12"/>
      <c r="GKV54" s="12"/>
      <c r="GKW54" s="12"/>
      <c r="GKX54" s="12"/>
      <c r="GKY54" s="12"/>
      <c r="GKZ54" s="12"/>
      <c r="GLA54" s="12"/>
      <c r="GLB54" s="12"/>
      <c r="GLC54" s="12"/>
      <c r="GLD54" s="12"/>
      <c r="GLE54" s="12"/>
      <c r="GLF54" s="12"/>
      <c r="GLG54" s="12"/>
      <c r="GLH54" s="12"/>
      <c r="GLI54" s="12"/>
      <c r="GLJ54" s="12"/>
      <c r="GLK54" s="12"/>
      <c r="GLL54" s="12"/>
      <c r="GLM54" s="12"/>
      <c r="GLN54" s="12"/>
      <c r="GLO54" s="12"/>
      <c r="GLP54" s="12"/>
      <c r="GLQ54" s="12"/>
      <c r="GLR54" s="12"/>
      <c r="GLS54" s="12"/>
      <c r="GLT54" s="12"/>
      <c r="GLU54" s="12"/>
      <c r="GLV54" s="12"/>
      <c r="GLW54" s="12"/>
      <c r="GLX54" s="12"/>
      <c r="GLY54" s="12"/>
      <c r="GLZ54" s="12"/>
      <c r="GMA54" s="12"/>
      <c r="GMB54" s="12"/>
      <c r="GMC54" s="12"/>
      <c r="GMD54" s="12"/>
      <c r="GME54" s="12"/>
      <c r="GMF54" s="12"/>
      <c r="GMG54" s="12"/>
      <c r="GMH54" s="12"/>
      <c r="GMI54" s="12"/>
      <c r="GMJ54" s="12"/>
      <c r="GMK54" s="12"/>
      <c r="GML54" s="12"/>
      <c r="GMM54" s="12"/>
      <c r="GMN54" s="12"/>
      <c r="GMO54" s="12"/>
      <c r="GMP54" s="12"/>
      <c r="GMQ54" s="12"/>
      <c r="GMR54" s="12"/>
      <c r="GMS54" s="12"/>
      <c r="GMT54" s="12"/>
      <c r="GMU54" s="12"/>
      <c r="GMV54" s="12"/>
      <c r="GMW54" s="12"/>
      <c r="GMX54" s="12"/>
      <c r="GMY54" s="12"/>
      <c r="GMZ54" s="12"/>
      <c r="GNA54" s="12"/>
      <c r="GNB54" s="12"/>
      <c r="GNC54" s="12"/>
      <c r="GND54" s="12"/>
      <c r="GNE54" s="12"/>
      <c r="GNF54" s="12"/>
      <c r="GNG54" s="12"/>
      <c r="GNH54" s="12"/>
      <c r="GNI54" s="12"/>
      <c r="GNJ54" s="12"/>
      <c r="GNK54" s="12"/>
      <c r="GNL54" s="12"/>
      <c r="GNM54" s="12"/>
      <c r="GNN54" s="12"/>
      <c r="GNO54" s="12"/>
      <c r="GNP54" s="12"/>
      <c r="GNQ54" s="12"/>
      <c r="GNR54" s="12"/>
      <c r="GNS54" s="12"/>
      <c r="GNT54" s="12"/>
      <c r="GNU54" s="12"/>
      <c r="GNV54" s="12"/>
      <c r="GNW54" s="12"/>
      <c r="GNX54" s="12"/>
      <c r="GNY54" s="12"/>
      <c r="GNZ54" s="12"/>
      <c r="GOA54" s="12"/>
      <c r="GOB54" s="12"/>
      <c r="GOC54" s="12"/>
      <c r="GOD54" s="12"/>
      <c r="GOE54" s="12"/>
      <c r="GOF54" s="12"/>
      <c r="GOG54" s="12"/>
      <c r="GOH54" s="12"/>
      <c r="GOI54" s="12"/>
      <c r="GOJ54" s="12"/>
      <c r="GOK54" s="12"/>
      <c r="GOL54" s="12"/>
      <c r="GOM54" s="12"/>
      <c r="GON54" s="12"/>
      <c r="GOO54" s="12"/>
      <c r="GOP54" s="12"/>
      <c r="GOQ54" s="12"/>
      <c r="GOR54" s="12"/>
      <c r="GOS54" s="12"/>
      <c r="GOT54" s="12"/>
      <c r="GOU54" s="12"/>
      <c r="GOV54" s="12"/>
      <c r="GOW54" s="12"/>
      <c r="GOX54" s="12"/>
      <c r="GOY54" s="12"/>
      <c r="GOZ54" s="12"/>
      <c r="GPA54" s="12"/>
      <c r="GPB54" s="12"/>
      <c r="GPC54" s="12"/>
      <c r="GPD54" s="12"/>
      <c r="GPE54" s="12"/>
      <c r="GPF54" s="12"/>
      <c r="GPG54" s="12"/>
      <c r="GPH54" s="12"/>
      <c r="GPI54" s="12"/>
      <c r="GPJ54" s="12"/>
      <c r="GPK54" s="12"/>
      <c r="GPL54" s="12"/>
      <c r="GPM54" s="12"/>
      <c r="GPN54" s="12"/>
      <c r="GPO54" s="12"/>
      <c r="GPP54" s="12"/>
      <c r="GPQ54" s="12"/>
      <c r="GPR54" s="12"/>
      <c r="GPS54" s="12"/>
      <c r="GPT54" s="12"/>
      <c r="GPU54" s="12"/>
      <c r="GPV54" s="12"/>
      <c r="GPW54" s="12"/>
      <c r="GPX54" s="12"/>
      <c r="GPY54" s="12"/>
      <c r="GPZ54" s="12"/>
      <c r="GQA54" s="12"/>
      <c r="GQB54" s="12"/>
      <c r="GQC54" s="12"/>
      <c r="GQD54" s="12"/>
      <c r="GQE54" s="12"/>
      <c r="GQF54" s="12"/>
      <c r="GQG54" s="12"/>
      <c r="GQH54" s="12"/>
      <c r="GQI54" s="12"/>
      <c r="GQJ54" s="12"/>
      <c r="GQK54" s="12"/>
      <c r="GQL54" s="12"/>
      <c r="GQM54" s="12"/>
      <c r="GQN54" s="12"/>
      <c r="GQO54" s="12"/>
      <c r="GQP54" s="12"/>
      <c r="GQQ54" s="12"/>
      <c r="GQR54" s="12"/>
      <c r="GQS54" s="12"/>
      <c r="GQT54" s="12"/>
      <c r="GQU54" s="12"/>
      <c r="GQV54" s="12"/>
      <c r="GQW54" s="12"/>
      <c r="GQX54" s="12"/>
      <c r="GQY54" s="12"/>
      <c r="GQZ54" s="12"/>
      <c r="GRA54" s="12"/>
      <c r="GRB54" s="12"/>
      <c r="GRC54" s="12"/>
      <c r="GRD54" s="12"/>
      <c r="GRE54" s="12"/>
      <c r="GRF54" s="12"/>
      <c r="GRG54" s="12"/>
      <c r="GRH54" s="12"/>
      <c r="GRI54" s="12"/>
      <c r="GRJ54" s="12"/>
      <c r="GRK54" s="12"/>
      <c r="GRL54" s="12"/>
      <c r="GRM54" s="12"/>
      <c r="GRN54" s="12"/>
      <c r="GRO54" s="12"/>
      <c r="GRP54" s="12"/>
      <c r="GRQ54" s="12"/>
      <c r="GRR54" s="12"/>
      <c r="GRS54" s="12"/>
      <c r="GRT54" s="12"/>
      <c r="GRU54" s="12"/>
      <c r="GRV54" s="12"/>
      <c r="GRW54" s="12"/>
      <c r="GRX54" s="12"/>
      <c r="GRY54" s="12"/>
      <c r="GRZ54" s="12"/>
      <c r="GSA54" s="12"/>
      <c r="GSB54" s="12"/>
      <c r="GSC54" s="12"/>
      <c r="GSD54" s="12"/>
      <c r="GSE54" s="12"/>
      <c r="GSF54" s="12"/>
      <c r="GSG54" s="12"/>
      <c r="GSH54" s="12"/>
      <c r="GSI54" s="12"/>
      <c r="GSJ54" s="12"/>
      <c r="GSK54" s="12"/>
      <c r="GSL54" s="12"/>
      <c r="GSM54" s="12"/>
      <c r="GSN54" s="12"/>
      <c r="GSO54" s="12"/>
      <c r="GSP54" s="12"/>
      <c r="GSQ54" s="12"/>
      <c r="GSR54" s="12"/>
      <c r="GSS54" s="12"/>
      <c r="GST54" s="12"/>
      <c r="GSU54" s="12"/>
      <c r="GSV54" s="12"/>
      <c r="GSW54" s="12"/>
      <c r="GSX54" s="12"/>
      <c r="GSY54" s="12"/>
      <c r="GSZ54" s="12"/>
      <c r="GTA54" s="12"/>
      <c r="GTB54" s="12"/>
      <c r="GTC54" s="12"/>
      <c r="GTD54" s="12"/>
      <c r="GTE54" s="12"/>
      <c r="GTF54" s="12"/>
      <c r="GTG54" s="12"/>
      <c r="GTH54" s="12"/>
      <c r="GTI54" s="12"/>
      <c r="GTJ54" s="12"/>
      <c r="GTK54" s="12"/>
      <c r="GTL54" s="12"/>
      <c r="GTM54" s="12"/>
      <c r="GTN54" s="12"/>
      <c r="GTO54" s="12"/>
      <c r="GTP54" s="12"/>
      <c r="GTQ54" s="12"/>
      <c r="GTR54" s="12"/>
      <c r="GTS54" s="12"/>
      <c r="GTT54" s="12"/>
      <c r="GTU54" s="12"/>
      <c r="GTV54" s="12"/>
      <c r="GTW54" s="12"/>
      <c r="GTX54" s="12"/>
      <c r="GTY54" s="12"/>
      <c r="GTZ54" s="12"/>
      <c r="GUA54" s="12"/>
      <c r="GUB54" s="12"/>
      <c r="GUC54" s="12"/>
      <c r="GUD54" s="12"/>
      <c r="GUE54" s="12"/>
      <c r="GUF54" s="12"/>
      <c r="GUG54" s="12"/>
      <c r="GUH54" s="12"/>
      <c r="GUI54" s="12"/>
      <c r="GUJ54" s="12"/>
      <c r="GUK54" s="12"/>
      <c r="GUL54" s="12"/>
      <c r="GUM54" s="12"/>
      <c r="GUN54" s="12"/>
      <c r="GUO54" s="12"/>
      <c r="GUP54" s="12"/>
      <c r="GUQ54" s="12"/>
      <c r="GUR54" s="12"/>
      <c r="GUS54" s="12"/>
      <c r="GUT54" s="12"/>
      <c r="GUU54" s="12"/>
      <c r="GUV54" s="12"/>
      <c r="GUW54" s="12"/>
      <c r="GUX54" s="12"/>
      <c r="GUY54" s="12"/>
      <c r="GUZ54" s="12"/>
      <c r="GVA54" s="12"/>
      <c r="GVB54" s="12"/>
      <c r="GVC54" s="12"/>
      <c r="GVD54" s="12"/>
      <c r="GVE54" s="12"/>
      <c r="GVF54" s="12"/>
      <c r="GVG54" s="12"/>
      <c r="GVH54" s="12"/>
      <c r="GVI54" s="12"/>
      <c r="GVJ54" s="12"/>
      <c r="GVK54" s="12"/>
      <c r="GVL54" s="12"/>
      <c r="GVM54" s="12"/>
      <c r="GVN54" s="12"/>
      <c r="GVO54" s="12"/>
      <c r="GVP54" s="12"/>
      <c r="GVQ54" s="12"/>
      <c r="GVR54" s="12"/>
      <c r="GVS54" s="12"/>
      <c r="GVT54" s="12"/>
      <c r="GVU54" s="12"/>
      <c r="GVV54" s="12"/>
      <c r="GVW54" s="12"/>
      <c r="GVX54" s="12"/>
      <c r="GVY54" s="12"/>
      <c r="GVZ54" s="12"/>
      <c r="GWA54" s="12"/>
      <c r="GWB54" s="12"/>
      <c r="GWC54" s="12"/>
      <c r="GWD54" s="12"/>
      <c r="GWE54" s="12"/>
      <c r="GWF54" s="12"/>
      <c r="GWG54" s="12"/>
      <c r="GWH54" s="12"/>
      <c r="GWI54" s="12"/>
      <c r="GWJ54" s="12"/>
      <c r="GWK54" s="12"/>
      <c r="GWL54" s="12"/>
      <c r="GWM54" s="12"/>
      <c r="GWN54" s="12"/>
      <c r="GWO54" s="12"/>
      <c r="GWP54" s="12"/>
      <c r="GWQ54" s="12"/>
      <c r="GWR54" s="12"/>
      <c r="GWS54" s="12"/>
      <c r="GWT54" s="12"/>
      <c r="GWU54" s="12"/>
      <c r="GWV54" s="12"/>
      <c r="GWW54" s="12"/>
      <c r="GWX54" s="12"/>
      <c r="GWY54" s="12"/>
      <c r="GWZ54" s="12"/>
      <c r="GXA54" s="12"/>
      <c r="GXB54" s="12"/>
      <c r="GXC54" s="12"/>
      <c r="GXD54" s="12"/>
      <c r="GXE54" s="12"/>
      <c r="GXF54" s="12"/>
      <c r="GXG54" s="12"/>
      <c r="GXH54" s="12"/>
      <c r="GXI54" s="12"/>
      <c r="GXJ54" s="12"/>
      <c r="GXK54" s="12"/>
      <c r="GXL54" s="12"/>
      <c r="GXM54" s="12"/>
      <c r="GXN54" s="12"/>
      <c r="GXO54" s="12"/>
      <c r="GXP54" s="12"/>
      <c r="GXQ54" s="12"/>
      <c r="GXR54" s="12"/>
      <c r="GXS54" s="12"/>
      <c r="GXT54" s="12"/>
      <c r="GXU54" s="12"/>
      <c r="GXV54" s="12"/>
      <c r="GXW54" s="12"/>
      <c r="GXX54" s="12"/>
      <c r="GXY54" s="12"/>
      <c r="GXZ54" s="12"/>
      <c r="GYA54" s="12"/>
      <c r="GYB54" s="12"/>
      <c r="GYC54" s="12"/>
      <c r="GYD54" s="12"/>
      <c r="GYE54" s="12"/>
      <c r="GYF54" s="12"/>
      <c r="GYG54" s="12"/>
      <c r="GYH54" s="12"/>
      <c r="GYI54" s="12"/>
      <c r="GYJ54" s="12"/>
      <c r="GYK54" s="12"/>
      <c r="GYL54" s="12"/>
      <c r="GYM54" s="12"/>
      <c r="GYN54" s="12"/>
      <c r="GYO54" s="12"/>
      <c r="GYP54" s="12"/>
      <c r="GYQ54" s="12"/>
      <c r="GYR54" s="12"/>
      <c r="GYS54" s="12"/>
      <c r="GYT54" s="12"/>
      <c r="GYU54" s="12"/>
      <c r="GYV54" s="12"/>
      <c r="GYW54" s="12"/>
      <c r="GYX54" s="12"/>
      <c r="GYY54" s="12"/>
      <c r="GYZ54" s="12"/>
      <c r="GZA54" s="12"/>
      <c r="GZB54" s="12"/>
      <c r="GZC54" s="12"/>
      <c r="GZD54" s="12"/>
      <c r="GZE54" s="12"/>
      <c r="GZF54" s="12"/>
      <c r="GZG54" s="12"/>
      <c r="GZH54" s="12"/>
      <c r="GZI54" s="12"/>
      <c r="GZJ54" s="12"/>
      <c r="GZK54" s="12"/>
      <c r="GZL54" s="12"/>
      <c r="GZM54" s="12"/>
      <c r="GZN54" s="12"/>
      <c r="GZO54" s="12"/>
      <c r="GZP54" s="12"/>
      <c r="GZQ54" s="12"/>
      <c r="GZR54" s="12"/>
      <c r="GZS54" s="12"/>
      <c r="GZT54" s="12"/>
      <c r="GZU54" s="12"/>
      <c r="GZV54" s="12"/>
      <c r="GZW54" s="12"/>
      <c r="GZX54" s="12"/>
      <c r="GZY54" s="12"/>
      <c r="GZZ54" s="12"/>
      <c r="HAA54" s="12"/>
      <c r="HAB54" s="12"/>
      <c r="HAC54" s="12"/>
      <c r="HAD54" s="12"/>
      <c r="HAE54" s="12"/>
      <c r="HAF54" s="12"/>
      <c r="HAG54" s="12"/>
      <c r="HAH54" s="12"/>
      <c r="HAI54" s="12"/>
      <c r="HAJ54" s="12"/>
      <c r="HAK54" s="12"/>
      <c r="HAL54" s="12"/>
      <c r="HAM54" s="12"/>
      <c r="HAN54" s="12"/>
      <c r="HAO54" s="12"/>
      <c r="HAP54" s="12"/>
      <c r="HAQ54" s="12"/>
      <c r="HAR54" s="12"/>
      <c r="HAS54" s="12"/>
      <c r="HAT54" s="12"/>
      <c r="HAU54" s="12"/>
      <c r="HAV54" s="12"/>
      <c r="HAW54" s="12"/>
      <c r="HAX54" s="12"/>
      <c r="HAY54" s="12"/>
      <c r="HAZ54" s="12"/>
      <c r="HBA54" s="12"/>
      <c r="HBB54" s="12"/>
      <c r="HBC54" s="12"/>
      <c r="HBD54" s="12"/>
      <c r="HBE54" s="12"/>
      <c r="HBF54" s="12"/>
      <c r="HBG54" s="12"/>
      <c r="HBH54" s="12"/>
      <c r="HBI54" s="12"/>
      <c r="HBJ54" s="12"/>
      <c r="HBK54" s="12"/>
      <c r="HBL54" s="12"/>
      <c r="HBM54" s="12"/>
      <c r="HBN54" s="12"/>
      <c r="HBO54" s="12"/>
      <c r="HBP54" s="12"/>
      <c r="HBQ54" s="12"/>
      <c r="HBR54" s="12"/>
      <c r="HBS54" s="12"/>
      <c r="HBT54" s="12"/>
      <c r="HBU54" s="12"/>
      <c r="HBV54" s="12"/>
      <c r="HBW54" s="12"/>
      <c r="HBX54" s="12"/>
      <c r="HBY54" s="12"/>
      <c r="HBZ54" s="12"/>
      <c r="HCA54" s="12"/>
      <c r="HCB54" s="12"/>
      <c r="HCC54" s="12"/>
      <c r="HCD54" s="12"/>
      <c r="HCE54" s="12"/>
      <c r="HCF54" s="12"/>
      <c r="HCG54" s="12"/>
      <c r="HCH54" s="12"/>
      <c r="HCI54" s="12"/>
      <c r="HCJ54" s="12"/>
      <c r="HCK54" s="12"/>
      <c r="HCL54" s="12"/>
      <c r="HCM54" s="12"/>
      <c r="HCN54" s="12"/>
      <c r="HCO54" s="12"/>
      <c r="HCP54" s="12"/>
      <c r="HCQ54" s="12"/>
      <c r="HCR54" s="12"/>
      <c r="HCS54" s="12"/>
      <c r="HCT54" s="12"/>
      <c r="HCU54" s="12"/>
      <c r="HCV54" s="12"/>
      <c r="HCW54" s="12"/>
      <c r="HCX54" s="12"/>
      <c r="HCY54" s="12"/>
      <c r="HCZ54" s="12"/>
      <c r="HDA54" s="12"/>
      <c r="HDB54" s="12"/>
      <c r="HDC54" s="12"/>
      <c r="HDD54" s="12"/>
      <c r="HDE54" s="12"/>
      <c r="HDF54" s="12"/>
      <c r="HDG54" s="12"/>
      <c r="HDH54" s="12"/>
      <c r="HDI54" s="12"/>
      <c r="HDJ54" s="12"/>
      <c r="HDK54" s="12"/>
      <c r="HDL54" s="12"/>
      <c r="HDM54" s="12"/>
      <c r="HDN54" s="12"/>
      <c r="HDO54" s="12"/>
      <c r="HDP54" s="12"/>
      <c r="HDQ54" s="12"/>
      <c r="HDR54" s="12"/>
      <c r="HDS54" s="12"/>
      <c r="HDT54" s="12"/>
      <c r="HDU54" s="12"/>
      <c r="HDV54" s="12"/>
      <c r="HDW54" s="12"/>
      <c r="HDX54" s="12"/>
      <c r="HDY54" s="12"/>
      <c r="HDZ54" s="12"/>
      <c r="HEA54" s="12"/>
      <c r="HEB54" s="12"/>
      <c r="HEC54" s="12"/>
      <c r="HED54" s="12"/>
      <c r="HEE54" s="12"/>
      <c r="HEF54" s="12"/>
      <c r="HEG54" s="12"/>
      <c r="HEH54" s="12"/>
      <c r="HEI54" s="12"/>
      <c r="HEJ54" s="12"/>
      <c r="HEK54" s="12"/>
      <c r="HEL54" s="12"/>
      <c r="HEM54" s="12"/>
      <c r="HEN54" s="12"/>
      <c r="HEO54" s="12"/>
      <c r="HEP54" s="12"/>
      <c r="HEQ54" s="12"/>
      <c r="HER54" s="12"/>
      <c r="HES54" s="12"/>
      <c r="HET54" s="12"/>
      <c r="HEU54" s="12"/>
      <c r="HEV54" s="12"/>
      <c r="HEW54" s="12"/>
      <c r="HEX54" s="12"/>
      <c r="HEY54" s="12"/>
      <c r="HEZ54" s="12"/>
      <c r="HFA54" s="12"/>
      <c r="HFB54" s="12"/>
      <c r="HFC54" s="12"/>
      <c r="HFD54" s="12"/>
      <c r="HFE54" s="12"/>
      <c r="HFF54" s="12"/>
      <c r="HFG54" s="12"/>
      <c r="HFH54" s="12"/>
      <c r="HFI54" s="12"/>
      <c r="HFJ54" s="12"/>
      <c r="HFK54" s="12"/>
      <c r="HFL54" s="12"/>
      <c r="HFM54" s="12"/>
      <c r="HFN54" s="12"/>
      <c r="HFO54" s="12"/>
      <c r="HFP54" s="12"/>
      <c r="HFQ54" s="12"/>
      <c r="HFR54" s="12"/>
      <c r="HFS54" s="12"/>
      <c r="HFT54" s="12"/>
      <c r="HFU54" s="12"/>
      <c r="HFV54" s="12"/>
      <c r="HFW54" s="12"/>
      <c r="HFX54" s="12"/>
      <c r="HFY54" s="12"/>
      <c r="HFZ54" s="12"/>
      <c r="HGA54" s="12"/>
      <c r="HGB54" s="12"/>
      <c r="HGC54" s="12"/>
      <c r="HGD54" s="12"/>
      <c r="HGE54" s="12"/>
      <c r="HGF54" s="12"/>
      <c r="HGG54" s="12"/>
      <c r="HGH54" s="12"/>
      <c r="HGI54" s="12"/>
      <c r="HGJ54" s="12"/>
      <c r="HGK54" s="12"/>
      <c r="HGL54" s="12"/>
      <c r="HGM54" s="12"/>
      <c r="HGN54" s="12"/>
      <c r="HGO54" s="12"/>
      <c r="HGP54" s="12"/>
      <c r="HGQ54" s="12"/>
      <c r="HGR54" s="12"/>
      <c r="HGS54" s="12"/>
      <c r="HGT54" s="12"/>
      <c r="HGU54" s="12"/>
      <c r="HGV54" s="12"/>
      <c r="HGW54" s="12"/>
      <c r="HGX54" s="12"/>
      <c r="HGY54" s="12"/>
      <c r="HGZ54" s="12"/>
      <c r="HHA54" s="12"/>
      <c r="HHB54" s="12"/>
      <c r="HHC54" s="12"/>
      <c r="HHD54" s="12"/>
      <c r="HHE54" s="12"/>
      <c r="HHF54" s="12"/>
      <c r="HHG54" s="12"/>
      <c r="HHH54" s="12"/>
      <c r="HHI54" s="12"/>
      <c r="HHJ54" s="12"/>
      <c r="HHK54" s="12"/>
      <c r="HHL54" s="12"/>
      <c r="HHM54" s="12"/>
      <c r="HHN54" s="12"/>
      <c r="HHO54" s="12"/>
      <c r="HHP54" s="12"/>
      <c r="HHQ54" s="12"/>
      <c r="HHR54" s="12"/>
      <c r="HHS54" s="12"/>
      <c r="HHT54" s="12"/>
      <c r="HHU54" s="12"/>
      <c r="HHV54" s="12"/>
      <c r="HHW54" s="12"/>
      <c r="HHX54" s="12"/>
      <c r="HHY54" s="12"/>
      <c r="HHZ54" s="12"/>
      <c r="HIA54" s="12"/>
      <c r="HIB54" s="12"/>
      <c r="HIC54" s="12"/>
      <c r="HID54" s="12"/>
      <c r="HIE54" s="12"/>
      <c r="HIF54" s="12"/>
      <c r="HIG54" s="12"/>
      <c r="HIH54" s="12"/>
      <c r="HII54" s="12"/>
      <c r="HIJ54" s="12"/>
      <c r="HIK54" s="12"/>
      <c r="HIL54" s="12"/>
      <c r="HIM54" s="12"/>
      <c r="HIN54" s="12"/>
      <c r="HIO54" s="12"/>
      <c r="HIP54" s="12"/>
      <c r="HIQ54" s="12"/>
      <c r="HIR54" s="12"/>
      <c r="HIS54" s="12"/>
      <c r="HIT54" s="12"/>
      <c r="HIU54" s="12"/>
      <c r="HIV54" s="12"/>
      <c r="HIW54" s="12"/>
      <c r="HIX54" s="12"/>
      <c r="HIY54" s="12"/>
      <c r="HIZ54" s="12"/>
      <c r="HJA54" s="12"/>
      <c r="HJB54" s="12"/>
      <c r="HJC54" s="12"/>
      <c r="HJD54" s="12"/>
      <c r="HJE54" s="12"/>
      <c r="HJF54" s="12"/>
      <c r="HJG54" s="12"/>
      <c r="HJH54" s="12"/>
      <c r="HJI54" s="12"/>
      <c r="HJJ54" s="12"/>
      <c r="HJK54" s="12"/>
      <c r="HJL54" s="12"/>
      <c r="HJM54" s="12"/>
      <c r="HJN54" s="12"/>
      <c r="HJO54" s="12"/>
      <c r="HJP54" s="12"/>
      <c r="HJQ54" s="12"/>
      <c r="HJR54" s="12"/>
      <c r="HJS54" s="12"/>
      <c r="HJT54" s="12"/>
      <c r="HJU54" s="12"/>
      <c r="HJV54" s="12"/>
      <c r="HJW54" s="12"/>
      <c r="HJX54" s="12"/>
      <c r="HJY54" s="12"/>
      <c r="HJZ54" s="12"/>
      <c r="HKA54" s="12"/>
      <c r="HKB54" s="12"/>
      <c r="HKC54" s="12"/>
      <c r="HKD54" s="12"/>
      <c r="HKE54" s="12"/>
      <c r="HKF54" s="12"/>
      <c r="HKG54" s="12"/>
      <c r="HKH54" s="12"/>
      <c r="HKI54" s="12"/>
      <c r="HKJ54" s="12"/>
      <c r="HKK54" s="12"/>
      <c r="HKL54" s="12"/>
      <c r="HKM54" s="12"/>
      <c r="HKN54" s="12"/>
      <c r="HKO54" s="12"/>
      <c r="HKP54" s="12"/>
      <c r="HKQ54" s="12"/>
      <c r="HKR54" s="12"/>
      <c r="HKS54" s="12"/>
      <c r="HKT54" s="12"/>
      <c r="HKU54" s="12"/>
      <c r="HKV54" s="12"/>
      <c r="HKW54" s="12"/>
      <c r="HKX54" s="12"/>
      <c r="HKY54" s="12"/>
      <c r="HKZ54" s="12"/>
      <c r="HLA54" s="12"/>
      <c r="HLB54" s="12"/>
      <c r="HLC54" s="12"/>
      <c r="HLD54" s="12"/>
      <c r="HLE54" s="12"/>
      <c r="HLF54" s="12"/>
      <c r="HLG54" s="12"/>
      <c r="HLH54" s="12"/>
      <c r="HLI54" s="12"/>
      <c r="HLJ54" s="12"/>
      <c r="HLK54" s="12"/>
      <c r="HLL54" s="12"/>
      <c r="HLM54" s="12"/>
      <c r="HLN54" s="12"/>
      <c r="HLO54" s="12"/>
      <c r="HLP54" s="12"/>
      <c r="HLQ54" s="12"/>
      <c r="HLR54" s="12"/>
      <c r="HLS54" s="12"/>
      <c r="HLT54" s="12"/>
      <c r="HLU54" s="12"/>
      <c r="HLV54" s="12"/>
      <c r="HLW54" s="12"/>
      <c r="HLX54" s="12"/>
      <c r="HLY54" s="12"/>
      <c r="HLZ54" s="12"/>
      <c r="HMA54" s="12"/>
      <c r="HMB54" s="12"/>
      <c r="HMC54" s="12"/>
      <c r="HMD54" s="12"/>
      <c r="HME54" s="12"/>
      <c r="HMF54" s="12"/>
      <c r="HMG54" s="12"/>
      <c r="HMH54" s="12"/>
      <c r="HMI54" s="12"/>
      <c r="HMJ54" s="12"/>
      <c r="HMK54" s="12"/>
      <c r="HML54" s="12"/>
      <c r="HMM54" s="12"/>
      <c r="HMN54" s="12"/>
      <c r="HMO54" s="12"/>
      <c r="HMP54" s="12"/>
      <c r="HMQ54" s="12"/>
      <c r="HMR54" s="12"/>
      <c r="HMS54" s="12"/>
      <c r="HMT54" s="12"/>
      <c r="HMU54" s="12"/>
      <c r="HMV54" s="12"/>
      <c r="HMW54" s="12"/>
      <c r="HMX54" s="12"/>
      <c r="HMY54" s="12"/>
      <c r="HMZ54" s="12"/>
      <c r="HNA54" s="12"/>
      <c r="HNB54" s="12"/>
      <c r="HNC54" s="12"/>
      <c r="HND54" s="12"/>
      <c r="HNE54" s="12"/>
      <c r="HNF54" s="12"/>
      <c r="HNG54" s="12"/>
      <c r="HNH54" s="12"/>
      <c r="HNI54" s="12"/>
      <c r="HNJ54" s="12"/>
      <c r="HNK54" s="12"/>
      <c r="HNL54" s="12"/>
      <c r="HNM54" s="12"/>
      <c r="HNN54" s="12"/>
      <c r="HNO54" s="12"/>
      <c r="HNP54" s="12"/>
      <c r="HNQ54" s="12"/>
      <c r="HNR54" s="12"/>
      <c r="HNS54" s="12"/>
      <c r="HNT54" s="12"/>
      <c r="HNU54" s="12"/>
      <c r="HNV54" s="12"/>
      <c r="HNW54" s="12"/>
      <c r="HNX54" s="12"/>
      <c r="HNY54" s="12"/>
      <c r="HNZ54" s="12"/>
      <c r="HOA54" s="12"/>
      <c r="HOB54" s="12"/>
      <c r="HOC54" s="12"/>
      <c r="HOD54" s="12"/>
      <c r="HOE54" s="12"/>
      <c r="HOF54" s="12"/>
      <c r="HOG54" s="12"/>
      <c r="HOH54" s="12"/>
      <c r="HOI54" s="12"/>
      <c r="HOJ54" s="12"/>
      <c r="HOK54" s="12"/>
      <c r="HOL54" s="12"/>
      <c r="HOM54" s="12"/>
      <c r="HON54" s="12"/>
      <c r="HOO54" s="12"/>
      <c r="HOP54" s="12"/>
      <c r="HOQ54" s="12"/>
      <c r="HOR54" s="12"/>
      <c r="HOS54" s="12"/>
      <c r="HOT54" s="12"/>
      <c r="HOU54" s="12"/>
      <c r="HOV54" s="12"/>
      <c r="HOW54" s="12"/>
      <c r="HOX54" s="12"/>
      <c r="HOY54" s="12"/>
      <c r="HOZ54" s="12"/>
      <c r="HPA54" s="12"/>
      <c r="HPB54" s="12"/>
      <c r="HPC54" s="12"/>
      <c r="HPD54" s="12"/>
      <c r="HPE54" s="12"/>
      <c r="HPF54" s="12"/>
      <c r="HPG54" s="12"/>
      <c r="HPH54" s="12"/>
      <c r="HPI54" s="12"/>
      <c r="HPJ54" s="12"/>
      <c r="HPK54" s="12"/>
      <c r="HPL54" s="12"/>
      <c r="HPM54" s="12"/>
      <c r="HPN54" s="12"/>
      <c r="HPO54" s="12"/>
      <c r="HPP54" s="12"/>
      <c r="HPQ54" s="12"/>
      <c r="HPR54" s="12"/>
      <c r="HPS54" s="12"/>
      <c r="HPT54" s="12"/>
      <c r="HPU54" s="12"/>
      <c r="HPV54" s="12"/>
      <c r="HPW54" s="12"/>
      <c r="HPX54" s="12"/>
      <c r="HPY54" s="12"/>
      <c r="HPZ54" s="12"/>
      <c r="HQA54" s="12"/>
      <c r="HQB54" s="12"/>
      <c r="HQC54" s="12"/>
      <c r="HQD54" s="12"/>
      <c r="HQE54" s="12"/>
      <c r="HQF54" s="12"/>
      <c r="HQG54" s="12"/>
      <c r="HQH54" s="12"/>
      <c r="HQI54" s="12"/>
      <c r="HQJ54" s="12"/>
      <c r="HQK54" s="12"/>
      <c r="HQL54" s="12"/>
      <c r="HQM54" s="12"/>
      <c r="HQN54" s="12"/>
      <c r="HQO54" s="12"/>
      <c r="HQP54" s="12"/>
      <c r="HQQ54" s="12"/>
      <c r="HQR54" s="12"/>
      <c r="HQS54" s="12"/>
      <c r="HQT54" s="12"/>
      <c r="HQU54" s="12"/>
      <c r="HQV54" s="12"/>
      <c r="HQW54" s="12"/>
      <c r="HQX54" s="12"/>
      <c r="HQY54" s="12"/>
      <c r="HQZ54" s="12"/>
      <c r="HRA54" s="12"/>
      <c r="HRB54" s="12"/>
      <c r="HRC54" s="12"/>
      <c r="HRD54" s="12"/>
      <c r="HRE54" s="12"/>
      <c r="HRF54" s="12"/>
      <c r="HRG54" s="12"/>
      <c r="HRH54" s="12"/>
      <c r="HRI54" s="12"/>
      <c r="HRJ54" s="12"/>
      <c r="HRK54" s="12"/>
      <c r="HRL54" s="12"/>
      <c r="HRM54" s="12"/>
      <c r="HRN54" s="12"/>
      <c r="HRO54" s="12"/>
      <c r="HRP54" s="12"/>
      <c r="HRQ54" s="12"/>
      <c r="HRR54" s="12"/>
      <c r="HRS54" s="12"/>
      <c r="HRT54" s="12"/>
      <c r="HRU54" s="12"/>
      <c r="HRV54" s="12"/>
      <c r="HRW54" s="12"/>
      <c r="HRX54" s="12"/>
      <c r="HRY54" s="12"/>
      <c r="HRZ54" s="12"/>
      <c r="HSA54" s="12"/>
      <c r="HSB54" s="12"/>
      <c r="HSC54" s="12"/>
      <c r="HSD54" s="12"/>
      <c r="HSE54" s="12"/>
      <c r="HSF54" s="12"/>
      <c r="HSG54" s="12"/>
      <c r="HSH54" s="12"/>
      <c r="HSI54" s="12"/>
      <c r="HSJ54" s="12"/>
      <c r="HSK54" s="12"/>
      <c r="HSL54" s="12"/>
      <c r="HSM54" s="12"/>
      <c r="HSN54" s="12"/>
      <c r="HSO54" s="12"/>
      <c r="HSP54" s="12"/>
      <c r="HSQ54" s="12"/>
      <c r="HSR54" s="12"/>
      <c r="HSS54" s="12"/>
      <c r="HST54" s="12"/>
      <c r="HSU54" s="12"/>
      <c r="HSV54" s="12"/>
      <c r="HSW54" s="12"/>
      <c r="HSX54" s="12"/>
      <c r="HSY54" s="12"/>
      <c r="HSZ54" s="12"/>
      <c r="HTA54" s="12"/>
      <c r="HTB54" s="12"/>
      <c r="HTC54" s="12"/>
      <c r="HTD54" s="12"/>
      <c r="HTE54" s="12"/>
      <c r="HTF54" s="12"/>
      <c r="HTG54" s="12"/>
      <c r="HTH54" s="12"/>
      <c r="HTI54" s="12"/>
      <c r="HTJ54" s="12"/>
      <c r="HTK54" s="12"/>
      <c r="HTL54" s="12"/>
      <c r="HTM54" s="12"/>
      <c r="HTN54" s="12"/>
      <c r="HTO54" s="12"/>
      <c r="HTP54" s="12"/>
      <c r="HTQ54" s="12"/>
      <c r="HTR54" s="12"/>
      <c r="HTS54" s="12"/>
      <c r="HTT54" s="12"/>
      <c r="HTU54" s="12"/>
      <c r="HTV54" s="12"/>
      <c r="HTW54" s="12"/>
      <c r="HTX54" s="12"/>
      <c r="HTY54" s="12"/>
      <c r="HTZ54" s="12"/>
      <c r="HUA54" s="12"/>
      <c r="HUB54" s="12"/>
      <c r="HUC54" s="12"/>
      <c r="HUD54" s="12"/>
      <c r="HUE54" s="12"/>
      <c r="HUF54" s="12"/>
      <c r="HUG54" s="12"/>
      <c r="HUH54" s="12"/>
      <c r="HUI54" s="12"/>
      <c r="HUJ54" s="12"/>
      <c r="HUK54" s="12"/>
      <c r="HUL54" s="12"/>
      <c r="HUM54" s="12"/>
      <c r="HUN54" s="12"/>
      <c r="HUO54" s="12"/>
      <c r="HUP54" s="12"/>
      <c r="HUQ54" s="12"/>
      <c r="HUR54" s="12"/>
      <c r="HUS54" s="12"/>
      <c r="HUT54" s="12"/>
      <c r="HUU54" s="12"/>
      <c r="HUV54" s="12"/>
      <c r="HUW54" s="12"/>
      <c r="HUX54" s="12"/>
      <c r="HUY54" s="12"/>
      <c r="HUZ54" s="12"/>
      <c r="HVA54" s="12"/>
      <c r="HVB54" s="12"/>
      <c r="HVC54" s="12"/>
      <c r="HVD54" s="12"/>
      <c r="HVE54" s="12"/>
      <c r="HVF54" s="12"/>
      <c r="HVG54" s="12"/>
      <c r="HVH54" s="12"/>
      <c r="HVI54" s="12"/>
      <c r="HVJ54" s="12"/>
      <c r="HVK54" s="12"/>
      <c r="HVL54" s="12"/>
      <c r="HVM54" s="12"/>
      <c r="HVN54" s="12"/>
      <c r="HVO54" s="12"/>
      <c r="HVP54" s="12"/>
      <c r="HVQ54" s="12"/>
      <c r="HVR54" s="12"/>
      <c r="HVS54" s="12"/>
      <c r="HVT54" s="12"/>
      <c r="HVU54" s="12"/>
      <c r="HVV54" s="12"/>
      <c r="HVW54" s="12"/>
      <c r="HVX54" s="12"/>
      <c r="HVY54" s="12"/>
      <c r="HVZ54" s="12"/>
      <c r="HWA54" s="12"/>
      <c r="HWB54" s="12"/>
      <c r="HWC54" s="12"/>
      <c r="HWD54" s="12"/>
      <c r="HWE54" s="12"/>
      <c r="HWF54" s="12"/>
      <c r="HWG54" s="12"/>
      <c r="HWH54" s="12"/>
      <c r="HWI54" s="12"/>
      <c r="HWJ54" s="12"/>
      <c r="HWK54" s="12"/>
      <c r="HWL54" s="12"/>
      <c r="HWM54" s="12"/>
      <c r="HWN54" s="12"/>
      <c r="HWO54" s="12"/>
      <c r="HWP54" s="12"/>
      <c r="HWQ54" s="12"/>
      <c r="HWR54" s="12"/>
      <c r="HWS54" s="12"/>
      <c r="HWT54" s="12"/>
      <c r="HWU54" s="12"/>
      <c r="HWV54" s="12"/>
      <c r="HWW54" s="12"/>
      <c r="HWX54" s="12"/>
      <c r="HWY54" s="12"/>
      <c r="HWZ54" s="12"/>
      <c r="HXA54" s="12"/>
      <c r="HXB54" s="12"/>
      <c r="HXC54" s="12"/>
      <c r="HXD54" s="12"/>
      <c r="HXE54" s="12"/>
      <c r="HXF54" s="12"/>
      <c r="HXG54" s="12"/>
      <c r="HXH54" s="12"/>
      <c r="HXI54" s="12"/>
      <c r="HXJ54" s="12"/>
      <c r="HXK54" s="12"/>
      <c r="HXL54" s="12"/>
      <c r="HXM54" s="12"/>
      <c r="HXN54" s="12"/>
      <c r="HXO54" s="12"/>
      <c r="HXP54" s="12"/>
      <c r="HXQ54" s="12"/>
      <c r="HXR54" s="12"/>
      <c r="HXS54" s="12"/>
      <c r="HXT54" s="12"/>
      <c r="HXU54" s="12"/>
      <c r="HXV54" s="12"/>
      <c r="HXW54" s="12"/>
      <c r="HXX54" s="12"/>
      <c r="HXY54" s="12"/>
      <c r="HXZ54" s="12"/>
      <c r="HYA54" s="12"/>
      <c r="HYB54" s="12"/>
      <c r="HYC54" s="12"/>
      <c r="HYD54" s="12"/>
      <c r="HYE54" s="12"/>
      <c r="HYF54" s="12"/>
      <c r="HYG54" s="12"/>
      <c r="HYH54" s="12"/>
      <c r="HYI54" s="12"/>
      <c r="HYJ54" s="12"/>
      <c r="HYK54" s="12"/>
      <c r="HYL54" s="12"/>
      <c r="HYM54" s="12"/>
      <c r="HYN54" s="12"/>
      <c r="HYO54" s="12"/>
      <c r="HYP54" s="12"/>
      <c r="HYQ54" s="12"/>
      <c r="HYR54" s="12"/>
      <c r="HYS54" s="12"/>
      <c r="HYT54" s="12"/>
      <c r="HYU54" s="12"/>
      <c r="HYV54" s="12"/>
      <c r="HYW54" s="12"/>
      <c r="HYX54" s="12"/>
      <c r="HYY54" s="12"/>
      <c r="HYZ54" s="12"/>
      <c r="HZA54" s="12"/>
      <c r="HZB54" s="12"/>
      <c r="HZC54" s="12"/>
      <c r="HZD54" s="12"/>
      <c r="HZE54" s="12"/>
      <c r="HZF54" s="12"/>
      <c r="HZG54" s="12"/>
      <c r="HZH54" s="12"/>
      <c r="HZI54" s="12"/>
      <c r="HZJ54" s="12"/>
      <c r="HZK54" s="12"/>
      <c r="HZL54" s="12"/>
      <c r="HZM54" s="12"/>
      <c r="HZN54" s="12"/>
      <c r="HZO54" s="12"/>
      <c r="HZP54" s="12"/>
      <c r="HZQ54" s="12"/>
      <c r="HZR54" s="12"/>
      <c r="HZS54" s="12"/>
      <c r="HZT54" s="12"/>
      <c r="HZU54" s="12"/>
      <c r="HZV54" s="12"/>
      <c r="HZW54" s="12"/>
      <c r="HZX54" s="12"/>
      <c r="HZY54" s="12"/>
      <c r="HZZ54" s="12"/>
      <c r="IAA54" s="12"/>
      <c r="IAB54" s="12"/>
      <c r="IAC54" s="12"/>
      <c r="IAD54" s="12"/>
      <c r="IAE54" s="12"/>
      <c r="IAF54" s="12"/>
      <c r="IAG54" s="12"/>
      <c r="IAH54" s="12"/>
      <c r="IAI54" s="12"/>
      <c r="IAJ54" s="12"/>
      <c r="IAK54" s="12"/>
      <c r="IAL54" s="12"/>
      <c r="IAM54" s="12"/>
      <c r="IAN54" s="12"/>
      <c r="IAO54" s="12"/>
      <c r="IAP54" s="12"/>
      <c r="IAQ54" s="12"/>
      <c r="IAR54" s="12"/>
      <c r="IAS54" s="12"/>
      <c r="IAT54" s="12"/>
      <c r="IAU54" s="12"/>
      <c r="IAV54" s="12"/>
      <c r="IAW54" s="12"/>
      <c r="IAX54" s="12"/>
      <c r="IAY54" s="12"/>
      <c r="IAZ54" s="12"/>
      <c r="IBA54" s="12"/>
      <c r="IBB54" s="12"/>
      <c r="IBC54" s="12"/>
      <c r="IBD54" s="12"/>
      <c r="IBE54" s="12"/>
      <c r="IBF54" s="12"/>
      <c r="IBG54" s="12"/>
      <c r="IBH54" s="12"/>
      <c r="IBI54" s="12"/>
      <c r="IBJ54" s="12"/>
      <c r="IBK54" s="12"/>
      <c r="IBL54" s="12"/>
      <c r="IBM54" s="12"/>
      <c r="IBN54" s="12"/>
      <c r="IBO54" s="12"/>
      <c r="IBP54" s="12"/>
      <c r="IBQ54" s="12"/>
      <c r="IBR54" s="12"/>
      <c r="IBS54" s="12"/>
      <c r="IBT54" s="12"/>
      <c r="IBU54" s="12"/>
      <c r="IBV54" s="12"/>
      <c r="IBW54" s="12"/>
      <c r="IBX54" s="12"/>
      <c r="IBY54" s="12"/>
      <c r="IBZ54" s="12"/>
      <c r="ICA54" s="12"/>
      <c r="ICB54" s="12"/>
      <c r="ICC54" s="12"/>
      <c r="ICD54" s="12"/>
      <c r="ICE54" s="12"/>
      <c r="ICF54" s="12"/>
      <c r="ICG54" s="12"/>
      <c r="ICH54" s="12"/>
      <c r="ICI54" s="12"/>
      <c r="ICJ54" s="12"/>
      <c r="ICK54" s="12"/>
      <c r="ICL54" s="12"/>
      <c r="ICM54" s="12"/>
      <c r="ICN54" s="12"/>
      <c r="ICO54" s="12"/>
      <c r="ICP54" s="12"/>
      <c r="ICQ54" s="12"/>
      <c r="ICR54" s="12"/>
      <c r="ICS54" s="12"/>
      <c r="ICT54" s="12"/>
      <c r="ICU54" s="12"/>
      <c r="ICV54" s="12"/>
      <c r="ICW54" s="12"/>
      <c r="ICX54" s="12"/>
      <c r="ICY54" s="12"/>
      <c r="ICZ54" s="12"/>
      <c r="IDA54" s="12"/>
      <c r="IDB54" s="12"/>
      <c r="IDC54" s="12"/>
      <c r="IDD54" s="12"/>
      <c r="IDE54" s="12"/>
      <c r="IDF54" s="12"/>
      <c r="IDG54" s="12"/>
      <c r="IDH54" s="12"/>
      <c r="IDI54" s="12"/>
      <c r="IDJ54" s="12"/>
      <c r="IDK54" s="12"/>
      <c r="IDL54" s="12"/>
      <c r="IDM54" s="12"/>
      <c r="IDN54" s="12"/>
      <c r="IDO54" s="12"/>
      <c r="IDP54" s="12"/>
      <c r="IDQ54" s="12"/>
      <c r="IDR54" s="12"/>
      <c r="IDS54" s="12"/>
      <c r="IDT54" s="12"/>
      <c r="IDU54" s="12"/>
      <c r="IDV54" s="12"/>
      <c r="IDW54" s="12"/>
      <c r="IDX54" s="12"/>
      <c r="IDY54" s="12"/>
      <c r="IDZ54" s="12"/>
      <c r="IEA54" s="12"/>
      <c r="IEB54" s="12"/>
      <c r="IEC54" s="12"/>
      <c r="IED54" s="12"/>
      <c r="IEE54" s="12"/>
      <c r="IEF54" s="12"/>
      <c r="IEG54" s="12"/>
      <c r="IEH54" s="12"/>
      <c r="IEI54" s="12"/>
      <c r="IEJ54" s="12"/>
      <c r="IEK54" s="12"/>
      <c r="IEL54" s="12"/>
      <c r="IEM54" s="12"/>
      <c r="IEN54" s="12"/>
      <c r="IEO54" s="12"/>
      <c r="IEP54" s="12"/>
      <c r="IEQ54" s="12"/>
      <c r="IER54" s="12"/>
      <c r="IES54" s="12"/>
      <c r="IET54" s="12"/>
      <c r="IEU54" s="12"/>
      <c r="IEV54" s="12"/>
      <c r="IEW54" s="12"/>
      <c r="IEX54" s="12"/>
      <c r="IEY54" s="12"/>
      <c r="IEZ54" s="12"/>
      <c r="IFA54" s="12"/>
      <c r="IFB54" s="12"/>
      <c r="IFC54" s="12"/>
      <c r="IFD54" s="12"/>
      <c r="IFE54" s="12"/>
      <c r="IFF54" s="12"/>
      <c r="IFG54" s="12"/>
      <c r="IFH54" s="12"/>
      <c r="IFI54" s="12"/>
      <c r="IFJ54" s="12"/>
      <c r="IFK54" s="12"/>
      <c r="IFL54" s="12"/>
      <c r="IFM54" s="12"/>
      <c r="IFN54" s="12"/>
      <c r="IFO54" s="12"/>
      <c r="IFP54" s="12"/>
      <c r="IFQ54" s="12"/>
      <c r="IFR54" s="12"/>
      <c r="IFS54" s="12"/>
      <c r="IFT54" s="12"/>
      <c r="IFU54" s="12"/>
      <c r="IFV54" s="12"/>
      <c r="IFW54" s="12"/>
      <c r="IFX54" s="12"/>
      <c r="IFY54" s="12"/>
      <c r="IFZ54" s="12"/>
      <c r="IGA54" s="12"/>
      <c r="IGB54" s="12"/>
      <c r="IGC54" s="12"/>
      <c r="IGD54" s="12"/>
      <c r="IGE54" s="12"/>
      <c r="IGF54" s="12"/>
      <c r="IGG54" s="12"/>
      <c r="IGH54" s="12"/>
      <c r="IGI54" s="12"/>
      <c r="IGJ54" s="12"/>
      <c r="IGK54" s="12"/>
      <c r="IGL54" s="12"/>
      <c r="IGM54" s="12"/>
      <c r="IGN54" s="12"/>
      <c r="IGO54" s="12"/>
      <c r="IGP54" s="12"/>
      <c r="IGQ54" s="12"/>
      <c r="IGR54" s="12"/>
      <c r="IGS54" s="12"/>
      <c r="IGT54" s="12"/>
      <c r="IGU54" s="12"/>
      <c r="IGV54" s="12"/>
      <c r="IGW54" s="12"/>
      <c r="IGX54" s="12"/>
      <c r="IGY54" s="12"/>
      <c r="IGZ54" s="12"/>
      <c r="IHA54" s="12"/>
      <c r="IHB54" s="12"/>
      <c r="IHC54" s="12"/>
      <c r="IHD54" s="12"/>
      <c r="IHE54" s="12"/>
      <c r="IHF54" s="12"/>
      <c r="IHG54" s="12"/>
      <c r="IHH54" s="12"/>
      <c r="IHI54" s="12"/>
      <c r="IHJ54" s="12"/>
      <c r="IHK54" s="12"/>
      <c r="IHL54" s="12"/>
      <c r="IHM54" s="12"/>
      <c r="IHN54" s="12"/>
      <c r="IHO54" s="12"/>
      <c r="IHP54" s="12"/>
      <c r="IHQ54" s="12"/>
      <c r="IHR54" s="12"/>
      <c r="IHS54" s="12"/>
      <c r="IHT54" s="12"/>
      <c r="IHU54" s="12"/>
      <c r="IHV54" s="12"/>
      <c r="IHW54" s="12"/>
      <c r="IHX54" s="12"/>
      <c r="IHY54" s="12"/>
      <c r="IHZ54" s="12"/>
      <c r="IIA54" s="12"/>
      <c r="IIB54" s="12"/>
      <c r="IIC54" s="12"/>
      <c r="IID54" s="12"/>
      <c r="IIE54" s="12"/>
      <c r="IIF54" s="12"/>
      <c r="IIG54" s="12"/>
      <c r="IIH54" s="12"/>
      <c r="III54" s="12"/>
      <c r="IIJ54" s="12"/>
      <c r="IIK54" s="12"/>
      <c r="IIL54" s="12"/>
      <c r="IIM54" s="12"/>
      <c r="IIN54" s="12"/>
      <c r="IIO54" s="12"/>
      <c r="IIP54" s="12"/>
      <c r="IIQ54" s="12"/>
      <c r="IIR54" s="12"/>
      <c r="IIS54" s="12"/>
      <c r="IIT54" s="12"/>
      <c r="IIU54" s="12"/>
      <c r="IIV54" s="12"/>
      <c r="IIW54" s="12"/>
      <c r="IIX54" s="12"/>
      <c r="IIY54" s="12"/>
      <c r="IIZ54" s="12"/>
      <c r="IJA54" s="12"/>
      <c r="IJB54" s="12"/>
      <c r="IJC54" s="12"/>
      <c r="IJD54" s="12"/>
      <c r="IJE54" s="12"/>
      <c r="IJF54" s="12"/>
      <c r="IJG54" s="12"/>
      <c r="IJH54" s="12"/>
      <c r="IJI54" s="12"/>
      <c r="IJJ54" s="12"/>
      <c r="IJK54" s="12"/>
      <c r="IJL54" s="12"/>
      <c r="IJM54" s="12"/>
      <c r="IJN54" s="12"/>
      <c r="IJO54" s="12"/>
      <c r="IJP54" s="12"/>
      <c r="IJQ54" s="12"/>
      <c r="IJR54" s="12"/>
      <c r="IJS54" s="12"/>
      <c r="IJT54" s="12"/>
      <c r="IJU54" s="12"/>
      <c r="IJV54" s="12"/>
      <c r="IJW54" s="12"/>
      <c r="IJX54" s="12"/>
      <c r="IJY54" s="12"/>
      <c r="IJZ54" s="12"/>
      <c r="IKA54" s="12"/>
      <c r="IKB54" s="12"/>
      <c r="IKC54" s="12"/>
      <c r="IKD54" s="12"/>
      <c r="IKE54" s="12"/>
      <c r="IKF54" s="12"/>
      <c r="IKG54" s="12"/>
      <c r="IKH54" s="12"/>
      <c r="IKI54" s="12"/>
      <c r="IKJ54" s="12"/>
      <c r="IKK54" s="12"/>
      <c r="IKL54" s="12"/>
      <c r="IKM54" s="12"/>
      <c r="IKN54" s="12"/>
      <c r="IKO54" s="12"/>
      <c r="IKP54" s="12"/>
      <c r="IKQ54" s="12"/>
      <c r="IKR54" s="12"/>
      <c r="IKS54" s="12"/>
      <c r="IKT54" s="12"/>
      <c r="IKU54" s="12"/>
      <c r="IKV54" s="12"/>
      <c r="IKW54" s="12"/>
      <c r="IKX54" s="12"/>
      <c r="IKY54" s="12"/>
      <c r="IKZ54" s="12"/>
      <c r="ILA54" s="12"/>
      <c r="ILB54" s="12"/>
      <c r="ILC54" s="12"/>
      <c r="ILD54" s="12"/>
      <c r="ILE54" s="12"/>
      <c r="ILF54" s="12"/>
      <c r="ILG54" s="12"/>
      <c r="ILH54" s="12"/>
      <c r="ILI54" s="12"/>
      <c r="ILJ54" s="12"/>
      <c r="ILK54" s="12"/>
      <c r="ILL54" s="12"/>
      <c r="ILM54" s="12"/>
      <c r="ILN54" s="12"/>
      <c r="ILO54" s="12"/>
      <c r="ILP54" s="12"/>
      <c r="ILQ54" s="12"/>
      <c r="ILR54" s="12"/>
      <c r="ILS54" s="12"/>
      <c r="ILT54" s="12"/>
      <c r="ILU54" s="12"/>
      <c r="ILV54" s="12"/>
      <c r="ILW54" s="12"/>
      <c r="ILX54" s="12"/>
      <c r="ILY54" s="12"/>
      <c r="ILZ54" s="12"/>
      <c r="IMA54" s="12"/>
      <c r="IMB54" s="12"/>
      <c r="IMC54" s="12"/>
      <c r="IMD54" s="12"/>
      <c r="IME54" s="12"/>
      <c r="IMF54" s="12"/>
      <c r="IMG54" s="12"/>
      <c r="IMH54" s="12"/>
      <c r="IMI54" s="12"/>
      <c r="IMJ54" s="12"/>
      <c r="IMK54" s="12"/>
      <c r="IML54" s="12"/>
      <c r="IMM54" s="12"/>
      <c r="IMN54" s="12"/>
      <c r="IMO54" s="12"/>
      <c r="IMP54" s="12"/>
      <c r="IMQ54" s="12"/>
      <c r="IMR54" s="12"/>
      <c r="IMS54" s="12"/>
      <c r="IMT54" s="12"/>
      <c r="IMU54" s="12"/>
      <c r="IMV54" s="12"/>
      <c r="IMW54" s="12"/>
      <c r="IMX54" s="12"/>
      <c r="IMY54" s="12"/>
      <c r="IMZ54" s="12"/>
      <c r="INA54" s="12"/>
      <c r="INB54" s="12"/>
      <c r="INC54" s="12"/>
      <c r="IND54" s="12"/>
      <c r="INE54" s="12"/>
      <c r="INF54" s="12"/>
      <c r="ING54" s="12"/>
      <c r="INH54" s="12"/>
      <c r="INI54" s="12"/>
      <c r="INJ54" s="12"/>
      <c r="INK54" s="12"/>
      <c r="INL54" s="12"/>
      <c r="INM54" s="12"/>
      <c r="INN54" s="12"/>
      <c r="INO54" s="12"/>
      <c r="INP54" s="12"/>
      <c r="INQ54" s="12"/>
      <c r="INR54" s="12"/>
      <c r="INS54" s="12"/>
      <c r="INT54" s="12"/>
      <c r="INU54" s="12"/>
      <c r="INV54" s="12"/>
      <c r="INW54" s="12"/>
      <c r="INX54" s="12"/>
      <c r="INY54" s="12"/>
      <c r="INZ54" s="12"/>
      <c r="IOA54" s="12"/>
      <c r="IOB54" s="12"/>
      <c r="IOC54" s="12"/>
      <c r="IOD54" s="12"/>
      <c r="IOE54" s="12"/>
      <c r="IOF54" s="12"/>
      <c r="IOG54" s="12"/>
      <c r="IOH54" s="12"/>
      <c r="IOI54" s="12"/>
      <c r="IOJ54" s="12"/>
      <c r="IOK54" s="12"/>
      <c r="IOL54" s="12"/>
      <c r="IOM54" s="12"/>
      <c r="ION54" s="12"/>
      <c r="IOO54" s="12"/>
      <c r="IOP54" s="12"/>
      <c r="IOQ54" s="12"/>
      <c r="IOR54" s="12"/>
      <c r="IOS54" s="12"/>
      <c r="IOT54" s="12"/>
      <c r="IOU54" s="12"/>
      <c r="IOV54" s="12"/>
      <c r="IOW54" s="12"/>
      <c r="IOX54" s="12"/>
      <c r="IOY54" s="12"/>
      <c r="IOZ54" s="12"/>
      <c r="IPA54" s="12"/>
      <c r="IPB54" s="12"/>
      <c r="IPC54" s="12"/>
      <c r="IPD54" s="12"/>
      <c r="IPE54" s="12"/>
      <c r="IPF54" s="12"/>
      <c r="IPG54" s="12"/>
      <c r="IPH54" s="12"/>
      <c r="IPI54" s="12"/>
      <c r="IPJ54" s="12"/>
      <c r="IPK54" s="12"/>
      <c r="IPL54" s="12"/>
      <c r="IPM54" s="12"/>
      <c r="IPN54" s="12"/>
      <c r="IPO54" s="12"/>
      <c r="IPP54" s="12"/>
      <c r="IPQ54" s="12"/>
      <c r="IPR54" s="12"/>
      <c r="IPS54" s="12"/>
      <c r="IPT54" s="12"/>
      <c r="IPU54" s="12"/>
      <c r="IPV54" s="12"/>
      <c r="IPW54" s="12"/>
      <c r="IPX54" s="12"/>
      <c r="IPY54" s="12"/>
      <c r="IPZ54" s="12"/>
      <c r="IQA54" s="12"/>
      <c r="IQB54" s="12"/>
      <c r="IQC54" s="12"/>
      <c r="IQD54" s="12"/>
      <c r="IQE54" s="12"/>
      <c r="IQF54" s="12"/>
      <c r="IQG54" s="12"/>
      <c r="IQH54" s="12"/>
      <c r="IQI54" s="12"/>
      <c r="IQJ54" s="12"/>
      <c r="IQK54" s="12"/>
      <c r="IQL54" s="12"/>
      <c r="IQM54" s="12"/>
      <c r="IQN54" s="12"/>
      <c r="IQO54" s="12"/>
      <c r="IQP54" s="12"/>
      <c r="IQQ54" s="12"/>
      <c r="IQR54" s="12"/>
      <c r="IQS54" s="12"/>
      <c r="IQT54" s="12"/>
      <c r="IQU54" s="12"/>
      <c r="IQV54" s="12"/>
      <c r="IQW54" s="12"/>
      <c r="IQX54" s="12"/>
      <c r="IQY54" s="12"/>
      <c r="IQZ54" s="12"/>
      <c r="IRA54" s="12"/>
      <c r="IRB54" s="12"/>
      <c r="IRC54" s="12"/>
      <c r="IRD54" s="12"/>
      <c r="IRE54" s="12"/>
      <c r="IRF54" s="12"/>
      <c r="IRG54" s="12"/>
      <c r="IRH54" s="12"/>
      <c r="IRI54" s="12"/>
      <c r="IRJ54" s="12"/>
      <c r="IRK54" s="12"/>
      <c r="IRL54" s="12"/>
      <c r="IRM54" s="12"/>
      <c r="IRN54" s="12"/>
      <c r="IRO54" s="12"/>
      <c r="IRP54" s="12"/>
      <c r="IRQ54" s="12"/>
      <c r="IRR54" s="12"/>
      <c r="IRS54" s="12"/>
      <c r="IRT54" s="12"/>
      <c r="IRU54" s="12"/>
      <c r="IRV54" s="12"/>
      <c r="IRW54" s="12"/>
      <c r="IRX54" s="12"/>
      <c r="IRY54" s="12"/>
      <c r="IRZ54" s="12"/>
      <c r="ISA54" s="12"/>
      <c r="ISB54" s="12"/>
      <c r="ISC54" s="12"/>
      <c r="ISD54" s="12"/>
      <c r="ISE54" s="12"/>
      <c r="ISF54" s="12"/>
      <c r="ISG54" s="12"/>
      <c r="ISH54" s="12"/>
      <c r="ISI54" s="12"/>
      <c r="ISJ54" s="12"/>
      <c r="ISK54" s="12"/>
      <c r="ISL54" s="12"/>
      <c r="ISM54" s="12"/>
      <c r="ISN54" s="12"/>
      <c r="ISO54" s="12"/>
      <c r="ISP54" s="12"/>
      <c r="ISQ54" s="12"/>
      <c r="ISR54" s="12"/>
      <c r="ISS54" s="12"/>
      <c r="IST54" s="12"/>
      <c r="ISU54" s="12"/>
      <c r="ISV54" s="12"/>
      <c r="ISW54" s="12"/>
      <c r="ISX54" s="12"/>
      <c r="ISY54" s="12"/>
      <c r="ISZ54" s="12"/>
      <c r="ITA54" s="12"/>
      <c r="ITB54" s="12"/>
      <c r="ITC54" s="12"/>
      <c r="ITD54" s="12"/>
      <c r="ITE54" s="12"/>
      <c r="ITF54" s="12"/>
      <c r="ITG54" s="12"/>
      <c r="ITH54" s="12"/>
      <c r="ITI54" s="12"/>
      <c r="ITJ54" s="12"/>
      <c r="ITK54" s="12"/>
      <c r="ITL54" s="12"/>
      <c r="ITM54" s="12"/>
      <c r="ITN54" s="12"/>
      <c r="ITO54" s="12"/>
      <c r="ITP54" s="12"/>
      <c r="ITQ54" s="12"/>
      <c r="ITR54" s="12"/>
      <c r="ITS54" s="12"/>
      <c r="ITT54" s="12"/>
      <c r="ITU54" s="12"/>
      <c r="ITV54" s="12"/>
      <c r="ITW54" s="12"/>
      <c r="ITX54" s="12"/>
      <c r="ITY54" s="12"/>
      <c r="ITZ54" s="12"/>
      <c r="IUA54" s="12"/>
      <c r="IUB54" s="12"/>
      <c r="IUC54" s="12"/>
      <c r="IUD54" s="12"/>
      <c r="IUE54" s="12"/>
      <c r="IUF54" s="12"/>
      <c r="IUG54" s="12"/>
      <c r="IUH54" s="12"/>
      <c r="IUI54" s="12"/>
      <c r="IUJ54" s="12"/>
      <c r="IUK54" s="12"/>
      <c r="IUL54" s="12"/>
      <c r="IUM54" s="12"/>
      <c r="IUN54" s="12"/>
      <c r="IUO54" s="12"/>
      <c r="IUP54" s="12"/>
      <c r="IUQ54" s="12"/>
      <c r="IUR54" s="12"/>
      <c r="IUS54" s="12"/>
      <c r="IUT54" s="12"/>
      <c r="IUU54" s="12"/>
      <c r="IUV54" s="12"/>
      <c r="IUW54" s="12"/>
      <c r="IUX54" s="12"/>
      <c r="IUY54" s="12"/>
      <c r="IUZ54" s="12"/>
      <c r="IVA54" s="12"/>
      <c r="IVB54" s="12"/>
      <c r="IVC54" s="12"/>
      <c r="IVD54" s="12"/>
      <c r="IVE54" s="12"/>
      <c r="IVF54" s="12"/>
      <c r="IVG54" s="12"/>
      <c r="IVH54" s="12"/>
      <c r="IVI54" s="12"/>
      <c r="IVJ54" s="12"/>
      <c r="IVK54" s="12"/>
      <c r="IVL54" s="12"/>
      <c r="IVM54" s="12"/>
      <c r="IVN54" s="12"/>
      <c r="IVO54" s="12"/>
      <c r="IVP54" s="12"/>
      <c r="IVQ54" s="12"/>
      <c r="IVR54" s="12"/>
      <c r="IVS54" s="12"/>
      <c r="IVT54" s="12"/>
      <c r="IVU54" s="12"/>
      <c r="IVV54" s="12"/>
      <c r="IVW54" s="12"/>
      <c r="IVX54" s="12"/>
      <c r="IVY54" s="12"/>
      <c r="IVZ54" s="12"/>
      <c r="IWA54" s="12"/>
      <c r="IWB54" s="12"/>
      <c r="IWC54" s="12"/>
      <c r="IWD54" s="12"/>
      <c r="IWE54" s="12"/>
      <c r="IWF54" s="12"/>
      <c r="IWG54" s="12"/>
      <c r="IWH54" s="12"/>
      <c r="IWI54" s="12"/>
      <c r="IWJ54" s="12"/>
      <c r="IWK54" s="12"/>
      <c r="IWL54" s="12"/>
      <c r="IWM54" s="12"/>
      <c r="IWN54" s="12"/>
      <c r="IWO54" s="12"/>
      <c r="IWP54" s="12"/>
      <c r="IWQ54" s="12"/>
      <c r="IWR54" s="12"/>
      <c r="IWS54" s="12"/>
      <c r="IWT54" s="12"/>
      <c r="IWU54" s="12"/>
      <c r="IWV54" s="12"/>
      <c r="IWW54" s="12"/>
      <c r="IWX54" s="12"/>
      <c r="IWY54" s="12"/>
      <c r="IWZ54" s="12"/>
      <c r="IXA54" s="12"/>
      <c r="IXB54" s="12"/>
      <c r="IXC54" s="12"/>
      <c r="IXD54" s="12"/>
      <c r="IXE54" s="12"/>
      <c r="IXF54" s="12"/>
      <c r="IXG54" s="12"/>
      <c r="IXH54" s="12"/>
      <c r="IXI54" s="12"/>
      <c r="IXJ54" s="12"/>
      <c r="IXK54" s="12"/>
      <c r="IXL54" s="12"/>
      <c r="IXM54" s="12"/>
      <c r="IXN54" s="12"/>
      <c r="IXO54" s="12"/>
      <c r="IXP54" s="12"/>
      <c r="IXQ54" s="12"/>
      <c r="IXR54" s="12"/>
      <c r="IXS54" s="12"/>
      <c r="IXT54" s="12"/>
      <c r="IXU54" s="12"/>
      <c r="IXV54" s="12"/>
      <c r="IXW54" s="12"/>
      <c r="IXX54" s="12"/>
      <c r="IXY54" s="12"/>
      <c r="IXZ54" s="12"/>
      <c r="IYA54" s="12"/>
      <c r="IYB54" s="12"/>
      <c r="IYC54" s="12"/>
      <c r="IYD54" s="12"/>
      <c r="IYE54" s="12"/>
      <c r="IYF54" s="12"/>
      <c r="IYG54" s="12"/>
      <c r="IYH54" s="12"/>
      <c r="IYI54" s="12"/>
      <c r="IYJ54" s="12"/>
      <c r="IYK54" s="12"/>
      <c r="IYL54" s="12"/>
      <c r="IYM54" s="12"/>
      <c r="IYN54" s="12"/>
      <c r="IYO54" s="12"/>
      <c r="IYP54" s="12"/>
      <c r="IYQ54" s="12"/>
      <c r="IYR54" s="12"/>
      <c r="IYS54" s="12"/>
      <c r="IYT54" s="12"/>
      <c r="IYU54" s="12"/>
      <c r="IYV54" s="12"/>
      <c r="IYW54" s="12"/>
      <c r="IYX54" s="12"/>
      <c r="IYY54" s="12"/>
      <c r="IYZ54" s="12"/>
      <c r="IZA54" s="12"/>
      <c r="IZB54" s="12"/>
      <c r="IZC54" s="12"/>
      <c r="IZD54" s="12"/>
      <c r="IZE54" s="12"/>
      <c r="IZF54" s="12"/>
      <c r="IZG54" s="12"/>
      <c r="IZH54" s="12"/>
      <c r="IZI54" s="12"/>
      <c r="IZJ54" s="12"/>
      <c r="IZK54" s="12"/>
      <c r="IZL54" s="12"/>
      <c r="IZM54" s="12"/>
      <c r="IZN54" s="12"/>
      <c r="IZO54" s="12"/>
      <c r="IZP54" s="12"/>
      <c r="IZQ54" s="12"/>
      <c r="IZR54" s="12"/>
      <c r="IZS54" s="12"/>
      <c r="IZT54" s="12"/>
      <c r="IZU54" s="12"/>
      <c r="IZV54" s="12"/>
      <c r="IZW54" s="12"/>
      <c r="IZX54" s="12"/>
      <c r="IZY54" s="12"/>
      <c r="IZZ54" s="12"/>
      <c r="JAA54" s="12"/>
      <c r="JAB54" s="12"/>
      <c r="JAC54" s="12"/>
      <c r="JAD54" s="12"/>
      <c r="JAE54" s="12"/>
      <c r="JAF54" s="12"/>
      <c r="JAG54" s="12"/>
      <c r="JAH54" s="12"/>
      <c r="JAI54" s="12"/>
      <c r="JAJ54" s="12"/>
      <c r="JAK54" s="12"/>
      <c r="JAL54" s="12"/>
      <c r="JAM54" s="12"/>
      <c r="JAN54" s="12"/>
      <c r="JAO54" s="12"/>
      <c r="JAP54" s="12"/>
      <c r="JAQ54" s="12"/>
      <c r="JAR54" s="12"/>
      <c r="JAS54" s="12"/>
      <c r="JAT54" s="12"/>
      <c r="JAU54" s="12"/>
      <c r="JAV54" s="12"/>
      <c r="JAW54" s="12"/>
      <c r="JAX54" s="12"/>
      <c r="JAY54" s="12"/>
      <c r="JAZ54" s="12"/>
      <c r="JBA54" s="12"/>
      <c r="JBB54" s="12"/>
      <c r="JBC54" s="12"/>
      <c r="JBD54" s="12"/>
      <c r="JBE54" s="12"/>
      <c r="JBF54" s="12"/>
      <c r="JBG54" s="12"/>
      <c r="JBH54" s="12"/>
      <c r="JBI54" s="12"/>
      <c r="JBJ54" s="12"/>
      <c r="JBK54" s="12"/>
      <c r="JBL54" s="12"/>
      <c r="JBM54" s="12"/>
      <c r="JBN54" s="12"/>
      <c r="JBO54" s="12"/>
      <c r="JBP54" s="12"/>
      <c r="JBQ54" s="12"/>
      <c r="JBR54" s="12"/>
      <c r="JBS54" s="12"/>
      <c r="JBT54" s="12"/>
      <c r="JBU54" s="12"/>
      <c r="JBV54" s="12"/>
      <c r="JBW54" s="12"/>
      <c r="JBX54" s="12"/>
      <c r="JBY54" s="12"/>
      <c r="JBZ54" s="12"/>
      <c r="JCA54" s="12"/>
      <c r="JCB54" s="12"/>
      <c r="JCC54" s="12"/>
      <c r="JCD54" s="12"/>
      <c r="JCE54" s="12"/>
      <c r="JCF54" s="12"/>
      <c r="JCG54" s="12"/>
      <c r="JCH54" s="12"/>
      <c r="JCI54" s="12"/>
      <c r="JCJ54" s="12"/>
      <c r="JCK54" s="12"/>
      <c r="JCL54" s="12"/>
      <c r="JCM54" s="12"/>
      <c r="JCN54" s="12"/>
      <c r="JCO54" s="12"/>
      <c r="JCP54" s="12"/>
      <c r="JCQ54" s="12"/>
      <c r="JCR54" s="12"/>
      <c r="JCS54" s="12"/>
      <c r="JCT54" s="12"/>
      <c r="JCU54" s="12"/>
      <c r="JCV54" s="12"/>
      <c r="JCW54" s="12"/>
      <c r="JCX54" s="12"/>
      <c r="JCY54" s="12"/>
      <c r="JCZ54" s="12"/>
      <c r="JDA54" s="12"/>
      <c r="JDB54" s="12"/>
      <c r="JDC54" s="12"/>
      <c r="JDD54" s="12"/>
      <c r="JDE54" s="12"/>
      <c r="JDF54" s="12"/>
      <c r="JDG54" s="12"/>
      <c r="JDH54" s="12"/>
      <c r="JDI54" s="12"/>
      <c r="JDJ54" s="12"/>
      <c r="JDK54" s="12"/>
      <c r="JDL54" s="12"/>
      <c r="JDM54" s="12"/>
      <c r="JDN54" s="12"/>
      <c r="JDO54" s="12"/>
      <c r="JDP54" s="12"/>
      <c r="JDQ54" s="12"/>
      <c r="JDR54" s="12"/>
      <c r="JDS54" s="12"/>
      <c r="JDT54" s="12"/>
      <c r="JDU54" s="12"/>
      <c r="JDV54" s="12"/>
      <c r="JDW54" s="12"/>
      <c r="JDX54" s="12"/>
      <c r="JDY54" s="12"/>
      <c r="JDZ54" s="12"/>
      <c r="JEA54" s="12"/>
      <c r="JEB54" s="12"/>
      <c r="JEC54" s="12"/>
      <c r="JED54" s="12"/>
      <c r="JEE54" s="12"/>
      <c r="JEF54" s="12"/>
      <c r="JEG54" s="12"/>
      <c r="JEH54" s="12"/>
      <c r="JEI54" s="12"/>
      <c r="JEJ54" s="12"/>
      <c r="JEK54" s="12"/>
      <c r="JEL54" s="12"/>
      <c r="JEM54" s="12"/>
      <c r="JEN54" s="12"/>
      <c r="JEO54" s="12"/>
      <c r="JEP54" s="12"/>
      <c r="JEQ54" s="12"/>
      <c r="JER54" s="12"/>
      <c r="JES54" s="12"/>
      <c r="JET54" s="12"/>
      <c r="JEU54" s="12"/>
      <c r="JEV54" s="12"/>
      <c r="JEW54" s="12"/>
      <c r="JEX54" s="12"/>
      <c r="JEY54" s="12"/>
      <c r="JEZ54" s="12"/>
      <c r="JFA54" s="12"/>
      <c r="JFB54" s="12"/>
      <c r="JFC54" s="12"/>
      <c r="JFD54" s="12"/>
      <c r="JFE54" s="12"/>
      <c r="JFF54" s="12"/>
      <c r="JFG54" s="12"/>
      <c r="JFH54" s="12"/>
      <c r="JFI54" s="12"/>
      <c r="JFJ54" s="12"/>
      <c r="JFK54" s="12"/>
      <c r="JFL54" s="12"/>
      <c r="JFM54" s="12"/>
      <c r="JFN54" s="12"/>
      <c r="JFO54" s="12"/>
      <c r="JFP54" s="12"/>
      <c r="JFQ54" s="12"/>
      <c r="JFR54" s="12"/>
      <c r="JFS54" s="12"/>
      <c r="JFT54" s="12"/>
      <c r="JFU54" s="12"/>
      <c r="JFV54" s="12"/>
      <c r="JFW54" s="12"/>
      <c r="JFX54" s="12"/>
      <c r="JFY54" s="12"/>
      <c r="JFZ54" s="12"/>
      <c r="JGA54" s="12"/>
      <c r="JGB54" s="12"/>
      <c r="JGC54" s="12"/>
      <c r="JGD54" s="12"/>
      <c r="JGE54" s="12"/>
      <c r="JGF54" s="12"/>
      <c r="JGG54" s="12"/>
      <c r="JGH54" s="12"/>
      <c r="JGI54" s="12"/>
      <c r="JGJ54" s="12"/>
      <c r="JGK54" s="12"/>
      <c r="JGL54" s="12"/>
      <c r="JGM54" s="12"/>
      <c r="JGN54" s="12"/>
      <c r="JGO54" s="12"/>
      <c r="JGP54" s="12"/>
      <c r="JGQ54" s="12"/>
      <c r="JGR54" s="12"/>
      <c r="JGS54" s="12"/>
      <c r="JGT54" s="12"/>
      <c r="JGU54" s="12"/>
      <c r="JGV54" s="12"/>
      <c r="JGW54" s="12"/>
      <c r="JGX54" s="12"/>
      <c r="JGY54" s="12"/>
      <c r="JGZ54" s="12"/>
      <c r="JHA54" s="12"/>
      <c r="JHB54" s="12"/>
      <c r="JHC54" s="12"/>
      <c r="JHD54" s="12"/>
      <c r="JHE54" s="12"/>
      <c r="JHF54" s="12"/>
      <c r="JHG54" s="12"/>
      <c r="JHH54" s="12"/>
      <c r="JHI54" s="12"/>
      <c r="JHJ54" s="12"/>
      <c r="JHK54" s="12"/>
      <c r="JHL54" s="12"/>
      <c r="JHM54" s="12"/>
      <c r="JHN54" s="12"/>
      <c r="JHO54" s="12"/>
      <c r="JHP54" s="12"/>
      <c r="JHQ54" s="12"/>
      <c r="JHR54" s="12"/>
      <c r="JHS54" s="12"/>
      <c r="JHT54" s="12"/>
      <c r="JHU54" s="12"/>
      <c r="JHV54" s="12"/>
      <c r="JHW54" s="12"/>
      <c r="JHX54" s="12"/>
      <c r="JHY54" s="12"/>
      <c r="JHZ54" s="12"/>
      <c r="JIA54" s="12"/>
      <c r="JIB54" s="12"/>
      <c r="JIC54" s="12"/>
      <c r="JID54" s="12"/>
      <c r="JIE54" s="12"/>
      <c r="JIF54" s="12"/>
      <c r="JIG54" s="12"/>
      <c r="JIH54" s="12"/>
      <c r="JII54" s="12"/>
      <c r="JIJ54" s="12"/>
      <c r="JIK54" s="12"/>
      <c r="JIL54" s="12"/>
      <c r="JIM54" s="12"/>
      <c r="JIN54" s="12"/>
      <c r="JIO54" s="12"/>
      <c r="JIP54" s="12"/>
      <c r="JIQ54" s="12"/>
      <c r="JIR54" s="12"/>
      <c r="JIS54" s="12"/>
      <c r="JIT54" s="12"/>
      <c r="JIU54" s="12"/>
      <c r="JIV54" s="12"/>
      <c r="JIW54" s="12"/>
      <c r="JIX54" s="12"/>
      <c r="JIY54" s="12"/>
      <c r="JIZ54" s="12"/>
      <c r="JJA54" s="12"/>
      <c r="JJB54" s="12"/>
      <c r="JJC54" s="12"/>
      <c r="JJD54" s="12"/>
      <c r="JJE54" s="12"/>
      <c r="JJF54" s="12"/>
      <c r="JJG54" s="12"/>
      <c r="JJH54" s="12"/>
      <c r="JJI54" s="12"/>
      <c r="JJJ54" s="12"/>
      <c r="JJK54" s="12"/>
      <c r="JJL54" s="12"/>
      <c r="JJM54" s="12"/>
      <c r="JJN54" s="12"/>
      <c r="JJO54" s="12"/>
      <c r="JJP54" s="12"/>
      <c r="JJQ54" s="12"/>
      <c r="JJR54" s="12"/>
      <c r="JJS54" s="12"/>
      <c r="JJT54" s="12"/>
      <c r="JJU54" s="12"/>
      <c r="JJV54" s="12"/>
      <c r="JJW54" s="12"/>
      <c r="JJX54" s="12"/>
      <c r="JJY54" s="12"/>
      <c r="JJZ54" s="12"/>
      <c r="JKA54" s="12"/>
      <c r="JKB54" s="12"/>
      <c r="JKC54" s="12"/>
      <c r="JKD54" s="12"/>
      <c r="JKE54" s="12"/>
      <c r="JKF54" s="12"/>
      <c r="JKG54" s="12"/>
      <c r="JKH54" s="12"/>
      <c r="JKI54" s="12"/>
      <c r="JKJ54" s="12"/>
      <c r="JKK54" s="12"/>
      <c r="JKL54" s="12"/>
      <c r="JKM54" s="12"/>
      <c r="JKN54" s="12"/>
      <c r="JKO54" s="12"/>
      <c r="JKP54" s="12"/>
      <c r="JKQ54" s="12"/>
      <c r="JKR54" s="12"/>
      <c r="JKS54" s="12"/>
      <c r="JKT54" s="12"/>
      <c r="JKU54" s="12"/>
      <c r="JKV54" s="12"/>
      <c r="JKW54" s="12"/>
      <c r="JKX54" s="12"/>
      <c r="JKY54" s="12"/>
      <c r="JKZ54" s="12"/>
      <c r="JLA54" s="12"/>
      <c r="JLB54" s="12"/>
      <c r="JLC54" s="12"/>
      <c r="JLD54" s="12"/>
      <c r="JLE54" s="12"/>
      <c r="JLF54" s="12"/>
      <c r="JLG54" s="12"/>
      <c r="JLH54" s="12"/>
      <c r="JLI54" s="12"/>
      <c r="JLJ54" s="12"/>
      <c r="JLK54" s="12"/>
      <c r="JLL54" s="12"/>
      <c r="JLM54" s="12"/>
      <c r="JLN54" s="12"/>
      <c r="JLO54" s="12"/>
      <c r="JLP54" s="12"/>
      <c r="JLQ54" s="12"/>
      <c r="JLR54" s="12"/>
      <c r="JLS54" s="12"/>
      <c r="JLT54" s="12"/>
      <c r="JLU54" s="12"/>
      <c r="JLV54" s="12"/>
      <c r="JLW54" s="12"/>
      <c r="JLX54" s="12"/>
      <c r="JLY54" s="12"/>
      <c r="JLZ54" s="12"/>
      <c r="JMA54" s="12"/>
      <c r="JMB54" s="12"/>
      <c r="JMC54" s="12"/>
      <c r="JMD54" s="12"/>
      <c r="JME54" s="12"/>
      <c r="JMF54" s="12"/>
      <c r="JMG54" s="12"/>
      <c r="JMH54" s="12"/>
      <c r="JMI54" s="12"/>
      <c r="JMJ54" s="12"/>
      <c r="JMK54" s="12"/>
      <c r="JML54" s="12"/>
      <c r="JMM54" s="12"/>
      <c r="JMN54" s="12"/>
      <c r="JMO54" s="12"/>
      <c r="JMP54" s="12"/>
      <c r="JMQ54" s="12"/>
      <c r="JMR54" s="12"/>
      <c r="JMS54" s="12"/>
      <c r="JMT54" s="12"/>
      <c r="JMU54" s="12"/>
      <c r="JMV54" s="12"/>
      <c r="JMW54" s="12"/>
      <c r="JMX54" s="12"/>
      <c r="JMY54" s="12"/>
      <c r="JMZ54" s="12"/>
      <c r="JNA54" s="12"/>
      <c r="JNB54" s="12"/>
      <c r="JNC54" s="12"/>
      <c r="JND54" s="12"/>
      <c r="JNE54" s="12"/>
      <c r="JNF54" s="12"/>
      <c r="JNG54" s="12"/>
      <c r="JNH54" s="12"/>
      <c r="JNI54" s="12"/>
      <c r="JNJ54" s="12"/>
      <c r="JNK54" s="12"/>
      <c r="JNL54" s="12"/>
      <c r="JNM54" s="12"/>
      <c r="JNN54" s="12"/>
      <c r="JNO54" s="12"/>
      <c r="JNP54" s="12"/>
      <c r="JNQ54" s="12"/>
      <c r="JNR54" s="12"/>
      <c r="JNS54" s="12"/>
      <c r="JNT54" s="12"/>
      <c r="JNU54" s="12"/>
      <c r="JNV54" s="12"/>
      <c r="JNW54" s="12"/>
      <c r="JNX54" s="12"/>
      <c r="JNY54" s="12"/>
      <c r="JNZ54" s="12"/>
      <c r="JOA54" s="12"/>
      <c r="JOB54" s="12"/>
      <c r="JOC54" s="12"/>
      <c r="JOD54" s="12"/>
      <c r="JOE54" s="12"/>
      <c r="JOF54" s="12"/>
      <c r="JOG54" s="12"/>
      <c r="JOH54" s="12"/>
      <c r="JOI54" s="12"/>
      <c r="JOJ54" s="12"/>
      <c r="JOK54" s="12"/>
      <c r="JOL54" s="12"/>
      <c r="JOM54" s="12"/>
      <c r="JON54" s="12"/>
      <c r="JOO54" s="12"/>
      <c r="JOP54" s="12"/>
      <c r="JOQ54" s="12"/>
      <c r="JOR54" s="12"/>
      <c r="JOS54" s="12"/>
      <c r="JOT54" s="12"/>
      <c r="JOU54" s="12"/>
      <c r="JOV54" s="12"/>
      <c r="JOW54" s="12"/>
      <c r="JOX54" s="12"/>
      <c r="JOY54" s="12"/>
      <c r="JOZ54" s="12"/>
      <c r="JPA54" s="12"/>
      <c r="JPB54" s="12"/>
      <c r="JPC54" s="12"/>
      <c r="JPD54" s="12"/>
      <c r="JPE54" s="12"/>
      <c r="JPF54" s="12"/>
      <c r="JPG54" s="12"/>
      <c r="JPH54" s="12"/>
      <c r="JPI54" s="12"/>
      <c r="JPJ54" s="12"/>
      <c r="JPK54" s="12"/>
      <c r="JPL54" s="12"/>
      <c r="JPM54" s="12"/>
      <c r="JPN54" s="12"/>
      <c r="JPO54" s="12"/>
      <c r="JPP54" s="12"/>
      <c r="JPQ54" s="12"/>
      <c r="JPR54" s="12"/>
      <c r="JPS54" s="12"/>
      <c r="JPT54" s="12"/>
      <c r="JPU54" s="12"/>
      <c r="JPV54" s="12"/>
      <c r="JPW54" s="12"/>
      <c r="JPX54" s="12"/>
      <c r="JPY54" s="12"/>
      <c r="JPZ54" s="12"/>
      <c r="JQA54" s="12"/>
      <c r="JQB54" s="12"/>
      <c r="JQC54" s="12"/>
      <c r="JQD54" s="12"/>
      <c r="JQE54" s="12"/>
      <c r="JQF54" s="12"/>
      <c r="JQG54" s="12"/>
      <c r="JQH54" s="12"/>
      <c r="JQI54" s="12"/>
      <c r="JQJ54" s="12"/>
      <c r="JQK54" s="12"/>
      <c r="JQL54" s="12"/>
      <c r="JQM54" s="12"/>
      <c r="JQN54" s="12"/>
      <c r="JQO54" s="12"/>
      <c r="JQP54" s="12"/>
      <c r="JQQ54" s="12"/>
      <c r="JQR54" s="12"/>
      <c r="JQS54" s="12"/>
      <c r="JQT54" s="12"/>
      <c r="JQU54" s="12"/>
      <c r="JQV54" s="12"/>
      <c r="JQW54" s="12"/>
      <c r="JQX54" s="12"/>
      <c r="JQY54" s="12"/>
      <c r="JQZ54" s="12"/>
      <c r="JRA54" s="12"/>
      <c r="JRB54" s="12"/>
      <c r="JRC54" s="12"/>
      <c r="JRD54" s="12"/>
      <c r="JRE54" s="12"/>
      <c r="JRF54" s="12"/>
      <c r="JRG54" s="12"/>
      <c r="JRH54" s="12"/>
      <c r="JRI54" s="12"/>
      <c r="JRJ54" s="12"/>
      <c r="JRK54" s="12"/>
      <c r="JRL54" s="12"/>
      <c r="JRM54" s="12"/>
      <c r="JRN54" s="12"/>
      <c r="JRO54" s="12"/>
      <c r="JRP54" s="12"/>
      <c r="JRQ54" s="12"/>
      <c r="JRR54" s="12"/>
      <c r="JRS54" s="12"/>
      <c r="JRT54" s="12"/>
      <c r="JRU54" s="12"/>
      <c r="JRV54" s="12"/>
      <c r="JRW54" s="12"/>
      <c r="JRX54" s="12"/>
      <c r="JRY54" s="12"/>
      <c r="JRZ54" s="12"/>
      <c r="JSA54" s="12"/>
      <c r="JSB54" s="12"/>
      <c r="JSC54" s="12"/>
      <c r="JSD54" s="12"/>
      <c r="JSE54" s="12"/>
      <c r="JSF54" s="12"/>
      <c r="JSG54" s="12"/>
      <c r="JSH54" s="12"/>
      <c r="JSI54" s="12"/>
      <c r="JSJ54" s="12"/>
      <c r="JSK54" s="12"/>
      <c r="JSL54" s="12"/>
      <c r="JSM54" s="12"/>
      <c r="JSN54" s="12"/>
      <c r="JSO54" s="12"/>
      <c r="JSP54" s="12"/>
      <c r="JSQ54" s="12"/>
      <c r="JSR54" s="12"/>
      <c r="JSS54" s="12"/>
      <c r="JST54" s="12"/>
      <c r="JSU54" s="12"/>
      <c r="JSV54" s="12"/>
      <c r="JSW54" s="12"/>
      <c r="JSX54" s="12"/>
      <c r="JSY54" s="12"/>
      <c r="JSZ54" s="12"/>
      <c r="JTA54" s="12"/>
      <c r="JTB54" s="12"/>
      <c r="JTC54" s="12"/>
      <c r="JTD54" s="12"/>
      <c r="JTE54" s="12"/>
      <c r="JTF54" s="12"/>
      <c r="JTG54" s="12"/>
      <c r="JTH54" s="12"/>
      <c r="JTI54" s="12"/>
      <c r="JTJ54" s="12"/>
      <c r="JTK54" s="12"/>
      <c r="JTL54" s="12"/>
      <c r="JTM54" s="12"/>
      <c r="JTN54" s="12"/>
      <c r="JTO54" s="12"/>
      <c r="JTP54" s="12"/>
      <c r="JTQ54" s="12"/>
      <c r="JTR54" s="12"/>
      <c r="JTS54" s="12"/>
      <c r="JTT54" s="12"/>
      <c r="JTU54" s="12"/>
      <c r="JTV54" s="12"/>
      <c r="JTW54" s="12"/>
      <c r="JTX54" s="12"/>
      <c r="JTY54" s="12"/>
      <c r="JTZ54" s="12"/>
      <c r="JUA54" s="12"/>
      <c r="JUB54" s="12"/>
      <c r="JUC54" s="12"/>
      <c r="JUD54" s="12"/>
      <c r="JUE54" s="12"/>
      <c r="JUF54" s="12"/>
      <c r="JUG54" s="12"/>
      <c r="JUH54" s="12"/>
      <c r="JUI54" s="12"/>
      <c r="JUJ54" s="12"/>
      <c r="JUK54" s="12"/>
      <c r="JUL54" s="12"/>
      <c r="JUM54" s="12"/>
      <c r="JUN54" s="12"/>
      <c r="JUO54" s="12"/>
      <c r="JUP54" s="12"/>
      <c r="JUQ54" s="12"/>
      <c r="JUR54" s="12"/>
      <c r="JUS54" s="12"/>
      <c r="JUT54" s="12"/>
      <c r="JUU54" s="12"/>
      <c r="JUV54" s="12"/>
      <c r="JUW54" s="12"/>
      <c r="JUX54" s="12"/>
      <c r="JUY54" s="12"/>
      <c r="JUZ54" s="12"/>
      <c r="JVA54" s="12"/>
      <c r="JVB54" s="12"/>
      <c r="JVC54" s="12"/>
      <c r="JVD54" s="12"/>
      <c r="JVE54" s="12"/>
      <c r="JVF54" s="12"/>
      <c r="JVG54" s="12"/>
      <c r="JVH54" s="12"/>
      <c r="JVI54" s="12"/>
      <c r="JVJ54" s="12"/>
      <c r="JVK54" s="12"/>
      <c r="JVL54" s="12"/>
      <c r="JVM54" s="12"/>
      <c r="JVN54" s="12"/>
      <c r="JVO54" s="12"/>
      <c r="JVP54" s="12"/>
      <c r="JVQ54" s="12"/>
      <c r="JVR54" s="12"/>
      <c r="JVS54" s="12"/>
      <c r="JVT54" s="12"/>
      <c r="JVU54" s="12"/>
      <c r="JVV54" s="12"/>
      <c r="JVW54" s="12"/>
      <c r="JVX54" s="12"/>
      <c r="JVY54" s="12"/>
      <c r="JVZ54" s="12"/>
      <c r="JWA54" s="12"/>
      <c r="JWB54" s="12"/>
      <c r="JWC54" s="12"/>
      <c r="JWD54" s="12"/>
      <c r="JWE54" s="12"/>
      <c r="JWF54" s="12"/>
      <c r="JWG54" s="12"/>
      <c r="JWH54" s="12"/>
      <c r="JWI54" s="12"/>
      <c r="JWJ54" s="12"/>
      <c r="JWK54" s="12"/>
      <c r="JWL54" s="12"/>
      <c r="JWM54" s="12"/>
      <c r="JWN54" s="12"/>
      <c r="JWO54" s="12"/>
      <c r="JWP54" s="12"/>
      <c r="JWQ54" s="12"/>
      <c r="JWR54" s="12"/>
      <c r="JWS54" s="12"/>
      <c r="JWT54" s="12"/>
      <c r="JWU54" s="12"/>
      <c r="JWV54" s="12"/>
      <c r="JWW54" s="12"/>
      <c r="JWX54" s="12"/>
      <c r="JWY54" s="12"/>
      <c r="JWZ54" s="12"/>
      <c r="JXA54" s="12"/>
      <c r="JXB54" s="12"/>
      <c r="JXC54" s="12"/>
      <c r="JXD54" s="12"/>
      <c r="JXE54" s="12"/>
      <c r="JXF54" s="12"/>
      <c r="JXG54" s="12"/>
      <c r="JXH54" s="12"/>
      <c r="JXI54" s="12"/>
      <c r="JXJ54" s="12"/>
      <c r="JXK54" s="12"/>
      <c r="JXL54" s="12"/>
      <c r="JXM54" s="12"/>
      <c r="JXN54" s="12"/>
      <c r="JXO54" s="12"/>
      <c r="JXP54" s="12"/>
      <c r="JXQ54" s="12"/>
      <c r="JXR54" s="12"/>
      <c r="JXS54" s="12"/>
      <c r="JXT54" s="12"/>
      <c r="JXU54" s="12"/>
      <c r="JXV54" s="12"/>
      <c r="JXW54" s="12"/>
      <c r="JXX54" s="12"/>
      <c r="JXY54" s="12"/>
      <c r="JXZ54" s="12"/>
      <c r="JYA54" s="12"/>
      <c r="JYB54" s="12"/>
      <c r="JYC54" s="12"/>
      <c r="JYD54" s="12"/>
      <c r="JYE54" s="12"/>
      <c r="JYF54" s="12"/>
      <c r="JYG54" s="12"/>
      <c r="JYH54" s="12"/>
      <c r="JYI54" s="12"/>
      <c r="JYJ54" s="12"/>
      <c r="JYK54" s="12"/>
      <c r="JYL54" s="12"/>
      <c r="JYM54" s="12"/>
      <c r="JYN54" s="12"/>
      <c r="JYO54" s="12"/>
      <c r="JYP54" s="12"/>
      <c r="JYQ54" s="12"/>
      <c r="JYR54" s="12"/>
      <c r="JYS54" s="12"/>
      <c r="JYT54" s="12"/>
      <c r="JYU54" s="12"/>
      <c r="JYV54" s="12"/>
      <c r="JYW54" s="12"/>
      <c r="JYX54" s="12"/>
      <c r="JYY54" s="12"/>
      <c r="JYZ54" s="12"/>
      <c r="JZA54" s="12"/>
      <c r="JZB54" s="12"/>
      <c r="JZC54" s="12"/>
      <c r="JZD54" s="12"/>
      <c r="JZE54" s="12"/>
      <c r="JZF54" s="12"/>
      <c r="JZG54" s="12"/>
      <c r="JZH54" s="12"/>
      <c r="JZI54" s="12"/>
      <c r="JZJ54" s="12"/>
      <c r="JZK54" s="12"/>
      <c r="JZL54" s="12"/>
      <c r="JZM54" s="12"/>
      <c r="JZN54" s="12"/>
      <c r="JZO54" s="12"/>
      <c r="JZP54" s="12"/>
      <c r="JZQ54" s="12"/>
      <c r="JZR54" s="12"/>
      <c r="JZS54" s="12"/>
      <c r="JZT54" s="12"/>
      <c r="JZU54" s="12"/>
      <c r="JZV54" s="12"/>
      <c r="JZW54" s="12"/>
      <c r="JZX54" s="12"/>
      <c r="JZY54" s="12"/>
      <c r="JZZ54" s="12"/>
      <c r="KAA54" s="12"/>
      <c r="KAB54" s="12"/>
      <c r="KAC54" s="12"/>
      <c r="KAD54" s="12"/>
      <c r="KAE54" s="12"/>
      <c r="KAF54" s="12"/>
      <c r="KAG54" s="12"/>
      <c r="KAH54" s="12"/>
      <c r="KAI54" s="12"/>
      <c r="KAJ54" s="12"/>
      <c r="KAK54" s="12"/>
      <c r="KAL54" s="12"/>
      <c r="KAM54" s="12"/>
      <c r="KAN54" s="12"/>
      <c r="KAO54" s="12"/>
      <c r="KAP54" s="12"/>
      <c r="KAQ54" s="12"/>
      <c r="KAR54" s="12"/>
      <c r="KAS54" s="12"/>
      <c r="KAT54" s="12"/>
      <c r="KAU54" s="12"/>
      <c r="KAV54" s="12"/>
      <c r="KAW54" s="12"/>
      <c r="KAX54" s="12"/>
      <c r="KAY54" s="12"/>
      <c r="KAZ54" s="12"/>
      <c r="KBA54" s="12"/>
      <c r="KBB54" s="12"/>
      <c r="KBC54" s="12"/>
      <c r="KBD54" s="12"/>
      <c r="KBE54" s="12"/>
      <c r="KBF54" s="12"/>
      <c r="KBG54" s="12"/>
      <c r="KBH54" s="12"/>
      <c r="KBI54" s="12"/>
      <c r="KBJ54" s="12"/>
      <c r="KBK54" s="12"/>
      <c r="KBL54" s="12"/>
      <c r="KBM54" s="12"/>
      <c r="KBN54" s="12"/>
      <c r="KBO54" s="12"/>
      <c r="KBP54" s="12"/>
      <c r="KBQ54" s="12"/>
      <c r="KBR54" s="12"/>
      <c r="KBS54" s="12"/>
      <c r="KBT54" s="12"/>
      <c r="KBU54" s="12"/>
      <c r="KBV54" s="12"/>
      <c r="KBW54" s="12"/>
      <c r="KBX54" s="12"/>
      <c r="KBY54" s="12"/>
      <c r="KBZ54" s="12"/>
      <c r="KCA54" s="12"/>
      <c r="KCB54" s="12"/>
      <c r="KCC54" s="12"/>
      <c r="KCD54" s="12"/>
      <c r="KCE54" s="12"/>
      <c r="KCF54" s="12"/>
      <c r="KCG54" s="12"/>
      <c r="KCH54" s="12"/>
      <c r="KCI54" s="12"/>
      <c r="KCJ54" s="12"/>
      <c r="KCK54" s="12"/>
      <c r="KCL54" s="12"/>
      <c r="KCM54" s="12"/>
      <c r="KCN54" s="12"/>
      <c r="KCO54" s="12"/>
      <c r="KCP54" s="12"/>
      <c r="KCQ54" s="12"/>
      <c r="KCR54" s="12"/>
      <c r="KCS54" s="12"/>
      <c r="KCT54" s="12"/>
      <c r="KCU54" s="12"/>
      <c r="KCV54" s="12"/>
      <c r="KCW54" s="12"/>
      <c r="KCX54" s="12"/>
      <c r="KCY54" s="12"/>
      <c r="KCZ54" s="12"/>
      <c r="KDA54" s="12"/>
      <c r="KDB54" s="12"/>
      <c r="KDC54" s="12"/>
      <c r="KDD54" s="12"/>
      <c r="KDE54" s="12"/>
      <c r="KDF54" s="12"/>
      <c r="KDG54" s="12"/>
      <c r="KDH54" s="12"/>
      <c r="KDI54" s="12"/>
      <c r="KDJ54" s="12"/>
      <c r="KDK54" s="12"/>
      <c r="KDL54" s="12"/>
      <c r="KDM54" s="12"/>
      <c r="KDN54" s="12"/>
      <c r="KDO54" s="12"/>
      <c r="KDP54" s="12"/>
      <c r="KDQ54" s="12"/>
      <c r="KDR54" s="12"/>
      <c r="KDS54" s="12"/>
      <c r="KDT54" s="12"/>
      <c r="KDU54" s="12"/>
      <c r="KDV54" s="12"/>
      <c r="KDW54" s="12"/>
      <c r="KDX54" s="12"/>
      <c r="KDY54" s="12"/>
      <c r="KDZ54" s="12"/>
      <c r="KEA54" s="12"/>
      <c r="KEB54" s="12"/>
      <c r="KEC54" s="12"/>
      <c r="KED54" s="12"/>
      <c r="KEE54" s="12"/>
      <c r="KEF54" s="12"/>
      <c r="KEG54" s="12"/>
      <c r="KEH54" s="12"/>
      <c r="KEI54" s="12"/>
      <c r="KEJ54" s="12"/>
      <c r="KEK54" s="12"/>
      <c r="KEL54" s="12"/>
      <c r="KEM54" s="12"/>
      <c r="KEN54" s="12"/>
      <c r="KEO54" s="12"/>
      <c r="KEP54" s="12"/>
      <c r="KEQ54" s="12"/>
      <c r="KER54" s="12"/>
      <c r="KES54" s="12"/>
      <c r="KET54" s="12"/>
      <c r="KEU54" s="12"/>
      <c r="KEV54" s="12"/>
      <c r="KEW54" s="12"/>
      <c r="KEX54" s="12"/>
      <c r="KEY54" s="12"/>
      <c r="KEZ54" s="12"/>
      <c r="KFA54" s="12"/>
      <c r="KFB54" s="12"/>
      <c r="KFC54" s="12"/>
      <c r="KFD54" s="12"/>
      <c r="KFE54" s="12"/>
      <c r="KFF54" s="12"/>
      <c r="KFG54" s="12"/>
      <c r="KFH54" s="12"/>
      <c r="KFI54" s="12"/>
      <c r="KFJ54" s="12"/>
      <c r="KFK54" s="12"/>
      <c r="KFL54" s="12"/>
      <c r="KFM54" s="12"/>
      <c r="KFN54" s="12"/>
      <c r="KFO54" s="12"/>
      <c r="KFP54" s="12"/>
      <c r="KFQ54" s="12"/>
      <c r="KFR54" s="12"/>
      <c r="KFS54" s="12"/>
      <c r="KFT54" s="12"/>
      <c r="KFU54" s="12"/>
      <c r="KFV54" s="12"/>
      <c r="KFW54" s="12"/>
      <c r="KFX54" s="12"/>
      <c r="KFY54" s="12"/>
      <c r="KFZ54" s="12"/>
      <c r="KGA54" s="12"/>
      <c r="KGB54" s="12"/>
      <c r="KGC54" s="12"/>
      <c r="KGD54" s="12"/>
      <c r="KGE54" s="12"/>
      <c r="KGF54" s="12"/>
      <c r="KGG54" s="12"/>
      <c r="KGH54" s="12"/>
      <c r="KGI54" s="12"/>
      <c r="KGJ54" s="12"/>
      <c r="KGK54" s="12"/>
      <c r="KGL54" s="12"/>
      <c r="KGM54" s="12"/>
      <c r="KGN54" s="12"/>
      <c r="KGO54" s="12"/>
      <c r="KGP54" s="12"/>
      <c r="KGQ54" s="12"/>
      <c r="KGR54" s="12"/>
      <c r="KGS54" s="12"/>
      <c r="KGT54" s="12"/>
      <c r="KGU54" s="12"/>
      <c r="KGV54" s="12"/>
      <c r="KGW54" s="12"/>
      <c r="KGX54" s="12"/>
      <c r="KGY54" s="12"/>
      <c r="KGZ54" s="12"/>
      <c r="KHA54" s="12"/>
      <c r="KHB54" s="12"/>
      <c r="KHC54" s="12"/>
      <c r="KHD54" s="12"/>
      <c r="KHE54" s="12"/>
      <c r="KHF54" s="12"/>
      <c r="KHG54" s="12"/>
      <c r="KHH54" s="12"/>
      <c r="KHI54" s="12"/>
      <c r="KHJ54" s="12"/>
      <c r="KHK54" s="12"/>
      <c r="KHL54" s="12"/>
      <c r="KHM54" s="12"/>
      <c r="KHN54" s="12"/>
      <c r="KHO54" s="12"/>
      <c r="KHP54" s="12"/>
      <c r="KHQ54" s="12"/>
      <c r="KHR54" s="12"/>
      <c r="KHS54" s="12"/>
      <c r="KHT54" s="12"/>
      <c r="KHU54" s="12"/>
      <c r="KHV54" s="12"/>
      <c r="KHW54" s="12"/>
      <c r="KHX54" s="12"/>
      <c r="KHY54" s="12"/>
      <c r="KHZ54" s="12"/>
      <c r="KIA54" s="12"/>
      <c r="KIB54" s="12"/>
      <c r="KIC54" s="12"/>
      <c r="KID54" s="12"/>
      <c r="KIE54" s="12"/>
      <c r="KIF54" s="12"/>
      <c r="KIG54" s="12"/>
      <c r="KIH54" s="12"/>
      <c r="KII54" s="12"/>
      <c r="KIJ54" s="12"/>
      <c r="KIK54" s="12"/>
      <c r="KIL54" s="12"/>
      <c r="KIM54" s="12"/>
      <c r="KIN54" s="12"/>
      <c r="KIO54" s="12"/>
      <c r="KIP54" s="12"/>
      <c r="KIQ54" s="12"/>
      <c r="KIR54" s="12"/>
      <c r="KIS54" s="12"/>
      <c r="KIT54" s="12"/>
      <c r="KIU54" s="12"/>
      <c r="KIV54" s="12"/>
      <c r="KIW54" s="12"/>
      <c r="KIX54" s="12"/>
      <c r="KIY54" s="12"/>
      <c r="KIZ54" s="12"/>
      <c r="KJA54" s="12"/>
      <c r="KJB54" s="12"/>
      <c r="KJC54" s="12"/>
      <c r="KJD54" s="12"/>
      <c r="KJE54" s="12"/>
      <c r="KJF54" s="12"/>
      <c r="KJG54" s="12"/>
      <c r="KJH54" s="12"/>
      <c r="KJI54" s="12"/>
      <c r="KJJ54" s="12"/>
      <c r="KJK54" s="12"/>
      <c r="KJL54" s="12"/>
      <c r="KJM54" s="12"/>
      <c r="KJN54" s="12"/>
      <c r="KJO54" s="12"/>
      <c r="KJP54" s="12"/>
      <c r="KJQ54" s="12"/>
      <c r="KJR54" s="12"/>
      <c r="KJS54" s="12"/>
      <c r="KJT54" s="12"/>
      <c r="KJU54" s="12"/>
      <c r="KJV54" s="12"/>
      <c r="KJW54" s="12"/>
      <c r="KJX54" s="12"/>
      <c r="KJY54" s="12"/>
      <c r="KJZ54" s="12"/>
      <c r="KKA54" s="12"/>
      <c r="KKB54" s="12"/>
      <c r="KKC54" s="12"/>
      <c r="KKD54" s="12"/>
      <c r="KKE54" s="12"/>
      <c r="KKF54" s="12"/>
      <c r="KKG54" s="12"/>
      <c r="KKH54" s="12"/>
      <c r="KKI54" s="12"/>
      <c r="KKJ54" s="12"/>
      <c r="KKK54" s="12"/>
      <c r="KKL54" s="12"/>
      <c r="KKM54" s="12"/>
      <c r="KKN54" s="12"/>
      <c r="KKO54" s="12"/>
      <c r="KKP54" s="12"/>
      <c r="KKQ54" s="12"/>
      <c r="KKR54" s="12"/>
      <c r="KKS54" s="12"/>
      <c r="KKT54" s="12"/>
      <c r="KKU54" s="12"/>
      <c r="KKV54" s="12"/>
      <c r="KKW54" s="12"/>
      <c r="KKX54" s="12"/>
      <c r="KKY54" s="12"/>
      <c r="KKZ54" s="12"/>
      <c r="KLA54" s="12"/>
      <c r="KLB54" s="12"/>
      <c r="KLC54" s="12"/>
      <c r="KLD54" s="12"/>
      <c r="KLE54" s="12"/>
      <c r="KLF54" s="12"/>
      <c r="KLG54" s="12"/>
      <c r="KLH54" s="12"/>
      <c r="KLI54" s="12"/>
      <c r="KLJ54" s="12"/>
      <c r="KLK54" s="12"/>
      <c r="KLL54" s="12"/>
      <c r="KLM54" s="12"/>
      <c r="KLN54" s="12"/>
      <c r="KLO54" s="12"/>
      <c r="KLP54" s="12"/>
      <c r="KLQ54" s="12"/>
      <c r="KLR54" s="12"/>
      <c r="KLS54" s="12"/>
      <c r="KLT54" s="12"/>
      <c r="KLU54" s="12"/>
      <c r="KLV54" s="12"/>
      <c r="KLW54" s="12"/>
      <c r="KLX54" s="12"/>
      <c r="KLY54" s="12"/>
      <c r="KLZ54" s="12"/>
      <c r="KMA54" s="12"/>
      <c r="KMB54" s="12"/>
      <c r="KMC54" s="12"/>
      <c r="KMD54" s="12"/>
      <c r="KME54" s="12"/>
      <c r="KMF54" s="12"/>
      <c r="KMG54" s="12"/>
      <c r="KMH54" s="12"/>
      <c r="KMI54" s="12"/>
      <c r="KMJ54" s="12"/>
      <c r="KMK54" s="12"/>
      <c r="KML54" s="12"/>
      <c r="KMM54" s="12"/>
      <c r="KMN54" s="12"/>
      <c r="KMO54" s="12"/>
      <c r="KMP54" s="12"/>
      <c r="KMQ54" s="12"/>
      <c r="KMR54" s="12"/>
      <c r="KMS54" s="12"/>
      <c r="KMT54" s="12"/>
      <c r="KMU54" s="12"/>
      <c r="KMV54" s="12"/>
      <c r="KMW54" s="12"/>
      <c r="KMX54" s="12"/>
      <c r="KMY54" s="12"/>
      <c r="KMZ54" s="12"/>
      <c r="KNA54" s="12"/>
      <c r="KNB54" s="12"/>
      <c r="KNC54" s="12"/>
      <c r="KND54" s="12"/>
      <c r="KNE54" s="12"/>
      <c r="KNF54" s="12"/>
      <c r="KNG54" s="12"/>
      <c r="KNH54" s="12"/>
      <c r="KNI54" s="12"/>
      <c r="KNJ54" s="12"/>
      <c r="KNK54" s="12"/>
      <c r="KNL54" s="12"/>
      <c r="KNM54" s="12"/>
      <c r="KNN54" s="12"/>
      <c r="KNO54" s="12"/>
      <c r="KNP54" s="12"/>
      <c r="KNQ54" s="12"/>
      <c r="KNR54" s="12"/>
      <c r="KNS54" s="12"/>
      <c r="KNT54" s="12"/>
      <c r="KNU54" s="12"/>
      <c r="KNV54" s="12"/>
      <c r="KNW54" s="12"/>
      <c r="KNX54" s="12"/>
      <c r="KNY54" s="12"/>
      <c r="KNZ54" s="12"/>
      <c r="KOA54" s="12"/>
      <c r="KOB54" s="12"/>
      <c r="KOC54" s="12"/>
      <c r="KOD54" s="12"/>
      <c r="KOE54" s="12"/>
      <c r="KOF54" s="12"/>
      <c r="KOG54" s="12"/>
      <c r="KOH54" s="12"/>
      <c r="KOI54" s="12"/>
      <c r="KOJ54" s="12"/>
      <c r="KOK54" s="12"/>
      <c r="KOL54" s="12"/>
      <c r="KOM54" s="12"/>
      <c r="KON54" s="12"/>
      <c r="KOO54" s="12"/>
      <c r="KOP54" s="12"/>
      <c r="KOQ54" s="12"/>
      <c r="KOR54" s="12"/>
      <c r="KOS54" s="12"/>
      <c r="KOT54" s="12"/>
      <c r="KOU54" s="12"/>
      <c r="KOV54" s="12"/>
      <c r="KOW54" s="12"/>
      <c r="KOX54" s="12"/>
      <c r="KOY54" s="12"/>
      <c r="KOZ54" s="12"/>
      <c r="KPA54" s="12"/>
      <c r="KPB54" s="12"/>
      <c r="KPC54" s="12"/>
      <c r="KPD54" s="12"/>
      <c r="KPE54" s="12"/>
      <c r="KPF54" s="12"/>
      <c r="KPG54" s="12"/>
      <c r="KPH54" s="12"/>
      <c r="KPI54" s="12"/>
      <c r="KPJ54" s="12"/>
      <c r="KPK54" s="12"/>
      <c r="KPL54" s="12"/>
      <c r="KPM54" s="12"/>
      <c r="KPN54" s="12"/>
      <c r="KPO54" s="12"/>
      <c r="KPP54" s="12"/>
      <c r="KPQ54" s="12"/>
      <c r="KPR54" s="12"/>
      <c r="KPS54" s="12"/>
      <c r="KPT54" s="12"/>
      <c r="KPU54" s="12"/>
      <c r="KPV54" s="12"/>
      <c r="KPW54" s="12"/>
      <c r="KPX54" s="12"/>
      <c r="KPY54" s="12"/>
      <c r="KPZ54" s="12"/>
      <c r="KQA54" s="12"/>
      <c r="KQB54" s="12"/>
      <c r="KQC54" s="12"/>
      <c r="KQD54" s="12"/>
      <c r="KQE54" s="12"/>
      <c r="KQF54" s="12"/>
      <c r="KQG54" s="12"/>
      <c r="KQH54" s="12"/>
      <c r="KQI54" s="12"/>
      <c r="KQJ54" s="12"/>
      <c r="KQK54" s="12"/>
      <c r="KQL54" s="12"/>
      <c r="KQM54" s="12"/>
      <c r="KQN54" s="12"/>
      <c r="KQO54" s="12"/>
      <c r="KQP54" s="12"/>
      <c r="KQQ54" s="12"/>
      <c r="KQR54" s="12"/>
      <c r="KQS54" s="12"/>
      <c r="KQT54" s="12"/>
      <c r="KQU54" s="12"/>
      <c r="KQV54" s="12"/>
      <c r="KQW54" s="12"/>
      <c r="KQX54" s="12"/>
      <c r="KQY54" s="12"/>
      <c r="KQZ54" s="12"/>
      <c r="KRA54" s="12"/>
      <c r="KRB54" s="12"/>
      <c r="KRC54" s="12"/>
      <c r="KRD54" s="12"/>
      <c r="KRE54" s="12"/>
      <c r="KRF54" s="12"/>
      <c r="KRG54" s="12"/>
      <c r="KRH54" s="12"/>
      <c r="KRI54" s="12"/>
      <c r="KRJ54" s="12"/>
      <c r="KRK54" s="12"/>
      <c r="KRL54" s="12"/>
      <c r="KRM54" s="12"/>
      <c r="KRN54" s="12"/>
      <c r="KRO54" s="12"/>
      <c r="KRP54" s="12"/>
      <c r="KRQ54" s="12"/>
      <c r="KRR54" s="12"/>
      <c r="KRS54" s="12"/>
      <c r="KRT54" s="12"/>
      <c r="KRU54" s="12"/>
      <c r="KRV54" s="12"/>
      <c r="KRW54" s="12"/>
      <c r="KRX54" s="12"/>
      <c r="KRY54" s="12"/>
      <c r="KRZ54" s="12"/>
      <c r="KSA54" s="12"/>
      <c r="KSB54" s="12"/>
      <c r="KSC54" s="12"/>
      <c r="KSD54" s="12"/>
      <c r="KSE54" s="12"/>
      <c r="KSF54" s="12"/>
      <c r="KSG54" s="12"/>
      <c r="KSH54" s="12"/>
      <c r="KSI54" s="12"/>
      <c r="KSJ54" s="12"/>
      <c r="KSK54" s="12"/>
      <c r="KSL54" s="12"/>
      <c r="KSM54" s="12"/>
      <c r="KSN54" s="12"/>
      <c r="KSO54" s="12"/>
      <c r="KSP54" s="12"/>
      <c r="KSQ54" s="12"/>
      <c r="KSR54" s="12"/>
      <c r="KSS54" s="12"/>
      <c r="KST54" s="12"/>
      <c r="KSU54" s="12"/>
      <c r="KSV54" s="12"/>
      <c r="KSW54" s="12"/>
      <c r="KSX54" s="12"/>
      <c r="KSY54" s="12"/>
      <c r="KSZ54" s="12"/>
      <c r="KTA54" s="12"/>
      <c r="KTB54" s="12"/>
      <c r="KTC54" s="12"/>
      <c r="KTD54" s="12"/>
      <c r="KTE54" s="12"/>
      <c r="KTF54" s="12"/>
      <c r="KTG54" s="12"/>
      <c r="KTH54" s="12"/>
      <c r="KTI54" s="12"/>
      <c r="KTJ54" s="12"/>
      <c r="KTK54" s="12"/>
      <c r="KTL54" s="12"/>
      <c r="KTM54" s="12"/>
      <c r="KTN54" s="12"/>
      <c r="KTO54" s="12"/>
      <c r="KTP54" s="12"/>
      <c r="KTQ54" s="12"/>
      <c r="KTR54" s="12"/>
      <c r="KTS54" s="12"/>
      <c r="KTT54" s="12"/>
      <c r="KTU54" s="12"/>
      <c r="KTV54" s="12"/>
      <c r="KTW54" s="12"/>
      <c r="KTX54" s="12"/>
      <c r="KTY54" s="12"/>
      <c r="KTZ54" s="12"/>
      <c r="KUA54" s="12"/>
      <c r="KUB54" s="12"/>
      <c r="KUC54" s="12"/>
      <c r="KUD54" s="12"/>
      <c r="KUE54" s="12"/>
      <c r="KUF54" s="12"/>
      <c r="KUG54" s="12"/>
      <c r="KUH54" s="12"/>
      <c r="KUI54" s="12"/>
      <c r="KUJ54" s="12"/>
      <c r="KUK54" s="12"/>
      <c r="KUL54" s="12"/>
      <c r="KUM54" s="12"/>
      <c r="KUN54" s="12"/>
      <c r="KUO54" s="12"/>
      <c r="KUP54" s="12"/>
      <c r="KUQ54" s="12"/>
      <c r="KUR54" s="12"/>
      <c r="KUS54" s="12"/>
      <c r="KUT54" s="12"/>
      <c r="KUU54" s="12"/>
      <c r="KUV54" s="12"/>
      <c r="KUW54" s="12"/>
      <c r="KUX54" s="12"/>
      <c r="KUY54" s="12"/>
      <c r="KUZ54" s="12"/>
      <c r="KVA54" s="12"/>
      <c r="KVB54" s="12"/>
      <c r="KVC54" s="12"/>
      <c r="KVD54" s="12"/>
      <c r="KVE54" s="12"/>
      <c r="KVF54" s="12"/>
      <c r="KVG54" s="12"/>
      <c r="KVH54" s="12"/>
      <c r="KVI54" s="12"/>
      <c r="KVJ54" s="12"/>
      <c r="KVK54" s="12"/>
      <c r="KVL54" s="12"/>
      <c r="KVM54" s="12"/>
      <c r="KVN54" s="12"/>
      <c r="KVO54" s="12"/>
      <c r="KVP54" s="12"/>
      <c r="KVQ54" s="12"/>
      <c r="KVR54" s="12"/>
      <c r="KVS54" s="12"/>
      <c r="KVT54" s="12"/>
      <c r="KVU54" s="12"/>
      <c r="KVV54" s="12"/>
      <c r="KVW54" s="12"/>
      <c r="KVX54" s="12"/>
      <c r="KVY54" s="12"/>
      <c r="KVZ54" s="12"/>
      <c r="KWA54" s="12"/>
      <c r="KWB54" s="12"/>
      <c r="KWC54" s="12"/>
      <c r="KWD54" s="12"/>
      <c r="KWE54" s="12"/>
      <c r="KWF54" s="12"/>
      <c r="KWG54" s="12"/>
      <c r="KWH54" s="12"/>
      <c r="KWI54" s="12"/>
      <c r="KWJ54" s="12"/>
      <c r="KWK54" s="12"/>
      <c r="KWL54" s="12"/>
      <c r="KWM54" s="12"/>
      <c r="KWN54" s="12"/>
      <c r="KWO54" s="12"/>
      <c r="KWP54" s="12"/>
      <c r="KWQ54" s="12"/>
      <c r="KWR54" s="12"/>
      <c r="KWS54" s="12"/>
      <c r="KWT54" s="12"/>
      <c r="KWU54" s="12"/>
      <c r="KWV54" s="12"/>
      <c r="KWW54" s="12"/>
      <c r="KWX54" s="12"/>
      <c r="KWY54" s="12"/>
      <c r="KWZ54" s="12"/>
      <c r="KXA54" s="12"/>
      <c r="KXB54" s="12"/>
      <c r="KXC54" s="12"/>
      <c r="KXD54" s="12"/>
      <c r="KXE54" s="12"/>
      <c r="KXF54" s="12"/>
      <c r="KXG54" s="12"/>
      <c r="KXH54" s="12"/>
      <c r="KXI54" s="12"/>
      <c r="KXJ54" s="12"/>
      <c r="KXK54" s="12"/>
      <c r="KXL54" s="12"/>
      <c r="KXM54" s="12"/>
      <c r="KXN54" s="12"/>
      <c r="KXO54" s="12"/>
      <c r="KXP54" s="12"/>
      <c r="KXQ54" s="12"/>
      <c r="KXR54" s="12"/>
      <c r="KXS54" s="12"/>
      <c r="KXT54" s="12"/>
      <c r="KXU54" s="12"/>
      <c r="KXV54" s="12"/>
      <c r="KXW54" s="12"/>
      <c r="KXX54" s="12"/>
      <c r="KXY54" s="12"/>
      <c r="KXZ54" s="12"/>
      <c r="KYA54" s="12"/>
      <c r="KYB54" s="12"/>
      <c r="KYC54" s="12"/>
      <c r="KYD54" s="12"/>
      <c r="KYE54" s="12"/>
      <c r="KYF54" s="12"/>
      <c r="KYG54" s="12"/>
      <c r="KYH54" s="12"/>
      <c r="KYI54" s="12"/>
      <c r="KYJ54" s="12"/>
      <c r="KYK54" s="12"/>
      <c r="KYL54" s="12"/>
      <c r="KYM54" s="12"/>
      <c r="KYN54" s="12"/>
      <c r="KYO54" s="12"/>
      <c r="KYP54" s="12"/>
      <c r="KYQ54" s="12"/>
      <c r="KYR54" s="12"/>
      <c r="KYS54" s="12"/>
      <c r="KYT54" s="12"/>
      <c r="KYU54" s="12"/>
      <c r="KYV54" s="12"/>
      <c r="KYW54" s="12"/>
      <c r="KYX54" s="12"/>
      <c r="KYY54" s="12"/>
      <c r="KYZ54" s="12"/>
      <c r="KZA54" s="12"/>
      <c r="KZB54" s="12"/>
      <c r="KZC54" s="12"/>
      <c r="KZD54" s="12"/>
      <c r="KZE54" s="12"/>
      <c r="KZF54" s="12"/>
      <c r="KZG54" s="12"/>
      <c r="KZH54" s="12"/>
      <c r="KZI54" s="12"/>
      <c r="KZJ54" s="12"/>
      <c r="KZK54" s="12"/>
      <c r="KZL54" s="12"/>
      <c r="KZM54" s="12"/>
      <c r="KZN54" s="12"/>
      <c r="KZO54" s="12"/>
      <c r="KZP54" s="12"/>
      <c r="KZQ54" s="12"/>
      <c r="KZR54" s="12"/>
      <c r="KZS54" s="12"/>
      <c r="KZT54" s="12"/>
      <c r="KZU54" s="12"/>
      <c r="KZV54" s="12"/>
      <c r="KZW54" s="12"/>
      <c r="KZX54" s="12"/>
      <c r="KZY54" s="12"/>
      <c r="KZZ54" s="12"/>
      <c r="LAA54" s="12"/>
      <c r="LAB54" s="12"/>
      <c r="LAC54" s="12"/>
      <c r="LAD54" s="12"/>
      <c r="LAE54" s="12"/>
      <c r="LAF54" s="12"/>
      <c r="LAG54" s="12"/>
      <c r="LAH54" s="12"/>
      <c r="LAI54" s="12"/>
      <c r="LAJ54" s="12"/>
      <c r="LAK54" s="12"/>
      <c r="LAL54" s="12"/>
      <c r="LAM54" s="12"/>
      <c r="LAN54" s="12"/>
      <c r="LAO54" s="12"/>
      <c r="LAP54" s="12"/>
      <c r="LAQ54" s="12"/>
      <c r="LAR54" s="12"/>
      <c r="LAS54" s="12"/>
      <c r="LAT54" s="12"/>
      <c r="LAU54" s="12"/>
      <c r="LAV54" s="12"/>
      <c r="LAW54" s="12"/>
      <c r="LAX54" s="12"/>
      <c r="LAY54" s="12"/>
      <c r="LAZ54" s="12"/>
      <c r="LBA54" s="12"/>
      <c r="LBB54" s="12"/>
      <c r="LBC54" s="12"/>
      <c r="LBD54" s="12"/>
      <c r="LBE54" s="12"/>
      <c r="LBF54" s="12"/>
      <c r="LBG54" s="12"/>
      <c r="LBH54" s="12"/>
      <c r="LBI54" s="12"/>
      <c r="LBJ54" s="12"/>
      <c r="LBK54" s="12"/>
      <c r="LBL54" s="12"/>
      <c r="LBM54" s="12"/>
      <c r="LBN54" s="12"/>
      <c r="LBO54" s="12"/>
      <c r="LBP54" s="12"/>
      <c r="LBQ54" s="12"/>
      <c r="LBR54" s="12"/>
      <c r="LBS54" s="12"/>
      <c r="LBT54" s="12"/>
      <c r="LBU54" s="12"/>
      <c r="LBV54" s="12"/>
      <c r="LBW54" s="12"/>
      <c r="LBX54" s="12"/>
      <c r="LBY54" s="12"/>
      <c r="LBZ54" s="12"/>
      <c r="LCA54" s="12"/>
      <c r="LCB54" s="12"/>
      <c r="LCC54" s="12"/>
      <c r="LCD54" s="12"/>
      <c r="LCE54" s="12"/>
      <c r="LCF54" s="12"/>
      <c r="LCG54" s="12"/>
      <c r="LCH54" s="12"/>
      <c r="LCI54" s="12"/>
      <c r="LCJ54" s="12"/>
      <c r="LCK54" s="12"/>
      <c r="LCL54" s="12"/>
      <c r="LCM54" s="12"/>
      <c r="LCN54" s="12"/>
      <c r="LCO54" s="12"/>
      <c r="LCP54" s="12"/>
      <c r="LCQ54" s="12"/>
      <c r="LCR54" s="12"/>
      <c r="LCS54" s="12"/>
      <c r="LCT54" s="12"/>
      <c r="LCU54" s="12"/>
      <c r="LCV54" s="12"/>
      <c r="LCW54" s="12"/>
      <c r="LCX54" s="12"/>
      <c r="LCY54" s="12"/>
      <c r="LCZ54" s="12"/>
      <c r="LDA54" s="12"/>
      <c r="LDB54" s="12"/>
      <c r="LDC54" s="12"/>
      <c r="LDD54" s="12"/>
      <c r="LDE54" s="12"/>
      <c r="LDF54" s="12"/>
      <c r="LDG54" s="12"/>
      <c r="LDH54" s="12"/>
      <c r="LDI54" s="12"/>
      <c r="LDJ54" s="12"/>
      <c r="LDK54" s="12"/>
      <c r="LDL54" s="12"/>
      <c r="LDM54" s="12"/>
      <c r="LDN54" s="12"/>
      <c r="LDO54" s="12"/>
      <c r="LDP54" s="12"/>
      <c r="LDQ54" s="12"/>
      <c r="LDR54" s="12"/>
      <c r="LDS54" s="12"/>
      <c r="LDT54" s="12"/>
      <c r="LDU54" s="12"/>
      <c r="LDV54" s="12"/>
      <c r="LDW54" s="12"/>
      <c r="LDX54" s="12"/>
      <c r="LDY54" s="12"/>
      <c r="LDZ54" s="12"/>
      <c r="LEA54" s="12"/>
      <c r="LEB54" s="12"/>
      <c r="LEC54" s="12"/>
      <c r="LED54" s="12"/>
      <c r="LEE54" s="12"/>
      <c r="LEF54" s="12"/>
      <c r="LEG54" s="12"/>
      <c r="LEH54" s="12"/>
      <c r="LEI54" s="12"/>
      <c r="LEJ54" s="12"/>
      <c r="LEK54" s="12"/>
      <c r="LEL54" s="12"/>
      <c r="LEM54" s="12"/>
      <c r="LEN54" s="12"/>
      <c r="LEO54" s="12"/>
      <c r="LEP54" s="12"/>
      <c r="LEQ54" s="12"/>
      <c r="LER54" s="12"/>
      <c r="LES54" s="12"/>
      <c r="LET54" s="12"/>
      <c r="LEU54" s="12"/>
      <c r="LEV54" s="12"/>
      <c r="LEW54" s="12"/>
      <c r="LEX54" s="12"/>
      <c r="LEY54" s="12"/>
      <c r="LEZ54" s="12"/>
      <c r="LFA54" s="12"/>
      <c r="LFB54" s="12"/>
      <c r="LFC54" s="12"/>
      <c r="LFD54" s="12"/>
      <c r="LFE54" s="12"/>
      <c r="LFF54" s="12"/>
      <c r="LFG54" s="12"/>
      <c r="LFH54" s="12"/>
      <c r="LFI54" s="12"/>
      <c r="LFJ54" s="12"/>
      <c r="LFK54" s="12"/>
      <c r="LFL54" s="12"/>
      <c r="LFM54" s="12"/>
      <c r="LFN54" s="12"/>
      <c r="LFO54" s="12"/>
      <c r="LFP54" s="12"/>
      <c r="LFQ54" s="12"/>
      <c r="LFR54" s="12"/>
      <c r="LFS54" s="12"/>
      <c r="LFT54" s="12"/>
      <c r="LFU54" s="12"/>
      <c r="LFV54" s="12"/>
      <c r="LFW54" s="12"/>
      <c r="LFX54" s="12"/>
      <c r="LFY54" s="12"/>
      <c r="LFZ54" s="12"/>
      <c r="LGA54" s="12"/>
      <c r="LGB54" s="12"/>
      <c r="LGC54" s="12"/>
      <c r="LGD54" s="12"/>
      <c r="LGE54" s="12"/>
      <c r="LGF54" s="12"/>
      <c r="LGG54" s="12"/>
      <c r="LGH54" s="12"/>
      <c r="LGI54" s="12"/>
      <c r="LGJ54" s="12"/>
      <c r="LGK54" s="12"/>
      <c r="LGL54" s="12"/>
      <c r="LGM54" s="12"/>
      <c r="LGN54" s="12"/>
      <c r="LGO54" s="12"/>
      <c r="LGP54" s="12"/>
      <c r="LGQ54" s="12"/>
      <c r="LGR54" s="12"/>
      <c r="LGS54" s="12"/>
      <c r="LGT54" s="12"/>
      <c r="LGU54" s="12"/>
      <c r="LGV54" s="12"/>
      <c r="LGW54" s="12"/>
      <c r="LGX54" s="12"/>
      <c r="LGY54" s="12"/>
      <c r="LGZ54" s="12"/>
      <c r="LHA54" s="12"/>
      <c r="LHB54" s="12"/>
      <c r="LHC54" s="12"/>
      <c r="LHD54" s="12"/>
      <c r="LHE54" s="12"/>
      <c r="LHF54" s="12"/>
      <c r="LHG54" s="12"/>
      <c r="LHH54" s="12"/>
      <c r="LHI54" s="12"/>
      <c r="LHJ54" s="12"/>
      <c r="LHK54" s="12"/>
      <c r="LHL54" s="12"/>
      <c r="LHM54" s="12"/>
      <c r="LHN54" s="12"/>
      <c r="LHO54" s="12"/>
      <c r="LHP54" s="12"/>
      <c r="LHQ54" s="12"/>
      <c r="LHR54" s="12"/>
      <c r="LHS54" s="12"/>
      <c r="LHT54" s="12"/>
      <c r="LHU54" s="12"/>
      <c r="LHV54" s="12"/>
      <c r="LHW54" s="12"/>
      <c r="LHX54" s="12"/>
      <c r="LHY54" s="12"/>
      <c r="LHZ54" s="12"/>
      <c r="LIA54" s="12"/>
      <c r="LIB54" s="12"/>
      <c r="LIC54" s="12"/>
      <c r="LID54" s="12"/>
      <c r="LIE54" s="12"/>
      <c r="LIF54" s="12"/>
      <c r="LIG54" s="12"/>
      <c r="LIH54" s="12"/>
      <c r="LII54" s="12"/>
      <c r="LIJ54" s="12"/>
      <c r="LIK54" s="12"/>
      <c r="LIL54" s="12"/>
      <c r="LIM54" s="12"/>
      <c r="LIN54" s="12"/>
      <c r="LIO54" s="12"/>
      <c r="LIP54" s="12"/>
      <c r="LIQ54" s="12"/>
      <c r="LIR54" s="12"/>
      <c r="LIS54" s="12"/>
      <c r="LIT54" s="12"/>
      <c r="LIU54" s="12"/>
      <c r="LIV54" s="12"/>
      <c r="LIW54" s="12"/>
      <c r="LIX54" s="12"/>
      <c r="LIY54" s="12"/>
      <c r="LIZ54" s="12"/>
      <c r="LJA54" s="12"/>
      <c r="LJB54" s="12"/>
      <c r="LJC54" s="12"/>
      <c r="LJD54" s="12"/>
      <c r="LJE54" s="12"/>
      <c r="LJF54" s="12"/>
      <c r="LJG54" s="12"/>
      <c r="LJH54" s="12"/>
      <c r="LJI54" s="12"/>
      <c r="LJJ54" s="12"/>
      <c r="LJK54" s="12"/>
      <c r="LJL54" s="12"/>
      <c r="LJM54" s="12"/>
      <c r="LJN54" s="12"/>
      <c r="LJO54" s="12"/>
      <c r="LJP54" s="12"/>
      <c r="LJQ54" s="12"/>
      <c r="LJR54" s="12"/>
      <c r="LJS54" s="12"/>
      <c r="LJT54" s="12"/>
      <c r="LJU54" s="12"/>
      <c r="LJV54" s="12"/>
      <c r="LJW54" s="12"/>
      <c r="LJX54" s="12"/>
      <c r="LJY54" s="12"/>
      <c r="LJZ54" s="12"/>
      <c r="LKA54" s="12"/>
      <c r="LKB54" s="12"/>
      <c r="LKC54" s="12"/>
      <c r="LKD54" s="12"/>
      <c r="LKE54" s="12"/>
      <c r="LKF54" s="12"/>
      <c r="LKG54" s="12"/>
      <c r="LKH54" s="12"/>
      <c r="LKI54" s="12"/>
      <c r="LKJ54" s="12"/>
      <c r="LKK54" s="12"/>
      <c r="LKL54" s="12"/>
      <c r="LKM54" s="12"/>
      <c r="LKN54" s="12"/>
      <c r="LKO54" s="12"/>
      <c r="LKP54" s="12"/>
      <c r="LKQ54" s="12"/>
      <c r="LKR54" s="12"/>
      <c r="LKS54" s="12"/>
      <c r="LKT54" s="12"/>
      <c r="LKU54" s="12"/>
      <c r="LKV54" s="12"/>
      <c r="LKW54" s="12"/>
      <c r="LKX54" s="12"/>
      <c r="LKY54" s="12"/>
      <c r="LKZ54" s="12"/>
      <c r="LLA54" s="12"/>
      <c r="LLB54" s="12"/>
      <c r="LLC54" s="12"/>
      <c r="LLD54" s="12"/>
      <c r="LLE54" s="12"/>
      <c r="LLF54" s="12"/>
      <c r="LLG54" s="12"/>
      <c r="LLH54" s="12"/>
      <c r="LLI54" s="12"/>
      <c r="LLJ54" s="12"/>
      <c r="LLK54" s="12"/>
      <c r="LLL54" s="12"/>
      <c r="LLM54" s="12"/>
      <c r="LLN54" s="12"/>
      <c r="LLO54" s="12"/>
      <c r="LLP54" s="12"/>
      <c r="LLQ54" s="12"/>
      <c r="LLR54" s="12"/>
      <c r="LLS54" s="12"/>
      <c r="LLT54" s="12"/>
      <c r="LLU54" s="12"/>
      <c r="LLV54" s="12"/>
      <c r="LLW54" s="12"/>
      <c r="LLX54" s="12"/>
      <c r="LLY54" s="12"/>
      <c r="LLZ54" s="12"/>
      <c r="LMA54" s="12"/>
      <c r="LMB54" s="12"/>
      <c r="LMC54" s="12"/>
      <c r="LMD54" s="12"/>
      <c r="LME54" s="12"/>
      <c r="LMF54" s="12"/>
      <c r="LMG54" s="12"/>
      <c r="LMH54" s="12"/>
      <c r="LMI54" s="12"/>
      <c r="LMJ54" s="12"/>
      <c r="LMK54" s="12"/>
      <c r="LML54" s="12"/>
      <c r="LMM54" s="12"/>
      <c r="LMN54" s="12"/>
      <c r="LMO54" s="12"/>
      <c r="LMP54" s="12"/>
      <c r="LMQ54" s="12"/>
      <c r="LMR54" s="12"/>
      <c r="LMS54" s="12"/>
      <c r="LMT54" s="12"/>
      <c r="LMU54" s="12"/>
      <c r="LMV54" s="12"/>
      <c r="LMW54" s="12"/>
      <c r="LMX54" s="12"/>
      <c r="LMY54" s="12"/>
      <c r="LMZ54" s="12"/>
      <c r="LNA54" s="12"/>
      <c r="LNB54" s="12"/>
      <c r="LNC54" s="12"/>
      <c r="LND54" s="12"/>
      <c r="LNE54" s="12"/>
      <c r="LNF54" s="12"/>
      <c r="LNG54" s="12"/>
      <c r="LNH54" s="12"/>
      <c r="LNI54" s="12"/>
      <c r="LNJ54" s="12"/>
      <c r="LNK54" s="12"/>
      <c r="LNL54" s="12"/>
      <c r="LNM54" s="12"/>
      <c r="LNN54" s="12"/>
      <c r="LNO54" s="12"/>
      <c r="LNP54" s="12"/>
      <c r="LNQ54" s="12"/>
      <c r="LNR54" s="12"/>
      <c r="LNS54" s="12"/>
      <c r="LNT54" s="12"/>
      <c r="LNU54" s="12"/>
      <c r="LNV54" s="12"/>
      <c r="LNW54" s="12"/>
      <c r="LNX54" s="12"/>
      <c r="LNY54" s="12"/>
      <c r="LNZ54" s="12"/>
      <c r="LOA54" s="12"/>
      <c r="LOB54" s="12"/>
      <c r="LOC54" s="12"/>
      <c r="LOD54" s="12"/>
      <c r="LOE54" s="12"/>
      <c r="LOF54" s="12"/>
      <c r="LOG54" s="12"/>
      <c r="LOH54" s="12"/>
      <c r="LOI54" s="12"/>
      <c r="LOJ54" s="12"/>
      <c r="LOK54" s="12"/>
      <c r="LOL54" s="12"/>
      <c r="LOM54" s="12"/>
      <c r="LON54" s="12"/>
      <c r="LOO54" s="12"/>
      <c r="LOP54" s="12"/>
      <c r="LOQ54" s="12"/>
      <c r="LOR54" s="12"/>
      <c r="LOS54" s="12"/>
      <c r="LOT54" s="12"/>
      <c r="LOU54" s="12"/>
      <c r="LOV54" s="12"/>
      <c r="LOW54" s="12"/>
      <c r="LOX54" s="12"/>
      <c r="LOY54" s="12"/>
      <c r="LOZ54" s="12"/>
      <c r="LPA54" s="12"/>
      <c r="LPB54" s="12"/>
      <c r="LPC54" s="12"/>
      <c r="LPD54" s="12"/>
      <c r="LPE54" s="12"/>
      <c r="LPF54" s="12"/>
      <c r="LPG54" s="12"/>
      <c r="LPH54" s="12"/>
      <c r="LPI54" s="12"/>
      <c r="LPJ54" s="12"/>
      <c r="LPK54" s="12"/>
      <c r="LPL54" s="12"/>
      <c r="LPM54" s="12"/>
      <c r="LPN54" s="12"/>
      <c r="LPO54" s="12"/>
      <c r="LPP54" s="12"/>
      <c r="LPQ54" s="12"/>
      <c r="LPR54" s="12"/>
      <c r="LPS54" s="12"/>
      <c r="LPT54" s="12"/>
      <c r="LPU54" s="12"/>
      <c r="LPV54" s="12"/>
      <c r="LPW54" s="12"/>
      <c r="LPX54" s="12"/>
      <c r="LPY54" s="12"/>
      <c r="LPZ54" s="12"/>
      <c r="LQA54" s="12"/>
      <c r="LQB54" s="12"/>
      <c r="LQC54" s="12"/>
      <c r="LQD54" s="12"/>
      <c r="LQE54" s="12"/>
      <c r="LQF54" s="12"/>
      <c r="LQG54" s="12"/>
      <c r="LQH54" s="12"/>
      <c r="LQI54" s="12"/>
      <c r="LQJ54" s="12"/>
      <c r="LQK54" s="12"/>
      <c r="LQL54" s="12"/>
      <c r="LQM54" s="12"/>
      <c r="LQN54" s="12"/>
      <c r="LQO54" s="12"/>
      <c r="LQP54" s="12"/>
      <c r="LQQ54" s="12"/>
      <c r="LQR54" s="12"/>
      <c r="LQS54" s="12"/>
      <c r="LQT54" s="12"/>
      <c r="LQU54" s="12"/>
      <c r="LQV54" s="12"/>
      <c r="LQW54" s="12"/>
      <c r="LQX54" s="12"/>
      <c r="LQY54" s="12"/>
      <c r="LQZ54" s="12"/>
      <c r="LRA54" s="12"/>
      <c r="LRB54" s="12"/>
      <c r="LRC54" s="12"/>
      <c r="LRD54" s="12"/>
      <c r="LRE54" s="12"/>
      <c r="LRF54" s="12"/>
      <c r="LRG54" s="12"/>
      <c r="LRH54" s="12"/>
      <c r="LRI54" s="12"/>
      <c r="LRJ54" s="12"/>
      <c r="LRK54" s="12"/>
      <c r="LRL54" s="12"/>
      <c r="LRM54" s="12"/>
      <c r="LRN54" s="12"/>
      <c r="LRO54" s="12"/>
      <c r="LRP54" s="12"/>
      <c r="LRQ54" s="12"/>
      <c r="LRR54" s="12"/>
      <c r="LRS54" s="12"/>
      <c r="LRT54" s="12"/>
      <c r="LRU54" s="12"/>
      <c r="LRV54" s="12"/>
      <c r="LRW54" s="12"/>
      <c r="LRX54" s="12"/>
      <c r="LRY54" s="12"/>
      <c r="LRZ54" s="12"/>
      <c r="LSA54" s="12"/>
      <c r="LSB54" s="12"/>
      <c r="LSC54" s="12"/>
      <c r="LSD54" s="12"/>
      <c r="LSE54" s="12"/>
      <c r="LSF54" s="12"/>
      <c r="LSG54" s="12"/>
      <c r="LSH54" s="12"/>
      <c r="LSI54" s="12"/>
      <c r="LSJ54" s="12"/>
      <c r="LSK54" s="12"/>
      <c r="LSL54" s="12"/>
      <c r="LSM54" s="12"/>
      <c r="LSN54" s="12"/>
      <c r="LSO54" s="12"/>
      <c r="LSP54" s="12"/>
      <c r="LSQ54" s="12"/>
      <c r="LSR54" s="12"/>
      <c r="LSS54" s="12"/>
      <c r="LST54" s="12"/>
      <c r="LSU54" s="12"/>
      <c r="LSV54" s="12"/>
      <c r="LSW54" s="12"/>
      <c r="LSX54" s="12"/>
      <c r="LSY54" s="12"/>
      <c r="LSZ54" s="12"/>
      <c r="LTA54" s="12"/>
      <c r="LTB54" s="12"/>
      <c r="LTC54" s="12"/>
      <c r="LTD54" s="12"/>
      <c r="LTE54" s="12"/>
      <c r="LTF54" s="12"/>
      <c r="LTG54" s="12"/>
      <c r="LTH54" s="12"/>
      <c r="LTI54" s="12"/>
      <c r="LTJ54" s="12"/>
      <c r="LTK54" s="12"/>
      <c r="LTL54" s="12"/>
      <c r="LTM54" s="12"/>
      <c r="LTN54" s="12"/>
      <c r="LTO54" s="12"/>
      <c r="LTP54" s="12"/>
      <c r="LTQ54" s="12"/>
      <c r="LTR54" s="12"/>
      <c r="LTS54" s="12"/>
      <c r="LTT54" s="12"/>
      <c r="LTU54" s="12"/>
      <c r="LTV54" s="12"/>
      <c r="LTW54" s="12"/>
      <c r="LTX54" s="12"/>
      <c r="LTY54" s="12"/>
      <c r="LTZ54" s="12"/>
      <c r="LUA54" s="12"/>
      <c r="LUB54" s="12"/>
      <c r="LUC54" s="12"/>
      <c r="LUD54" s="12"/>
      <c r="LUE54" s="12"/>
      <c r="LUF54" s="12"/>
      <c r="LUG54" s="12"/>
      <c r="LUH54" s="12"/>
      <c r="LUI54" s="12"/>
      <c r="LUJ54" s="12"/>
      <c r="LUK54" s="12"/>
      <c r="LUL54" s="12"/>
      <c r="LUM54" s="12"/>
      <c r="LUN54" s="12"/>
      <c r="LUO54" s="12"/>
      <c r="LUP54" s="12"/>
      <c r="LUQ54" s="12"/>
      <c r="LUR54" s="12"/>
      <c r="LUS54" s="12"/>
      <c r="LUT54" s="12"/>
      <c r="LUU54" s="12"/>
      <c r="LUV54" s="12"/>
      <c r="LUW54" s="12"/>
      <c r="LUX54" s="12"/>
      <c r="LUY54" s="12"/>
      <c r="LUZ54" s="12"/>
      <c r="LVA54" s="12"/>
      <c r="LVB54" s="12"/>
      <c r="LVC54" s="12"/>
      <c r="LVD54" s="12"/>
      <c r="LVE54" s="12"/>
      <c r="LVF54" s="12"/>
      <c r="LVG54" s="12"/>
      <c r="LVH54" s="12"/>
      <c r="LVI54" s="12"/>
      <c r="LVJ54" s="12"/>
      <c r="LVK54" s="12"/>
      <c r="LVL54" s="12"/>
      <c r="LVM54" s="12"/>
      <c r="LVN54" s="12"/>
      <c r="LVO54" s="12"/>
      <c r="LVP54" s="12"/>
      <c r="LVQ54" s="12"/>
      <c r="LVR54" s="12"/>
      <c r="LVS54" s="12"/>
      <c r="LVT54" s="12"/>
      <c r="LVU54" s="12"/>
      <c r="LVV54" s="12"/>
      <c r="LVW54" s="12"/>
      <c r="LVX54" s="12"/>
      <c r="LVY54" s="12"/>
      <c r="LVZ54" s="12"/>
      <c r="LWA54" s="12"/>
      <c r="LWB54" s="12"/>
      <c r="LWC54" s="12"/>
      <c r="LWD54" s="12"/>
      <c r="LWE54" s="12"/>
      <c r="LWF54" s="12"/>
      <c r="LWG54" s="12"/>
      <c r="LWH54" s="12"/>
      <c r="LWI54" s="12"/>
      <c r="LWJ54" s="12"/>
      <c r="LWK54" s="12"/>
      <c r="LWL54" s="12"/>
      <c r="LWM54" s="12"/>
      <c r="LWN54" s="12"/>
      <c r="LWO54" s="12"/>
      <c r="LWP54" s="12"/>
      <c r="LWQ54" s="12"/>
      <c r="LWR54" s="12"/>
      <c r="LWS54" s="12"/>
      <c r="LWT54" s="12"/>
      <c r="LWU54" s="12"/>
      <c r="LWV54" s="12"/>
      <c r="LWW54" s="12"/>
      <c r="LWX54" s="12"/>
      <c r="LWY54" s="12"/>
      <c r="LWZ54" s="12"/>
      <c r="LXA54" s="12"/>
      <c r="LXB54" s="12"/>
      <c r="LXC54" s="12"/>
      <c r="LXD54" s="12"/>
      <c r="LXE54" s="12"/>
      <c r="LXF54" s="12"/>
      <c r="LXG54" s="12"/>
      <c r="LXH54" s="12"/>
      <c r="LXI54" s="12"/>
      <c r="LXJ54" s="12"/>
      <c r="LXK54" s="12"/>
      <c r="LXL54" s="12"/>
      <c r="LXM54" s="12"/>
      <c r="LXN54" s="12"/>
      <c r="LXO54" s="12"/>
      <c r="LXP54" s="12"/>
      <c r="LXQ54" s="12"/>
      <c r="LXR54" s="12"/>
      <c r="LXS54" s="12"/>
      <c r="LXT54" s="12"/>
      <c r="LXU54" s="12"/>
      <c r="LXV54" s="12"/>
      <c r="LXW54" s="12"/>
      <c r="LXX54" s="12"/>
      <c r="LXY54" s="12"/>
      <c r="LXZ54" s="12"/>
      <c r="LYA54" s="12"/>
      <c r="LYB54" s="12"/>
      <c r="LYC54" s="12"/>
      <c r="LYD54" s="12"/>
      <c r="LYE54" s="12"/>
      <c r="LYF54" s="12"/>
      <c r="LYG54" s="12"/>
      <c r="LYH54" s="12"/>
      <c r="LYI54" s="12"/>
      <c r="LYJ54" s="12"/>
      <c r="LYK54" s="12"/>
      <c r="LYL54" s="12"/>
      <c r="LYM54" s="12"/>
      <c r="LYN54" s="12"/>
      <c r="LYO54" s="12"/>
      <c r="LYP54" s="12"/>
      <c r="LYQ54" s="12"/>
      <c r="LYR54" s="12"/>
      <c r="LYS54" s="12"/>
      <c r="LYT54" s="12"/>
      <c r="LYU54" s="12"/>
      <c r="LYV54" s="12"/>
      <c r="LYW54" s="12"/>
      <c r="LYX54" s="12"/>
      <c r="LYY54" s="12"/>
      <c r="LYZ54" s="12"/>
      <c r="LZA54" s="12"/>
      <c r="LZB54" s="12"/>
      <c r="LZC54" s="12"/>
      <c r="LZD54" s="12"/>
      <c r="LZE54" s="12"/>
      <c r="LZF54" s="12"/>
      <c r="LZG54" s="12"/>
      <c r="LZH54" s="12"/>
      <c r="LZI54" s="12"/>
      <c r="LZJ54" s="12"/>
      <c r="LZK54" s="12"/>
      <c r="LZL54" s="12"/>
      <c r="LZM54" s="12"/>
      <c r="LZN54" s="12"/>
      <c r="LZO54" s="12"/>
      <c r="LZP54" s="12"/>
      <c r="LZQ54" s="12"/>
      <c r="LZR54" s="12"/>
      <c r="LZS54" s="12"/>
      <c r="LZT54" s="12"/>
      <c r="LZU54" s="12"/>
      <c r="LZV54" s="12"/>
      <c r="LZW54" s="12"/>
      <c r="LZX54" s="12"/>
      <c r="LZY54" s="12"/>
      <c r="LZZ54" s="12"/>
      <c r="MAA54" s="12"/>
      <c r="MAB54" s="12"/>
      <c r="MAC54" s="12"/>
      <c r="MAD54" s="12"/>
      <c r="MAE54" s="12"/>
      <c r="MAF54" s="12"/>
      <c r="MAG54" s="12"/>
      <c r="MAH54" s="12"/>
      <c r="MAI54" s="12"/>
      <c r="MAJ54" s="12"/>
      <c r="MAK54" s="12"/>
      <c r="MAL54" s="12"/>
      <c r="MAM54" s="12"/>
      <c r="MAN54" s="12"/>
      <c r="MAO54" s="12"/>
      <c r="MAP54" s="12"/>
      <c r="MAQ54" s="12"/>
      <c r="MAR54" s="12"/>
      <c r="MAS54" s="12"/>
      <c r="MAT54" s="12"/>
      <c r="MAU54" s="12"/>
      <c r="MAV54" s="12"/>
      <c r="MAW54" s="12"/>
      <c r="MAX54" s="12"/>
      <c r="MAY54" s="12"/>
      <c r="MAZ54" s="12"/>
      <c r="MBA54" s="12"/>
      <c r="MBB54" s="12"/>
      <c r="MBC54" s="12"/>
      <c r="MBD54" s="12"/>
      <c r="MBE54" s="12"/>
      <c r="MBF54" s="12"/>
      <c r="MBG54" s="12"/>
      <c r="MBH54" s="12"/>
      <c r="MBI54" s="12"/>
      <c r="MBJ54" s="12"/>
      <c r="MBK54" s="12"/>
      <c r="MBL54" s="12"/>
      <c r="MBM54" s="12"/>
      <c r="MBN54" s="12"/>
      <c r="MBO54" s="12"/>
      <c r="MBP54" s="12"/>
      <c r="MBQ54" s="12"/>
      <c r="MBR54" s="12"/>
      <c r="MBS54" s="12"/>
      <c r="MBT54" s="12"/>
      <c r="MBU54" s="12"/>
      <c r="MBV54" s="12"/>
      <c r="MBW54" s="12"/>
      <c r="MBX54" s="12"/>
      <c r="MBY54" s="12"/>
      <c r="MBZ54" s="12"/>
      <c r="MCA54" s="12"/>
      <c r="MCB54" s="12"/>
      <c r="MCC54" s="12"/>
      <c r="MCD54" s="12"/>
      <c r="MCE54" s="12"/>
      <c r="MCF54" s="12"/>
      <c r="MCG54" s="12"/>
      <c r="MCH54" s="12"/>
      <c r="MCI54" s="12"/>
      <c r="MCJ54" s="12"/>
      <c r="MCK54" s="12"/>
      <c r="MCL54" s="12"/>
      <c r="MCM54" s="12"/>
      <c r="MCN54" s="12"/>
      <c r="MCO54" s="12"/>
      <c r="MCP54" s="12"/>
      <c r="MCQ54" s="12"/>
      <c r="MCR54" s="12"/>
      <c r="MCS54" s="12"/>
      <c r="MCT54" s="12"/>
      <c r="MCU54" s="12"/>
      <c r="MCV54" s="12"/>
      <c r="MCW54" s="12"/>
      <c r="MCX54" s="12"/>
      <c r="MCY54" s="12"/>
      <c r="MCZ54" s="12"/>
      <c r="MDA54" s="12"/>
      <c r="MDB54" s="12"/>
      <c r="MDC54" s="12"/>
      <c r="MDD54" s="12"/>
      <c r="MDE54" s="12"/>
      <c r="MDF54" s="12"/>
      <c r="MDG54" s="12"/>
      <c r="MDH54" s="12"/>
      <c r="MDI54" s="12"/>
      <c r="MDJ54" s="12"/>
      <c r="MDK54" s="12"/>
      <c r="MDL54" s="12"/>
      <c r="MDM54" s="12"/>
      <c r="MDN54" s="12"/>
      <c r="MDO54" s="12"/>
      <c r="MDP54" s="12"/>
      <c r="MDQ54" s="12"/>
      <c r="MDR54" s="12"/>
      <c r="MDS54" s="12"/>
      <c r="MDT54" s="12"/>
      <c r="MDU54" s="12"/>
      <c r="MDV54" s="12"/>
      <c r="MDW54" s="12"/>
      <c r="MDX54" s="12"/>
      <c r="MDY54" s="12"/>
      <c r="MDZ54" s="12"/>
      <c r="MEA54" s="12"/>
      <c r="MEB54" s="12"/>
      <c r="MEC54" s="12"/>
      <c r="MED54" s="12"/>
      <c r="MEE54" s="12"/>
      <c r="MEF54" s="12"/>
      <c r="MEG54" s="12"/>
      <c r="MEH54" s="12"/>
      <c r="MEI54" s="12"/>
      <c r="MEJ54" s="12"/>
      <c r="MEK54" s="12"/>
      <c r="MEL54" s="12"/>
      <c r="MEM54" s="12"/>
      <c r="MEN54" s="12"/>
      <c r="MEO54" s="12"/>
      <c r="MEP54" s="12"/>
      <c r="MEQ54" s="12"/>
      <c r="MER54" s="12"/>
      <c r="MES54" s="12"/>
      <c r="MET54" s="12"/>
      <c r="MEU54" s="12"/>
      <c r="MEV54" s="12"/>
      <c r="MEW54" s="12"/>
      <c r="MEX54" s="12"/>
      <c r="MEY54" s="12"/>
      <c r="MEZ54" s="12"/>
      <c r="MFA54" s="12"/>
      <c r="MFB54" s="12"/>
      <c r="MFC54" s="12"/>
      <c r="MFD54" s="12"/>
      <c r="MFE54" s="12"/>
      <c r="MFF54" s="12"/>
      <c r="MFG54" s="12"/>
      <c r="MFH54" s="12"/>
      <c r="MFI54" s="12"/>
      <c r="MFJ54" s="12"/>
      <c r="MFK54" s="12"/>
      <c r="MFL54" s="12"/>
      <c r="MFM54" s="12"/>
      <c r="MFN54" s="12"/>
      <c r="MFO54" s="12"/>
      <c r="MFP54" s="12"/>
      <c r="MFQ54" s="12"/>
      <c r="MFR54" s="12"/>
      <c r="MFS54" s="12"/>
      <c r="MFT54" s="12"/>
      <c r="MFU54" s="12"/>
      <c r="MFV54" s="12"/>
      <c r="MFW54" s="12"/>
      <c r="MFX54" s="12"/>
      <c r="MFY54" s="12"/>
      <c r="MFZ54" s="12"/>
      <c r="MGA54" s="12"/>
      <c r="MGB54" s="12"/>
      <c r="MGC54" s="12"/>
      <c r="MGD54" s="12"/>
      <c r="MGE54" s="12"/>
      <c r="MGF54" s="12"/>
      <c r="MGG54" s="12"/>
      <c r="MGH54" s="12"/>
      <c r="MGI54" s="12"/>
      <c r="MGJ54" s="12"/>
      <c r="MGK54" s="12"/>
      <c r="MGL54" s="12"/>
      <c r="MGM54" s="12"/>
      <c r="MGN54" s="12"/>
      <c r="MGO54" s="12"/>
      <c r="MGP54" s="12"/>
      <c r="MGQ54" s="12"/>
      <c r="MGR54" s="12"/>
      <c r="MGS54" s="12"/>
      <c r="MGT54" s="12"/>
      <c r="MGU54" s="12"/>
      <c r="MGV54" s="12"/>
      <c r="MGW54" s="12"/>
      <c r="MGX54" s="12"/>
      <c r="MGY54" s="12"/>
      <c r="MGZ54" s="12"/>
      <c r="MHA54" s="12"/>
      <c r="MHB54" s="12"/>
      <c r="MHC54" s="12"/>
      <c r="MHD54" s="12"/>
      <c r="MHE54" s="12"/>
      <c r="MHF54" s="12"/>
      <c r="MHG54" s="12"/>
      <c r="MHH54" s="12"/>
      <c r="MHI54" s="12"/>
      <c r="MHJ54" s="12"/>
      <c r="MHK54" s="12"/>
      <c r="MHL54" s="12"/>
      <c r="MHM54" s="12"/>
      <c r="MHN54" s="12"/>
      <c r="MHO54" s="12"/>
      <c r="MHP54" s="12"/>
      <c r="MHQ54" s="12"/>
      <c r="MHR54" s="12"/>
      <c r="MHS54" s="12"/>
      <c r="MHT54" s="12"/>
      <c r="MHU54" s="12"/>
      <c r="MHV54" s="12"/>
      <c r="MHW54" s="12"/>
      <c r="MHX54" s="12"/>
      <c r="MHY54" s="12"/>
      <c r="MHZ54" s="12"/>
      <c r="MIA54" s="12"/>
      <c r="MIB54" s="12"/>
      <c r="MIC54" s="12"/>
      <c r="MID54" s="12"/>
      <c r="MIE54" s="12"/>
      <c r="MIF54" s="12"/>
      <c r="MIG54" s="12"/>
      <c r="MIH54" s="12"/>
      <c r="MII54" s="12"/>
      <c r="MIJ54" s="12"/>
      <c r="MIK54" s="12"/>
      <c r="MIL54" s="12"/>
      <c r="MIM54" s="12"/>
      <c r="MIN54" s="12"/>
      <c r="MIO54" s="12"/>
      <c r="MIP54" s="12"/>
      <c r="MIQ54" s="12"/>
      <c r="MIR54" s="12"/>
      <c r="MIS54" s="12"/>
      <c r="MIT54" s="12"/>
      <c r="MIU54" s="12"/>
      <c r="MIV54" s="12"/>
      <c r="MIW54" s="12"/>
      <c r="MIX54" s="12"/>
      <c r="MIY54" s="12"/>
      <c r="MIZ54" s="12"/>
      <c r="MJA54" s="12"/>
      <c r="MJB54" s="12"/>
      <c r="MJC54" s="12"/>
      <c r="MJD54" s="12"/>
      <c r="MJE54" s="12"/>
      <c r="MJF54" s="12"/>
      <c r="MJG54" s="12"/>
      <c r="MJH54" s="12"/>
      <c r="MJI54" s="12"/>
      <c r="MJJ54" s="12"/>
      <c r="MJK54" s="12"/>
      <c r="MJL54" s="12"/>
      <c r="MJM54" s="12"/>
      <c r="MJN54" s="12"/>
      <c r="MJO54" s="12"/>
      <c r="MJP54" s="12"/>
      <c r="MJQ54" s="12"/>
      <c r="MJR54" s="12"/>
      <c r="MJS54" s="12"/>
      <c r="MJT54" s="12"/>
      <c r="MJU54" s="12"/>
      <c r="MJV54" s="12"/>
      <c r="MJW54" s="12"/>
      <c r="MJX54" s="12"/>
      <c r="MJY54" s="12"/>
      <c r="MJZ54" s="12"/>
      <c r="MKA54" s="12"/>
      <c r="MKB54" s="12"/>
      <c r="MKC54" s="12"/>
      <c r="MKD54" s="12"/>
      <c r="MKE54" s="12"/>
      <c r="MKF54" s="12"/>
      <c r="MKG54" s="12"/>
      <c r="MKH54" s="12"/>
      <c r="MKI54" s="12"/>
      <c r="MKJ54" s="12"/>
      <c r="MKK54" s="12"/>
      <c r="MKL54" s="12"/>
      <c r="MKM54" s="12"/>
      <c r="MKN54" s="12"/>
      <c r="MKO54" s="12"/>
      <c r="MKP54" s="12"/>
      <c r="MKQ54" s="12"/>
      <c r="MKR54" s="12"/>
      <c r="MKS54" s="12"/>
      <c r="MKT54" s="12"/>
      <c r="MKU54" s="12"/>
      <c r="MKV54" s="12"/>
      <c r="MKW54" s="12"/>
      <c r="MKX54" s="12"/>
      <c r="MKY54" s="12"/>
      <c r="MKZ54" s="12"/>
      <c r="MLA54" s="12"/>
      <c r="MLB54" s="12"/>
      <c r="MLC54" s="12"/>
      <c r="MLD54" s="12"/>
      <c r="MLE54" s="12"/>
      <c r="MLF54" s="12"/>
      <c r="MLG54" s="12"/>
      <c r="MLH54" s="12"/>
      <c r="MLI54" s="12"/>
      <c r="MLJ54" s="12"/>
      <c r="MLK54" s="12"/>
      <c r="MLL54" s="12"/>
      <c r="MLM54" s="12"/>
      <c r="MLN54" s="12"/>
      <c r="MLO54" s="12"/>
      <c r="MLP54" s="12"/>
      <c r="MLQ54" s="12"/>
      <c r="MLR54" s="12"/>
      <c r="MLS54" s="12"/>
      <c r="MLT54" s="12"/>
      <c r="MLU54" s="12"/>
      <c r="MLV54" s="12"/>
      <c r="MLW54" s="12"/>
      <c r="MLX54" s="12"/>
      <c r="MLY54" s="12"/>
      <c r="MLZ54" s="12"/>
      <c r="MMA54" s="12"/>
      <c r="MMB54" s="12"/>
      <c r="MMC54" s="12"/>
      <c r="MMD54" s="12"/>
      <c r="MME54" s="12"/>
      <c r="MMF54" s="12"/>
      <c r="MMG54" s="12"/>
      <c r="MMH54" s="12"/>
      <c r="MMI54" s="12"/>
      <c r="MMJ54" s="12"/>
      <c r="MMK54" s="12"/>
      <c r="MML54" s="12"/>
      <c r="MMM54" s="12"/>
      <c r="MMN54" s="12"/>
      <c r="MMO54" s="12"/>
      <c r="MMP54" s="12"/>
      <c r="MMQ54" s="12"/>
      <c r="MMR54" s="12"/>
      <c r="MMS54" s="12"/>
      <c r="MMT54" s="12"/>
      <c r="MMU54" s="12"/>
      <c r="MMV54" s="12"/>
      <c r="MMW54" s="12"/>
      <c r="MMX54" s="12"/>
      <c r="MMY54" s="12"/>
      <c r="MMZ54" s="12"/>
      <c r="MNA54" s="12"/>
      <c r="MNB54" s="12"/>
      <c r="MNC54" s="12"/>
      <c r="MND54" s="12"/>
      <c r="MNE54" s="12"/>
      <c r="MNF54" s="12"/>
      <c r="MNG54" s="12"/>
      <c r="MNH54" s="12"/>
      <c r="MNI54" s="12"/>
      <c r="MNJ54" s="12"/>
      <c r="MNK54" s="12"/>
      <c r="MNL54" s="12"/>
      <c r="MNM54" s="12"/>
      <c r="MNN54" s="12"/>
      <c r="MNO54" s="12"/>
      <c r="MNP54" s="12"/>
      <c r="MNQ54" s="12"/>
      <c r="MNR54" s="12"/>
      <c r="MNS54" s="12"/>
      <c r="MNT54" s="12"/>
      <c r="MNU54" s="12"/>
      <c r="MNV54" s="12"/>
      <c r="MNW54" s="12"/>
      <c r="MNX54" s="12"/>
      <c r="MNY54" s="12"/>
      <c r="MNZ54" s="12"/>
      <c r="MOA54" s="12"/>
      <c r="MOB54" s="12"/>
      <c r="MOC54" s="12"/>
      <c r="MOD54" s="12"/>
      <c r="MOE54" s="12"/>
      <c r="MOF54" s="12"/>
      <c r="MOG54" s="12"/>
      <c r="MOH54" s="12"/>
      <c r="MOI54" s="12"/>
      <c r="MOJ54" s="12"/>
      <c r="MOK54" s="12"/>
      <c r="MOL54" s="12"/>
      <c r="MOM54" s="12"/>
      <c r="MON54" s="12"/>
      <c r="MOO54" s="12"/>
      <c r="MOP54" s="12"/>
      <c r="MOQ54" s="12"/>
      <c r="MOR54" s="12"/>
      <c r="MOS54" s="12"/>
      <c r="MOT54" s="12"/>
      <c r="MOU54" s="12"/>
      <c r="MOV54" s="12"/>
      <c r="MOW54" s="12"/>
      <c r="MOX54" s="12"/>
      <c r="MOY54" s="12"/>
      <c r="MOZ54" s="12"/>
      <c r="MPA54" s="12"/>
      <c r="MPB54" s="12"/>
      <c r="MPC54" s="12"/>
      <c r="MPD54" s="12"/>
      <c r="MPE54" s="12"/>
      <c r="MPF54" s="12"/>
      <c r="MPG54" s="12"/>
      <c r="MPH54" s="12"/>
      <c r="MPI54" s="12"/>
      <c r="MPJ54" s="12"/>
      <c r="MPK54" s="12"/>
      <c r="MPL54" s="12"/>
      <c r="MPM54" s="12"/>
      <c r="MPN54" s="12"/>
      <c r="MPO54" s="12"/>
      <c r="MPP54" s="12"/>
      <c r="MPQ54" s="12"/>
      <c r="MPR54" s="12"/>
      <c r="MPS54" s="12"/>
      <c r="MPT54" s="12"/>
      <c r="MPU54" s="12"/>
      <c r="MPV54" s="12"/>
      <c r="MPW54" s="12"/>
      <c r="MPX54" s="12"/>
      <c r="MPY54" s="12"/>
      <c r="MPZ54" s="12"/>
      <c r="MQA54" s="12"/>
      <c r="MQB54" s="12"/>
      <c r="MQC54" s="12"/>
      <c r="MQD54" s="12"/>
      <c r="MQE54" s="12"/>
      <c r="MQF54" s="12"/>
      <c r="MQG54" s="12"/>
      <c r="MQH54" s="12"/>
      <c r="MQI54" s="12"/>
      <c r="MQJ54" s="12"/>
      <c r="MQK54" s="12"/>
      <c r="MQL54" s="12"/>
      <c r="MQM54" s="12"/>
      <c r="MQN54" s="12"/>
      <c r="MQO54" s="12"/>
      <c r="MQP54" s="12"/>
      <c r="MQQ54" s="12"/>
      <c r="MQR54" s="12"/>
      <c r="MQS54" s="12"/>
      <c r="MQT54" s="12"/>
      <c r="MQU54" s="12"/>
      <c r="MQV54" s="12"/>
      <c r="MQW54" s="12"/>
      <c r="MQX54" s="12"/>
      <c r="MQY54" s="12"/>
      <c r="MQZ54" s="12"/>
      <c r="MRA54" s="12"/>
      <c r="MRB54" s="12"/>
      <c r="MRC54" s="12"/>
      <c r="MRD54" s="12"/>
      <c r="MRE54" s="12"/>
      <c r="MRF54" s="12"/>
      <c r="MRG54" s="12"/>
      <c r="MRH54" s="12"/>
      <c r="MRI54" s="12"/>
      <c r="MRJ54" s="12"/>
      <c r="MRK54" s="12"/>
      <c r="MRL54" s="12"/>
      <c r="MRM54" s="12"/>
      <c r="MRN54" s="12"/>
      <c r="MRO54" s="12"/>
      <c r="MRP54" s="12"/>
      <c r="MRQ54" s="12"/>
      <c r="MRR54" s="12"/>
      <c r="MRS54" s="12"/>
      <c r="MRT54" s="12"/>
      <c r="MRU54" s="12"/>
      <c r="MRV54" s="12"/>
      <c r="MRW54" s="12"/>
      <c r="MRX54" s="12"/>
      <c r="MRY54" s="12"/>
      <c r="MRZ54" s="12"/>
      <c r="MSA54" s="12"/>
      <c r="MSB54" s="12"/>
      <c r="MSC54" s="12"/>
      <c r="MSD54" s="12"/>
      <c r="MSE54" s="12"/>
      <c r="MSF54" s="12"/>
      <c r="MSG54" s="12"/>
      <c r="MSH54" s="12"/>
      <c r="MSI54" s="12"/>
      <c r="MSJ54" s="12"/>
      <c r="MSK54" s="12"/>
      <c r="MSL54" s="12"/>
      <c r="MSM54" s="12"/>
      <c r="MSN54" s="12"/>
      <c r="MSO54" s="12"/>
      <c r="MSP54" s="12"/>
      <c r="MSQ54" s="12"/>
      <c r="MSR54" s="12"/>
      <c r="MSS54" s="12"/>
      <c r="MST54" s="12"/>
      <c r="MSU54" s="12"/>
      <c r="MSV54" s="12"/>
      <c r="MSW54" s="12"/>
      <c r="MSX54" s="12"/>
      <c r="MSY54" s="12"/>
      <c r="MSZ54" s="12"/>
      <c r="MTA54" s="12"/>
      <c r="MTB54" s="12"/>
      <c r="MTC54" s="12"/>
      <c r="MTD54" s="12"/>
      <c r="MTE54" s="12"/>
      <c r="MTF54" s="12"/>
      <c r="MTG54" s="12"/>
      <c r="MTH54" s="12"/>
      <c r="MTI54" s="12"/>
      <c r="MTJ54" s="12"/>
      <c r="MTK54" s="12"/>
      <c r="MTL54" s="12"/>
      <c r="MTM54" s="12"/>
      <c r="MTN54" s="12"/>
      <c r="MTO54" s="12"/>
      <c r="MTP54" s="12"/>
      <c r="MTQ54" s="12"/>
      <c r="MTR54" s="12"/>
      <c r="MTS54" s="12"/>
      <c r="MTT54" s="12"/>
      <c r="MTU54" s="12"/>
      <c r="MTV54" s="12"/>
      <c r="MTW54" s="12"/>
      <c r="MTX54" s="12"/>
      <c r="MTY54" s="12"/>
      <c r="MTZ54" s="12"/>
      <c r="MUA54" s="12"/>
      <c r="MUB54" s="12"/>
      <c r="MUC54" s="12"/>
      <c r="MUD54" s="12"/>
      <c r="MUE54" s="12"/>
      <c r="MUF54" s="12"/>
      <c r="MUG54" s="12"/>
      <c r="MUH54" s="12"/>
      <c r="MUI54" s="12"/>
      <c r="MUJ54" s="12"/>
      <c r="MUK54" s="12"/>
      <c r="MUL54" s="12"/>
      <c r="MUM54" s="12"/>
      <c r="MUN54" s="12"/>
      <c r="MUO54" s="12"/>
      <c r="MUP54" s="12"/>
      <c r="MUQ54" s="12"/>
      <c r="MUR54" s="12"/>
      <c r="MUS54" s="12"/>
      <c r="MUT54" s="12"/>
      <c r="MUU54" s="12"/>
      <c r="MUV54" s="12"/>
      <c r="MUW54" s="12"/>
      <c r="MUX54" s="12"/>
      <c r="MUY54" s="12"/>
      <c r="MUZ54" s="12"/>
      <c r="MVA54" s="12"/>
      <c r="MVB54" s="12"/>
      <c r="MVC54" s="12"/>
      <c r="MVD54" s="12"/>
      <c r="MVE54" s="12"/>
      <c r="MVF54" s="12"/>
      <c r="MVG54" s="12"/>
      <c r="MVH54" s="12"/>
      <c r="MVI54" s="12"/>
      <c r="MVJ54" s="12"/>
      <c r="MVK54" s="12"/>
      <c r="MVL54" s="12"/>
      <c r="MVM54" s="12"/>
      <c r="MVN54" s="12"/>
      <c r="MVO54" s="12"/>
      <c r="MVP54" s="12"/>
      <c r="MVQ54" s="12"/>
      <c r="MVR54" s="12"/>
      <c r="MVS54" s="12"/>
      <c r="MVT54" s="12"/>
      <c r="MVU54" s="12"/>
      <c r="MVV54" s="12"/>
      <c r="MVW54" s="12"/>
      <c r="MVX54" s="12"/>
      <c r="MVY54" s="12"/>
      <c r="MVZ54" s="12"/>
      <c r="MWA54" s="12"/>
      <c r="MWB54" s="12"/>
      <c r="MWC54" s="12"/>
      <c r="MWD54" s="12"/>
      <c r="MWE54" s="12"/>
      <c r="MWF54" s="12"/>
      <c r="MWG54" s="12"/>
      <c r="MWH54" s="12"/>
      <c r="MWI54" s="12"/>
      <c r="MWJ54" s="12"/>
      <c r="MWK54" s="12"/>
      <c r="MWL54" s="12"/>
      <c r="MWM54" s="12"/>
      <c r="MWN54" s="12"/>
      <c r="MWO54" s="12"/>
      <c r="MWP54" s="12"/>
      <c r="MWQ54" s="12"/>
      <c r="MWR54" s="12"/>
      <c r="MWS54" s="12"/>
      <c r="MWT54" s="12"/>
      <c r="MWU54" s="12"/>
      <c r="MWV54" s="12"/>
      <c r="MWW54" s="12"/>
      <c r="MWX54" s="12"/>
      <c r="MWY54" s="12"/>
      <c r="MWZ54" s="12"/>
      <c r="MXA54" s="12"/>
      <c r="MXB54" s="12"/>
      <c r="MXC54" s="12"/>
      <c r="MXD54" s="12"/>
      <c r="MXE54" s="12"/>
      <c r="MXF54" s="12"/>
      <c r="MXG54" s="12"/>
      <c r="MXH54" s="12"/>
      <c r="MXI54" s="12"/>
      <c r="MXJ54" s="12"/>
      <c r="MXK54" s="12"/>
      <c r="MXL54" s="12"/>
      <c r="MXM54" s="12"/>
      <c r="MXN54" s="12"/>
      <c r="MXO54" s="12"/>
      <c r="MXP54" s="12"/>
      <c r="MXQ54" s="12"/>
      <c r="MXR54" s="12"/>
      <c r="MXS54" s="12"/>
      <c r="MXT54" s="12"/>
      <c r="MXU54" s="12"/>
      <c r="MXV54" s="12"/>
      <c r="MXW54" s="12"/>
      <c r="MXX54" s="12"/>
      <c r="MXY54" s="12"/>
      <c r="MXZ54" s="12"/>
      <c r="MYA54" s="12"/>
      <c r="MYB54" s="12"/>
      <c r="MYC54" s="12"/>
      <c r="MYD54" s="12"/>
      <c r="MYE54" s="12"/>
      <c r="MYF54" s="12"/>
      <c r="MYG54" s="12"/>
      <c r="MYH54" s="12"/>
      <c r="MYI54" s="12"/>
      <c r="MYJ54" s="12"/>
      <c r="MYK54" s="12"/>
      <c r="MYL54" s="12"/>
      <c r="MYM54" s="12"/>
      <c r="MYN54" s="12"/>
      <c r="MYO54" s="12"/>
      <c r="MYP54" s="12"/>
      <c r="MYQ54" s="12"/>
      <c r="MYR54" s="12"/>
      <c r="MYS54" s="12"/>
      <c r="MYT54" s="12"/>
      <c r="MYU54" s="12"/>
      <c r="MYV54" s="12"/>
      <c r="MYW54" s="12"/>
      <c r="MYX54" s="12"/>
      <c r="MYY54" s="12"/>
      <c r="MYZ54" s="12"/>
      <c r="MZA54" s="12"/>
      <c r="MZB54" s="12"/>
      <c r="MZC54" s="12"/>
      <c r="MZD54" s="12"/>
      <c r="MZE54" s="12"/>
      <c r="MZF54" s="12"/>
      <c r="MZG54" s="12"/>
      <c r="MZH54" s="12"/>
      <c r="MZI54" s="12"/>
      <c r="MZJ54" s="12"/>
      <c r="MZK54" s="12"/>
      <c r="MZL54" s="12"/>
      <c r="MZM54" s="12"/>
      <c r="MZN54" s="12"/>
      <c r="MZO54" s="12"/>
      <c r="MZP54" s="12"/>
      <c r="MZQ54" s="12"/>
      <c r="MZR54" s="12"/>
      <c r="MZS54" s="12"/>
      <c r="MZT54" s="12"/>
      <c r="MZU54" s="12"/>
      <c r="MZV54" s="12"/>
      <c r="MZW54" s="12"/>
      <c r="MZX54" s="12"/>
      <c r="MZY54" s="12"/>
      <c r="MZZ54" s="12"/>
      <c r="NAA54" s="12"/>
      <c r="NAB54" s="12"/>
      <c r="NAC54" s="12"/>
      <c r="NAD54" s="12"/>
      <c r="NAE54" s="12"/>
      <c r="NAF54" s="12"/>
      <c r="NAG54" s="12"/>
      <c r="NAH54" s="12"/>
      <c r="NAI54" s="12"/>
      <c r="NAJ54" s="12"/>
      <c r="NAK54" s="12"/>
      <c r="NAL54" s="12"/>
      <c r="NAM54" s="12"/>
      <c r="NAN54" s="12"/>
      <c r="NAO54" s="12"/>
      <c r="NAP54" s="12"/>
      <c r="NAQ54" s="12"/>
      <c r="NAR54" s="12"/>
      <c r="NAS54" s="12"/>
      <c r="NAT54" s="12"/>
      <c r="NAU54" s="12"/>
      <c r="NAV54" s="12"/>
      <c r="NAW54" s="12"/>
      <c r="NAX54" s="12"/>
      <c r="NAY54" s="12"/>
      <c r="NAZ54" s="12"/>
      <c r="NBA54" s="12"/>
      <c r="NBB54" s="12"/>
      <c r="NBC54" s="12"/>
      <c r="NBD54" s="12"/>
      <c r="NBE54" s="12"/>
      <c r="NBF54" s="12"/>
      <c r="NBG54" s="12"/>
      <c r="NBH54" s="12"/>
      <c r="NBI54" s="12"/>
      <c r="NBJ54" s="12"/>
      <c r="NBK54" s="12"/>
      <c r="NBL54" s="12"/>
      <c r="NBM54" s="12"/>
      <c r="NBN54" s="12"/>
      <c r="NBO54" s="12"/>
      <c r="NBP54" s="12"/>
      <c r="NBQ54" s="12"/>
      <c r="NBR54" s="12"/>
      <c r="NBS54" s="12"/>
      <c r="NBT54" s="12"/>
      <c r="NBU54" s="12"/>
      <c r="NBV54" s="12"/>
      <c r="NBW54" s="12"/>
      <c r="NBX54" s="12"/>
      <c r="NBY54" s="12"/>
      <c r="NBZ54" s="12"/>
      <c r="NCA54" s="12"/>
      <c r="NCB54" s="12"/>
      <c r="NCC54" s="12"/>
      <c r="NCD54" s="12"/>
      <c r="NCE54" s="12"/>
      <c r="NCF54" s="12"/>
      <c r="NCG54" s="12"/>
      <c r="NCH54" s="12"/>
      <c r="NCI54" s="12"/>
      <c r="NCJ54" s="12"/>
      <c r="NCK54" s="12"/>
      <c r="NCL54" s="12"/>
      <c r="NCM54" s="12"/>
      <c r="NCN54" s="12"/>
      <c r="NCO54" s="12"/>
      <c r="NCP54" s="12"/>
      <c r="NCQ54" s="12"/>
      <c r="NCR54" s="12"/>
      <c r="NCS54" s="12"/>
      <c r="NCT54" s="12"/>
      <c r="NCU54" s="12"/>
      <c r="NCV54" s="12"/>
      <c r="NCW54" s="12"/>
      <c r="NCX54" s="12"/>
      <c r="NCY54" s="12"/>
      <c r="NCZ54" s="12"/>
      <c r="NDA54" s="12"/>
      <c r="NDB54" s="12"/>
      <c r="NDC54" s="12"/>
      <c r="NDD54" s="12"/>
      <c r="NDE54" s="12"/>
      <c r="NDF54" s="12"/>
      <c r="NDG54" s="12"/>
      <c r="NDH54" s="12"/>
      <c r="NDI54" s="12"/>
      <c r="NDJ54" s="12"/>
      <c r="NDK54" s="12"/>
      <c r="NDL54" s="12"/>
      <c r="NDM54" s="12"/>
      <c r="NDN54" s="12"/>
      <c r="NDO54" s="12"/>
      <c r="NDP54" s="12"/>
      <c r="NDQ54" s="12"/>
      <c r="NDR54" s="12"/>
      <c r="NDS54" s="12"/>
      <c r="NDT54" s="12"/>
      <c r="NDU54" s="12"/>
      <c r="NDV54" s="12"/>
      <c r="NDW54" s="12"/>
      <c r="NDX54" s="12"/>
      <c r="NDY54" s="12"/>
      <c r="NDZ54" s="12"/>
      <c r="NEA54" s="12"/>
      <c r="NEB54" s="12"/>
      <c r="NEC54" s="12"/>
      <c r="NED54" s="12"/>
      <c r="NEE54" s="12"/>
      <c r="NEF54" s="12"/>
      <c r="NEG54" s="12"/>
      <c r="NEH54" s="12"/>
      <c r="NEI54" s="12"/>
      <c r="NEJ54" s="12"/>
      <c r="NEK54" s="12"/>
      <c r="NEL54" s="12"/>
      <c r="NEM54" s="12"/>
      <c r="NEN54" s="12"/>
      <c r="NEO54" s="12"/>
      <c r="NEP54" s="12"/>
      <c r="NEQ54" s="12"/>
      <c r="NER54" s="12"/>
      <c r="NES54" s="12"/>
      <c r="NET54" s="12"/>
      <c r="NEU54" s="12"/>
      <c r="NEV54" s="12"/>
      <c r="NEW54" s="12"/>
      <c r="NEX54" s="12"/>
      <c r="NEY54" s="12"/>
      <c r="NEZ54" s="12"/>
      <c r="NFA54" s="12"/>
      <c r="NFB54" s="12"/>
      <c r="NFC54" s="12"/>
      <c r="NFD54" s="12"/>
      <c r="NFE54" s="12"/>
      <c r="NFF54" s="12"/>
      <c r="NFG54" s="12"/>
      <c r="NFH54" s="12"/>
      <c r="NFI54" s="12"/>
      <c r="NFJ54" s="12"/>
      <c r="NFK54" s="12"/>
      <c r="NFL54" s="12"/>
      <c r="NFM54" s="12"/>
      <c r="NFN54" s="12"/>
      <c r="NFO54" s="12"/>
      <c r="NFP54" s="12"/>
      <c r="NFQ54" s="12"/>
      <c r="NFR54" s="12"/>
      <c r="NFS54" s="12"/>
      <c r="NFT54" s="12"/>
      <c r="NFU54" s="12"/>
      <c r="NFV54" s="12"/>
      <c r="NFW54" s="12"/>
      <c r="NFX54" s="12"/>
      <c r="NFY54" s="12"/>
      <c r="NFZ54" s="12"/>
      <c r="NGA54" s="12"/>
      <c r="NGB54" s="12"/>
      <c r="NGC54" s="12"/>
      <c r="NGD54" s="12"/>
      <c r="NGE54" s="12"/>
      <c r="NGF54" s="12"/>
      <c r="NGG54" s="12"/>
      <c r="NGH54" s="12"/>
      <c r="NGI54" s="12"/>
      <c r="NGJ54" s="12"/>
      <c r="NGK54" s="12"/>
      <c r="NGL54" s="12"/>
      <c r="NGM54" s="12"/>
      <c r="NGN54" s="12"/>
      <c r="NGO54" s="12"/>
      <c r="NGP54" s="12"/>
      <c r="NGQ54" s="12"/>
      <c r="NGR54" s="12"/>
      <c r="NGS54" s="12"/>
      <c r="NGT54" s="12"/>
      <c r="NGU54" s="12"/>
      <c r="NGV54" s="12"/>
      <c r="NGW54" s="12"/>
      <c r="NGX54" s="12"/>
      <c r="NGY54" s="12"/>
      <c r="NGZ54" s="12"/>
      <c r="NHA54" s="12"/>
      <c r="NHB54" s="12"/>
      <c r="NHC54" s="12"/>
      <c r="NHD54" s="12"/>
      <c r="NHE54" s="12"/>
      <c r="NHF54" s="12"/>
      <c r="NHG54" s="12"/>
      <c r="NHH54" s="12"/>
      <c r="NHI54" s="12"/>
      <c r="NHJ54" s="12"/>
      <c r="NHK54" s="12"/>
      <c r="NHL54" s="12"/>
      <c r="NHM54" s="12"/>
      <c r="NHN54" s="12"/>
      <c r="NHO54" s="12"/>
      <c r="NHP54" s="12"/>
      <c r="NHQ54" s="12"/>
      <c r="NHR54" s="12"/>
      <c r="NHS54" s="12"/>
      <c r="NHT54" s="12"/>
      <c r="NHU54" s="12"/>
      <c r="NHV54" s="12"/>
      <c r="NHW54" s="12"/>
      <c r="NHX54" s="12"/>
      <c r="NHY54" s="12"/>
      <c r="NHZ54" s="12"/>
      <c r="NIA54" s="12"/>
      <c r="NIB54" s="12"/>
      <c r="NIC54" s="12"/>
      <c r="NID54" s="12"/>
      <c r="NIE54" s="12"/>
      <c r="NIF54" s="12"/>
      <c r="NIG54" s="12"/>
      <c r="NIH54" s="12"/>
      <c r="NII54" s="12"/>
      <c r="NIJ54" s="12"/>
      <c r="NIK54" s="12"/>
      <c r="NIL54" s="12"/>
      <c r="NIM54" s="12"/>
      <c r="NIN54" s="12"/>
      <c r="NIO54" s="12"/>
      <c r="NIP54" s="12"/>
      <c r="NIQ54" s="12"/>
      <c r="NIR54" s="12"/>
      <c r="NIS54" s="12"/>
      <c r="NIT54" s="12"/>
      <c r="NIU54" s="12"/>
      <c r="NIV54" s="12"/>
      <c r="NIW54" s="12"/>
      <c r="NIX54" s="12"/>
      <c r="NIY54" s="12"/>
      <c r="NIZ54" s="12"/>
      <c r="NJA54" s="12"/>
      <c r="NJB54" s="12"/>
      <c r="NJC54" s="12"/>
      <c r="NJD54" s="12"/>
      <c r="NJE54" s="12"/>
      <c r="NJF54" s="12"/>
      <c r="NJG54" s="12"/>
      <c r="NJH54" s="12"/>
      <c r="NJI54" s="12"/>
      <c r="NJJ54" s="12"/>
      <c r="NJK54" s="12"/>
      <c r="NJL54" s="12"/>
      <c r="NJM54" s="12"/>
      <c r="NJN54" s="12"/>
      <c r="NJO54" s="12"/>
      <c r="NJP54" s="12"/>
      <c r="NJQ54" s="12"/>
      <c r="NJR54" s="12"/>
      <c r="NJS54" s="12"/>
      <c r="NJT54" s="12"/>
      <c r="NJU54" s="12"/>
      <c r="NJV54" s="12"/>
      <c r="NJW54" s="12"/>
      <c r="NJX54" s="12"/>
      <c r="NJY54" s="12"/>
      <c r="NJZ54" s="12"/>
      <c r="NKA54" s="12"/>
      <c r="NKB54" s="12"/>
      <c r="NKC54" s="12"/>
      <c r="NKD54" s="12"/>
      <c r="NKE54" s="12"/>
      <c r="NKF54" s="12"/>
      <c r="NKG54" s="12"/>
      <c r="NKH54" s="12"/>
      <c r="NKI54" s="12"/>
      <c r="NKJ54" s="12"/>
      <c r="NKK54" s="12"/>
      <c r="NKL54" s="12"/>
      <c r="NKM54" s="12"/>
      <c r="NKN54" s="12"/>
      <c r="NKO54" s="12"/>
      <c r="NKP54" s="12"/>
      <c r="NKQ54" s="12"/>
      <c r="NKR54" s="12"/>
      <c r="NKS54" s="12"/>
      <c r="NKT54" s="12"/>
      <c r="NKU54" s="12"/>
      <c r="NKV54" s="12"/>
      <c r="NKW54" s="12"/>
      <c r="NKX54" s="12"/>
      <c r="NKY54" s="12"/>
      <c r="NKZ54" s="12"/>
      <c r="NLA54" s="12"/>
      <c r="NLB54" s="12"/>
      <c r="NLC54" s="12"/>
      <c r="NLD54" s="12"/>
      <c r="NLE54" s="12"/>
      <c r="NLF54" s="12"/>
      <c r="NLG54" s="12"/>
      <c r="NLH54" s="12"/>
      <c r="NLI54" s="12"/>
      <c r="NLJ54" s="12"/>
      <c r="NLK54" s="12"/>
      <c r="NLL54" s="12"/>
      <c r="NLM54" s="12"/>
      <c r="NLN54" s="12"/>
      <c r="NLO54" s="12"/>
      <c r="NLP54" s="12"/>
      <c r="NLQ54" s="12"/>
      <c r="NLR54" s="12"/>
      <c r="NLS54" s="12"/>
      <c r="NLT54" s="12"/>
      <c r="NLU54" s="12"/>
      <c r="NLV54" s="12"/>
      <c r="NLW54" s="12"/>
      <c r="NLX54" s="12"/>
      <c r="NLY54" s="12"/>
      <c r="NLZ54" s="12"/>
      <c r="NMA54" s="12"/>
      <c r="NMB54" s="12"/>
      <c r="NMC54" s="12"/>
      <c r="NMD54" s="12"/>
      <c r="NME54" s="12"/>
      <c r="NMF54" s="12"/>
      <c r="NMG54" s="12"/>
      <c r="NMH54" s="12"/>
      <c r="NMI54" s="12"/>
      <c r="NMJ54" s="12"/>
      <c r="NMK54" s="12"/>
      <c r="NML54" s="12"/>
      <c r="NMM54" s="12"/>
      <c r="NMN54" s="12"/>
      <c r="NMO54" s="12"/>
      <c r="NMP54" s="12"/>
      <c r="NMQ54" s="12"/>
      <c r="NMR54" s="12"/>
      <c r="NMS54" s="12"/>
      <c r="NMT54" s="12"/>
      <c r="NMU54" s="12"/>
      <c r="NMV54" s="12"/>
      <c r="NMW54" s="12"/>
      <c r="NMX54" s="12"/>
      <c r="NMY54" s="12"/>
      <c r="NMZ54" s="12"/>
      <c r="NNA54" s="12"/>
      <c r="NNB54" s="12"/>
      <c r="NNC54" s="12"/>
      <c r="NND54" s="12"/>
      <c r="NNE54" s="12"/>
      <c r="NNF54" s="12"/>
      <c r="NNG54" s="12"/>
      <c r="NNH54" s="12"/>
      <c r="NNI54" s="12"/>
      <c r="NNJ54" s="12"/>
      <c r="NNK54" s="12"/>
      <c r="NNL54" s="12"/>
      <c r="NNM54" s="12"/>
      <c r="NNN54" s="12"/>
      <c r="NNO54" s="12"/>
      <c r="NNP54" s="12"/>
      <c r="NNQ54" s="12"/>
      <c r="NNR54" s="12"/>
      <c r="NNS54" s="12"/>
      <c r="NNT54" s="12"/>
      <c r="NNU54" s="12"/>
      <c r="NNV54" s="12"/>
      <c r="NNW54" s="12"/>
      <c r="NNX54" s="12"/>
      <c r="NNY54" s="12"/>
      <c r="NNZ54" s="12"/>
      <c r="NOA54" s="12"/>
      <c r="NOB54" s="12"/>
      <c r="NOC54" s="12"/>
      <c r="NOD54" s="12"/>
      <c r="NOE54" s="12"/>
      <c r="NOF54" s="12"/>
      <c r="NOG54" s="12"/>
      <c r="NOH54" s="12"/>
      <c r="NOI54" s="12"/>
      <c r="NOJ54" s="12"/>
      <c r="NOK54" s="12"/>
      <c r="NOL54" s="12"/>
      <c r="NOM54" s="12"/>
      <c r="NON54" s="12"/>
      <c r="NOO54" s="12"/>
      <c r="NOP54" s="12"/>
      <c r="NOQ54" s="12"/>
      <c r="NOR54" s="12"/>
      <c r="NOS54" s="12"/>
      <c r="NOT54" s="12"/>
      <c r="NOU54" s="12"/>
      <c r="NOV54" s="12"/>
      <c r="NOW54" s="12"/>
      <c r="NOX54" s="12"/>
      <c r="NOY54" s="12"/>
      <c r="NOZ54" s="12"/>
      <c r="NPA54" s="12"/>
      <c r="NPB54" s="12"/>
      <c r="NPC54" s="12"/>
      <c r="NPD54" s="12"/>
      <c r="NPE54" s="12"/>
      <c r="NPF54" s="12"/>
      <c r="NPG54" s="12"/>
      <c r="NPH54" s="12"/>
      <c r="NPI54" s="12"/>
      <c r="NPJ54" s="12"/>
      <c r="NPK54" s="12"/>
      <c r="NPL54" s="12"/>
      <c r="NPM54" s="12"/>
      <c r="NPN54" s="12"/>
      <c r="NPO54" s="12"/>
      <c r="NPP54" s="12"/>
      <c r="NPQ54" s="12"/>
      <c r="NPR54" s="12"/>
      <c r="NPS54" s="12"/>
      <c r="NPT54" s="12"/>
      <c r="NPU54" s="12"/>
      <c r="NPV54" s="12"/>
      <c r="NPW54" s="12"/>
      <c r="NPX54" s="12"/>
      <c r="NPY54" s="12"/>
      <c r="NPZ54" s="12"/>
      <c r="NQA54" s="12"/>
      <c r="NQB54" s="12"/>
      <c r="NQC54" s="12"/>
      <c r="NQD54" s="12"/>
      <c r="NQE54" s="12"/>
      <c r="NQF54" s="12"/>
      <c r="NQG54" s="12"/>
      <c r="NQH54" s="12"/>
      <c r="NQI54" s="12"/>
      <c r="NQJ54" s="12"/>
      <c r="NQK54" s="12"/>
      <c r="NQL54" s="12"/>
      <c r="NQM54" s="12"/>
      <c r="NQN54" s="12"/>
      <c r="NQO54" s="12"/>
      <c r="NQP54" s="12"/>
      <c r="NQQ54" s="12"/>
      <c r="NQR54" s="12"/>
      <c r="NQS54" s="12"/>
      <c r="NQT54" s="12"/>
      <c r="NQU54" s="12"/>
      <c r="NQV54" s="12"/>
      <c r="NQW54" s="12"/>
      <c r="NQX54" s="12"/>
      <c r="NQY54" s="12"/>
      <c r="NQZ54" s="12"/>
      <c r="NRA54" s="12"/>
      <c r="NRB54" s="12"/>
      <c r="NRC54" s="12"/>
      <c r="NRD54" s="12"/>
      <c r="NRE54" s="12"/>
      <c r="NRF54" s="12"/>
      <c r="NRG54" s="12"/>
      <c r="NRH54" s="12"/>
      <c r="NRI54" s="12"/>
      <c r="NRJ54" s="12"/>
      <c r="NRK54" s="12"/>
      <c r="NRL54" s="12"/>
      <c r="NRM54" s="12"/>
      <c r="NRN54" s="12"/>
      <c r="NRO54" s="12"/>
      <c r="NRP54" s="12"/>
      <c r="NRQ54" s="12"/>
      <c r="NRR54" s="12"/>
      <c r="NRS54" s="12"/>
      <c r="NRT54" s="12"/>
      <c r="NRU54" s="12"/>
      <c r="NRV54" s="12"/>
      <c r="NRW54" s="12"/>
      <c r="NRX54" s="12"/>
      <c r="NRY54" s="12"/>
      <c r="NRZ54" s="12"/>
      <c r="NSA54" s="12"/>
      <c r="NSB54" s="12"/>
      <c r="NSC54" s="12"/>
      <c r="NSD54" s="12"/>
      <c r="NSE54" s="12"/>
      <c r="NSF54" s="12"/>
      <c r="NSG54" s="12"/>
      <c r="NSH54" s="12"/>
      <c r="NSI54" s="12"/>
      <c r="NSJ54" s="12"/>
      <c r="NSK54" s="12"/>
      <c r="NSL54" s="12"/>
      <c r="NSM54" s="12"/>
      <c r="NSN54" s="12"/>
      <c r="NSO54" s="12"/>
      <c r="NSP54" s="12"/>
      <c r="NSQ54" s="12"/>
      <c r="NSR54" s="12"/>
      <c r="NSS54" s="12"/>
      <c r="NST54" s="12"/>
      <c r="NSU54" s="12"/>
      <c r="NSV54" s="12"/>
      <c r="NSW54" s="12"/>
      <c r="NSX54" s="12"/>
      <c r="NSY54" s="12"/>
      <c r="NSZ54" s="12"/>
      <c r="NTA54" s="12"/>
      <c r="NTB54" s="12"/>
      <c r="NTC54" s="12"/>
      <c r="NTD54" s="12"/>
      <c r="NTE54" s="12"/>
      <c r="NTF54" s="12"/>
      <c r="NTG54" s="12"/>
      <c r="NTH54" s="12"/>
      <c r="NTI54" s="12"/>
      <c r="NTJ54" s="12"/>
      <c r="NTK54" s="12"/>
      <c r="NTL54" s="12"/>
      <c r="NTM54" s="12"/>
      <c r="NTN54" s="12"/>
      <c r="NTO54" s="12"/>
      <c r="NTP54" s="12"/>
      <c r="NTQ54" s="12"/>
      <c r="NTR54" s="12"/>
      <c r="NTS54" s="12"/>
      <c r="NTT54" s="12"/>
      <c r="NTU54" s="12"/>
      <c r="NTV54" s="12"/>
      <c r="NTW54" s="12"/>
      <c r="NTX54" s="12"/>
      <c r="NTY54" s="12"/>
      <c r="NTZ54" s="12"/>
      <c r="NUA54" s="12"/>
      <c r="NUB54" s="12"/>
      <c r="NUC54" s="12"/>
      <c r="NUD54" s="12"/>
      <c r="NUE54" s="12"/>
      <c r="NUF54" s="12"/>
      <c r="NUG54" s="12"/>
      <c r="NUH54" s="12"/>
      <c r="NUI54" s="12"/>
      <c r="NUJ54" s="12"/>
      <c r="NUK54" s="12"/>
      <c r="NUL54" s="12"/>
      <c r="NUM54" s="12"/>
      <c r="NUN54" s="12"/>
      <c r="NUO54" s="12"/>
      <c r="NUP54" s="12"/>
      <c r="NUQ54" s="12"/>
      <c r="NUR54" s="12"/>
      <c r="NUS54" s="12"/>
      <c r="NUT54" s="12"/>
      <c r="NUU54" s="12"/>
      <c r="NUV54" s="12"/>
      <c r="NUW54" s="12"/>
      <c r="NUX54" s="12"/>
      <c r="NUY54" s="12"/>
      <c r="NUZ54" s="12"/>
      <c r="NVA54" s="12"/>
      <c r="NVB54" s="12"/>
      <c r="NVC54" s="12"/>
      <c r="NVD54" s="12"/>
      <c r="NVE54" s="12"/>
      <c r="NVF54" s="12"/>
      <c r="NVG54" s="12"/>
      <c r="NVH54" s="12"/>
      <c r="NVI54" s="12"/>
      <c r="NVJ54" s="12"/>
      <c r="NVK54" s="12"/>
      <c r="NVL54" s="12"/>
      <c r="NVM54" s="12"/>
      <c r="NVN54" s="12"/>
      <c r="NVO54" s="12"/>
      <c r="NVP54" s="12"/>
      <c r="NVQ54" s="12"/>
      <c r="NVR54" s="12"/>
      <c r="NVS54" s="12"/>
      <c r="NVT54" s="12"/>
      <c r="NVU54" s="12"/>
      <c r="NVV54" s="12"/>
      <c r="NVW54" s="12"/>
      <c r="NVX54" s="12"/>
      <c r="NVY54" s="12"/>
      <c r="NVZ54" s="12"/>
      <c r="NWA54" s="12"/>
      <c r="NWB54" s="12"/>
      <c r="NWC54" s="12"/>
      <c r="NWD54" s="12"/>
      <c r="NWE54" s="12"/>
      <c r="NWF54" s="12"/>
      <c r="NWG54" s="12"/>
      <c r="NWH54" s="12"/>
      <c r="NWI54" s="12"/>
      <c r="NWJ54" s="12"/>
      <c r="NWK54" s="12"/>
      <c r="NWL54" s="12"/>
      <c r="NWM54" s="12"/>
      <c r="NWN54" s="12"/>
      <c r="NWO54" s="12"/>
      <c r="NWP54" s="12"/>
      <c r="NWQ54" s="12"/>
      <c r="NWR54" s="12"/>
      <c r="NWS54" s="12"/>
      <c r="NWT54" s="12"/>
      <c r="NWU54" s="12"/>
      <c r="NWV54" s="12"/>
      <c r="NWW54" s="12"/>
      <c r="NWX54" s="12"/>
      <c r="NWY54" s="12"/>
      <c r="NWZ54" s="12"/>
      <c r="NXA54" s="12"/>
      <c r="NXB54" s="12"/>
      <c r="NXC54" s="12"/>
      <c r="NXD54" s="12"/>
      <c r="NXE54" s="12"/>
      <c r="NXF54" s="12"/>
      <c r="NXG54" s="12"/>
      <c r="NXH54" s="12"/>
      <c r="NXI54" s="12"/>
      <c r="NXJ54" s="12"/>
      <c r="NXK54" s="12"/>
      <c r="NXL54" s="12"/>
      <c r="NXM54" s="12"/>
      <c r="NXN54" s="12"/>
      <c r="NXO54" s="12"/>
      <c r="NXP54" s="12"/>
      <c r="NXQ54" s="12"/>
      <c r="NXR54" s="12"/>
      <c r="NXS54" s="12"/>
      <c r="NXT54" s="12"/>
      <c r="NXU54" s="12"/>
      <c r="NXV54" s="12"/>
      <c r="NXW54" s="12"/>
      <c r="NXX54" s="12"/>
      <c r="NXY54" s="12"/>
      <c r="NXZ54" s="12"/>
      <c r="NYA54" s="12"/>
      <c r="NYB54" s="12"/>
      <c r="NYC54" s="12"/>
      <c r="NYD54" s="12"/>
      <c r="NYE54" s="12"/>
      <c r="NYF54" s="12"/>
      <c r="NYG54" s="12"/>
      <c r="NYH54" s="12"/>
      <c r="NYI54" s="12"/>
      <c r="NYJ54" s="12"/>
      <c r="NYK54" s="12"/>
      <c r="NYL54" s="12"/>
      <c r="NYM54" s="12"/>
      <c r="NYN54" s="12"/>
      <c r="NYO54" s="12"/>
      <c r="NYP54" s="12"/>
      <c r="NYQ54" s="12"/>
      <c r="NYR54" s="12"/>
      <c r="NYS54" s="12"/>
      <c r="NYT54" s="12"/>
      <c r="NYU54" s="12"/>
      <c r="NYV54" s="12"/>
      <c r="NYW54" s="12"/>
      <c r="NYX54" s="12"/>
      <c r="NYY54" s="12"/>
      <c r="NYZ54" s="12"/>
      <c r="NZA54" s="12"/>
      <c r="NZB54" s="12"/>
      <c r="NZC54" s="12"/>
      <c r="NZD54" s="12"/>
      <c r="NZE54" s="12"/>
      <c r="NZF54" s="12"/>
      <c r="NZG54" s="12"/>
      <c r="NZH54" s="12"/>
      <c r="NZI54" s="12"/>
      <c r="NZJ54" s="12"/>
      <c r="NZK54" s="12"/>
      <c r="NZL54" s="12"/>
      <c r="NZM54" s="12"/>
      <c r="NZN54" s="12"/>
      <c r="NZO54" s="12"/>
      <c r="NZP54" s="12"/>
      <c r="NZQ54" s="12"/>
      <c r="NZR54" s="12"/>
      <c r="NZS54" s="12"/>
      <c r="NZT54" s="12"/>
      <c r="NZU54" s="12"/>
      <c r="NZV54" s="12"/>
      <c r="NZW54" s="12"/>
      <c r="NZX54" s="12"/>
      <c r="NZY54" s="12"/>
      <c r="NZZ54" s="12"/>
      <c r="OAA54" s="12"/>
      <c r="OAB54" s="12"/>
      <c r="OAC54" s="12"/>
      <c r="OAD54" s="12"/>
      <c r="OAE54" s="12"/>
      <c r="OAF54" s="12"/>
      <c r="OAG54" s="12"/>
      <c r="OAH54" s="12"/>
      <c r="OAI54" s="12"/>
      <c r="OAJ54" s="12"/>
      <c r="OAK54" s="12"/>
      <c r="OAL54" s="12"/>
      <c r="OAM54" s="12"/>
      <c r="OAN54" s="12"/>
      <c r="OAO54" s="12"/>
      <c r="OAP54" s="12"/>
      <c r="OAQ54" s="12"/>
      <c r="OAR54" s="12"/>
      <c r="OAS54" s="12"/>
      <c r="OAT54" s="12"/>
      <c r="OAU54" s="12"/>
      <c r="OAV54" s="12"/>
      <c r="OAW54" s="12"/>
      <c r="OAX54" s="12"/>
      <c r="OAY54" s="12"/>
      <c r="OAZ54" s="12"/>
      <c r="OBA54" s="12"/>
      <c r="OBB54" s="12"/>
      <c r="OBC54" s="12"/>
      <c r="OBD54" s="12"/>
      <c r="OBE54" s="12"/>
      <c r="OBF54" s="12"/>
      <c r="OBG54" s="12"/>
      <c r="OBH54" s="12"/>
      <c r="OBI54" s="12"/>
      <c r="OBJ54" s="12"/>
      <c r="OBK54" s="12"/>
      <c r="OBL54" s="12"/>
      <c r="OBM54" s="12"/>
      <c r="OBN54" s="12"/>
      <c r="OBO54" s="12"/>
      <c r="OBP54" s="12"/>
      <c r="OBQ54" s="12"/>
      <c r="OBR54" s="12"/>
      <c r="OBS54" s="12"/>
      <c r="OBT54" s="12"/>
      <c r="OBU54" s="12"/>
      <c r="OBV54" s="12"/>
      <c r="OBW54" s="12"/>
      <c r="OBX54" s="12"/>
      <c r="OBY54" s="12"/>
      <c r="OBZ54" s="12"/>
      <c r="OCA54" s="12"/>
      <c r="OCB54" s="12"/>
      <c r="OCC54" s="12"/>
      <c r="OCD54" s="12"/>
      <c r="OCE54" s="12"/>
      <c r="OCF54" s="12"/>
      <c r="OCG54" s="12"/>
      <c r="OCH54" s="12"/>
      <c r="OCI54" s="12"/>
      <c r="OCJ54" s="12"/>
      <c r="OCK54" s="12"/>
      <c r="OCL54" s="12"/>
      <c r="OCM54" s="12"/>
      <c r="OCN54" s="12"/>
      <c r="OCO54" s="12"/>
      <c r="OCP54" s="12"/>
      <c r="OCQ54" s="12"/>
      <c r="OCR54" s="12"/>
      <c r="OCS54" s="12"/>
      <c r="OCT54" s="12"/>
      <c r="OCU54" s="12"/>
      <c r="OCV54" s="12"/>
      <c r="OCW54" s="12"/>
      <c r="OCX54" s="12"/>
      <c r="OCY54" s="12"/>
      <c r="OCZ54" s="12"/>
      <c r="ODA54" s="12"/>
      <c r="ODB54" s="12"/>
      <c r="ODC54" s="12"/>
      <c r="ODD54" s="12"/>
      <c r="ODE54" s="12"/>
      <c r="ODF54" s="12"/>
      <c r="ODG54" s="12"/>
      <c r="ODH54" s="12"/>
      <c r="ODI54" s="12"/>
      <c r="ODJ54" s="12"/>
      <c r="ODK54" s="12"/>
      <c r="ODL54" s="12"/>
      <c r="ODM54" s="12"/>
      <c r="ODN54" s="12"/>
      <c r="ODO54" s="12"/>
      <c r="ODP54" s="12"/>
      <c r="ODQ54" s="12"/>
      <c r="ODR54" s="12"/>
      <c r="ODS54" s="12"/>
      <c r="ODT54" s="12"/>
      <c r="ODU54" s="12"/>
      <c r="ODV54" s="12"/>
      <c r="ODW54" s="12"/>
      <c r="ODX54" s="12"/>
      <c r="ODY54" s="12"/>
      <c r="ODZ54" s="12"/>
      <c r="OEA54" s="12"/>
      <c r="OEB54" s="12"/>
      <c r="OEC54" s="12"/>
      <c r="OED54" s="12"/>
      <c r="OEE54" s="12"/>
      <c r="OEF54" s="12"/>
      <c r="OEG54" s="12"/>
      <c r="OEH54" s="12"/>
      <c r="OEI54" s="12"/>
      <c r="OEJ54" s="12"/>
      <c r="OEK54" s="12"/>
      <c r="OEL54" s="12"/>
      <c r="OEM54" s="12"/>
      <c r="OEN54" s="12"/>
      <c r="OEO54" s="12"/>
      <c r="OEP54" s="12"/>
      <c r="OEQ54" s="12"/>
      <c r="OER54" s="12"/>
      <c r="OES54" s="12"/>
      <c r="OET54" s="12"/>
      <c r="OEU54" s="12"/>
      <c r="OEV54" s="12"/>
      <c r="OEW54" s="12"/>
      <c r="OEX54" s="12"/>
      <c r="OEY54" s="12"/>
      <c r="OEZ54" s="12"/>
      <c r="OFA54" s="12"/>
      <c r="OFB54" s="12"/>
      <c r="OFC54" s="12"/>
      <c r="OFD54" s="12"/>
      <c r="OFE54" s="12"/>
      <c r="OFF54" s="12"/>
      <c r="OFG54" s="12"/>
      <c r="OFH54" s="12"/>
      <c r="OFI54" s="12"/>
      <c r="OFJ54" s="12"/>
      <c r="OFK54" s="12"/>
      <c r="OFL54" s="12"/>
      <c r="OFM54" s="12"/>
      <c r="OFN54" s="12"/>
      <c r="OFO54" s="12"/>
      <c r="OFP54" s="12"/>
      <c r="OFQ54" s="12"/>
      <c r="OFR54" s="12"/>
      <c r="OFS54" s="12"/>
      <c r="OFT54" s="12"/>
      <c r="OFU54" s="12"/>
      <c r="OFV54" s="12"/>
      <c r="OFW54" s="12"/>
      <c r="OFX54" s="12"/>
      <c r="OFY54" s="12"/>
      <c r="OFZ54" s="12"/>
      <c r="OGA54" s="12"/>
      <c r="OGB54" s="12"/>
      <c r="OGC54" s="12"/>
      <c r="OGD54" s="12"/>
      <c r="OGE54" s="12"/>
      <c r="OGF54" s="12"/>
      <c r="OGG54" s="12"/>
      <c r="OGH54" s="12"/>
      <c r="OGI54" s="12"/>
      <c r="OGJ54" s="12"/>
      <c r="OGK54" s="12"/>
      <c r="OGL54" s="12"/>
      <c r="OGM54" s="12"/>
      <c r="OGN54" s="12"/>
      <c r="OGO54" s="12"/>
      <c r="OGP54" s="12"/>
      <c r="OGQ54" s="12"/>
      <c r="OGR54" s="12"/>
      <c r="OGS54" s="12"/>
      <c r="OGT54" s="12"/>
      <c r="OGU54" s="12"/>
      <c r="OGV54" s="12"/>
      <c r="OGW54" s="12"/>
      <c r="OGX54" s="12"/>
      <c r="OGY54" s="12"/>
      <c r="OGZ54" s="12"/>
      <c r="OHA54" s="12"/>
      <c r="OHB54" s="12"/>
      <c r="OHC54" s="12"/>
      <c r="OHD54" s="12"/>
      <c r="OHE54" s="12"/>
      <c r="OHF54" s="12"/>
      <c r="OHG54" s="12"/>
      <c r="OHH54" s="12"/>
      <c r="OHI54" s="12"/>
      <c r="OHJ54" s="12"/>
      <c r="OHK54" s="12"/>
      <c r="OHL54" s="12"/>
      <c r="OHM54" s="12"/>
      <c r="OHN54" s="12"/>
      <c r="OHO54" s="12"/>
      <c r="OHP54" s="12"/>
      <c r="OHQ54" s="12"/>
      <c r="OHR54" s="12"/>
      <c r="OHS54" s="12"/>
      <c r="OHT54" s="12"/>
      <c r="OHU54" s="12"/>
      <c r="OHV54" s="12"/>
      <c r="OHW54" s="12"/>
      <c r="OHX54" s="12"/>
      <c r="OHY54" s="12"/>
      <c r="OHZ54" s="12"/>
      <c r="OIA54" s="12"/>
      <c r="OIB54" s="12"/>
      <c r="OIC54" s="12"/>
      <c r="OID54" s="12"/>
      <c r="OIE54" s="12"/>
      <c r="OIF54" s="12"/>
      <c r="OIG54" s="12"/>
      <c r="OIH54" s="12"/>
      <c r="OII54" s="12"/>
      <c r="OIJ54" s="12"/>
      <c r="OIK54" s="12"/>
      <c r="OIL54" s="12"/>
      <c r="OIM54" s="12"/>
      <c r="OIN54" s="12"/>
      <c r="OIO54" s="12"/>
      <c r="OIP54" s="12"/>
      <c r="OIQ54" s="12"/>
      <c r="OIR54" s="12"/>
      <c r="OIS54" s="12"/>
      <c r="OIT54" s="12"/>
      <c r="OIU54" s="12"/>
      <c r="OIV54" s="12"/>
      <c r="OIW54" s="12"/>
      <c r="OIX54" s="12"/>
      <c r="OIY54" s="12"/>
      <c r="OIZ54" s="12"/>
      <c r="OJA54" s="12"/>
      <c r="OJB54" s="12"/>
      <c r="OJC54" s="12"/>
      <c r="OJD54" s="12"/>
      <c r="OJE54" s="12"/>
      <c r="OJF54" s="12"/>
      <c r="OJG54" s="12"/>
      <c r="OJH54" s="12"/>
      <c r="OJI54" s="12"/>
      <c r="OJJ54" s="12"/>
      <c r="OJK54" s="12"/>
      <c r="OJL54" s="12"/>
      <c r="OJM54" s="12"/>
      <c r="OJN54" s="12"/>
      <c r="OJO54" s="12"/>
      <c r="OJP54" s="12"/>
      <c r="OJQ54" s="12"/>
      <c r="OJR54" s="12"/>
      <c r="OJS54" s="12"/>
      <c r="OJT54" s="12"/>
      <c r="OJU54" s="12"/>
      <c r="OJV54" s="12"/>
      <c r="OJW54" s="12"/>
      <c r="OJX54" s="12"/>
      <c r="OJY54" s="12"/>
      <c r="OJZ54" s="12"/>
      <c r="OKA54" s="12"/>
      <c r="OKB54" s="12"/>
      <c r="OKC54" s="12"/>
      <c r="OKD54" s="12"/>
      <c r="OKE54" s="12"/>
      <c r="OKF54" s="12"/>
      <c r="OKG54" s="12"/>
      <c r="OKH54" s="12"/>
      <c r="OKI54" s="12"/>
      <c r="OKJ54" s="12"/>
      <c r="OKK54" s="12"/>
      <c r="OKL54" s="12"/>
      <c r="OKM54" s="12"/>
      <c r="OKN54" s="12"/>
      <c r="OKO54" s="12"/>
      <c r="OKP54" s="12"/>
      <c r="OKQ54" s="12"/>
      <c r="OKR54" s="12"/>
      <c r="OKS54" s="12"/>
      <c r="OKT54" s="12"/>
      <c r="OKU54" s="12"/>
      <c r="OKV54" s="12"/>
      <c r="OKW54" s="12"/>
      <c r="OKX54" s="12"/>
      <c r="OKY54" s="12"/>
      <c r="OKZ54" s="12"/>
      <c r="OLA54" s="12"/>
      <c r="OLB54" s="12"/>
      <c r="OLC54" s="12"/>
      <c r="OLD54" s="12"/>
      <c r="OLE54" s="12"/>
      <c r="OLF54" s="12"/>
      <c r="OLG54" s="12"/>
      <c r="OLH54" s="12"/>
      <c r="OLI54" s="12"/>
      <c r="OLJ54" s="12"/>
      <c r="OLK54" s="12"/>
      <c r="OLL54" s="12"/>
      <c r="OLM54" s="12"/>
      <c r="OLN54" s="12"/>
      <c r="OLO54" s="12"/>
      <c r="OLP54" s="12"/>
      <c r="OLQ54" s="12"/>
      <c r="OLR54" s="12"/>
      <c r="OLS54" s="12"/>
      <c r="OLT54" s="12"/>
      <c r="OLU54" s="12"/>
      <c r="OLV54" s="12"/>
      <c r="OLW54" s="12"/>
      <c r="OLX54" s="12"/>
      <c r="OLY54" s="12"/>
      <c r="OLZ54" s="12"/>
      <c r="OMA54" s="12"/>
      <c r="OMB54" s="12"/>
      <c r="OMC54" s="12"/>
      <c r="OMD54" s="12"/>
      <c r="OME54" s="12"/>
      <c r="OMF54" s="12"/>
      <c r="OMG54" s="12"/>
      <c r="OMH54" s="12"/>
      <c r="OMI54" s="12"/>
      <c r="OMJ54" s="12"/>
      <c r="OMK54" s="12"/>
      <c r="OML54" s="12"/>
      <c r="OMM54" s="12"/>
      <c r="OMN54" s="12"/>
      <c r="OMO54" s="12"/>
      <c r="OMP54" s="12"/>
      <c r="OMQ54" s="12"/>
      <c r="OMR54" s="12"/>
      <c r="OMS54" s="12"/>
      <c r="OMT54" s="12"/>
      <c r="OMU54" s="12"/>
      <c r="OMV54" s="12"/>
      <c r="OMW54" s="12"/>
      <c r="OMX54" s="12"/>
      <c r="OMY54" s="12"/>
      <c r="OMZ54" s="12"/>
      <c r="ONA54" s="12"/>
      <c r="ONB54" s="12"/>
      <c r="ONC54" s="12"/>
      <c r="OND54" s="12"/>
      <c r="ONE54" s="12"/>
      <c r="ONF54" s="12"/>
      <c r="ONG54" s="12"/>
      <c r="ONH54" s="12"/>
      <c r="ONI54" s="12"/>
      <c r="ONJ54" s="12"/>
      <c r="ONK54" s="12"/>
      <c r="ONL54" s="12"/>
      <c r="ONM54" s="12"/>
      <c r="ONN54" s="12"/>
      <c r="ONO54" s="12"/>
      <c r="ONP54" s="12"/>
      <c r="ONQ54" s="12"/>
      <c r="ONR54" s="12"/>
      <c r="ONS54" s="12"/>
      <c r="ONT54" s="12"/>
      <c r="ONU54" s="12"/>
      <c r="ONV54" s="12"/>
      <c r="ONW54" s="12"/>
      <c r="ONX54" s="12"/>
      <c r="ONY54" s="12"/>
      <c r="ONZ54" s="12"/>
      <c r="OOA54" s="12"/>
      <c r="OOB54" s="12"/>
      <c r="OOC54" s="12"/>
      <c r="OOD54" s="12"/>
      <c r="OOE54" s="12"/>
      <c r="OOF54" s="12"/>
      <c r="OOG54" s="12"/>
      <c r="OOH54" s="12"/>
      <c r="OOI54" s="12"/>
      <c r="OOJ54" s="12"/>
      <c r="OOK54" s="12"/>
      <c r="OOL54" s="12"/>
      <c r="OOM54" s="12"/>
      <c r="OON54" s="12"/>
      <c r="OOO54" s="12"/>
      <c r="OOP54" s="12"/>
      <c r="OOQ54" s="12"/>
      <c r="OOR54" s="12"/>
      <c r="OOS54" s="12"/>
      <c r="OOT54" s="12"/>
      <c r="OOU54" s="12"/>
      <c r="OOV54" s="12"/>
      <c r="OOW54" s="12"/>
      <c r="OOX54" s="12"/>
      <c r="OOY54" s="12"/>
      <c r="OOZ54" s="12"/>
      <c r="OPA54" s="12"/>
      <c r="OPB54" s="12"/>
      <c r="OPC54" s="12"/>
      <c r="OPD54" s="12"/>
      <c r="OPE54" s="12"/>
      <c r="OPF54" s="12"/>
      <c r="OPG54" s="12"/>
      <c r="OPH54" s="12"/>
      <c r="OPI54" s="12"/>
      <c r="OPJ54" s="12"/>
      <c r="OPK54" s="12"/>
      <c r="OPL54" s="12"/>
      <c r="OPM54" s="12"/>
      <c r="OPN54" s="12"/>
      <c r="OPO54" s="12"/>
      <c r="OPP54" s="12"/>
      <c r="OPQ54" s="12"/>
      <c r="OPR54" s="12"/>
      <c r="OPS54" s="12"/>
      <c r="OPT54" s="12"/>
      <c r="OPU54" s="12"/>
      <c r="OPV54" s="12"/>
      <c r="OPW54" s="12"/>
      <c r="OPX54" s="12"/>
      <c r="OPY54" s="12"/>
      <c r="OPZ54" s="12"/>
      <c r="OQA54" s="12"/>
      <c r="OQB54" s="12"/>
      <c r="OQC54" s="12"/>
      <c r="OQD54" s="12"/>
      <c r="OQE54" s="12"/>
      <c r="OQF54" s="12"/>
      <c r="OQG54" s="12"/>
      <c r="OQH54" s="12"/>
      <c r="OQI54" s="12"/>
      <c r="OQJ54" s="12"/>
      <c r="OQK54" s="12"/>
      <c r="OQL54" s="12"/>
      <c r="OQM54" s="12"/>
      <c r="OQN54" s="12"/>
      <c r="OQO54" s="12"/>
      <c r="OQP54" s="12"/>
      <c r="OQQ54" s="12"/>
      <c r="OQR54" s="12"/>
      <c r="OQS54" s="12"/>
      <c r="OQT54" s="12"/>
      <c r="OQU54" s="12"/>
      <c r="OQV54" s="12"/>
      <c r="OQW54" s="12"/>
      <c r="OQX54" s="12"/>
      <c r="OQY54" s="12"/>
      <c r="OQZ54" s="12"/>
      <c r="ORA54" s="12"/>
      <c r="ORB54" s="12"/>
      <c r="ORC54" s="12"/>
      <c r="ORD54" s="12"/>
      <c r="ORE54" s="12"/>
      <c r="ORF54" s="12"/>
      <c r="ORG54" s="12"/>
      <c r="ORH54" s="12"/>
      <c r="ORI54" s="12"/>
      <c r="ORJ54" s="12"/>
      <c r="ORK54" s="12"/>
      <c r="ORL54" s="12"/>
      <c r="ORM54" s="12"/>
      <c r="ORN54" s="12"/>
      <c r="ORO54" s="12"/>
      <c r="ORP54" s="12"/>
      <c r="ORQ54" s="12"/>
      <c r="ORR54" s="12"/>
      <c r="ORS54" s="12"/>
      <c r="ORT54" s="12"/>
      <c r="ORU54" s="12"/>
      <c r="ORV54" s="12"/>
      <c r="ORW54" s="12"/>
      <c r="ORX54" s="12"/>
      <c r="ORY54" s="12"/>
      <c r="ORZ54" s="12"/>
      <c r="OSA54" s="12"/>
      <c r="OSB54" s="12"/>
      <c r="OSC54" s="12"/>
      <c r="OSD54" s="12"/>
      <c r="OSE54" s="12"/>
      <c r="OSF54" s="12"/>
      <c r="OSG54" s="12"/>
      <c r="OSH54" s="12"/>
      <c r="OSI54" s="12"/>
      <c r="OSJ54" s="12"/>
      <c r="OSK54" s="12"/>
      <c r="OSL54" s="12"/>
      <c r="OSM54" s="12"/>
      <c r="OSN54" s="12"/>
      <c r="OSO54" s="12"/>
      <c r="OSP54" s="12"/>
      <c r="OSQ54" s="12"/>
      <c r="OSR54" s="12"/>
      <c r="OSS54" s="12"/>
      <c r="OST54" s="12"/>
      <c r="OSU54" s="12"/>
      <c r="OSV54" s="12"/>
      <c r="OSW54" s="12"/>
      <c r="OSX54" s="12"/>
      <c r="OSY54" s="12"/>
      <c r="OSZ54" s="12"/>
      <c r="OTA54" s="12"/>
      <c r="OTB54" s="12"/>
      <c r="OTC54" s="12"/>
      <c r="OTD54" s="12"/>
      <c r="OTE54" s="12"/>
      <c r="OTF54" s="12"/>
      <c r="OTG54" s="12"/>
      <c r="OTH54" s="12"/>
      <c r="OTI54" s="12"/>
      <c r="OTJ54" s="12"/>
      <c r="OTK54" s="12"/>
      <c r="OTL54" s="12"/>
      <c r="OTM54" s="12"/>
      <c r="OTN54" s="12"/>
      <c r="OTO54" s="12"/>
      <c r="OTP54" s="12"/>
      <c r="OTQ54" s="12"/>
      <c r="OTR54" s="12"/>
      <c r="OTS54" s="12"/>
      <c r="OTT54" s="12"/>
      <c r="OTU54" s="12"/>
      <c r="OTV54" s="12"/>
      <c r="OTW54" s="12"/>
      <c r="OTX54" s="12"/>
      <c r="OTY54" s="12"/>
      <c r="OTZ54" s="12"/>
      <c r="OUA54" s="12"/>
      <c r="OUB54" s="12"/>
      <c r="OUC54" s="12"/>
      <c r="OUD54" s="12"/>
      <c r="OUE54" s="12"/>
      <c r="OUF54" s="12"/>
      <c r="OUG54" s="12"/>
      <c r="OUH54" s="12"/>
      <c r="OUI54" s="12"/>
      <c r="OUJ54" s="12"/>
      <c r="OUK54" s="12"/>
      <c r="OUL54" s="12"/>
      <c r="OUM54" s="12"/>
      <c r="OUN54" s="12"/>
      <c r="OUO54" s="12"/>
      <c r="OUP54" s="12"/>
      <c r="OUQ54" s="12"/>
      <c r="OUR54" s="12"/>
      <c r="OUS54" s="12"/>
      <c r="OUT54" s="12"/>
      <c r="OUU54" s="12"/>
      <c r="OUV54" s="12"/>
      <c r="OUW54" s="12"/>
      <c r="OUX54" s="12"/>
      <c r="OUY54" s="12"/>
      <c r="OUZ54" s="12"/>
      <c r="OVA54" s="12"/>
      <c r="OVB54" s="12"/>
      <c r="OVC54" s="12"/>
      <c r="OVD54" s="12"/>
      <c r="OVE54" s="12"/>
      <c r="OVF54" s="12"/>
      <c r="OVG54" s="12"/>
      <c r="OVH54" s="12"/>
      <c r="OVI54" s="12"/>
      <c r="OVJ54" s="12"/>
      <c r="OVK54" s="12"/>
      <c r="OVL54" s="12"/>
      <c r="OVM54" s="12"/>
      <c r="OVN54" s="12"/>
      <c r="OVO54" s="12"/>
      <c r="OVP54" s="12"/>
      <c r="OVQ54" s="12"/>
      <c r="OVR54" s="12"/>
      <c r="OVS54" s="12"/>
      <c r="OVT54" s="12"/>
      <c r="OVU54" s="12"/>
      <c r="OVV54" s="12"/>
      <c r="OVW54" s="12"/>
      <c r="OVX54" s="12"/>
      <c r="OVY54" s="12"/>
      <c r="OVZ54" s="12"/>
      <c r="OWA54" s="12"/>
      <c r="OWB54" s="12"/>
      <c r="OWC54" s="12"/>
      <c r="OWD54" s="12"/>
      <c r="OWE54" s="12"/>
      <c r="OWF54" s="12"/>
      <c r="OWG54" s="12"/>
      <c r="OWH54" s="12"/>
      <c r="OWI54" s="12"/>
      <c r="OWJ54" s="12"/>
      <c r="OWK54" s="12"/>
      <c r="OWL54" s="12"/>
      <c r="OWM54" s="12"/>
      <c r="OWN54" s="12"/>
      <c r="OWO54" s="12"/>
      <c r="OWP54" s="12"/>
      <c r="OWQ54" s="12"/>
      <c r="OWR54" s="12"/>
      <c r="OWS54" s="12"/>
      <c r="OWT54" s="12"/>
      <c r="OWU54" s="12"/>
      <c r="OWV54" s="12"/>
      <c r="OWW54" s="12"/>
      <c r="OWX54" s="12"/>
      <c r="OWY54" s="12"/>
      <c r="OWZ54" s="12"/>
      <c r="OXA54" s="12"/>
      <c r="OXB54" s="12"/>
      <c r="OXC54" s="12"/>
      <c r="OXD54" s="12"/>
      <c r="OXE54" s="12"/>
      <c r="OXF54" s="12"/>
      <c r="OXG54" s="12"/>
      <c r="OXH54" s="12"/>
      <c r="OXI54" s="12"/>
      <c r="OXJ54" s="12"/>
      <c r="OXK54" s="12"/>
      <c r="OXL54" s="12"/>
      <c r="OXM54" s="12"/>
      <c r="OXN54" s="12"/>
      <c r="OXO54" s="12"/>
      <c r="OXP54" s="12"/>
      <c r="OXQ54" s="12"/>
      <c r="OXR54" s="12"/>
      <c r="OXS54" s="12"/>
      <c r="OXT54" s="12"/>
      <c r="OXU54" s="12"/>
      <c r="OXV54" s="12"/>
      <c r="OXW54" s="12"/>
      <c r="OXX54" s="12"/>
      <c r="OXY54" s="12"/>
      <c r="OXZ54" s="12"/>
      <c r="OYA54" s="12"/>
      <c r="OYB54" s="12"/>
      <c r="OYC54" s="12"/>
      <c r="OYD54" s="12"/>
      <c r="OYE54" s="12"/>
      <c r="OYF54" s="12"/>
      <c r="OYG54" s="12"/>
      <c r="OYH54" s="12"/>
      <c r="OYI54" s="12"/>
      <c r="OYJ54" s="12"/>
      <c r="OYK54" s="12"/>
      <c r="OYL54" s="12"/>
      <c r="OYM54" s="12"/>
      <c r="OYN54" s="12"/>
      <c r="OYO54" s="12"/>
      <c r="OYP54" s="12"/>
      <c r="OYQ54" s="12"/>
      <c r="OYR54" s="12"/>
      <c r="OYS54" s="12"/>
      <c r="OYT54" s="12"/>
      <c r="OYU54" s="12"/>
      <c r="OYV54" s="12"/>
      <c r="OYW54" s="12"/>
      <c r="OYX54" s="12"/>
      <c r="OYY54" s="12"/>
      <c r="OYZ54" s="12"/>
      <c r="OZA54" s="12"/>
      <c r="OZB54" s="12"/>
      <c r="OZC54" s="12"/>
      <c r="OZD54" s="12"/>
      <c r="OZE54" s="12"/>
      <c r="OZF54" s="12"/>
      <c r="OZG54" s="12"/>
      <c r="OZH54" s="12"/>
      <c r="OZI54" s="12"/>
      <c r="OZJ54" s="12"/>
      <c r="OZK54" s="12"/>
      <c r="OZL54" s="12"/>
      <c r="OZM54" s="12"/>
      <c r="OZN54" s="12"/>
      <c r="OZO54" s="12"/>
      <c r="OZP54" s="12"/>
      <c r="OZQ54" s="12"/>
      <c r="OZR54" s="12"/>
      <c r="OZS54" s="12"/>
      <c r="OZT54" s="12"/>
      <c r="OZU54" s="12"/>
      <c r="OZV54" s="12"/>
      <c r="OZW54" s="12"/>
      <c r="OZX54" s="12"/>
      <c r="OZY54" s="12"/>
      <c r="OZZ54" s="12"/>
      <c r="PAA54" s="12"/>
      <c r="PAB54" s="12"/>
      <c r="PAC54" s="12"/>
      <c r="PAD54" s="12"/>
      <c r="PAE54" s="12"/>
      <c r="PAF54" s="12"/>
      <c r="PAG54" s="12"/>
      <c r="PAH54" s="12"/>
      <c r="PAI54" s="12"/>
      <c r="PAJ54" s="12"/>
      <c r="PAK54" s="12"/>
      <c r="PAL54" s="12"/>
      <c r="PAM54" s="12"/>
      <c r="PAN54" s="12"/>
      <c r="PAO54" s="12"/>
      <c r="PAP54" s="12"/>
      <c r="PAQ54" s="12"/>
      <c r="PAR54" s="12"/>
      <c r="PAS54" s="12"/>
      <c r="PAT54" s="12"/>
      <c r="PAU54" s="12"/>
      <c r="PAV54" s="12"/>
      <c r="PAW54" s="12"/>
      <c r="PAX54" s="12"/>
      <c r="PAY54" s="12"/>
      <c r="PAZ54" s="12"/>
      <c r="PBA54" s="12"/>
      <c r="PBB54" s="12"/>
      <c r="PBC54" s="12"/>
      <c r="PBD54" s="12"/>
      <c r="PBE54" s="12"/>
      <c r="PBF54" s="12"/>
      <c r="PBG54" s="12"/>
      <c r="PBH54" s="12"/>
      <c r="PBI54" s="12"/>
      <c r="PBJ54" s="12"/>
      <c r="PBK54" s="12"/>
      <c r="PBL54" s="12"/>
      <c r="PBM54" s="12"/>
      <c r="PBN54" s="12"/>
      <c r="PBO54" s="12"/>
      <c r="PBP54" s="12"/>
      <c r="PBQ54" s="12"/>
      <c r="PBR54" s="12"/>
      <c r="PBS54" s="12"/>
      <c r="PBT54" s="12"/>
      <c r="PBU54" s="12"/>
      <c r="PBV54" s="12"/>
      <c r="PBW54" s="12"/>
      <c r="PBX54" s="12"/>
      <c r="PBY54" s="12"/>
      <c r="PBZ54" s="12"/>
      <c r="PCA54" s="12"/>
      <c r="PCB54" s="12"/>
      <c r="PCC54" s="12"/>
      <c r="PCD54" s="12"/>
      <c r="PCE54" s="12"/>
      <c r="PCF54" s="12"/>
      <c r="PCG54" s="12"/>
      <c r="PCH54" s="12"/>
      <c r="PCI54" s="12"/>
      <c r="PCJ54" s="12"/>
      <c r="PCK54" s="12"/>
      <c r="PCL54" s="12"/>
      <c r="PCM54" s="12"/>
      <c r="PCN54" s="12"/>
      <c r="PCO54" s="12"/>
      <c r="PCP54" s="12"/>
      <c r="PCQ54" s="12"/>
      <c r="PCR54" s="12"/>
      <c r="PCS54" s="12"/>
      <c r="PCT54" s="12"/>
      <c r="PCU54" s="12"/>
      <c r="PCV54" s="12"/>
      <c r="PCW54" s="12"/>
      <c r="PCX54" s="12"/>
      <c r="PCY54" s="12"/>
      <c r="PCZ54" s="12"/>
      <c r="PDA54" s="12"/>
      <c r="PDB54" s="12"/>
      <c r="PDC54" s="12"/>
      <c r="PDD54" s="12"/>
      <c r="PDE54" s="12"/>
      <c r="PDF54" s="12"/>
      <c r="PDG54" s="12"/>
      <c r="PDH54" s="12"/>
      <c r="PDI54" s="12"/>
      <c r="PDJ54" s="12"/>
      <c r="PDK54" s="12"/>
      <c r="PDL54" s="12"/>
      <c r="PDM54" s="12"/>
      <c r="PDN54" s="12"/>
      <c r="PDO54" s="12"/>
      <c r="PDP54" s="12"/>
      <c r="PDQ54" s="12"/>
      <c r="PDR54" s="12"/>
      <c r="PDS54" s="12"/>
      <c r="PDT54" s="12"/>
      <c r="PDU54" s="12"/>
      <c r="PDV54" s="12"/>
      <c r="PDW54" s="12"/>
      <c r="PDX54" s="12"/>
      <c r="PDY54" s="12"/>
      <c r="PDZ54" s="12"/>
      <c r="PEA54" s="12"/>
      <c r="PEB54" s="12"/>
      <c r="PEC54" s="12"/>
      <c r="PED54" s="12"/>
      <c r="PEE54" s="12"/>
      <c r="PEF54" s="12"/>
      <c r="PEG54" s="12"/>
      <c r="PEH54" s="12"/>
      <c r="PEI54" s="12"/>
      <c r="PEJ54" s="12"/>
      <c r="PEK54" s="12"/>
      <c r="PEL54" s="12"/>
      <c r="PEM54" s="12"/>
      <c r="PEN54" s="12"/>
      <c r="PEO54" s="12"/>
      <c r="PEP54" s="12"/>
      <c r="PEQ54" s="12"/>
      <c r="PER54" s="12"/>
      <c r="PES54" s="12"/>
      <c r="PET54" s="12"/>
      <c r="PEU54" s="12"/>
      <c r="PEV54" s="12"/>
      <c r="PEW54" s="12"/>
      <c r="PEX54" s="12"/>
      <c r="PEY54" s="12"/>
      <c r="PEZ54" s="12"/>
      <c r="PFA54" s="12"/>
      <c r="PFB54" s="12"/>
      <c r="PFC54" s="12"/>
      <c r="PFD54" s="12"/>
      <c r="PFE54" s="12"/>
      <c r="PFF54" s="12"/>
      <c r="PFG54" s="12"/>
      <c r="PFH54" s="12"/>
      <c r="PFI54" s="12"/>
      <c r="PFJ54" s="12"/>
      <c r="PFK54" s="12"/>
      <c r="PFL54" s="12"/>
      <c r="PFM54" s="12"/>
      <c r="PFN54" s="12"/>
      <c r="PFO54" s="12"/>
      <c r="PFP54" s="12"/>
      <c r="PFQ54" s="12"/>
      <c r="PFR54" s="12"/>
      <c r="PFS54" s="12"/>
      <c r="PFT54" s="12"/>
      <c r="PFU54" s="12"/>
      <c r="PFV54" s="12"/>
      <c r="PFW54" s="12"/>
      <c r="PFX54" s="12"/>
      <c r="PFY54" s="12"/>
      <c r="PFZ54" s="12"/>
      <c r="PGA54" s="12"/>
      <c r="PGB54" s="12"/>
      <c r="PGC54" s="12"/>
      <c r="PGD54" s="12"/>
      <c r="PGE54" s="12"/>
      <c r="PGF54" s="12"/>
      <c r="PGG54" s="12"/>
      <c r="PGH54" s="12"/>
      <c r="PGI54" s="12"/>
      <c r="PGJ54" s="12"/>
      <c r="PGK54" s="12"/>
      <c r="PGL54" s="12"/>
      <c r="PGM54" s="12"/>
      <c r="PGN54" s="12"/>
      <c r="PGO54" s="12"/>
      <c r="PGP54" s="12"/>
      <c r="PGQ54" s="12"/>
      <c r="PGR54" s="12"/>
      <c r="PGS54" s="12"/>
      <c r="PGT54" s="12"/>
      <c r="PGU54" s="12"/>
      <c r="PGV54" s="12"/>
      <c r="PGW54" s="12"/>
      <c r="PGX54" s="12"/>
      <c r="PGY54" s="12"/>
      <c r="PGZ54" s="12"/>
      <c r="PHA54" s="12"/>
      <c r="PHB54" s="12"/>
      <c r="PHC54" s="12"/>
      <c r="PHD54" s="12"/>
      <c r="PHE54" s="12"/>
      <c r="PHF54" s="12"/>
      <c r="PHG54" s="12"/>
      <c r="PHH54" s="12"/>
      <c r="PHI54" s="12"/>
      <c r="PHJ54" s="12"/>
      <c r="PHK54" s="12"/>
      <c r="PHL54" s="12"/>
      <c r="PHM54" s="12"/>
      <c r="PHN54" s="12"/>
      <c r="PHO54" s="12"/>
      <c r="PHP54" s="12"/>
      <c r="PHQ54" s="12"/>
      <c r="PHR54" s="12"/>
      <c r="PHS54" s="12"/>
      <c r="PHT54" s="12"/>
      <c r="PHU54" s="12"/>
      <c r="PHV54" s="12"/>
      <c r="PHW54" s="12"/>
      <c r="PHX54" s="12"/>
      <c r="PHY54" s="12"/>
      <c r="PHZ54" s="12"/>
      <c r="PIA54" s="12"/>
      <c r="PIB54" s="12"/>
      <c r="PIC54" s="12"/>
      <c r="PID54" s="12"/>
      <c r="PIE54" s="12"/>
      <c r="PIF54" s="12"/>
      <c r="PIG54" s="12"/>
      <c r="PIH54" s="12"/>
      <c r="PII54" s="12"/>
      <c r="PIJ54" s="12"/>
      <c r="PIK54" s="12"/>
      <c r="PIL54" s="12"/>
      <c r="PIM54" s="12"/>
      <c r="PIN54" s="12"/>
      <c r="PIO54" s="12"/>
      <c r="PIP54" s="12"/>
      <c r="PIQ54" s="12"/>
      <c r="PIR54" s="12"/>
      <c r="PIS54" s="12"/>
      <c r="PIT54" s="12"/>
      <c r="PIU54" s="12"/>
      <c r="PIV54" s="12"/>
      <c r="PIW54" s="12"/>
      <c r="PIX54" s="12"/>
      <c r="PIY54" s="12"/>
      <c r="PIZ54" s="12"/>
      <c r="PJA54" s="12"/>
      <c r="PJB54" s="12"/>
      <c r="PJC54" s="12"/>
      <c r="PJD54" s="12"/>
      <c r="PJE54" s="12"/>
      <c r="PJF54" s="12"/>
      <c r="PJG54" s="12"/>
      <c r="PJH54" s="12"/>
      <c r="PJI54" s="12"/>
      <c r="PJJ54" s="12"/>
      <c r="PJK54" s="12"/>
      <c r="PJL54" s="12"/>
      <c r="PJM54" s="12"/>
      <c r="PJN54" s="12"/>
      <c r="PJO54" s="12"/>
      <c r="PJP54" s="12"/>
      <c r="PJQ54" s="12"/>
      <c r="PJR54" s="12"/>
      <c r="PJS54" s="12"/>
      <c r="PJT54" s="12"/>
      <c r="PJU54" s="12"/>
      <c r="PJV54" s="12"/>
      <c r="PJW54" s="12"/>
      <c r="PJX54" s="12"/>
      <c r="PJY54" s="12"/>
      <c r="PJZ54" s="12"/>
      <c r="PKA54" s="12"/>
      <c r="PKB54" s="12"/>
      <c r="PKC54" s="12"/>
      <c r="PKD54" s="12"/>
      <c r="PKE54" s="12"/>
      <c r="PKF54" s="12"/>
      <c r="PKG54" s="12"/>
      <c r="PKH54" s="12"/>
      <c r="PKI54" s="12"/>
      <c r="PKJ54" s="12"/>
      <c r="PKK54" s="12"/>
      <c r="PKL54" s="12"/>
      <c r="PKM54" s="12"/>
      <c r="PKN54" s="12"/>
      <c r="PKO54" s="12"/>
      <c r="PKP54" s="12"/>
      <c r="PKQ54" s="12"/>
      <c r="PKR54" s="12"/>
      <c r="PKS54" s="12"/>
      <c r="PKT54" s="12"/>
      <c r="PKU54" s="12"/>
      <c r="PKV54" s="12"/>
      <c r="PKW54" s="12"/>
      <c r="PKX54" s="12"/>
      <c r="PKY54" s="12"/>
      <c r="PKZ54" s="12"/>
      <c r="PLA54" s="12"/>
      <c r="PLB54" s="12"/>
      <c r="PLC54" s="12"/>
      <c r="PLD54" s="12"/>
      <c r="PLE54" s="12"/>
      <c r="PLF54" s="12"/>
      <c r="PLG54" s="12"/>
      <c r="PLH54" s="12"/>
      <c r="PLI54" s="12"/>
      <c r="PLJ54" s="12"/>
      <c r="PLK54" s="12"/>
      <c r="PLL54" s="12"/>
      <c r="PLM54" s="12"/>
      <c r="PLN54" s="12"/>
      <c r="PLO54" s="12"/>
      <c r="PLP54" s="12"/>
      <c r="PLQ54" s="12"/>
      <c r="PLR54" s="12"/>
      <c r="PLS54" s="12"/>
      <c r="PLT54" s="12"/>
      <c r="PLU54" s="12"/>
      <c r="PLV54" s="12"/>
      <c r="PLW54" s="12"/>
      <c r="PLX54" s="12"/>
      <c r="PLY54" s="12"/>
      <c r="PLZ54" s="12"/>
      <c r="PMA54" s="12"/>
      <c r="PMB54" s="12"/>
      <c r="PMC54" s="12"/>
      <c r="PMD54" s="12"/>
      <c r="PME54" s="12"/>
      <c r="PMF54" s="12"/>
      <c r="PMG54" s="12"/>
      <c r="PMH54" s="12"/>
      <c r="PMI54" s="12"/>
      <c r="PMJ54" s="12"/>
      <c r="PMK54" s="12"/>
      <c r="PML54" s="12"/>
      <c r="PMM54" s="12"/>
      <c r="PMN54" s="12"/>
      <c r="PMO54" s="12"/>
      <c r="PMP54" s="12"/>
      <c r="PMQ54" s="12"/>
      <c r="PMR54" s="12"/>
      <c r="PMS54" s="12"/>
      <c r="PMT54" s="12"/>
      <c r="PMU54" s="12"/>
      <c r="PMV54" s="12"/>
      <c r="PMW54" s="12"/>
      <c r="PMX54" s="12"/>
      <c r="PMY54" s="12"/>
      <c r="PMZ54" s="12"/>
      <c r="PNA54" s="12"/>
      <c r="PNB54" s="12"/>
      <c r="PNC54" s="12"/>
      <c r="PND54" s="12"/>
      <c r="PNE54" s="12"/>
      <c r="PNF54" s="12"/>
      <c r="PNG54" s="12"/>
      <c r="PNH54" s="12"/>
      <c r="PNI54" s="12"/>
      <c r="PNJ54" s="12"/>
      <c r="PNK54" s="12"/>
      <c r="PNL54" s="12"/>
      <c r="PNM54" s="12"/>
      <c r="PNN54" s="12"/>
      <c r="PNO54" s="12"/>
      <c r="PNP54" s="12"/>
      <c r="PNQ54" s="12"/>
      <c r="PNR54" s="12"/>
      <c r="PNS54" s="12"/>
      <c r="PNT54" s="12"/>
      <c r="PNU54" s="12"/>
      <c r="PNV54" s="12"/>
      <c r="PNW54" s="12"/>
      <c r="PNX54" s="12"/>
      <c r="PNY54" s="12"/>
      <c r="PNZ54" s="12"/>
      <c r="POA54" s="12"/>
      <c r="POB54" s="12"/>
      <c r="POC54" s="12"/>
      <c r="POD54" s="12"/>
      <c r="POE54" s="12"/>
      <c r="POF54" s="12"/>
      <c r="POG54" s="12"/>
      <c r="POH54" s="12"/>
      <c r="POI54" s="12"/>
      <c r="POJ54" s="12"/>
      <c r="POK54" s="12"/>
      <c r="POL54" s="12"/>
      <c r="POM54" s="12"/>
      <c r="PON54" s="12"/>
      <c r="POO54" s="12"/>
      <c r="POP54" s="12"/>
      <c r="POQ54" s="12"/>
      <c r="POR54" s="12"/>
      <c r="POS54" s="12"/>
      <c r="POT54" s="12"/>
      <c r="POU54" s="12"/>
      <c r="POV54" s="12"/>
      <c r="POW54" s="12"/>
      <c r="POX54" s="12"/>
      <c r="POY54" s="12"/>
      <c r="POZ54" s="12"/>
      <c r="PPA54" s="12"/>
      <c r="PPB54" s="12"/>
      <c r="PPC54" s="12"/>
      <c r="PPD54" s="12"/>
      <c r="PPE54" s="12"/>
      <c r="PPF54" s="12"/>
      <c r="PPG54" s="12"/>
      <c r="PPH54" s="12"/>
      <c r="PPI54" s="12"/>
      <c r="PPJ54" s="12"/>
      <c r="PPK54" s="12"/>
      <c r="PPL54" s="12"/>
      <c r="PPM54" s="12"/>
      <c r="PPN54" s="12"/>
      <c r="PPO54" s="12"/>
      <c r="PPP54" s="12"/>
      <c r="PPQ54" s="12"/>
      <c r="PPR54" s="12"/>
      <c r="PPS54" s="12"/>
      <c r="PPT54" s="12"/>
      <c r="PPU54" s="12"/>
      <c r="PPV54" s="12"/>
      <c r="PPW54" s="12"/>
      <c r="PPX54" s="12"/>
      <c r="PPY54" s="12"/>
      <c r="PPZ54" s="12"/>
      <c r="PQA54" s="12"/>
      <c r="PQB54" s="12"/>
      <c r="PQC54" s="12"/>
      <c r="PQD54" s="12"/>
      <c r="PQE54" s="12"/>
      <c r="PQF54" s="12"/>
      <c r="PQG54" s="12"/>
      <c r="PQH54" s="12"/>
      <c r="PQI54" s="12"/>
      <c r="PQJ54" s="12"/>
      <c r="PQK54" s="12"/>
      <c r="PQL54" s="12"/>
      <c r="PQM54" s="12"/>
      <c r="PQN54" s="12"/>
      <c r="PQO54" s="12"/>
      <c r="PQP54" s="12"/>
      <c r="PQQ54" s="12"/>
      <c r="PQR54" s="12"/>
      <c r="PQS54" s="12"/>
      <c r="PQT54" s="12"/>
      <c r="PQU54" s="12"/>
      <c r="PQV54" s="12"/>
      <c r="PQW54" s="12"/>
      <c r="PQX54" s="12"/>
      <c r="PQY54" s="12"/>
      <c r="PQZ54" s="12"/>
      <c r="PRA54" s="12"/>
      <c r="PRB54" s="12"/>
      <c r="PRC54" s="12"/>
      <c r="PRD54" s="12"/>
      <c r="PRE54" s="12"/>
      <c r="PRF54" s="12"/>
      <c r="PRG54" s="12"/>
      <c r="PRH54" s="12"/>
      <c r="PRI54" s="12"/>
      <c r="PRJ54" s="12"/>
      <c r="PRK54" s="12"/>
      <c r="PRL54" s="12"/>
      <c r="PRM54" s="12"/>
      <c r="PRN54" s="12"/>
      <c r="PRO54" s="12"/>
      <c r="PRP54" s="12"/>
      <c r="PRQ54" s="12"/>
      <c r="PRR54" s="12"/>
      <c r="PRS54" s="12"/>
      <c r="PRT54" s="12"/>
      <c r="PRU54" s="12"/>
      <c r="PRV54" s="12"/>
      <c r="PRW54" s="12"/>
      <c r="PRX54" s="12"/>
      <c r="PRY54" s="12"/>
      <c r="PRZ54" s="12"/>
      <c r="PSA54" s="12"/>
      <c r="PSB54" s="12"/>
      <c r="PSC54" s="12"/>
      <c r="PSD54" s="12"/>
      <c r="PSE54" s="12"/>
      <c r="PSF54" s="12"/>
      <c r="PSG54" s="12"/>
      <c r="PSH54" s="12"/>
      <c r="PSI54" s="12"/>
      <c r="PSJ54" s="12"/>
      <c r="PSK54" s="12"/>
      <c r="PSL54" s="12"/>
      <c r="PSM54" s="12"/>
      <c r="PSN54" s="12"/>
      <c r="PSO54" s="12"/>
      <c r="PSP54" s="12"/>
      <c r="PSQ54" s="12"/>
      <c r="PSR54" s="12"/>
      <c r="PSS54" s="12"/>
      <c r="PST54" s="12"/>
      <c r="PSU54" s="12"/>
      <c r="PSV54" s="12"/>
      <c r="PSW54" s="12"/>
      <c r="PSX54" s="12"/>
      <c r="PSY54" s="12"/>
      <c r="PSZ54" s="12"/>
      <c r="PTA54" s="12"/>
      <c r="PTB54" s="12"/>
      <c r="PTC54" s="12"/>
      <c r="PTD54" s="12"/>
      <c r="PTE54" s="12"/>
      <c r="PTF54" s="12"/>
      <c r="PTG54" s="12"/>
      <c r="PTH54" s="12"/>
      <c r="PTI54" s="12"/>
      <c r="PTJ54" s="12"/>
      <c r="PTK54" s="12"/>
      <c r="PTL54" s="12"/>
      <c r="PTM54" s="12"/>
      <c r="PTN54" s="12"/>
      <c r="PTO54" s="12"/>
      <c r="PTP54" s="12"/>
      <c r="PTQ54" s="12"/>
      <c r="PTR54" s="12"/>
      <c r="PTS54" s="12"/>
      <c r="PTT54" s="12"/>
      <c r="PTU54" s="12"/>
      <c r="PTV54" s="12"/>
      <c r="PTW54" s="12"/>
      <c r="PTX54" s="12"/>
      <c r="PTY54" s="12"/>
      <c r="PTZ54" s="12"/>
      <c r="PUA54" s="12"/>
      <c r="PUB54" s="12"/>
      <c r="PUC54" s="12"/>
      <c r="PUD54" s="12"/>
      <c r="PUE54" s="12"/>
      <c r="PUF54" s="12"/>
      <c r="PUG54" s="12"/>
      <c r="PUH54" s="12"/>
      <c r="PUI54" s="12"/>
      <c r="PUJ54" s="12"/>
      <c r="PUK54" s="12"/>
      <c r="PUL54" s="12"/>
      <c r="PUM54" s="12"/>
      <c r="PUN54" s="12"/>
      <c r="PUO54" s="12"/>
      <c r="PUP54" s="12"/>
      <c r="PUQ54" s="12"/>
      <c r="PUR54" s="12"/>
      <c r="PUS54" s="12"/>
      <c r="PUT54" s="12"/>
      <c r="PUU54" s="12"/>
      <c r="PUV54" s="12"/>
      <c r="PUW54" s="12"/>
      <c r="PUX54" s="12"/>
      <c r="PUY54" s="12"/>
      <c r="PUZ54" s="12"/>
      <c r="PVA54" s="12"/>
      <c r="PVB54" s="12"/>
      <c r="PVC54" s="12"/>
      <c r="PVD54" s="12"/>
      <c r="PVE54" s="12"/>
      <c r="PVF54" s="12"/>
      <c r="PVG54" s="12"/>
      <c r="PVH54" s="12"/>
      <c r="PVI54" s="12"/>
      <c r="PVJ54" s="12"/>
      <c r="PVK54" s="12"/>
      <c r="PVL54" s="12"/>
      <c r="PVM54" s="12"/>
      <c r="PVN54" s="12"/>
      <c r="PVO54" s="12"/>
      <c r="PVP54" s="12"/>
      <c r="PVQ54" s="12"/>
      <c r="PVR54" s="12"/>
      <c r="PVS54" s="12"/>
      <c r="PVT54" s="12"/>
      <c r="PVU54" s="12"/>
      <c r="PVV54" s="12"/>
      <c r="PVW54" s="12"/>
      <c r="PVX54" s="12"/>
      <c r="PVY54" s="12"/>
      <c r="PVZ54" s="12"/>
      <c r="PWA54" s="12"/>
      <c r="PWB54" s="12"/>
      <c r="PWC54" s="12"/>
      <c r="PWD54" s="12"/>
      <c r="PWE54" s="12"/>
      <c r="PWF54" s="12"/>
      <c r="PWG54" s="12"/>
      <c r="PWH54" s="12"/>
      <c r="PWI54" s="12"/>
      <c r="PWJ54" s="12"/>
      <c r="PWK54" s="12"/>
      <c r="PWL54" s="12"/>
      <c r="PWM54" s="12"/>
      <c r="PWN54" s="12"/>
      <c r="PWO54" s="12"/>
      <c r="PWP54" s="12"/>
      <c r="PWQ54" s="12"/>
      <c r="PWR54" s="12"/>
      <c r="PWS54" s="12"/>
      <c r="PWT54" s="12"/>
      <c r="PWU54" s="12"/>
      <c r="PWV54" s="12"/>
      <c r="PWW54" s="12"/>
      <c r="PWX54" s="12"/>
      <c r="PWY54" s="12"/>
      <c r="PWZ54" s="12"/>
      <c r="PXA54" s="12"/>
      <c r="PXB54" s="12"/>
      <c r="PXC54" s="12"/>
      <c r="PXD54" s="12"/>
      <c r="PXE54" s="12"/>
      <c r="PXF54" s="12"/>
      <c r="PXG54" s="12"/>
      <c r="PXH54" s="12"/>
      <c r="PXI54" s="12"/>
      <c r="PXJ54" s="12"/>
      <c r="PXK54" s="12"/>
      <c r="PXL54" s="12"/>
      <c r="PXM54" s="12"/>
      <c r="PXN54" s="12"/>
      <c r="PXO54" s="12"/>
      <c r="PXP54" s="12"/>
      <c r="PXQ54" s="12"/>
      <c r="PXR54" s="12"/>
      <c r="PXS54" s="12"/>
      <c r="PXT54" s="12"/>
      <c r="PXU54" s="12"/>
      <c r="PXV54" s="12"/>
      <c r="PXW54" s="12"/>
      <c r="PXX54" s="12"/>
      <c r="PXY54" s="12"/>
      <c r="PXZ54" s="12"/>
      <c r="PYA54" s="12"/>
      <c r="PYB54" s="12"/>
      <c r="PYC54" s="12"/>
      <c r="PYD54" s="12"/>
      <c r="PYE54" s="12"/>
      <c r="PYF54" s="12"/>
      <c r="PYG54" s="12"/>
      <c r="PYH54" s="12"/>
      <c r="PYI54" s="12"/>
      <c r="PYJ54" s="12"/>
      <c r="PYK54" s="12"/>
      <c r="PYL54" s="12"/>
      <c r="PYM54" s="12"/>
      <c r="PYN54" s="12"/>
      <c r="PYO54" s="12"/>
      <c r="PYP54" s="12"/>
      <c r="PYQ54" s="12"/>
      <c r="PYR54" s="12"/>
      <c r="PYS54" s="12"/>
      <c r="PYT54" s="12"/>
      <c r="PYU54" s="12"/>
      <c r="PYV54" s="12"/>
      <c r="PYW54" s="12"/>
      <c r="PYX54" s="12"/>
      <c r="PYY54" s="12"/>
      <c r="PYZ54" s="12"/>
      <c r="PZA54" s="12"/>
      <c r="PZB54" s="12"/>
      <c r="PZC54" s="12"/>
      <c r="PZD54" s="12"/>
      <c r="PZE54" s="12"/>
      <c r="PZF54" s="12"/>
      <c r="PZG54" s="12"/>
      <c r="PZH54" s="12"/>
      <c r="PZI54" s="12"/>
      <c r="PZJ54" s="12"/>
      <c r="PZK54" s="12"/>
      <c r="PZL54" s="12"/>
      <c r="PZM54" s="12"/>
      <c r="PZN54" s="12"/>
      <c r="PZO54" s="12"/>
      <c r="PZP54" s="12"/>
      <c r="PZQ54" s="12"/>
      <c r="PZR54" s="12"/>
      <c r="PZS54" s="12"/>
      <c r="PZT54" s="12"/>
      <c r="PZU54" s="12"/>
      <c r="PZV54" s="12"/>
      <c r="PZW54" s="12"/>
      <c r="PZX54" s="12"/>
      <c r="PZY54" s="12"/>
      <c r="PZZ54" s="12"/>
      <c r="QAA54" s="12"/>
      <c r="QAB54" s="12"/>
      <c r="QAC54" s="12"/>
      <c r="QAD54" s="12"/>
      <c r="QAE54" s="12"/>
      <c r="QAF54" s="12"/>
      <c r="QAG54" s="12"/>
      <c r="QAH54" s="12"/>
      <c r="QAI54" s="12"/>
      <c r="QAJ54" s="12"/>
      <c r="QAK54" s="12"/>
      <c r="QAL54" s="12"/>
      <c r="QAM54" s="12"/>
      <c r="QAN54" s="12"/>
      <c r="QAO54" s="12"/>
      <c r="QAP54" s="12"/>
      <c r="QAQ54" s="12"/>
      <c r="QAR54" s="12"/>
      <c r="QAS54" s="12"/>
      <c r="QAT54" s="12"/>
      <c r="QAU54" s="12"/>
      <c r="QAV54" s="12"/>
      <c r="QAW54" s="12"/>
      <c r="QAX54" s="12"/>
      <c r="QAY54" s="12"/>
      <c r="QAZ54" s="12"/>
      <c r="QBA54" s="12"/>
      <c r="QBB54" s="12"/>
      <c r="QBC54" s="12"/>
      <c r="QBD54" s="12"/>
      <c r="QBE54" s="12"/>
      <c r="QBF54" s="12"/>
      <c r="QBG54" s="12"/>
      <c r="QBH54" s="12"/>
      <c r="QBI54" s="12"/>
      <c r="QBJ54" s="12"/>
      <c r="QBK54" s="12"/>
      <c r="QBL54" s="12"/>
      <c r="QBM54" s="12"/>
      <c r="QBN54" s="12"/>
      <c r="QBO54" s="12"/>
      <c r="QBP54" s="12"/>
      <c r="QBQ54" s="12"/>
      <c r="QBR54" s="12"/>
      <c r="QBS54" s="12"/>
      <c r="QBT54" s="12"/>
      <c r="QBU54" s="12"/>
      <c r="QBV54" s="12"/>
      <c r="QBW54" s="12"/>
      <c r="QBX54" s="12"/>
      <c r="QBY54" s="12"/>
      <c r="QBZ54" s="12"/>
      <c r="QCA54" s="12"/>
      <c r="QCB54" s="12"/>
      <c r="QCC54" s="12"/>
      <c r="QCD54" s="12"/>
      <c r="QCE54" s="12"/>
      <c r="QCF54" s="12"/>
      <c r="QCG54" s="12"/>
      <c r="QCH54" s="12"/>
      <c r="QCI54" s="12"/>
      <c r="QCJ54" s="12"/>
      <c r="QCK54" s="12"/>
      <c r="QCL54" s="12"/>
      <c r="QCM54" s="12"/>
      <c r="QCN54" s="12"/>
      <c r="QCO54" s="12"/>
      <c r="QCP54" s="12"/>
      <c r="QCQ54" s="12"/>
      <c r="QCR54" s="12"/>
      <c r="QCS54" s="12"/>
      <c r="QCT54" s="12"/>
      <c r="QCU54" s="12"/>
      <c r="QCV54" s="12"/>
      <c r="QCW54" s="12"/>
      <c r="QCX54" s="12"/>
      <c r="QCY54" s="12"/>
      <c r="QCZ54" s="12"/>
      <c r="QDA54" s="12"/>
      <c r="QDB54" s="12"/>
      <c r="QDC54" s="12"/>
      <c r="QDD54" s="12"/>
      <c r="QDE54" s="12"/>
      <c r="QDF54" s="12"/>
      <c r="QDG54" s="12"/>
      <c r="QDH54" s="12"/>
      <c r="QDI54" s="12"/>
      <c r="QDJ54" s="12"/>
      <c r="QDK54" s="12"/>
      <c r="QDL54" s="12"/>
      <c r="QDM54" s="12"/>
      <c r="QDN54" s="12"/>
      <c r="QDO54" s="12"/>
      <c r="QDP54" s="12"/>
      <c r="QDQ54" s="12"/>
      <c r="QDR54" s="12"/>
      <c r="QDS54" s="12"/>
      <c r="QDT54" s="12"/>
      <c r="QDU54" s="12"/>
      <c r="QDV54" s="12"/>
      <c r="QDW54" s="12"/>
      <c r="QDX54" s="12"/>
      <c r="QDY54" s="12"/>
      <c r="QDZ54" s="12"/>
      <c r="QEA54" s="12"/>
      <c r="QEB54" s="12"/>
      <c r="QEC54" s="12"/>
      <c r="QED54" s="12"/>
      <c r="QEE54" s="12"/>
      <c r="QEF54" s="12"/>
      <c r="QEG54" s="12"/>
      <c r="QEH54" s="12"/>
      <c r="QEI54" s="12"/>
      <c r="QEJ54" s="12"/>
      <c r="QEK54" s="12"/>
      <c r="QEL54" s="12"/>
      <c r="QEM54" s="12"/>
      <c r="QEN54" s="12"/>
      <c r="QEO54" s="12"/>
      <c r="QEP54" s="12"/>
      <c r="QEQ54" s="12"/>
      <c r="QER54" s="12"/>
      <c r="QES54" s="12"/>
      <c r="QET54" s="12"/>
      <c r="QEU54" s="12"/>
      <c r="QEV54" s="12"/>
      <c r="QEW54" s="12"/>
      <c r="QEX54" s="12"/>
      <c r="QEY54" s="12"/>
      <c r="QEZ54" s="12"/>
      <c r="QFA54" s="12"/>
      <c r="QFB54" s="12"/>
      <c r="QFC54" s="12"/>
      <c r="QFD54" s="12"/>
      <c r="QFE54" s="12"/>
      <c r="QFF54" s="12"/>
      <c r="QFG54" s="12"/>
      <c r="QFH54" s="12"/>
      <c r="QFI54" s="12"/>
      <c r="QFJ54" s="12"/>
      <c r="QFK54" s="12"/>
      <c r="QFL54" s="12"/>
      <c r="QFM54" s="12"/>
      <c r="QFN54" s="12"/>
      <c r="QFO54" s="12"/>
      <c r="QFP54" s="12"/>
      <c r="QFQ54" s="12"/>
      <c r="QFR54" s="12"/>
      <c r="QFS54" s="12"/>
      <c r="QFT54" s="12"/>
      <c r="QFU54" s="12"/>
      <c r="QFV54" s="12"/>
      <c r="QFW54" s="12"/>
      <c r="QFX54" s="12"/>
      <c r="QFY54" s="12"/>
      <c r="QFZ54" s="12"/>
      <c r="QGA54" s="12"/>
      <c r="QGB54" s="12"/>
      <c r="QGC54" s="12"/>
      <c r="QGD54" s="12"/>
      <c r="QGE54" s="12"/>
      <c r="QGF54" s="12"/>
      <c r="QGG54" s="12"/>
      <c r="QGH54" s="12"/>
      <c r="QGI54" s="12"/>
      <c r="QGJ54" s="12"/>
      <c r="QGK54" s="12"/>
      <c r="QGL54" s="12"/>
      <c r="QGM54" s="12"/>
      <c r="QGN54" s="12"/>
      <c r="QGO54" s="12"/>
      <c r="QGP54" s="12"/>
      <c r="QGQ54" s="12"/>
      <c r="QGR54" s="12"/>
      <c r="QGS54" s="12"/>
      <c r="QGT54" s="12"/>
      <c r="QGU54" s="12"/>
      <c r="QGV54" s="12"/>
      <c r="QGW54" s="12"/>
      <c r="QGX54" s="12"/>
      <c r="QGY54" s="12"/>
      <c r="QGZ54" s="12"/>
      <c r="QHA54" s="12"/>
      <c r="QHB54" s="12"/>
      <c r="QHC54" s="12"/>
      <c r="QHD54" s="12"/>
      <c r="QHE54" s="12"/>
      <c r="QHF54" s="12"/>
      <c r="QHG54" s="12"/>
      <c r="QHH54" s="12"/>
      <c r="QHI54" s="12"/>
      <c r="QHJ54" s="12"/>
      <c r="QHK54" s="12"/>
      <c r="QHL54" s="12"/>
      <c r="QHM54" s="12"/>
      <c r="QHN54" s="12"/>
      <c r="QHO54" s="12"/>
      <c r="QHP54" s="12"/>
      <c r="QHQ54" s="12"/>
      <c r="QHR54" s="12"/>
      <c r="QHS54" s="12"/>
      <c r="QHT54" s="12"/>
      <c r="QHU54" s="12"/>
      <c r="QHV54" s="12"/>
      <c r="QHW54" s="12"/>
      <c r="QHX54" s="12"/>
      <c r="QHY54" s="12"/>
      <c r="QHZ54" s="12"/>
      <c r="QIA54" s="12"/>
      <c r="QIB54" s="12"/>
      <c r="QIC54" s="12"/>
      <c r="QID54" s="12"/>
      <c r="QIE54" s="12"/>
      <c r="QIF54" s="12"/>
      <c r="QIG54" s="12"/>
      <c r="QIH54" s="12"/>
      <c r="QII54" s="12"/>
      <c r="QIJ54" s="12"/>
      <c r="QIK54" s="12"/>
      <c r="QIL54" s="12"/>
      <c r="QIM54" s="12"/>
      <c r="QIN54" s="12"/>
      <c r="QIO54" s="12"/>
      <c r="QIP54" s="12"/>
      <c r="QIQ54" s="12"/>
      <c r="QIR54" s="12"/>
      <c r="QIS54" s="12"/>
      <c r="QIT54" s="12"/>
      <c r="QIU54" s="12"/>
      <c r="QIV54" s="12"/>
      <c r="QIW54" s="12"/>
      <c r="QIX54" s="12"/>
      <c r="QIY54" s="12"/>
      <c r="QIZ54" s="12"/>
      <c r="QJA54" s="12"/>
      <c r="QJB54" s="12"/>
      <c r="QJC54" s="12"/>
      <c r="QJD54" s="12"/>
      <c r="QJE54" s="12"/>
      <c r="QJF54" s="12"/>
      <c r="QJG54" s="12"/>
      <c r="QJH54" s="12"/>
      <c r="QJI54" s="12"/>
      <c r="QJJ54" s="12"/>
      <c r="QJK54" s="12"/>
      <c r="QJL54" s="12"/>
      <c r="QJM54" s="12"/>
      <c r="QJN54" s="12"/>
      <c r="QJO54" s="12"/>
      <c r="QJP54" s="12"/>
      <c r="QJQ54" s="12"/>
      <c r="QJR54" s="12"/>
      <c r="QJS54" s="12"/>
      <c r="QJT54" s="12"/>
      <c r="QJU54" s="12"/>
      <c r="QJV54" s="12"/>
      <c r="QJW54" s="12"/>
      <c r="QJX54" s="12"/>
      <c r="QJY54" s="12"/>
      <c r="QJZ54" s="12"/>
      <c r="QKA54" s="12"/>
      <c r="QKB54" s="12"/>
      <c r="QKC54" s="12"/>
      <c r="QKD54" s="12"/>
      <c r="QKE54" s="12"/>
      <c r="QKF54" s="12"/>
      <c r="QKG54" s="12"/>
      <c r="QKH54" s="12"/>
      <c r="QKI54" s="12"/>
      <c r="QKJ54" s="12"/>
      <c r="QKK54" s="12"/>
      <c r="QKL54" s="12"/>
      <c r="QKM54" s="12"/>
      <c r="QKN54" s="12"/>
      <c r="QKO54" s="12"/>
      <c r="QKP54" s="12"/>
      <c r="QKQ54" s="12"/>
      <c r="QKR54" s="12"/>
      <c r="QKS54" s="12"/>
      <c r="QKT54" s="12"/>
      <c r="QKU54" s="12"/>
      <c r="QKV54" s="12"/>
      <c r="QKW54" s="12"/>
      <c r="QKX54" s="12"/>
      <c r="QKY54" s="12"/>
      <c r="QKZ54" s="12"/>
      <c r="QLA54" s="12"/>
      <c r="QLB54" s="12"/>
      <c r="QLC54" s="12"/>
      <c r="QLD54" s="12"/>
      <c r="QLE54" s="12"/>
      <c r="QLF54" s="12"/>
      <c r="QLG54" s="12"/>
      <c r="QLH54" s="12"/>
      <c r="QLI54" s="12"/>
      <c r="QLJ54" s="12"/>
      <c r="QLK54" s="12"/>
      <c r="QLL54" s="12"/>
      <c r="QLM54" s="12"/>
      <c r="QLN54" s="12"/>
      <c r="QLO54" s="12"/>
      <c r="QLP54" s="12"/>
      <c r="QLQ54" s="12"/>
      <c r="QLR54" s="12"/>
      <c r="QLS54" s="12"/>
      <c r="QLT54" s="12"/>
      <c r="QLU54" s="12"/>
      <c r="QLV54" s="12"/>
      <c r="QLW54" s="12"/>
      <c r="QLX54" s="12"/>
      <c r="QLY54" s="12"/>
      <c r="QLZ54" s="12"/>
      <c r="QMA54" s="12"/>
      <c r="QMB54" s="12"/>
      <c r="QMC54" s="12"/>
      <c r="QMD54" s="12"/>
      <c r="QME54" s="12"/>
      <c r="QMF54" s="12"/>
      <c r="QMG54" s="12"/>
      <c r="QMH54" s="12"/>
      <c r="QMI54" s="12"/>
      <c r="QMJ54" s="12"/>
      <c r="QMK54" s="12"/>
      <c r="QML54" s="12"/>
      <c r="QMM54" s="12"/>
      <c r="QMN54" s="12"/>
      <c r="QMO54" s="12"/>
      <c r="QMP54" s="12"/>
      <c r="QMQ54" s="12"/>
      <c r="QMR54" s="12"/>
      <c r="QMS54" s="12"/>
      <c r="QMT54" s="12"/>
      <c r="QMU54" s="12"/>
      <c r="QMV54" s="12"/>
      <c r="QMW54" s="12"/>
      <c r="QMX54" s="12"/>
      <c r="QMY54" s="12"/>
      <c r="QMZ54" s="12"/>
      <c r="QNA54" s="12"/>
      <c r="QNB54" s="12"/>
      <c r="QNC54" s="12"/>
      <c r="QND54" s="12"/>
      <c r="QNE54" s="12"/>
      <c r="QNF54" s="12"/>
      <c r="QNG54" s="12"/>
      <c r="QNH54" s="12"/>
      <c r="QNI54" s="12"/>
      <c r="QNJ54" s="12"/>
      <c r="QNK54" s="12"/>
      <c r="QNL54" s="12"/>
      <c r="QNM54" s="12"/>
      <c r="QNN54" s="12"/>
      <c r="QNO54" s="12"/>
      <c r="QNP54" s="12"/>
      <c r="QNQ54" s="12"/>
      <c r="QNR54" s="12"/>
      <c r="QNS54" s="12"/>
      <c r="QNT54" s="12"/>
      <c r="QNU54" s="12"/>
      <c r="QNV54" s="12"/>
      <c r="QNW54" s="12"/>
      <c r="QNX54" s="12"/>
      <c r="QNY54" s="12"/>
      <c r="QNZ54" s="12"/>
      <c r="QOA54" s="12"/>
      <c r="QOB54" s="12"/>
      <c r="QOC54" s="12"/>
      <c r="QOD54" s="12"/>
      <c r="QOE54" s="12"/>
      <c r="QOF54" s="12"/>
      <c r="QOG54" s="12"/>
      <c r="QOH54" s="12"/>
      <c r="QOI54" s="12"/>
      <c r="QOJ54" s="12"/>
      <c r="QOK54" s="12"/>
      <c r="QOL54" s="12"/>
      <c r="QOM54" s="12"/>
      <c r="QON54" s="12"/>
      <c r="QOO54" s="12"/>
      <c r="QOP54" s="12"/>
      <c r="QOQ54" s="12"/>
      <c r="QOR54" s="12"/>
      <c r="QOS54" s="12"/>
      <c r="QOT54" s="12"/>
      <c r="QOU54" s="12"/>
      <c r="QOV54" s="12"/>
      <c r="QOW54" s="12"/>
      <c r="QOX54" s="12"/>
      <c r="QOY54" s="12"/>
      <c r="QOZ54" s="12"/>
      <c r="QPA54" s="12"/>
      <c r="QPB54" s="12"/>
      <c r="QPC54" s="12"/>
      <c r="QPD54" s="12"/>
      <c r="QPE54" s="12"/>
      <c r="QPF54" s="12"/>
      <c r="QPG54" s="12"/>
      <c r="QPH54" s="12"/>
      <c r="QPI54" s="12"/>
      <c r="QPJ54" s="12"/>
      <c r="QPK54" s="12"/>
      <c r="QPL54" s="12"/>
      <c r="QPM54" s="12"/>
      <c r="QPN54" s="12"/>
      <c r="QPO54" s="12"/>
      <c r="QPP54" s="12"/>
      <c r="QPQ54" s="12"/>
      <c r="QPR54" s="12"/>
      <c r="QPS54" s="12"/>
      <c r="QPT54" s="12"/>
      <c r="QPU54" s="12"/>
      <c r="QPV54" s="12"/>
      <c r="QPW54" s="12"/>
      <c r="QPX54" s="12"/>
      <c r="QPY54" s="12"/>
      <c r="QPZ54" s="12"/>
      <c r="QQA54" s="12"/>
      <c r="QQB54" s="12"/>
      <c r="QQC54" s="12"/>
      <c r="QQD54" s="12"/>
      <c r="QQE54" s="12"/>
      <c r="QQF54" s="12"/>
      <c r="QQG54" s="12"/>
      <c r="QQH54" s="12"/>
      <c r="QQI54" s="12"/>
      <c r="QQJ54" s="12"/>
      <c r="QQK54" s="12"/>
      <c r="QQL54" s="12"/>
      <c r="QQM54" s="12"/>
      <c r="QQN54" s="12"/>
      <c r="QQO54" s="12"/>
      <c r="QQP54" s="12"/>
      <c r="QQQ54" s="12"/>
      <c r="QQR54" s="12"/>
      <c r="QQS54" s="12"/>
      <c r="QQT54" s="12"/>
      <c r="QQU54" s="12"/>
      <c r="QQV54" s="12"/>
      <c r="QQW54" s="12"/>
      <c r="QQX54" s="12"/>
      <c r="QQY54" s="12"/>
      <c r="QQZ54" s="12"/>
      <c r="QRA54" s="12"/>
      <c r="QRB54" s="12"/>
      <c r="QRC54" s="12"/>
      <c r="QRD54" s="12"/>
      <c r="QRE54" s="12"/>
      <c r="QRF54" s="12"/>
      <c r="QRG54" s="12"/>
      <c r="QRH54" s="12"/>
      <c r="QRI54" s="12"/>
      <c r="QRJ54" s="12"/>
      <c r="QRK54" s="12"/>
      <c r="QRL54" s="12"/>
      <c r="QRM54" s="12"/>
      <c r="QRN54" s="12"/>
      <c r="QRO54" s="12"/>
      <c r="QRP54" s="12"/>
      <c r="QRQ54" s="12"/>
      <c r="QRR54" s="12"/>
      <c r="QRS54" s="12"/>
      <c r="QRT54" s="12"/>
      <c r="QRU54" s="12"/>
      <c r="QRV54" s="12"/>
      <c r="QRW54" s="12"/>
      <c r="QRX54" s="12"/>
      <c r="QRY54" s="12"/>
      <c r="QRZ54" s="12"/>
      <c r="QSA54" s="12"/>
      <c r="QSB54" s="12"/>
      <c r="QSC54" s="12"/>
      <c r="QSD54" s="12"/>
      <c r="QSE54" s="12"/>
      <c r="QSF54" s="12"/>
      <c r="QSG54" s="12"/>
      <c r="QSH54" s="12"/>
      <c r="QSI54" s="12"/>
      <c r="QSJ54" s="12"/>
      <c r="QSK54" s="12"/>
      <c r="QSL54" s="12"/>
      <c r="QSM54" s="12"/>
      <c r="QSN54" s="12"/>
      <c r="QSO54" s="12"/>
      <c r="QSP54" s="12"/>
      <c r="QSQ54" s="12"/>
      <c r="QSR54" s="12"/>
      <c r="QSS54" s="12"/>
      <c r="QST54" s="12"/>
      <c r="QSU54" s="12"/>
      <c r="QSV54" s="12"/>
      <c r="QSW54" s="12"/>
      <c r="QSX54" s="12"/>
      <c r="QSY54" s="12"/>
      <c r="QSZ54" s="12"/>
      <c r="QTA54" s="12"/>
      <c r="QTB54" s="12"/>
      <c r="QTC54" s="12"/>
      <c r="QTD54" s="12"/>
      <c r="QTE54" s="12"/>
      <c r="QTF54" s="12"/>
      <c r="QTG54" s="12"/>
      <c r="QTH54" s="12"/>
      <c r="QTI54" s="12"/>
      <c r="QTJ54" s="12"/>
      <c r="QTK54" s="12"/>
      <c r="QTL54" s="12"/>
      <c r="QTM54" s="12"/>
      <c r="QTN54" s="12"/>
      <c r="QTO54" s="12"/>
      <c r="QTP54" s="12"/>
      <c r="QTQ54" s="12"/>
      <c r="QTR54" s="12"/>
      <c r="QTS54" s="12"/>
      <c r="QTT54" s="12"/>
      <c r="QTU54" s="12"/>
      <c r="QTV54" s="12"/>
      <c r="QTW54" s="12"/>
      <c r="QTX54" s="12"/>
      <c r="QTY54" s="12"/>
      <c r="QTZ54" s="12"/>
      <c r="QUA54" s="12"/>
      <c r="QUB54" s="12"/>
      <c r="QUC54" s="12"/>
      <c r="QUD54" s="12"/>
      <c r="QUE54" s="12"/>
      <c r="QUF54" s="12"/>
      <c r="QUG54" s="12"/>
      <c r="QUH54" s="12"/>
      <c r="QUI54" s="12"/>
      <c r="QUJ54" s="12"/>
      <c r="QUK54" s="12"/>
      <c r="QUL54" s="12"/>
      <c r="QUM54" s="12"/>
      <c r="QUN54" s="12"/>
      <c r="QUO54" s="12"/>
      <c r="QUP54" s="12"/>
      <c r="QUQ54" s="12"/>
      <c r="QUR54" s="12"/>
      <c r="QUS54" s="12"/>
      <c r="QUT54" s="12"/>
      <c r="QUU54" s="12"/>
      <c r="QUV54" s="12"/>
      <c r="QUW54" s="12"/>
      <c r="QUX54" s="12"/>
      <c r="QUY54" s="12"/>
      <c r="QUZ54" s="12"/>
      <c r="QVA54" s="12"/>
      <c r="QVB54" s="12"/>
      <c r="QVC54" s="12"/>
      <c r="QVD54" s="12"/>
      <c r="QVE54" s="12"/>
      <c r="QVF54" s="12"/>
      <c r="QVG54" s="12"/>
      <c r="QVH54" s="12"/>
      <c r="QVI54" s="12"/>
      <c r="QVJ54" s="12"/>
      <c r="QVK54" s="12"/>
      <c r="QVL54" s="12"/>
      <c r="QVM54" s="12"/>
      <c r="QVN54" s="12"/>
      <c r="QVO54" s="12"/>
      <c r="QVP54" s="12"/>
      <c r="QVQ54" s="12"/>
      <c r="QVR54" s="12"/>
      <c r="QVS54" s="12"/>
      <c r="QVT54" s="12"/>
      <c r="QVU54" s="12"/>
      <c r="QVV54" s="12"/>
      <c r="QVW54" s="12"/>
      <c r="QVX54" s="12"/>
      <c r="QVY54" s="12"/>
      <c r="QVZ54" s="12"/>
      <c r="QWA54" s="12"/>
      <c r="QWB54" s="12"/>
      <c r="QWC54" s="12"/>
      <c r="QWD54" s="12"/>
      <c r="QWE54" s="12"/>
      <c r="QWF54" s="12"/>
      <c r="QWG54" s="12"/>
      <c r="QWH54" s="12"/>
      <c r="QWI54" s="12"/>
      <c r="QWJ54" s="12"/>
      <c r="QWK54" s="12"/>
      <c r="QWL54" s="12"/>
      <c r="QWM54" s="12"/>
      <c r="QWN54" s="12"/>
      <c r="QWO54" s="12"/>
      <c r="QWP54" s="12"/>
      <c r="QWQ54" s="12"/>
      <c r="QWR54" s="12"/>
      <c r="QWS54" s="12"/>
      <c r="QWT54" s="12"/>
      <c r="QWU54" s="12"/>
      <c r="QWV54" s="12"/>
      <c r="QWW54" s="12"/>
      <c r="QWX54" s="12"/>
      <c r="QWY54" s="12"/>
      <c r="QWZ54" s="12"/>
      <c r="QXA54" s="12"/>
      <c r="QXB54" s="12"/>
      <c r="QXC54" s="12"/>
      <c r="QXD54" s="12"/>
      <c r="QXE54" s="12"/>
      <c r="QXF54" s="12"/>
      <c r="QXG54" s="12"/>
      <c r="QXH54" s="12"/>
      <c r="QXI54" s="12"/>
      <c r="QXJ54" s="12"/>
      <c r="QXK54" s="12"/>
      <c r="QXL54" s="12"/>
      <c r="QXM54" s="12"/>
      <c r="QXN54" s="12"/>
      <c r="QXO54" s="12"/>
      <c r="QXP54" s="12"/>
      <c r="QXQ54" s="12"/>
      <c r="QXR54" s="12"/>
      <c r="QXS54" s="12"/>
      <c r="QXT54" s="12"/>
      <c r="QXU54" s="12"/>
      <c r="QXV54" s="12"/>
      <c r="QXW54" s="12"/>
      <c r="QXX54" s="12"/>
      <c r="QXY54" s="12"/>
      <c r="QXZ54" s="12"/>
      <c r="QYA54" s="12"/>
      <c r="QYB54" s="12"/>
      <c r="QYC54" s="12"/>
      <c r="QYD54" s="12"/>
      <c r="QYE54" s="12"/>
      <c r="QYF54" s="12"/>
      <c r="QYG54" s="12"/>
      <c r="QYH54" s="12"/>
      <c r="QYI54" s="12"/>
      <c r="QYJ54" s="12"/>
      <c r="QYK54" s="12"/>
      <c r="QYL54" s="12"/>
      <c r="QYM54" s="12"/>
      <c r="QYN54" s="12"/>
      <c r="QYO54" s="12"/>
      <c r="QYP54" s="12"/>
      <c r="QYQ54" s="12"/>
      <c r="QYR54" s="12"/>
      <c r="QYS54" s="12"/>
      <c r="QYT54" s="12"/>
      <c r="QYU54" s="12"/>
      <c r="QYV54" s="12"/>
      <c r="QYW54" s="12"/>
      <c r="QYX54" s="12"/>
      <c r="QYY54" s="12"/>
      <c r="QYZ54" s="12"/>
      <c r="QZA54" s="12"/>
      <c r="QZB54" s="12"/>
      <c r="QZC54" s="12"/>
      <c r="QZD54" s="12"/>
      <c r="QZE54" s="12"/>
      <c r="QZF54" s="12"/>
      <c r="QZG54" s="12"/>
      <c r="QZH54" s="12"/>
      <c r="QZI54" s="12"/>
      <c r="QZJ54" s="12"/>
      <c r="QZK54" s="12"/>
      <c r="QZL54" s="12"/>
      <c r="QZM54" s="12"/>
      <c r="QZN54" s="12"/>
      <c r="QZO54" s="12"/>
      <c r="QZP54" s="12"/>
      <c r="QZQ54" s="12"/>
      <c r="QZR54" s="12"/>
      <c r="QZS54" s="12"/>
      <c r="QZT54" s="12"/>
      <c r="QZU54" s="12"/>
      <c r="QZV54" s="12"/>
      <c r="QZW54" s="12"/>
      <c r="QZX54" s="12"/>
      <c r="QZY54" s="12"/>
      <c r="QZZ54" s="12"/>
      <c r="RAA54" s="12"/>
      <c r="RAB54" s="12"/>
      <c r="RAC54" s="12"/>
      <c r="RAD54" s="12"/>
      <c r="RAE54" s="12"/>
      <c r="RAF54" s="12"/>
      <c r="RAG54" s="12"/>
      <c r="RAH54" s="12"/>
      <c r="RAI54" s="12"/>
      <c r="RAJ54" s="12"/>
      <c r="RAK54" s="12"/>
      <c r="RAL54" s="12"/>
      <c r="RAM54" s="12"/>
      <c r="RAN54" s="12"/>
      <c r="RAO54" s="12"/>
      <c r="RAP54" s="12"/>
      <c r="RAQ54" s="12"/>
      <c r="RAR54" s="12"/>
      <c r="RAS54" s="12"/>
      <c r="RAT54" s="12"/>
      <c r="RAU54" s="12"/>
      <c r="RAV54" s="12"/>
      <c r="RAW54" s="12"/>
      <c r="RAX54" s="12"/>
      <c r="RAY54" s="12"/>
      <c r="RAZ54" s="12"/>
      <c r="RBA54" s="12"/>
      <c r="RBB54" s="12"/>
      <c r="RBC54" s="12"/>
      <c r="RBD54" s="12"/>
      <c r="RBE54" s="12"/>
      <c r="RBF54" s="12"/>
      <c r="RBG54" s="12"/>
      <c r="RBH54" s="12"/>
      <c r="RBI54" s="12"/>
      <c r="RBJ54" s="12"/>
      <c r="RBK54" s="12"/>
      <c r="RBL54" s="12"/>
      <c r="RBM54" s="12"/>
      <c r="RBN54" s="12"/>
      <c r="RBO54" s="12"/>
      <c r="RBP54" s="12"/>
      <c r="RBQ54" s="12"/>
      <c r="RBR54" s="12"/>
      <c r="RBS54" s="12"/>
      <c r="RBT54" s="12"/>
      <c r="RBU54" s="12"/>
      <c r="RBV54" s="12"/>
      <c r="RBW54" s="12"/>
      <c r="RBX54" s="12"/>
      <c r="RBY54" s="12"/>
      <c r="RBZ54" s="12"/>
      <c r="RCA54" s="12"/>
      <c r="RCB54" s="12"/>
      <c r="RCC54" s="12"/>
      <c r="RCD54" s="12"/>
      <c r="RCE54" s="12"/>
      <c r="RCF54" s="12"/>
      <c r="RCG54" s="12"/>
      <c r="RCH54" s="12"/>
      <c r="RCI54" s="12"/>
      <c r="RCJ54" s="12"/>
      <c r="RCK54" s="12"/>
      <c r="RCL54" s="12"/>
      <c r="RCM54" s="12"/>
      <c r="RCN54" s="12"/>
      <c r="RCO54" s="12"/>
      <c r="RCP54" s="12"/>
      <c r="RCQ54" s="12"/>
      <c r="RCR54" s="12"/>
      <c r="RCS54" s="12"/>
      <c r="RCT54" s="12"/>
      <c r="RCU54" s="12"/>
      <c r="RCV54" s="12"/>
      <c r="RCW54" s="12"/>
      <c r="RCX54" s="12"/>
      <c r="RCY54" s="12"/>
      <c r="RCZ54" s="12"/>
      <c r="RDA54" s="12"/>
      <c r="RDB54" s="12"/>
      <c r="RDC54" s="12"/>
      <c r="RDD54" s="12"/>
      <c r="RDE54" s="12"/>
      <c r="RDF54" s="12"/>
      <c r="RDG54" s="12"/>
      <c r="RDH54" s="12"/>
      <c r="RDI54" s="12"/>
      <c r="RDJ54" s="12"/>
      <c r="RDK54" s="12"/>
      <c r="RDL54" s="12"/>
      <c r="RDM54" s="12"/>
      <c r="RDN54" s="12"/>
      <c r="RDO54" s="12"/>
      <c r="RDP54" s="12"/>
      <c r="RDQ54" s="12"/>
      <c r="RDR54" s="12"/>
      <c r="RDS54" s="12"/>
      <c r="RDT54" s="12"/>
      <c r="RDU54" s="12"/>
      <c r="RDV54" s="12"/>
      <c r="RDW54" s="12"/>
      <c r="RDX54" s="12"/>
      <c r="RDY54" s="12"/>
      <c r="RDZ54" s="12"/>
      <c r="REA54" s="12"/>
      <c r="REB54" s="12"/>
      <c r="REC54" s="12"/>
      <c r="RED54" s="12"/>
      <c r="REE54" s="12"/>
      <c r="REF54" s="12"/>
      <c r="REG54" s="12"/>
      <c r="REH54" s="12"/>
      <c r="REI54" s="12"/>
      <c r="REJ54" s="12"/>
      <c r="REK54" s="12"/>
      <c r="REL54" s="12"/>
      <c r="REM54" s="12"/>
      <c r="REN54" s="12"/>
      <c r="REO54" s="12"/>
      <c r="REP54" s="12"/>
      <c r="REQ54" s="12"/>
      <c r="RER54" s="12"/>
      <c r="RES54" s="12"/>
      <c r="RET54" s="12"/>
      <c r="REU54" s="12"/>
      <c r="REV54" s="12"/>
      <c r="REW54" s="12"/>
      <c r="REX54" s="12"/>
      <c r="REY54" s="12"/>
      <c r="REZ54" s="12"/>
      <c r="RFA54" s="12"/>
      <c r="RFB54" s="12"/>
      <c r="RFC54" s="12"/>
      <c r="RFD54" s="12"/>
      <c r="RFE54" s="12"/>
      <c r="RFF54" s="12"/>
      <c r="RFG54" s="12"/>
      <c r="RFH54" s="12"/>
      <c r="RFI54" s="12"/>
      <c r="RFJ54" s="12"/>
      <c r="RFK54" s="12"/>
      <c r="RFL54" s="12"/>
      <c r="RFM54" s="12"/>
      <c r="RFN54" s="12"/>
      <c r="RFO54" s="12"/>
      <c r="RFP54" s="12"/>
      <c r="RFQ54" s="12"/>
      <c r="RFR54" s="12"/>
      <c r="RFS54" s="12"/>
      <c r="RFT54" s="12"/>
      <c r="RFU54" s="12"/>
      <c r="RFV54" s="12"/>
      <c r="RFW54" s="12"/>
      <c r="RFX54" s="12"/>
      <c r="RFY54" s="12"/>
      <c r="RFZ54" s="12"/>
      <c r="RGA54" s="12"/>
      <c r="RGB54" s="12"/>
      <c r="RGC54" s="12"/>
      <c r="RGD54" s="12"/>
      <c r="RGE54" s="12"/>
      <c r="RGF54" s="12"/>
      <c r="RGG54" s="12"/>
      <c r="RGH54" s="12"/>
      <c r="RGI54" s="12"/>
      <c r="RGJ54" s="12"/>
      <c r="RGK54" s="12"/>
      <c r="RGL54" s="12"/>
      <c r="RGM54" s="12"/>
      <c r="RGN54" s="12"/>
      <c r="RGO54" s="12"/>
      <c r="RGP54" s="12"/>
      <c r="RGQ54" s="12"/>
      <c r="RGR54" s="12"/>
      <c r="RGS54" s="12"/>
      <c r="RGT54" s="12"/>
      <c r="RGU54" s="12"/>
      <c r="RGV54" s="12"/>
      <c r="RGW54" s="12"/>
      <c r="RGX54" s="12"/>
      <c r="RGY54" s="12"/>
      <c r="RGZ54" s="12"/>
      <c r="RHA54" s="12"/>
      <c r="RHB54" s="12"/>
      <c r="RHC54" s="12"/>
      <c r="RHD54" s="12"/>
      <c r="RHE54" s="12"/>
      <c r="RHF54" s="12"/>
      <c r="RHG54" s="12"/>
      <c r="RHH54" s="12"/>
      <c r="RHI54" s="12"/>
      <c r="RHJ54" s="12"/>
      <c r="RHK54" s="12"/>
      <c r="RHL54" s="12"/>
      <c r="RHM54" s="12"/>
      <c r="RHN54" s="12"/>
      <c r="RHO54" s="12"/>
      <c r="RHP54" s="12"/>
      <c r="RHQ54" s="12"/>
      <c r="RHR54" s="12"/>
      <c r="RHS54" s="12"/>
      <c r="RHT54" s="12"/>
      <c r="RHU54" s="12"/>
      <c r="RHV54" s="12"/>
      <c r="RHW54" s="12"/>
      <c r="RHX54" s="12"/>
      <c r="RHY54" s="12"/>
      <c r="RHZ54" s="12"/>
      <c r="RIA54" s="12"/>
      <c r="RIB54" s="12"/>
      <c r="RIC54" s="12"/>
      <c r="RID54" s="12"/>
      <c r="RIE54" s="12"/>
      <c r="RIF54" s="12"/>
      <c r="RIG54" s="12"/>
      <c r="RIH54" s="12"/>
      <c r="RII54" s="12"/>
      <c r="RIJ54" s="12"/>
      <c r="RIK54" s="12"/>
      <c r="RIL54" s="12"/>
      <c r="RIM54" s="12"/>
      <c r="RIN54" s="12"/>
      <c r="RIO54" s="12"/>
      <c r="RIP54" s="12"/>
      <c r="RIQ54" s="12"/>
      <c r="RIR54" s="12"/>
      <c r="RIS54" s="12"/>
      <c r="RIT54" s="12"/>
      <c r="RIU54" s="12"/>
      <c r="RIV54" s="12"/>
      <c r="RIW54" s="12"/>
      <c r="RIX54" s="12"/>
      <c r="RIY54" s="12"/>
      <c r="RIZ54" s="12"/>
      <c r="RJA54" s="12"/>
      <c r="RJB54" s="12"/>
      <c r="RJC54" s="12"/>
      <c r="RJD54" s="12"/>
      <c r="RJE54" s="12"/>
      <c r="RJF54" s="12"/>
      <c r="RJG54" s="12"/>
      <c r="RJH54" s="12"/>
      <c r="RJI54" s="12"/>
      <c r="RJJ54" s="12"/>
      <c r="RJK54" s="12"/>
      <c r="RJL54" s="12"/>
      <c r="RJM54" s="12"/>
      <c r="RJN54" s="12"/>
      <c r="RJO54" s="12"/>
      <c r="RJP54" s="12"/>
      <c r="RJQ54" s="12"/>
      <c r="RJR54" s="12"/>
      <c r="RJS54" s="12"/>
      <c r="RJT54" s="12"/>
      <c r="RJU54" s="12"/>
      <c r="RJV54" s="12"/>
      <c r="RJW54" s="12"/>
      <c r="RJX54" s="12"/>
      <c r="RJY54" s="12"/>
      <c r="RJZ54" s="12"/>
      <c r="RKA54" s="12"/>
      <c r="RKB54" s="12"/>
      <c r="RKC54" s="12"/>
      <c r="RKD54" s="12"/>
      <c r="RKE54" s="12"/>
      <c r="RKF54" s="12"/>
      <c r="RKG54" s="12"/>
      <c r="RKH54" s="12"/>
      <c r="RKI54" s="12"/>
      <c r="RKJ54" s="12"/>
      <c r="RKK54" s="12"/>
      <c r="RKL54" s="12"/>
      <c r="RKM54" s="12"/>
      <c r="RKN54" s="12"/>
      <c r="RKO54" s="12"/>
      <c r="RKP54" s="12"/>
      <c r="RKQ54" s="12"/>
      <c r="RKR54" s="12"/>
      <c r="RKS54" s="12"/>
      <c r="RKT54" s="12"/>
      <c r="RKU54" s="12"/>
      <c r="RKV54" s="12"/>
      <c r="RKW54" s="12"/>
      <c r="RKX54" s="12"/>
      <c r="RKY54" s="12"/>
      <c r="RKZ54" s="12"/>
      <c r="RLA54" s="12"/>
      <c r="RLB54" s="12"/>
      <c r="RLC54" s="12"/>
      <c r="RLD54" s="12"/>
      <c r="RLE54" s="12"/>
      <c r="RLF54" s="12"/>
      <c r="RLG54" s="12"/>
      <c r="RLH54" s="12"/>
      <c r="RLI54" s="12"/>
      <c r="RLJ54" s="12"/>
      <c r="RLK54" s="12"/>
      <c r="RLL54" s="12"/>
      <c r="RLM54" s="12"/>
      <c r="RLN54" s="12"/>
      <c r="RLO54" s="12"/>
      <c r="RLP54" s="12"/>
      <c r="RLQ54" s="12"/>
      <c r="RLR54" s="12"/>
      <c r="RLS54" s="12"/>
      <c r="RLT54" s="12"/>
      <c r="RLU54" s="12"/>
      <c r="RLV54" s="12"/>
      <c r="RLW54" s="12"/>
      <c r="RLX54" s="12"/>
      <c r="RLY54" s="12"/>
      <c r="RLZ54" s="12"/>
      <c r="RMA54" s="12"/>
      <c r="RMB54" s="12"/>
      <c r="RMC54" s="12"/>
      <c r="RMD54" s="12"/>
      <c r="RME54" s="12"/>
      <c r="RMF54" s="12"/>
      <c r="RMG54" s="12"/>
      <c r="RMH54" s="12"/>
      <c r="RMI54" s="12"/>
      <c r="RMJ54" s="12"/>
      <c r="RMK54" s="12"/>
      <c r="RML54" s="12"/>
      <c r="RMM54" s="12"/>
      <c r="RMN54" s="12"/>
      <c r="RMO54" s="12"/>
      <c r="RMP54" s="12"/>
      <c r="RMQ54" s="12"/>
      <c r="RMR54" s="12"/>
      <c r="RMS54" s="12"/>
      <c r="RMT54" s="12"/>
      <c r="RMU54" s="12"/>
      <c r="RMV54" s="12"/>
      <c r="RMW54" s="12"/>
      <c r="RMX54" s="12"/>
      <c r="RMY54" s="12"/>
      <c r="RMZ54" s="12"/>
      <c r="RNA54" s="12"/>
      <c r="RNB54" s="12"/>
      <c r="RNC54" s="12"/>
      <c r="RND54" s="12"/>
      <c r="RNE54" s="12"/>
      <c r="RNF54" s="12"/>
      <c r="RNG54" s="12"/>
      <c r="RNH54" s="12"/>
      <c r="RNI54" s="12"/>
      <c r="RNJ54" s="12"/>
      <c r="RNK54" s="12"/>
      <c r="RNL54" s="12"/>
      <c r="RNM54" s="12"/>
      <c r="RNN54" s="12"/>
      <c r="RNO54" s="12"/>
      <c r="RNP54" s="12"/>
      <c r="RNQ54" s="12"/>
      <c r="RNR54" s="12"/>
      <c r="RNS54" s="12"/>
      <c r="RNT54" s="12"/>
      <c r="RNU54" s="12"/>
      <c r="RNV54" s="12"/>
      <c r="RNW54" s="12"/>
      <c r="RNX54" s="12"/>
      <c r="RNY54" s="12"/>
      <c r="RNZ54" s="12"/>
      <c r="ROA54" s="12"/>
      <c r="ROB54" s="12"/>
      <c r="ROC54" s="12"/>
      <c r="ROD54" s="12"/>
      <c r="ROE54" s="12"/>
      <c r="ROF54" s="12"/>
      <c r="ROG54" s="12"/>
      <c r="ROH54" s="12"/>
      <c r="ROI54" s="12"/>
      <c r="ROJ54" s="12"/>
      <c r="ROK54" s="12"/>
      <c r="ROL54" s="12"/>
      <c r="ROM54" s="12"/>
      <c r="RON54" s="12"/>
      <c r="ROO54" s="12"/>
      <c r="ROP54" s="12"/>
      <c r="ROQ54" s="12"/>
      <c r="ROR54" s="12"/>
      <c r="ROS54" s="12"/>
      <c r="ROT54" s="12"/>
      <c r="ROU54" s="12"/>
      <c r="ROV54" s="12"/>
      <c r="ROW54" s="12"/>
      <c r="ROX54" s="12"/>
      <c r="ROY54" s="12"/>
      <c r="ROZ54" s="12"/>
      <c r="RPA54" s="12"/>
      <c r="RPB54" s="12"/>
      <c r="RPC54" s="12"/>
      <c r="RPD54" s="12"/>
      <c r="RPE54" s="12"/>
      <c r="RPF54" s="12"/>
      <c r="RPG54" s="12"/>
      <c r="RPH54" s="12"/>
      <c r="RPI54" s="12"/>
      <c r="RPJ54" s="12"/>
      <c r="RPK54" s="12"/>
      <c r="RPL54" s="12"/>
      <c r="RPM54" s="12"/>
      <c r="RPN54" s="12"/>
      <c r="RPO54" s="12"/>
      <c r="RPP54" s="12"/>
      <c r="RPQ54" s="12"/>
      <c r="RPR54" s="12"/>
      <c r="RPS54" s="12"/>
      <c r="RPT54" s="12"/>
      <c r="RPU54" s="12"/>
      <c r="RPV54" s="12"/>
      <c r="RPW54" s="12"/>
      <c r="RPX54" s="12"/>
      <c r="RPY54" s="12"/>
      <c r="RPZ54" s="12"/>
      <c r="RQA54" s="12"/>
      <c r="RQB54" s="12"/>
      <c r="RQC54" s="12"/>
      <c r="RQD54" s="12"/>
      <c r="RQE54" s="12"/>
      <c r="RQF54" s="12"/>
      <c r="RQG54" s="12"/>
      <c r="RQH54" s="12"/>
      <c r="RQI54" s="12"/>
      <c r="RQJ54" s="12"/>
      <c r="RQK54" s="12"/>
      <c r="RQL54" s="12"/>
      <c r="RQM54" s="12"/>
      <c r="RQN54" s="12"/>
      <c r="RQO54" s="12"/>
      <c r="RQP54" s="12"/>
      <c r="RQQ54" s="12"/>
      <c r="RQR54" s="12"/>
      <c r="RQS54" s="12"/>
      <c r="RQT54" s="12"/>
      <c r="RQU54" s="12"/>
      <c r="RQV54" s="12"/>
      <c r="RQW54" s="12"/>
      <c r="RQX54" s="12"/>
      <c r="RQY54" s="12"/>
      <c r="RQZ54" s="12"/>
      <c r="RRA54" s="12"/>
      <c r="RRB54" s="12"/>
      <c r="RRC54" s="12"/>
      <c r="RRD54" s="12"/>
      <c r="RRE54" s="12"/>
      <c r="RRF54" s="12"/>
      <c r="RRG54" s="12"/>
      <c r="RRH54" s="12"/>
      <c r="RRI54" s="12"/>
      <c r="RRJ54" s="12"/>
      <c r="RRK54" s="12"/>
      <c r="RRL54" s="12"/>
      <c r="RRM54" s="12"/>
      <c r="RRN54" s="12"/>
      <c r="RRO54" s="12"/>
      <c r="RRP54" s="12"/>
      <c r="RRQ54" s="12"/>
      <c r="RRR54" s="12"/>
      <c r="RRS54" s="12"/>
      <c r="RRT54" s="12"/>
      <c r="RRU54" s="12"/>
      <c r="RRV54" s="12"/>
      <c r="RRW54" s="12"/>
      <c r="RRX54" s="12"/>
      <c r="RRY54" s="12"/>
      <c r="RRZ54" s="12"/>
      <c r="RSA54" s="12"/>
      <c r="RSB54" s="12"/>
      <c r="RSC54" s="12"/>
      <c r="RSD54" s="12"/>
      <c r="RSE54" s="12"/>
      <c r="RSF54" s="12"/>
      <c r="RSG54" s="12"/>
      <c r="RSH54" s="12"/>
      <c r="RSI54" s="12"/>
      <c r="RSJ54" s="12"/>
      <c r="RSK54" s="12"/>
      <c r="RSL54" s="12"/>
      <c r="RSM54" s="12"/>
      <c r="RSN54" s="12"/>
      <c r="RSO54" s="12"/>
      <c r="RSP54" s="12"/>
      <c r="RSQ54" s="12"/>
      <c r="RSR54" s="12"/>
      <c r="RSS54" s="12"/>
      <c r="RST54" s="12"/>
      <c r="RSU54" s="12"/>
      <c r="RSV54" s="12"/>
      <c r="RSW54" s="12"/>
      <c r="RSX54" s="12"/>
      <c r="RSY54" s="12"/>
      <c r="RSZ54" s="12"/>
      <c r="RTA54" s="12"/>
      <c r="RTB54" s="12"/>
      <c r="RTC54" s="12"/>
      <c r="RTD54" s="12"/>
      <c r="RTE54" s="12"/>
      <c r="RTF54" s="12"/>
      <c r="RTG54" s="12"/>
      <c r="RTH54" s="12"/>
      <c r="RTI54" s="12"/>
      <c r="RTJ54" s="12"/>
      <c r="RTK54" s="12"/>
      <c r="RTL54" s="12"/>
      <c r="RTM54" s="12"/>
      <c r="RTN54" s="12"/>
      <c r="RTO54" s="12"/>
      <c r="RTP54" s="12"/>
      <c r="RTQ54" s="12"/>
      <c r="RTR54" s="12"/>
      <c r="RTS54" s="12"/>
      <c r="RTT54" s="12"/>
      <c r="RTU54" s="12"/>
      <c r="RTV54" s="12"/>
      <c r="RTW54" s="12"/>
      <c r="RTX54" s="12"/>
      <c r="RTY54" s="12"/>
      <c r="RTZ54" s="12"/>
      <c r="RUA54" s="12"/>
      <c r="RUB54" s="12"/>
      <c r="RUC54" s="12"/>
      <c r="RUD54" s="12"/>
      <c r="RUE54" s="12"/>
      <c r="RUF54" s="12"/>
      <c r="RUG54" s="12"/>
      <c r="RUH54" s="12"/>
      <c r="RUI54" s="12"/>
      <c r="RUJ54" s="12"/>
      <c r="RUK54" s="12"/>
      <c r="RUL54" s="12"/>
      <c r="RUM54" s="12"/>
      <c r="RUN54" s="12"/>
      <c r="RUO54" s="12"/>
      <c r="RUP54" s="12"/>
      <c r="RUQ54" s="12"/>
      <c r="RUR54" s="12"/>
      <c r="RUS54" s="12"/>
      <c r="RUT54" s="12"/>
      <c r="RUU54" s="12"/>
      <c r="RUV54" s="12"/>
      <c r="RUW54" s="12"/>
      <c r="RUX54" s="12"/>
      <c r="RUY54" s="12"/>
      <c r="RUZ54" s="12"/>
      <c r="RVA54" s="12"/>
      <c r="RVB54" s="12"/>
      <c r="RVC54" s="12"/>
      <c r="RVD54" s="12"/>
      <c r="RVE54" s="12"/>
      <c r="RVF54" s="12"/>
      <c r="RVG54" s="12"/>
      <c r="RVH54" s="12"/>
      <c r="RVI54" s="12"/>
      <c r="RVJ54" s="12"/>
      <c r="RVK54" s="12"/>
      <c r="RVL54" s="12"/>
      <c r="RVM54" s="12"/>
      <c r="RVN54" s="12"/>
      <c r="RVO54" s="12"/>
      <c r="RVP54" s="12"/>
      <c r="RVQ54" s="12"/>
      <c r="RVR54" s="12"/>
      <c r="RVS54" s="12"/>
      <c r="RVT54" s="12"/>
      <c r="RVU54" s="12"/>
      <c r="RVV54" s="12"/>
      <c r="RVW54" s="12"/>
      <c r="RVX54" s="12"/>
      <c r="RVY54" s="12"/>
      <c r="RVZ54" s="12"/>
      <c r="RWA54" s="12"/>
      <c r="RWB54" s="12"/>
      <c r="RWC54" s="12"/>
      <c r="RWD54" s="12"/>
      <c r="RWE54" s="12"/>
      <c r="RWF54" s="12"/>
      <c r="RWG54" s="12"/>
      <c r="RWH54" s="12"/>
      <c r="RWI54" s="12"/>
      <c r="RWJ54" s="12"/>
      <c r="RWK54" s="12"/>
      <c r="RWL54" s="12"/>
      <c r="RWM54" s="12"/>
      <c r="RWN54" s="12"/>
      <c r="RWO54" s="12"/>
      <c r="RWP54" s="12"/>
      <c r="RWQ54" s="12"/>
      <c r="RWR54" s="12"/>
      <c r="RWS54" s="12"/>
      <c r="RWT54" s="12"/>
      <c r="RWU54" s="12"/>
      <c r="RWV54" s="12"/>
      <c r="RWW54" s="12"/>
      <c r="RWX54" s="12"/>
      <c r="RWY54" s="12"/>
      <c r="RWZ54" s="12"/>
      <c r="RXA54" s="12"/>
      <c r="RXB54" s="12"/>
      <c r="RXC54" s="12"/>
      <c r="RXD54" s="12"/>
      <c r="RXE54" s="12"/>
      <c r="RXF54" s="12"/>
      <c r="RXG54" s="12"/>
      <c r="RXH54" s="12"/>
      <c r="RXI54" s="12"/>
      <c r="RXJ54" s="12"/>
      <c r="RXK54" s="12"/>
      <c r="RXL54" s="12"/>
      <c r="RXM54" s="12"/>
      <c r="RXN54" s="12"/>
      <c r="RXO54" s="12"/>
      <c r="RXP54" s="12"/>
      <c r="RXQ54" s="12"/>
      <c r="RXR54" s="12"/>
      <c r="RXS54" s="12"/>
      <c r="RXT54" s="12"/>
      <c r="RXU54" s="12"/>
      <c r="RXV54" s="12"/>
      <c r="RXW54" s="12"/>
      <c r="RXX54" s="12"/>
      <c r="RXY54" s="12"/>
      <c r="RXZ54" s="12"/>
      <c r="RYA54" s="12"/>
      <c r="RYB54" s="12"/>
      <c r="RYC54" s="12"/>
      <c r="RYD54" s="12"/>
      <c r="RYE54" s="12"/>
      <c r="RYF54" s="12"/>
      <c r="RYG54" s="12"/>
      <c r="RYH54" s="12"/>
      <c r="RYI54" s="12"/>
      <c r="RYJ54" s="12"/>
      <c r="RYK54" s="12"/>
      <c r="RYL54" s="12"/>
      <c r="RYM54" s="12"/>
      <c r="RYN54" s="12"/>
      <c r="RYO54" s="12"/>
      <c r="RYP54" s="12"/>
      <c r="RYQ54" s="12"/>
      <c r="RYR54" s="12"/>
      <c r="RYS54" s="12"/>
      <c r="RYT54" s="12"/>
      <c r="RYU54" s="12"/>
      <c r="RYV54" s="12"/>
      <c r="RYW54" s="12"/>
      <c r="RYX54" s="12"/>
      <c r="RYY54" s="12"/>
      <c r="RYZ54" s="12"/>
      <c r="RZA54" s="12"/>
      <c r="RZB54" s="12"/>
      <c r="RZC54" s="12"/>
      <c r="RZD54" s="12"/>
      <c r="RZE54" s="12"/>
      <c r="RZF54" s="12"/>
      <c r="RZG54" s="12"/>
      <c r="RZH54" s="12"/>
      <c r="RZI54" s="12"/>
      <c r="RZJ54" s="12"/>
      <c r="RZK54" s="12"/>
      <c r="RZL54" s="12"/>
      <c r="RZM54" s="12"/>
      <c r="RZN54" s="12"/>
      <c r="RZO54" s="12"/>
      <c r="RZP54" s="12"/>
      <c r="RZQ54" s="12"/>
      <c r="RZR54" s="12"/>
      <c r="RZS54" s="12"/>
      <c r="RZT54" s="12"/>
      <c r="RZU54" s="12"/>
      <c r="RZV54" s="12"/>
      <c r="RZW54" s="12"/>
      <c r="RZX54" s="12"/>
      <c r="RZY54" s="12"/>
      <c r="RZZ54" s="12"/>
      <c r="SAA54" s="12"/>
      <c r="SAB54" s="12"/>
      <c r="SAC54" s="12"/>
      <c r="SAD54" s="12"/>
      <c r="SAE54" s="12"/>
      <c r="SAF54" s="12"/>
      <c r="SAG54" s="12"/>
      <c r="SAH54" s="12"/>
      <c r="SAI54" s="12"/>
      <c r="SAJ54" s="12"/>
      <c r="SAK54" s="12"/>
      <c r="SAL54" s="12"/>
      <c r="SAM54" s="12"/>
      <c r="SAN54" s="12"/>
      <c r="SAO54" s="12"/>
      <c r="SAP54" s="12"/>
      <c r="SAQ54" s="12"/>
      <c r="SAR54" s="12"/>
      <c r="SAS54" s="12"/>
      <c r="SAT54" s="12"/>
      <c r="SAU54" s="12"/>
      <c r="SAV54" s="12"/>
      <c r="SAW54" s="12"/>
      <c r="SAX54" s="12"/>
      <c r="SAY54" s="12"/>
      <c r="SAZ54" s="12"/>
      <c r="SBA54" s="12"/>
      <c r="SBB54" s="12"/>
      <c r="SBC54" s="12"/>
      <c r="SBD54" s="12"/>
      <c r="SBE54" s="12"/>
      <c r="SBF54" s="12"/>
      <c r="SBG54" s="12"/>
      <c r="SBH54" s="12"/>
      <c r="SBI54" s="12"/>
      <c r="SBJ54" s="12"/>
      <c r="SBK54" s="12"/>
      <c r="SBL54" s="12"/>
      <c r="SBM54" s="12"/>
      <c r="SBN54" s="12"/>
      <c r="SBO54" s="12"/>
      <c r="SBP54" s="12"/>
      <c r="SBQ54" s="12"/>
      <c r="SBR54" s="12"/>
      <c r="SBS54" s="12"/>
      <c r="SBT54" s="12"/>
      <c r="SBU54" s="12"/>
      <c r="SBV54" s="12"/>
      <c r="SBW54" s="12"/>
      <c r="SBX54" s="12"/>
      <c r="SBY54" s="12"/>
      <c r="SBZ54" s="12"/>
      <c r="SCA54" s="12"/>
      <c r="SCB54" s="12"/>
      <c r="SCC54" s="12"/>
      <c r="SCD54" s="12"/>
      <c r="SCE54" s="12"/>
      <c r="SCF54" s="12"/>
      <c r="SCG54" s="12"/>
      <c r="SCH54" s="12"/>
      <c r="SCI54" s="12"/>
      <c r="SCJ54" s="12"/>
      <c r="SCK54" s="12"/>
      <c r="SCL54" s="12"/>
      <c r="SCM54" s="12"/>
      <c r="SCN54" s="12"/>
      <c r="SCO54" s="12"/>
      <c r="SCP54" s="12"/>
      <c r="SCQ54" s="12"/>
      <c r="SCR54" s="12"/>
      <c r="SCS54" s="12"/>
      <c r="SCT54" s="12"/>
      <c r="SCU54" s="12"/>
      <c r="SCV54" s="12"/>
      <c r="SCW54" s="12"/>
      <c r="SCX54" s="12"/>
      <c r="SCY54" s="12"/>
      <c r="SCZ54" s="12"/>
      <c r="SDA54" s="12"/>
      <c r="SDB54" s="12"/>
      <c r="SDC54" s="12"/>
      <c r="SDD54" s="12"/>
      <c r="SDE54" s="12"/>
      <c r="SDF54" s="12"/>
      <c r="SDG54" s="12"/>
      <c r="SDH54" s="12"/>
      <c r="SDI54" s="12"/>
      <c r="SDJ54" s="12"/>
      <c r="SDK54" s="12"/>
      <c r="SDL54" s="12"/>
      <c r="SDM54" s="12"/>
      <c r="SDN54" s="12"/>
      <c r="SDO54" s="12"/>
      <c r="SDP54" s="12"/>
      <c r="SDQ54" s="12"/>
      <c r="SDR54" s="12"/>
      <c r="SDS54" s="12"/>
      <c r="SDT54" s="12"/>
      <c r="SDU54" s="12"/>
      <c r="SDV54" s="12"/>
      <c r="SDW54" s="12"/>
      <c r="SDX54" s="12"/>
      <c r="SDY54" s="12"/>
      <c r="SDZ54" s="12"/>
      <c r="SEA54" s="12"/>
      <c r="SEB54" s="12"/>
      <c r="SEC54" s="12"/>
      <c r="SED54" s="12"/>
      <c r="SEE54" s="12"/>
      <c r="SEF54" s="12"/>
      <c r="SEG54" s="12"/>
      <c r="SEH54" s="12"/>
      <c r="SEI54" s="12"/>
      <c r="SEJ54" s="12"/>
      <c r="SEK54" s="12"/>
      <c r="SEL54" s="12"/>
      <c r="SEM54" s="12"/>
      <c r="SEN54" s="12"/>
      <c r="SEO54" s="12"/>
      <c r="SEP54" s="12"/>
      <c r="SEQ54" s="12"/>
      <c r="SER54" s="12"/>
      <c r="SES54" s="12"/>
      <c r="SET54" s="12"/>
      <c r="SEU54" s="12"/>
      <c r="SEV54" s="12"/>
      <c r="SEW54" s="12"/>
      <c r="SEX54" s="12"/>
      <c r="SEY54" s="12"/>
      <c r="SEZ54" s="12"/>
      <c r="SFA54" s="12"/>
      <c r="SFB54" s="12"/>
      <c r="SFC54" s="12"/>
      <c r="SFD54" s="12"/>
      <c r="SFE54" s="12"/>
      <c r="SFF54" s="12"/>
      <c r="SFG54" s="12"/>
      <c r="SFH54" s="12"/>
      <c r="SFI54" s="12"/>
      <c r="SFJ54" s="12"/>
      <c r="SFK54" s="12"/>
      <c r="SFL54" s="12"/>
      <c r="SFM54" s="12"/>
      <c r="SFN54" s="12"/>
      <c r="SFO54" s="12"/>
      <c r="SFP54" s="12"/>
      <c r="SFQ54" s="12"/>
      <c r="SFR54" s="12"/>
      <c r="SFS54" s="12"/>
      <c r="SFT54" s="12"/>
      <c r="SFU54" s="12"/>
      <c r="SFV54" s="12"/>
      <c r="SFW54" s="12"/>
      <c r="SFX54" s="12"/>
      <c r="SFY54" s="12"/>
      <c r="SFZ54" s="12"/>
      <c r="SGA54" s="12"/>
      <c r="SGB54" s="12"/>
      <c r="SGC54" s="12"/>
      <c r="SGD54" s="12"/>
      <c r="SGE54" s="12"/>
      <c r="SGF54" s="12"/>
      <c r="SGG54" s="12"/>
      <c r="SGH54" s="12"/>
      <c r="SGI54" s="12"/>
      <c r="SGJ54" s="12"/>
      <c r="SGK54" s="12"/>
      <c r="SGL54" s="12"/>
      <c r="SGM54" s="12"/>
      <c r="SGN54" s="12"/>
      <c r="SGO54" s="12"/>
      <c r="SGP54" s="12"/>
      <c r="SGQ54" s="12"/>
      <c r="SGR54" s="12"/>
      <c r="SGS54" s="12"/>
      <c r="SGT54" s="12"/>
      <c r="SGU54" s="12"/>
      <c r="SGV54" s="12"/>
      <c r="SGW54" s="12"/>
      <c r="SGX54" s="12"/>
      <c r="SGY54" s="12"/>
      <c r="SGZ54" s="12"/>
      <c r="SHA54" s="12"/>
      <c r="SHB54" s="12"/>
      <c r="SHC54" s="12"/>
      <c r="SHD54" s="12"/>
      <c r="SHE54" s="12"/>
      <c r="SHF54" s="12"/>
      <c r="SHG54" s="12"/>
      <c r="SHH54" s="12"/>
      <c r="SHI54" s="12"/>
      <c r="SHJ54" s="12"/>
      <c r="SHK54" s="12"/>
      <c r="SHL54" s="12"/>
      <c r="SHM54" s="12"/>
      <c r="SHN54" s="12"/>
      <c r="SHO54" s="12"/>
      <c r="SHP54" s="12"/>
      <c r="SHQ54" s="12"/>
      <c r="SHR54" s="12"/>
      <c r="SHS54" s="12"/>
      <c r="SHT54" s="12"/>
      <c r="SHU54" s="12"/>
      <c r="SHV54" s="12"/>
      <c r="SHW54" s="12"/>
      <c r="SHX54" s="12"/>
      <c r="SHY54" s="12"/>
      <c r="SHZ54" s="12"/>
      <c r="SIA54" s="12"/>
      <c r="SIB54" s="12"/>
      <c r="SIC54" s="12"/>
      <c r="SID54" s="12"/>
      <c r="SIE54" s="12"/>
      <c r="SIF54" s="12"/>
      <c r="SIG54" s="12"/>
      <c r="SIH54" s="12"/>
      <c r="SII54" s="12"/>
      <c r="SIJ54" s="12"/>
      <c r="SIK54" s="12"/>
      <c r="SIL54" s="12"/>
      <c r="SIM54" s="12"/>
      <c r="SIN54" s="12"/>
      <c r="SIO54" s="12"/>
      <c r="SIP54" s="12"/>
      <c r="SIQ54" s="12"/>
      <c r="SIR54" s="12"/>
      <c r="SIS54" s="12"/>
      <c r="SIT54" s="12"/>
      <c r="SIU54" s="12"/>
      <c r="SIV54" s="12"/>
      <c r="SIW54" s="12"/>
      <c r="SIX54" s="12"/>
      <c r="SIY54" s="12"/>
      <c r="SIZ54" s="12"/>
      <c r="SJA54" s="12"/>
      <c r="SJB54" s="12"/>
      <c r="SJC54" s="12"/>
      <c r="SJD54" s="12"/>
      <c r="SJE54" s="12"/>
      <c r="SJF54" s="12"/>
      <c r="SJG54" s="12"/>
      <c r="SJH54" s="12"/>
      <c r="SJI54" s="12"/>
      <c r="SJJ54" s="12"/>
      <c r="SJK54" s="12"/>
      <c r="SJL54" s="12"/>
      <c r="SJM54" s="12"/>
      <c r="SJN54" s="12"/>
      <c r="SJO54" s="12"/>
      <c r="SJP54" s="12"/>
      <c r="SJQ54" s="12"/>
      <c r="SJR54" s="12"/>
      <c r="SJS54" s="12"/>
      <c r="SJT54" s="12"/>
      <c r="SJU54" s="12"/>
      <c r="SJV54" s="12"/>
      <c r="SJW54" s="12"/>
      <c r="SJX54" s="12"/>
      <c r="SJY54" s="12"/>
      <c r="SJZ54" s="12"/>
      <c r="SKA54" s="12"/>
      <c r="SKB54" s="12"/>
      <c r="SKC54" s="12"/>
      <c r="SKD54" s="12"/>
      <c r="SKE54" s="12"/>
      <c r="SKF54" s="12"/>
      <c r="SKG54" s="12"/>
      <c r="SKH54" s="12"/>
      <c r="SKI54" s="12"/>
      <c r="SKJ54" s="12"/>
      <c r="SKK54" s="12"/>
      <c r="SKL54" s="12"/>
      <c r="SKM54" s="12"/>
      <c r="SKN54" s="12"/>
      <c r="SKO54" s="12"/>
      <c r="SKP54" s="12"/>
      <c r="SKQ54" s="12"/>
      <c r="SKR54" s="12"/>
      <c r="SKS54" s="12"/>
      <c r="SKT54" s="12"/>
      <c r="SKU54" s="12"/>
      <c r="SKV54" s="12"/>
      <c r="SKW54" s="12"/>
      <c r="SKX54" s="12"/>
      <c r="SKY54" s="12"/>
      <c r="SKZ54" s="12"/>
      <c r="SLA54" s="12"/>
      <c r="SLB54" s="12"/>
      <c r="SLC54" s="12"/>
      <c r="SLD54" s="12"/>
      <c r="SLE54" s="12"/>
      <c r="SLF54" s="12"/>
      <c r="SLG54" s="12"/>
      <c r="SLH54" s="12"/>
      <c r="SLI54" s="12"/>
      <c r="SLJ54" s="12"/>
      <c r="SLK54" s="12"/>
      <c r="SLL54" s="12"/>
      <c r="SLM54" s="12"/>
      <c r="SLN54" s="12"/>
      <c r="SLO54" s="12"/>
      <c r="SLP54" s="12"/>
      <c r="SLQ54" s="12"/>
      <c r="SLR54" s="12"/>
      <c r="SLS54" s="12"/>
      <c r="SLT54" s="12"/>
      <c r="SLU54" s="12"/>
      <c r="SLV54" s="12"/>
      <c r="SLW54" s="12"/>
      <c r="SLX54" s="12"/>
      <c r="SLY54" s="12"/>
      <c r="SLZ54" s="12"/>
      <c r="SMA54" s="12"/>
      <c r="SMB54" s="12"/>
      <c r="SMC54" s="12"/>
      <c r="SMD54" s="12"/>
      <c r="SME54" s="12"/>
      <c r="SMF54" s="12"/>
      <c r="SMG54" s="12"/>
      <c r="SMH54" s="12"/>
      <c r="SMI54" s="12"/>
      <c r="SMJ54" s="12"/>
      <c r="SMK54" s="12"/>
      <c r="SML54" s="12"/>
      <c r="SMM54" s="12"/>
      <c r="SMN54" s="12"/>
      <c r="SMO54" s="12"/>
      <c r="SMP54" s="12"/>
      <c r="SMQ54" s="12"/>
      <c r="SMR54" s="12"/>
      <c r="SMS54" s="12"/>
      <c r="SMT54" s="12"/>
      <c r="SMU54" s="12"/>
      <c r="SMV54" s="12"/>
      <c r="SMW54" s="12"/>
      <c r="SMX54" s="12"/>
      <c r="SMY54" s="12"/>
      <c r="SMZ54" s="12"/>
      <c r="SNA54" s="12"/>
      <c r="SNB54" s="12"/>
      <c r="SNC54" s="12"/>
      <c r="SND54" s="12"/>
      <c r="SNE54" s="12"/>
      <c r="SNF54" s="12"/>
      <c r="SNG54" s="12"/>
      <c r="SNH54" s="12"/>
      <c r="SNI54" s="12"/>
      <c r="SNJ54" s="12"/>
      <c r="SNK54" s="12"/>
      <c r="SNL54" s="12"/>
      <c r="SNM54" s="12"/>
      <c r="SNN54" s="12"/>
      <c r="SNO54" s="12"/>
      <c r="SNP54" s="12"/>
      <c r="SNQ54" s="12"/>
      <c r="SNR54" s="12"/>
      <c r="SNS54" s="12"/>
      <c r="SNT54" s="12"/>
      <c r="SNU54" s="12"/>
      <c r="SNV54" s="12"/>
      <c r="SNW54" s="12"/>
      <c r="SNX54" s="12"/>
      <c r="SNY54" s="12"/>
      <c r="SNZ54" s="12"/>
      <c r="SOA54" s="12"/>
      <c r="SOB54" s="12"/>
      <c r="SOC54" s="12"/>
      <c r="SOD54" s="12"/>
      <c r="SOE54" s="12"/>
      <c r="SOF54" s="12"/>
      <c r="SOG54" s="12"/>
      <c r="SOH54" s="12"/>
      <c r="SOI54" s="12"/>
      <c r="SOJ54" s="12"/>
      <c r="SOK54" s="12"/>
      <c r="SOL54" s="12"/>
      <c r="SOM54" s="12"/>
      <c r="SON54" s="12"/>
      <c r="SOO54" s="12"/>
      <c r="SOP54" s="12"/>
      <c r="SOQ54" s="12"/>
      <c r="SOR54" s="12"/>
      <c r="SOS54" s="12"/>
      <c r="SOT54" s="12"/>
      <c r="SOU54" s="12"/>
      <c r="SOV54" s="12"/>
      <c r="SOW54" s="12"/>
      <c r="SOX54" s="12"/>
      <c r="SOY54" s="12"/>
      <c r="SOZ54" s="12"/>
      <c r="SPA54" s="12"/>
      <c r="SPB54" s="12"/>
      <c r="SPC54" s="12"/>
      <c r="SPD54" s="12"/>
      <c r="SPE54" s="12"/>
      <c r="SPF54" s="12"/>
      <c r="SPG54" s="12"/>
      <c r="SPH54" s="12"/>
      <c r="SPI54" s="12"/>
      <c r="SPJ54" s="12"/>
      <c r="SPK54" s="12"/>
      <c r="SPL54" s="12"/>
      <c r="SPM54" s="12"/>
      <c r="SPN54" s="12"/>
      <c r="SPO54" s="12"/>
      <c r="SPP54" s="12"/>
      <c r="SPQ54" s="12"/>
      <c r="SPR54" s="12"/>
      <c r="SPS54" s="12"/>
      <c r="SPT54" s="12"/>
      <c r="SPU54" s="12"/>
      <c r="SPV54" s="12"/>
      <c r="SPW54" s="12"/>
      <c r="SPX54" s="12"/>
      <c r="SPY54" s="12"/>
      <c r="SPZ54" s="12"/>
      <c r="SQA54" s="12"/>
      <c r="SQB54" s="12"/>
      <c r="SQC54" s="12"/>
      <c r="SQD54" s="12"/>
      <c r="SQE54" s="12"/>
      <c r="SQF54" s="12"/>
      <c r="SQG54" s="12"/>
      <c r="SQH54" s="12"/>
      <c r="SQI54" s="12"/>
      <c r="SQJ54" s="12"/>
      <c r="SQK54" s="12"/>
      <c r="SQL54" s="12"/>
      <c r="SQM54" s="12"/>
      <c r="SQN54" s="12"/>
      <c r="SQO54" s="12"/>
      <c r="SQP54" s="12"/>
      <c r="SQQ54" s="12"/>
      <c r="SQR54" s="12"/>
      <c r="SQS54" s="12"/>
      <c r="SQT54" s="12"/>
      <c r="SQU54" s="12"/>
      <c r="SQV54" s="12"/>
      <c r="SQW54" s="12"/>
      <c r="SQX54" s="12"/>
      <c r="SQY54" s="12"/>
      <c r="SQZ54" s="12"/>
      <c r="SRA54" s="12"/>
      <c r="SRB54" s="12"/>
      <c r="SRC54" s="12"/>
      <c r="SRD54" s="12"/>
      <c r="SRE54" s="12"/>
      <c r="SRF54" s="12"/>
      <c r="SRG54" s="12"/>
      <c r="SRH54" s="12"/>
      <c r="SRI54" s="12"/>
      <c r="SRJ54" s="12"/>
      <c r="SRK54" s="12"/>
      <c r="SRL54" s="12"/>
      <c r="SRM54" s="12"/>
      <c r="SRN54" s="12"/>
      <c r="SRO54" s="12"/>
      <c r="SRP54" s="12"/>
      <c r="SRQ54" s="12"/>
      <c r="SRR54" s="12"/>
      <c r="SRS54" s="12"/>
      <c r="SRT54" s="12"/>
      <c r="SRU54" s="12"/>
      <c r="SRV54" s="12"/>
      <c r="SRW54" s="12"/>
      <c r="SRX54" s="12"/>
      <c r="SRY54" s="12"/>
      <c r="SRZ54" s="12"/>
      <c r="SSA54" s="12"/>
      <c r="SSB54" s="12"/>
      <c r="SSC54" s="12"/>
      <c r="SSD54" s="12"/>
      <c r="SSE54" s="12"/>
      <c r="SSF54" s="12"/>
      <c r="SSG54" s="12"/>
      <c r="SSH54" s="12"/>
      <c r="SSI54" s="12"/>
      <c r="SSJ54" s="12"/>
      <c r="SSK54" s="12"/>
      <c r="SSL54" s="12"/>
      <c r="SSM54" s="12"/>
      <c r="SSN54" s="12"/>
      <c r="SSO54" s="12"/>
      <c r="SSP54" s="12"/>
      <c r="SSQ54" s="12"/>
      <c r="SSR54" s="12"/>
      <c r="SSS54" s="12"/>
      <c r="SST54" s="12"/>
      <c r="SSU54" s="12"/>
      <c r="SSV54" s="12"/>
      <c r="SSW54" s="12"/>
      <c r="SSX54" s="12"/>
      <c r="SSY54" s="12"/>
      <c r="SSZ54" s="12"/>
      <c r="STA54" s="12"/>
      <c r="STB54" s="12"/>
      <c r="STC54" s="12"/>
      <c r="STD54" s="12"/>
      <c r="STE54" s="12"/>
      <c r="STF54" s="12"/>
      <c r="STG54" s="12"/>
      <c r="STH54" s="12"/>
      <c r="STI54" s="12"/>
      <c r="STJ54" s="12"/>
      <c r="STK54" s="12"/>
      <c r="STL54" s="12"/>
      <c r="STM54" s="12"/>
      <c r="STN54" s="12"/>
      <c r="STO54" s="12"/>
      <c r="STP54" s="12"/>
      <c r="STQ54" s="12"/>
      <c r="STR54" s="12"/>
      <c r="STS54" s="12"/>
      <c r="STT54" s="12"/>
      <c r="STU54" s="12"/>
      <c r="STV54" s="12"/>
      <c r="STW54" s="12"/>
      <c r="STX54" s="12"/>
      <c r="STY54" s="12"/>
      <c r="STZ54" s="12"/>
      <c r="SUA54" s="12"/>
      <c r="SUB54" s="12"/>
      <c r="SUC54" s="12"/>
      <c r="SUD54" s="12"/>
      <c r="SUE54" s="12"/>
      <c r="SUF54" s="12"/>
      <c r="SUG54" s="12"/>
      <c r="SUH54" s="12"/>
      <c r="SUI54" s="12"/>
      <c r="SUJ54" s="12"/>
      <c r="SUK54" s="12"/>
      <c r="SUL54" s="12"/>
      <c r="SUM54" s="12"/>
      <c r="SUN54" s="12"/>
      <c r="SUO54" s="12"/>
      <c r="SUP54" s="12"/>
      <c r="SUQ54" s="12"/>
      <c r="SUR54" s="12"/>
      <c r="SUS54" s="12"/>
      <c r="SUT54" s="12"/>
      <c r="SUU54" s="12"/>
      <c r="SUV54" s="12"/>
      <c r="SUW54" s="12"/>
      <c r="SUX54" s="12"/>
      <c r="SUY54" s="12"/>
      <c r="SUZ54" s="12"/>
      <c r="SVA54" s="12"/>
      <c r="SVB54" s="12"/>
      <c r="SVC54" s="12"/>
      <c r="SVD54" s="12"/>
      <c r="SVE54" s="12"/>
      <c r="SVF54" s="12"/>
      <c r="SVG54" s="12"/>
      <c r="SVH54" s="12"/>
      <c r="SVI54" s="12"/>
      <c r="SVJ54" s="12"/>
      <c r="SVK54" s="12"/>
      <c r="SVL54" s="12"/>
      <c r="SVM54" s="12"/>
      <c r="SVN54" s="12"/>
      <c r="SVO54" s="12"/>
      <c r="SVP54" s="12"/>
      <c r="SVQ54" s="12"/>
      <c r="SVR54" s="12"/>
      <c r="SVS54" s="12"/>
      <c r="SVT54" s="12"/>
      <c r="SVU54" s="12"/>
      <c r="SVV54" s="12"/>
      <c r="SVW54" s="12"/>
      <c r="SVX54" s="12"/>
      <c r="SVY54" s="12"/>
      <c r="SVZ54" s="12"/>
      <c r="SWA54" s="12"/>
      <c r="SWB54" s="12"/>
      <c r="SWC54" s="12"/>
      <c r="SWD54" s="12"/>
      <c r="SWE54" s="12"/>
      <c r="SWF54" s="12"/>
      <c r="SWG54" s="12"/>
      <c r="SWH54" s="12"/>
      <c r="SWI54" s="12"/>
      <c r="SWJ54" s="12"/>
      <c r="SWK54" s="12"/>
      <c r="SWL54" s="12"/>
      <c r="SWM54" s="12"/>
      <c r="SWN54" s="12"/>
      <c r="SWO54" s="12"/>
      <c r="SWP54" s="12"/>
      <c r="SWQ54" s="12"/>
      <c r="SWR54" s="12"/>
      <c r="SWS54" s="12"/>
      <c r="SWT54" s="12"/>
      <c r="SWU54" s="12"/>
      <c r="SWV54" s="12"/>
      <c r="SWW54" s="12"/>
      <c r="SWX54" s="12"/>
      <c r="SWY54" s="12"/>
      <c r="SWZ54" s="12"/>
      <c r="SXA54" s="12"/>
      <c r="SXB54" s="12"/>
      <c r="SXC54" s="12"/>
      <c r="SXD54" s="12"/>
      <c r="SXE54" s="12"/>
      <c r="SXF54" s="12"/>
      <c r="SXG54" s="12"/>
      <c r="SXH54" s="12"/>
      <c r="SXI54" s="12"/>
      <c r="SXJ54" s="12"/>
      <c r="SXK54" s="12"/>
      <c r="SXL54" s="12"/>
      <c r="SXM54" s="12"/>
      <c r="SXN54" s="12"/>
      <c r="SXO54" s="12"/>
      <c r="SXP54" s="12"/>
      <c r="SXQ54" s="12"/>
      <c r="SXR54" s="12"/>
      <c r="SXS54" s="12"/>
      <c r="SXT54" s="12"/>
      <c r="SXU54" s="12"/>
      <c r="SXV54" s="12"/>
      <c r="SXW54" s="12"/>
      <c r="SXX54" s="12"/>
      <c r="SXY54" s="12"/>
      <c r="SXZ54" s="12"/>
      <c r="SYA54" s="12"/>
      <c r="SYB54" s="12"/>
      <c r="SYC54" s="12"/>
      <c r="SYD54" s="12"/>
      <c r="SYE54" s="12"/>
      <c r="SYF54" s="12"/>
      <c r="SYG54" s="12"/>
      <c r="SYH54" s="12"/>
      <c r="SYI54" s="12"/>
      <c r="SYJ54" s="12"/>
      <c r="SYK54" s="12"/>
      <c r="SYL54" s="12"/>
      <c r="SYM54" s="12"/>
      <c r="SYN54" s="12"/>
      <c r="SYO54" s="12"/>
      <c r="SYP54" s="12"/>
      <c r="SYQ54" s="12"/>
      <c r="SYR54" s="12"/>
      <c r="SYS54" s="12"/>
      <c r="SYT54" s="12"/>
      <c r="SYU54" s="12"/>
      <c r="SYV54" s="12"/>
      <c r="SYW54" s="12"/>
      <c r="SYX54" s="12"/>
      <c r="SYY54" s="12"/>
      <c r="SYZ54" s="12"/>
      <c r="SZA54" s="12"/>
      <c r="SZB54" s="12"/>
      <c r="SZC54" s="12"/>
      <c r="SZD54" s="12"/>
      <c r="SZE54" s="12"/>
      <c r="SZF54" s="12"/>
      <c r="SZG54" s="12"/>
      <c r="SZH54" s="12"/>
      <c r="SZI54" s="12"/>
      <c r="SZJ54" s="12"/>
      <c r="SZK54" s="12"/>
      <c r="SZL54" s="12"/>
      <c r="SZM54" s="12"/>
      <c r="SZN54" s="12"/>
      <c r="SZO54" s="12"/>
      <c r="SZP54" s="12"/>
      <c r="SZQ54" s="12"/>
      <c r="SZR54" s="12"/>
      <c r="SZS54" s="12"/>
      <c r="SZT54" s="12"/>
      <c r="SZU54" s="12"/>
      <c r="SZV54" s="12"/>
      <c r="SZW54" s="12"/>
      <c r="SZX54" s="12"/>
      <c r="SZY54" s="12"/>
      <c r="SZZ54" s="12"/>
      <c r="TAA54" s="12"/>
      <c r="TAB54" s="12"/>
      <c r="TAC54" s="12"/>
      <c r="TAD54" s="12"/>
      <c r="TAE54" s="12"/>
      <c r="TAF54" s="12"/>
      <c r="TAG54" s="12"/>
      <c r="TAH54" s="12"/>
      <c r="TAI54" s="12"/>
      <c r="TAJ54" s="12"/>
      <c r="TAK54" s="12"/>
      <c r="TAL54" s="12"/>
      <c r="TAM54" s="12"/>
      <c r="TAN54" s="12"/>
      <c r="TAO54" s="12"/>
      <c r="TAP54" s="12"/>
      <c r="TAQ54" s="12"/>
      <c r="TAR54" s="12"/>
      <c r="TAS54" s="12"/>
      <c r="TAT54" s="12"/>
      <c r="TAU54" s="12"/>
      <c r="TAV54" s="12"/>
      <c r="TAW54" s="12"/>
      <c r="TAX54" s="12"/>
      <c r="TAY54" s="12"/>
      <c r="TAZ54" s="12"/>
      <c r="TBA54" s="12"/>
      <c r="TBB54" s="12"/>
      <c r="TBC54" s="12"/>
      <c r="TBD54" s="12"/>
      <c r="TBE54" s="12"/>
      <c r="TBF54" s="12"/>
      <c r="TBG54" s="12"/>
      <c r="TBH54" s="12"/>
      <c r="TBI54" s="12"/>
      <c r="TBJ54" s="12"/>
      <c r="TBK54" s="12"/>
      <c r="TBL54" s="12"/>
      <c r="TBM54" s="12"/>
      <c r="TBN54" s="12"/>
      <c r="TBO54" s="12"/>
      <c r="TBP54" s="12"/>
      <c r="TBQ54" s="12"/>
      <c r="TBR54" s="12"/>
      <c r="TBS54" s="12"/>
      <c r="TBT54" s="12"/>
      <c r="TBU54" s="12"/>
      <c r="TBV54" s="12"/>
      <c r="TBW54" s="12"/>
      <c r="TBX54" s="12"/>
      <c r="TBY54" s="12"/>
      <c r="TBZ54" s="12"/>
      <c r="TCA54" s="12"/>
      <c r="TCB54" s="12"/>
      <c r="TCC54" s="12"/>
      <c r="TCD54" s="12"/>
      <c r="TCE54" s="12"/>
      <c r="TCF54" s="12"/>
      <c r="TCG54" s="12"/>
      <c r="TCH54" s="12"/>
      <c r="TCI54" s="12"/>
      <c r="TCJ54" s="12"/>
      <c r="TCK54" s="12"/>
      <c r="TCL54" s="12"/>
      <c r="TCM54" s="12"/>
      <c r="TCN54" s="12"/>
      <c r="TCO54" s="12"/>
      <c r="TCP54" s="12"/>
      <c r="TCQ54" s="12"/>
      <c r="TCR54" s="12"/>
      <c r="TCS54" s="12"/>
      <c r="TCT54" s="12"/>
      <c r="TCU54" s="12"/>
      <c r="TCV54" s="12"/>
      <c r="TCW54" s="12"/>
      <c r="TCX54" s="12"/>
      <c r="TCY54" s="12"/>
      <c r="TCZ54" s="12"/>
      <c r="TDA54" s="12"/>
      <c r="TDB54" s="12"/>
      <c r="TDC54" s="12"/>
      <c r="TDD54" s="12"/>
      <c r="TDE54" s="12"/>
      <c r="TDF54" s="12"/>
      <c r="TDG54" s="12"/>
      <c r="TDH54" s="12"/>
      <c r="TDI54" s="12"/>
      <c r="TDJ54" s="12"/>
      <c r="TDK54" s="12"/>
      <c r="TDL54" s="12"/>
      <c r="TDM54" s="12"/>
      <c r="TDN54" s="12"/>
      <c r="TDO54" s="12"/>
      <c r="TDP54" s="12"/>
      <c r="TDQ54" s="12"/>
      <c r="TDR54" s="12"/>
      <c r="TDS54" s="12"/>
      <c r="TDT54" s="12"/>
      <c r="TDU54" s="12"/>
      <c r="TDV54" s="12"/>
      <c r="TDW54" s="12"/>
      <c r="TDX54" s="12"/>
      <c r="TDY54" s="12"/>
      <c r="TDZ54" s="12"/>
      <c r="TEA54" s="12"/>
      <c r="TEB54" s="12"/>
      <c r="TEC54" s="12"/>
      <c r="TED54" s="12"/>
      <c r="TEE54" s="12"/>
      <c r="TEF54" s="12"/>
      <c r="TEG54" s="12"/>
      <c r="TEH54" s="12"/>
      <c r="TEI54" s="12"/>
      <c r="TEJ54" s="12"/>
      <c r="TEK54" s="12"/>
      <c r="TEL54" s="12"/>
      <c r="TEM54" s="12"/>
      <c r="TEN54" s="12"/>
      <c r="TEO54" s="12"/>
      <c r="TEP54" s="12"/>
      <c r="TEQ54" s="12"/>
      <c r="TER54" s="12"/>
      <c r="TES54" s="12"/>
      <c r="TET54" s="12"/>
      <c r="TEU54" s="12"/>
      <c r="TEV54" s="12"/>
      <c r="TEW54" s="12"/>
      <c r="TEX54" s="12"/>
      <c r="TEY54" s="12"/>
      <c r="TEZ54" s="12"/>
      <c r="TFA54" s="12"/>
      <c r="TFB54" s="12"/>
      <c r="TFC54" s="12"/>
      <c r="TFD54" s="12"/>
      <c r="TFE54" s="12"/>
      <c r="TFF54" s="12"/>
      <c r="TFG54" s="12"/>
      <c r="TFH54" s="12"/>
      <c r="TFI54" s="12"/>
      <c r="TFJ54" s="12"/>
      <c r="TFK54" s="12"/>
      <c r="TFL54" s="12"/>
      <c r="TFM54" s="12"/>
      <c r="TFN54" s="12"/>
      <c r="TFO54" s="12"/>
      <c r="TFP54" s="12"/>
      <c r="TFQ54" s="12"/>
      <c r="TFR54" s="12"/>
      <c r="TFS54" s="12"/>
      <c r="TFT54" s="12"/>
      <c r="TFU54" s="12"/>
      <c r="TFV54" s="12"/>
      <c r="TFW54" s="12"/>
      <c r="TFX54" s="12"/>
      <c r="TFY54" s="12"/>
      <c r="TFZ54" s="12"/>
      <c r="TGA54" s="12"/>
      <c r="TGB54" s="12"/>
      <c r="TGC54" s="12"/>
      <c r="TGD54" s="12"/>
      <c r="TGE54" s="12"/>
      <c r="TGF54" s="12"/>
      <c r="TGG54" s="12"/>
      <c r="TGH54" s="12"/>
      <c r="TGI54" s="12"/>
      <c r="TGJ54" s="12"/>
      <c r="TGK54" s="12"/>
      <c r="TGL54" s="12"/>
      <c r="TGM54" s="12"/>
      <c r="TGN54" s="12"/>
      <c r="TGO54" s="12"/>
      <c r="TGP54" s="12"/>
      <c r="TGQ54" s="12"/>
      <c r="TGR54" s="12"/>
      <c r="TGS54" s="12"/>
      <c r="TGT54" s="12"/>
      <c r="TGU54" s="12"/>
      <c r="TGV54" s="12"/>
      <c r="TGW54" s="12"/>
      <c r="TGX54" s="12"/>
      <c r="TGY54" s="12"/>
      <c r="TGZ54" s="12"/>
      <c r="THA54" s="12"/>
      <c r="THB54" s="12"/>
      <c r="THC54" s="12"/>
      <c r="THD54" s="12"/>
      <c r="THE54" s="12"/>
      <c r="THF54" s="12"/>
      <c r="THG54" s="12"/>
      <c r="THH54" s="12"/>
      <c r="THI54" s="12"/>
      <c r="THJ54" s="12"/>
      <c r="THK54" s="12"/>
      <c r="THL54" s="12"/>
      <c r="THM54" s="12"/>
      <c r="THN54" s="12"/>
      <c r="THO54" s="12"/>
      <c r="THP54" s="12"/>
      <c r="THQ54" s="12"/>
      <c r="THR54" s="12"/>
      <c r="THS54" s="12"/>
      <c r="THT54" s="12"/>
      <c r="THU54" s="12"/>
      <c r="THV54" s="12"/>
      <c r="THW54" s="12"/>
      <c r="THX54" s="12"/>
      <c r="THY54" s="12"/>
      <c r="THZ54" s="12"/>
      <c r="TIA54" s="12"/>
      <c r="TIB54" s="12"/>
      <c r="TIC54" s="12"/>
      <c r="TID54" s="12"/>
      <c r="TIE54" s="12"/>
      <c r="TIF54" s="12"/>
      <c r="TIG54" s="12"/>
      <c r="TIH54" s="12"/>
      <c r="TII54" s="12"/>
      <c r="TIJ54" s="12"/>
      <c r="TIK54" s="12"/>
      <c r="TIL54" s="12"/>
      <c r="TIM54" s="12"/>
      <c r="TIN54" s="12"/>
      <c r="TIO54" s="12"/>
      <c r="TIP54" s="12"/>
      <c r="TIQ54" s="12"/>
      <c r="TIR54" s="12"/>
      <c r="TIS54" s="12"/>
      <c r="TIT54" s="12"/>
      <c r="TIU54" s="12"/>
      <c r="TIV54" s="12"/>
      <c r="TIW54" s="12"/>
      <c r="TIX54" s="12"/>
      <c r="TIY54" s="12"/>
      <c r="TIZ54" s="12"/>
      <c r="TJA54" s="12"/>
      <c r="TJB54" s="12"/>
      <c r="TJC54" s="12"/>
      <c r="TJD54" s="12"/>
      <c r="TJE54" s="12"/>
      <c r="TJF54" s="12"/>
      <c r="TJG54" s="12"/>
      <c r="TJH54" s="12"/>
      <c r="TJI54" s="12"/>
      <c r="TJJ54" s="12"/>
      <c r="TJK54" s="12"/>
      <c r="TJL54" s="12"/>
      <c r="TJM54" s="12"/>
      <c r="TJN54" s="12"/>
      <c r="TJO54" s="12"/>
      <c r="TJP54" s="12"/>
      <c r="TJQ54" s="12"/>
      <c r="TJR54" s="12"/>
      <c r="TJS54" s="12"/>
      <c r="TJT54" s="12"/>
      <c r="TJU54" s="12"/>
      <c r="TJV54" s="12"/>
      <c r="TJW54" s="12"/>
      <c r="TJX54" s="12"/>
      <c r="TJY54" s="12"/>
      <c r="TJZ54" s="12"/>
      <c r="TKA54" s="12"/>
      <c r="TKB54" s="12"/>
      <c r="TKC54" s="12"/>
      <c r="TKD54" s="12"/>
      <c r="TKE54" s="12"/>
      <c r="TKF54" s="12"/>
      <c r="TKG54" s="12"/>
      <c r="TKH54" s="12"/>
      <c r="TKI54" s="12"/>
      <c r="TKJ54" s="12"/>
      <c r="TKK54" s="12"/>
      <c r="TKL54" s="12"/>
      <c r="TKM54" s="12"/>
      <c r="TKN54" s="12"/>
      <c r="TKO54" s="12"/>
      <c r="TKP54" s="12"/>
      <c r="TKQ54" s="12"/>
      <c r="TKR54" s="12"/>
      <c r="TKS54" s="12"/>
      <c r="TKT54" s="12"/>
      <c r="TKU54" s="12"/>
      <c r="TKV54" s="12"/>
      <c r="TKW54" s="12"/>
      <c r="TKX54" s="12"/>
      <c r="TKY54" s="12"/>
      <c r="TKZ54" s="12"/>
      <c r="TLA54" s="12"/>
      <c r="TLB54" s="12"/>
      <c r="TLC54" s="12"/>
      <c r="TLD54" s="12"/>
      <c r="TLE54" s="12"/>
      <c r="TLF54" s="12"/>
      <c r="TLG54" s="12"/>
      <c r="TLH54" s="12"/>
      <c r="TLI54" s="12"/>
      <c r="TLJ54" s="12"/>
      <c r="TLK54" s="12"/>
      <c r="TLL54" s="12"/>
      <c r="TLM54" s="12"/>
      <c r="TLN54" s="12"/>
      <c r="TLO54" s="12"/>
      <c r="TLP54" s="12"/>
      <c r="TLQ54" s="12"/>
      <c r="TLR54" s="12"/>
      <c r="TLS54" s="12"/>
      <c r="TLT54" s="12"/>
      <c r="TLU54" s="12"/>
      <c r="TLV54" s="12"/>
      <c r="TLW54" s="12"/>
      <c r="TLX54" s="12"/>
      <c r="TLY54" s="12"/>
      <c r="TLZ54" s="12"/>
      <c r="TMA54" s="12"/>
      <c r="TMB54" s="12"/>
      <c r="TMC54" s="12"/>
      <c r="TMD54" s="12"/>
      <c r="TME54" s="12"/>
      <c r="TMF54" s="12"/>
      <c r="TMG54" s="12"/>
      <c r="TMH54" s="12"/>
      <c r="TMI54" s="12"/>
      <c r="TMJ54" s="12"/>
      <c r="TMK54" s="12"/>
      <c r="TML54" s="12"/>
      <c r="TMM54" s="12"/>
      <c r="TMN54" s="12"/>
      <c r="TMO54" s="12"/>
      <c r="TMP54" s="12"/>
      <c r="TMQ54" s="12"/>
      <c r="TMR54" s="12"/>
      <c r="TMS54" s="12"/>
      <c r="TMT54" s="12"/>
      <c r="TMU54" s="12"/>
      <c r="TMV54" s="12"/>
      <c r="TMW54" s="12"/>
      <c r="TMX54" s="12"/>
      <c r="TMY54" s="12"/>
      <c r="TMZ54" s="12"/>
      <c r="TNA54" s="12"/>
      <c r="TNB54" s="12"/>
      <c r="TNC54" s="12"/>
      <c r="TND54" s="12"/>
      <c r="TNE54" s="12"/>
      <c r="TNF54" s="12"/>
      <c r="TNG54" s="12"/>
      <c r="TNH54" s="12"/>
      <c r="TNI54" s="12"/>
      <c r="TNJ54" s="12"/>
      <c r="TNK54" s="12"/>
      <c r="TNL54" s="12"/>
      <c r="TNM54" s="12"/>
      <c r="TNN54" s="12"/>
      <c r="TNO54" s="12"/>
      <c r="TNP54" s="12"/>
      <c r="TNQ54" s="12"/>
      <c r="TNR54" s="12"/>
      <c r="TNS54" s="12"/>
      <c r="TNT54" s="12"/>
      <c r="TNU54" s="12"/>
      <c r="TNV54" s="12"/>
      <c r="TNW54" s="12"/>
      <c r="TNX54" s="12"/>
      <c r="TNY54" s="12"/>
      <c r="TNZ54" s="12"/>
      <c r="TOA54" s="12"/>
      <c r="TOB54" s="12"/>
      <c r="TOC54" s="12"/>
      <c r="TOD54" s="12"/>
      <c r="TOE54" s="12"/>
      <c r="TOF54" s="12"/>
      <c r="TOG54" s="12"/>
      <c r="TOH54" s="12"/>
      <c r="TOI54" s="12"/>
      <c r="TOJ54" s="12"/>
      <c r="TOK54" s="12"/>
      <c r="TOL54" s="12"/>
      <c r="TOM54" s="12"/>
      <c r="TON54" s="12"/>
      <c r="TOO54" s="12"/>
      <c r="TOP54" s="12"/>
      <c r="TOQ54" s="12"/>
      <c r="TOR54" s="12"/>
      <c r="TOS54" s="12"/>
      <c r="TOT54" s="12"/>
      <c r="TOU54" s="12"/>
      <c r="TOV54" s="12"/>
      <c r="TOW54" s="12"/>
      <c r="TOX54" s="12"/>
      <c r="TOY54" s="12"/>
      <c r="TOZ54" s="12"/>
      <c r="TPA54" s="12"/>
      <c r="TPB54" s="12"/>
      <c r="TPC54" s="12"/>
      <c r="TPD54" s="12"/>
      <c r="TPE54" s="12"/>
      <c r="TPF54" s="12"/>
      <c r="TPG54" s="12"/>
      <c r="TPH54" s="12"/>
      <c r="TPI54" s="12"/>
      <c r="TPJ54" s="12"/>
      <c r="TPK54" s="12"/>
      <c r="TPL54" s="12"/>
      <c r="TPM54" s="12"/>
      <c r="TPN54" s="12"/>
      <c r="TPO54" s="12"/>
      <c r="TPP54" s="12"/>
      <c r="TPQ54" s="12"/>
      <c r="TPR54" s="12"/>
      <c r="TPS54" s="12"/>
      <c r="TPT54" s="12"/>
      <c r="TPU54" s="12"/>
      <c r="TPV54" s="12"/>
      <c r="TPW54" s="12"/>
      <c r="TPX54" s="12"/>
      <c r="TPY54" s="12"/>
      <c r="TPZ54" s="12"/>
      <c r="TQA54" s="12"/>
      <c r="TQB54" s="12"/>
      <c r="TQC54" s="12"/>
      <c r="TQD54" s="12"/>
      <c r="TQE54" s="12"/>
      <c r="TQF54" s="12"/>
      <c r="TQG54" s="12"/>
      <c r="TQH54" s="12"/>
      <c r="TQI54" s="12"/>
      <c r="TQJ54" s="12"/>
      <c r="TQK54" s="12"/>
      <c r="TQL54" s="12"/>
      <c r="TQM54" s="12"/>
      <c r="TQN54" s="12"/>
      <c r="TQO54" s="12"/>
      <c r="TQP54" s="12"/>
      <c r="TQQ54" s="12"/>
      <c r="TQR54" s="12"/>
      <c r="TQS54" s="12"/>
      <c r="TQT54" s="12"/>
      <c r="TQU54" s="12"/>
      <c r="TQV54" s="12"/>
      <c r="TQW54" s="12"/>
      <c r="TQX54" s="12"/>
      <c r="TQY54" s="12"/>
      <c r="TQZ54" s="12"/>
      <c r="TRA54" s="12"/>
      <c r="TRB54" s="12"/>
      <c r="TRC54" s="12"/>
      <c r="TRD54" s="12"/>
      <c r="TRE54" s="12"/>
      <c r="TRF54" s="12"/>
      <c r="TRG54" s="12"/>
      <c r="TRH54" s="12"/>
      <c r="TRI54" s="12"/>
      <c r="TRJ54" s="12"/>
      <c r="TRK54" s="12"/>
      <c r="TRL54" s="12"/>
      <c r="TRM54" s="12"/>
      <c r="TRN54" s="12"/>
      <c r="TRO54" s="12"/>
      <c r="TRP54" s="12"/>
      <c r="TRQ54" s="12"/>
      <c r="TRR54" s="12"/>
      <c r="TRS54" s="12"/>
      <c r="TRT54" s="12"/>
      <c r="TRU54" s="12"/>
      <c r="TRV54" s="12"/>
      <c r="TRW54" s="12"/>
      <c r="TRX54" s="12"/>
      <c r="TRY54" s="12"/>
      <c r="TRZ54" s="12"/>
      <c r="TSA54" s="12"/>
      <c r="TSB54" s="12"/>
      <c r="TSC54" s="12"/>
      <c r="TSD54" s="12"/>
      <c r="TSE54" s="12"/>
      <c r="TSF54" s="12"/>
      <c r="TSG54" s="12"/>
      <c r="TSH54" s="12"/>
      <c r="TSI54" s="12"/>
      <c r="TSJ54" s="12"/>
      <c r="TSK54" s="12"/>
      <c r="TSL54" s="12"/>
      <c r="TSM54" s="12"/>
      <c r="TSN54" s="12"/>
      <c r="TSO54" s="12"/>
      <c r="TSP54" s="12"/>
      <c r="TSQ54" s="12"/>
      <c r="TSR54" s="12"/>
      <c r="TSS54" s="12"/>
      <c r="TST54" s="12"/>
      <c r="TSU54" s="12"/>
      <c r="TSV54" s="12"/>
      <c r="TSW54" s="12"/>
      <c r="TSX54" s="12"/>
      <c r="TSY54" s="12"/>
      <c r="TSZ54" s="12"/>
      <c r="TTA54" s="12"/>
      <c r="TTB54" s="12"/>
      <c r="TTC54" s="12"/>
      <c r="TTD54" s="12"/>
      <c r="TTE54" s="12"/>
      <c r="TTF54" s="12"/>
      <c r="TTG54" s="12"/>
      <c r="TTH54" s="12"/>
      <c r="TTI54" s="12"/>
      <c r="TTJ54" s="12"/>
      <c r="TTK54" s="12"/>
      <c r="TTL54" s="12"/>
      <c r="TTM54" s="12"/>
      <c r="TTN54" s="12"/>
      <c r="TTO54" s="12"/>
      <c r="TTP54" s="12"/>
      <c r="TTQ54" s="12"/>
      <c r="TTR54" s="12"/>
      <c r="TTS54" s="12"/>
      <c r="TTT54" s="12"/>
      <c r="TTU54" s="12"/>
      <c r="TTV54" s="12"/>
      <c r="TTW54" s="12"/>
      <c r="TTX54" s="12"/>
      <c r="TTY54" s="12"/>
      <c r="TTZ54" s="12"/>
      <c r="TUA54" s="12"/>
      <c r="TUB54" s="12"/>
      <c r="TUC54" s="12"/>
      <c r="TUD54" s="12"/>
      <c r="TUE54" s="12"/>
      <c r="TUF54" s="12"/>
      <c r="TUG54" s="12"/>
      <c r="TUH54" s="12"/>
      <c r="TUI54" s="12"/>
      <c r="TUJ54" s="12"/>
      <c r="TUK54" s="12"/>
      <c r="TUL54" s="12"/>
      <c r="TUM54" s="12"/>
      <c r="TUN54" s="12"/>
      <c r="TUO54" s="12"/>
      <c r="TUP54" s="12"/>
      <c r="TUQ54" s="12"/>
      <c r="TUR54" s="12"/>
      <c r="TUS54" s="12"/>
      <c r="TUT54" s="12"/>
      <c r="TUU54" s="12"/>
      <c r="TUV54" s="12"/>
      <c r="TUW54" s="12"/>
      <c r="TUX54" s="12"/>
      <c r="TUY54" s="12"/>
      <c r="TUZ54" s="12"/>
      <c r="TVA54" s="12"/>
      <c r="TVB54" s="12"/>
      <c r="TVC54" s="12"/>
      <c r="TVD54" s="12"/>
      <c r="TVE54" s="12"/>
      <c r="TVF54" s="12"/>
      <c r="TVG54" s="12"/>
      <c r="TVH54" s="12"/>
      <c r="TVI54" s="12"/>
      <c r="TVJ54" s="12"/>
      <c r="TVK54" s="12"/>
      <c r="TVL54" s="12"/>
      <c r="TVM54" s="12"/>
      <c r="TVN54" s="12"/>
      <c r="TVO54" s="12"/>
      <c r="TVP54" s="12"/>
      <c r="TVQ54" s="12"/>
      <c r="TVR54" s="12"/>
      <c r="TVS54" s="12"/>
      <c r="TVT54" s="12"/>
      <c r="TVU54" s="12"/>
      <c r="TVV54" s="12"/>
      <c r="TVW54" s="12"/>
      <c r="TVX54" s="12"/>
      <c r="TVY54" s="12"/>
      <c r="TVZ54" s="12"/>
      <c r="TWA54" s="12"/>
      <c r="TWB54" s="12"/>
      <c r="TWC54" s="12"/>
      <c r="TWD54" s="12"/>
      <c r="TWE54" s="12"/>
      <c r="TWF54" s="12"/>
      <c r="TWG54" s="12"/>
      <c r="TWH54" s="12"/>
      <c r="TWI54" s="12"/>
      <c r="TWJ54" s="12"/>
      <c r="TWK54" s="12"/>
      <c r="TWL54" s="12"/>
      <c r="TWM54" s="12"/>
      <c r="TWN54" s="12"/>
      <c r="TWO54" s="12"/>
      <c r="TWP54" s="12"/>
      <c r="TWQ54" s="12"/>
      <c r="TWR54" s="12"/>
      <c r="TWS54" s="12"/>
      <c r="TWT54" s="12"/>
      <c r="TWU54" s="12"/>
      <c r="TWV54" s="12"/>
      <c r="TWW54" s="12"/>
      <c r="TWX54" s="12"/>
      <c r="TWY54" s="12"/>
      <c r="TWZ54" s="12"/>
      <c r="TXA54" s="12"/>
      <c r="TXB54" s="12"/>
      <c r="TXC54" s="12"/>
      <c r="TXD54" s="12"/>
      <c r="TXE54" s="12"/>
      <c r="TXF54" s="12"/>
      <c r="TXG54" s="12"/>
      <c r="TXH54" s="12"/>
      <c r="TXI54" s="12"/>
      <c r="TXJ54" s="12"/>
      <c r="TXK54" s="12"/>
      <c r="TXL54" s="12"/>
      <c r="TXM54" s="12"/>
      <c r="TXN54" s="12"/>
      <c r="TXO54" s="12"/>
      <c r="TXP54" s="12"/>
      <c r="TXQ54" s="12"/>
      <c r="TXR54" s="12"/>
      <c r="TXS54" s="12"/>
      <c r="TXT54" s="12"/>
      <c r="TXU54" s="12"/>
      <c r="TXV54" s="12"/>
      <c r="TXW54" s="12"/>
      <c r="TXX54" s="12"/>
      <c r="TXY54" s="12"/>
      <c r="TXZ54" s="12"/>
      <c r="TYA54" s="12"/>
      <c r="TYB54" s="12"/>
      <c r="TYC54" s="12"/>
      <c r="TYD54" s="12"/>
      <c r="TYE54" s="12"/>
      <c r="TYF54" s="12"/>
      <c r="TYG54" s="12"/>
      <c r="TYH54" s="12"/>
      <c r="TYI54" s="12"/>
      <c r="TYJ54" s="12"/>
      <c r="TYK54" s="12"/>
      <c r="TYL54" s="12"/>
      <c r="TYM54" s="12"/>
      <c r="TYN54" s="12"/>
      <c r="TYO54" s="12"/>
      <c r="TYP54" s="12"/>
      <c r="TYQ54" s="12"/>
      <c r="TYR54" s="12"/>
      <c r="TYS54" s="12"/>
      <c r="TYT54" s="12"/>
      <c r="TYU54" s="12"/>
      <c r="TYV54" s="12"/>
      <c r="TYW54" s="12"/>
      <c r="TYX54" s="12"/>
      <c r="TYY54" s="12"/>
      <c r="TYZ54" s="12"/>
      <c r="TZA54" s="12"/>
      <c r="TZB54" s="12"/>
      <c r="TZC54" s="12"/>
      <c r="TZD54" s="12"/>
      <c r="TZE54" s="12"/>
      <c r="TZF54" s="12"/>
      <c r="TZG54" s="12"/>
      <c r="TZH54" s="12"/>
      <c r="TZI54" s="12"/>
      <c r="TZJ54" s="12"/>
      <c r="TZK54" s="12"/>
      <c r="TZL54" s="12"/>
      <c r="TZM54" s="12"/>
      <c r="TZN54" s="12"/>
      <c r="TZO54" s="12"/>
      <c r="TZP54" s="12"/>
      <c r="TZQ54" s="12"/>
      <c r="TZR54" s="12"/>
      <c r="TZS54" s="12"/>
      <c r="TZT54" s="12"/>
      <c r="TZU54" s="12"/>
      <c r="TZV54" s="12"/>
      <c r="TZW54" s="12"/>
      <c r="TZX54" s="12"/>
      <c r="TZY54" s="12"/>
      <c r="TZZ54" s="12"/>
      <c r="UAA54" s="12"/>
      <c r="UAB54" s="12"/>
      <c r="UAC54" s="12"/>
      <c r="UAD54" s="12"/>
      <c r="UAE54" s="12"/>
      <c r="UAF54" s="12"/>
      <c r="UAG54" s="12"/>
      <c r="UAH54" s="12"/>
      <c r="UAI54" s="12"/>
      <c r="UAJ54" s="12"/>
      <c r="UAK54" s="12"/>
      <c r="UAL54" s="12"/>
      <c r="UAM54" s="12"/>
      <c r="UAN54" s="12"/>
      <c r="UAO54" s="12"/>
      <c r="UAP54" s="12"/>
      <c r="UAQ54" s="12"/>
      <c r="UAR54" s="12"/>
      <c r="UAS54" s="12"/>
      <c r="UAT54" s="12"/>
      <c r="UAU54" s="12"/>
      <c r="UAV54" s="12"/>
      <c r="UAW54" s="12"/>
      <c r="UAX54" s="12"/>
      <c r="UAY54" s="12"/>
      <c r="UAZ54" s="12"/>
      <c r="UBA54" s="12"/>
      <c r="UBB54" s="12"/>
      <c r="UBC54" s="12"/>
      <c r="UBD54" s="12"/>
      <c r="UBE54" s="12"/>
      <c r="UBF54" s="12"/>
      <c r="UBG54" s="12"/>
      <c r="UBH54" s="12"/>
      <c r="UBI54" s="12"/>
      <c r="UBJ54" s="12"/>
      <c r="UBK54" s="12"/>
      <c r="UBL54" s="12"/>
      <c r="UBM54" s="12"/>
      <c r="UBN54" s="12"/>
      <c r="UBO54" s="12"/>
      <c r="UBP54" s="12"/>
      <c r="UBQ54" s="12"/>
      <c r="UBR54" s="12"/>
      <c r="UBS54" s="12"/>
      <c r="UBT54" s="12"/>
      <c r="UBU54" s="12"/>
      <c r="UBV54" s="12"/>
      <c r="UBW54" s="12"/>
      <c r="UBX54" s="12"/>
      <c r="UBY54" s="12"/>
      <c r="UBZ54" s="12"/>
      <c r="UCA54" s="12"/>
      <c r="UCB54" s="12"/>
      <c r="UCC54" s="12"/>
      <c r="UCD54" s="12"/>
      <c r="UCE54" s="12"/>
      <c r="UCF54" s="12"/>
      <c r="UCG54" s="12"/>
      <c r="UCH54" s="12"/>
      <c r="UCI54" s="12"/>
      <c r="UCJ54" s="12"/>
      <c r="UCK54" s="12"/>
      <c r="UCL54" s="12"/>
      <c r="UCM54" s="12"/>
      <c r="UCN54" s="12"/>
      <c r="UCO54" s="12"/>
      <c r="UCP54" s="12"/>
      <c r="UCQ54" s="12"/>
      <c r="UCR54" s="12"/>
      <c r="UCS54" s="12"/>
      <c r="UCT54" s="12"/>
      <c r="UCU54" s="12"/>
      <c r="UCV54" s="12"/>
      <c r="UCW54" s="12"/>
      <c r="UCX54" s="12"/>
      <c r="UCY54" s="12"/>
      <c r="UCZ54" s="12"/>
      <c r="UDA54" s="12"/>
      <c r="UDB54" s="12"/>
      <c r="UDC54" s="12"/>
      <c r="UDD54" s="12"/>
      <c r="UDE54" s="12"/>
      <c r="UDF54" s="12"/>
      <c r="UDG54" s="12"/>
      <c r="UDH54" s="12"/>
      <c r="UDI54" s="12"/>
      <c r="UDJ54" s="12"/>
      <c r="UDK54" s="12"/>
      <c r="UDL54" s="12"/>
      <c r="UDM54" s="12"/>
      <c r="UDN54" s="12"/>
      <c r="UDO54" s="12"/>
      <c r="UDP54" s="12"/>
      <c r="UDQ54" s="12"/>
      <c r="UDR54" s="12"/>
      <c r="UDS54" s="12"/>
      <c r="UDT54" s="12"/>
      <c r="UDU54" s="12"/>
      <c r="UDV54" s="12"/>
      <c r="UDW54" s="12"/>
      <c r="UDX54" s="12"/>
      <c r="UDY54" s="12"/>
      <c r="UDZ54" s="12"/>
      <c r="UEA54" s="12"/>
      <c r="UEB54" s="12"/>
      <c r="UEC54" s="12"/>
      <c r="UED54" s="12"/>
      <c r="UEE54" s="12"/>
      <c r="UEF54" s="12"/>
      <c r="UEG54" s="12"/>
      <c r="UEH54" s="12"/>
      <c r="UEI54" s="12"/>
      <c r="UEJ54" s="12"/>
      <c r="UEK54" s="12"/>
      <c r="UEL54" s="12"/>
      <c r="UEM54" s="12"/>
      <c r="UEN54" s="12"/>
      <c r="UEO54" s="12"/>
      <c r="UEP54" s="12"/>
      <c r="UEQ54" s="12"/>
      <c r="UER54" s="12"/>
      <c r="UES54" s="12"/>
      <c r="UET54" s="12"/>
      <c r="UEU54" s="12"/>
      <c r="UEV54" s="12"/>
      <c r="UEW54" s="12"/>
      <c r="UEX54" s="12"/>
      <c r="UEY54" s="12"/>
      <c r="UEZ54" s="12"/>
      <c r="UFA54" s="12"/>
      <c r="UFB54" s="12"/>
      <c r="UFC54" s="12"/>
      <c r="UFD54" s="12"/>
      <c r="UFE54" s="12"/>
      <c r="UFF54" s="12"/>
      <c r="UFG54" s="12"/>
      <c r="UFH54" s="12"/>
      <c r="UFI54" s="12"/>
      <c r="UFJ54" s="12"/>
      <c r="UFK54" s="12"/>
      <c r="UFL54" s="12"/>
      <c r="UFM54" s="12"/>
      <c r="UFN54" s="12"/>
      <c r="UFO54" s="12"/>
      <c r="UFP54" s="12"/>
      <c r="UFQ54" s="12"/>
      <c r="UFR54" s="12"/>
      <c r="UFS54" s="12"/>
      <c r="UFT54" s="12"/>
      <c r="UFU54" s="12"/>
      <c r="UFV54" s="12"/>
      <c r="UFW54" s="12"/>
      <c r="UFX54" s="12"/>
      <c r="UFY54" s="12"/>
      <c r="UFZ54" s="12"/>
      <c r="UGA54" s="12"/>
      <c r="UGB54" s="12"/>
      <c r="UGC54" s="12"/>
      <c r="UGD54" s="12"/>
      <c r="UGE54" s="12"/>
      <c r="UGF54" s="12"/>
      <c r="UGG54" s="12"/>
      <c r="UGH54" s="12"/>
      <c r="UGI54" s="12"/>
      <c r="UGJ54" s="12"/>
      <c r="UGK54" s="12"/>
      <c r="UGL54" s="12"/>
      <c r="UGM54" s="12"/>
      <c r="UGN54" s="12"/>
      <c r="UGO54" s="12"/>
      <c r="UGP54" s="12"/>
      <c r="UGQ54" s="12"/>
      <c r="UGR54" s="12"/>
      <c r="UGS54" s="12"/>
      <c r="UGT54" s="12"/>
      <c r="UGU54" s="12"/>
      <c r="UGV54" s="12"/>
      <c r="UGW54" s="12"/>
      <c r="UGX54" s="12"/>
      <c r="UGY54" s="12"/>
      <c r="UGZ54" s="12"/>
      <c r="UHA54" s="12"/>
      <c r="UHB54" s="12"/>
      <c r="UHC54" s="12"/>
      <c r="UHD54" s="12"/>
      <c r="UHE54" s="12"/>
      <c r="UHF54" s="12"/>
      <c r="UHG54" s="12"/>
      <c r="UHH54" s="12"/>
      <c r="UHI54" s="12"/>
      <c r="UHJ54" s="12"/>
      <c r="UHK54" s="12"/>
      <c r="UHL54" s="12"/>
      <c r="UHM54" s="12"/>
      <c r="UHN54" s="12"/>
      <c r="UHO54" s="12"/>
      <c r="UHP54" s="12"/>
      <c r="UHQ54" s="12"/>
      <c r="UHR54" s="12"/>
      <c r="UHS54" s="12"/>
      <c r="UHT54" s="12"/>
      <c r="UHU54" s="12"/>
      <c r="UHV54" s="12"/>
      <c r="UHW54" s="12"/>
      <c r="UHX54" s="12"/>
      <c r="UHY54" s="12"/>
      <c r="UHZ54" s="12"/>
      <c r="UIA54" s="12"/>
      <c r="UIB54" s="12"/>
      <c r="UIC54" s="12"/>
      <c r="UID54" s="12"/>
      <c r="UIE54" s="12"/>
      <c r="UIF54" s="12"/>
      <c r="UIG54" s="12"/>
      <c r="UIH54" s="12"/>
      <c r="UII54" s="12"/>
      <c r="UIJ54" s="12"/>
      <c r="UIK54" s="12"/>
      <c r="UIL54" s="12"/>
      <c r="UIM54" s="12"/>
      <c r="UIN54" s="12"/>
      <c r="UIO54" s="12"/>
      <c r="UIP54" s="12"/>
      <c r="UIQ54" s="12"/>
      <c r="UIR54" s="12"/>
      <c r="UIS54" s="12"/>
      <c r="UIT54" s="12"/>
      <c r="UIU54" s="12"/>
      <c r="UIV54" s="12"/>
      <c r="UIW54" s="12"/>
      <c r="UIX54" s="12"/>
      <c r="UIY54" s="12"/>
      <c r="UIZ54" s="12"/>
      <c r="UJA54" s="12"/>
      <c r="UJB54" s="12"/>
      <c r="UJC54" s="12"/>
      <c r="UJD54" s="12"/>
      <c r="UJE54" s="12"/>
      <c r="UJF54" s="12"/>
      <c r="UJG54" s="12"/>
      <c r="UJH54" s="12"/>
      <c r="UJI54" s="12"/>
      <c r="UJJ54" s="12"/>
      <c r="UJK54" s="12"/>
      <c r="UJL54" s="12"/>
      <c r="UJM54" s="12"/>
      <c r="UJN54" s="12"/>
      <c r="UJO54" s="12"/>
      <c r="UJP54" s="12"/>
      <c r="UJQ54" s="12"/>
      <c r="UJR54" s="12"/>
      <c r="UJS54" s="12"/>
      <c r="UJT54" s="12"/>
      <c r="UJU54" s="12"/>
      <c r="UJV54" s="12"/>
      <c r="UJW54" s="12"/>
      <c r="UJX54" s="12"/>
      <c r="UJY54" s="12"/>
      <c r="UJZ54" s="12"/>
      <c r="UKA54" s="12"/>
      <c r="UKB54" s="12"/>
      <c r="UKC54" s="12"/>
      <c r="UKD54" s="12"/>
      <c r="UKE54" s="12"/>
      <c r="UKF54" s="12"/>
      <c r="UKG54" s="12"/>
      <c r="UKH54" s="12"/>
      <c r="UKI54" s="12"/>
      <c r="UKJ54" s="12"/>
      <c r="UKK54" s="12"/>
      <c r="UKL54" s="12"/>
      <c r="UKM54" s="12"/>
      <c r="UKN54" s="12"/>
      <c r="UKO54" s="12"/>
      <c r="UKP54" s="12"/>
      <c r="UKQ54" s="12"/>
      <c r="UKR54" s="12"/>
      <c r="UKS54" s="12"/>
      <c r="UKT54" s="12"/>
      <c r="UKU54" s="12"/>
      <c r="UKV54" s="12"/>
      <c r="UKW54" s="12"/>
      <c r="UKX54" s="12"/>
      <c r="UKY54" s="12"/>
      <c r="UKZ54" s="12"/>
      <c r="ULA54" s="12"/>
      <c r="ULB54" s="12"/>
      <c r="ULC54" s="12"/>
      <c r="ULD54" s="12"/>
      <c r="ULE54" s="12"/>
      <c r="ULF54" s="12"/>
      <c r="ULG54" s="12"/>
      <c r="ULH54" s="12"/>
      <c r="ULI54" s="12"/>
      <c r="ULJ54" s="12"/>
      <c r="ULK54" s="12"/>
      <c r="ULL54" s="12"/>
      <c r="ULM54" s="12"/>
      <c r="ULN54" s="12"/>
      <c r="ULO54" s="12"/>
      <c r="ULP54" s="12"/>
      <c r="ULQ54" s="12"/>
      <c r="ULR54" s="12"/>
      <c r="ULS54" s="12"/>
      <c r="ULT54" s="12"/>
      <c r="ULU54" s="12"/>
      <c r="ULV54" s="12"/>
      <c r="ULW54" s="12"/>
      <c r="ULX54" s="12"/>
      <c r="ULY54" s="12"/>
      <c r="ULZ54" s="12"/>
      <c r="UMA54" s="12"/>
      <c r="UMB54" s="12"/>
      <c r="UMC54" s="12"/>
      <c r="UMD54" s="12"/>
      <c r="UME54" s="12"/>
      <c r="UMF54" s="12"/>
      <c r="UMG54" s="12"/>
      <c r="UMH54" s="12"/>
      <c r="UMI54" s="12"/>
      <c r="UMJ54" s="12"/>
      <c r="UMK54" s="12"/>
      <c r="UML54" s="12"/>
      <c r="UMM54" s="12"/>
      <c r="UMN54" s="12"/>
      <c r="UMO54" s="12"/>
      <c r="UMP54" s="12"/>
      <c r="UMQ54" s="12"/>
      <c r="UMR54" s="12"/>
      <c r="UMS54" s="12"/>
      <c r="UMT54" s="12"/>
      <c r="UMU54" s="12"/>
      <c r="UMV54" s="12"/>
      <c r="UMW54" s="12"/>
      <c r="UMX54" s="12"/>
      <c r="UMY54" s="12"/>
      <c r="UMZ54" s="12"/>
      <c r="UNA54" s="12"/>
      <c r="UNB54" s="12"/>
      <c r="UNC54" s="12"/>
      <c r="UND54" s="12"/>
      <c r="UNE54" s="12"/>
      <c r="UNF54" s="12"/>
      <c r="UNG54" s="12"/>
      <c r="UNH54" s="12"/>
      <c r="UNI54" s="12"/>
      <c r="UNJ54" s="12"/>
      <c r="UNK54" s="12"/>
      <c r="UNL54" s="12"/>
      <c r="UNM54" s="12"/>
      <c r="UNN54" s="12"/>
      <c r="UNO54" s="12"/>
      <c r="UNP54" s="12"/>
      <c r="UNQ54" s="12"/>
      <c r="UNR54" s="12"/>
      <c r="UNS54" s="12"/>
      <c r="UNT54" s="12"/>
      <c r="UNU54" s="12"/>
      <c r="UNV54" s="12"/>
      <c r="UNW54" s="12"/>
      <c r="UNX54" s="12"/>
      <c r="UNY54" s="12"/>
      <c r="UNZ54" s="12"/>
      <c r="UOA54" s="12"/>
      <c r="UOB54" s="12"/>
      <c r="UOC54" s="12"/>
      <c r="UOD54" s="12"/>
      <c r="UOE54" s="12"/>
      <c r="UOF54" s="12"/>
      <c r="UOG54" s="12"/>
      <c r="UOH54" s="12"/>
      <c r="UOI54" s="12"/>
      <c r="UOJ54" s="12"/>
      <c r="UOK54" s="12"/>
      <c r="UOL54" s="12"/>
      <c r="UOM54" s="12"/>
      <c r="UON54" s="12"/>
      <c r="UOO54" s="12"/>
      <c r="UOP54" s="12"/>
      <c r="UOQ54" s="12"/>
      <c r="UOR54" s="12"/>
      <c r="UOS54" s="12"/>
      <c r="UOT54" s="12"/>
      <c r="UOU54" s="12"/>
      <c r="UOV54" s="12"/>
      <c r="UOW54" s="12"/>
      <c r="UOX54" s="12"/>
      <c r="UOY54" s="12"/>
      <c r="UOZ54" s="12"/>
      <c r="UPA54" s="12"/>
      <c r="UPB54" s="12"/>
      <c r="UPC54" s="12"/>
      <c r="UPD54" s="12"/>
      <c r="UPE54" s="12"/>
      <c r="UPF54" s="12"/>
      <c r="UPG54" s="12"/>
      <c r="UPH54" s="12"/>
      <c r="UPI54" s="12"/>
      <c r="UPJ54" s="12"/>
      <c r="UPK54" s="12"/>
      <c r="UPL54" s="12"/>
      <c r="UPM54" s="12"/>
      <c r="UPN54" s="12"/>
      <c r="UPO54" s="12"/>
      <c r="UPP54" s="12"/>
      <c r="UPQ54" s="12"/>
      <c r="UPR54" s="12"/>
      <c r="UPS54" s="12"/>
      <c r="UPT54" s="12"/>
      <c r="UPU54" s="12"/>
      <c r="UPV54" s="12"/>
      <c r="UPW54" s="12"/>
      <c r="UPX54" s="12"/>
      <c r="UPY54" s="12"/>
      <c r="UPZ54" s="12"/>
      <c r="UQA54" s="12"/>
      <c r="UQB54" s="12"/>
      <c r="UQC54" s="12"/>
      <c r="UQD54" s="12"/>
      <c r="UQE54" s="12"/>
      <c r="UQF54" s="12"/>
      <c r="UQG54" s="12"/>
      <c r="UQH54" s="12"/>
      <c r="UQI54" s="12"/>
      <c r="UQJ54" s="12"/>
      <c r="UQK54" s="12"/>
      <c r="UQL54" s="12"/>
      <c r="UQM54" s="12"/>
      <c r="UQN54" s="12"/>
      <c r="UQO54" s="12"/>
      <c r="UQP54" s="12"/>
      <c r="UQQ54" s="12"/>
      <c r="UQR54" s="12"/>
      <c r="UQS54" s="12"/>
      <c r="UQT54" s="12"/>
      <c r="UQU54" s="12"/>
      <c r="UQV54" s="12"/>
      <c r="UQW54" s="12"/>
      <c r="UQX54" s="12"/>
      <c r="UQY54" s="12"/>
      <c r="UQZ54" s="12"/>
      <c r="URA54" s="12"/>
      <c r="URB54" s="12"/>
      <c r="URC54" s="12"/>
      <c r="URD54" s="12"/>
      <c r="URE54" s="12"/>
      <c r="URF54" s="12"/>
      <c r="URG54" s="12"/>
      <c r="URH54" s="12"/>
      <c r="URI54" s="12"/>
      <c r="URJ54" s="12"/>
      <c r="URK54" s="12"/>
      <c r="URL54" s="12"/>
      <c r="URM54" s="12"/>
      <c r="URN54" s="12"/>
      <c r="URO54" s="12"/>
      <c r="URP54" s="12"/>
      <c r="URQ54" s="12"/>
      <c r="URR54" s="12"/>
      <c r="URS54" s="12"/>
      <c r="URT54" s="12"/>
      <c r="URU54" s="12"/>
      <c r="URV54" s="12"/>
      <c r="URW54" s="12"/>
      <c r="URX54" s="12"/>
      <c r="URY54" s="12"/>
      <c r="URZ54" s="12"/>
      <c r="USA54" s="12"/>
      <c r="USB54" s="12"/>
      <c r="USC54" s="12"/>
      <c r="USD54" s="12"/>
      <c r="USE54" s="12"/>
      <c r="USF54" s="12"/>
      <c r="USG54" s="12"/>
      <c r="USH54" s="12"/>
      <c r="USI54" s="12"/>
      <c r="USJ54" s="12"/>
      <c r="USK54" s="12"/>
      <c r="USL54" s="12"/>
      <c r="USM54" s="12"/>
      <c r="USN54" s="12"/>
      <c r="USO54" s="12"/>
      <c r="USP54" s="12"/>
      <c r="USQ54" s="12"/>
      <c r="USR54" s="12"/>
      <c r="USS54" s="12"/>
      <c r="UST54" s="12"/>
      <c r="USU54" s="12"/>
      <c r="USV54" s="12"/>
      <c r="USW54" s="12"/>
      <c r="USX54" s="12"/>
      <c r="USY54" s="12"/>
      <c r="USZ54" s="12"/>
      <c r="UTA54" s="12"/>
      <c r="UTB54" s="12"/>
      <c r="UTC54" s="12"/>
      <c r="UTD54" s="12"/>
      <c r="UTE54" s="12"/>
      <c r="UTF54" s="12"/>
      <c r="UTG54" s="12"/>
      <c r="UTH54" s="12"/>
      <c r="UTI54" s="12"/>
      <c r="UTJ54" s="12"/>
      <c r="UTK54" s="12"/>
      <c r="UTL54" s="12"/>
      <c r="UTM54" s="12"/>
      <c r="UTN54" s="12"/>
      <c r="UTO54" s="12"/>
      <c r="UTP54" s="12"/>
      <c r="UTQ54" s="12"/>
      <c r="UTR54" s="12"/>
      <c r="UTS54" s="12"/>
      <c r="UTT54" s="12"/>
      <c r="UTU54" s="12"/>
      <c r="UTV54" s="12"/>
      <c r="UTW54" s="12"/>
      <c r="UTX54" s="12"/>
      <c r="UTY54" s="12"/>
      <c r="UTZ54" s="12"/>
      <c r="UUA54" s="12"/>
      <c r="UUB54" s="12"/>
      <c r="UUC54" s="12"/>
      <c r="UUD54" s="12"/>
      <c r="UUE54" s="12"/>
      <c r="UUF54" s="12"/>
      <c r="UUG54" s="12"/>
      <c r="UUH54" s="12"/>
      <c r="UUI54" s="12"/>
      <c r="UUJ54" s="12"/>
      <c r="UUK54" s="12"/>
      <c r="UUL54" s="12"/>
      <c r="UUM54" s="12"/>
      <c r="UUN54" s="12"/>
      <c r="UUO54" s="12"/>
      <c r="UUP54" s="12"/>
      <c r="UUQ54" s="12"/>
      <c r="UUR54" s="12"/>
      <c r="UUS54" s="12"/>
      <c r="UUT54" s="12"/>
      <c r="UUU54" s="12"/>
      <c r="UUV54" s="12"/>
      <c r="UUW54" s="12"/>
      <c r="UUX54" s="12"/>
      <c r="UUY54" s="12"/>
      <c r="UUZ54" s="12"/>
      <c r="UVA54" s="12"/>
      <c r="UVB54" s="12"/>
      <c r="UVC54" s="12"/>
      <c r="UVD54" s="12"/>
      <c r="UVE54" s="12"/>
      <c r="UVF54" s="12"/>
      <c r="UVG54" s="12"/>
      <c r="UVH54" s="12"/>
      <c r="UVI54" s="12"/>
      <c r="UVJ54" s="12"/>
      <c r="UVK54" s="12"/>
      <c r="UVL54" s="12"/>
      <c r="UVM54" s="12"/>
      <c r="UVN54" s="12"/>
      <c r="UVO54" s="12"/>
      <c r="UVP54" s="12"/>
      <c r="UVQ54" s="12"/>
      <c r="UVR54" s="12"/>
      <c r="UVS54" s="12"/>
      <c r="UVT54" s="12"/>
      <c r="UVU54" s="12"/>
      <c r="UVV54" s="12"/>
      <c r="UVW54" s="12"/>
      <c r="UVX54" s="12"/>
      <c r="UVY54" s="12"/>
      <c r="UVZ54" s="12"/>
      <c r="UWA54" s="12"/>
      <c r="UWB54" s="12"/>
      <c r="UWC54" s="12"/>
      <c r="UWD54" s="12"/>
      <c r="UWE54" s="12"/>
      <c r="UWF54" s="12"/>
      <c r="UWG54" s="12"/>
      <c r="UWH54" s="12"/>
      <c r="UWI54" s="12"/>
      <c r="UWJ54" s="12"/>
      <c r="UWK54" s="12"/>
      <c r="UWL54" s="12"/>
      <c r="UWM54" s="12"/>
      <c r="UWN54" s="12"/>
      <c r="UWO54" s="12"/>
      <c r="UWP54" s="12"/>
      <c r="UWQ54" s="12"/>
      <c r="UWR54" s="12"/>
      <c r="UWS54" s="12"/>
      <c r="UWT54" s="12"/>
      <c r="UWU54" s="12"/>
      <c r="UWV54" s="12"/>
      <c r="UWW54" s="12"/>
      <c r="UWX54" s="12"/>
      <c r="UWY54" s="12"/>
      <c r="UWZ54" s="12"/>
      <c r="UXA54" s="12"/>
      <c r="UXB54" s="12"/>
      <c r="UXC54" s="12"/>
      <c r="UXD54" s="12"/>
      <c r="UXE54" s="12"/>
      <c r="UXF54" s="12"/>
      <c r="UXG54" s="12"/>
      <c r="UXH54" s="12"/>
      <c r="UXI54" s="12"/>
      <c r="UXJ54" s="12"/>
      <c r="UXK54" s="12"/>
      <c r="UXL54" s="12"/>
      <c r="UXM54" s="12"/>
      <c r="UXN54" s="12"/>
      <c r="UXO54" s="12"/>
      <c r="UXP54" s="12"/>
      <c r="UXQ54" s="12"/>
      <c r="UXR54" s="12"/>
      <c r="UXS54" s="12"/>
      <c r="UXT54" s="12"/>
      <c r="UXU54" s="12"/>
      <c r="UXV54" s="12"/>
      <c r="UXW54" s="12"/>
      <c r="UXX54" s="12"/>
      <c r="UXY54" s="12"/>
      <c r="UXZ54" s="12"/>
      <c r="UYA54" s="12"/>
      <c r="UYB54" s="12"/>
      <c r="UYC54" s="12"/>
      <c r="UYD54" s="12"/>
      <c r="UYE54" s="12"/>
      <c r="UYF54" s="12"/>
      <c r="UYG54" s="12"/>
      <c r="UYH54" s="12"/>
      <c r="UYI54" s="12"/>
      <c r="UYJ54" s="12"/>
      <c r="UYK54" s="12"/>
      <c r="UYL54" s="12"/>
      <c r="UYM54" s="12"/>
      <c r="UYN54" s="12"/>
      <c r="UYO54" s="12"/>
      <c r="UYP54" s="12"/>
      <c r="UYQ54" s="12"/>
      <c r="UYR54" s="12"/>
      <c r="UYS54" s="12"/>
      <c r="UYT54" s="12"/>
      <c r="UYU54" s="12"/>
      <c r="UYV54" s="12"/>
      <c r="UYW54" s="12"/>
      <c r="UYX54" s="12"/>
      <c r="UYY54" s="12"/>
      <c r="UYZ54" s="12"/>
      <c r="UZA54" s="12"/>
      <c r="UZB54" s="12"/>
      <c r="UZC54" s="12"/>
      <c r="UZD54" s="12"/>
      <c r="UZE54" s="12"/>
      <c r="UZF54" s="12"/>
      <c r="UZG54" s="12"/>
      <c r="UZH54" s="12"/>
      <c r="UZI54" s="12"/>
      <c r="UZJ54" s="12"/>
      <c r="UZK54" s="12"/>
      <c r="UZL54" s="12"/>
      <c r="UZM54" s="12"/>
      <c r="UZN54" s="12"/>
      <c r="UZO54" s="12"/>
      <c r="UZP54" s="12"/>
      <c r="UZQ54" s="12"/>
      <c r="UZR54" s="12"/>
      <c r="UZS54" s="12"/>
      <c r="UZT54" s="12"/>
      <c r="UZU54" s="12"/>
      <c r="UZV54" s="12"/>
      <c r="UZW54" s="12"/>
      <c r="UZX54" s="12"/>
      <c r="UZY54" s="12"/>
      <c r="UZZ54" s="12"/>
      <c r="VAA54" s="12"/>
      <c r="VAB54" s="12"/>
      <c r="VAC54" s="12"/>
      <c r="VAD54" s="12"/>
      <c r="VAE54" s="12"/>
      <c r="VAF54" s="12"/>
      <c r="VAG54" s="12"/>
      <c r="VAH54" s="12"/>
      <c r="VAI54" s="12"/>
      <c r="VAJ54" s="12"/>
      <c r="VAK54" s="12"/>
      <c r="VAL54" s="12"/>
      <c r="VAM54" s="12"/>
      <c r="VAN54" s="12"/>
      <c r="VAO54" s="12"/>
      <c r="VAP54" s="12"/>
      <c r="VAQ54" s="12"/>
      <c r="VAR54" s="12"/>
      <c r="VAS54" s="12"/>
      <c r="VAT54" s="12"/>
      <c r="VAU54" s="12"/>
      <c r="VAV54" s="12"/>
      <c r="VAW54" s="12"/>
      <c r="VAX54" s="12"/>
      <c r="VAY54" s="12"/>
      <c r="VAZ54" s="12"/>
      <c r="VBA54" s="12"/>
      <c r="VBB54" s="12"/>
      <c r="VBC54" s="12"/>
      <c r="VBD54" s="12"/>
      <c r="VBE54" s="12"/>
      <c r="VBF54" s="12"/>
      <c r="VBG54" s="12"/>
      <c r="VBH54" s="12"/>
      <c r="VBI54" s="12"/>
      <c r="VBJ54" s="12"/>
      <c r="VBK54" s="12"/>
      <c r="VBL54" s="12"/>
      <c r="VBM54" s="12"/>
      <c r="VBN54" s="12"/>
      <c r="VBO54" s="12"/>
      <c r="VBP54" s="12"/>
      <c r="VBQ54" s="12"/>
      <c r="VBR54" s="12"/>
      <c r="VBS54" s="12"/>
      <c r="VBT54" s="12"/>
      <c r="VBU54" s="12"/>
      <c r="VBV54" s="12"/>
      <c r="VBW54" s="12"/>
      <c r="VBX54" s="12"/>
      <c r="VBY54" s="12"/>
      <c r="VBZ54" s="12"/>
      <c r="VCA54" s="12"/>
      <c r="VCB54" s="12"/>
      <c r="VCC54" s="12"/>
      <c r="VCD54" s="12"/>
      <c r="VCE54" s="12"/>
      <c r="VCF54" s="12"/>
      <c r="VCG54" s="12"/>
      <c r="VCH54" s="12"/>
      <c r="VCI54" s="12"/>
      <c r="VCJ54" s="12"/>
      <c r="VCK54" s="12"/>
      <c r="VCL54" s="12"/>
      <c r="VCM54" s="12"/>
      <c r="VCN54" s="12"/>
      <c r="VCO54" s="12"/>
      <c r="VCP54" s="12"/>
      <c r="VCQ54" s="12"/>
      <c r="VCR54" s="12"/>
      <c r="VCS54" s="12"/>
      <c r="VCT54" s="12"/>
      <c r="VCU54" s="12"/>
      <c r="VCV54" s="12"/>
      <c r="VCW54" s="12"/>
      <c r="VCX54" s="12"/>
      <c r="VCY54" s="12"/>
      <c r="VCZ54" s="12"/>
      <c r="VDA54" s="12"/>
      <c r="VDB54" s="12"/>
      <c r="VDC54" s="12"/>
      <c r="VDD54" s="12"/>
      <c r="VDE54" s="12"/>
      <c r="VDF54" s="12"/>
      <c r="VDG54" s="12"/>
      <c r="VDH54" s="12"/>
      <c r="VDI54" s="12"/>
      <c r="VDJ54" s="12"/>
      <c r="VDK54" s="12"/>
      <c r="VDL54" s="12"/>
      <c r="VDM54" s="12"/>
      <c r="VDN54" s="12"/>
      <c r="VDO54" s="12"/>
      <c r="VDP54" s="12"/>
      <c r="VDQ54" s="12"/>
      <c r="VDR54" s="12"/>
      <c r="VDS54" s="12"/>
      <c r="VDT54" s="12"/>
      <c r="VDU54" s="12"/>
      <c r="VDV54" s="12"/>
      <c r="VDW54" s="12"/>
      <c r="VDX54" s="12"/>
      <c r="VDY54" s="12"/>
      <c r="VDZ54" s="12"/>
      <c r="VEA54" s="12"/>
      <c r="VEB54" s="12"/>
      <c r="VEC54" s="12"/>
      <c r="VED54" s="12"/>
      <c r="VEE54" s="12"/>
      <c r="VEF54" s="12"/>
      <c r="VEG54" s="12"/>
      <c r="VEH54" s="12"/>
      <c r="VEI54" s="12"/>
      <c r="VEJ54" s="12"/>
      <c r="VEK54" s="12"/>
      <c r="VEL54" s="12"/>
      <c r="VEM54" s="12"/>
      <c r="VEN54" s="12"/>
      <c r="VEO54" s="12"/>
      <c r="VEP54" s="12"/>
      <c r="VEQ54" s="12"/>
      <c r="VER54" s="12"/>
      <c r="VES54" s="12"/>
      <c r="VET54" s="12"/>
      <c r="VEU54" s="12"/>
      <c r="VEV54" s="12"/>
      <c r="VEW54" s="12"/>
      <c r="VEX54" s="12"/>
      <c r="VEY54" s="12"/>
      <c r="VEZ54" s="12"/>
      <c r="VFA54" s="12"/>
      <c r="VFB54" s="12"/>
      <c r="VFC54" s="12"/>
      <c r="VFD54" s="12"/>
      <c r="VFE54" s="12"/>
      <c r="VFF54" s="12"/>
      <c r="VFG54" s="12"/>
      <c r="VFH54" s="12"/>
      <c r="VFI54" s="12"/>
      <c r="VFJ54" s="12"/>
      <c r="VFK54" s="12"/>
      <c r="VFL54" s="12"/>
      <c r="VFM54" s="12"/>
      <c r="VFN54" s="12"/>
      <c r="VFO54" s="12"/>
      <c r="VFP54" s="12"/>
      <c r="VFQ54" s="12"/>
      <c r="VFR54" s="12"/>
      <c r="VFS54" s="12"/>
      <c r="VFT54" s="12"/>
      <c r="VFU54" s="12"/>
      <c r="VFV54" s="12"/>
      <c r="VFW54" s="12"/>
      <c r="VFX54" s="12"/>
      <c r="VFY54" s="12"/>
      <c r="VFZ54" s="12"/>
      <c r="VGA54" s="12"/>
      <c r="VGB54" s="12"/>
      <c r="VGC54" s="12"/>
      <c r="VGD54" s="12"/>
      <c r="VGE54" s="12"/>
      <c r="VGF54" s="12"/>
      <c r="VGG54" s="12"/>
      <c r="VGH54" s="12"/>
      <c r="VGI54" s="12"/>
      <c r="VGJ54" s="12"/>
      <c r="VGK54" s="12"/>
      <c r="VGL54" s="12"/>
      <c r="VGM54" s="12"/>
      <c r="VGN54" s="12"/>
      <c r="VGO54" s="12"/>
      <c r="VGP54" s="12"/>
      <c r="VGQ54" s="12"/>
      <c r="VGR54" s="12"/>
      <c r="VGS54" s="12"/>
      <c r="VGT54" s="12"/>
      <c r="VGU54" s="12"/>
      <c r="VGV54" s="12"/>
      <c r="VGW54" s="12"/>
      <c r="VGX54" s="12"/>
      <c r="VGY54" s="12"/>
      <c r="VGZ54" s="12"/>
      <c r="VHA54" s="12"/>
      <c r="VHB54" s="12"/>
      <c r="VHC54" s="12"/>
      <c r="VHD54" s="12"/>
      <c r="VHE54" s="12"/>
      <c r="VHF54" s="12"/>
      <c r="VHG54" s="12"/>
      <c r="VHH54" s="12"/>
      <c r="VHI54" s="12"/>
      <c r="VHJ54" s="12"/>
      <c r="VHK54" s="12"/>
      <c r="VHL54" s="12"/>
      <c r="VHM54" s="12"/>
      <c r="VHN54" s="12"/>
      <c r="VHO54" s="12"/>
      <c r="VHP54" s="12"/>
      <c r="VHQ54" s="12"/>
      <c r="VHR54" s="12"/>
      <c r="VHS54" s="12"/>
      <c r="VHT54" s="12"/>
      <c r="VHU54" s="12"/>
      <c r="VHV54" s="12"/>
      <c r="VHW54" s="12"/>
      <c r="VHX54" s="12"/>
      <c r="VHY54" s="12"/>
      <c r="VHZ54" s="12"/>
      <c r="VIA54" s="12"/>
      <c r="VIB54" s="12"/>
      <c r="VIC54" s="12"/>
      <c r="VID54" s="12"/>
      <c r="VIE54" s="12"/>
      <c r="VIF54" s="12"/>
      <c r="VIG54" s="12"/>
      <c r="VIH54" s="12"/>
      <c r="VII54" s="12"/>
      <c r="VIJ54" s="12"/>
      <c r="VIK54" s="12"/>
      <c r="VIL54" s="12"/>
      <c r="VIM54" s="12"/>
      <c r="VIN54" s="12"/>
      <c r="VIO54" s="12"/>
      <c r="VIP54" s="12"/>
      <c r="VIQ54" s="12"/>
      <c r="VIR54" s="12"/>
      <c r="VIS54" s="12"/>
      <c r="VIT54" s="12"/>
      <c r="VIU54" s="12"/>
      <c r="VIV54" s="12"/>
      <c r="VIW54" s="12"/>
      <c r="VIX54" s="12"/>
      <c r="VIY54" s="12"/>
      <c r="VIZ54" s="12"/>
      <c r="VJA54" s="12"/>
      <c r="VJB54" s="12"/>
      <c r="VJC54" s="12"/>
      <c r="VJD54" s="12"/>
      <c r="VJE54" s="12"/>
      <c r="VJF54" s="12"/>
      <c r="VJG54" s="12"/>
      <c r="VJH54" s="12"/>
      <c r="VJI54" s="12"/>
      <c r="VJJ54" s="12"/>
      <c r="VJK54" s="12"/>
      <c r="VJL54" s="12"/>
      <c r="VJM54" s="12"/>
      <c r="VJN54" s="12"/>
      <c r="VJO54" s="12"/>
      <c r="VJP54" s="12"/>
      <c r="VJQ54" s="12"/>
      <c r="VJR54" s="12"/>
      <c r="VJS54" s="12"/>
      <c r="VJT54" s="12"/>
      <c r="VJU54" s="12"/>
      <c r="VJV54" s="12"/>
      <c r="VJW54" s="12"/>
      <c r="VJX54" s="12"/>
      <c r="VJY54" s="12"/>
      <c r="VJZ54" s="12"/>
      <c r="VKA54" s="12"/>
      <c r="VKB54" s="12"/>
      <c r="VKC54" s="12"/>
      <c r="VKD54" s="12"/>
      <c r="VKE54" s="12"/>
      <c r="VKF54" s="12"/>
      <c r="VKG54" s="12"/>
      <c r="VKH54" s="12"/>
      <c r="VKI54" s="12"/>
      <c r="VKJ54" s="12"/>
      <c r="VKK54" s="12"/>
      <c r="VKL54" s="12"/>
      <c r="VKM54" s="12"/>
      <c r="VKN54" s="12"/>
      <c r="VKO54" s="12"/>
      <c r="VKP54" s="12"/>
      <c r="VKQ54" s="12"/>
      <c r="VKR54" s="12"/>
      <c r="VKS54" s="12"/>
      <c r="VKT54" s="12"/>
      <c r="VKU54" s="12"/>
      <c r="VKV54" s="12"/>
      <c r="VKW54" s="12"/>
      <c r="VKX54" s="12"/>
      <c r="VKY54" s="12"/>
      <c r="VKZ54" s="12"/>
      <c r="VLA54" s="12"/>
      <c r="VLB54" s="12"/>
      <c r="VLC54" s="12"/>
      <c r="VLD54" s="12"/>
      <c r="VLE54" s="12"/>
      <c r="VLF54" s="12"/>
      <c r="VLG54" s="12"/>
      <c r="VLH54" s="12"/>
      <c r="VLI54" s="12"/>
      <c r="VLJ54" s="12"/>
      <c r="VLK54" s="12"/>
      <c r="VLL54" s="12"/>
      <c r="VLM54" s="12"/>
      <c r="VLN54" s="12"/>
      <c r="VLO54" s="12"/>
      <c r="VLP54" s="12"/>
      <c r="VLQ54" s="12"/>
      <c r="VLR54" s="12"/>
      <c r="VLS54" s="12"/>
      <c r="VLT54" s="12"/>
      <c r="VLU54" s="12"/>
      <c r="VLV54" s="12"/>
      <c r="VLW54" s="12"/>
      <c r="VLX54" s="12"/>
      <c r="VLY54" s="12"/>
      <c r="VLZ54" s="12"/>
      <c r="VMA54" s="12"/>
      <c r="VMB54" s="12"/>
      <c r="VMC54" s="12"/>
      <c r="VMD54" s="12"/>
      <c r="VME54" s="12"/>
      <c r="VMF54" s="12"/>
      <c r="VMG54" s="12"/>
      <c r="VMH54" s="12"/>
      <c r="VMI54" s="12"/>
      <c r="VMJ54" s="12"/>
      <c r="VMK54" s="12"/>
      <c r="VML54" s="12"/>
      <c r="VMM54" s="12"/>
      <c r="VMN54" s="12"/>
      <c r="VMO54" s="12"/>
      <c r="VMP54" s="12"/>
      <c r="VMQ54" s="12"/>
      <c r="VMR54" s="12"/>
      <c r="VMS54" s="12"/>
      <c r="VMT54" s="12"/>
      <c r="VMU54" s="12"/>
      <c r="VMV54" s="12"/>
      <c r="VMW54" s="12"/>
      <c r="VMX54" s="12"/>
      <c r="VMY54" s="12"/>
      <c r="VMZ54" s="12"/>
      <c r="VNA54" s="12"/>
      <c r="VNB54" s="12"/>
      <c r="VNC54" s="12"/>
      <c r="VND54" s="12"/>
      <c r="VNE54" s="12"/>
      <c r="VNF54" s="12"/>
      <c r="VNG54" s="12"/>
      <c r="VNH54" s="12"/>
      <c r="VNI54" s="12"/>
      <c r="VNJ54" s="12"/>
      <c r="VNK54" s="12"/>
      <c r="VNL54" s="12"/>
      <c r="VNM54" s="12"/>
      <c r="VNN54" s="12"/>
      <c r="VNO54" s="12"/>
      <c r="VNP54" s="12"/>
      <c r="VNQ54" s="12"/>
      <c r="VNR54" s="12"/>
      <c r="VNS54" s="12"/>
      <c r="VNT54" s="12"/>
      <c r="VNU54" s="12"/>
      <c r="VNV54" s="12"/>
      <c r="VNW54" s="12"/>
      <c r="VNX54" s="12"/>
      <c r="VNY54" s="12"/>
      <c r="VNZ54" s="12"/>
      <c r="VOA54" s="12"/>
      <c r="VOB54" s="12"/>
      <c r="VOC54" s="12"/>
      <c r="VOD54" s="12"/>
      <c r="VOE54" s="12"/>
      <c r="VOF54" s="12"/>
      <c r="VOG54" s="12"/>
      <c r="VOH54" s="12"/>
      <c r="VOI54" s="12"/>
      <c r="VOJ54" s="12"/>
      <c r="VOK54" s="12"/>
      <c r="VOL54" s="12"/>
      <c r="VOM54" s="12"/>
      <c r="VON54" s="12"/>
      <c r="VOO54" s="12"/>
      <c r="VOP54" s="12"/>
      <c r="VOQ54" s="12"/>
      <c r="VOR54" s="12"/>
      <c r="VOS54" s="12"/>
      <c r="VOT54" s="12"/>
      <c r="VOU54" s="12"/>
      <c r="VOV54" s="12"/>
      <c r="VOW54" s="12"/>
      <c r="VOX54" s="12"/>
      <c r="VOY54" s="12"/>
      <c r="VOZ54" s="12"/>
      <c r="VPA54" s="12"/>
      <c r="VPB54" s="12"/>
      <c r="VPC54" s="12"/>
      <c r="VPD54" s="12"/>
      <c r="VPE54" s="12"/>
      <c r="VPF54" s="12"/>
      <c r="VPG54" s="12"/>
      <c r="VPH54" s="12"/>
      <c r="VPI54" s="12"/>
      <c r="VPJ54" s="12"/>
      <c r="VPK54" s="12"/>
      <c r="VPL54" s="12"/>
      <c r="VPM54" s="12"/>
      <c r="VPN54" s="12"/>
      <c r="VPO54" s="12"/>
      <c r="VPP54" s="12"/>
      <c r="VPQ54" s="12"/>
      <c r="VPR54" s="12"/>
      <c r="VPS54" s="12"/>
      <c r="VPT54" s="12"/>
      <c r="VPU54" s="12"/>
      <c r="VPV54" s="12"/>
      <c r="VPW54" s="12"/>
      <c r="VPX54" s="12"/>
      <c r="VPY54" s="12"/>
      <c r="VPZ54" s="12"/>
      <c r="VQA54" s="12"/>
      <c r="VQB54" s="12"/>
      <c r="VQC54" s="12"/>
      <c r="VQD54" s="12"/>
      <c r="VQE54" s="12"/>
      <c r="VQF54" s="12"/>
      <c r="VQG54" s="12"/>
      <c r="VQH54" s="12"/>
      <c r="VQI54" s="12"/>
      <c r="VQJ54" s="12"/>
      <c r="VQK54" s="12"/>
      <c r="VQL54" s="12"/>
      <c r="VQM54" s="12"/>
      <c r="VQN54" s="12"/>
      <c r="VQO54" s="12"/>
      <c r="VQP54" s="12"/>
      <c r="VQQ54" s="12"/>
      <c r="VQR54" s="12"/>
      <c r="VQS54" s="12"/>
      <c r="VQT54" s="12"/>
      <c r="VQU54" s="12"/>
      <c r="VQV54" s="12"/>
      <c r="VQW54" s="12"/>
      <c r="VQX54" s="12"/>
      <c r="VQY54" s="12"/>
      <c r="VQZ54" s="12"/>
      <c r="VRA54" s="12"/>
      <c r="VRB54" s="12"/>
      <c r="VRC54" s="12"/>
      <c r="VRD54" s="12"/>
      <c r="VRE54" s="12"/>
      <c r="VRF54" s="12"/>
      <c r="VRG54" s="12"/>
      <c r="VRH54" s="12"/>
      <c r="VRI54" s="12"/>
      <c r="VRJ54" s="12"/>
      <c r="VRK54" s="12"/>
      <c r="VRL54" s="12"/>
      <c r="VRM54" s="12"/>
      <c r="VRN54" s="12"/>
      <c r="VRO54" s="12"/>
      <c r="VRP54" s="12"/>
      <c r="VRQ54" s="12"/>
      <c r="VRR54" s="12"/>
      <c r="VRS54" s="12"/>
      <c r="VRT54" s="12"/>
      <c r="VRU54" s="12"/>
      <c r="VRV54" s="12"/>
      <c r="VRW54" s="12"/>
      <c r="VRX54" s="12"/>
      <c r="VRY54" s="12"/>
      <c r="VRZ54" s="12"/>
      <c r="VSA54" s="12"/>
      <c r="VSB54" s="12"/>
      <c r="VSC54" s="12"/>
      <c r="VSD54" s="12"/>
      <c r="VSE54" s="12"/>
      <c r="VSF54" s="12"/>
      <c r="VSG54" s="12"/>
      <c r="VSH54" s="12"/>
      <c r="VSI54" s="12"/>
      <c r="VSJ54" s="12"/>
      <c r="VSK54" s="12"/>
      <c r="VSL54" s="12"/>
      <c r="VSM54" s="12"/>
      <c r="VSN54" s="12"/>
      <c r="VSO54" s="12"/>
      <c r="VSP54" s="12"/>
      <c r="VSQ54" s="12"/>
      <c r="VSR54" s="12"/>
      <c r="VSS54" s="12"/>
      <c r="VST54" s="12"/>
      <c r="VSU54" s="12"/>
      <c r="VSV54" s="12"/>
      <c r="VSW54" s="12"/>
      <c r="VSX54" s="12"/>
      <c r="VSY54" s="12"/>
      <c r="VSZ54" s="12"/>
      <c r="VTA54" s="12"/>
      <c r="VTB54" s="12"/>
      <c r="VTC54" s="12"/>
      <c r="VTD54" s="12"/>
      <c r="VTE54" s="12"/>
      <c r="VTF54" s="12"/>
      <c r="VTG54" s="12"/>
      <c r="VTH54" s="12"/>
      <c r="VTI54" s="12"/>
      <c r="VTJ54" s="12"/>
      <c r="VTK54" s="12"/>
      <c r="VTL54" s="12"/>
      <c r="VTM54" s="12"/>
      <c r="VTN54" s="12"/>
      <c r="VTO54" s="12"/>
      <c r="VTP54" s="12"/>
      <c r="VTQ54" s="12"/>
      <c r="VTR54" s="12"/>
      <c r="VTS54" s="12"/>
      <c r="VTT54" s="12"/>
      <c r="VTU54" s="12"/>
      <c r="VTV54" s="12"/>
      <c r="VTW54" s="12"/>
      <c r="VTX54" s="12"/>
      <c r="VTY54" s="12"/>
      <c r="VTZ54" s="12"/>
      <c r="VUA54" s="12"/>
      <c r="VUB54" s="12"/>
      <c r="VUC54" s="12"/>
      <c r="VUD54" s="12"/>
      <c r="VUE54" s="12"/>
      <c r="VUF54" s="12"/>
      <c r="VUG54" s="12"/>
      <c r="VUH54" s="12"/>
      <c r="VUI54" s="12"/>
      <c r="VUJ54" s="12"/>
      <c r="VUK54" s="12"/>
      <c r="VUL54" s="12"/>
      <c r="VUM54" s="12"/>
      <c r="VUN54" s="12"/>
      <c r="VUO54" s="12"/>
      <c r="VUP54" s="12"/>
      <c r="VUQ54" s="12"/>
      <c r="VUR54" s="12"/>
      <c r="VUS54" s="12"/>
      <c r="VUT54" s="12"/>
      <c r="VUU54" s="12"/>
      <c r="VUV54" s="12"/>
      <c r="VUW54" s="12"/>
      <c r="VUX54" s="12"/>
      <c r="VUY54" s="12"/>
      <c r="VUZ54" s="12"/>
      <c r="VVA54" s="12"/>
      <c r="VVB54" s="12"/>
      <c r="VVC54" s="12"/>
      <c r="VVD54" s="12"/>
      <c r="VVE54" s="12"/>
      <c r="VVF54" s="12"/>
      <c r="VVG54" s="12"/>
      <c r="VVH54" s="12"/>
      <c r="VVI54" s="12"/>
      <c r="VVJ54" s="12"/>
      <c r="VVK54" s="12"/>
      <c r="VVL54" s="12"/>
      <c r="VVM54" s="12"/>
      <c r="VVN54" s="12"/>
      <c r="VVO54" s="12"/>
      <c r="VVP54" s="12"/>
      <c r="VVQ54" s="12"/>
      <c r="VVR54" s="12"/>
      <c r="VVS54" s="12"/>
      <c r="VVT54" s="12"/>
      <c r="VVU54" s="12"/>
      <c r="VVV54" s="12"/>
      <c r="VVW54" s="12"/>
      <c r="VVX54" s="12"/>
      <c r="VVY54" s="12"/>
      <c r="VVZ54" s="12"/>
      <c r="VWA54" s="12"/>
      <c r="VWB54" s="12"/>
      <c r="VWC54" s="12"/>
      <c r="VWD54" s="12"/>
      <c r="VWE54" s="12"/>
      <c r="VWF54" s="12"/>
      <c r="VWG54" s="12"/>
      <c r="VWH54" s="12"/>
      <c r="VWI54" s="12"/>
      <c r="VWJ54" s="12"/>
      <c r="VWK54" s="12"/>
      <c r="VWL54" s="12"/>
      <c r="VWM54" s="12"/>
      <c r="VWN54" s="12"/>
      <c r="VWO54" s="12"/>
      <c r="VWP54" s="12"/>
      <c r="VWQ54" s="12"/>
      <c r="VWR54" s="12"/>
      <c r="VWS54" s="12"/>
      <c r="VWT54" s="12"/>
      <c r="VWU54" s="12"/>
      <c r="VWV54" s="12"/>
      <c r="VWW54" s="12"/>
      <c r="VWX54" s="12"/>
      <c r="VWY54" s="12"/>
      <c r="VWZ54" s="12"/>
      <c r="VXA54" s="12"/>
      <c r="VXB54" s="12"/>
      <c r="VXC54" s="12"/>
      <c r="VXD54" s="12"/>
      <c r="VXE54" s="12"/>
      <c r="VXF54" s="12"/>
      <c r="VXG54" s="12"/>
      <c r="VXH54" s="12"/>
      <c r="VXI54" s="12"/>
      <c r="VXJ54" s="12"/>
      <c r="VXK54" s="12"/>
      <c r="VXL54" s="12"/>
      <c r="VXM54" s="12"/>
      <c r="VXN54" s="12"/>
      <c r="VXO54" s="12"/>
      <c r="VXP54" s="12"/>
      <c r="VXQ54" s="12"/>
      <c r="VXR54" s="12"/>
      <c r="VXS54" s="12"/>
      <c r="VXT54" s="12"/>
      <c r="VXU54" s="12"/>
      <c r="VXV54" s="12"/>
      <c r="VXW54" s="12"/>
      <c r="VXX54" s="12"/>
      <c r="VXY54" s="12"/>
      <c r="VXZ54" s="12"/>
      <c r="VYA54" s="12"/>
      <c r="VYB54" s="12"/>
      <c r="VYC54" s="12"/>
      <c r="VYD54" s="12"/>
      <c r="VYE54" s="12"/>
      <c r="VYF54" s="12"/>
      <c r="VYG54" s="12"/>
      <c r="VYH54" s="12"/>
      <c r="VYI54" s="12"/>
      <c r="VYJ54" s="12"/>
      <c r="VYK54" s="12"/>
      <c r="VYL54" s="12"/>
      <c r="VYM54" s="12"/>
      <c r="VYN54" s="12"/>
      <c r="VYO54" s="12"/>
      <c r="VYP54" s="12"/>
      <c r="VYQ54" s="12"/>
      <c r="VYR54" s="12"/>
      <c r="VYS54" s="12"/>
      <c r="VYT54" s="12"/>
      <c r="VYU54" s="12"/>
      <c r="VYV54" s="12"/>
      <c r="VYW54" s="12"/>
      <c r="VYX54" s="12"/>
      <c r="VYY54" s="12"/>
      <c r="VYZ54" s="12"/>
      <c r="VZA54" s="12"/>
      <c r="VZB54" s="12"/>
      <c r="VZC54" s="12"/>
      <c r="VZD54" s="12"/>
      <c r="VZE54" s="12"/>
      <c r="VZF54" s="12"/>
      <c r="VZG54" s="12"/>
      <c r="VZH54" s="12"/>
      <c r="VZI54" s="12"/>
      <c r="VZJ54" s="12"/>
      <c r="VZK54" s="12"/>
      <c r="VZL54" s="12"/>
      <c r="VZM54" s="12"/>
      <c r="VZN54" s="12"/>
      <c r="VZO54" s="12"/>
      <c r="VZP54" s="12"/>
      <c r="VZQ54" s="12"/>
      <c r="VZR54" s="12"/>
      <c r="VZS54" s="12"/>
      <c r="VZT54" s="12"/>
      <c r="VZU54" s="12"/>
      <c r="VZV54" s="12"/>
      <c r="VZW54" s="12"/>
      <c r="VZX54" s="12"/>
      <c r="VZY54" s="12"/>
      <c r="VZZ54" s="12"/>
      <c r="WAA54" s="12"/>
      <c r="WAB54" s="12"/>
      <c r="WAC54" s="12"/>
      <c r="WAD54" s="12"/>
      <c r="WAE54" s="12"/>
      <c r="WAF54" s="12"/>
      <c r="WAG54" s="12"/>
      <c r="WAH54" s="12"/>
      <c r="WAI54" s="12"/>
      <c r="WAJ54" s="12"/>
      <c r="WAK54" s="12"/>
      <c r="WAL54" s="12"/>
      <c r="WAM54" s="12"/>
      <c r="WAN54" s="12"/>
      <c r="WAO54" s="12"/>
      <c r="WAP54" s="12"/>
      <c r="WAQ54" s="12"/>
      <c r="WAR54" s="12"/>
      <c r="WAS54" s="12"/>
      <c r="WAT54" s="12"/>
      <c r="WAU54" s="12"/>
      <c r="WAV54" s="12"/>
      <c r="WAW54" s="12"/>
      <c r="WAX54" s="12"/>
      <c r="WAY54" s="12"/>
      <c r="WAZ54" s="12"/>
      <c r="WBA54" s="12"/>
      <c r="WBB54" s="12"/>
      <c r="WBC54" s="12"/>
      <c r="WBD54" s="12"/>
      <c r="WBE54" s="12"/>
      <c r="WBF54" s="12"/>
      <c r="WBG54" s="12"/>
      <c r="WBH54" s="12"/>
      <c r="WBI54" s="12"/>
      <c r="WBJ54" s="12"/>
      <c r="WBK54" s="12"/>
      <c r="WBL54" s="12"/>
      <c r="WBM54" s="12"/>
      <c r="WBN54" s="12"/>
      <c r="WBO54" s="12"/>
      <c r="WBP54" s="12"/>
      <c r="WBQ54" s="12"/>
      <c r="WBR54" s="12"/>
      <c r="WBS54" s="12"/>
      <c r="WBT54" s="12"/>
      <c r="WBU54" s="12"/>
      <c r="WBV54" s="12"/>
      <c r="WBW54" s="12"/>
      <c r="WBX54" s="12"/>
      <c r="WBY54" s="12"/>
      <c r="WBZ54" s="12"/>
      <c r="WCA54" s="12"/>
      <c r="WCB54" s="12"/>
      <c r="WCC54" s="12"/>
      <c r="WCD54" s="12"/>
      <c r="WCE54" s="12"/>
      <c r="WCF54" s="12"/>
      <c r="WCG54" s="12"/>
      <c r="WCH54" s="12"/>
      <c r="WCI54" s="12"/>
      <c r="WCJ54" s="12"/>
      <c r="WCK54" s="12"/>
      <c r="WCL54" s="12"/>
      <c r="WCM54" s="12"/>
      <c r="WCN54" s="12"/>
      <c r="WCO54" s="12"/>
      <c r="WCP54" s="12"/>
      <c r="WCQ54" s="12"/>
      <c r="WCR54" s="12"/>
      <c r="WCS54" s="12"/>
      <c r="WCT54" s="12"/>
      <c r="WCU54" s="12"/>
      <c r="WCV54" s="12"/>
      <c r="WCW54" s="12"/>
      <c r="WCX54" s="12"/>
      <c r="WCY54" s="12"/>
      <c r="WCZ54" s="12"/>
      <c r="WDA54" s="12"/>
      <c r="WDB54" s="12"/>
      <c r="WDC54" s="12"/>
      <c r="WDD54" s="12"/>
      <c r="WDE54" s="12"/>
      <c r="WDF54" s="12"/>
      <c r="WDG54" s="12"/>
      <c r="WDH54" s="12"/>
      <c r="WDI54" s="12"/>
      <c r="WDJ54" s="12"/>
      <c r="WDK54" s="12"/>
      <c r="WDL54" s="12"/>
      <c r="WDM54" s="12"/>
      <c r="WDN54" s="12"/>
      <c r="WDO54" s="12"/>
      <c r="WDP54" s="12"/>
      <c r="WDQ54" s="12"/>
      <c r="WDR54" s="12"/>
      <c r="WDS54" s="12"/>
      <c r="WDT54" s="12"/>
      <c r="WDU54" s="12"/>
      <c r="WDV54" s="12"/>
      <c r="WDW54" s="12"/>
      <c r="WDX54" s="12"/>
      <c r="WDY54" s="12"/>
      <c r="WDZ54" s="12"/>
      <c r="WEA54" s="12"/>
      <c r="WEB54" s="12"/>
      <c r="WEC54" s="12"/>
      <c r="WED54" s="12"/>
      <c r="WEE54" s="12"/>
      <c r="WEF54" s="12"/>
      <c r="WEG54" s="12"/>
      <c r="WEH54" s="12"/>
      <c r="WEI54" s="12"/>
      <c r="WEJ54" s="12"/>
      <c r="WEK54" s="12"/>
      <c r="WEL54" s="12"/>
      <c r="WEM54" s="12"/>
      <c r="WEN54" s="12"/>
      <c r="WEO54" s="12"/>
      <c r="WEP54" s="12"/>
      <c r="WEQ54" s="12"/>
      <c r="WER54" s="12"/>
      <c r="WES54" s="12"/>
      <c r="WET54" s="12"/>
      <c r="WEU54" s="12"/>
      <c r="WEV54" s="12"/>
      <c r="WEW54" s="12"/>
      <c r="WEX54" s="12"/>
      <c r="WEY54" s="12"/>
      <c r="WEZ54" s="12"/>
      <c r="WFA54" s="12"/>
      <c r="WFB54" s="12"/>
      <c r="WFC54" s="12"/>
      <c r="WFD54" s="12"/>
      <c r="WFE54" s="12"/>
      <c r="WFF54" s="12"/>
      <c r="WFG54" s="12"/>
      <c r="WFH54" s="12"/>
      <c r="WFI54" s="12"/>
      <c r="WFJ54" s="12"/>
      <c r="WFK54" s="12"/>
      <c r="WFL54" s="12"/>
      <c r="WFM54" s="12"/>
      <c r="WFN54" s="12"/>
      <c r="WFO54" s="12"/>
      <c r="WFP54" s="12"/>
      <c r="WFQ54" s="12"/>
      <c r="WFR54" s="12"/>
      <c r="WFS54" s="12"/>
      <c r="WFT54" s="12"/>
      <c r="WFU54" s="12"/>
      <c r="WFV54" s="12"/>
      <c r="WFW54" s="12"/>
      <c r="WFX54" s="12"/>
      <c r="WFY54" s="12"/>
      <c r="WFZ54" s="12"/>
      <c r="WGA54" s="12"/>
      <c r="WGB54" s="12"/>
      <c r="WGC54" s="12"/>
      <c r="WGD54" s="12"/>
      <c r="WGE54" s="12"/>
      <c r="WGF54" s="12"/>
      <c r="WGG54" s="12"/>
      <c r="WGH54" s="12"/>
      <c r="WGI54" s="12"/>
      <c r="WGJ54" s="12"/>
      <c r="WGK54" s="12"/>
      <c r="WGL54" s="12"/>
      <c r="WGM54" s="12"/>
      <c r="WGN54" s="12"/>
      <c r="WGO54" s="12"/>
      <c r="WGP54" s="12"/>
      <c r="WGQ54" s="12"/>
      <c r="WGR54" s="12"/>
      <c r="WGS54" s="12"/>
      <c r="WGT54" s="12"/>
      <c r="WGU54" s="12"/>
      <c r="WGV54" s="12"/>
      <c r="WGW54" s="12"/>
      <c r="WGX54" s="12"/>
      <c r="WGY54" s="12"/>
      <c r="WGZ54" s="12"/>
      <c r="WHA54" s="12"/>
      <c r="WHB54" s="12"/>
      <c r="WHC54" s="12"/>
      <c r="WHD54" s="12"/>
      <c r="WHE54" s="12"/>
      <c r="WHF54" s="12"/>
      <c r="WHG54" s="12"/>
      <c r="WHH54" s="12"/>
      <c r="WHI54" s="12"/>
      <c r="WHJ54" s="12"/>
      <c r="WHK54" s="12"/>
      <c r="WHL54" s="12"/>
      <c r="WHM54" s="12"/>
      <c r="WHN54" s="12"/>
      <c r="WHO54" s="12"/>
      <c r="WHP54" s="12"/>
      <c r="WHQ54" s="12"/>
      <c r="WHR54" s="12"/>
      <c r="WHS54" s="12"/>
      <c r="WHT54" s="12"/>
      <c r="WHU54" s="12"/>
      <c r="WHV54" s="12"/>
      <c r="WHW54" s="12"/>
      <c r="WHX54" s="12"/>
      <c r="WHY54" s="12"/>
      <c r="WHZ54" s="12"/>
      <c r="WIA54" s="12"/>
      <c r="WIB54" s="12"/>
      <c r="WIC54" s="12"/>
      <c r="WID54" s="12"/>
      <c r="WIE54" s="12"/>
      <c r="WIF54" s="12"/>
      <c r="WIG54" s="12"/>
      <c r="WIH54" s="12"/>
      <c r="WII54" s="12"/>
      <c r="WIJ54" s="12"/>
      <c r="WIK54" s="12"/>
      <c r="WIL54" s="12"/>
      <c r="WIM54" s="12"/>
      <c r="WIN54" s="12"/>
      <c r="WIO54" s="12"/>
      <c r="WIP54" s="12"/>
      <c r="WIQ54" s="12"/>
      <c r="WIR54" s="12"/>
      <c r="WIS54" s="12"/>
      <c r="WIT54" s="12"/>
      <c r="WIU54" s="12"/>
      <c r="WIV54" s="12"/>
      <c r="WIW54" s="12"/>
      <c r="WIX54" s="12"/>
      <c r="WIY54" s="12"/>
      <c r="WIZ54" s="12"/>
      <c r="WJA54" s="12"/>
      <c r="WJB54" s="12"/>
      <c r="WJC54" s="12"/>
      <c r="WJD54" s="12"/>
      <c r="WJE54" s="12"/>
      <c r="WJF54" s="12"/>
      <c r="WJG54" s="12"/>
      <c r="WJH54" s="12"/>
      <c r="WJI54" s="12"/>
      <c r="WJJ54" s="12"/>
      <c r="WJK54" s="12"/>
      <c r="WJL54" s="12"/>
      <c r="WJM54" s="12"/>
      <c r="WJN54" s="12"/>
      <c r="WJO54" s="12"/>
      <c r="WJP54" s="12"/>
      <c r="WJQ54" s="12"/>
      <c r="WJR54" s="12"/>
      <c r="WJS54" s="12"/>
      <c r="WJT54" s="12"/>
      <c r="WJU54" s="12"/>
      <c r="WJV54" s="12"/>
      <c r="WJW54" s="12"/>
      <c r="WJX54" s="12"/>
      <c r="WJY54" s="12"/>
      <c r="WJZ54" s="12"/>
      <c r="WKA54" s="12"/>
      <c r="WKB54" s="12"/>
      <c r="WKC54" s="12"/>
      <c r="WKD54" s="12"/>
      <c r="WKE54" s="12"/>
      <c r="WKF54" s="12"/>
      <c r="WKG54" s="12"/>
      <c r="WKH54" s="12"/>
      <c r="WKI54" s="12"/>
      <c r="WKJ54" s="12"/>
      <c r="WKK54" s="12"/>
      <c r="WKL54" s="12"/>
      <c r="WKM54" s="12"/>
      <c r="WKN54" s="12"/>
      <c r="WKO54" s="12"/>
      <c r="WKP54" s="12"/>
      <c r="WKQ54" s="12"/>
      <c r="WKR54" s="12"/>
      <c r="WKS54" s="12"/>
      <c r="WKT54" s="12"/>
      <c r="WKU54" s="12"/>
      <c r="WKV54" s="12"/>
      <c r="WKW54" s="12"/>
      <c r="WKX54" s="12"/>
      <c r="WKY54" s="12"/>
      <c r="WKZ54" s="12"/>
      <c r="WLA54" s="12"/>
      <c r="WLB54" s="12"/>
      <c r="WLC54" s="12"/>
      <c r="WLD54" s="12"/>
      <c r="WLE54" s="12"/>
      <c r="WLF54" s="12"/>
      <c r="WLG54" s="12"/>
      <c r="WLH54" s="12"/>
      <c r="WLI54" s="12"/>
      <c r="WLJ54" s="12"/>
      <c r="WLK54" s="12"/>
      <c r="WLL54" s="12"/>
      <c r="WLM54" s="12"/>
      <c r="WLN54" s="12"/>
      <c r="WLO54" s="12"/>
      <c r="WLP54" s="12"/>
      <c r="WLQ54" s="12"/>
      <c r="WLR54" s="12"/>
      <c r="WLS54" s="12"/>
      <c r="WLT54" s="12"/>
      <c r="WLU54" s="12"/>
      <c r="WLV54" s="12"/>
      <c r="WLW54" s="12"/>
      <c r="WLX54" s="12"/>
      <c r="WLY54" s="12"/>
      <c r="WLZ54" s="12"/>
      <c r="WMA54" s="12"/>
      <c r="WMB54" s="12"/>
      <c r="WMC54" s="12"/>
      <c r="WMD54" s="12"/>
      <c r="WME54" s="12"/>
      <c r="WMF54" s="12"/>
      <c r="WMG54" s="12"/>
      <c r="WMH54" s="12"/>
      <c r="WMI54" s="12"/>
      <c r="WMJ54" s="12"/>
      <c r="WMK54" s="12"/>
      <c r="WML54" s="12"/>
      <c r="WMM54" s="12"/>
      <c r="WMN54" s="12"/>
      <c r="WMO54" s="12"/>
      <c r="WMP54" s="12"/>
      <c r="WMQ54" s="12"/>
      <c r="WMR54" s="12"/>
      <c r="WMS54" s="12"/>
      <c r="WMT54" s="12"/>
      <c r="WMU54" s="12"/>
      <c r="WMV54" s="12"/>
      <c r="WMW54" s="12"/>
      <c r="WMX54" s="12"/>
      <c r="WMY54" s="12"/>
      <c r="WMZ54" s="12"/>
      <c r="WNA54" s="12"/>
      <c r="WNB54" s="12"/>
      <c r="WNC54" s="12"/>
      <c r="WND54" s="12"/>
      <c r="WNE54" s="12"/>
      <c r="WNF54" s="12"/>
      <c r="WNG54" s="12"/>
      <c r="WNH54" s="12"/>
      <c r="WNI54" s="12"/>
      <c r="WNJ54" s="12"/>
      <c r="WNK54" s="12"/>
      <c r="WNL54" s="12"/>
      <c r="WNM54" s="12"/>
      <c r="WNN54" s="12"/>
      <c r="WNO54" s="12"/>
      <c r="WNP54" s="12"/>
      <c r="WNQ54" s="12"/>
      <c r="WNR54" s="12"/>
      <c r="WNS54" s="12"/>
      <c r="WNT54" s="12"/>
      <c r="WNU54" s="12"/>
      <c r="WNV54" s="12"/>
      <c r="WNW54" s="12"/>
      <c r="WNX54" s="12"/>
      <c r="WNY54" s="12"/>
      <c r="WNZ54" s="12"/>
      <c r="WOA54" s="12"/>
      <c r="WOB54" s="12"/>
      <c r="WOC54" s="12"/>
      <c r="WOD54" s="12"/>
      <c r="WOE54" s="12"/>
      <c r="WOF54" s="12"/>
      <c r="WOG54" s="12"/>
      <c r="WOH54" s="12"/>
      <c r="WOI54" s="12"/>
      <c r="WOJ54" s="12"/>
      <c r="WOK54" s="12"/>
      <c r="WOL54" s="12"/>
      <c r="WOM54" s="12"/>
      <c r="WON54" s="12"/>
      <c r="WOO54" s="12"/>
      <c r="WOP54" s="12"/>
      <c r="WOQ54" s="12"/>
      <c r="WOR54" s="12"/>
      <c r="WOS54" s="12"/>
      <c r="WOT54" s="12"/>
      <c r="WOU54" s="12"/>
      <c r="WOV54" s="12"/>
      <c r="WOW54" s="12"/>
      <c r="WOX54" s="12"/>
      <c r="WOY54" s="12"/>
      <c r="WOZ54" s="12"/>
      <c r="WPA54" s="12"/>
      <c r="WPB54" s="12"/>
      <c r="WPC54" s="12"/>
      <c r="WPD54" s="12"/>
      <c r="WPE54" s="12"/>
      <c r="WPF54" s="12"/>
      <c r="WPG54" s="12"/>
      <c r="WPH54" s="12"/>
      <c r="WPI54" s="12"/>
      <c r="WPJ54" s="12"/>
      <c r="WPK54" s="12"/>
      <c r="WPL54" s="12"/>
      <c r="WPM54" s="12"/>
      <c r="WPN54" s="12"/>
      <c r="WPO54" s="12"/>
      <c r="WPP54" s="12"/>
      <c r="WPQ54" s="12"/>
      <c r="WPR54" s="12"/>
      <c r="WPS54" s="12"/>
      <c r="WPT54" s="12"/>
      <c r="WPU54" s="12"/>
      <c r="WPV54" s="12"/>
      <c r="WPW54" s="12"/>
      <c r="WPX54" s="12"/>
      <c r="WPY54" s="12"/>
      <c r="WPZ54" s="12"/>
      <c r="WQA54" s="12"/>
      <c r="WQB54" s="12"/>
      <c r="WQC54" s="12"/>
      <c r="WQD54" s="12"/>
      <c r="WQE54" s="12"/>
      <c r="WQF54" s="12"/>
      <c r="WQG54" s="12"/>
      <c r="WQH54" s="12"/>
      <c r="WQI54" s="12"/>
      <c r="WQJ54" s="12"/>
      <c r="WQK54" s="12"/>
      <c r="WQL54" s="12"/>
      <c r="WQM54" s="12"/>
      <c r="WQN54" s="12"/>
      <c r="WQO54" s="12"/>
      <c r="WQP54" s="12"/>
      <c r="WQQ54" s="12"/>
      <c r="WQR54" s="12"/>
      <c r="WQS54" s="12"/>
      <c r="WQT54" s="12"/>
      <c r="WQU54" s="12"/>
      <c r="WQV54" s="12"/>
      <c r="WQW54" s="12"/>
      <c r="WQX54" s="12"/>
      <c r="WQY54" s="12"/>
      <c r="WQZ54" s="12"/>
      <c r="WRA54" s="12"/>
      <c r="WRB54" s="12"/>
      <c r="WRC54" s="12"/>
      <c r="WRD54" s="12"/>
      <c r="WRE54" s="12"/>
      <c r="WRF54" s="12"/>
      <c r="WRG54" s="12"/>
      <c r="WRH54" s="12"/>
      <c r="WRI54" s="12"/>
      <c r="WRJ54" s="12"/>
      <c r="WRK54" s="12"/>
      <c r="WRL54" s="12"/>
      <c r="WRM54" s="12"/>
      <c r="WRN54" s="12"/>
      <c r="WRO54" s="12"/>
      <c r="WRP54" s="12"/>
      <c r="WRQ54" s="12"/>
      <c r="WRR54" s="12"/>
      <c r="WRS54" s="12"/>
      <c r="WRT54" s="12"/>
      <c r="WRU54" s="12"/>
      <c r="WRV54" s="12"/>
      <c r="WRW54" s="12"/>
      <c r="WRX54" s="12"/>
      <c r="WRY54" s="12"/>
      <c r="WRZ54" s="12"/>
      <c r="WSA54" s="12"/>
      <c r="WSB54" s="12"/>
      <c r="WSC54" s="12"/>
      <c r="WSD54" s="12"/>
      <c r="WSE54" s="12"/>
      <c r="WSF54" s="12"/>
      <c r="WSG54" s="12"/>
      <c r="WSH54" s="12"/>
      <c r="WSI54" s="12"/>
      <c r="WSJ54" s="12"/>
      <c r="WSK54" s="12"/>
      <c r="WSL54" s="12"/>
      <c r="WSM54" s="12"/>
      <c r="WSN54" s="12"/>
      <c r="WSO54" s="12"/>
      <c r="WSP54" s="12"/>
      <c r="WSQ54" s="12"/>
      <c r="WSR54" s="12"/>
      <c r="WSS54" s="12"/>
      <c r="WST54" s="12"/>
      <c r="WSU54" s="12"/>
      <c r="WSV54" s="12"/>
      <c r="WSW54" s="12"/>
      <c r="WSX54" s="12"/>
      <c r="WSY54" s="12"/>
      <c r="WSZ54" s="12"/>
      <c r="WTA54" s="12"/>
      <c r="WTB54" s="12"/>
      <c r="WTC54" s="12"/>
      <c r="WTD54" s="12"/>
      <c r="WTE54" s="12"/>
      <c r="WTF54" s="12"/>
      <c r="WTG54" s="12"/>
      <c r="WTH54" s="12"/>
      <c r="WTI54" s="12"/>
      <c r="WTJ54" s="12"/>
      <c r="WTK54" s="12"/>
      <c r="WTL54" s="12"/>
      <c r="WTM54" s="12"/>
      <c r="WTN54" s="12"/>
      <c r="WTO54" s="12"/>
      <c r="WTP54" s="12"/>
      <c r="WTQ54" s="12"/>
      <c r="WTR54" s="12"/>
      <c r="WTS54" s="12"/>
      <c r="WTT54" s="12"/>
      <c r="WTU54" s="12"/>
      <c r="WTV54" s="12"/>
      <c r="WTW54" s="12"/>
      <c r="WTX54" s="12"/>
      <c r="WTY54" s="12"/>
      <c r="WTZ54" s="12"/>
      <c r="WUA54" s="12"/>
      <c r="WUB54" s="12"/>
      <c r="WUC54" s="12"/>
      <c r="WUD54" s="12"/>
      <c r="WUE54" s="12"/>
      <c r="WUF54" s="12"/>
      <c r="WUG54" s="12"/>
      <c r="WUH54" s="12"/>
      <c r="WUI54" s="12"/>
      <c r="WUJ54" s="12"/>
      <c r="WUK54" s="12"/>
      <c r="WUL54" s="12"/>
      <c r="WUM54" s="12"/>
      <c r="WUN54" s="12"/>
      <c r="WUO54" s="12"/>
      <c r="WUP54" s="12"/>
      <c r="WUQ54" s="12"/>
      <c r="WUR54" s="12"/>
      <c r="WUS54" s="12"/>
      <c r="WUT54" s="12"/>
      <c r="WUU54" s="12"/>
      <c r="WUV54" s="12"/>
      <c r="WUW54" s="12"/>
      <c r="WUX54" s="12"/>
      <c r="WUY54" s="12"/>
      <c r="WUZ54" s="12"/>
      <c r="WVA54" s="12"/>
      <c r="WVB54" s="12"/>
      <c r="WVC54" s="12"/>
      <c r="WVD54" s="12"/>
      <c r="WVE54" s="12"/>
      <c r="WVF54" s="12"/>
      <c r="WVG54" s="12"/>
      <c r="WVH54" s="12"/>
      <c r="WVI54" s="12"/>
      <c r="WVJ54" s="12"/>
      <c r="WVK54" s="12"/>
      <c r="WVL54" s="12"/>
      <c r="WVM54" s="12"/>
      <c r="WVN54" s="12"/>
      <c r="WVO54" s="12"/>
      <c r="WVP54" s="12"/>
      <c r="WVQ54" s="12"/>
      <c r="WVR54" s="12"/>
      <c r="WVS54" s="12"/>
      <c r="WVT54" s="12"/>
      <c r="WVU54" s="12"/>
      <c r="WVV54" s="12"/>
      <c r="WVW54" s="12"/>
      <c r="WVX54" s="12"/>
      <c r="WVY54" s="12"/>
      <c r="WVZ54" s="12"/>
      <c r="WWA54" s="12"/>
      <c r="WWB54" s="12"/>
      <c r="WWC54" s="12"/>
      <c r="WWD54" s="12"/>
      <c r="WWE54" s="12"/>
      <c r="WWF54" s="12"/>
      <c r="WWG54" s="12"/>
      <c r="WWH54" s="12"/>
      <c r="WWI54" s="12"/>
      <c r="WWJ54" s="12"/>
      <c r="WWK54" s="12"/>
      <c r="WWL54" s="12"/>
      <c r="WWM54" s="12"/>
      <c r="WWN54" s="12"/>
      <c r="WWO54" s="12"/>
      <c r="WWP54" s="12"/>
      <c r="WWQ54" s="12"/>
      <c r="WWR54" s="12"/>
      <c r="WWS54" s="12"/>
      <c r="WWT54" s="12"/>
      <c r="WWU54" s="12"/>
      <c r="WWV54" s="12"/>
      <c r="WWW54" s="12"/>
      <c r="WWX54" s="12"/>
      <c r="WWY54" s="12"/>
      <c r="WWZ54" s="12"/>
      <c r="WXA54" s="12"/>
      <c r="WXB54" s="12"/>
      <c r="WXC54" s="12"/>
      <c r="WXD54" s="12"/>
      <c r="WXE54" s="12"/>
      <c r="WXF54" s="12"/>
      <c r="WXG54" s="12"/>
      <c r="WXH54" s="12"/>
      <c r="WXI54" s="12"/>
      <c r="WXJ54" s="12"/>
      <c r="WXK54" s="12"/>
      <c r="WXL54" s="12"/>
      <c r="WXM54" s="12"/>
      <c r="WXN54" s="12"/>
      <c r="WXO54" s="12"/>
      <c r="WXP54" s="12"/>
      <c r="WXQ54" s="12"/>
      <c r="WXR54" s="12"/>
      <c r="WXS54" s="12"/>
      <c r="WXT54" s="12"/>
      <c r="WXU54" s="12"/>
      <c r="WXV54" s="12"/>
      <c r="WXW54" s="12"/>
      <c r="WXX54" s="12"/>
      <c r="WXY54" s="12"/>
      <c r="WXZ54" s="12"/>
      <c r="WYA54" s="12"/>
      <c r="WYB54" s="12"/>
      <c r="WYC54" s="12"/>
      <c r="WYD54" s="12"/>
      <c r="WYE54" s="12"/>
      <c r="WYF54" s="12"/>
      <c r="WYG54" s="12"/>
      <c r="WYH54" s="12"/>
      <c r="WYI54" s="12"/>
      <c r="WYJ54" s="12"/>
      <c r="WYK54" s="12"/>
      <c r="WYL54" s="12"/>
      <c r="WYM54" s="12"/>
      <c r="WYN54" s="12"/>
      <c r="WYO54" s="12"/>
      <c r="WYP54" s="12"/>
      <c r="WYQ54" s="12"/>
      <c r="WYR54" s="12"/>
      <c r="WYS54" s="12"/>
      <c r="WYT54" s="12"/>
      <c r="WYU54" s="12"/>
      <c r="WYV54" s="12"/>
      <c r="WYW54" s="12"/>
      <c r="WYX54" s="12"/>
      <c r="WYY54" s="12"/>
      <c r="WYZ54" s="12"/>
      <c r="WZA54" s="12"/>
      <c r="WZB54" s="12"/>
      <c r="WZC54" s="12"/>
      <c r="WZD54" s="12"/>
      <c r="WZE54" s="12"/>
      <c r="WZF54" s="12"/>
      <c r="WZG54" s="12"/>
      <c r="WZH54" s="12"/>
      <c r="WZI54" s="12"/>
      <c r="WZJ54" s="12"/>
      <c r="WZK54" s="12"/>
      <c r="WZL54" s="12"/>
      <c r="WZM54" s="12"/>
      <c r="WZN54" s="12"/>
      <c r="WZO54" s="12"/>
      <c r="WZP54" s="12"/>
      <c r="WZQ54" s="12"/>
      <c r="WZR54" s="12"/>
      <c r="WZS54" s="12"/>
      <c r="WZT54" s="12"/>
      <c r="WZU54" s="12"/>
      <c r="WZV54" s="12"/>
      <c r="WZW54" s="12"/>
      <c r="WZX54" s="12"/>
      <c r="WZY54" s="12"/>
      <c r="WZZ54" s="12"/>
      <c r="XAA54" s="12"/>
      <c r="XAB54" s="12"/>
      <c r="XAC54" s="12"/>
      <c r="XAD54" s="12"/>
      <c r="XAE54" s="12"/>
      <c r="XAF54" s="12"/>
      <c r="XAG54" s="12"/>
      <c r="XAH54" s="12"/>
      <c r="XAI54" s="12"/>
      <c r="XAJ54" s="12"/>
      <c r="XAK54" s="12"/>
      <c r="XAL54" s="12"/>
      <c r="XAM54" s="12"/>
      <c r="XAN54" s="12"/>
      <c r="XAO54" s="12"/>
      <c r="XAP54" s="12"/>
      <c r="XAQ54" s="12"/>
      <c r="XAR54" s="12"/>
      <c r="XAS54" s="12"/>
      <c r="XAT54" s="12"/>
      <c r="XAU54" s="12"/>
      <c r="XAV54" s="12"/>
      <c r="XAW54" s="12"/>
      <c r="XAX54" s="12"/>
      <c r="XAY54" s="12"/>
      <c r="XAZ54" s="12"/>
      <c r="XBA54" s="12"/>
      <c r="XBB54" s="12"/>
      <c r="XBC54" s="12"/>
      <c r="XBD54" s="12"/>
      <c r="XBE54" s="12"/>
      <c r="XBF54" s="12"/>
      <c r="XBG54" s="12"/>
      <c r="XBH54" s="12"/>
      <c r="XBI54" s="12"/>
      <c r="XBJ54" s="12"/>
      <c r="XBK54" s="12"/>
      <c r="XBL54" s="12"/>
      <c r="XBM54" s="12"/>
      <c r="XBN54" s="12"/>
      <c r="XBO54" s="12"/>
      <c r="XBP54" s="12"/>
      <c r="XBQ54" s="12"/>
      <c r="XBR54" s="12"/>
      <c r="XBS54" s="12"/>
      <c r="XBT54" s="12"/>
      <c r="XBU54" s="12"/>
      <c r="XBV54" s="12"/>
      <c r="XBW54" s="12"/>
      <c r="XBX54" s="12"/>
      <c r="XBY54" s="12"/>
      <c r="XBZ54" s="12"/>
      <c r="XCA54" s="12"/>
      <c r="XCB54" s="12"/>
      <c r="XCC54" s="12"/>
      <c r="XCD54" s="12"/>
      <c r="XCE54" s="12"/>
      <c r="XCF54" s="12"/>
      <c r="XCG54" s="12"/>
      <c r="XCH54" s="12"/>
    </row>
    <row r="55" spans="1:16310" s="115" customFormat="1" ht="10.199999999999999" x14ac:dyDescent="0.2">
      <c r="A55" s="122">
        <v>1</v>
      </c>
      <c r="C55" s="123"/>
      <c r="D55" s="116" t="str">
        <f>IF(ISERROR(VLOOKUP('Оценка трудоемкости'!$C55,Справочники!S:V,3,0))=TRUE,"",VLOOKUP('Оценка трудоемкости'!$C55,Справочники!S:V,3,0))</f>
        <v/>
      </c>
      <c r="E55" s="116">
        <f>IF(ISERROR(VLOOKUP('Оценка трудоемкости'!$C55,Справочники!S:V,4,0))=TRUE,0,VLOOKUP('Оценка трудоемкости'!$C55,Справочники!S:V,4,0))</f>
        <v>0</v>
      </c>
      <c r="F55" s="127"/>
      <c r="G55" s="116">
        <f t="shared" si="207"/>
        <v>0</v>
      </c>
      <c r="H55" s="12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16">
        <f t="shared" si="208"/>
        <v>0</v>
      </c>
      <c r="V55" s="12"/>
      <c r="W55" s="124"/>
      <c r="X55" s="124"/>
      <c r="Y55" s="124"/>
      <c r="Z55" s="124"/>
      <c r="AA55" s="124"/>
      <c r="AB55" s="124"/>
      <c r="AC55" s="124"/>
      <c r="AD55" s="124"/>
      <c r="AE55" s="124"/>
      <c r="AF55" s="124"/>
      <c r="AG55" s="124"/>
      <c r="AH55" s="124"/>
      <c r="AI55" s="116">
        <f t="shared" si="209"/>
        <v>0</v>
      </c>
      <c r="AJ55" s="12"/>
      <c r="AK55" s="124"/>
      <c r="AL55" s="124"/>
      <c r="AM55" s="124"/>
      <c r="AN55" s="124"/>
      <c r="AO55" s="124"/>
      <c r="AP55" s="124"/>
      <c r="AQ55" s="124"/>
      <c r="AR55" s="124"/>
      <c r="AS55" s="124"/>
      <c r="AT55" s="124"/>
      <c r="AU55" s="124"/>
      <c r="AV55" s="124"/>
      <c r="AW55" s="116">
        <f t="shared" si="210"/>
        <v>0</v>
      </c>
      <c r="AX55" s="12"/>
      <c r="AY55" s="124"/>
      <c r="AZ55" s="124"/>
      <c r="BA55" s="124"/>
      <c r="BB55" s="124"/>
      <c r="BC55" s="124"/>
      <c r="BD55" s="124"/>
      <c r="BE55" s="124"/>
      <c r="BF55" s="124"/>
      <c r="BG55" s="124"/>
      <c r="BH55" s="124"/>
      <c r="BI55" s="124"/>
      <c r="BJ55" s="124"/>
      <c r="BK55" s="116">
        <f t="shared" si="211"/>
        <v>0</v>
      </c>
      <c r="BL55" s="12"/>
      <c r="BM55" s="124"/>
      <c r="BN55" s="124"/>
      <c r="BO55" s="124"/>
      <c r="BP55" s="124"/>
      <c r="BQ55" s="124"/>
      <c r="BR55" s="124"/>
      <c r="BS55" s="124"/>
      <c r="BT55" s="124"/>
      <c r="BU55" s="124"/>
      <c r="BV55" s="124"/>
      <c r="BW55" s="124"/>
      <c r="BX55" s="124"/>
      <c r="BY55" s="116">
        <f t="shared" si="212"/>
        <v>0</v>
      </c>
      <c r="BZ55" s="12"/>
      <c r="CA55" s="200">
        <f t="shared" si="213"/>
        <v>0</v>
      </c>
      <c r="CB55" s="12"/>
      <c r="CC55" s="118">
        <f t="shared" si="147"/>
        <v>0</v>
      </c>
      <c r="CD55" s="118">
        <f t="shared" si="148"/>
        <v>0</v>
      </c>
      <c r="CE55" s="118">
        <f t="shared" si="149"/>
        <v>0</v>
      </c>
      <c r="CF55" s="118">
        <f t="shared" si="150"/>
        <v>0</v>
      </c>
      <c r="CG55" s="118">
        <f t="shared" si="151"/>
        <v>0</v>
      </c>
      <c r="CH55" s="118">
        <f t="shared" si="152"/>
        <v>0</v>
      </c>
      <c r="CI55" s="118">
        <f t="shared" si="153"/>
        <v>0</v>
      </c>
      <c r="CJ55" s="118">
        <f t="shared" si="154"/>
        <v>0</v>
      </c>
      <c r="CK55" s="118">
        <f t="shared" si="155"/>
        <v>0</v>
      </c>
      <c r="CL55" s="118">
        <f t="shared" si="156"/>
        <v>0</v>
      </c>
      <c r="CM55" s="118">
        <f t="shared" si="157"/>
        <v>0</v>
      </c>
      <c r="CN55" s="118">
        <f t="shared" si="158"/>
        <v>0</v>
      </c>
      <c r="CO55" s="41">
        <f t="shared" si="219"/>
        <v>0</v>
      </c>
      <c r="CP55" s="12"/>
      <c r="CQ55" s="118">
        <f t="shared" si="159"/>
        <v>0</v>
      </c>
      <c r="CR55" s="118">
        <f t="shared" si="160"/>
        <v>0</v>
      </c>
      <c r="CS55" s="118">
        <f t="shared" si="161"/>
        <v>0</v>
      </c>
      <c r="CT55" s="118">
        <f t="shared" si="162"/>
        <v>0</v>
      </c>
      <c r="CU55" s="118">
        <f t="shared" si="163"/>
        <v>0</v>
      </c>
      <c r="CV55" s="118">
        <f t="shared" si="164"/>
        <v>0</v>
      </c>
      <c r="CW55" s="118">
        <f t="shared" si="165"/>
        <v>0</v>
      </c>
      <c r="CX55" s="118">
        <f t="shared" si="166"/>
        <v>0</v>
      </c>
      <c r="CY55" s="118">
        <f t="shared" si="167"/>
        <v>0</v>
      </c>
      <c r="CZ55" s="118">
        <f t="shared" si="168"/>
        <v>0</v>
      </c>
      <c r="DA55" s="118">
        <f t="shared" si="169"/>
        <v>0</v>
      </c>
      <c r="DB55" s="118">
        <f t="shared" si="170"/>
        <v>0</v>
      </c>
      <c r="DC55" s="41">
        <f t="shared" si="220"/>
        <v>0</v>
      </c>
      <c r="DD55" s="12"/>
      <c r="DE55" s="118">
        <f t="shared" si="171"/>
        <v>0</v>
      </c>
      <c r="DF55" s="118">
        <f t="shared" si="172"/>
        <v>0</v>
      </c>
      <c r="DG55" s="118">
        <f t="shared" si="173"/>
        <v>0</v>
      </c>
      <c r="DH55" s="118">
        <f t="shared" si="174"/>
        <v>0</v>
      </c>
      <c r="DI55" s="118">
        <f t="shared" si="175"/>
        <v>0</v>
      </c>
      <c r="DJ55" s="118">
        <f t="shared" si="176"/>
        <v>0</v>
      </c>
      <c r="DK55" s="118">
        <f t="shared" si="177"/>
        <v>0</v>
      </c>
      <c r="DL55" s="118">
        <f t="shared" si="178"/>
        <v>0</v>
      </c>
      <c r="DM55" s="118">
        <f t="shared" si="179"/>
        <v>0</v>
      </c>
      <c r="DN55" s="118">
        <f t="shared" si="180"/>
        <v>0</v>
      </c>
      <c r="DO55" s="118">
        <f t="shared" si="181"/>
        <v>0</v>
      </c>
      <c r="DP55" s="118">
        <f t="shared" si="182"/>
        <v>0</v>
      </c>
      <c r="DQ55" s="41">
        <f t="shared" si="221"/>
        <v>0</v>
      </c>
      <c r="DR55" s="12"/>
      <c r="DS55" s="118">
        <f t="shared" si="183"/>
        <v>0</v>
      </c>
      <c r="DT55" s="118">
        <f t="shared" si="184"/>
        <v>0</v>
      </c>
      <c r="DU55" s="118">
        <f t="shared" si="185"/>
        <v>0</v>
      </c>
      <c r="DV55" s="118">
        <f t="shared" si="186"/>
        <v>0</v>
      </c>
      <c r="DW55" s="118">
        <f t="shared" si="187"/>
        <v>0</v>
      </c>
      <c r="DX55" s="118">
        <f t="shared" si="188"/>
        <v>0</v>
      </c>
      <c r="DY55" s="118">
        <f t="shared" si="189"/>
        <v>0</v>
      </c>
      <c r="DZ55" s="118">
        <f t="shared" si="190"/>
        <v>0</v>
      </c>
      <c r="EA55" s="118">
        <f t="shared" si="191"/>
        <v>0</v>
      </c>
      <c r="EB55" s="118">
        <f t="shared" si="192"/>
        <v>0</v>
      </c>
      <c r="EC55" s="118">
        <f t="shared" si="193"/>
        <v>0</v>
      </c>
      <c r="ED55" s="118">
        <f t="shared" si="194"/>
        <v>0</v>
      </c>
      <c r="EE55" s="41">
        <f t="shared" si="222"/>
        <v>0</v>
      </c>
      <c r="EF55" s="12"/>
      <c r="EG55" s="118">
        <f t="shared" si="195"/>
        <v>0</v>
      </c>
      <c r="EH55" s="118">
        <f t="shared" si="196"/>
        <v>0</v>
      </c>
      <c r="EI55" s="118">
        <f t="shared" si="197"/>
        <v>0</v>
      </c>
      <c r="EJ55" s="118">
        <f t="shared" si="198"/>
        <v>0</v>
      </c>
      <c r="EK55" s="118">
        <f t="shared" si="199"/>
        <v>0</v>
      </c>
      <c r="EL55" s="118">
        <f t="shared" si="200"/>
        <v>0</v>
      </c>
      <c r="EM55" s="118">
        <f t="shared" si="201"/>
        <v>0</v>
      </c>
      <c r="EN55" s="118">
        <f t="shared" si="202"/>
        <v>0</v>
      </c>
      <c r="EO55" s="118">
        <f t="shared" si="203"/>
        <v>0</v>
      </c>
      <c r="EP55" s="118">
        <f t="shared" si="204"/>
        <v>0</v>
      </c>
      <c r="EQ55" s="118">
        <f t="shared" si="205"/>
        <v>0</v>
      </c>
      <c r="ER55" s="118">
        <f t="shared" si="206"/>
        <v>0</v>
      </c>
      <c r="ES55" s="41">
        <f t="shared" si="223"/>
        <v>0</v>
      </c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12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12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12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12"/>
      <c r="IJ55" s="12"/>
      <c r="IK55" s="12"/>
      <c r="IL55" s="12"/>
      <c r="IM55" s="12"/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/>
      <c r="IZ55" s="12"/>
      <c r="JA55" s="12"/>
      <c r="JB55" s="12"/>
      <c r="JC55" s="12"/>
      <c r="JD55" s="12"/>
      <c r="JE55" s="12"/>
      <c r="JF55" s="12"/>
      <c r="JG55" s="12"/>
      <c r="JH55" s="12"/>
      <c r="JI55" s="12"/>
      <c r="JJ55" s="12"/>
      <c r="JK55" s="12"/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12"/>
      <c r="JX55" s="12"/>
      <c r="JY55" s="12"/>
      <c r="JZ55" s="12"/>
      <c r="KA55" s="12"/>
      <c r="KB55" s="12"/>
      <c r="KC55" s="12"/>
      <c r="KD55" s="12"/>
      <c r="KE55" s="12"/>
      <c r="KF55" s="12"/>
      <c r="KG55" s="12"/>
      <c r="KH55" s="12"/>
      <c r="KI55" s="12"/>
      <c r="KJ55" s="12"/>
      <c r="KK55" s="12"/>
      <c r="KL55" s="12"/>
      <c r="KM55" s="12"/>
      <c r="KN55" s="12"/>
      <c r="KO55" s="12"/>
      <c r="KP55" s="12"/>
      <c r="KQ55" s="12"/>
      <c r="KR55" s="12"/>
      <c r="KS55" s="12"/>
      <c r="KT55" s="12"/>
      <c r="KU55" s="12"/>
      <c r="KV55" s="12"/>
      <c r="KW55" s="12"/>
      <c r="KX55" s="12"/>
      <c r="KY55" s="12"/>
      <c r="KZ55" s="12"/>
      <c r="LA55" s="12"/>
      <c r="LB55" s="12"/>
      <c r="LC55" s="12"/>
      <c r="LD55" s="12"/>
      <c r="LE55" s="12"/>
      <c r="LF55" s="12"/>
      <c r="LG55" s="12"/>
      <c r="LH55" s="12"/>
      <c r="LI55" s="12"/>
      <c r="LJ55" s="12"/>
      <c r="LK55" s="12"/>
      <c r="LL55" s="12"/>
      <c r="LM55" s="12"/>
      <c r="LN55" s="12"/>
      <c r="LO55" s="12"/>
      <c r="LP55" s="12"/>
      <c r="LQ55" s="12"/>
      <c r="LR55" s="12"/>
      <c r="LS55" s="12"/>
      <c r="LT55" s="12"/>
      <c r="LU55" s="12"/>
      <c r="LV55" s="12"/>
      <c r="LW55" s="12"/>
      <c r="LX55" s="12"/>
      <c r="LY55" s="12"/>
      <c r="LZ55" s="12"/>
      <c r="MA55" s="12"/>
      <c r="MB55" s="12"/>
      <c r="MC55" s="12"/>
      <c r="MD55" s="12"/>
      <c r="ME55" s="12"/>
      <c r="MF55" s="12"/>
      <c r="MG55" s="12"/>
      <c r="MH55" s="12"/>
      <c r="MI55" s="12"/>
      <c r="MJ55" s="12"/>
      <c r="MK55" s="12"/>
      <c r="ML55" s="12"/>
      <c r="MM55" s="12"/>
      <c r="MN55" s="12"/>
      <c r="MO55" s="12"/>
      <c r="MP55" s="12"/>
      <c r="MQ55" s="12"/>
      <c r="MR55" s="12"/>
      <c r="MS55" s="12"/>
      <c r="MT55" s="12"/>
      <c r="MU55" s="12"/>
      <c r="MV55" s="12"/>
      <c r="MW55" s="12"/>
      <c r="MX55" s="12"/>
      <c r="MY55" s="12"/>
      <c r="MZ55" s="12"/>
      <c r="NA55" s="12"/>
      <c r="NB55" s="12"/>
      <c r="NC55" s="12"/>
      <c r="ND55" s="12"/>
      <c r="NE55" s="12"/>
      <c r="NF55" s="12"/>
      <c r="NG55" s="12"/>
      <c r="NH55" s="12"/>
      <c r="NI55" s="12"/>
      <c r="NJ55" s="12"/>
      <c r="NK55" s="12"/>
      <c r="NL55" s="12"/>
      <c r="NM55" s="12"/>
      <c r="NN55" s="12"/>
      <c r="NO55" s="12"/>
      <c r="NP55" s="12"/>
      <c r="NQ55" s="12"/>
      <c r="NR55" s="12"/>
      <c r="NS55" s="12"/>
      <c r="NT55" s="12"/>
      <c r="NU55" s="12"/>
      <c r="NV55" s="12"/>
      <c r="NW55" s="12"/>
      <c r="NX55" s="12"/>
      <c r="NY55" s="12"/>
      <c r="NZ55" s="12"/>
      <c r="OA55" s="12"/>
      <c r="OB55" s="12"/>
      <c r="OC55" s="12"/>
      <c r="OD55" s="12"/>
      <c r="OE55" s="12"/>
      <c r="OF55" s="12"/>
      <c r="OG55" s="12"/>
      <c r="OH55" s="12"/>
      <c r="OI55" s="12"/>
      <c r="OJ55" s="12"/>
      <c r="OK55" s="12"/>
      <c r="OL55" s="12"/>
      <c r="OM55" s="12"/>
      <c r="ON55" s="12"/>
      <c r="OO55" s="12"/>
      <c r="OP55" s="12"/>
      <c r="OQ55" s="12"/>
      <c r="OR55" s="12"/>
      <c r="OS55" s="12"/>
      <c r="OT55" s="12"/>
      <c r="OU55" s="12"/>
      <c r="OV55" s="12"/>
      <c r="OW55" s="12"/>
      <c r="OX55" s="12"/>
      <c r="OY55" s="12"/>
      <c r="OZ55" s="12"/>
      <c r="PA55" s="12"/>
      <c r="PB55" s="12"/>
      <c r="PC55" s="12"/>
      <c r="PD55" s="12"/>
      <c r="PE55" s="12"/>
      <c r="PF55" s="12"/>
      <c r="PG55" s="12"/>
      <c r="PH55" s="12"/>
      <c r="PI55" s="12"/>
      <c r="PJ55" s="12"/>
      <c r="PK55" s="12"/>
      <c r="PL55" s="12"/>
      <c r="PM55" s="12"/>
      <c r="PN55" s="12"/>
      <c r="PO55" s="12"/>
      <c r="PP55" s="12"/>
      <c r="PQ55" s="12"/>
      <c r="PR55" s="12"/>
      <c r="PS55" s="12"/>
      <c r="PT55" s="12"/>
      <c r="PU55" s="12"/>
      <c r="PV55" s="12"/>
      <c r="PW55" s="12"/>
      <c r="PX55" s="12"/>
      <c r="PY55" s="12"/>
      <c r="PZ55" s="12"/>
      <c r="QA55" s="12"/>
      <c r="QB55" s="12"/>
      <c r="QC55" s="12"/>
      <c r="QD55" s="12"/>
      <c r="QE55" s="12"/>
      <c r="QF55" s="12"/>
      <c r="QG55" s="12"/>
      <c r="QH55" s="12"/>
      <c r="QI55" s="12"/>
      <c r="QJ55" s="12"/>
      <c r="QK55" s="12"/>
      <c r="QL55" s="12"/>
      <c r="QM55" s="12"/>
      <c r="QN55" s="12"/>
      <c r="QO55" s="12"/>
      <c r="QP55" s="12"/>
      <c r="QQ55" s="12"/>
      <c r="QR55" s="12"/>
      <c r="QS55" s="12"/>
      <c r="QT55" s="12"/>
      <c r="QU55" s="12"/>
      <c r="QV55" s="12"/>
      <c r="QW55" s="12"/>
      <c r="QX55" s="12"/>
      <c r="QY55" s="12"/>
      <c r="QZ55" s="12"/>
      <c r="RA55" s="12"/>
      <c r="RB55" s="12"/>
      <c r="RC55" s="12"/>
      <c r="RD55" s="12"/>
      <c r="RE55" s="12"/>
      <c r="RF55" s="12"/>
      <c r="RG55" s="12"/>
      <c r="RH55" s="12"/>
      <c r="RI55" s="12"/>
      <c r="RJ55" s="12"/>
      <c r="RK55" s="12"/>
      <c r="RL55" s="12"/>
      <c r="RM55" s="12"/>
      <c r="RN55" s="12"/>
      <c r="RO55" s="12"/>
      <c r="RP55" s="12"/>
      <c r="RQ55" s="12"/>
      <c r="RR55" s="12"/>
      <c r="RS55" s="12"/>
      <c r="RT55" s="12"/>
      <c r="RU55" s="12"/>
      <c r="RV55" s="12"/>
      <c r="RW55" s="12"/>
      <c r="RX55" s="12"/>
      <c r="RY55" s="12"/>
      <c r="RZ55" s="12"/>
      <c r="SA55" s="12"/>
      <c r="SB55" s="12"/>
      <c r="SC55" s="12"/>
      <c r="SD55" s="12"/>
      <c r="SE55" s="12"/>
      <c r="SF55" s="12"/>
      <c r="SG55" s="12"/>
      <c r="SH55" s="12"/>
      <c r="SI55" s="12"/>
      <c r="SJ55" s="12"/>
      <c r="SK55" s="12"/>
      <c r="SL55" s="12"/>
      <c r="SM55" s="12"/>
      <c r="SN55" s="12"/>
      <c r="SO55" s="12"/>
      <c r="SP55" s="12"/>
      <c r="SQ55" s="12"/>
      <c r="SR55" s="12"/>
      <c r="SS55" s="12"/>
      <c r="ST55" s="12"/>
      <c r="SU55" s="12"/>
      <c r="SV55" s="12"/>
      <c r="SW55" s="12"/>
      <c r="SX55" s="12"/>
      <c r="SY55" s="12"/>
      <c r="SZ55" s="12"/>
      <c r="TA55" s="12"/>
      <c r="TB55" s="12"/>
      <c r="TC55" s="12"/>
      <c r="TD55" s="12"/>
      <c r="TE55" s="12"/>
      <c r="TF55" s="12"/>
      <c r="TG55" s="12"/>
      <c r="TH55" s="12"/>
      <c r="TI55" s="12"/>
      <c r="TJ55" s="12"/>
      <c r="TK55" s="12"/>
      <c r="TL55" s="12"/>
      <c r="TM55" s="12"/>
      <c r="TN55" s="12"/>
      <c r="TO55" s="12"/>
      <c r="TP55" s="12"/>
      <c r="TQ55" s="12"/>
      <c r="TR55" s="12"/>
      <c r="TS55" s="12"/>
      <c r="TT55" s="12"/>
      <c r="TU55" s="12"/>
      <c r="TV55" s="12"/>
      <c r="TW55" s="12"/>
      <c r="TX55" s="12"/>
      <c r="TY55" s="12"/>
      <c r="TZ55" s="12"/>
      <c r="UA55" s="12"/>
      <c r="UB55" s="12"/>
      <c r="UC55" s="12"/>
      <c r="UD55" s="12"/>
      <c r="UE55" s="12"/>
      <c r="UF55" s="12"/>
      <c r="UG55" s="12"/>
      <c r="UH55" s="12"/>
      <c r="UI55" s="12"/>
      <c r="UJ55" s="12"/>
      <c r="UK55" s="12"/>
      <c r="UL55" s="12"/>
      <c r="UM55" s="12"/>
      <c r="UN55" s="12"/>
      <c r="UO55" s="12"/>
      <c r="UP55" s="12"/>
      <c r="UQ55" s="12"/>
      <c r="UR55" s="12"/>
      <c r="US55" s="12"/>
      <c r="UT55" s="12"/>
      <c r="UU55" s="12"/>
      <c r="UV55" s="12"/>
      <c r="UW55" s="12"/>
      <c r="UX55" s="12"/>
      <c r="UY55" s="12"/>
      <c r="UZ55" s="12"/>
      <c r="VA55" s="12"/>
      <c r="VB55" s="12"/>
      <c r="VC55" s="12"/>
      <c r="VD55" s="12"/>
      <c r="VE55" s="12"/>
      <c r="VF55" s="12"/>
      <c r="VG55" s="12"/>
      <c r="VH55" s="12"/>
      <c r="VI55" s="12"/>
      <c r="VJ55" s="12"/>
      <c r="VK55" s="12"/>
      <c r="VL55" s="12"/>
      <c r="VM55" s="12"/>
      <c r="VN55" s="12"/>
      <c r="VO55" s="12"/>
      <c r="VP55" s="12"/>
      <c r="VQ55" s="12"/>
      <c r="VR55" s="12"/>
      <c r="VS55" s="12"/>
      <c r="VT55" s="12"/>
      <c r="VU55" s="12"/>
      <c r="VV55" s="12"/>
      <c r="VW55" s="12"/>
      <c r="VX55" s="12"/>
      <c r="VY55" s="12"/>
      <c r="VZ55" s="12"/>
      <c r="WA55" s="12"/>
      <c r="WB55" s="12"/>
      <c r="WC55" s="12"/>
      <c r="WD55" s="12"/>
      <c r="WE55" s="12"/>
      <c r="WF55" s="12"/>
      <c r="WG55" s="12"/>
      <c r="WH55" s="12"/>
      <c r="WI55" s="12"/>
      <c r="WJ55" s="12"/>
      <c r="WK55" s="12"/>
      <c r="WL55" s="12"/>
      <c r="WM55" s="12"/>
      <c r="WN55" s="12"/>
      <c r="WO55" s="12"/>
      <c r="WP55" s="12"/>
      <c r="WQ55" s="12"/>
      <c r="WR55" s="12"/>
      <c r="WS55" s="12"/>
      <c r="WT55" s="12"/>
      <c r="WU55" s="12"/>
      <c r="WV55" s="12"/>
      <c r="WW55" s="12"/>
      <c r="WX55" s="12"/>
      <c r="WY55" s="12"/>
      <c r="WZ55" s="12"/>
      <c r="XA55" s="12"/>
      <c r="XB55" s="12"/>
      <c r="XC55" s="12"/>
      <c r="XD55" s="12"/>
      <c r="XE55" s="12"/>
      <c r="XF55" s="12"/>
      <c r="XG55" s="12"/>
      <c r="XH55" s="12"/>
      <c r="XI55" s="12"/>
      <c r="XJ55" s="12"/>
      <c r="XK55" s="12"/>
      <c r="XL55" s="12"/>
      <c r="XM55" s="12"/>
      <c r="XN55" s="12"/>
      <c r="XO55" s="12"/>
      <c r="XP55" s="12"/>
      <c r="XQ55" s="12"/>
      <c r="XR55" s="12"/>
      <c r="XS55" s="12"/>
      <c r="XT55" s="12"/>
      <c r="XU55" s="12"/>
      <c r="XV55" s="12"/>
      <c r="XW55" s="12"/>
      <c r="XX55" s="12"/>
      <c r="XY55" s="12"/>
      <c r="XZ55" s="12"/>
      <c r="YA55" s="12"/>
      <c r="YB55" s="12"/>
      <c r="YC55" s="12"/>
      <c r="YD55" s="12"/>
      <c r="YE55" s="12"/>
      <c r="YF55" s="12"/>
      <c r="YG55" s="12"/>
      <c r="YH55" s="12"/>
      <c r="YI55" s="12"/>
      <c r="YJ55" s="12"/>
      <c r="YK55" s="12"/>
      <c r="YL55" s="12"/>
      <c r="YM55" s="12"/>
      <c r="YN55" s="12"/>
      <c r="YO55" s="12"/>
      <c r="YP55" s="12"/>
      <c r="YQ55" s="12"/>
      <c r="YR55" s="12"/>
      <c r="YS55" s="12"/>
      <c r="YT55" s="12"/>
      <c r="YU55" s="12"/>
      <c r="YV55" s="12"/>
      <c r="YW55" s="12"/>
      <c r="YX55" s="12"/>
      <c r="YY55" s="12"/>
      <c r="YZ55" s="12"/>
      <c r="ZA55" s="12"/>
      <c r="ZB55" s="12"/>
      <c r="ZC55" s="12"/>
      <c r="ZD55" s="12"/>
      <c r="ZE55" s="12"/>
      <c r="ZF55" s="12"/>
      <c r="ZG55" s="12"/>
      <c r="ZH55" s="12"/>
      <c r="ZI55" s="12"/>
      <c r="ZJ55" s="12"/>
      <c r="ZK55" s="12"/>
      <c r="ZL55" s="12"/>
      <c r="ZM55" s="12"/>
      <c r="ZN55" s="12"/>
      <c r="ZO55" s="12"/>
      <c r="ZP55" s="12"/>
      <c r="ZQ55" s="12"/>
      <c r="ZR55" s="12"/>
      <c r="ZS55" s="12"/>
      <c r="ZT55" s="12"/>
      <c r="ZU55" s="12"/>
      <c r="ZV55" s="12"/>
      <c r="ZW55" s="12"/>
      <c r="ZX55" s="12"/>
      <c r="ZY55" s="12"/>
      <c r="ZZ55" s="12"/>
      <c r="AAA55" s="12"/>
      <c r="AAB55" s="12"/>
      <c r="AAC55" s="12"/>
      <c r="AAD55" s="12"/>
      <c r="AAE55" s="12"/>
      <c r="AAF55" s="12"/>
      <c r="AAG55" s="12"/>
      <c r="AAH55" s="12"/>
      <c r="AAI55" s="12"/>
      <c r="AAJ55" s="12"/>
      <c r="AAK55" s="12"/>
      <c r="AAL55" s="12"/>
      <c r="AAM55" s="12"/>
      <c r="AAN55" s="12"/>
      <c r="AAO55" s="12"/>
      <c r="AAP55" s="12"/>
      <c r="AAQ55" s="12"/>
      <c r="AAR55" s="12"/>
      <c r="AAS55" s="12"/>
      <c r="AAT55" s="12"/>
      <c r="AAU55" s="12"/>
      <c r="AAV55" s="12"/>
      <c r="AAW55" s="12"/>
      <c r="AAX55" s="12"/>
      <c r="AAY55" s="12"/>
      <c r="AAZ55" s="12"/>
      <c r="ABA55" s="12"/>
      <c r="ABB55" s="12"/>
      <c r="ABC55" s="12"/>
      <c r="ABD55" s="12"/>
      <c r="ABE55" s="12"/>
      <c r="ABF55" s="12"/>
      <c r="ABG55" s="12"/>
      <c r="ABH55" s="12"/>
      <c r="ABI55" s="12"/>
      <c r="ABJ55" s="12"/>
      <c r="ABK55" s="12"/>
      <c r="ABL55" s="12"/>
      <c r="ABM55" s="12"/>
      <c r="ABN55" s="12"/>
      <c r="ABO55" s="12"/>
      <c r="ABP55" s="12"/>
      <c r="ABQ55" s="12"/>
      <c r="ABR55" s="12"/>
      <c r="ABS55" s="12"/>
      <c r="ABT55" s="12"/>
      <c r="ABU55" s="12"/>
      <c r="ABV55" s="12"/>
      <c r="ABW55" s="12"/>
      <c r="ABX55" s="12"/>
      <c r="ABY55" s="12"/>
      <c r="ABZ55" s="12"/>
      <c r="ACA55" s="12"/>
      <c r="ACB55" s="12"/>
      <c r="ACC55" s="12"/>
      <c r="ACD55" s="12"/>
      <c r="ACE55" s="12"/>
      <c r="ACF55" s="12"/>
      <c r="ACG55" s="12"/>
      <c r="ACH55" s="12"/>
      <c r="ACI55" s="12"/>
      <c r="ACJ55" s="12"/>
      <c r="ACK55" s="12"/>
      <c r="ACL55" s="12"/>
      <c r="ACM55" s="12"/>
      <c r="ACN55" s="12"/>
      <c r="ACO55" s="12"/>
      <c r="ACP55" s="12"/>
      <c r="ACQ55" s="12"/>
      <c r="ACR55" s="12"/>
      <c r="ACS55" s="12"/>
      <c r="ACT55" s="12"/>
      <c r="ACU55" s="12"/>
      <c r="ACV55" s="12"/>
      <c r="ACW55" s="12"/>
      <c r="ACX55" s="12"/>
      <c r="ACY55" s="12"/>
      <c r="ACZ55" s="12"/>
      <c r="ADA55" s="12"/>
      <c r="ADB55" s="12"/>
      <c r="ADC55" s="12"/>
      <c r="ADD55" s="12"/>
      <c r="ADE55" s="12"/>
      <c r="ADF55" s="12"/>
      <c r="ADG55" s="12"/>
      <c r="ADH55" s="12"/>
      <c r="ADI55" s="12"/>
      <c r="ADJ55" s="12"/>
      <c r="ADK55" s="12"/>
      <c r="ADL55" s="12"/>
      <c r="ADM55" s="12"/>
      <c r="ADN55" s="12"/>
      <c r="ADO55" s="12"/>
      <c r="ADP55" s="12"/>
      <c r="ADQ55" s="12"/>
      <c r="ADR55" s="12"/>
      <c r="ADS55" s="12"/>
      <c r="ADT55" s="12"/>
      <c r="ADU55" s="12"/>
      <c r="ADV55" s="12"/>
      <c r="ADW55" s="12"/>
      <c r="ADX55" s="12"/>
      <c r="ADY55" s="12"/>
      <c r="ADZ55" s="12"/>
      <c r="AEA55" s="12"/>
      <c r="AEB55" s="12"/>
      <c r="AEC55" s="12"/>
      <c r="AED55" s="12"/>
      <c r="AEE55" s="12"/>
      <c r="AEF55" s="12"/>
      <c r="AEG55" s="12"/>
      <c r="AEH55" s="12"/>
      <c r="AEI55" s="12"/>
      <c r="AEJ55" s="12"/>
      <c r="AEK55" s="12"/>
      <c r="AEL55" s="12"/>
      <c r="AEM55" s="12"/>
      <c r="AEN55" s="12"/>
      <c r="AEO55" s="12"/>
      <c r="AEP55" s="12"/>
      <c r="AEQ55" s="12"/>
      <c r="AER55" s="12"/>
      <c r="AES55" s="12"/>
      <c r="AET55" s="12"/>
      <c r="AEU55" s="12"/>
      <c r="AEV55" s="12"/>
      <c r="AEW55" s="12"/>
      <c r="AEX55" s="12"/>
      <c r="AEY55" s="12"/>
      <c r="AEZ55" s="12"/>
      <c r="AFA55" s="12"/>
      <c r="AFB55" s="12"/>
      <c r="AFC55" s="12"/>
      <c r="AFD55" s="12"/>
      <c r="AFE55" s="12"/>
      <c r="AFF55" s="12"/>
      <c r="AFG55" s="12"/>
      <c r="AFH55" s="12"/>
      <c r="AFI55" s="12"/>
      <c r="AFJ55" s="12"/>
      <c r="AFK55" s="12"/>
      <c r="AFL55" s="12"/>
      <c r="AFM55" s="12"/>
      <c r="AFN55" s="12"/>
      <c r="AFO55" s="12"/>
      <c r="AFP55" s="12"/>
      <c r="AFQ55" s="12"/>
      <c r="AFR55" s="12"/>
      <c r="AFS55" s="12"/>
      <c r="AFT55" s="12"/>
      <c r="AFU55" s="12"/>
      <c r="AFV55" s="12"/>
      <c r="AFW55" s="12"/>
      <c r="AFX55" s="12"/>
      <c r="AFY55" s="12"/>
      <c r="AFZ55" s="12"/>
      <c r="AGA55" s="12"/>
      <c r="AGB55" s="12"/>
      <c r="AGC55" s="12"/>
      <c r="AGD55" s="12"/>
      <c r="AGE55" s="12"/>
      <c r="AGF55" s="12"/>
      <c r="AGG55" s="12"/>
      <c r="AGH55" s="12"/>
      <c r="AGI55" s="12"/>
      <c r="AGJ55" s="12"/>
      <c r="AGK55" s="12"/>
      <c r="AGL55" s="12"/>
      <c r="AGM55" s="12"/>
      <c r="AGN55" s="12"/>
      <c r="AGO55" s="12"/>
      <c r="AGP55" s="12"/>
      <c r="AGQ55" s="12"/>
      <c r="AGR55" s="12"/>
      <c r="AGS55" s="12"/>
      <c r="AGT55" s="12"/>
      <c r="AGU55" s="12"/>
      <c r="AGV55" s="12"/>
      <c r="AGW55" s="12"/>
      <c r="AGX55" s="12"/>
      <c r="AGY55" s="12"/>
      <c r="AGZ55" s="12"/>
      <c r="AHA55" s="12"/>
      <c r="AHB55" s="12"/>
      <c r="AHC55" s="12"/>
      <c r="AHD55" s="12"/>
      <c r="AHE55" s="12"/>
      <c r="AHF55" s="12"/>
      <c r="AHG55" s="12"/>
      <c r="AHH55" s="12"/>
      <c r="AHI55" s="12"/>
      <c r="AHJ55" s="12"/>
      <c r="AHK55" s="12"/>
      <c r="AHL55" s="12"/>
      <c r="AHM55" s="12"/>
      <c r="AHN55" s="12"/>
      <c r="AHO55" s="12"/>
      <c r="AHP55" s="12"/>
      <c r="AHQ55" s="12"/>
      <c r="AHR55" s="12"/>
      <c r="AHS55" s="12"/>
      <c r="AHT55" s="12"/>
      <c r="AHU55" s="12"/>
      <c r="AHV55" s="12"/>
      <c r="AHW55" s="12"/>
      <c r="AHX55" s="12"/>
      <c r="AHY55" s="12"/>
      <c r="AHZ55" s="12"/>
      <c r="AIA55" s="12"/>
      <c r="AIB55" s="12"/>
      <c r="AIC55" s="12"/>
      <c r="AID55" s="12"/>
      <c r="AIE55" s="12"/>
      <c r="AIF55" s="12"/>
      <c r="AIG55" s="12"/>
      <c r="AIH55" s="12"/>
      <c r="AII55" s="12"/>
      <c r="AIJ55" s="12"/>
      <c r="AIK55" s="12"/>
      <c r="AIL55" s="12"/>
      <c r="AIM55" s="12"/>
      <c r="AIN55" s="12"/>
      <c r="AIO55" s="12"/>
      <c r="AIP55" s="12"/>
      <c r="AIQ55" s="12"/>
      <c r="AIR55" s="12"/>
      <c r="AIS55" s="12"/>
      <c r="AIT55" s="12"/>
      <c r="AIU55" s="12"/>
      <c r="AIV55" s="12"/>
      <c r="AIW55" s="12"/>
      <c r="AIX55" s="12"/>
      <c r="AIY55" s="12"/>
      <c r="AIZ55" s="12"/>
      <c r="AJA55" s="12"/>
      <c r="AJB55" s="12"/>
      <c r="AJC55" s="12"/>
      <c r="AJD55" s="12"/>
      <c r="AJE55" s="12"/>
      <c r="AJF55" s="12"/>
      <c r="AJG55" s="12"/>
      <c r="AJH55" s="12"/>
      <c r="AJI55" s="12"/>
      <c r="AJJ55" s="12"/>
      <c r="AJK55" s="12"/>
      <c r="AJL55" s="12"/>
      <c r="AJM55" s="12"/>
      <c r="AJN55" s="12"/>
      <c r="AJO55" s="12"/>
      <c r="AJP55" s="12"/>
      <c r="AJQ55" s="12"/>
      <c r="AJR55" s="12"/>
      <c r="AJS55" s="12"/>
      <c r="AJT55" s="12"/>
      <c r="AJU55" s="12"/>
      <c r="AJV55" s="12"/>
      <c r="AJW55" s="12"/>
      <c r="AJX55" s="12"/>
      <c r="AJY55" s="12"/>
      <c r="AJZ55" s="12"/>
      <c r="AKA55" s="12"/>
      <c r="AKB55" s="12"/>
      <c r="AKC55" s="12"/>
      <c r="AKD55" s="12"/>
      <c r="AKE55" s="12"/>
      <c r="AKF55" s="12"/>
      <c r="AKG55" s="12"/>
      <c r="AKH55" s="12"/>
      <c r="AKI55" s="12"/>
      <c r="AKJ55" s="12"/>
      <c r="AKK55" s="12"/>
      <c r="AKL55" s="12"/>
      <c r="AKM55" s="12"/>
      <c r="AKN55" s="12"/>
      <c r="AKO55" s="12"/>
      <c r="AKP55" s="12"/>
      <c r="AKQ55" s="12"/>
      <c r="AKR55" s="12"/>
      <c r="AKS55" s="12"/>
      <c r="AKT55" s="12"/>
      <c r="AKU55" s="12"/>
      <c r="AKV55" s="12"/>
      <c r="AKW55" s="12"/>
      <c r="AKX55" s="12"/>
      <c r="AKY55" s="12"/>
      <c r="AKZ55" s="12"/>
      <c r="ALA55" s="12"/>
      <c r="ALB55" s="12"/>
      <c r="ALC55" s="12"/>
      <c r="ALD55" s="12"/>
      <c r="ALE55" s="12"/>
      <c r="ALF55" s="12"/>
      <c r="ALG55" s="12"/>
      <c r="ALH55" s="12"/>
      <c r="ALI55" s="12"/>
      <c r="ALJ55" s="12"/>
      <c r="ALK55" s="12"/>
      <c r="ALL55" s="12"/>
      <c r="ALM55" s="12"/>
      <c r="ALN55" s="12"/>
      <c r="ALO55" s="12"/>
      <c r="ALP55" s="12"/>
      <c r="ALQ55" s="12"/>
      <c r="ALR55" s="12"/>
      <c r="ALS55" s="12"/>
      <c r="ALT55" s="12"/>
      <c r="ALU55" s="12"/>
      <c r="ALV55" s="12"/>
      <c r="ALW55" s="12"/>
      <c r="ALX55" s="12"/>
      <c r="ALY55" s="12"/>
      <c r="ALZ55" s="12"/>
      <c r="AMA55" s="12"/>
      <c r="AMB55" s="12"/>
      <c r="AMC55" s="12"/>
      <c r="AMD55" s="12"/>
      <c r="AME55" s="12"/>
      <c r="AMF55" s="12"/>
      <c r="AMG55" s="12"/>
      <c r="AMH55" s="12"/>
      <c r="AMI55" s="12"/>
      <c r="AMJ55" s="12"/>
      <c r="AMK55" s="12"/>
      <c r="AML55" s="12"/>
      <c r="AMM55" s="12"/>
      <c r="AMN55" s="12"/>
      <c r="AMO55" s="12"/>
      <c r="AMP55" s="12"/>
      <c r="AMQ55" s="12"/>
      <c r="AMR55" s="12"/>
      <c r="AMS55" s="12"/>
      <c r="AMT55" s="12"/>
      <c r="AMU55" s="12"/>
      <c r="AMV55" s="12"/>
      <c r="AMW55" s="12"/>
      <c r="AMX55" s="12"/>
      <c r="AMY55" s="12"/>
      <c r="AMZ55" s="12"/>
      <c r="ANA55" s="12"/>
      <c r="ANB55" s="12"/>
      <c r="ANC55" s="12"/>
      <c r="AND55" s="12"/>
      <c r="ANE55" s="12"/>
      <c r="ANF55" s="12"/>
      <c r="ANG55" s="12"/>
      <c r="ANH55" s="12"/>
      <c r="ANI55" s="12"/>
      <c r="ANJ55" s="12"/>
      <c r="ANK55" s="12"/>
      <c r="ANL55" s="12"/>
      <c r="ANM55" s="12"/>
      <c r="ANN55" s="12"/>
      <c r="ANO55" s="12"/>
      <c r="ANP55" s="12"/>
      <c r="ANQ55" s="12"/>
      <c r="ANR55" s="12"/>
      <c r="ANS55" s="12"/>
      <c r="ANT55" s="12"/>
      <c r="ANU55" s="12"/>
      <c r="ANV55" s="12"/>
      <c r="ANW55" s="12"/>
      <c r="ANX55" s="12"/>
      <c r="ANY55" s="12"/>
      <c r="ANZ55" s="12"/>
      <c r="AOA55" s="12"/>
      <c r="AOB55" s="12"/>
      <c r="AOC55" s="12"/>
      <c r="AOD55" s="12"/>
      <c r="AOE55" s="12"/>
      <c r="AOF55" s="12"/>
      <c r="AOG55" s="12"/>
      <c r="AOH55" s="12"/>
      <c r="AOI55" s="12"/>
      <c r="AOJ55" s="12"/>
      <c r="AOK55" s="12"/>
      <c r="AOL55" s="12"/>
      <c r="AOM55" s="12"/>
      <c r="AON55" s="12"/>
      <c r="AOO55" s="12"/>
      <c r="AOP55" s="12"/>
      <c r="AOQ55" s="12"/>
      <c r="AOR55" s="12"/>
      <c r="AOS55" s="12"/>
      <c r="AOT55" s="12"/>
      <c r="AOU55" s="12"/>
      <c r="AOV55" s="12"/>
      <c r="AOW55" s="12"/>
      <c r="AOX55" s="12"/>
      <c r="AOY55" s="12"/>
      <c r="AOZ55" s="12"/>
      <c r="APA55" s="12"/>
      <c r="APB55" s="12"/>
      <c r="APC55" s="12"/>
      <c r="APD55" s="12"/>
      <c r="APE55" s="12"/>
      <c r="APF55" s="12"/>
      <c r="APG55" s="12"/>
      <c r="APH55" s="12"/>
      <c r="API55" s="12"/>
      <c r="APJ55" s="12"/>
      <c r="APK55" s="12"/>
      <c r="APL55" s="12"/>
      <c r="APM55" s="12"/>
      <c r="APN55" s="12"/>
      <c r="APO55" s="12"/>
      <c r="APP55" s="12"/>
      <c r="APQ55" s="12"/>
      <c r="APR55" s="12"/>
      <c r="APS55" s="12"/>
      <c r="APT55" s="12"/>
      <c r="APU55" s="12"/>
      <c r="APV55" s="12"/>
      <c r="APW55" s="12"/>
      <c r="APX55" s="12"/>
      <c r="APY55" s="12"/>
      <c r="APZ55" s="12"/>
      <c r="AQA55" s="12"/>
      <c r="AQB55" s="12"/>
      <c r="AQC55" s="12"/>
      <c r="AQD55" s="12"/>
      <c r="AQE55" s="12"/>
      <c r="AQF55" s="12"/>
      <c r="AQG55" s="12"/>
      <c r="AQH55" s="12"/>
      <c r="AQI55" s="12"/>
      <c r="AQJ55" s="12"/>
      <c r="AQK55" s="12"/>
      <c r="AQL55" s="12"/>
      <c r="AQM55" s="12"/>
      <c r="AQN55" s="12"/>
      <c r="AQO55" s="12"/>
      <c r="AQP55" s="12"/>
      <c r="AQQ55" s="12"/>
      <c r="AQR55" s="12"/>
      <c r="AQS55" s="12"/>
      <c r="AQT55" s="12"/>
      <c r="AQU55" s="12"/>
      <c r="AQV55" s="12"/>
      <c r="AQW55" s="12"/>
      <c r="AQX55" s="12"/>
      <c r="AQY55" s="12"/>
      <c r="AQZ55" s="12"/>
      <c r="ARA55" s="12"/>
      <c r="ARB55" s="12"/>
      <c r="ARC55" s="12"/>
      <c r="ARD55" s="12"/>
      <c r="ARE55" s="12"/>
      <c r="ARF55" s="12"/>
      <c r="ARG55" s="12"/>
      <c r="ARH55" s="12"/>
      <c r="ARI55" s="12"/>
      <c r="ARJ55" s="12"/>
      <c r="ARK55" s="12"/>
      <c r="ARL55" s="12"/>
      <c r="ARM55" s="12"/>
      <c r="ARN55" s="12"/>
      <c r="ARO55" s="12"/>
      <c r="ARP55" s="12"/>
      <c r="ARQ55" s="12"/>
      <c r="ARR55" s="12"/>
      <c r="ARS55" s="12"/>
      <c r="ART55" s="12"/>
      <c r="ARU55" s="12"/>
      <c r="ARV55" s="12"/>
      <c r="ARW55" s="12"/>
      <c r="ARX55" s="12"/>
      <c r="ARY55" s="12"/>
      <c r="ARZ55" s="12"/>
      <c r="ASA55" s="12"/>
      <c r="ASB55" s="12"/>
      <c r="ASC55" s="12"/>
      <c r="ASD55" s="12"/>
      <c r="ASE55" s="12"/>
      <c r="ASF55" s="12"/>
      <c r="ASG55" s="12"/>
      <c r="ASH55" s="12"/>
      <c r="ASI55" s="12"/>
      <c r="ASJ55" s="12"/>
      <c r="ASK55" s="12"/>
      <c r="ASL55" s="12"/>
      <c r="ASM55" s="12"/>
      <c r="ASN55" s="12"/>
      <c r="ASO55" s="12"/>
      <c r="ASP55" s="12"/>
      <c r="ASQ55" s="12"/>
      <c r="ASR55" s="12"/>
      <c r="ASS55" s="12"/>
      <c r="AST55" s="12"/>
      <c r="ASU55" s="12"/>
      <c r="ASV55" s="12"/>
      <c r="ASW55" s="12"/>
      <c r="ASX55" s="12"/>
      <c r="ASY55" s="12"/>
      <c r="ASZ55" s="12"/>
      <c r="ATA55" s="12"/>
      <c r="ATB55" s="12"/>
      <c r="ATC55" s="12"/>
      <c r="ATD55" s="12"/>
      <c r="ATE55" s="12"/>
      <c r="ATF55" s="12"/>
      <c r="ATG55" s="12"/>
      <c r="ATH55" s="12"/>
      <c r="ATI55" s="12"/>
      <c r="ATJ55" s="12"/>
      <c r="ATK55" s="12"/>
      <c r="ATL55" s="12"/>
      <c r="ATM55" s="12"/>
      <c r="ATN55" s="12"/>
      <c r="ATO55" s="12"/>
      <c r="ATP55" s="12"/>
      <c r="ATQ55" s="12"/>
      <c r="ATR55" s="12"/>
      <c r="ATS55" s="12"/>
      <c r="ATT55" s="12"/>
      <c r="ATU55" s="12"/>
      <c r="ATV55" s="12"/>
      <c r="ATW55" s="12"/>
      <c r="ATX55" s="12"/>
      <c r="ATY55" s="12"/>
      <c r="ATZ55" s="12"/>
      <c r="AUA55" s="12"/>
      <c r="AUB55" s="12"/>
      <c r="AUC55" s="12"/>
      <c r="AUD55" s="12"/>
      <c r="AUE55" s="12"/>
      <c r="AUF55" s="12"/>
      <c r="AUG55" s="12"/>
      <c r="AUH55" s="12"/>
      <c r="AUI55" s="12"/>
      <c r="AUJ55" s="12"/>
      <c r="AUK55" s="12"/>
      <c r="AUL55" s="12"/>
      <c r="AUM55" s="12"/>
      <c r="AUN55" s="12"/>
      <c r="AUO55" s="12"/>
      <c r="AUP55" s="12"/>
      <c r="AUQ55" s="12"/>
      <c r="AUR55" s="12"/>
      <c r="AUS55" s="12"/>
      <c r="AUT55" s="12"/>
      <c r="AUU55" s="12"/>
      <c r="AUV55" s="12"/>
      <c r="AUW55" s="12"/>
      <c r="AUX55" s="12"/>
      <c r="AUY55" s="12"/>
      <c r="AUZ55" s="12"/>
      <c r="AVA55" s="12"/>
      <c r="AVB55" s="12"/>
      <c r="AVC55" s="12"/>
      <c r="AVD55" s="12"/>
      <c r="AVE55" s="12"/>
      <c r="AVF55" s="12"/>
      <c r="AVG55" s="12"/>
      <c r="AVH55" s="12"/>
      <c r="AVI55" s="12"/>
      <c r="AVJ55" s="12"/>
      <c r="AVK55" s="12"/>
      <c r="AVL55" s="12"/>
      <c r="AVM55" s="12"/>
      <c r="AVN55" s="12"/>
      <c r="AVO55" s="12"/>
      <c r="AVP55" s="12"/>
      <c r="AVQ55" s="12"/>
      <c r="AVR55" s="12"/>
      <c r="AVS55" s="12"/>
      <c r="AVT55" s="12"/>
      <c r="AVU55" s="12"/>
      <c r="AVV55" s="12"/>
      <c r="AVW55" s="12"/>
      <c r="AVX55" s="12"/>
      <c r="AVY55" s="12"/>
      <c r="AVZ55" s="12"/>
      <c r="AWA55" s="12"/>
      <c r="AWB55" s="12"/>
      <c r="AWC55" s="12"/>
      <c r="AWD55" s="12"/>
      <c r="AWE55" s="12"/>
      <c r="AWF55" s="12"/>
      <c r="AWG55" s="12"/>
      <c r="AWH55" s="12"/>
      <c r="AWI55" s="12"/>
      <c r="AWJ55" s="12"/>
      <c r="AWK55" s="12"/>
      <c r="AWL55" s="12"/>
      <c r="AWM55" s="12"/>
      <c r="AWN55" s="12"/>
      <c r="AWO55" s="12"/>
      <c r="AWP55" s="12"/>
      <c r="AWQ55" s="12"/>
      <c r="AWR55" s="12"/>
      <c r="AWS55" s="12"/>
      <c r="AWT55" s="12"/>
      <c r="AWU55" s="12"/>
      <c r="AWV55" s="12"/>
      <c r="AWW55" s="12"/>
      <c r="AWX55" s="12"/>
      <c r="AWY55" s="12"/>
      <c r="AWZ55" s="12"/>
      <c r="AXA55" s="12"/>
      <c r="AXB55" s="12"/>
      <c r="AXC55" s="12"/>
      <c r="AXD55" s="12"/>
      <c r="AXE55" s="12"/>
      <c r="AXF55" s="12"/>
      <c r="AXG55" s="12"/>
      <c r="AXH55" s="12"/>
      <c r="AXI55" s="12"/>
      <c r="AXJ55" s="12"/>
      <c r="AXK55" s="12"/>
      <c r="AXL55" s="12"/>
      <c r="AXM55" s="12"/>
      <c r="AXN55" s="12"/>
      <c r="AXO55" s="12"/>
      <c r="AXP55" s="12"/>
      <c r="AXQ55" s="12"/>
      <c r="AXR55" s="12"/>
      <c r="AXS55" s="12"/>
      <c r="AXT55" s="12"/>
      <c r="AXU55" s="12"/>
      <c r="AXV55" s="12"/>
      <c r="AXW55" s="12"/>
      <c r="AXX55" s="12"/>
      <c r="AXY55" s="12"/>
      <c r="AXZ55" s="12"/>
      <c r="AYA55" s="12"/>
      <c r="AYB55" s="12"/>
      <c r="AYC55" s="12"/>
      <c r="AYD55" s="12"/>
      <c r="AYE55" s="12"/>
      <c r="AYF55" s="12"/>
      <c r="AYG55" s="12"/>
      <c r="AYH55" s="12"/>
      <c r="AYI55" s="12"/>
      <c r="AYJ55" s="12"/>
      <c r="AYK55" s="12"/>
      <c r="AYL55" s="12"/>
      <c r="AYM55" s="12"/>
      <c r="AYN55" s="12"/>
      <c r="AYO55" s="12"/>
      <c r="AYP55" s="12"/>
      <c r="AYQ55" s="12"/>
      <c r="AYR55" s="12"/>
      <c r="AYS55" s="12"/>
      <c r="AYT55" s="12"/>
      <c r="AYU55" s="12"/>
      <c r="AYV55" s="12"/>
      <c r="AYW55" s="12"/>
      <c r="AYX55" s="12"/>
      <c r="AYY55" s="12"/>
      <c r="AYZ55" s="12"/>
      <c r="AZA55" s="12"/>
      <c r="AZB55" s="12"/>
      <c r="AZC55" s="12"/>
      <c r="AZD55" s="12"/>
      <c r="AZE55" s="12"/>
      <c r="AZF55" s="12"/>
      <c r="AZG55" s="12"/>
      <c r="AZH55" s="12"/>
      <c r="AZI55" s="12"/>
      <c r="AZJ55" s="12"/>
      <c r="AZK55" s="12"/>
      <c r="AZL55" s="12"/>
      <c r="AZM55" s="12"/>
      <c r="AZN55" s="12"/>
      <c r="AZO55" s="12"/>
      <c r="AZP55" s="12"/>
      <c r="AZQ55" s="12"/>
      <c r="AZR55" s="12"/>
      <c r="AZS55" s="12"/>
      <c r="AZT55" s="12"/>
      <c r="AZU55" s="12"/>
      <c r="AZV55" s="12"/>
      <c r="AZW55" s="12"/>
      <c r="AZX55" s="12"/>
      <c r="AZY55" s="12"/>
      <c r="AZZ55" s="12"/>
      <c r="BAA55" s="12"/>
      <c r="BAB55" s="12"/>
      <c r="BAC55" s="12"/>
      <c r="BAD55" s="12"/>
      <c r="BAE55" s="12"/>
      <c r="BAF55" s="12"/>
      <c r="BAG55" s="12"/>
      <c r="BAH55" s="12"/>
      <c r="BAI55" s="12"/>
      <c r="BAJ55" s="12"/>
      <c r="BAK55" s="12"/>
      <c r="BAL55" s="12"/>
      <c r="BAM55" s="12"/>
      <c r="BAN55" s="12"/>
      <c r="BAO55" s="12"/>
      <c r="BAP55" s="12"/>
      <c r="BAQ55" s="12"/>
      <c r="BAR55" s="12"/>
      <c r="BAS55" s="12"/>
      <c r="BAT55" s="12"/>
      <c r="BAU55" s="12"/>
      <c r="BAV55" s="12"/>
      <c r="BAW55" s="12"/>
      <c r="BAX55" s="12"/>
      <c r="BAY55" s="12"/>
      <c r="BAZ55" s="12"/>
      <c r="BBA55" s="12"/>
      <c r="BBB55" s="12"/>
      <c r="BBC55" s="12"/>
      <c r="BBD55" s="12"/>
      <c r="BBE55" s="12"/>
      <c r="BBF55" s="12"/>
      <c r="BBG55" s="12"/>
      <c r="BBH55" s="12"/>
      <c r="BBI55" s="12"/>
      <c r="BBJ55" s="12"/>
      <c r="BBK55" s="12"/>
      <c r="BBL55" s="12"/>
      <c r="BBM55" s="12"/>
      <c r="BBN55" s="12"/>
      <c r="BBO55" s="12"/>
      <c r="BBP55" s="12"/>
      <c r="BBQ55" s="12"/>
      <c r="BBR55" s="12"/>
      <c r="BBS55" s="12"/>
      <c r="BBT55" s="12"/>
      <c r="BBU55" s="12"/>
      <c r="BBV55" s="12"/>
      <c r="BBW55" s="12"/>
      <c r="BBX55" s="12"/>
      <c r="BBY55" s="12"/>
      <c r="BBZ55" s="12"/>
      <c r="BCA55" s="12"/>
      <c r="BCB55" s="12"/>
      <c r="BCC55" s="12"/>
      <c r="BCD55" s="12"/>
      <c r="BCE55" s="12"/>
      <c r="BCF55" s="12"/>
      <c r="BCG55" s="12"/>
      <c r="BCH55" s="12"/>
      <c r="BCI55" s="12"/>
      <c r="BCJ55" s="12"/>
      <c r="BCK55" s="12"/>
      <c r="BCL55" s="12"/>
      <c r="BCM55" s="12"/>
      <c r="BCN55" s="12"/>
      <c r="BCO55" s="12"/>
      <c r="BCP55" s="12"/>
      <c r="BCQ55" s="12"/>
      <c r="BCR55" s="12"/>
      <c r="BCS55" s="12"/>
      <c r="BCT55" s="12"/>
      <c r="BCU55" s="12"/>
      <c r="BCV55" s="12"/>
      <c r="BCW55" s="12"/>
      <c r="BCX55" s="12"/>
      <c r="BCY55" s="12"/>
      <c r="BCZ55" s="12"/>
      <c r="BDA55" s="12"/>
      <c r="BDB55" s="12"/>
      <c r="BDC55" s="12"/>
      <c r="BDD55" s="12"/>
      <c r="BDE55" s="12"/>
      <c r="BDF55" s="12"/>
      <c r="BDG55" s="12"/>
      <c r="BDH55" s="12"/>
      <c r="BDI55" s="12"/>
      <c r="BDJ55" s="12"/>
      <c r="BDK55" s="12"/>
      <c r="BDL55" s="12"/>
      <c r="BDM55" s="12"/>
      <c r="BDN55" s="12"/>
      <c r="BDO55" s="12"/>
      <c r="BDP55" s="12"/>
      <c r="BDQ55" s="12"/>
      <c r="BDR55" s="12"/>
      <c r="BDS55" s="12"/>
      <c r="BDT55" s="12"/>
      <c r="BDU55" s="12"/>
      <c r="BDV55" s="12"/>
      <c r="BDW55" s="12"/>
      <c r="BDX55" s="12"/>
      <c r="BDY55" s="12"/>
      <c r="BDZ55" s="12"/>
      <c r="BEA55" s="12"/>
      <c r="BEB55" s="12"/>
      <c r="BEC55" s="12"/>
      <c r="BED55" s="12"/>
      <c r="BEE55" s="12"/>
      <c r="BEF55" s="12"/>
      <c r="BEG55" s="12"/>
      <c r="BEH55" s="12"/>
      <c r="BEI55" s="12"/>
      <c r="BEJ55" s="12"/>
      <c r="BEK55" s="12"/>
      <c r="BEL55" s="12"/>
      <c r="BEM55" s="12"/>
      <c r="BEN55" s="12"/>
      <c r="BEO55" s="12"/>
      <c r="BEP55" s="12"/>
      <c r="BEQ55" s="12"/>
      <c r="BER55" s="12"/>
      <c r="BES55" s="12"/>
      <c r="BET55" s="12"/>
      <c r="BEU55" s="12"/>
      <c r="BEV55" s="12"/>
      <c r="BEW55" s="12"/>
      <c r="BEX55" s="12"/>
      <c r="BEY55" s="12"/>
      <c r="BEZ55" s="12"/>
      <c r="BFA55" s="12"/>
      <c r="BFB55" s="12"/>
      <c r="BFC55" s="12"/>
      <c r="BFD55" s="12"/>
      <c r="BFE55" s="12"/>
      <c r="BFF55" s="12"/>
      <c r="BFG55" s="12"/>
      <c r="BFH55" s="12"/>
      <c r="BFI55" s="12"/>
      <c r="BFJ55" s="12"/>
      <c r="BFK55" s="12"/>
      <c r="BFL55" s="12"/>
      <c r="BFM55" s="12"/>
      <c r="BFN55" s="12"/>
      <c r="BFO55" s="12"/>
      <c r="BFP55" s="12"/>
      <c r="BFQ55" s="12"/>
      <c r="BFR55" s="12"/>
      <c r="BFS55" s="12"/>
      <c r="BFT55" s="12"/>
      <c r="BFU55" s="12"/>
      <c r="BFV55" s="12"/>
      <c r="BFW55" s="12"/>
      <c r="BFX55" s="12"/>
      <c r="BFY55" s="12"/>
      <c r="BFZ55" s="12"/>
      <c r="BGA55" s="12"/>
      <c r="BGB55" s="12"/>
      <c r="BGC55" s="12"/>
      <c r="BGD55" s="12"/>
      <c r="BGE55" s="12"/>
      <c r="BGF55" s="12"/>
      <c r="BGG55" s="12"/>
      <c r="BGH55" s="12"/>
      <c r="BGI55" s="12"/>
      <c r="BGJ55" s="12"/>
      <c r="BGK55" s="12"/>
      <c r="BGL55" s="12"/>
      <c r="BGM55" s="12"/>
      <c r="BGN55" s="12"/>
      <c r="BGO55" s="12"/>
      <c r="BGP55" s="12"/>
      <c r="BGQ55" s="12"/>
      <c r="BGR55" s="12"/>
      <c r="BGS55" s="12"/>
      <c r="BGT55" s="12"/>
      <c r="BGU55" s="12"/>
      <c r="BGV55" s="12"/>
      <c r="BGW55" s="12"/>
      <c r="BGX55" s="12"/>
      <c r="BGY55" s="12"/>
      <c r="BGZ55" s="12"/>
      <c r="BHA55" s="12"/>
      <c r="BHB55" s="12"/>
      <c r="BHC55" s="12"/>
      <c r="BHD55" s="12"/>
      <c r="BHE55" s="12"/>
      <c r="BHF55" s="12"/>
      <c r="BHG55" s="12"/>
      <c r="BHH55" s="12"/>
      <c r="BHI55" s="12"/>
      <c r="BHJ55" s="12"/>
      <c r="BHK55" s="12"/>
      <c r="BHL55" s="12"/>
      <c r="BHM55" s="12"/>
      <c r="BHN55" s="12"/>
      <c r="BHO55" s="12"/>
      <c r="BHP55" s="12"/>
      <c r="BHQ55" s="12"/>
      <c r="BHR55" s="12"/>
      <c r="BHS55" s="12"/>
      <c r="BHT55" s="12"/>
      <c r="BHU55" s="12"/>
      <c r="BHV55" s="12"/>
      <c r="BHW55" s="12"/>
      <c r="BHX55" s="12"/>
      <c r="BHY55" s="12"/>
      <c r="BHZ55" s="12"/>
      <c r="BIA55" s="12"/>
      <c r="BIB55" s="12"/>
      <c r="BIC55" s="12"/>
      <c r="BID55" s="12"/>
      <c r="BIE55" s="12"/>
      <c r="BIF55" s="12"/>
      <c r="BIG55" s="12"/>
      <c r="BIH55" s="12"/>
      <c r="BII55" s="12"/>
      <c r="BIJ55" s="12"/>
      <c r="BIK55" s="12"/>
      <c r="BIL55" s="12"/>
      <c r="BIM55" s="12"/>
      <c r="BIN55" s="12"/>
      <c r="BIO55" s="12"/>
      <c r="BIP55" s="12"/>
      <c r="BIQ55" s="12"/>
      <c r="BIR55" s="12"/>
      <c r="BIS55" s="12"/>
      <c r="BIT55" s="12"/>
      <c r="BIU55" s="12"/>
      <c r="BIV55" s="12"/>
      <c r="BIW55" s="12"/>
      <c r="BIX55" s="12"/>
      <c r="BIY55" s="12"/>
      <c r="BIZ55" s="12"/>
      <c r="BJA55" s="12"/>
      <c r="BJB55" s="12"/>
      <c r="BJC55" s="12"/>
      <c r="BJD55" s="12"/>
      <c r="BJE55" s="12"/>
      <c r="BJF55" s="12"/>
      <c r="BJG55" s="12"/>
      <c r="BJH55" s="12"/>
      <c r="BJI55" s="12"/>
      <c r="BJJ55" s="12"/>
      <c r="BJK55" s="12"/>
      <c r="BJL55" s="12"/>
      <c r="BJM55" s="12"/>
      <c r="BJN55" s="12"/>
      <c r="BJO55" s="12"/>
      <c r="BJP55" s="12"/>
      <c r="BJQ55" s="12"/>
      <c r="BJR55" s="12"/>
      <c r="BJS55" s="12"/>
      <c r="BJT55" s="12"/>
      <c r="BJU55" s="12"/>
      <c r="BJV55" s="12"/>
      <c r="BJW55" s="12"/>
      <c r="BJX55" s="12"/>
      <c r="BJY55" s="12"/>
      <c r="BJZ55" s="12"/>
      <c r="BKA55" s="12"/>
      <c r="BKB55" s="12"/>
      <c r="BKC55" s="12"/>
      <c r="BKD55" s="12"/>
      <c r="BKE55" s="12"/>
      <c r="BKF55" s="12"/>
      <c r="BKG55" s="12"/>
      <c r="BKH55" s="12"/>
      <c r="BKI55" s="12"/>
      <c r="BKJ55" s="12"/>
      <c r="BKK55" s="12"/>
      <c r="BKL55" s="12"/>
      <c r="BKM55" s="12"/>
      <c r="BKN55" s="12"/>
      <c r="BKO55" s="12"/>
      <c r="BKP55" s="12"/>
      <c r="BKQ55" s="12"/>
      <c r="BKR55" s="12"/>
      <c r="BKS55" s="12"/>
      <c r="BKT55" s="12"/>
      <c r="BKU55" s="12"/>
      <c r="BKV55" s="12"/>
      <c r="BKW55" s="12"/>
      <c r="BKX55" s="12"/>
      <c r="BKY55" s="12"/>
      <c r="BKZ55" s="12"/>
      <c r="BLA55" s="12"/>
      <c r="BLB55" s="12"/>
      <c r="BLC55" s="12"/>
      <c r="BLD55" s="12"/>
      <c r="BLE55" s="12"/>
      <c r="BLF55" s="12"/>
      <c r="BLG55" s="12"/>
      <c r="BLH55" s="12"/>
      <c r="BLI55" s="12"/>
      <c r="BLJ55" s="12"/>
      <c r="BLK55" s="12"/>
      <c r="BLL55" s="12"/>
      <c r="BLM55" s="12"/>
      <c r="BLN55" s="12"/>
      <c r="BLO55" s="12"/>
      <c r="BLP55" s="12"/>
      <c r="BLQ55" s="12"/>
      <c r="BLR55" s="12"/>
      <c r="BLS55" s="12"/>
      <c r="BLT55" s="12"/>
      <c r="BLU55" s="12"/>
      <c r="BLV55" s="12"/>
      <c r="BLW55" s="12"/>
      <c r="BLX55" s="12"/>
      <c r="BLY55" s="12"/>
      <c r="BLZ55" s="12"/>
      <c r="BMA55" s="12"/>
      <c r="BMB55" s="12"/>
      <c r="BMC55" s="12"/>
      <c r="BMD55" s="12"/>
      <c r="BME55" s="12"/>
      <c r="BMF55" s="12"/>
      <c r="BMG55" s="12"/>
      <c r="BMH55" s="12"/>
      <c r="BMI55" s="12"/>
      <c r="BMJ55" s="12"/>
      <c r="BMK55" s="12"/>
      <c r="BML55" s="12"/>
      <c r="BMM55" s="12"/>
      <c r="BMN55" s="12"/>
      <c r="BMO55" s="12"/>
      <c r="BMP55" s="12"/>
      <c r="BMQ55" s="12"/>
      <c r="BMR55" s="12"/>
      <c r="BMS55" s="12"/>
      <c r="BMT55" s="12"/>
      <c r="BMU55" s="12"/>
      <c r="BMV55" s="12"/>
      <c r="BMW55" s="12"/>
      <c r="BMX55" s="12"/>
      <c r="BMY55" s="12"/>
      <c r="BMZ55" s="12"/>
      <c r="BNA55" s="12"/>
      <c r="BNB55" s="12"/>
      <c r="BNC55" s="12"/>
      <c r="BND55" s="12"/>
      <c r="BNE55" s="12"/>
      <c r="BNF55" s="12"/>
      <c r="BNG55" s="12"/>
      <c r="BNH55" s="12"/>
      <c r="BNI55" s="12"/>
      <c r="BNJ55" s="12"/>
      <c r="BNK55" s="12"/>
      <c r="BNL55" s="12"/>
      <c r="BNM55" s="12"/>
      <c r="BNN55" s="12"/>
      <c r="BNO55" s="12"/>
      <c r="BNP55" s="12"/>
      <c r="BNQ55" s="12"/>
      <c r="BNR55" s="12"/>
      <c r="BNS55" s="12"/>
      <c r="BNT55" s="12"/>
      <c r="BNU55" s="12"/>
      <c r="BNV55" s="12"/>
      <c r="BNW55" s="12"/>
      <c r="BNX55" s="12"/>
      <c r="BNY55" s="12"/>
      <c r="BNZ55" s="12"/>
      <c r="BOA55" s="12"/>
      <c r="BOB55" s="12"/>
      <c r="BOC55" s="12"/>
      <c r="BOD55" s="12"/>
      <c r="BOE55" s="12"/>
      <c r="BOF55" s="12"/>
      <c r="BOG55" s="12"/>
      <c r="BOH55" s="12"/>
      <c r="BOI55" s="12"/>
      <c r="BOJ55" s="12"/>
      <c r="BOK55" s="12"/>
      <c r="BOL55" s="12"/>
      <c r="BOM55" s="12"/>
      <c r="BON55" s="12"/>
      <c r="BOO55" s="12"/>
      <c r="BOP55" s="12"/>
      <c r="BOQ55" s="12"/>
      <c r="BOR55" s="12"/>
      <c r="BOS55" s="12"/>
      <c r="BOT55" s="12"/>
      <c r="BOU55" s="12"/>
      <c r="BOV55" s="12"/>
      <c r="BOW55" s="12"/>
      <c r="BOX55" s="12"/>
      <c r="BOY55" s="12"/>
      <c r="BOZ55" s="12"/>
      <c r="BPA55" s="12"/>
      <c r="BPB55" s="12"/>
      <c r="BPC55" s="12"/>
      <c r="BPD55" s="12"/>
      <c r="BPE55" s="12"/>
      <c r="BPF55" s="12"/>
      <c r="BPG55" s="12"/>
      <c r="BPH55" s="12"/>
      <c r="BPI55" s="12"/>
      <c r="BPJ55" s="12"/>
      <c r="BPK55" s="12"/>
      <c r="BPL55" s="12"/>
      <c r="BPM55" s="12"/>
      <c r="BPN55" s="12"/>
      <c r="BPO55" s="12"/>
      <c r="BPP55" s="12"/>
      <c r="BPQ55" s="12"/>
      <c r="BPR55" s="12"/>
      <c r="BPS55" s="12"/>
      <c r="BPT55" s="12"/>
      <c r="BPU55" s="12"/>
      <c r="BPV55" s="12"/>
      <c r="BPW55" s="12"/>
      <c r="BPX55" s="12"/>
      <c r="BPY55" s="12"/>
      <c r="BPZ55" s="12"/>
      <c r="BQA55" s="12"/>
      <c r="BQB55" s="12"/>
      <c r="BQC55" s="12"/>
      <c r="BQD55" s="12"/>
      <c r="BQE55" s="12"/>
      <c r="BQF55" s="12"/>
      <c r="BQG55" s="12"/>
      <c r="BQH55" s="12"/>
      <c r="BQI55" s="12"/>
      <c r="BQJ55" s="12"/>
      <c r="BQK55" s="12"/>
      <c r="BQL55" s="12"/>
      <c r="BQM55" s="12"/>
      <c r="BQN55" s="12"/>
      <c r="BQO55" s="12"/>
      <c r="BQP55" s="12"/>
      <c r="BQQ55" s="12"/>
      <c r="BQR55" s="12"/>
      <c r="BQS55" s="12"/>
      <c r="BQT55" s="12"/>
      <c r="BQU55" s="12"/>
      <c r="BQV55" s="12"/>
      <c r="BQW55" s="12"/>
      <c r="BQX55" s="12"/>
      <c r="BQY55" s="12"/>
      <c r="BQZ55" s="12"/>
      <c r="BRA55" s="12"/>
      <c r="BRB55" s="12"/>
      <c r="BRC55" s="12"/>
      <c r="BRD55" s="12"/>
      <c r="BRE55" s="12"/>
      <c r="BRF55" s="12"/>
      <c r="BRG55" s="12"/>
      <c r="BRH55" s="12"/>
      <c r="BRI55" s="12"/>
      <c r="BRJ55" s="12"/>
      <c r="BRK55" s="12"/>
      <c r="BRL55" s="12"/>
      <c r="BRM55" s="12"/>
      <c r="BRN55" s="12"/>
      <c r="BRO55" s="12"/>
      <c r="BRP55" s="12"/>
      <c r="BRQ55" s="12"/>
      <c r="BRR55" s="12"/>
      <c r="BRS55" s="12"/>
      <c r="BRT55" s="12"/>
      <c r="BRU55" s="12"/>
      <c r="BRV55" s="12"/>
      <c r="BRW55" s="12"/>
      <c r="BRX55" s="12"/>
      <c r="BRY55" s="12"/>
      <c r="BRZ55" s="12"/>
      <c r="BSA55" s="12"/>
      <c r="BSB55" s="12"/>
      <c r="BSC55" s="12"/>
      <c r="BSD55" s="12"/>
      <c r="BSE55" s="12"/>
      <c r="BSF55" s="12"/>
      <c r="BSG55" s="12"/>
      <c r="BSH55" s="12"/>
      <c r="BSI55" s="12"/>
      <c r="BSJ55" s="12"/>
      <c r="BSK55" s="12"/>
      <c r="BSL55" s="12"/>
      <c r="BSM55" s="12"/>
      <c r="BSN55" s="12"/>
      <c r="BSO55" s="12"/>
      <c r="BSP55" s="12"/>
      <c r="BSQ55" s="12"/>
      <c r="BSR55" s="12"/>
      <c r="BSS55" s="12"/>
      <c r="BST55" s="12"/>
      <c r="BSU55" s="12"/>
      <c r="BSV55" s="12"/>
      <c r="BSW55" s="12"/>
      <c r="BSX55" s="12"/>
      <c r="BSY55" s="12"/>
      <c r="BSZ55" s="12"/>
      <c r="BTA55" s="12"/>
      <c r="BTB55" s="12"/>
      <c r="BTC55" s="12"/>
      <c r="BTD55" s="12"/>
      <c r="BTE55" s="12"/>
      <c r="BTF55" s="12"/>
      <c r="BTG55" s="12"/>
      <c r="BTH55" s="12"/>
      <c r="BTI55" s="12"/>
      <c r="BTJ55" s="12"/>
      <c r="BTK55" s="12"/>
      <c r="BTL55" s="12"/>
      <c r="BTM55" s="12"/>
      <c r="BTN55" s="12"/>
      <c r="BTO55" s="12"/>
      <c r="BTP55" s="12"/>
      <c r="BTQ55" s="12"/>
      <c r="BTR55" s="12"/>
      <c r="BTS55" s="12"/>
      <c r="BTT55" s="12"/>
      <c r="BTU55" s="12"/>
      <c r="BTV55" s="12"/>
      <c r="BTW55" s="12"/>
      <c r="BTX55" s="12"/>
      <c r="BTY55" s="12"/>
      <c r="BTZ55" s="12"/>
      <c r="BUA55" s="12"/>
      <c r="BUB55" s="12"/>
      <c r="BUC55" s="12"/>
      <c r="BUD55" s="12"/>
      <c r="BUE55" s="12"/>
      <c r="BUF55" s="12"/>
      <c r="BUG55" s="12"/>
      <c r="BUH55" s="12"/>
      <c r="BUI55" s="12"/>
      <c r="BUJ55" s="12"/>
      <c r="BUK55" s="12"/>
      <c r="BUL55" s="12"/>
      <c r="BUM55" s="12"/>
      <c r="BUN55" s="12"/>
      <c r="BUO55" s="12"/>
      <c r="BUP55" s="12"/>
      <c r="BUQ55" s="12"/>
      <c r="BUR55" s="12"/>
      <c r="BUS55" s="12"/>
      <c r="BUT55" s="12"/>
      <c r="BUU55" s="12"/>
      <c r="BUV55" s="12"/>
      <c r="BUW55" s="12"/>
      <c r="BUX55" s="12"/>
      <c r="BUY55" s="12"/>
      <c r="BUZ55" s="12"/>
      <c r="BVA55" s="12"/>
      <c r="BVB55" s="12"/>
      <c r="BVC55" s="12"/>
      <c r="BVD55" s="12"/>
      <c r="BVE55" s="12"/>
      <c r="BVF55" s="12"/>
      <c r="BVG55" s="12"/>
      <c r="BVH55" s="12"/>
      <c r="BVI55" s="12"/>
      <c r="BVJ55" s="12"/>
      <c r="BVK55" s="12"/>
      <c r="BVL55" s="12"/>
      <c r="BVM55" s="12"/>
      <c r="BVN55" s="12"/>
      <c r="BVO55" s="12"/>
      <c r="BVP55" s="12"/>
      <c r="BVQ55" s="12"/>
      <c r="BVR55" s="12"/>
      <c r="BVS55" s="12"/>
      <c r="BVT55" s="12"/>
      <c r="BVU55" s="12"/>
      <c r="BVV55" s="12"/>
      <c r="BVW55" s="12"/>
      <c r="BVX55" s="12"/>
      <c r="BVY55" s="12"/>
      <c r="BVZ55" s="12"/>
      <c r="BWA55" s="12"/>
      <c r="BWB55" s="12"/>
      <c r="BWC55" s="12"/>
      <c r="BWD55" s="12"/>
      <c r="BWE55" s="12"/>
      <c r="BWF55" s="12"/>
      <c r="BWG55" s="12"/>
      <c r="BWH55" s="12"/>
      <c r="BWI55" s="12"/>
      <c r="BWJ55" s="12"/>
      <c r="BWK55" s="12"/>
      <c r="BWL55" s="12"/>
      <c r="BWM55" s="12"/>
      <c r="BWN55" s="12"/>
      <c r="BWO55" s="12"/>
      <c r="BWP55" s="12"/>
      <c r="BWQ55" s="12"/>
      <c r="BWR55" s="12"/>
      <c r="BWS55" s="12"/>
      <c r="BWT55" s="12"/>
      <c r="BWU55" s="12"/>
      <c r="BWV55" s="12"/>
      <c r="BWW55" s="12"/>
      <c r="BWX55" s="12"/>
      <c r="BWY55" s="12"/>
      <c r="BWZ55" s="12"/>
      <c r="BXA55" s="12"/>
      <c r="BXB55" s="12"/>
      <c r="BXC55" s="12"/>
      <c r="BXD55" s="12"/>
      <c r="BXE55" s="12"/>
      <c r="BXF55" s="12"/>
      <c r="BXG55" s="12"/>
      <c r="BXH55" s="12"/>
      <c r="BXI55" s="12"/>
      <c r="BXJ55" s="12"/>
      <c r="BXK55" s="12"/>
      <c r="BXL55" s="12"/>
      <c r="BXM55" s="12"/>
      <c r="BXN55" s="12"/>
      <c r="BXO55" s="12"/>
      <c r="BXP55" s="12"/>
      <c r="BXQ55" s="12"/>
      <c r="BXR55" s="12"/>
      <c r="BXS55" s="12"/>
      <c r="BXT55" s="12"/>
      <c r="BXU55" s="12"/>
      <c r="BXV55" s="12"/>
      <c r="BXW55" s="12"/>
      <c r="BXX55" s="12"/>
      <c r="BXY55" s="12"/>
      <c r="BXZ55" s="12"/>
      <c r="BYA55" s="12"/>
      <c r="BYB55" s="12"/>
      <c r="BYC55" s="12"/>
      <c r="BYD55" s="12"/>
      <c r="BYE55" s="12"/>
      <c r="BYF55" s="12"/>
      <c r="BYG55" s="12"/>
      <c r="BYH55" s="12"/>
      <c r="BYI55" s="12"/>
      <c r="BYJ55" s="12"/>
      <c r="BYK55" s="12"/>
      <c r="BYL55" s="12"/>
      <c r="BYM55" s="12"/>
      <c r="BYN55" s="12"/>
      <c r="BYO55" s="12"/>
      <c r="BYP55" s="12"/>
      <c r="BYQ55" s="12"/>
      <c r="BYR55" s="12"/>
      <c r="BYS55" s="12"/>
      <c r="BYT55" s="12"/>
      <c r="BYU55" s="12"/>
      <c r="BYV55" s="12"/>
      <c r="BYW55" s="12"/>
      <c r="BYX55" s="12"/>
      <c r="BYY55" s="12"/>
      <c r="BYZ55" s="12"/>
      <c r="BZA55" s="12"/>
      <c r="BZB55" s="12"/>
      <c r="BZC55" s="12"/>
      <c r="BZD55" s="12"/>
      <c r="BZE55" s="12"/>
      <c r="BZF55" s="12"/>
      <c r="BZG55" s="12"/>
      <c r="BZH55" s="12"/>
      <c r="BZI55" s="12"/>
      <c r="BZJ55" s="12"/>
      <c r="BZK55" s="12"/>
      <c r="BZL55" s="12"/>
      <c r="BZM55" s="12"/>
      <c r="BZN55" s="12"/>
      <c r="BZO55" s="12"/>
      <c r="BZP55" s="12"/>
      <c r="BZQ55" s="12"/>
      <c r="BZR55" s="12"/>
      <c r="BZS55" s="12"/>
      <c r="BZT55" s="12"/>
      <c r="BZU55" s="12"/>
      <c r="BZV55" s="12"/>
      <c r="BZW55" s="12"/>
      <c r="BZX55" s="12"/>
      <c r="BZY55" s="12"/>
      <c r="BZZ55" s="12"/>
      <c r="CAA55" s="12"/>
      <c r="CAB55" s="12"/>
      <c r="CAC55" s="12"/>
      <c r="CAD55" s="12"/>
      <c r="CAE55" s="12"/>
      <c r="CAF55" s="12"/>
      <c r="CAG55" s="12"/>
      <c r="CAH55" s="12"/>
      <c r="CAI55" s="12"/>
      <c r="CAJ55" s="12"/>
      <c r="CAK55" s="12"/>
      <c r="CAL55" s="12"/>
      <c r="CAM55" s="12"/>
      <c r="CAN55" s="12"/>
      <c r="CAO55" s="12"/>
      <c r="CAP55" s="12"/>
      <c r="CAQ55" s="12"/>
      <c r="CAR55" s="12"/>
      <c r="CAS55" s="12"/>
      <c r="CAT55" s="12"/>
      <c r="CAU55" s="12"/>
      <c r="CAV55" s="12"/>
      <c r="CAW55" s="12"/>
      <c r="CAX55" s="12"/>
      <c r="CAY55" s="12"/>
      <c r="CAZ55" s="12"/>
      <c r="CBA55" s="12"/>
      <c r="CBB55" s="12"/>
      <c r="CBC55" s="12"/>
      <c r="CBD55" s="12"/>
      <c r="CBE55" s="12"/>
      <c r="CBF55" s="12"/>
      <c r="CBG55" s="12"/>
      <c r="CBH55" s="12"/>
      <c r="CBI55" s="12"/>
      <c r="CBJ55" s="12"/>
      <c r="CBK55" s="12"/>
      <c r="CBL55" s="12"/>
      <c r="CBM55" s="12"/>
      <c r="CBN55" s="12"/>
      <c r="CBO55" s="12"/>
      <c r="CBP55" s="12"/>
      <c r="CBQ55" s="12"/>
      <c r="CBR55" s="12"/>
      <c r="CBS55" s="12"/>
      <c r="CBT55" s="12"/>
      <c r="CBU55" s="12"/>
      <c r="CBV55" s="12"/>
      <c r="CBW55" s="12"/>
      <c r="CBX55" s="12"/>
      <c r="CBY55" s="12"/>
      <c r="CBZ55" s="12"/>
      <c r="CCA55" s="12"/>
      <c r="CCB55" s="12"/>
      <c r="CCC55" s="12"/>
      <c r="CCD55" s="12"/>
      <c r="CCE55" s="12"/>
      <c r="CCF55" s="12"/>
      <c r="CCG55" s="12"/>
      <c r="CCH55" s="12"/>
      <c r="CCI55" s="12"/>
      <c r="CCJ55" s="12"/>
      <c r="CCK55" s="12"/>
      <c r="CCL55" s="12"/>
      <c r="CCM55" s="12"/>
      <c r="CCN55" s="12"/>
      <c r="CCO55" s="12"/>
      <c r="CCP55" s="12"/>
      <c r="CCQ55" s="12"/>
      <c r="CCR55" s="12"/>
      <c r="CCS55" s="12"/>
      <c r="CCT55" s="12"/>
      <c r="CCU55" s="12"/>
      <c r="CCV55" s="12"/>
      <c r="CCW55" s="12"/>
      <c r="CCX55" s="12"/>
      <c r="CCY55" s="12"/>
      <c r="CCZ55" s="12"/>
      <c r="CDA55" s="12"/>
      <c r="CDB55" s="12"/>
      <c r="CDC55" s="12"/>
      <c r="CDD55" s="12"/>
      <c r="CDE55" s="12"/>
      <c r="CDF55" s="12"/>
      <c r="CDG55" s="12"/>
      <c r="CDH55" s="12"/>
      <c r="CDI55" s="12"/>
      <c r="CDJ55" s="12"/>
      <c r="CDK55" s="12"/>
      <c r="CDL55" s="12"/>
      <c r="CDM55" s="12"/>
      <c r="CDN55" s="12"/>
      <c r="CDO55" s="12"/>
      <c r="CDP55" s="12"/>
      <c r="CDQ55" s="12"/>
      <c r="CDR55" s="12"/>
      <c r="CDS55" s="12"/>
      <c r="CDT55" s="12"/>
      <c r="CDU55" s="12"/>
      <c r="CDV55" s="12"/>
      <c r="CDW55" s="12"/>
      <c r="CDX55" s="12"/>
      <c r="CDY55" s="12"/>
      <c r="CDZ55" s="12"/>
      <c r="CEA55" s="12"/>
      <c r="CEB55" s="12"/>
      <c r="CEC55" s="12"/>
      <c r="CED55" s="12"/>
      <c r="CEE55" s="12"/>
      <c r="CEF55" s="12"/>
      <c r="CEG55" s="12"/>
      <c r="CEH55" s="12"/>
      <c r="CEI55" s="12"/>
      <c r="CEJ55" s="12"/>
      <c r="CEK55" s="12"/>
      <c r="CEL55" s="12"/>
      <c r="CEM55" s="12"/>
      <c r="CEN55" s="12"/>
      <c r="CEO55" s="12"/>
      <c r="CEP55" s="12"/>
      <c r="CEQ55" s="12"/>
      <c r="CER55" s="12"/>
      <c r="CES55" s="12"/>
      <c r="CET55" s="12"/>
      <c r="CEU55" s="12"/>
      <c r="CEV55" s="12"/>
      <c r="CEW55" s="12"/>
      <c r="CEX55" s="12"/>
      <c r="CEY55" s="12"/>
      <c r="CEZ55" s="12"/>
      <c r="CFA55" s="12"/>
      <c r="CFB55" s="12"/>
      <c r="CFC55" s="12"/>
      <c r="CFD55" s="12"/>
      <c r="CFE55" s="12"/>
      <c r="CFF55" s="12"/>
      <c r="CFG55" s="12"/>
      <c r="CFH55" s="12"/>
      <c r="CFI55" s="12"/>
      <c r="CFJ55" s="12"/>
      <c r="CFK55" s="12"/>
      <c r="CFL55" s="12"/>
      <c r="CFM55" s="12"/>
      <c r="CFN55" s="12"/>
      <c r="CFO55" s="12"/>
      <c r="CFP55" s="12"/>
      <c r="CFQ55" s="12"/>
      <c r="CFR55" s="12"/>
      <c r="CFS55" s="12"/>
      <c r="CFT55" s="12"/>
      <c r="CFU55" s="12"/>
      <c r="CFV55" s="12"/>
      <c r="CFW55" s="12"/>
      <c r="CFX55" s="12"/>
      <c r="CFY55" s="12"/>
      <c r="CFZ55" s="12"/>
      <c r="CGA55" s="12"/>
      <c r="CGB55" s="12"/>
      <c r="CGC55" s="12"/>
      <c r="CGD55" s="12"/>
      <c r="CGE55" s="12"/>
      <c r="CGF55" s="12"/>
      <c r="CGG55" s="12"/>
      <c r="CGH55" s="12"/>
      <c r="CGI55" s="12"/>
      <c r="CGJ55" s="12"/>
      <c r="CGK55" s="12"/>
      <c r="CGL55" s="12"/>
      <c r="CGM55" s="12"/>
      <c r="CGN55" s="12"/>
      <c r="CGO55" s="12"/>
      <c r="CGP55" s="12"/>
      <c r="CGQ55" s="12"/>
      <c r="CGR55" s="12"/>
      <c r="CGS55" s="12"/>
      <c r="CGT55" s="12"/>
      <c r="CGU55" s="12"/>
      <c r="CGV55" s="12"/>
      <c r="CGW55" s="12"/>
      <c r="CGX55" s="12"/>
      <c r="CGY55" s="12"/>
      <c r="CGZ55" s="12"/>
      <c r="CHA55" s="12"/>
      <c r="CHB55" s="12"/>
      <c r="CHC55" s="12"/>
      <c r="CHD55" s="12"/>
      <c r="CHE55" s="12"/>
      <c r="CHF55" s="12"/>
      <c r="CHG55" s="12"/>
      <c r="CHH55" s="12"/>
      <c r="CHI55" s="12"/>
      <c r="CHJ55" s="12"/>
      <c r="CHK55" s="12"/>
      <c r="CHL55" s="12"/>
      <c r="CHM55" s="12"/>
      <c r="CHN55" s="12"/>
      <c r="CHO55" s="12"/>
      <c r="CHP55" s="12"/>
      <c r="CHQ55" s="12"/>
      <c r="CHR55" s="12"/>
      <c r="CHS55" s="12"/>
      <c r="CHT55" s="12"/>
      <c r="CHU55" s="12"/>
      <c r="CHV55" s="12"/>
      <c r="CHW55" s="12"/>
      <c r="CHX55" s="12"/>
      <c r="CHY55" s="12"/>
      <c r="CHZ55" s="12"/>
      <c r="CIA55" s="12"/>
      <c r="CIB55" s="12"/>
      <c r="CIC55" s="12"/>
      <c r="CID55" s="12"/>
      <c r="CIE55" s="12"/>
      <c r="CIF55" s="12"/>
      <c r="CIG55" s="12"/>
      <c r="CIH55" s="12"/>
      <c r="CII55" s="12"/>
      <c r="CIJ55" s="12"/>
      <c r="CIK55" s="12"/>
      <c r="CIL55" s="12"/>
      <c r="CIM55" s="12"/>
      <c r="CIN55" s="12"/>
      <c r="CIO55" s="12"/>
      <c r="CIP55" s="12"/>
      <c r="CIQ55" s="12"/>
      <c r="CIR55" s="12"/>
      <c r="CIS55" s="12"/>
      <c r="CIT55" s="12"/>
      <c r="CIU55" s="12"/>
      <c r="CIV55" s="12"/>
      <c r="CIW55" s="12"/>
      <c r="CIX55" s="12"/>
      <c r="CIY55" s="12"/>
      <c r="CIZ55" s="12"/>
      <c r="CJA55" s="12"/>
      <c r="CJB55" s="12"/>
      <c r="CJC55" s="12"/>
      <c r="CJD55" s="12"/>
      <c r="CJE55" s="12"/>
      <c r="CJF55" s="12"/>
      <c r="CJG55" s="12"/>
      <c r="CJH55" s="12"/>
      <c r="CJI55" s="12"/>
      <c r="CJJ55" s="12"/>
      <c r="CJK55" s="12"/>
      <c r="CJL55" s="12"/>
      <c r="CJM55" s="12"/>
      <c r="CJN55" s="12"/>
      <c r="CJO55" s="12"/>
      <c r="CJP55" s="12"/>
      <c r="CJQ55" s="12"/>
      <c r="CJR55" s="12"/>
      <c r="CJS55" s="12"/>
      <c r="CJT55" s="12"/>
      <c r="CJU55" s="12"/>
      <c r="CJV55" s="12"/>
      <c r="CJW55" s="12"/>
      <c r="CJX55" s="12"/>
      <c r="CJY55" s="12"/>
      <c r="CJZ55" s="12"/>
      <c r="CKA55" s="12"/>
      <c r="CKB55" s="12"/>
      <c r="CKC55" s="12"/>
      <c r="CKD55" s="12"/>
      <c r="CKE55" s="12"/>
      <c r="CKF55" s="12"/>
      <c r="CKG55" s="12"/>
      <c r="CKH55" s="12"/>
      <c r="CKI55" s="12"/>
      <c r="CKJ55" s="12"/>
      <c r="CKK55" s="12"/>
      <c r="CKL55" s="12"/>
      <c r="CKM55" s="12"/>
      <c r="CKN55" s="12"/>
      <c r="CKO55" s="12"/>
      <c r="CKP55" s="12"/>
      <c r="CKQ55" s="12"/>
      <c r="CKR55" s="12"/>
      <c r="CKS55" s="12"/>
      <c r="CKT55" s="12"/>
      <c r="CKU55" s="12"/>
      <c r="CKV55" s="12"/>
      <c r="CKW55" s="12"/>
      <c r="CKX55" s="12"/>
      <c r="CKY55" s="12"/>
      <c r="CKZ55" s="12"/>
      <c r="CLA55" s="12"/>
      <c r="CLB55" s="12"/>
      <c r="CLC55" s="12"/>
      <c r="CLD55" s="12"/>
      <c r="CLE55" s="12"/>
      <c r="CLF55" s="12"/>
      <c r="CLG55" s="12"/>
      <c r="CLH55" s="12"/>
      <c r="CLI55" s="12"/>
      <c r="CLJ55" s="12"/>
      <c r="CLK55" s="12"/>
      <c r="CLL55" s="12"/>
      <c r="CLM55" s="12"/>
      <c r="CLN55" s="12"/>
      <c r="CLO55" s="12"/>
      <c r="CLP55" s="12"/>
      <c r="CLQ55" s="12"/>
      <c r="CLR55" s="12"/>
      <c r="CLS55" s="12"/>
      <c r="CLT55" s="12"/>
      <c r="CLU55" s="12"/>
      <c r="CLV55" s="12"/>
      <c r="CLW55" s="12"/>
      <c r="CLX55" s="12"/>
      <c r="CLY55" s="12"/>
      <c r="CLZ55" s="12"/>
      <c r="CMA55" s="12"/>
      <c r="CMB55" s="12"/>
      <c r="CMC55" s="12"/>
      <c r="CMD55" s="12"/>
      <c r="CME55" s="12"/>
      <c r="CMF55" s="12"/>
      <c r="CMG55" s="12"/>
      <c r="CMH55" s="12"/>
      <c r="CMI55" s="12"/>
      <c r="CMJ55" s="12"/>
      <c r="CMK55" s="12"/>
      <c r="CML55" s="12"/>
      <c r="CMM55" s="12"/>
      <c r="CMN55" s="12"/>
      <c r="CMO55" s="12"/>
      <c r="CMP55" s="12"/>
      <c r="CMQ55" s="12"/>
      <c r="CMR55" s="12"/>
      <c r="CMS55" s="12"/>
      <c r="CMT55" s="12"/>
      <c r="CMU55" s="12"/>
      <c r="CMV55" s="12"/>
      <c r="CMW55" s="12"/>
      <c r="CMX55" s="12"/>
      <c r="CMY55" s="12"/>
      <c r="CMZ55" s="12"/>
      <c r="CNA55" s="12"/>
      <c r="CNB55" s="12"/>
      <c r="CNC55" s="12"/>
      <c r="CND55" s="12"/>
      <c r="CNE55" s="12"/>
      <c r="CNF55" s="12"/>
      <c r="CNG55" s="12"/>
      <c r="CNH55" s="12"/>
      <c r="CNI55" s="12"/>
      <c r="CNJ55" s="12"/>
      <c r="CNK55" s="12"/>
      <c r="CNL55" s="12"/>
      <c r="CNM55" s="12"/>
      <c r="CNN55" s="12"/>
      <c r="CNO55" s="12"/>
      <c r="CNP55" s="12"/>
      <c r="CNQ55" s="12"/>
      <c r="CNR55" s="12"/>
      <c r="CNS55" s="12"/>
      <c r="CNT55" s="12"/>
      <c r="CNU55" s="12"/>
      <c r="CNV55" s="12"/>
      <c r="CNW55" s="12"/>
      <c r="CNX55" s="12"/>
      <c r="CNY55" s="12"/>
      <c r="CNZ55" s="12"/>
      <c r="COA55" s="12"/>
      <c r="COB55" s="12"/>
      <c r="COC55" s="12"/>
      <c r="COD55" s="12"/>
      <c r="COE55" s="12"/>
      <c r="COF55" s="12"/>
      <c r="COG55" s="12"/>
      <c r="COH55" s="12"/>
      <c r="COI55" s="12"/>
      <c r="COJ55" s="12"/>
      <c r="COK55" s="12"/>
      <c r="COL55" s="12"/>
      <c r="COM55" s="12"/>
      <c r="CON55" s="12"/>
      <c r="COO55" s="12"/>
      <c r="COP55" s="12"/>
      <c r="COQ55" s="12"/>
      <c r="COR55" s="12"/>
      <c r="COS55" s="12"/>
      <c r="COT55" s="12"/>
      <c r="COU55" s="12"/>
      <c r="COV55" s="12"/>
      <c r="COW55" s="12"/>
      <c r="COX55" s="12"/>
      <c r="COY55" s="12"/>
      <c r="COZ55" s="12"/>
      <c r="CPA55" s="12"/>
      <c r="CPB55" s="12"/>
      <c r="CPC55" s="12"/>
      <c r="CPD55" s="12"/>
      <c r="CPE55" s="12"/>
      <c r="CPF55" s="12"/>
      <c r="CPG55" s="12"/>
      <c r="CPH55" s="12"/>
      <c r="CPI55" s="12"/>
      <c r="CPJ55" s="12"/>
      <c r="CPK55" s="12"/>
      <c r="CPL55" s="12"/>
      <c r="CPM55" s="12"/>
      <c r="CPN55" s="12"/>
      <c r="CPO55" s="12"/>
      <c r="CPP55" s="12"/>
      <c r="CPQ55" s="12"/>
      <c r="CPR55" s="12"/>
      <c r="CPS55" s="12"/>
      <c r="CPT55" s="12"/>
      <c r="CPU55" s="12"/>
      <c r="CPV55" s="12"/>
      <c r="CPW55" s="12"/>
      <c r="CPX55" s="12"/>
      <c r="CPY55" s="12"/>
      <c r="CPZ55" s="12"/>
      <c r="CQA55" s="12"/>
      <c r="CQB55" s="12"/>
      <c r="CQC55" s="12"/>
      <c r="CQD55" s="12"/>
      <c r="CQE55" s="12"/>
      <c r="CQF55" s="12"/>
      <c r="CQG55" s="12"/>
      <c r="CQH55" s="12"/>
      <c r="CQI55" s="12"/>
      <c r="CQJ55" s="12"/>
      <c r="CQK55" s="12"/>
      <c r="CQL55" s="12"/>
      <c r="CQM55" s="12"/>
      <c r="CQN55" s="12"/>
      <c r="CQO55" s="12"/>
      <c r="CQP55" s="12"/>
      <c r="CQQ55" s="12"/>
      <c r="CQR55" s="12"/>
      <c r="CQS55" s="12"/>
      <c r="CQT55" s="12"/>
      <c r="CQU55" s="12"/>
      <c r="CQV55" s="12"/>
      <c r="CQW55" s="12"/>
      <c r="CQX55" s="12"/>
      <c r="CQY55" s="12"/>
      <c r="CQZ55" s="12"/>
      <c r="CRA55" s="12"/>
      <c r="CRB55" s="12"/>
      <c r="CRC55" s="12"/>
      <c r="CRD55" s="12"/>
      <c r="CRE55" s="12"/>
      <c r="CRF55" s="12"/>
      <c r="CRG55" s="12"/>
      <c r="CRH55" s="12"/>
      <c r="CRI55" s="12"/>
      <c r="CRJ55" s="12"/>
      <c r="CRK55" s="12"/>
      <c r="CRL55" s="12"/>
      <c r="CRM55" s="12"/>
      <c r="CRN55" s="12"/>
      <c r="CRO55" s="12"/>
      <c r="CRP55" s="12"/>
      <c r="CRQ55" s="12"/>
      <c r="CRR55" s="12"/>
      <c r="CRS55" s="12"/>
      <c r="CRT55" s="12"/>
      <c r="CRU55" s="12"/>
      <c r="CRV55" s="12"/>
      <c r="CRW55" s="12"/>
      <c r="CRX55" s="12"/>
      <c r="CRY55" s="12"/>
      <c r="CRZ55" s="12"/>
      <c r="CSA55" s="12"/>
      <c r="CSB55" s="12"/>
      <c r="CSC55" s="12"/>
      <c r="CSD55" s="12"/>
      <c r="CSE55" s="12"/>
      <c r="CSF55" s="12"/>
      <c r="CSG55" s="12"/>
      <c r="CSH55" s="12"/>
      <c r="CSI55" s="12"/>
      <c r="CSJ55" s="12"/>
      <c r="CSK55" s="12"/>
      <c r="CSL55" s="12"/>
      <c r="CSM55" s="12"/>
      <c r="CSN55" s="12"/>
      <c r="CSO55" s="12"/>
      <c r="CSP55" s="12"/>
      <c r="CSQ55" s="12"/>
      <c r="CSR55" s="12"/>
      <c r="CSS55" s="12"/>
      <c r="CST55" s="12"/>
      <c r="CSU55" s="12"/>
      <c r="CSV55" s="12"/>
      <c r="CSW55" s="12"/>
      <c r="CSX55" s="12"/>
      <c r="CSY55" s="12"/>
      <c r="CSZ55" s="12"/>
      <c r="CTA55" s="12"/>
      <c r="CTB55" s="12"/>
      <c r="CTC55" s="12"/>
      <c r="CTD55" s="12"/>
      <c r="CTE55" s="12"/>
      <c r="CTF55" s="12"/>
      <c r="CTG55" s="12"/>
      <c r="CTH55" s="12"/>
      <c r="CTI55" s="12"/>
      <c r="CTJ55" s="12"/>
      <c r="CTK55" s="12"/>
      <c r="CTL55" s="12"/>
      <c r="CTM55" s="12"/>
      <c r="CTN55" s="12"/>
      <c r="CTO55" s="12"/>
      <c r="CTP55" s="12"/>
      <c r="CTQ55" s="12"/>
      <c r="CTR55" s="12"/>
      <c r="CTS55" s="12"/>
      <c r="CTT55" s="12"/>
      <c r="CTU55" s="12"/>
      <c r="CTV55" s="12"/>
      <c r="CTW55" s="12"/>
      <c r="CTX55" s="12"/>
      <c r="CTY55" s="12"/>
      <c r="CTZ55" s="12"/>
      <c r="CUA55" s="12"/>
      <c r="CUB55" s="12"/>
      <c r="CUC55" s="12"/>
      <c r="CUD55" s="12"/>
      <c r="CUE55" s="12"/>
      <c r="CUF55" s="12"/>
      <c r="CUG55" s="12"/>
      <c r="CUH55" s="12"/>
      <c r="CUI55" s="12"/>
      <c r="CUJ55" s="12"/>
      <c r="CUK55" s="12"/>
      <c r="CUL55" s="12"/>
      <c r="CUM55" s="12"/>
      <c r="CUN55" s="12"/>
      <c r="CUO55" s="12"/>
      <c r="CUP55" s="12"/>
      <c r="CUQ55" s="12"/>
      <c r="CUR55" s="12"/>
      <c r="CUS55" s="12"/>
      <c r="CUT55" s="12"/>
      <c r="CUU55" s="12"/>
      <c r="CUV55" s="12"/>
      <c r="CUW55" s="12"/>
      <c r="CUX55" s="12"/>
      <c r="CUY55" s="12"/>
      <c r="CUZ55" s="12"/>
      <c r="CVA55" s="12"/>
      <c r="CVB55" s="12"/>
      <c r="CVC55" s="12"/>
      <c r="CVD55" s="12"/>
      <c r="CVE55" s="12"/>
      <c r="CVF55" s="12"/>
      <c r="CVG55" s="12"/>
      <c r="CVH55" s="12"/>
      <c r="CVI55" s="12"/>
      <c r="CVJ55" s="12"/>
      <c r="CVK55" s="12"/>
      <c r="CVL55" s="12"/>
      <c r="CVM55" s="12"/>
      <c r="CVN55" s="12"/>
      <c r="CVO55" s="12"/>
      <c r="CVP55" s="12"/>
      <c r="CVQ55" s="12"/>
      <c r="CVR55" s="12"/>
      <c r="CVS55" s="12"/>
      <c r="CVT55" s="12"/>
      <c r="CVU55" s="12"/>
      <c r="CVV55" s="12"/>
      <c r="CVW55" s="12"/>
      <c r="CVX55" s="12"/>
      <c r="CVY55" s="12"/>
      <c r="CVZ55" s="12"/>
      <c r="CWA55" s="12"/>
      <c r="CWB55" s="12"/>
      <c r="CWC55" s="12"/>
      <c r="CWD55" s="12"/>
      <c r="CWE55" s="12"/>
      <c r="CWF55" s="12"/>
      <c r="CWG55" s="12"/>
      <c r="CWH55" s="12"/>
      <c r="CWI55" s="12"/>
      <c r="CWJ55" s="12"/>
      <c r="CWK55" s="12"/>
      <c r="CWL55" s="12"/>
      <c r="CWM55" s="12"/>
      <c r="CWN55" s="12"/>
      <c r="CWO55" s="12"/>
      <c r="CWP55" s="12"/>
      <c r="CWQ55" s="12"/>
      <c r="CWR55" s="12"/>
      <c r="CWS55" s="12"/>
      <c r="CWT55" s="12"/>
      <c r="CWU55" s="12"/>
      <c r="CWV55" s="12"/>
      <c r="CWW55" s="12"/>
      <c r="CWX55" s="12"/>
      <c r="CWY55" s="12"/>
      <c r="CWZ55" s="12"/>
      <c r="CXA55" s="12"/>
      <c r="CXB55" s="12"/>
      <c r="CXC55" s="12"/>
      <c r="CXD55" s="12"/>
      <c r="CXE55" s="12"/>
      <c r="CXF55" s="12"/>
      <c r="CXG55" s="12"/>
      <c r="CXH55" s="12"/>
      <c r="CXI55" s="12"/>
      <c r="CXJ55" s="12"/>
      <c r="CXK55" s="12"/>
      <c r="CXL55" s="12"/>
      <c r="CXM55" s="12"/>
      <c r="CXN55" s="12"/>
      <c r="CXO55" s="12"/>
      <c r="CXP55" s="12"/>
      <c r="CXQ55" s="12"/>
      <c r="CXR55" s="12"/>
      <c r="CXS55" s="12"/>
      <c r="CXT55" s="12"/>
      <c r="CXU55" s="12"/>
      <c r="CXV55" s="12"/>
      <c r="CXW55" s="12"/>
      <c r="CXX55" s="12"/>
      <c r="CXY55" s="12"/>
      <c r="CXZ55" s="12"/>
      <c r="CYA55" s="12"/>
      <c r="CYB55" s="12"/>
      <c r="CYC55" s="12"/>
      <c r="CYD55" s="12"/>
      <c r="CYE55" s="12"/>
      <c r="CYF55" s="12"/>
      <c r="CYG55" s="12"/>
      <c r="CYH55" s="12"/>
      <c r="CYI55" s="12"/>
      <c r="CYJ55" s="12"/>
      <c r="CYK55" s="12"/>
      <c r="CYL55" s="12"/>
      <c r="CYM55" s="12"/>
      <c r="CYN55" s="12"/>
      <c r="CYO55" s="12"/>
      <c r="CYP55" s="12"/>
      <c r="CYQ55" s="12"/>
      <c r="CYR55" s="12"/>
      <c r="CYS55" s="12"/>
      <c r="CYT55" s="12"/>
      <c r="CYU55" s="12"/>
      <c r="CYV55" s="12"/>
      <c r="CYW55" s="12"/>
      <c r="CYX55" s="12"/>
      <c r="CYY55" s="12"/>
      <c r="CYZ55" s="12"/>
      <c r="CZA55" s="12"/>
      <c r="CZB55" s="12"/>
      <c r="CZC55" s="12"/>
      <c r="CZD55" s="12"/>
      <c r="CZE55" s="12"/>
      <c r="CZF55" s="12"/>
      <c r="CZG55" s="12"/>
      <c r="CZH55" s="12"/>
      <c r="CZI55" s="12"/>
      <c r="CZJ55" s="12"/>
      <c r="CZK55" s="12"/>
      <c r="CZL55" s="12"/>
      <c r="CZM55" s="12"/>
      <c r="CZN55" s="12"/>
      <c r="CZO55" s="12"/>
      <c r="CZP55" s="12"/>
      <c r="CZQ55" s="12"/>
      <c r="CZR55" s="12"/>
      <c r="CZS55" s="12"/>
      <c r="CZT55" s="12"/>
      <c r="CZU55" s="12"/>
      <c r="CZV55" s="12"/>
      <c r="CZW55" s="12"/>
      <c r="CZX55" s="12"/>
      <c r="CZY55" s="12"/>
      <c r="CZZ55" s="12"/>
      <c r="DAA55" s="12"/>
      <c r="DAB55" s="12"/>
      <c r="DAC55" s="12"/>
      <c r="DAD55" s="12"/>
      <c r="DAE55" s="12"/>
      <c r="DAF55" s="12"/>
      <c r="DAG55" s="12"/>
      <c r="DAH55" s="12"/>
      <c r="DAI55" s="12"/>
      <c r="DAJ55" s="12"/>
      <c r="DAK55" s="12"/>
      <c r="DAL55" s="12"/>
      <c r="DAM55" s="12"/>
      <c r="DAN55" s="12"/>
      <c r="DAO55" s="12"/>
      <c r="DAP55" s="12"/>
      <c r="DAQ55" s="12"/>
      <c r="DAR55" s="12"/>
      <c r="DAS55" s="12"/>
      <c r="DAT55" s="12"/>
      <c r="DAU55" s="12"/>
      <c r="DAV55" s="12"/>
      <c r="DAW55" s="12"/>
      <c r="DAX55" s="12"/>
      <c r="DAY55" s="12"/>
      <c r="DAZ55" s="12"/>
      <c r="DBA55" s="12"/>
      <c r="DBB55" s="12"/>
      <c r="DBC55" s="12"/>
      <c r="DBD55" s="12"/>
      <c r="DBE55" s="12"/>
      <c r="DBF55" s="12"/>
      <c r="DBG55" s="12"/>
      <c r="DBH55" s="12"/>
      <c r="DBI55" s="12"/>
      <c r="DBJ55" s="12"/>
      <c r="DBK55" s="12"/>
      <c r="DBL55" s="12"/>
      <c r="DBM55" s="12"/>
      <c r="DBN55" s="12"/>
      <c r="DBO55" s="12"/>
      <c r="DBP55" s="12"/>
      <c r="DBQ55" s="12"/>
      <c r="DBR55" s="12"/>
      <c r="DBS55" s="12"/>
      <c r="DBT55" s="12"/>
      <c r="DBU55" s="12"/>
      <c r="DBV55" s="12"/>
      <c r="DBW55" s="12"/>
      <c r="DBX55" s="12"/>
      <c r="DBY55" s="12"/>
      <c r="DBZ55" s="12"/>
      <c r="DCA55" s="12"/>
      <c r="DCB55" s="12"/>
      <c r="DCC55" s="12"/>
      <c r="DCD55" s="12"/>
      <c r="DCE55" s="12"/>
      <c r="DCF55" s="12"/>
      <c r="DCG55" s="12"/>
      <c r="DCH55" s="12"/>
      <c r="DCI55" s="12"/>
      <c r="DCJ55" s="12"/>
      <c r="DCK55" s="12"/>
      <c r="DCL55" s="12"/>
      <c r="DCM55" s="12"/>
      <c r="DCN55" s="12"/>
      <c r="DCO55" s="12"/>
      <c r="DCP55" s="12"/>
      <c r="DCQ55" s="12"/>
      <c r="DCR55" s="12"/>
      <c r="DCS55" s="12"/>
      <c r="DCT55" s="12"/>
      <c r="DCU55" s="12"/>
      <c r="DCV55" s="12"/>
      <c r="DCW55" s="12"/>
      <c r="DCX55" s="12"/>
      <c r="DCY55" s="12"/>
      <c r="DCZ55" s="12"/>
      <c r="DDA55" s="12"/>
      <c r="DDB55" s="12"/>
      <c r="DDC55" s="12"/>
      <c r="DDD55" s="12"/>
      <c r="DDE55" s="12"/>
      <c r="DDF55" s="12"/>
      <c r="DDG55" s="12"/>
      <c r="DDH55" s="12"/>
      <c r="DDI55" s="12"/>
      <c r="DDJ55" s="12"/>
      <c r="DDK55" s="12"/>
      <c r="DDL55" s="12"/>
      <c r="DDM55" s="12"/>
      <c r="DDN55" s="12"/>
      <c r="DDO55" s="12"/>
      <c r="DDP55" s="12"/>
      <c r="DDQ55" s="12"/>
      <c r="DDR55" s="12"/>
      <c r="DDS55" s="12"/>
      <c r="DDT55" s="12"/>
      <c r="DDU55" s="12"/>
      <c r="DDV55" s="12"/>
      <c r="DDW55" s="12"/>
      <c r="DDX55" s="12"/>
      <c r="DDY55" s="12"/>
      <c r="DDZ55" s="12"/>
      <c r="DEA55" s="12"/>
      <c r="DEB55" s="12"/>
      <c r="DEC55" s="12"/>
      <c r="DED55" s="12"/>
      <c r="DEE55" s="12"/>
      <c r="DEF55" s="12"/>
      <c r="DEG55" s="12"/>
      <c r="DEH55" s="12"/>
      <c r="DEI55" s="12"/>
      <c r="DEJ55" s="12"/>
      <c r="DEK55" s="12"/>
      <c r="DEL55" s="12"/>
      <c r="DEM55" s="12"/>
      <c r="DEN55" s="12"/>
      <c r="DEO55" s="12"/>
      <c r="DEP55" s="12"/>
      <c r="DEQ55" s="12"/>
      <c r="DER55" s="12"/>
      <c r="DES55" s="12"/>
      <c r="DET55" s="12"/>
      <c r="DEU55" s="12"/>
      <c r="DEV55" s="12"/>
      <c r="DEW55" s="12"/>
      <c r="DEX55" s="12"/>
      <c r="DEY55" s="12"/>
      <c r="DEZ55" s="12"/>
      <c r="DFA55" s="12"/>
      <c r="DFB55" s="12"/>
      <c r="DFC55" s="12"/>
      <c r="DFD55" s="12"/>
      <c r="DFE55" s="12"/>
      <c r="DFF55" s="12"/>
      <c r="DFG55" s="12"/>
      <c r="DFH55" s="12"/>
      <c r="DFI55" s="12"/>
      <c r="DFJ55" s="12"/>
      <c r="DFK55" s="12"/>
      <c r="DFL55" s="12"/>
      <c r="DFM55" s="12"/>
      <c r="DFN55" s="12"/>
      <c r="DFO55" s="12"/>
      <c r="DFP55" s="12"/>
      <c r="DFQ55" s="12"/>
      <c r="DFR55" s="12"/>
      <c r="DFS55" s="12"/>
      <c r="DFT55" s="12"/>
      <c r="DFU55" s="12"/>
      <c r="DFV55" s="12"/>
      <c r="DFW55" s="12"/>
      <c r="DFX55" s="12"/>
      <c r="DFY55" s="12"/>
      <c r="DFZ55" s="12"/>
      <c r="DGA55" s="12"/>
      <c r="DGB55" s="12"/>
      <c r="DGC55" s="12"/>
      <c r="DGD55" s="12"/>
      <c r="DGE55" s="12"/>
      <c r="DGF55" s="12"/>
      <c r="DGG55" s="12"/>
      <c r="DGH55" s="12"/>
      <c r="DGI55" s="12"/>
      <c r="DGJ55" s="12"/>
      <c r="DGK55" s="12"/>
      <c r="DGL55" s="12"/>
      <c r="DGM55" s="12"/>
      <c r="DGN55" s="12"/>
      <c r="DGO55" s="12"/>
      <c r="DGP55" s="12"/>
      <c r="DGQ55" s="12"/>
      <c r="DGR55" s="12"/>
      <c r="DGS55" s="12"/>
      <c r="DGT55" s="12"/>
      <c r="DGU55" s="12"/>
      <c r="DGV55" s="12"/>
      <c r="DGW55" s="12"/>
      <c r="DGX55" s="12"/>
      <c r="DGY55" s="12"/>
      <c r="DGZ55" s="12"/>
      <c r="DHA55" s="12"/>
      <c r="DHB55" s="12"/>
      <c r="DHC55" s="12"/>
      <c r="DHD55" s="12"/>
      <c r="DHE55" s="12"/>
      <c r="DHF55" s="12"/>
      <c r="DHG55" s="12"/>
      <c r="DHH55" s="12"/>
      <c r="DHI55" s="12"/>
      <c r="DHJ55" s="12"/>
      <c r="DHK55" s="12"/>
      <c r="DHL55" s="12"/>
      <c r="DHM55" s="12"/>
      <c r="DHN55" s="12"/>
      <c r="DHO55" s="12"/>
      <c r="DHP55" s="12"/>
      <c r="DHQ55" s="12"/>
      <c r="DHR55" s="12"/>
      <c r="DHS55" s="12"/>
      <c r="DHT55" s="12"/>
      <c r="DHU55" s="12"/>
      <c r="DHV55" s="12"/>
      <c r="DHW55" s="12"/>
      <c r="DHX55" s="12"/>
      <c r="DHY55" s="12"/>
      <c r="DHZ55" s="12"/>
      <c r="DIA55" s="12"/>
      <c r="DIB55" s="12"/>
      <c r="DIC55" s="12"/>
      <c r="DID55" s="12"/>
      <c r="DIE55" s="12"/>
      <c r="DIF55" s="12"/>
      <c r="DIG55" s="12"/>
      <c r="DIH55" s="12"/>
      <c r="DII55" s="12"/>
      <c r="DIJ55" s="12"/>
      <c r="DIK55" s="12"/>
      <c r="DIL55" s="12"/>
      <c r="DIM55" s="12"/>
      <c r="DIN55" s="12"/>
      <c r="DIO55" s="12"/>
      <c r="DIP55" s="12"/>
      <c r="DIQ55" s="12"/>
      <c r="DIR55" s="12"/>
      <c r="DIS55" s="12"/>
      <c r="DIT55" s="12"/>
      <c r="DIU55" s="12"/>
      <c r="DIV55" s="12"/>
      <c r="DIW55" s="12"/>
      <c r="DIX55" s="12"/>
      <c r="DIY55" s="12"/>
      <c r="DIZ55" s="12"/>
      <c r="DJA55" s="12"/>
      <c r="DJB55" s="12"/>
      <c r="DJC55" s="12"/>
      <c r="DJD55" s="12"/>
      <c r="DJE55" s="12"/>
      <c r="DJF55" s="12"/>
      <c r="DJG55" s="12"/>
      <c r="DJH55" s="12"/>
      <c r="DJI55" s="12"/>
      <c r="DJJ55" s="12"/>
      <c r="DJK55" s="12"/>
      <c r="DJL55" s="12"/>
      <c r="DJM55" s="12"/>
      <c r="DJN55" s="12"/>
      <c r="DJO55" s="12"/>
      <c r="DJP55" s="12"/>
      <c r="DJQ55" s="12"/>
      <c r="DJR55" s="12"/>
      <c r="DJS55" s="12"/>
      <c r="DJT55" s="12"/>
      <c r="DJU55" s="12"/>
      <c r="DJV55" s="12"/>
      <c r="DJW55" s="12"/>
      <c r="DJX55" s="12"/>
      <c r="DJY55" s="12"/>
      <c r="DJZ55" s="12"/>
      <c r="DKA55" s="12"/>
      <c r="DKB55" s="12"/>
      <c r="DKC55" s="12"/>
      <c r="DKD55" s="12"/>
      <c r="DKE55" s="12"/>
      <c r="DKF55" s="12"/>
      <c r="DKG55" s="12"/>
      <c r="DKH55" s="12"/>
      <c r="DKI55" s="12"/>
      <c r="DKJ55" s="12"/>
      <c r="DKK55" s="12"/>
      <c r="DKL55" s="12"/>
      <c r="DKM55" s="12"/>
      <c r="DKN55" s="12"/>
      <c r="DKO55" s="12"/>
      <c r="DKP55" s="12"/>
      <c r="DKQ55" s="12"/>
      <c r="DKR55" s="12"/>
      <c r="DKS55" s="12"/>
      <c r="DKT55" s="12"/>
      <c r="DKU55" s="12"/>
      <c r="DKV55" s="12"/>
      <c r="DKW55" s="12"/>
      <c r="DKX55" s="12"/>
      <c r="DKY55" s="12"/>
      <c r="DKZ55" s="12"/>
      <c r="DLA55" s="12"/>
      <c r="DLB55" s="12"/>
      <c r="DLC55" s="12"/>
      <c r="DLD55" s="12"/>
      <c r="DLE55" s="12"/>
      <c r="DLF55" s="12"/>
      <c r="DLG55" s="12"/>
      <c r="DLH55" s="12"/>
      <c r="DLI55" s="12"/>
      <c r="DLJ55" s="12"/>
      <c r="DLK55" s="12"/>
      <c r="DLL55" s="12"/>
      <c r="DLM55" s="12"/>
      <c r="DLN55" s="12"/>
      <c r="DLO55" s="12"/>
      <c r="DLP55" s="12"/>
      <c r="DLQ55" s="12"/>
      <c r="DLR55" s="12"/>
      <c r="DLS55" s="12"/>
      <c r="DLT55" s="12"/>
      <c r="DLU55" s="12"/>
      <c r="DLV55" s="12"/>
      <c r="DLW55" s="12"/>
      <c r="DLX55" s="12"/>
      <c r="DLY55" s="12"/>
      <c r="DLZ55" s="12"/>
      <c r="DMA55" s="12"/>
      <c r="DMB55" s="12"/>
      <c r="DMC55" s="12"/>
      <c r="DMD55" s="12"/>
      <c r="DME55" s="12"/>
      <c r="DMF55" s="12"/>
      <c r="DMG55" s="12"/>
      <c r="DMH55" s="12"/>
      <c r="DMI55" s="12"/>
      <c r="DMJ55" s="12"/>
      <c r="DMK55" s="12"/>
      <c r="DML55" s="12"/>
      <c r="DMM55" s="12"/>
      <c r="DMN55" s="12"/>
      <c r="DMO55" s="12"/>
      <c r="DMP55" s="12"/>
      <c r="DMQ55" s="12"/>
      <c r="DMR55" s="12"/>
      <c r="DMS55" s="12"/>
      <c r="DMT55" s="12"/>
      <c r="DMU55" s="12"/>
      <c r="DMV55" s="12"/>
      <c r="DMW55" s="12"/>
      <c r="DMX55" s="12"/>
      <c r="DMY55" s="12"/>
      <c r="DMZ55" s="12"/>
      <c r="DNA55" s="12"/>
      <c r="DNB55" s="12"/>
      <c r="DNC55" s="12"/>
      <c r="DND55" s="12"/>
      <c r="DNE55" s="12"/>
      <c r="DNF55" s="12"/>
      <c r="DNG55" s="12"/>
      <c r="DNH55" s="12"/>
      <c r="DNI55" s="12"/>
      <c r="DNJ55" s="12"/>
      <c r="DNK55" s="12"/>
      <c r="DNL55" s="12"/>
      <c r="DNM55" s="12"/>
      <c r="DNN55" s="12"/>
      <c r="DNO55" s="12"/>
      <c r="DNP55" s="12"/>
      <c r="DNQ55" s="12"/>
      <c r="DNR55" s="12"/>
      <c r="DNS55" s="12"/>
      <c r="DNT55" s="12"/>
      <c r="DNU55" s="12"/>
      <c r="DNV55" s="12"/>
      <c r="DNW55" s="12"/>
      <c r="DNX55" s="12"/>
      <c r="DNY55" s="12"/>
      <c r="DNZ55" s="12"/>
      <c r="DOA55" s="12"/>
      <c r="DOB55" s="12"/>
      <c r="DOC55" s="12"/>
      <c r="DOD55" s="12"/>
      <c r="DOE55" s="12"/>
      <c r="DOF55" s="12"/>
      <c r="DOG55" s="12"/>
      <c r="DOH55" s="12"/>
      <c r="DOI55" s="12"/>
      <c r="DOJ55" s="12"/>
      <c r="DOK55" s="12"/>
      <c r="DOL55" s="12"/>
      <c r="DOM55" s="12"/>
      <c r="DON55" s="12"/>
      <c r="DOO55" s="12"/>
      <c r="DOP55" s="12"/>
      <c r="DOQ55" s="12"/>
      <c r="DOR55" s="12"/>
      <c r="DOS55" s="12"/>
      <c r="DOT55" s="12"/>
      <c r="DOU55" s="12"/>
      <c r="DOV55" s="12"/>
      <c r="DOW55" s="12"/>
      <c r="DOX55" s="12"/>
      <c r="DOY55" s="12"/>
      <c r="DOZ55" s="12"/>
      <c r="DPA55" s="12"/>
      <c r="DPB55" s="12"/>
      <c r="DPC55" s="12"/>
      <c r="DPD55" s="12"/>
      <c r="DPE55" s="12"/>
      <c r="DPF55" s="12"/>
      <c r="DPG55" s="12"/>
      <c r="DPH55" s="12"/>
      <c r="DPI55" s="12"/>
      <c r="DPJ55" s="12"/>
      <c r="DPK55" s="12"/>
      <c r="DPL55" s="12"/>
      <c r="DPM55" s="12"/>
      <c r="DPN55" s="12"/>
      <c r="DPO55" s="12"/>
      <c r="DPP55" s="12"/>
      <c r="DPQ55" s="12"/>
      <c r="DPR55" s="12"/>
      <c r="DPS55" s="12"/>
      <c r="DPT55" s="12"/>
      <c r="DPU55" s="12"/>
      <c r="DPV55" s="12"/>
      <c r="DPW55" s="12"/>
      <c r="DPX55" s="12"/>
      <c r="DPY55" s="12"/>
      <c r="DPZ55" s="12"/>
      <c r="DQA55" s="12"/>
      <c r="DQB55" s="12"/>
      <c r="DQC55" s="12"/>
      <c r="DQD55" s="12"/>
      <c r="DQE55" s="12"/>
      <c r="DQF55" s="12"/>
      <c r="DQG55" s="12"/>
      <c r="DQH55" s="12"/>
      <c r="DQI55" s="12"/>
      <c r="DQJ55" s="12"/>
      <c r="DQK55" s="12"/>
      <c r="DQL55" s="12"/>
      <c r="DQM55" s="12"/>
      <c r="DQN55" s="12"/>
      <c r="DQO55" s="12"/>
      <c r="DQP55" s="12"/>
      <c r="DQQ55" s="12"/>
      <c r="DQR55" s="12"/>
      <c r="DQS55" s="12"/>
      <c r="DQT55" s="12"/>
      <c r="DQU55" s="12"/>
      <c r="DQV55" s="12"/>
      <c r="DQW55" s="12"/>
      <c r="DQX55" s="12"/>
      <c r="DQY55" s="12"/>
      <c r="DQZ55" s="12"/>
      <c r="DRA55" s="12"/>
      <c r="DRB55" s="12"/>
      <c r="DRC55" s="12"/>
      <c r="DRD55" s="12"/>
      <c r="DRE55" s="12"/>
      <c r="DRF55" s="12"/>
      <c r="DRG55" s="12"/>
      <c r="DRH55" s="12"/>
      <c r="DRI55" s="12"/>
      <c r="DRJ55" s="12"/>
      <c r="DRK55" s="12"/>
      <c r="DRL55" s="12"/>
      <c r="DRM55" s="12"/>
      <c r="DRN55" s="12"/>
      <c r="DRO55" s="12"/>
      <c r="DRP55" s="12"/>
      <c r="DRQ55" s="12"/>
      <c r="DRR55" s="12"/>
      <c r="DRS55" s="12"/>
      <c r="DRT55" s="12"/>
      <c r="DRU55" s="12"/>
      <c r="DRV55" s="12"/>
      <c r="DRW55" s="12"/>
      <c r="DRX55" s="12"/>
      <c r="DRY55" s="12"/>
      <c r="DRZ55" s="12"/>
      <c r="DSA55" s="12"/>
      <c r="DSB55" s="12"/>
      <c r="DSC55" s="12"/>
      <c r="DSD55" s="12"/>
      <c r="DSE55" s="12"/>
      <c r="DSF55" s="12"/>
      <c r="DSG55" s="12"/>
      <c r="DSH55" s="12"/>
      <c r="DSI55" s="12"/>
      <c r="DSJ55" s="12"/>
      <c r="DSK55" s="12"/>
      <c r="DSL55" s="12"/>
      <c r="DSM55" s="12"/>
      <c r="DSN55" s="12"/>
      <c r="DSO55" s="12"/>
      <c r="DSP55" s="12"/>
      <c r="DSQ55" s="12"/>
      <c r="DSR55" s="12"/>
      <c r="DSS55" s="12"/>
      <c r="DST55" s="12"/>
      <c r="DSU55" s="12"/>
      <c r="DSV55" s="12"/>
      <c r="DSW55" s="12"/>
      <c r="DSX55" s="12"/>
      <c r="DSY55" s="12"/>
      <c r="DSZ55" s="12"/>
      <c r="DTA55" s="12"/>
      <c r="DTB55" s="12"/>
      <c r="DTC55" s="12"/>
      <c r="DTD55" s="12"/>
      <c r="DTE55" s="12"/>
      <c r="DTF55" s="12"/>
      <c r="DTG55" s="12"/>
      <c r="DTH55" s="12"/>
      <c r="DTI55" s="12"/>
      <c r="DTJ55" s="12"/>
      <c r="DTK55" s="12"/>
      <c r="DTL55" s="12"/>
      <c r="DTM55" s="12"/>
      <c r="DTN55" s="12"/>
      <c r="DTO55" s="12"/>
      <c r="DTP55" s="12"/>
      <c r="DTQ55" s="12"/>
      <c r="DTR55" s="12"/>
      <c r="DTS55" s="12"/>
      <c r="DTT55" s="12"/>
      <c r="DTU55" s="12"/>
      <c r="DTV55" s="12"/>
      <c r="DTW55" s="12"/>
      <c r="DTX55" s="12"/>
      <c r="DTY55" s="12"/>
      <c r="DTZ55" s="12"/>
      <c r="DUA55" s="12"/>
      <c r="DUB55" s="12"/>
      <c r="DUC55" s="12"/>
      <c r="DUD55" s="12"/>
      <c r="DUE55" s="12"/>
      <c r="DUF55" s="12"/>
      <c r="DUG55" s="12"/>
      <c r="DUH55" s="12"/>
      <c r="DUI55" s="12"/>
      <c r="DUJ55" s="12"/>
      <c r="DUK55" s="12"/>
      <c r="DUL55" s="12"/>
      <c r="DUM55" s="12"/>
      <c r="DUN55" s="12"/>
      <c r="DUO55" s="12"/>
      <c r="DUP55" s="12"/>
      <c r="DUQ55" s="12"/>
      <c r="DUR55" s="12"/>
      <c r="DUS55" s="12"/>
      <c r="DUT55" s="12"/>
      <c r="DUU55" s="12"/>
      <c r="DUV55" s="12"/>
      <c r="DUW55" s="12"/>
      <c r="DUX55" s="12"/>
      <c r="DUY55" s="12"/>
      <c r="DUZ55" s="12"/>
      <c r="DVA55" s="12"/>
      <c r="DVB55" s="12"/>
      <c r="DVC55" s="12"/>
      <c r="DVD55" s="12"/>
      <c r="DVE55" s="12"/>
      <c r="DVF55" s="12"/>
      <c r="DVG55" s="12"/>
      <c r="DVH55" s="12"/>
      <c r="DVI55" s="12"/>
      <c r="DVJ55" s="12"/>
      <c r="DVK55" s="12"/>
      <c r="DVL55" s="12"/>
      <c r="DVM55" s="12"/>
      <c r="DVN55" s="12"/>
      <c r="DVO55" s="12"/>
      <c r="DVP55" s="12"/>
      <c r="DVQ55" s="12"/>
      <c r="DVR55" s="12"/>
      <c r="DVS55" s="12"/>
      <c r="DVT55" s="12"/>
      <c r="DVU55" s="12"/>
      <c r="DVV55" s="12"/>
      <c r="DVW55" s="12"/>
      <c r="DVX55" s="12"/>
      <c r="DVY55" s="12"/>
      <c r="DVZ55" s="12"/>
      <c r="DWA55" s="12"/>
      <c r="DWB55" s="12"/>
      <c r="DWC55" s="12"/>
      <c r="DWD55" s="12"/>
      <c r="DWE55" s="12"/>
      <c r="DWF55" s="12"/>
      <c r="DWG55" s="12"/>
      <c r="DWH55" s="12"/>
      <c r="DWI55" s="12"/>
      <c r="DWJ55" s="12"/>
      <c r="DWK55" s="12"/>
      <c r="DWL55" s="12"/>
      <c r="DWM55" s="12"/>
      <c r="DWN55" s="12"/>
      <c r="DWO55" s="12"/>
      <c r="DWP55" s="12"/>
      <c r="DWQ55" s="12"/>
      <c r="DWR55" s="12"/>
      <c r="DWS55" s="12"/>
      <c r="DWT55" s="12"/>
      <c r="DWU55" s="12"/>
      <c r="DWV55" s="12"/>
      <c r="DWW55" s="12"/>
      <c r="DWX55" s="12"/>
      <c r="DWY55" s="12"/>
      <c r="DWZ55" s="12"/>
      <c r="DXA55" s="12"/>
      <c r="DXB55" s="12"/>
      <c r="DXC55" s="12"/>
      <c r="DXD55" s="12"/>
      <c r="DXE55" s="12"/>
      <c r="DXF55" s="12"/>
      <c r="DXG55" s="12"/>
      <c r="DXH55" s="12"/>
      <c r="DXI55" s="12"/>
      <c r="DXJ55" s="12"/>
      <c r="DXK55" s="12"/>
      <c r="DXL55" s="12"/>
      <c r="DXM55" s="12"/>
      <c r="DXN55" s="12"/>
      <c r="DXO55" s="12"/>
      <c r="DXP55" s="12"/>
      <c r="DXQ55" s="12"/>
      <c r="DXR55" s="12"/>
      <c r="DXS55" s="12"/>
      <c r="DXT55" s="12"/>
      <c r="DXU55" s="12"/>
      <c r="DXV55" s="12"/>
      <c r="DXW55" s="12"/>
      <c r="DXX55" s="12"/>
      <c r="DXY55" s="12"/>
      <c r="DXZ55" s="12"/>
      <c r="DYA55" s="12"/>
      <c r="DYB55" s="12"/>
      <c r="DYC55" s="12"/>
      <c r="DYD55" s="12"/>
      <c r="DYE55" s="12"/>
      <c r="DYF55" s="12"/>
      <c r="DYG55" s="12"/>
      <c r="DYH55" s="12"/>
      <c r="DYI55" s="12"/>
      <c r="DYJ55" s="12"/>
      <c r="DYK55" s="12"/>
      <c r="DYL55" s="12"/>
      <c r="DYM55" s="12"/>
      <c r="DYN55" s="12"/>
      <c r="DYO55" s="12"/>
      <c r="DYP55" s="12"/>
      <c r="DYQ55" s="12"/>
      <c r="DYR55" s="12"/>
      <c r="DYS55" s="12"/>
      <c r="DYT55" s="12"/>
      <c r="DYU55" s="12"/>
      <c r="DYV55" s="12"/>
      <c r="DYW55" s="12"/>
      <c r="DYX55" s="12"/>
      <c r="DYY55" s="12"/>
      <c r="DYZ55" s="12"/>
      <c r="DZA55" s="12"/>
      <c r="DZB55" s="12"/>
      <c r="DZC55" s="12"/>
      <c r="DZD55" s="12"/>
      <c r="DZE55" s="12"/>
      <c r="DZF55" s="12"/>
      <c r="DZG55" s="12"/>
      <c r="DZH55" s="12"/>
      <c r="DZI55" s="12"/>
      <c r="DZJ55" s="12"/>
      <c r="DZK55" s="12"/>
      <c r="DZL55" s="12"/>
      <c r="DZM55" s="12"/>
      <c r="DZN55" s="12"/>
      <c r="DZO55" s="12"/>
      <c r="DZP55" s="12"/>
      <c r="DZQ55" s="12"/>
      <c r="DZR55" s="12"/>
      <c r="DZS55" s="12"/>
      <c r="DZT55" s="12"/>
      <c r="DZU55" s="12"/>
      <c r="DZV55" s="12"/>
      <c r="DZW55" s="12"/>
      <c r="DZX55" s="12"/>
      <c r="DZY55" s="12"/>
      <c r="DZZ55" s="12"/>
      <c r="EAA55" s="12"/>
      <c r="EAB55" s="12"/>
      <c r="EAC55" s="12"/>
      <c r="EAD55" s="12"/>
      <c r="EAE55" s="12"/>
      <c r="EAF55" s="12"/>
      <c r="EAG55" s="12"/>
      <c r="EAH55" s="12"/>
      <c r="EAI55" s="12"/>
      <c r="EAJ55" s="12"/>
      <c r="EAK55" s="12"/>
      <c r="EAL55" s="12"/>
      <c r="EAM55" s="12"/>
      <c r="EAN55" s="12"/>
      <c r="EAO55" s="12"/>
      <c r="EAP55" s="12"/>
      <c r="EAQ55" s="12"/>
      <c r="EAR55" s="12"/>
      <c r="EAS55" s="12"/>
      <c r="EAT55" s="12"/>
      <c r="EAU55" s="12"/>
      <c r="EAV55" s="12"/>
      <c r="EAW55" s="12"/>
      <c r="EAX55" s="12"/>
      <c r="EAY55" s="12"/>
      <c r="EAZ55" s="12"/>
      <c r="EBA55" s="12"/>
      <c r="EBB55" s="12"/>
      <c r="EBC55" s="12"/>
      <c r="EBD55" s="12"/>
      <c r="EBE55" s="12"/>
      <c r="EBF55" s="12"/>
      <c r="EBG55" s="12"/>
      <c r="EBH55" s="12"/>
      <c r="EBI55" s="12"/>
      <c r="EBJ55" s="12"/>
      <c r="EBK55" s="12"/>
      <c r="EBL55" s="12"/>
      <c r="EBM55" s="12"/>
      <c r="EBN55" s="12"/>
      <c r="EBO55" s="12"/>
      <c r="EBP55" s="12"/>
      <c r="EBQ55" s="12"/>
      <c r="EBR55" s="12"/>
      <c r="EBS55" s="12"/>
      <c r="EBT55" s="12"/>
      <c r="EBU55" s="12"/>
      <c r="EBV55" s="12"/>
      <c r="EBW55" s="12"/>
      <c r="EBX55" s="12"/>
      <c r="EBY55" s="12"/>
      <c r="EBZ55" s="12"/>
      <c r="ECA55" s="12"/>
      <c r="ECB55" s="12"/>
      <c r="ECC55" s="12"/>
      <c r="ECD55" s="12"/>
      <c r="ECE55" s="12"/>
      <c r="ECF55" s="12"/>
      <c r="ECG55" s="12"/>
      <c r="ECH55" s="12"/>
      <c r="ECI55" s="12"/>
      <c r="ECJ55" s="12"/>
      <c r="ECK55" s="12"/>
      <c r="ECL55" s="12"/>
      <c r="ECM55" s="12"/>
      <c r="ECN55" s="12"/>
      <c r="ECO55" s="12"/>
      <c r="ECP55" s="12"/>
      <c r="ECQ55" s="12"/>
      <c r="ECR55" s="12"/>
      <c r="ECS55" s="12"/>
      <c r="ECT55" s="12"/>
      <c r="ECU55" s="12"/>
      <c r="ECV55" s="12"/>
      <c r="ECW55" s="12"/>
      <c r="ECX55" s="12"/>
      <c r="ECY55" s="12"/>
      <c r="ECZ55" s="12"/>
      <c r="EDA55" s="12"/>
      <c r="EDB55" s="12"/>
      <c r="EDC55" s="12"/>
      <c r="EDD55" s="12"/>
      <c r="EDE55" s="12"/>
      <c r="EDF55" s="12"/>
      <c r="EDG55" s="12"/>
      <c r="EDH55" s="12"/>
      <c r="EDI55" s="12"/>
      <c r="EDJ55" s="12"/>
      <c r="EDK55" s="12"/>
      <c r="EDL55" s="12"/>
      <c r="EDM55" s="12"/>
      <c r="EDN55" s="12"/>
      <c r="EDO55" s="12"/>
      <c r="EDP55" s="12"/>
      <c r="EDQ55" s="12"/>
      <c r="EDR55" s="12"/>
      <c r="EDS55" s="12"/>
      <c r="EDT55" s="12"/>
      <c r="EDU55" s="12"/>
      <c r="EDV55" s="12"/>
      <c r="EDW55" s="12"/>
      <c r="EDX55" s="12"/>
      <c r="EDY55" s="12"/>
      <c r="EDZ55" s="12"/>
      <c r="EEA55" s="12"/>
      <c r="EEB55" s="12"/>
      <c r="EEC55" s="12"/>
      <c r="EED55" s="12"/>
      <c r="EEE55" s="12"/>
      <c r="EEF55" s="12"/>
      <c r="EEG55" s="12"/>
      <c r="EEH55" s="12"/>
      <c r="EEI55" s="12"/>
      <c r="EEJ55" s="12"/>
      <c r="EEK55" s="12"/>
      <c r="EEL55" s="12"/>
      <c r="EEM55" s="12"/>
      <c r="EEN55" s="12"/>
      <c r="EEO55" s="12"/>
      <c r="EEP55" s="12"/>
      <c r="EEQ55" s="12"/>
      <c r="EER55" s="12"/>
      <c r="EES55" s="12"/>
      <c r="EET55" s="12"/>
      <c r="EEU55" s="12"/>
      <c r="EEV55" s="12"/>
      <c r="EEW55" s="12"/>
      <c r="EEX55" s="12"/>
      <c r="EEY55" s="12"/>
      <c r="EEZ55" s="12"/>
      <c r="EFA55" s="12"/>
      <c r="EFB55" s="12"/>
      <c r="EFC55" s="12"/>
      <c r="EFD55" s="12"/>
      <c r="EFE55" s="12"/>
      <c r="EFF55" s="12"/>
      <c r="EFG55" s="12"/>
      <c r="EFH55" s="12"/>
      <c r="EFI55" s="12"/>
      <c r="EFJ55" s="12"/>
      <c r="EFK55" s="12"/>
      <c r="EFL55" s="12"/>
      <c r="EFM55" s="12"/>
      <c r="EFN55" s="12"/>
      <c r="EFO55" s="12"/>
      <c r="EFP55" s="12"/>
      <c r="EFQ55" s="12"/>
      <c r="EFR55" s="12"/>
      <c r="EFS55" s="12"/>
      <c r="EFT55" s="12"/>
      <c r="EFU55" s="12"/>
      <c r="EFV55" s="12"/>
      <c r="EFW55" s="12"/>
      <c r="EFX55" s="12"/>
      <c r="EFY55" s="12"/>
      <c r="EFZ55" s="12"/>
      <c r="EGA55" s="12"/>
      <c r="EGB55" s="12"/>
      <c r="EGC55" s="12"/>
      <c r="EGD55" s="12"/>
      <c r="EGE55" s="12"/>
      <c r="EGF55" s="12"/>
      <c r="EGG55" s="12"/>
      <c r="EGH55" s="12"/>
      <c r="EGI55" s="12"/>
      <c r="EGJ55" s="12"/>
      <c r="EGK55" s="12"/>
      <c r="EGL55" s="12"/>
      <c r="EGM55" s="12"/>
      <c r="EGN55" s="12"/>
      <c r="EGO55" s="12"/>
      <c r="EGP55" s="12"/>
      <c r="EGQ55" s="12"/>
      <c r="EGR55" s="12"/>
      <c r="EGS55" s="12"/>
      <c r="EGT55" s="12"/>
      <c r="EGU55" s="12"/>
      <c r="EGV55" s="12"/>
      <c r="EGW55" s="12"/>
      <c r="EGX55" s="12"/>
      <c r="EGY55" s="12"/>
      <c r="EGZ55" s="12"/>
      <c r="EHA55" s="12"/>
      <c r="EHB55" s="12"/>
      <c r="EHC55" s="12"/>
      <c r="EHD55" s="12"/>
      <c r="EHE55" s="12"/>
      <c r="EHF55" s="12"/>
      <c r="EHG55" s="12"/>
      <c r="EHH55" s="12"/>
      <c r="EHI55" s="12"/>
      <c r="EHJ55" s="12"/>
      <c r="EHK55" s="12"/>
      <c r="EHL55" s="12"/>
      <c r="EHM55" s="12"/>
      <c r="EHN55" s="12"/>
      <c r="EHO55" s="12"/>
      <c r="EHP55" s="12"/>
      <c r="EHQ55" s="12"/>
      <c r="EHR55" s="12"/>
      <c r="EHS55" s="12"/>
      <c r="EHT55" s="12"/>
      <c r="EHU55" s="12"/>
      <c r="EHV55" s="12"/>
      <c r="EHW55" s="12"/>
      <c r="EHX55" s="12"/>
      <c r="EHY55" s="12"/>
      <c r="EHZ55" s="12"/>
      <c r="EIA55" s="12"/>
      <c r="EIB55" s="12"/>
      <c r="EIC55" s="12"/>
      <c r="EID55" s="12"/>
      <c r="EIE55" s="12"/>
      <c r="EIF55" s="12"/>
      <c r="EIG55" s="12"/>
      <c r="EIH55" s="12"/>
      <c r="EII55" s="12"/>
      <c r="EIJ55" s="12"/>
      <c r="EIK55" s="12"/>
      <c r="EIL55" s="12"/>
      <c r="EIM55" s="12"/>
      <c r="EIN55" s="12"/>
      <c r="EIO55" s="12"/>
      <c r="EIP55" s="12"/>
      <c r="EIQ55" s="12"/>
      <c r="EIR55" s="12"/>
      <c r="EIS55" s="12"/>
      <c r="EIT55" s="12"/>
      <c r="EIU55" s="12"/>
      <c r="EIV55" s="12"/>
      <c r="EIW55" s="12"/>
      <c r="EIX55" s="12"/>
      <c r="EIY55" s="12"/>
      <c r="EIZ55" s="12"/>
      <c r="EJA55" s="12"/>
      <c r="EJB55" s="12"/>
      <c r="EJC55" s="12"/>
      <c r="EJD55" s="12"/>
      <c r="EJE55" s="12"/>
      <c r="EJF55" s="12"/>
      <c r="EJG55" s="12"/>
      <c r="EJH55" s="12"/>
      <c r="EJI55" s="12"/>
      <c r="EJJ55" s="12"/>
      <c r="EJK55" s="12"/>
      <c r="EJL55" s="12"/>
      <c r="EJM55" s="12"/>
      <c r="EJN55" s="12"/>
      <c r="EJO55" s="12"/>
      <c r="EJP55" s="12"/>
      <c r="EJQ55" s="12"/>
      <c r="EJR55" s="12"/>
      <c r="EJS55" s="12"/>
      <c r="EJT55" s="12"/>
      <c r="EJU55" s="12"/>
      <c r="EJV55" s="12"/>
      <c r="EJW55" s="12"/>
      <c r="EJX55" s="12"/>
      <c r="EJY55" s="12"/>
      <c r="EJZ55" s="12"/>
      <c r="EKA55" s="12"/>
      <c r="EKB55" s="12"/>
      <c r="EKC55" s="12"/>
      <c r="EKD55" s="12"/>
      <c r="EKE55" s="12"/>
      <c r="EKF55" s="12"/>
      <c r="EKG55" s="12"/>
      <c r="EKH55" s="12"/>
      <c r="EKI55" s="12"/>
      <c r="EKJ55" s="12"/>
      <c r="EKK55" s="12"/>
      <c r="EKL55" s="12"/>
      <c r="EKM55" s="12"/>
      <c r="EKN55" s="12"/>
      <c r="EKO55" s="12"/>
      <c r="EKP55" s="12"/>
      <c r="EKQ55" s="12"/>
      <c r="EKR55" s="12"/>
      <c r="EKS55" s="12"/>
      <c r="EKT55" s="12"/>
      <c r="EKU55" s="12"/>
      <c r="EKV55" s="12"/>
      <c r="EKW55" s="12"/>
      <c r="EKX55" s="12"/>
      <c r="EKY55" s="12"/>
      <c r="EKZ55" s="12"/>
      <c r="ELA55" s="12"/>
      <c r="ELB55" s="12"/>
      <c r="ELC55" s="12"/>
      <c r="ELD55" s="12"/>
      <c r="ELE55" s="12"/>
      <c r="ELF55" s="12"/>
      <c r="ELG55" s="12"/>
      <c r="ELH55" s="12"/>
      <c r="ELI55" s="12"/>
      <c r="ELJ55" s="12"/>
      <c r="ELK55" s="12"/>
      <c r="ELL55" s="12"/>
      <c r="ELM55" s="12"/>
      <c r="ELN55" s="12"/>
      <c r="ELO55" s="12"/>
      <c r="ELP55" s="12"/>
      <c r="ELQ55" s="12"/>
      <c r="ELR55" s="12"/>
      <c r="ELS55" s="12"/>
      <c r="ELT55" s="12"/>
      <c r="ELU55" s="12"/>
      <c r="ELV55" s="12"/>
      <c r="ELW55" s="12"/>
      <c r="ELX55" s="12"/>
      <c r="ELY55" s="12"/>
      <c r="ELZ55" s="12"/>
      <c r="EMA55" s="12"/>
      <c r="EMB55" s="12"/>
      <c r="EMC55" s="12"/>
      <c r="EMD55" s="12"/>
      <c r="EME55" s="12"/>
      <c r="EMF55" s="12"/>
      <c r="EMG55" s="12"/>
      <c r="EMH55" s="12"/>
      <c r="EMI55" s="12"/>
      <c r="EMJ55" s="12"/>
      <c r="EMK55" s="12"/>
      <c r="EML55" s="12"/>
      <c r="EMM55" s="12"/>
      <c r="EMN55" s="12"/>
      <c r="EMO55" s="12"/>
      <c r="EMP55" s="12"/>
      <c r="EMQ55" s="12"/>
      <c r="EMR55" s="12"/>
      <c r="EMS55" s="12"/>
      <c r="EMT55" s="12"/>
      <c r="EMU55" s="12"/>
      <c r="EMV55" s="12"/>
      <c r="EMW55" s="12"/>
      <c r="EMX55" s="12"/>
      <c r="EMY55" s="12"/>
      <c r="EMZ55" s="12"/>
      <c r="ENA55" s="12"/>
      <c r="ENB55" s="12"/>
      <c r="ENC55" s="12"/>
      <c r="END55" s="12"/>
      <c r="ENE55" s="12"/>
      <c r="ENF55" s="12"/>
      <c r="ENG55" s="12"/>
      <c r="ENH55" s="12"/>
      <c r="ENI55" s="12"/>
      <c r="ENJ55" s="12"/>
      <c r="ENK55" s="12"/>
      <c r="ENL55" s="12"/>
      <c r="ENM55" s="12"/>
      <c r="ENN55" s="12"/>
      <c r="ENO55" s="12"/>
      <c r="ENP55" s="12"/>
      <c r="ENQ55" s="12"/>
      <c r="ENR55" s="12"/>
      <c r="ENS55" s="12"/>
      <c r="ENT55" s="12"/>
      <c r="ENU55" s="12"/>
      <c r="ENV55" s="12"/>
      <c r="ENW55" s="12"/>
      <c r="ENX55" s="12"/>
      <c r="ENY55" s="12"/>
      <c r="ENZ55" s="12"/>
      <c r="EOA55" s="12"/>
      <c r="EOB55" s="12"/>
      <c r="EOC55" s="12"/>
      <c r="EOD55" s="12"/>
      <c r="EOE55" s="12"/>
      <c r="EOF55" s="12"/>
      <c r="EOG55" s="12"/>
      <c r="EOH55" s="12"/>
      <c r="EOI55" s="12"/>
      <c r="EOJ55" s="12"/>
      <c r="EOK55" s="12"/>
      <c r="EOL55" s="12"/>
      <c r="EOM55" s="12"/>
      <c r="EON55" s="12"/>
      <c r="EOO55" s="12"/>
      <c r="EOP55" s="12"/>
      <c r="EOQ55" s="12"/>
      <c r="EOR55" s="12"/>
      <c r="EOS55" s="12"/>
      <c r="EOT55" s="12"/>
      <c r="EOU55" s="12"/>
      <c r="EOV55" s="12"/>
      <c r="EOW55" s="12"/>
      <c r="EOX55" s="12"/>
      <c r="EOY55" s="12"/>
      <c r="EOZ55" s="12"/>
      <c r="EPA55" s="12"/>
      <c r="EPB55" s="12"/>
      <c r="EPC55" s="12"/>
      <c r="EPD55" s="12"/>
      <c r="EPE55" s="12"/>
      <c r="EPF55" s="12"/>
      <c r="EPG55" s="12"/>
      <c r="EPH55" s="12"/>
      <c r="EPI55" s="12"/>
      <c r="EPJ55" s="12"/>
      <c r="EPK55" s="12"/>
      <c r="EPL55" s="12"/>
      <c r="EPM55" s="12"/>
      <c r="EPN55" s="12"/>
      <c r="EPO55" s="12"/>
      <c r="EPP55" s="12"/>
      <c r="EPQ55" s="12"/>
      <c r="EPR55" s="12"/>
      <c r="EPS55" s="12"/>
      <c r="EPT55" s="12"/>
      <c r="EPU55" s="12"/>
      <c r="EPV55" s="12"/>
      <c r="EPW55" s="12"/>
      <c r="EPX55" s="12"/>
      <c r="EPY55" s="12"/>
      <c r="EPZ55" s="12"/>
      <c r="EQA55" s="12"/>
      <c r="EQB55" s="12"/>
      <c r="EQC55" s="12"/>
      <c r="EQD55" s="12"/>
      <c r="EQE55" s="12"/>
      <c r="EQF55" s="12"/>
      <c r="EQG55" s="12"/>
      <c r="EQH55" s="12"/>
      <c r="EQI55" s="12"/>
      <c r="EQJ55" s="12"/>
      <c r="EQK55" s="12"/>
      <c r="EQL55" s="12"/>
      <c r="EQM55" s="12"/>
      <c r="EQN55" s="12"/>
      <c r="EQO55" s="12"/>
      <c r="EQP55" s="12"/>
      <c r="EQQ55" s="12"/>
      <c r="EQR55" s="12"/>
      <c r="EQS55" s="12"/>
      <c r="EQT55" s="12"/>
      <c r="EQU55" s="12"/>
      <c r="EQV55" s="12"/>
      <c r="EQW55" s="12"/>
      <c r="EQX55" s="12"/>
      <c r="EQY55" s="12"/>
      <c r="EQZ55" s="12"/>
      <c r="ERA55" s="12"/>
      <c r="ERB55" s="12"/>
      <c r="ERC55" s="12"/>
      <c r="ERD55" s="12"/>
      <c r="ERE55" s="12"/>
      <c r="ERF55" s="12"/>
      <c r="ERG55" s="12"/>
      <c r="ERH55" s="12"/>
      <c r="ERI55" s="12"/>
      <c r="ERJ55" s="12"/>
      <c r="ERK55" s="12"/>
      <c r="ERL55" s="12"/>
      <c r="ERM55" s="12"/>
      <c r="ERN55" s="12"/>
      <c r="ERO55" s="12"/>
      <c r="ERP55" s="12"/>
      <c r="ERQ55" s="12"/>
      <c r="ERR55" s="12"/>
      <c r="ERS55" s="12"/>
      <c r="ERT55" s="12"/>
      <c r="ERU55" s="12"/>
      <c r="ERV55" s="12"/>
      <c r="ERW55" s="12"/>
      <c r="ERX55" s="12"/>
      <c r="ERY55" s="12"/>
      <c r="ERZ55" s="12"/>
      <c r="ESA55" s="12"/>
      <c r="ESB55" s="12"/>
      <c r="ESC55" s="12"/>
      <c r="ESD55" s="12"/>
      <c r="ESE55" s="12"/>
      <c r="ESF55" s="12"/>
      <c r="ESG55" s="12"/>
      <c r="ESH55" s="12"/>
      <c r="ESI55" s="12"/>
      <c r="ESJ55" s="12"/>
      <c r="ESK55" s="12"/>
      <c r="ESL55" s="12"/>
      <c r="ESM55" s="12"/>
      <c r="ESN55" s="12"/>
      <c r="ESO55" s="12"/>
      <c r="ESP55" s="12"/>
      <c r="ESQ55" s="12"/>
      <c r="ESR55" s="12"/>
      <c r="ESS55" s="12"/>
      <c r="EST55" s="12"/>
      <c r="ESU55" s="12"/>
      <c r="ESV55" s="12"/>
      <c r="ESW55" s="12"/>
      <c r="ESX55" s="12"/>
      <c r="ESY55" s="12"/>
      <c r="ESZ55" s="12"/>
      <c r="ETA55" s="12"/>
      <c r="ETB55" s="12"/>
      <c r="ETC55" s="12"/>
      <c r="ETD55" s="12"/>
      <c r="ETE55" s="12"/>
      <c r="ETF55" s="12"/>
      <c r="ETG55" s="12"/>
      <c r="ETH55" s="12"/>
      <c r="ETI55" s="12"/>
      <c r="ETJ55" s="12"/>
      <c r="ETK55" s="12"/>
      <c r="ETL55" s="12"/>
      <c r="ETM55" s="12"/>
      <c r="ETN55" s="12"/>
      <c r="ETO55" s="12"/>
      <c r="ETP55" s="12"/>
      <c r="ETQ55" s="12"/>
      <c r="ETR55" s="12"/>
      <c r="ETS55" s="12"/>
      <c r="ETT55" s="12"/>
      <c r="ETU55" s="12"/>
      <c r="ETV55" s="12"/>
      <c r="ETW55" s="12"/>
      <c r="ETX55" s="12"/>
      <c r="ETY55" s="12"/>
      <c r="ETZ55" s="12"/>
      <c r="EUA55" s="12"/>
      <c r="EUB55" s="12"/>
      <c r="EUC55" s="12"/>
      <c r="EUD55" s="12"/>
      <c r="EUE55" s="12"/>
      <c r="EUF55" s="12"/>
      <c r="EUG55" s="12"/>
      <c r="EUH55" s="12"/>
      <c r="EUI55" s="12"/>
      <c r="EUJ55" s="12"/>
      <c r="EUK55" s="12"/>
      <c r="EUL55" s="12"/>
      <c r="EUM55" s="12"/>
      <c r="EUN55" s="12"/>
      <c r="EUO55" s="12"/>
      <c r="EUP55" s="12"/>
      <c r="EUQ55" s="12"/>
      <c r="EUR55" s="12"/>
      <c r="EUS55" s="12"/>
      <c r="EUT55" s="12"/>
      <c r="EUU55" s="12"/>
      <c r="EUV55" s="12"/>
      <c r="EUW55" s="12"/>
      <c r="EUX55" s="12"/>
      <c r="EUY55" s="12"/>
      <c r="EUZ55" s="12"/>
      <c r="EVA55" s="12"/>
      <c r="EVB55" s="12"/>
      <c r="EVC55" s="12"/>
      <c r="EVD55" s="12"/>
      <c r="EVE55" s="12"/>
      <c r="EVF55" s="12"/>
      <c r="EVG55" s="12"/>
      <c r="EVH55" s="12"/>
      <c r="EVI55" s="12"/>
      <c r="EVJ55" s="12"/>
      <c r="EVK55" s="12"/>
      <c r="EVL55" s="12"/>
      <c r="EVM55" s="12"/>
      <c r="EVN55" s="12"/>
      <c r="EVO55" s="12"/>
      <c r="EVP55" s="12"/>
      <c r="EVQ55" s="12"/>
      <c r="EVR55" s="12"/>
      <c r="EVS55" s="12"/>
      <c r="EVT55" s="12"/>
      <c r="EVU55" s="12"/>
      <c r="EVV55" s="12"/>
      <c r="EVW55" s="12"/>
      <c r="EVX55" s="12"/>
      <c r="EVY55" s="12"/>
      <c r="EVZ55" s="12"/>
      <c r="EWA55" s="12"/>
      <c r="EWB55" s="12"/>
      <c r="EWC55" s="12"/>
      <c r="EWD55" s="12"/>
      <c r="EWE55" s="12"/>
      <c r="EWF55" s="12"/>
      <c r="EWG55" s="12"/>
      <c r="EWH55" s="12"/>
      <c r="EWI55" s="12"/>
      <c r="EWJ55" s="12"/>
      <c r="EWK55" s="12"/>
      <c r="EWL55" s="12"/>
      <c r="EWM55" s="12"/>
      <c r="EWN55" s="12"/>
      <c r="EWO55" s="12"/>
      <c r="EWP55" s="12"/>
      <c r="EWQ55" s="12"/>
      <c r="EWR55" s="12"/>
      <c r="EWS55" s="12"/>
      <c r="EWT55" s="12"/>
      <c r="EWU55" s="12"/>
      <c r="EWV55" s="12"/>
      <c r="EWW55" s="12"/>
      <c r="EWX55" s="12"/>
      <c r="EWY55" s="12"/>
      <c r="EWZ55" s="12"/>
      <c r="EXA55" s="12"/>
      <c r="EXB55" s="12"/>
      <c r="EXC55" s="12"/>
      <c r="EXD55" s="12"/>
      <c r="EXE55" s="12"/>
      <c r="EXF55" s="12"/>
      <c r="EXG55" s="12"/>
      <c r="EXH55" s="12"/>
      <c r="EXI55" s="12"/>
      <c r="EXJ55" s="12"/>
      <c r="EXK55" s="12"/>
      <c r="EXL55" s="12"/>
      <c r="EXM55" s="12"/>
      <c r="EXN55" s="12"/>
      <c r="EXO55" s="12"/>
      <c r="EXP55" s="12"/>
      <c r="EXQ55" s="12"/>
      <c r="EXR55" s="12"/>
      <c r="EXS55" s="12"/>
      <c r="EXT55" s="12"/>
      <c r="EXU55" s="12"/>
      <c r="EXV55" s="12"/>
      <c r="EXW55" s="12"/>
      <c r="EXX55" s="12"/>
      <c r="EXY55" s="12"/>
      <c r="EXZ55" s="12"/>
      <c r="EYA55" s="12"/>
      <c r="EYB55" s="12"/>
      <c r="EYC55" s="12"/>
      <c r="EYD55" s="12"/>
      <c r="EYE55" s="12"/>
      <c r="EYF55" s="12"/>
      <c r="EYG55" s="12"/>
      <c r="EYH55" s="12"/>
      <c r="EYI55" s="12"/>
      <c r="EYJ55" s="12"/>
      <c r="EYK55" s="12"/>
      <c r="EYL55" s="12"/>
      <c r="EYM55" s="12"/>
      <c r="EYN55" s="12"/>
      <c r="EYO55" s="12"/>
      <c r="EYP55" s="12"/>
      <c r="EYQ55" s="12"/>
      <c r="EYR55" s="12"/>
      <c r="EYS55" s="12"/>
      <c r="EYT55" s="12"/>
      <c r="EYU55" s="12"/>
      <c r="EYV55" s="12"/>
      <c r="EYW55" s="12"/>
      <c r="EYX55" s="12"/>
      <c r="EYY55" s="12"/>
      <c r="EYZ55" s="12"/>
      <c r="EZA55" s="12"/>
      <c r="EZB55" s="12"/>
      <c r="EZC55" s="12"/>
      <c r="EZD55" s="12"/>
      <c r="EZE55" s="12"/>
      <c r="EZF55" s="12"/>
      <c r="EZG55" s="12"/>
      <c r="EZH55" s="12"/>
      <c r="EZI55" s="12"/>
      <c r="EZJ55" s="12"/>
      <c r="EZK55" s="12"/>
      <c r="EZL55" s="12"/>
      <c r="EZM55" s="12"/>
      <c r="EZN55" s="12"/>
      <c r="EZO55" s="12"/>
      <c r="EZP55" s="12"/>
      <c r="EZQ55" s="12"/>
      <c r="EZR55" s="12"/>
      <c r="EZS55" s="12"/>
      <c r="EZT55" s="12"/>
      <c r="EZU55" s="12"/>
      <c r="EZV55" s="12"/>
      <c r="EZW55" s="12"/>
      <c r="EZX55" s="12"/>
      <c r="EZY55" s="12"/>
      <c r="EZZ55" s="12"/>
      <c r="FAA55" s="12"/>
      <c r="FAB55" s="12"/>
      <c r="FAC55" s="12"/>
      <c r="FAD55" s="12"/>
      <c r="FAE55" s="12"/>
      <c r="FAF55" s="12"/>
      <c r="FAG55" s="12"/>
      <c r="FAH55" s="12"/>
      <c r="FAI55" s="12"/>
      <c r="FAJ55" s="12"/>
      <c r="FAK55" s="12"/>
      <c r="FAL55" s="12"/>
      <c r="FAM55" s="12"/>
      <c r="FAN55" s="12"/>
      <c r="FAO55" s="12"/>
      <c r="FAP55" s="12"/>
      <c r="FAQ55" s="12"/>
      <c r="FAR55" s="12"/>
      <c r="FAS55" s="12"/>
      <c r="FAT55" s="12"/>
      <c r="FAU55" s="12"/>
      <c r="FAV55" s="12"/>
      <c r="FAW55" s="12"/>
      <c r="FAX55" s="12"/>
      <c r="FAY55" s="12"/>
      <c r="FAZ55" s="12"/>
      <c r="FBA55" s="12"/>
      <c r="FBB55" s="12"/>
      <c r="FBC55" s="12"/>
      <c r="FBD55" s="12"/>
      <c r="FBE55" s="12"/>
      <c r="FBF55" s="12"/>
      <c r="FBG55" s="12"/>
      <c r="FBH55" s="12"/>
      <c r="FBI55" s="12"/>
      <c r="FBJ55" s="12"/>
      <c r="FBK55" s="12"/>
      <c r="FBL55" s="12"/>
      <c r="FBM55" s="12"/>
      <c r="FBN55" s="12"/>
      <c r="FBO55" s="12"/>
      <c r="FBP55" s="12"/>
      <c r="FBQ55" s="12"/>
      <c r="FBR55" s="12"/>
      <c r="FBS55" s="12"/>
      <c r="FBT55" s="12"/>
      <c r="FBU55" s="12"/>
      <c r="FBV55" s="12"/>
      <c r="FBW55" s="12"/>
      <c r="FBX55" s="12"/>
      <c r="FBY55" s="12"/>
      <c r="FBZ55" s="12"/>
      <c r="FCA55" s="12"/>
      <c r="FCB55" s="12"/>
      <c r="FCC55" s="12"/>
      <c r="FCD55" s="12"/>
      <c r="FCE55" s="12"/>
      <c r="FCF55" s="12"/>
      <c r="FCG55" s="12"/>
      <c r="FCH55" s="12"/>
      <c r="FCI55" s="12"/>
      <c r="FCJ55" s="12"/>
      <c r="FCK55" s="12"/>
      <c r="FCL55" s="12"/>
      <c r="FCM55" s="12"/>
      <c r="FCN55" s="12"/>
      <c r="FCO55" s="12"/>
      <c r="FCP55" s="12"/>
      <c r="FCQ55" s="12"/>
      <c r="FCR55" s="12"/>
      <c r="FCS55" s="12"/>
      <c r="FCT55" s="12"/>
      <c r="FCU55" s="12"/>
      <c r="FCV55" s="12"/>
      <c r="FCW55" s="12"/>
      <c r="FCX55" s="12"/>
      <c r="FCY55" s="12"/>
      <c r="FCZ55" s="12"/>
      <c r="FDA55" s="12"/>
      <c r="FDB55" s="12"/>
      <c r="FDC55" s="12"/>
      <c r="FDD55" s="12"/>
      <c r="FDE55" s="12"/>
      <c r="FDF55" s="12"/>
      <c r="FDG55" s="12"/>
      <c r="FDH55" s="12"/>
      <c r="FDI55" s="12"/>
      <c r="FDJ55" s="12"/>
      <c r="FDK55" s="12"/>
      <c r="FDL55" s="12"/>
      <c r="FDM55" s="12"/>
      <c r="FDN55" s="12"/>
      <c r="FDO55" s="12"/>
      <c r="FDP55" s="12"/>
      <c r="FDQ55" s="12"/>
      <c r="FDR55" s="12"/>
      <c r="FDS55" s="12"/>
      <c r="FDT55" s="12"/>
      <c r="FDU55" s="12"/>
      <c r="FDV55" s="12"/>
      <c r="FDW55" s="12"/>
      <c r="FDX55" s="12"/>
      <c r="FDY55" s="12"/>
      <c r="FDZ55" s="12"/>
      <c r="FEA55" s="12"/>
      <c r="FEB55" s="12"/>
      <c r="FEC55" s="12"/>
      <c r="FED55" s="12"/>
      <c r="FEE55" s="12"/>
      <c r="FEF55" s="12"/>
      <c r="FEG55" s="12"/>
      <c r="FEH55" s="12"/>
      <c r="FEI55" s="12"/>
      <c r="FEJ55" s="12"/>
      <c r="FEK55" s="12"/>
      <c r="FEL55" s="12"/>
      <c r="FEM55" s="12"/>
      <c r="FEN55" s="12"/>
      <c r="FEO55" s="12"/>
      <c r="FEP55" s="12"/>
      <c r="FEQ55" s="12"/>
      <c r="FER55" s="12"/>
      <c r="FES55" s="12"/>
      <c r="FET55" s="12"/>
      <c r="FEU55" s="12"/>
      <c r="FEV55" s="12"/>
      <c r="FEW55" s="12"/>
      <c r="FEX55" s="12"/>
      <c r="FEY55" s="12"/>
      <c r="FEZ55" s="12"/>
      <c r="FFA55" s="12"/>
      <c r="FFB55" s="12"/>
      <c r="FFC55" s="12"/>
      <c r="FFD55" s="12"/>
      <c r="FFE55" s="12"/>
      <c r="FFF55" s="12"/>
      <c r="FFG55" s="12"/>
      <c r="FFH55" s="12"/>
      <c r="FFI55" s="12"/>
      <c r="FFJ55" s="12"/>
      <c r="FFK55" s="12"/>
      <c r="FFL55" s="12"/>
      <c r="FFM55" s="12"/>
      <c r="FFN55" s="12"/>
      <c r="FFO55" s="12"/>
      <c r="FFP55" s="12"/>
      <c r="FFQ55" s="12"/>
      <c r="FFR55" s="12"/>
      <c r="FFS55" s="12"/>
      <c r="FFT55" s="12"/>
      <c r="FFU55" s="12"/>
      <c r="FFV55" s="12"/>
      <c r="FFW55" s="12"/>
      <c r="FFX55" s="12"/>
      <c r="FFY55" s="12"/>
      <c r="FFZ55" s="12"/>
      <c r="FGA55" s="12"/>
      <c r="FGB55" s="12"/>
      <c r="FGC55" s="12"/>
      <c r="FGD55" s="12"/>
      <c r="FGE55" s="12"/>
      <c r="FGF55" s="12"/>
      <c r="FGG55" s="12"/>
      <c r="FGH55" s="12"/>
      <c r="FGI55" s="12"/>
      <c r="FGJ55" s="12"/>
      <c r="FGK55" s="12"/>
      <c r="FGL55" s="12"/>
      <c r="FGM55" s="12"/>
      <c r="FGN55" s="12"/>
      <c r="FGO55" s="12"/>
      <c r="FGP55" s="12"/>
      <c r="FGQ55" s="12"/>
      <c r="FGR55" s="12"/>
      <c r="FGS55" s="12"/>
      <c r="FGT55" s="12"/>
      <c r="FGU55" s="12"/>
      <c r="FGV55" s="12"/>
      <c r="FGW55" s="12"/>
      <c r="FGX55" s="12"/>
      <c r="FGY55" s="12"/>
      <c r="FGZ55" s="12"/>
      <c r="FHA55" s="12"/>
      <c r="FHB55" s="12"/>
      <c r="FHC55" s="12"/>
      <c r="FHD55" s="12"/>
      <c r="FHE55" s="12"/>
      <c r="FHF55" s="12"/>
      <c r="FHG55" s="12"/>
      <c r="FHH55" s="12"/>
      <c r="FHI55" s="12"/>
      <c r="FHJ55" s="12"/>
      <c r="FHK55" s="12"/>
      <c r="FHL55" s="12"/>
      <c r="FHM55" s="12"/>
      <c r="FHN55" s="12"/>
      <c r="FHO55" s="12"/>
      <c r="FHP55" s="12"/>
      <c r="FHQ55" s="12"/>
      <c r="FHR55" s="12"/>
      <c r="FHS55" s="12"/>
      <c r="FHT55" s="12"/>
      <c r="FHU55" s="12"/>
      <c r="FHV55" s="12"/>
      <c r="FHW55" s="12"/>
      <c r="FHX55" s="12"/>
      <c r="FHY55" s="12"/>
      <c r="FHZ55" s="12"/>
      <c r="FIA55" s="12"/>
      <c r="FIB55" s="12"/>
      <c r="FIC55" s="12"/>
      <c r="FID55" s="12"/>
      <c r="FIE55" s="12"/>
      <c r="FIF55" s="12"/>
      <c r="FIG55" s="12"/>
      <c r="FIH55" s="12"/>
      <c r="FII55" s="12"/>
      <c r="FIJ55" s="12"/>
      <c r="FIK55" s="12"/>
      <c r="FIL55" s="12"/>
      <c r="FIM55" s="12"/>
      <c r="FIN55" s="12"/>
      <c r="FIO55" s="12"/>
      <c r="FIP55" s="12"/>
      <c r="FIQ55" s="12"/>
      <c r="FIR55" s="12"/>
      <c r="FIS55" s="12"/>
      <c r="FIT55" s="12"/>
      <c r="FIU55" s="12"/>
      <c r="FIV55" s="12"/>
      <c r="FIW55" s="12"/>
      <c r="FIX55" s="12"/>
      <c r="FIY55" s="12"/>
      <c r="FIZ55" s="12"/>
      <c r="FJA55" s="12"/>
      <c r="FJB55" s="12"/>
      <c r="FJC55" s="12"/>
      <c r="FJD55" s="12"/>
      <c r="FJE55" s="12"/>
      <c r="FJF55" s="12"/>
      <c r="FJG55" s="12"/>
      <c r="FJH55" s="12"/>
      <c r="FJI55" s="12"/>
      <c r="FJJ55" s="12"/>
      <c r="FJK55" s="12"/>
      <c r="FJL55" s="12"/>
      <c r="FJM55" s="12"/>
      <c r="FJN55" s="12"/>
      <c r="FJO55" s="12"/>
      <c r="FJP55" s="12"/>
      <c r="FJQ55" s="12"/>
      <c r="FJR55" s="12"/>
      <c r="FJS55" s="12"/>
      <c r="FJT55" s="12"/>
      <c r="FJU55" s="12"/>
      <c r="FJV55" s="12"/>
      <c r="FJW55" s="12"/>
      <c r="FJX55" s="12"/>
      <c r="FJY55" s="12"/>
      <c r="FJZ55" s="12"/>
      <c r="FKA55" s="12"/>
      <c r="FKB55" s="12"/>
      <c r="FKC55" s="12"/>
      <c r="FKD55" s="12"/>
      <c r="FKE55" s="12"/>
      <c r="FKF55" s="12"/>
      <c r="FKG55" s="12"/>
      <c r="FKH55" s="12"/>
      <c r="FKI55" s="12"/>
      <c r="FKJ55" s="12"/>
      <c r="FKK55" s="12"/>
      <c r="FKL55" s="12"/>
      <c r="FKM55" s="12"/>
      <c r="FKN55" s="12"/>
      <c r="FKO55" s="12"/>
      <c r="FKP55" s="12"/>
      <c r="FKQ55" s="12"/>
      <c r="FKR55" s="12"/>
      <c r="FKS55" s="12"/>
      <c r="FKT55" s="12"/>
      <c r="FKU55" s="12"/>
      <c r="FKV55" s="12"/>
      <c r="FKW55" s="12"/>
      <c r="FKX55" s="12"/>
      <c r="FKY55" s="12"/>
      <c r="FKZ55" s="12"/>
      <c r="FLA55" s="12"/>
      <c r="FLB55" s="12"/>
      <c r="FLC55" s="12"/>
      <c r="FLD55" s="12"/>
      <c r="FLE55" s="12"/>
      <c r="FLF55" s="12"/>
      <c r="FLG55" s="12"/>
      <c r="FLH55" s="12"/>
      <c r="FLI55" s="12"/>
      <c r="FLJ55" s="12"/>
      <c r="FLK55" s="12"/>
      <c r="FLL55" s="12"/>
      <c r="FLM55" s="12"/>
      <c r="FLN55" s="12"/>
      <c r="FLO55" s="12"/>
      <c r="FLP55" s="12"/>
      <c r="FLQ55" s="12"/>
      <c r="FLR55" s="12"/>
      <c r="FLS55" s="12"/>
      <c r="FLT55" s="12"/>
      <c r="FLU55" s="12"/>
      <c r="FLV55" s="12"/>
      <c r="FLW55" s="12"/>
      <c r="FLX55" s="12"/>
      <c r="FLY55" s="12"/>
      <c r="FLZ55" s="12"/>
      <c r="FMA55" s="12"/>
      <c r="FMB55" s="12"/>
      <c r="FMC55" s="12"/>
      <c r="FMD55" s="12"/>
      <c r="FME55" s="12"/>
      <c r="FMF55" s="12"/>
      <c r="FMG55" s="12"/>
      <c r="FMH55" s="12"/>
      <c r="FMI55" s="12"/>
      <c r="FMJ55" s="12"/>
      <c r="FMK55" s="12"/>
      <c r="FML55" s="12"/>
      <c r="FMM55" s="12"/>
      <c r="FMN55" s="12"/>
      <c r="FMO55" s="12"/>
      <c r="FMP55" s="12"/>
      <c r="FMQ55" s="12"/>
      <c r="FMR55" s="12"/>
      <c r="FMS55" s="12"/>
      <c r="FMT55" s="12"/>
      <c r="FMU55" s="12"/>
      <c r="FMV55" s="12"/>
      <c r="FMW55" s="12"/>
      <c r="FMX55" s="12"/>
      <c r="FMY55" s="12"/>
      <c r="FMZ55" s="12"/>
      <c r="FNA55" s="12"/>
      <c r="FNB55" s="12"/>
      <c r="FNC55" s="12"/>
      <c r="FND55" s="12"/>
      <c r="FNE55" s="12"/>
      <c r="FNF55" s="12"/>
      <c r="FNG55" s="12"/>
      <c r="FNH55" s="12"/>
      <c r="FNI55" s="12"/>
      <c r="FNJ55" s="12"/>
      <c r="FNK55" s="12"/>
      <c r="FNL55" s="12"/>
      <c r="FNM55" s="12"/>
      <c r="FNN55" s="12"/>
      <c r="FNO55" s="12"/>
      <c r="FNP55" s="12"/>
      <c r="FNQ55" s="12"/>
      <c r="FNR55" s="12"/>
      <c r="FNS55" s="12"/>
      <c r="FNT55" s="12"/>
      <c r="FNU55" s="12"/>
      <c r="FNV55" s="12"/>
      <c r="FNW55" s="12"/>
      <c r="FNX55" s="12"/>
      <c r="FNY55" s="12"/>
      <c r="FNZ55" s="12"/>
      <c r="FOA55" s="12"/>
      <c r="FOB55" s="12"/>
      <c r="FOC55" s="12"/>
      <c r="FOD55" s="12"/>
      <c r="FOE55" s="12"/>
      <c r="FOF55" s="12"/>
      <c r="FOG55" s="12"/>
      <c r="FOH55" s="12"/>
      <c r="FOI55" s="12"/>
      <c r="FOJ55" s="12"/>
      <c r="FOK55" s="12"/>
      <c r="FOL55" s="12"/>
      <c r="FOM55" s="12"/>
      <c r="FON55" s="12"/>
      <c r="FOO55" s="12"/>
      <c r="FOP55" s="12"/>
      <c r="FOQ55" s="12"/>
      <c r="FOR55" s="12"/>
      <c r="FOS55" s="12"/>
      <c r="FOT55" s="12"/>
      <c r="FOU55" s="12"/>
      <c r="FOV55" s="12"/>
      <c r="FOW55" s="12"/>
      <c r="FOX55" s="12"/>
      <c r="FOY55" s="12"/>
      <c r="FOZ55" s="12"/>
      <c r="FPA55" s="12"/>
      <c r="FPB55" s="12"/>
      <c r="FPC55" s="12"/>
      <c r="FPD55" s="12"/>
      <c r="FPE55" s="12"/>
      <c r="FPF55" s="12"/>
      <c r="FPG55" s="12"/>
      <c r="FPH55" s="12"/>
      <c r="FPI55" s="12"/>
      <c r="FPJ55" s="12"/>
      <c r="FPK55" s="12"/>
      <c r="FPL55" s="12"/>
      <c r="FPM55" s="12"/>
      <c r="FPN55" s="12"/>
      <c r="FPO55" s="12"/>
      <c r="FPP55" s="12"/>
      <c r="FPQ55" s="12"/>
      <c r="FPR55" s="12"/>
      <c r="FPS55" s="12"/>
      <c r="FPT55" s="12"/>
      <c r="FPU55" s="12"/>
      <c r="FPV55" s="12"/>
      <c r="FPW55" s="12"/>
      <c r="FPX55" s="12"/>
      <c r="FPY55" s="12"/>
      <c r="FPZ55" s="12"/>
      <c r="FQA55" s="12"/>
      <c r="FQB55" s="12"/>
      <c r="FQC55" s="12"/>
      <c r="FQD55" s="12"/>
      <c r="FQE55" s="12"/>
      <c r="FQF55" s="12"/>
      <c r="FQG55" s="12"/>
      <c r="FQH55" s="12"/>
      <c r="FQI55" s="12"/>
      <c r="FQJ55" s="12"/>
      <c r="FQK55" s="12"/>
      <c r="FQL55" s="12"/>
      <c r="FQM55" s="12"/>
      <c r="FQN55" s="12"/>
      <c r="FQO55" s="12"/>
      <c r="FQP55" s="12"/>
      <c r="FQQ55" s="12"/>
      <c r="FQR55" s="12"/>
      <c r="FQS55" s="12"/>
      <c r="FQT55" s="12"/>
      <c r="FQU55" s="12"/>
      <c r="FQV55" s="12"/>
      <c r="FQW55" s="12"/>
      <c r="FQX55" s="12"/>
      <c r="FQY55" s="12"/>
      <c r="FQZ55" s="12"/>
      <c r="FRA55" s="12"/>
      <c r="FRB55" s="12"/>
      <c r="FRC55" s="12"/>
      <c r="FRD55" s="12"/>
      <c r="FRE55" s="12"/>
      <c r="FRF55" s="12"/>
      <c r="FRG55" s="12"/>
      <c r="FRH55" s="12"/>
      <c r="FRI55" s="12"/>
      <c r="FRJ55" s="12"/>
      <c r="FRK55" s="12"/>
      <c r="FRL55" s="12"/>
      <c r="FRM55" s="12"/>
      <c r="FRN55" s="12"/>
      <c r="FRO55" s="12"/>
      <c r="FRP55" s="12"/>
      <c r="FRQ55" s="12"/>
      <c r="FRR55" s="12"/>
      <c r="FRS55" s="12"/>
      <c r="FRT55" s="12"/>
      <c r="FRU55" s="12"/>
      <c r="FRV55" s="12"/>
      <c r="FRW55" s="12"/>
      <c r="FRX55" s="12"/>
      <c r="FRY55" s="12"/>
      <c r="FRZ55" s="12"/>
      <c r="FSA55" s="12"/>
      <c r="FSB55" s="12"/>
      <c r="FSC55" s="12"/>
      <c r="FSD55" s="12"/>
      <c r="FSE55" s="12"/>
      <c r="FSF55" s="12"/>
      <c r="FSG55" s="12"/>
      <c r="FSH55" s="12"/>
      <c r="FSI55" s="12"/>
      <c r="FSJ55" s="12"/>
      <c r="FSK55" s="12"/>
      <c r="FSL55" s="12"/>
      <c r="FSM55" s="12"/>
      <c r="FSN55" s="12"/>
      <c r="FSO55" s="12"/>
      <c r="FSP55" s="12"/>
      <c r="FSQ55" s="12"/>
      <c r="FSR55" s="12"/>
      <c r="FSS55" s="12"/>
      <c r="FST55" s="12"/>
      <c r="FSU55" s="12"/>
      <c r="FSV55" s="12"/>
      <c r="FSW55" s="12"/>
      <c r="FSX55" s="12"/>
      <c r="FSY55" s="12"/>
      <c r="FSZ55" s="12"/>
      <c r="FTA55" s="12"/>
      <c r="FTB55" s="12"/>
      <c r="FTC55" s="12"/>
      <c r="FTD55" s="12"/>
      <c r="FTE55" s="12"/>
      <c r="FTF55" s="12"/>
      <c r="FTG55" s="12"/>
      <c r="FTH55" s="12"/>
      <c r="FTI55" s="12"/>
      <c r="FTJ55" s="12"/>
      <c r="FTK55" s="12"/>
      <c r="FTL55" s="12"/>
      <c r="FTM55" s="12"/>
      <c r="FTN55" s="12"/>
      <c r="FTO55" s="12"/>
      <c r="FTP55" s="12"/>
      <c r="FTQ55" s="12"/>
      <c r="FTR55" s="12"/>
      <c r="FTS55" s="12"/>
      <c r="FTT55" s="12"/>
      <c r="FTU55" s="12"/>
      <c r="FTV55" s="12"/>
      <c r="FTW55" s="12"/>
      <c r="FTX55" s="12"/>
      <c r="FTY55" s="12"/>
      <c r="FTZ55" s="12"/>
      <c r="FUA55" s="12"/>
      <c r="FUB55" s="12"/>
      <c r="FUC55" s="12"/>
      <c r="FUD55" s="12"/>
      <c r="FUE55" s="12"/>
      <c r="FUF55" s="12"/>
      <c r="FUG55" s="12"/>
      <c r="FUH55" s="12"/>
      <c r="FUI55" s="12"/>
      <c r="FUJ55" s="12"/>
      <c r="FUK55" s="12"/>
      <c r="FUL55" s="12"/>
      <c r="FUM55" s="12"/>
      <c r="FUN55" s="12"/>
      <c r="FUO55" s="12"/>
      <c r="FUP55" s="12"/>
      <c r="FUQ55" s="12"/>
      <c r="FUR55" s="12"/>
      <c r="FUS55" s="12"/>
      <c r="FUT55" s="12"/>
      <c r="FUU55" s="12"/>
      <c r="FUV55" s="12"/>
      <c r="FUW55" s="12"/>
      <c r="FUX55" s="12"/>
      <c r="FUY55" s="12"/>
      <c r="FUZ55" s="12"/>
      <c r="FVA55" s="12"/>
      <c r="FVB55" s="12"/>
      <c r="FVC55" s="12"/>
      <c r="FVD55" s="12"/>
      <c r="FVE55" s="12"/>
      <c r="FVF55" s="12"/>
      <c r="FVG55" s="12"/>
      <c r="FVH55" s="12"/>
      <c r="FVI55" s="12"/>
      <c r="FVJ55" s="12"/>
      <c r="FVK55" s="12"/>
      <c r="FVL55" s="12"/>
      <c r="FVM55" s="12"/>
      <c r="FVN55" s="12"/>
      <c r="FVO55" s="12"/>
      <c r="FVP55" s="12"/>
      <c r="FVQ55" s="12"/>
      <c r="FVR55" s="12"/>
      <c r="FVS55" s="12"/>
      <c r="FVT55" s="12"/>
      <c r="FVU55" s="12"/>
      <c r="FVV55" s="12"/>
      <c r="FVW55" s="12"/>
      <c r="FVX55" s="12"/>
      <c r="FVY55" s="12"/>
      <c r="FVZ55" s="12"/>
      <c r="FWA55" s="12"/>
      <c r="FWB55" s="12"/>
      <c r="FWC55" s="12"/>
      <c r="FWD55" s="12"/>
      <c r="FWE55" s="12"/>
      <c r="FWF55" s="12"/>
      <c r="FWG55" s="12"/>
      <c r="FWH55" s="12"/>
      <c r="FWI55" s="12"/>
      <c r="FWJ55" s="12"/>
      <c r="FWK55" s="12"/>
      <c r="FWL55" s="12"/>
      <c r="FWM55" s="12"/>
      <c r="FWN55" s="12"/>
      <c r="FWO55" s="12"/>
      <c r="FWP55" s="12"/>
      <c r="FWQ55" s="12"/>
      <c r="FWR55" s="12"/>
      <c r="FWS55" s="12"/>
      <c r="FWT55" s="12"/>
      <c r="FWU55" s="12"/>
      <c r="FWV55" s="12"/>
      <c r="FWW55" s="12"/>
      <c r="FWX55" s="12"/>
      <c r="FWY55" s="12"/>
      <c r="FWZ55" s="12"/>
      <c r="FXA55" s="12"/>
      <c r="FXB55" s="12"/>
      <c r="FXC55" s="12"/>
      <c r="FXD55" s="12"/>
      <c r="FXE55" s="12"/>
      <c r="FXF55" s="12"/>
      <c r="FXG55" s="12"/>
      <c r="FXH55" s="12"/>
      <c r="FXI55" s="12"/>
      <c r="FXJ55" s="12"/>
      <c r="FXK55" s="12"/>
      <c r="FXL55" s="12"/>
      <c r="FXM55" s="12"/>
      <c r="FXN55" s="12"/>
      <c r="FXO55" s="12"/>
      <c r="FXP55" s="12"/>
      <c r="FXQ55" s="12"/>
      <c r="FXR55" s="12"/>
      <c r="FXS55" s="12"/>
      <c r="FXT55" s="12"/>
      <c r="FXU55" s="12"/>
      <c r="FXV55" s="12"/>
      <c r="FXW55" s="12"/>
      <c r="FXX55" s="12"/>
      <c r="FXY55" s="12"/>
      <c r="FXZ55" s="12"/>
      <c r="FYA55" s="12"/>
      <c r="FYB55" s="12"/>
      <c r="FYC55" s="12"/>
      <c r="FYD55" s="12"/>
      <c r="FYE55" s="12"/>
      <c r="FYF55" s="12"/>
      <c r="FYG55" s="12"/>
      <c r="FYH55" s="12"/>
      <c r="FYI55" s="12"/>
      <c r="FYJ55" s="12"/>
      <c r="FYK55" s="12"/>
      <c r="FYL55" s="12"/>
      <c r="FYM55" s="12"/>
      <c r="FYN55" s="12"/>
      <c r="FYO55" s="12"/>
      <c r="FYP55" s="12"/>
      <c r="FYQ55" s="12"/>
      <c r="FYR55" s="12"/>
      <c r="FYS55" s="12"/>
      <c r="FYT55" s="12"/>
      <c r="FYU55" s="12"/>
      <c r="FYV55" s="12"/>
      <c r="FYW55" s="12"/>
      <c r="FYX55" s="12"/>
      <c r="FYY55" s="12"/>
      <c r="FYZ55" s="12"/>
      <c r="FZA55" s="12"/>
      <c r="FZB55" s="12"/>
      <c r="FZC55" s="12"/>
      <c r="FZD55" s="12"/>
      <c r="FZE55" s="12"/>
      <c r="FZF55" s="12"/>
      <c r="FZG55" s="12"/>
      <c r="FZH55" s="12"/>
      <c r="FZI55" s="12"/>
      <c r="FZJ55" s="12"/>
      <c r="FZK55" s="12"/>
      <c r="FZL55" s="12"/>
      <c r="FZM55" s="12"/>
      <c r="FZN55" s="12"/>
      <c r="FZO55" s="12"/>
      <c r="FZP55" s="12"/>
      <c r="FZQ55" s="12"/>
      <c r="FZR55" s="12"/>
      <c r="FZS55" s="12"/>
      <c r="FZT55" s="12"/>
      <c r="FZU55" s="12"/>
      <c r="FZV55" s="12"/>
      <c r="FZW55" s="12"/>
      <c r="FZX55" s="12"/>
      <c r="FZY55" s="12"/>
      <c r="FZZ55" s="12"/>
      <c r="GAA55" s="12"/>
      <c r="GAB55" s="12"/>
      <c r="GAC55" s="12"/>
      <c r="GAD55" s="12"/>
      <c r="GAE55" s="12"/>
      <c r="GAF55" s="12"/>
      <c r="GAG55" s="12"/>
      <c r="GAH55" s="12"/>
      <c r="GAI55" s="12"/>
      <c r="GAJ55" s="12"/>
      <c r="GAK55" s="12"/>
      <c r="GAL55" s="12"/>
      <c r="GAM55" s="12"/>
      <c r="GAN55" s="12"/>
      <c r="GAO55" s="12"/>
      <c r="GAP55" s="12"/>
      <c r="GAQ55" s="12"/>
      <c r="GAR55" s="12"/>
      <c r="GAS55" s="12"/>
      <c r="GAT55" s="12"/>
      <c r="GAU55" s="12"/>
      <c r="GAV55" s="12"/>
      <c r="GAW55" s="12"/>
      <c r="GAX55" s="12"/>
      <c r="GAY55" s="12"/>
      <c r="GAZ55" s="12"/>
      <c r="GBA55" s="12"/>
      <c r="GBB55" s="12"/>
      <c r="GBC55" s="12"/>
      <c r="GBD55" s="12"/>
      <c r="GBE55" s="12"/>
      <c r="GBF55" s="12"/>
      <c r="GBG55" s="12"/>
      <c r="GBH55" s="12"/>
      <c r="GBI55" s="12"/>
      <c r="GBJ55" s="12"/>
      <c r="GBK55" s="12"/>
      <c r="GBL55" s="12"/>
      <c r="GBM55" s="12"/>
      <c r="GBN55" s="12"/>
      <c r="GBO55" s="12"/>
      <c r="GBP55" s="12"/>
      <c r="GBQ55" s="12"/>
      <c r="GBR55" s="12"/>
      <c r="GBS55" s="12"/>
      <c r="GBT55" s="12"/>
      <c r="GBU55" s="12"/>
      <c r="GBV55" s="12"/>
      <c r="GBW55" s="12"/>
      <c r="GBX55" s="12"/>
      <c r="GBY55" s="12"/>
      <c r="GBZ55" s="12"/>
      <c r="GCA55" s="12"/>
      <c r="GCB55" s="12"/>
      <c r="GCC55" s="12"/>
      <c r="GCD55" s="12"/>
      <c r="GCE55" s="12"/>
      <c r="GCF55" s="12"/>
      <c r="GCG55" s="12"/>
      <c r="GCH55" s="12"/>
      <c r="GCI55" s="12"/>
      <c r="GCJ55" s="12"/>
      <c r="GCK55" s="12"/>
      <c r="GCL55" s="12"/>
      <c r="GCM55" s="12"/>
      <c r="GCN55" s="12"/>
      <c r="GCO55" s="12"/>
      <c r="GCP55" s="12"/>
      <c r="GCQ55" s="12"/>
      <c r="GCR55" s="12"/>
      <c r="GCS55" s="12"/>
      <c r="GCT55" s="12"/>
      <c r="GCU55" s="12"/>
      <c r="GCV55" s="12"/>
      <c r="GCW55" s="12"/>
      <c r="GCX55" s="12"/>
      <c r="GCY55" s="12"/>
      <c r="GCZ55" s="12"/>
      <c r="GDA55" s="12"/>
      <c r="GDB55" s="12"/>
      <c r="GDC55" s="12"/>
      <c r="GDD55" s="12"/>
      <c r="GDE55" s="12"/>
      <c r="GDF55" s="12"/>
      <c r="GDG55" s="12"/>
      <c r="GDH55" s="12"/>
      <c r="GDI55" s="12"/>
      <c r="GDJ55" s="12"/>
      <c r="GDK55" s="12"/>
      <c r="GDL55" s="12"/>
      <c r="GDM55" s="12"/>
      <c r="GDN55" s="12"/>
      <c r="GDO55" s="12"/>
      <c r="GDP55" s="12"/>
      <c r="GDQ55" s="12"/>
      <c r="GDR55" s="12"/>
      <c r="GDS55" s="12"/>
      <c r="GDT55" s="12"/>
      <c r="GDU55" s="12"/>
      <c r="GDV55" s="12"/>
      <c r="GDW55" s="12"/>
      <c r="GDX55" s="12"/>
      <c r="GDY55" s="12"/>
      <c r="GDZ55" s="12"/>
      <c r="GEA55" s="12"/>
      <c r="GEB55" s="12"/>
      <c r="GEC55" s="12"/>
      <c r="GED55" s="12"/>
      <c r="GEE55" s="12"/>
      <c r="GEF55" s="12"/>
      <c r="GEG55" s="12"/>
      <c r="GEH55" s="12"/>
      <c r="GEI55" s="12"/>
      <c r="GEJ55" s="12"/>
      <c r="GEK55" s="12"/>
      <c r="GEL55" s="12"/>
      <c r="GEM55" s="12"/>
      <c r="GEN55" s="12"/>
      <c r="GEO55" s="12"/>
      <c r="GEP55" s="12"/>
      <c r="GEQ55" s="12"/>
      <c r="GER55" s="12"/>
      <c r="GES55" s="12"/>
      <c r="GET55" s="12"/>
      <c r="GEU55" s="12"/>
      <c r="GEV55" s="12"/>
      <c r="GEW55" s="12"/>
      <c r="GEX55" s="12"/>
      <c r="GEY55" s="12"/>
      <c r="GEZ55" s="12"/>
      <c r="GFA55" s="12"/>
      <c r="GFB55" s="12"/>
      <c r="GFC55" s="12"/>
      <c r="GFD55" s="12"/>
      <c r="GFE55" s="12"/>
      <c r="GFF55" s="12"/>
      <c r="GFG55" s="12"/>
      <c r="GFH55" s="12"/>
      <c r="GFI55" s="12"/>
      <c r="GFJ55" s="12"/>
      <c r="GFK55" s="12"/>
      <c r="GFL55" s="12"/>
      <c r="GFM55" s="12"/>
      <c r="GFN55" s="12"/>
      <c r="GFO55" s="12"/>
      <c r="GFP55" s="12"/>
      <c r="GFQ55" s="12"/>
      <c r="GFR55" s="12"/>
      <c r="GFS55" s="12"/>
      <c r="GFT55" s="12"/>
      <c r="GFU55" s="12"/>
      <c r="GFV55" s="12"/>
      <c r="GFW55" s="12"/>
      <c r="GFX55" s="12"/>
      <c r="GFY55" s="12"/>
      <c r="GFZ55" s="12"/>
      <c r="GGA55" s="12"/>
      <c r="GGB55" s="12"/>
      <c r="GGC55" s="12"/>
      <c r="GGD55" s="12"/>
      <c r="GGE55" s="12"/>
      <c r="GGF55" s="12"/>
      <c r="GGG55" s="12"/>
      <c r="GGH55" s="12"/>
      <c r="GGI55" s="12"/>
      <c r="GGJ55" s="12"/>
      <c r="GGK55" s="12"/>
      <c r="GGL55" s="12"/>
      <c r="GGM55" s="12"/>
      <c r="GGN55" s="12"/>
      <c r="GGO55" s="12"/>
      <c r="GGP55" s="12"/>
      <c r="GGQ55" s="12"/>
      <c r="GGR55" s="12"/>
      <c r="GGS55" s="12"/>
      <c r="GGT55" s="12"/>
      <c r="GGU55" s="12"/>
      <c r="GGV55" s="12"/>
      <c r="GGW55" s="12"/>
      <c r="GGX55" s="12"/>
      <c r="GGY55" s="12"/>
      <c r="GGZ55" s="12"/>
      <c r="GHA55" s="12"/>
      <c r="GHB55" s="12"/>
      <c r="GHC55" s="12"/>
      <c r="GHD55" s="12"/>
      <c r="GHE55" s="12"/>
      <c r="GHF55" s="12"/>
      <c r="GHG55" s="12"/>
      <c r="GHH55" s="12"/>
      <c r="GHI55" s="12"/>
      <c r="GHJ55" s="12"/>
      <c r="GHK55" s="12"/>
      <c r="GHL55" s="12"/>
      <c r="GHM55" s="12"/>
      <c r="GHN55" s="12"/>
      <c r="GHO55" s="12"/>
      <c r="GHP55" s="12"/>
      <c r="GHQ55" s="12"/>
      <c r="GHR55" s="12"/>
      <c r="GHS55" s="12"/>
      <c r="GHT55" s="12"/>
      <c r="GHU55" s="12"/>
      <c r="GHV55" s="12"/>
      <c r="GHW55" s="12"/>
      <c r="GHX55" s="12"/>
      <c r="GHY55" s="12"/>
      <c r="GHZ55" s="12"/>
      <c r="GIA55" s="12"/>
      <c r="GIB55" s="12"/>
      <c r="GIC55" s="12"/>
      <c r="GID55" s="12"/>
      <c r="GIE55" s="12"/>
      <c r="GIF55" s="12"/>
      <c r="GIG55" s="12"/>
      <c r="GIH55" s="12"/>
      <c r="GII55" s="12"/>
      <c r="GIJ55" s="12"/>
      <c r="GIK55" s="12"/>
      <c r="GIL55" s="12"/>
      <c r="GIM55" s="12"/>
      <c r="GIN55" s="12"/>
      <c r="GIO55" s="12"/>
      <c r="GIP55" s="12"/>
      <c r="GIQ55" s="12"/>
      <c r="GIR55" s="12"/>
      <c r="GIS55" s="12"/>
      <c r="GIT55" s="12"/>
      <c r="GIU55" s="12"/>
      <c r="GIV55" s="12"/>
      <c r="GIW55" s="12"/>
      <c r="GIX55" s="12"/>
      <c r="GIY55" s="12"/>
      <c r="GIZ55" s="12"/>
      <c r="GJA55" s="12"/>
      <c r="GJB55" s="12"/>
      <c r="GJC55" s="12"/>
      <c r="GJD55" s="12"/>
      <c r="GJE55" s="12"/>
      <c r="GJF55" s="12"/>
      <c r="GJG55" s="12"/>
      <c r="GJH55" s="12"/>
      <c r="GJI55" s="12"/>
      <c r="GJJ55" s="12"/>
      <c r="GJK55" s="12"/>
      <c r="GJL55" s="12"/>
      <c r="GJM55" s="12"/>
      <c r="GJN55" s="12"/>
      <c r="GJO55" s="12"/>
      <c r="GJP55" s="12"/>
      <c r="GJQ55" s="12"/>
      <c r="GJR55" s="12"/>
      <c r="GJS55" s="12"/>
      <c r="GJT55" s="12"/>
      <c r="GJU55" s="12"/>
      <c r="GJV55" s="12"/>
      <c r="GJW55" s="12"/>
      <c r="GJX55" s="12"/>
      <c r="GJY55" s="12"/>
      <c r="GJZ55" s="12"/>
      <c r="GKA55" s="12"/>
      <c r="GKB55" s="12"/>
      <c r="GKC55" s="12"/>
      <c r="GKD55" s="12"/>
      <c r="GKE55" s="12"/>
      <c r="GKF55" s="12"/>
      <c r="GKG55" s="12"/>
      <c r="GKH55" s="12"/>
      <c r="GKI55" s="12"/>
      <c r="GKJ55" s="12"/>
      <c r="GKK55" s="12"/>
      <c r="GKL55" s="12"/>
      <c r="GKM55" s="12"/>
      <c r="GKN55" s="12"/>
      <c r="GKO55" s="12"/>
      <c r="GKP55" s="12"/>
      <c r="GKQ55" s="12"/>
      <c r="GKR55" s="12"/>
      <c r="GKS55" s="12"/>
      <c r="GKT55" s="12"/>
      <c r="GKU55" s="12"/>
      <c r="GKV55" s="12"/>
      <c r="GKW55" s="12"/>
      <c r="GKX55" s="12"/>
      <c r="GKY55" s="12"/>
      <c r="GKZ55" s="12"/>
      <c r="GLA55" s="12"/>
      <c r="GLB55" s="12"/>
      <c r="GLC55" s="12"/>
      <c r="GLD55" s="12"/>
      <c r="GLE55" s="12"/>
      <c r="GLF55" s="12"/>
      <c r="GLG55" s="12"/>
      <c r="GLH55" s="12"/>
      <c r="GLI55" s="12"/>
      <c r="GLJ55" s="12"/>
      <c r="GLK55" s="12"/>
      <c r="GLL55" s="12"/>
      <c r="GLM55" s="12"/>
      <c r="GLN55" s="12"/>
      <c r="GLO55" s="12"/>
      <c r="GLP55" s="12"/>
      <c r="GLQ55" s="12"/>
      <c r="GLR55" s="12"/>
      <c r="GLS55" s="12"/>
      <c r="GLT55" s="12"/>
      <c r="GLU55" s="12"/>
      <c r="GLV55" s="12"/>
      <c r="GLW55" s="12"/>
      <c r="GLX55" s="12"/>
      <c r="GLY55" s="12"/>
      <c r="GLZ55" s="12"/>
      <c r="GMA55" s="12"/>
      <c r="GMB55" s="12"/>
      <c r="GMC55" s="12"/>
      <c r="GMD55" s="12"/>
      <c r="GME55" s="12"/>
      <c r="GMF55" s="12"/>
      <c r="GMG55" s="12"/>
      <c r="GMH55" s="12"/>
      <c r="GMI55" s="12"/>
      <c r="GMJ55" s="12"/>
      <c r="GMK55" s="12"/>
      <c r="GML55" s="12"/>
      <c r="GMM55" s="12"/>
      <c r="GMN55" s="12"/>
      <c r="GMO55" s="12"/>
      <c r="GMP55" s="12"/>
      <c r="GMQ55" s="12"/>
      <c r="GMR55" s="12"/>
      <c r="GMS55" s="12"/>
      <c r="GMT55" s="12"/>
      <c r="GMU55" s="12"/>
      <c r="GMV55" s="12"/>
      <c r="GMW55" s="12"/>
      <c r="GMX55" s="12"/>
      <c r="GMY55" s="12"/>
      <c r="GMZ55" s="12"/>
      <c r="GNA55" s="12"/>
      <c r="GNB55" s="12"/>
      <c r="GNC55" s="12"/>
      <c r="GND55" s="12"/>
      <c r="GNE55" s="12"/>
      <c r="GNF55" s="12"/>
      <c r="GNG55" s="12"/>
      <c r="GNH55" s="12"/>
      <c r="GNI55" s="12"/>
      <c r="GNJ55" s="12"/>
      <c r="GNK55" s="12"/>
      <c r="GNL55" s="12"/>
      <c r="GNM55" s="12"/>
      <c r="GNN55" s="12"/>
      <c r="GNO55" s="12"/>
      <c r="GNP55" s="12"/>
      <c r="GNQ55" s="12"/>
      <c r="GNR55" s="12"/>
      <c r="GNS55" s="12"/>
      <c r="GNT55" s="12"/>
      <c r="GNU55" s="12"/>
      <c r="GNV55" s="12"/>
      <c r="GNW55" s="12"/>
      <c r="GNX55" s="12"/>
      <c r="GNY55" s="12"/>
      <c r="GNZ55" s="12"/>
      <c r="GOA55" s="12"/>
      <c r="GOB55" s="12"/>
      <c r="GOC55" s="12"/>
      <c r="GOD55" s="12"/>
      <c r="GOE55" s="12"/>
      <c r="GOF55" s="12"/>
      <c r="GOG55" s="12"/>
      <c r="GOH55" s="12"/>
      <c r="GOI55" s="12"/>
      <c r="GOJ55" s="12"/>
      <c r="GOK55" s="12"/>
      <c r="GOL55" s="12"/>
      <c r="GOM55" s="12"/>
      <c r="GON55" s="12"/>
      <c r="GOO55" s="12"/>
      <c r="GOP55" s="12"/>
      <c r="GOQ55" s="12"/>
      <c r="GOR55" s="12"/>
      <c r="GOS55" s="12"/>
      <c r="GOT55" s="12"/>
      <c r="GOU55" s="12"/>
      <c r="GOV55" s="12"/>
      <c r="GOW55" s="12"/>
      <c r="GOX55" s="12"/>
      <c r="GOY55" s="12"/>
      <c r="GOZ55" s="12"/>
      <c r="GPA55" s="12"/>
      <c r="GPB55" s="12"/>
      <c r="GPC55" s="12"/>
      <c r="GPD55" s="12"/>
      <c r="GPE55" s="12"/>
      <c r="GPF55" s="12"/>
      <c r="GPG55" s="12"/>
      <c r="GPH55" s="12"/>
      <c r="GPI55" s="12"/>
      <c r="GPJ55" s="12"/>
      <c r="GPK55" s="12"/>
      <c r="GPL55" s="12"/>
      <c r="GPM55" s="12"/>
      <c r="GPN55" s="12"/>
      <c r="GPO55" s="12"/>
      <c r="GPP55" s="12"/>
      <c r="GPQ55" s="12"/>
      <c r="GPR55" s="12"/>
      <c r="GPS55" s="12"/>
      <c r="GPT55" s="12"/>
      <c r="GPU55" s="12"/>
      <c r="GPV55" s="12"/>
      <c r="GPW55" s="12"/>
      <c r="GPX55" s="12"/>
      <c r="GPY55" s="12"/>
      <c r="GPZ55" s="12"/>
      <c r="GQA55" s="12"/>
      <c r="GQB55" s="12"/>
      <c r="GQC55" s="12"/>
      <c r="GQD55" s="12"/>
      <c r="GQE55" s="12"/>
      <c r="GQF55" s="12"/>
      <c r="GQG55" s="12"/>
      <c r="GQH55" s="12"/>
      <c r="GQI55" s="12"/>
      <c r="GQJ55" s="12"/>
      <c r="GQK55" s="12"/>
      <c r="GQL55" s="12"/>
      <c r="GQM55" s="12"/>
      <c r="GQN55" s="12"/>
      <c r="GQO55" s="12"/>
      <c r="GQP55" s="12"/>
      <c r="GQQ55" s="12"/>
      <c r="GQR55" s="12"/>
      <c r="GQS55" s="12"/>
      <c r="GQT55" s="12"/>
      <c r="GQU55" s="12"/>
      <c r="GQV55" s="12"/>
      <c r="GQW55" s="12"/>
      <c r="GQX55" s="12"/>
      <c r="GQY55" s="12"/>
      <c r="GQZ55" s="12"/>
      <c r="GRA55" s="12"/>
      <c r="GRB55" s="12"/>
      <c r="GRC55" s="12"/>
      <c r="GRD55" s="12"/>
      <c r="GRE55" s="12"/>
      <c r="GRF55" s="12"/>
      <c r="GRG55" s="12"/>
      <c r="GRH55" s="12"/>
      <c r="GRI55" s="12"/>
      <c r="GRJ55" s="12"/>
      <c r="GRK55" s="12"/>
      <c r="GRL55" s="12"/>
      <c r="GRM55" s="12"/>
      <c r="GRN55" s="12"/>
      <c r="GRO55" s="12"/>
      <c r="GRP55" s="12"/>
      <c r="GRQ55" s="12"/>
      <c r="GRR55" s="12"/>
      <c r="GRS55" s="12"/>
      <c r="GRT55" s="12"/>
      <c r="GRU55" s="12"/>
      <c r="GRV55" s="12"/>
      <c r="GRW55" s="12"/>
      <c r="GRX55" s="12"/>
      <c r="GRY55" s="12"/>
      <c r="GRZ55" s="12"/>
      <c r="GSA55" s="12"/>
      <c r="GSB55" s="12"/>
      <c r="GSC55" s="12"/>
      <c r="GSD55" s="12"/>
      <c r="GSE55" s="12"/>
      <c r="GSF55" s="12"/>
      <c r="GSG55" s="12"/>
      <c r="GSH55" s="12"/>
      <c r="GSI55" s="12"/>
      <c r="GSJ55" s="12"/>
      <c r="GSK55" s="12"/>
      <c r="GSL55" s="12"/>
      <c r="GSM55" s="12"/>
      <c r="GSN55" s="12"/>
      <c r="GSO55" s="12"/>
      <c r="GSP55" s="12"/>
      <c r="GSQ55" s="12"/>
      <c r="GSR55" s="12"/>
      <c r="GSS55" s="12"/>
      <c r="GST55" s="12"/>
      <c r="GSU55" s="12"/>
      <c r="GSV55" s="12"/>
      <c r="GSW55" s="12"/>
      <c r="GSX55" s="12"/>
      <c r="GSY55" s="12"/>
      <c r="GSZ55" s="12"/>
      <c r="GTA55" s="12"/>
      <c r="GTB55" s="12"/>
      <c r="GTC55" s="12"/>
      <c r="GTD55" s="12"/>
      <c r="GTE55" s="12"/>
      <c r="GTF55" s="12"/>
      <c r="GTG55" s="12"/>
      <c r="GTH55" s="12"/>
      <c r="GTI55" s="12"/>
      <c r="GTJ55" s="12"/>
      <c r="GTK55" s="12"/>
      <c r="GTL55" s="12"/>
      <c r="GTM55" s="12"/>
      <c r="GTN55" s="12"/>
      <c r="GTO55" s="12"/>
      <c r="GTP55" s="12"/>
      <c r="GTQ55" s="12"/>
      <c r="GTR55" s="12"/>
      <c r="GTS55" s="12"/>
      <c r="GTT55" s="12"/>
      <c r="GTU55" s="12"/>
      <c r="GTV55" s="12"/>
      <c r="GTW55" s="12"/>
      <c r="GTX55" s="12"/>
      <c r="GTY55" s="12"/>
      <c r="GTZ55" s="12"/>
      <c r="GUA55" s="12"/>
      <c r="GUB55" s="12"/>
      <c r="GUC55" s="12"/>
      <c r="GUD55" s="12"/>
      <c r="GUE55" s="12"/>
      <c r="GUF55" s="12"/>
      <c r="GUG55" s="12"/>
      <c r="GUH55" s="12"/>
      <c r="GUI55" s="12"/>
      <c r="GUJ55" s="12"/>
      <c r="GUK55" s="12"/>
      <c r="GUL55" s="12"/>
      <c r="GUM55" s="12"/>
      <c r="GUN55" s="12"/>
      <c r="GUO55" s="12"/>
      <c r="GUP55" s="12"/>
      <c r="GUQ55" s="12"/>
      <c r="GUR55" s="12"/>
      <c r="GUS55" s="12"/>
      <c r="GUT55" s="12"/>
      <c r="GUU55" s="12"/>
      <c r="GUV55" s="12"/>
      <c r="GUW55" s="12"/>
      <c r="GUX55" s="12"/>
      <c r="GUY55" s="12"/>
      <c r="GUZ55" s="12"/>
      <c r="GVA55" s="12"/>
      <c r="GVB55" s="12"/>
      <c r="GVC55" s="12"/>
      <c r="GVD55" s="12"/>
      <c r="GVE55" s="12"/>
      <c r="GVF55" s="12"/>
      <c r="GVG55" s="12"/>
      <c r="GVH55" s="12"/>
      <c r="GVI55" s="12"/>
      <c r="GVJ55" s="12"/>
      <c r="GVK55" s="12"/>
      <c r="GVL55" s="12"/>
      <c r="GVM55" s="12"/>
      <c r="GVN55" s="12"/>
      <c r="GVO55" s="12"/>
      <c r="GVP55" s="12"/>
      <c r="GVQ55" s="12"/>
      <c r="GVR55" s="12"/>
      <c r="GVS55" s="12"/>
      <c r="GVT55" s="12"/>
      <c r="GVU55" s="12"/>
      <c r="GVV55" s="12"/>
      <c r="GVW55" s="12"/>
      <c r="GVX55" s="12"/>
      <c r="GVY55" s="12"/>
      <c r="GVZ55" s="12"/>
      <c r="GWA55" s="12"/>
      <c r="GWB55" s="12"/>
      <c r="GWC55" s="12"/>
      <c r="GWD55" s="12"/>
      <c r="GWE55" s="12"/>
      <c r="GWF55" s="12"/>
      <c r="GWG55" s="12"/>
      <c r="GWH55" s="12"/>
      <c r="GWI55" s="12"/>
      <c r="GWJ55" s="12"/>
      <c r="GWK55" s="12"/>
      <c r="GWL55" s="12"/>
      <c r="GWM55" s="12"/>
      <c r="GWN55" s="12"/>
      <c r="GWO55" s="12"/>
      <c r="GWP55" s="12"/>
      <c r="GWQ55" s="12"/>
      <c r="GWR55" s="12"/>
      <c r="GWS55" s="12"/>
      <c r="GWT55" s="12"/>
      <c r="GWU55" s="12"/>
      <c r="GWV55" s="12"/>
      <c r="GWW55" s="12"/>
      <c r="GWX55" s="12"/>
      <c r="GWY55" s="12"/>
      <c r="GWZ55" s="12"/>
      <c r="GXA55" s="12"/>
      <c r="GXB55" s="12"/>
      <c r="GXC55" s="12"/>
      <c r="GXD55" s="12"/>
      <c r="GXE55" s="12"/>
      <c r="GXF55" s="12"/>
      <c r="GXG55" s="12"/>
      <c r="GXH55" s="12"/>
      <c r="GXI55" s="12"/>
      <c r="GXJ55" s="12"/>
      <c r="GXK55" s="12"/>
      <c r="GXL55" s="12"/>
      <c r="GXM55" s="12"/>
      <c r="GXN55" s="12"/>
      <c r="GXO55" s="12"/>
      <c r="GXP55" s="12"/>
      <c r="GXQ55" s="12"/>
      <c r="GXR55" s="12"/>
      <c r="GXS55" s="12"/>
      <c r="GXT55" s="12"/>
      <c r="GXU55" s="12"/>
      <c r="GXV55" s="12"/>
      <c r="GXW55" s="12"/>
      <c r="GXX55" s="12"/>
      <c r="GXY55" s="12"/>
      <c r="GXZ55" s="12"/>
      <c r="GYA55" s="12"/>
      <c r="GYB55" s="12"/>
      <c r="GYC55" s="12"/>
      <c r="GYD55" s="12"/>
      <c r="GYE55" s="12"/>
      <c r="GYF55" s="12"/>
      <c r="GYG55" s="12"/>
      <c r="GYH55" s="12"/>
      <c r="GYI55" s="12"/>
      <c r="GYJ55" s="12"/>
      <c r="GYK55" s="12"/>
      <c r="GYL55" s="12"/>
      <c r="GYM55" s="12"/>
      <c r="GYN55" s="12"/>
      <c r="GYO55" s="12"/>
      <c r="GYP55" s="12"/>
      <c r="GYQ55" s="12"/>
      <c r="GYR55" s="12"/>
      <c r="GYS55" s="12"/>
      <c r="GYT55" s="12"/>
      <c r="GYU55" s="12"/>
      <c r="GYV55" s="12"/>
      <c r="GYW55" s="12"/>
      <c r="GYX55" s="12"/>
      <c r="GYY55" s="12"/>
      <c r="GYZ55" s="12"/>
      <c r="GZA55" s="12"/>
      <c r="GZB55" s="12"/>
      <c r="GZC55" s="12"/>
      <c r="GZD55" s="12"/>
      <c r="GZE55" s="12"/>
      <c r="GZF55" s="12"/>
      <c r="GZG55" s="12"/>
      <c r="GZH55" s="12"/>
      <c r="GZI55" s="12"/>
      <c r="GZJ55" s="12"/>
      <c r="GZK55" s="12"/>
      <c r="GZL55" s="12"/>
      <c r="GZM55" s="12"/>
      <c r="GZN55" s="12"/>
      <c r="GZO55" s="12"/>
      <c r="GZP55" s="12"/>
      <c r="GZQ55" s="12"/>
      <c r="GZR55" s="12"/>
      <c r="GZS55" s="12"/>
      <c r="GZT55" s="12"/>
      <c r="GZU55" s="12"/>
      <c r="GZV55" s="12"/>
      <c r="GZW55" s="12"/>
      <c r="GZX55" s="12"/>
      <c r="GZY55" s="12"/>
      <c r="GZZ55" s="12"/>
      <c r="HAA55" s="12"/>
      <c r="HAB55" s="12"/>
      <c r="HAC55" s="12"/>
      <c r="HAD55" s="12"/>
      <c r="HAE55" s="12"/>
      <c r="HAF55" s="12"/>
      <c r="HAG55" s="12"/>
      <c r="HAH55" s="12"/>
      <c r="HAI55" s="12"/>
      <c r="HAJ55" s="12"/>
      <c r="HAK55" s="12"/>
      <c r="HAL55" s="12"/>
      <c r="HAM55" s="12"/>
      <c r="HAN55" s="12"/>
      <c r="HAO55" s="12"/>
      <c r="HAP55" s="12"/>
      <c r="HAQ55" s="12"/>
      <c r="HAR55" s="12"/>
      <c r="HAS55" s="12"/>
      <c r="HAT55" s="12"/>
      <c r="HAU55" s="12"/>
      <c r="HAV55" s="12"/>
      <c r="HAW55" s="12"/>
      <c r="HAX55" s="12"/>
      <c r="HAY55" s="12"/>
      <c r="HAZ55" s="12"/>
      <c r="HBA55" s="12"/>
      <c r="HBB55" s="12"/>
      <c r="HBC55" s="12"/>
      <c r="HBD55" s="12"/>
      <c r="HBE55" s="12"/>
      <c r="HBF55" s="12"/>
      <c r="HBG55" s="12"/>
      <c r="HBH55" s="12"/>
      <c r="HBI55" s="12"/>
      <c r="HBJ55" s="12"/>
      <c r="HBK55" s="12"/>
      <c r="HBL55" s="12"/>
      <c r="HBM55" s="12"/>
      <c r="HBN55" s="12"/>
      <c r="HBO55" s="12"/>
      <c r="HBP55" s="12"/>
      <c r="HBQ55" s="12"/>
      <c r="HBR55" s="12"/>
      <c r="HBS55" s="12"/>
      <c r="HBT55" s="12"/>
      <c r="HBU55" s="12"/>
      <c r="HBV55" s="12"/>
      <c r="HBW55" s="12"/>
      <c r="HBX55" s="12"/>
      <c r="HBY55" s="12"/>
      <c r="HBZ55" s="12"/>
      <c r="HCA55" s="12"/>
      <c r="HCB55" s="12"/>
      <c r="HCC55" s="12"/>
      <c r="HCD55" s="12"/>
      <c r="HCE55" s="12"/>
      <c r="HCF55" s="12"/>
      <c r="HCG55" s="12"/>
      <c r="HCH55" s="12"/>
      <c r="HCI55" s="12"/>
      <c r="HCJ55" s="12"/>
      <c r="HCK55" s="12"/>
      <c r="HCL55" s="12"/>
      <c r="HCM55" s="12"/>
      <c r="HCN55" s="12"/>
      <c r="HCO55" s="12"/>
      <c r="HCP55" s="12"/>
      <c r="HCQ55" s="12"/>
      <c r="HCR55" s="12"/>
      <c r="HCS55" s="12"/>
      <c r="HCT55" s="12"/>
      <c r="HCU55" s="12"/>
      <c r="HCV55" s="12"/>
      <c r="HCW55" s="12"/>
      <c r="HCX55" s="12"/>
      <c r="HCY55" s="12"/>
      <c r="HCZ55" s="12"/>
      <c r="HDA55" s="12"/>
      <c r="HDB55" s="12"/>
      <c r="HDC55" s="12"/>
      <c r="HDD55" s="12"/>
      <c r="HDE55" s="12"/>
      <c r="HDF55" s="12"/>
      <c r="HDG55" s="12"/>
      <c r="HDH55" s="12"/>
      <c r="HDI55" s="12"/>
      <c r="HDJ55" s="12"/>
      <c r="HDK55" s="12"/>
      <c r="HDL55" s="12"/>
      <c r="HDM55" s="12"/>
      <c r="HDN55" s="12"/>
      <c r="HDO55" s="12"/>
      <c r="HDP55" s="12"/>
      <c r="HDQ55" s="12"/>
      <c r="HDR55" s="12"/>
      <c r="HDS55" s="12"/>
      <c r="HDT55" s="12"/>
      <c r="HDU55" s="12"/>
      <c r="HDV55" s="12"/>
      <c r="HDW55" s="12"/>
      <c r="HDX55" s="12"/>
      <c r="HDY55" s="12"/>
      <c r="HDZ55" s="12"/>
      <c r="HEA55" s="12"/>
      <c r="HEB55" s="12"/>
      <c r="HEC55" s="12"/>
      <c r="HED55" s="12"/>
      <c r="HEE55" s="12"/>
      <c r="HEF55" s="12"/>
      <c r="HEG55" s="12"/>
      <c r="HEH55" s="12"/>
      <c r="HEI55" s="12"/>
      <c r="HEJ55" s="12"/>
      <c r="HEK55" s="12"/>
      <c r="HEL55" s="12"/>
      <c r="HEM55" s="12"/>
      <c r="HEN55" s="12"/>
      <c r="HEO55" s="12"/>
      <c r="HEP55" s="12"/>
      <c r="HEQ55" s="12"/>
      <c r="HER55" s="12"/>
      <c r="HES55" s="12"/>
      <c r="HET55" s="12"/>
      <c r="HEU55" s="12"/>
      <c r="HEV55" s="12"/>
      <c r="HEW55" s="12"/>
      <c r="HEX55" s="12"/>
      <c r="HEY55" s="12"/>
      <c r="HEZ55" s="12"/>
      <c r="HFA55" s="12"/>
      <c r="HFB55" s="12"/>
      <c r="HFC55" s="12"/>
      <c r="HFD55" s="12"/>
      <c r="HFE55" s="12"/>
      <c r="HFF55" s="12"/>
      <c r="HFG55" s="12"/>
      <c r="HFH55" s="12"/>
      <c r="HFI55" s="12"/>
      <c r="HFJ55" s="12"/>
      <c r="HFK55" s="12"/>
      <c r="HFL55" s="12"/>
      <c r="HFM55" s="12"/>
      <c r="HFN55" s="12"/>
      <c r="HFO55" s="12"/>
      <c r="HFP55" s="12"/>
      <c r="HFQ55" s="12"/>
      <c r="HFR55" s="12"/>
      <c r="HFS55" s="12"/>
      <c r="HFT55" s="12"/>
      <c r="HFU55" s="12"/>
      <c r="HFV55" s="12"/>
      <c r="HFW55" s="12"/>
      <c r="HFX55" s="12"/>
      <c r="HFY55" s="12"/>
      <c r="HFZ55" s="12"/>
      <c r="HGA55" s="12"/>
      <c r="HGB55" s="12"/>
      <c r="HGC55" s="12"/>
      <c r="HGD55" s="12"/>
      <c r="HGE55" s="12"/>
      <c r="HGF55" s="12"/>
      <c r="HGG55" s="12"/>
      <c r="HGH55" s="12"/>
      <c r="HGI55" s="12"/>
      <c r="HGJ55" s="12"/>
      <c r="HGK55" s="12"/>
      <c r="HGL55" s="12"/>
      <c r="HGM55" s="12"/>
      <c r="HGN55" s="12"/>
      <c r="HGO55" s="12"/>
      <c r="HGP55" s="12"/>
      <c r="HGQ55" s="12"/>
      <c r="HGR55" s="12"/>
      <c r="HGS55" s="12"/>
      <c r="HGT55" s="12"/>
      <c r="HGU55" s="12"/>
      <c r="HGV55" s="12"/>
      <c r="HGW55" s="12"/>
      <c r="HGX55" s="12"/>
      <c r="HGY55" s="12"/>
      <c r="HGZ55" s="12"/>
      <c r="HHA55" s="12"/>
      <c r="HHB55" s="12"/>
      <c r="HHC55" s="12"/>
      <c r="HHD55" s="12"/>
      <c r="HHE55" s="12"/>
      <c r="HHF55" s="12"/>
      <c r="HHG55" s="12"/>
      <c r="HHH55" s="12"/>
      <c r="HHI55" s="12"/>
      <c r="HHJ55" s="12"/>
      <c r="HHK55" s="12"/>
      <c r="HHL55" s="12"/>
      <c r="HHM55" s="12"/>
      <c r="HHN55" s="12"/>
      <c r="HHO55" s="12"/>
      <c r="HHP55" s="12"/>
      <c r="HHQ55" s="12"/>
      <c r="HHR55" s="12"/>
      <c r="HHS55" s="12"/>
      <c r="HHT55" s="12"/>
      <c r="HHU55" s="12"/>
      <c r="HHV55" s="12"/>
      <c r="HHW55" s="12"/>
      <c r="HHX55" s="12"/>
      <c r="HHY55" s="12"/>
      <c r="HHZ55" s="12"/>
      <c r="HIA55" s="12"/>
      <c r="HIB55" s="12"/>
      <c r="HIC55" s="12"/>
      <c r="HID55" s="12"/>
      <c r="HIE55" s="12"/>
      <c r="HIF55" s="12"/>
      <c r="HIG55" s="12"/>
      <c r="HIH55" s="12"/>
      <c r="HII55" s="12"/>
      <c r="HIJ55" s="12"/>
      <c r="HIK55" s="12"/>
      <c r="HIL55" s="12"/>
      <c r="HIM55" s="12"/>
      <c r="HIN55" s="12"/>
      <c r="HIO55" s="12"/>
      <c r="HIP55" s="12"/>
      <c r="HIQ55" s="12"/>
      <c r="HIR55" s="12"/>
      <c r="HIS55" s="12"/>
      <c r="HIT55" s="12"/>
      <c r="HIU55" s="12"/>
      <c r="HIV55" s="12"/>
      <c r="HIW55" s="12"/>
      <c r="HIX55" s="12"/>
      <c r="HIY55" s="12"/>
      <c r="HIZ55" s="12"/>
      <c r="HJA55" s="12"/>
      <c r="HJB55" s="12"/>
      <c r="HJC55" s="12"/>
      <c r="HJD55" s="12"/>
      <c r="HJE55" s="12"/>
      <c r="HJF55" s="12"/>
      <c r="HJG55" s="12"/>
      <c r="HJH55" s="12"/>
      <c r="HJI55" s="12"/>
      <c r="HJJ55" s="12"/>
      <c r="HJK55" s="12"/>
      <c r="HJL55" s="12"/>
      <c r="HJM55" s="12"/>
      <c r="HJN55" s="12"/>
      <c r="HJO55" s="12"/>
      <c r="HJP55" s="12"/>
      <c r="HJQ55" s="12"/>
      <c r="HJR55" s="12"/>
      <c r="HJS55" s="12"/>
      <c r="HJT55" s="12"/>
      <c r="HJU55" s="12"/>
      <c r="HJV55" s="12"/>
      <c r="HJW55" s="12"/>
      <c r="HJX55" s="12"/>
      <c r="HJY55" s="12"/>
      <c r="HJZ55" s="12"/>
      <c r="HKA55" s="12"/>
      <c r="HKB55" s="12"/>
      <c r="HKC55" s="12"/>
      <c r="HKD55" s="12"/>
      <c r="HKE55" s="12"/>
      <c r="HKF55" s="12"/>
      <c r="HKG55" s="12"/>
      <c r="HKH55" s="12"/>
      <c r="HKI55" s="12"/>
      <c r="HKJ55" s="12"/>
      <c r="HKK55" s="12"/>
      <c r="HKL55" s="12"/>
      <c r="HKM55" s="12"/>
      <c r="HKN55" s="12"/>
      <c r="HKO55" s="12"/>
      <c r="HKP55" s="12"/>
      <c r="HKQ55" s="12"/>
      <c r="HKR55" s="12"/>
      <c r="HKS55" s="12"/>
      <c r="HKT55" s="12"/>
      <c r="HKU55" s="12"/>
      <c r="HKV55" s="12"/>
      <c r="HKW55" s="12"/>
      <c r="HKX55" s="12"/>
      <c r="HKY55" s="12"/>
      <c r="HKZ55" s="12"/>
      <c r="HLA55" s="12"/>
      <c r="HLB55" s="12"/>
      <c r="HLC55" s="12"/>
      <c r="HLD55" s="12"/>
      <c r="HLE55" s="12"/>
      <c r="HLF55" s="12"/>
      <c r="HLG55" s="12"/>
      <c r="HLH55" s="12"/>
      <c r="HLI55" s="12"/>
      <c r="HLJ55" s="12"/>
      <c r="HLK55" s="12"/>
      <c r="HLL55" s="12"/>
      <c r="HLM55" s="12"/>
      <c r="HLN55" s="12"/>
      <c r="HLO55" s="12"/>
      <c r="HLP55" s="12"/>
      <c r="HLQ55" s="12"/>
      <c r="HLR55" s="12"/>
      <c r="HLS55" s="12"/>
      <c r="HLT55" s="12"/>
      <c r="HLU55" s="12"/>
      <c r="HLV55" s="12"/>
      <c r="HLW55" s="12"/>
      <c r="HLX55" s="12"/>
      <c r="HLY55" s="12"/>
      <c r="HLZ55" s="12"/>
      <c r="HMA55" s="12"/>
      <c r="HMB55" s="12"/>
      <c r="HMC55" s="12"/>
      <c r="HMD55" s="12"/>
      <c r="HME55" s="12"/>
      <c r="HMF55" s="12"/>
      <c r="HMG55" s="12"/>
      <c r="HMH55" s="12"/>
      <c r="HMI55" s="12"/>
      <c r="HMJ55" s="12"/>
      <c r="HMK55" s="12"/>
      <c r="HML55" s="12"/>
      <c r="HMM55" s="12"/>
      <c r="HMN55" s="12"/>
      <c r="HMO55" s="12"/>
      <c r="HMP55" s="12"/>
      <c r="HMQ55" s="12"/>
      <c r="HMR55" s="12"/>
      <c r="HMS55" s="12"/>
      <c r="HMT55" s="12"/>
      <c r="HMU55" s="12"/>
      <c r="HMV55" s="12"/>
      <c r="HMW55" s="12"/>
      <c r="HMX55" s="12"/>
      <c r="HMY55" s="12"/>
      <c r="HMZ55" s="12"/>
      <c r="HNA55" s="12"/>
      <c r="HNB55" s="12"/>
      <c r="HNC55" s="12"/>
      <c r="HND55" s="12"/>
      <c r="HNE55" s="12"/>
      <c r="HNF55" s="12"/>
      <c r="HNG55" s="12"/>
      <c r="HNH55" s="12"/>
      <c r="HNI55" s="12"/>
      <c r="HNJ55" s="12"/>
      <c r="HNK55" s="12"/>
      <c r="HNL55" s="12"/>
      <c r="HNM55" s="12"/>
      <c r="HNN55" s="12"/>
      <c r="HNO55" s="12"/>
      <c r="HNP55" s="12"/>
      <c r="HNQ55" s="12"/>
      <c r="HNR55" s="12"/>
      <c r="HNS55" s="12"/>
      <c r="HNT55" s="12"/>
      <c r="HNU55" s="12"/>
      <c r="HNV55" s="12"/>
      <c r="HNW55" s="12"/>
      <c r="HNX55" s="12"/>
      <c r="HNY55" s="12"/>
      <c r="HNZ55" s="12"/>
      <c r="HOA55" s="12"/>
      <c r="HOB55" s="12"/>
      <c r="HOC55" s="12"/>
      <c r="HOD55" s="12"/>
      <c r="HOE55" s="12"/>
      <c r="HOF55" s="12"/>
      <c r="HOG55" s="12"/>
      <c r="HOH55" s="12"/>
      <c r="HOI55" s="12"/>
      <c r="HOJ55" s="12"/>
      <c r="HOK55" s="12"/>
      <c r="HOL55" s="12"/>
      <c r="HOM55" s="12"/>
      <c r="HON55" s="12"/>
      <c r="HOO55" s="12"/>
      <c r="HOP55" s="12"/>
      <c r="HOQ55" s="12"/>
      <c r="HOR55" s="12"/>
      <c r="HOS55" s="12"/>
      <c r="HOT55" s="12"/>
      <c r="HOU55" s="12"/>
      <c r="HOV55" s="12"/>
      <c r="HOW55" s="12"/>
      <c r="HOX55" s="12"/>
      <c r="HOY55" s="12"/>
      <c r="HOZ55" s="12"/>
      <c r="HPA55" s="12"/>
      <c r="HPB55" s="12"/>
      <c r="HPC55" s="12"/>
      <c r="HPD55" s="12"/>
      <c r="HPE55" s="12"/>
      <c r="HPF55" s="12"/>
      <c r="HPG55" s="12"/>
      <c r="HPH55" s="12"/>
      <c r="HPI55" s="12"/>
      <c r="HPJ55" s="12"/>
      <c r="HPK55" s="12"/>
      <c r="HPL55" s="12"/>
      <c r="HPM55" s="12"/>
      <c r="HPN55" s="12"/>
      <c r="HPO55" s="12"/>
      <c r="HPP55" s="12"/>
      <c r="HPQ55" s="12"/>
      <c r="HPR55" s="12"/>
      <c r="HPS55" s="12"/>
      <c r="HPT55" s="12"/>
      <c r="HPU55" s="12"/>
      <c r="HPV55" s="12"/>
      <c r="HPW55" s="12"/>
      <c r="HPX55" s="12"/>
      <c r="HPY55" s="12"/>
      <c r="HPZ55" s="12"/>
      <c r="HQA55" s="12"/>
      <c r="HQB55" s="12"/>
      <c r="HQC55" s="12"/>
      <c r="HQD55" s="12"/>
      <c r="HQE55" s="12"/>
      <c r="HQF55" s="12"/>
      <c r="HQG55" s="12"/>
      <c r="HQH55" s="12"/>
      <c r="HQI55" s="12"/>
      <c r="HQJ55" s="12"/>
      <c r="HQK55" s="12"/>
      <c r="HQL55" s="12"/>
      <c r="HQM55" s="12"/>
      <c r="HQN55" s="12"/>
      <c r="HQO55" s="12"/>
      <c r="HQP55" s="12"/>
      <c r="HQQ55" s="12"/>
      <c r="HQR55" s="12"/>
      <c r="HQS55" s="12"/>
      <c r="HQT55" s="12"/>
      <c r="HQU55" s="12"/>
      <c r="HQV55" s="12"/>
      <c r="HQW55" s="12"/>
      <c r="HQX55" s="12"/>
      <c r="HQY55" s="12"/>
      <c r="HQZ55" s="12"/>
      <c r="HRA55" s="12"/>
      <c r="HRB55" s="12"/>
      <c r="HRC55" s="12"/>
      <c r="HRD55" s="12"/>
      <c r="HRE55" s="12"/>
      <c r="HRF55" s="12"/>
      <c r="HRG55" s="12"/>
      <c r="HRH55" s="12"/>
      <c r="HRI55" s="12"/>
      <c r="HRJ55" s="12"/>
      <c r="HRK55" s="12"/>
      <c r="HRL55" s="12"/>
      <c r="HRM55" s="12"/>
      <c r="HRN55" s="12"/>
      <c r="HRO55" s="12"/>
      <c r="HRP55" s="12"/>
      <c r="HRQ55" s="12"/>
      <c r="HRR55" s="12"/>
      <c r="HRS55" s="12"/>
      <c r="HRT55" s="12"/>
      <c r="HRU55" s="12"/>
      <c r="HRV55" s="12"/>
      <c r="HRW55" s="12"/>
      <c r="HRX55" s="12"/>
      <c r="HRY55" s="12"/>
      <c r="HRZ55" s="12"/>
      <c r="HSA55" s="12"/>
      <c r="HSB55" s="12"/>
      <c r="HSC55" s="12"/>
      <c r="HSD55" s="12"/>
      <c r="HSE55" s="12"/>
      <c r="HSF55" s="12"/>
      <c r="HSG55" s="12"/>
      <c r="HSH55" s="12"/>
      <c r="HSI55" s="12"/>
      <c r="HSJ55" s="12"/>
      <c r="HSK55" s="12"/>
      <c r="HSL55" s="12"/>
      <c r="HSM55" s="12"/>
      <c r="HSN55" s="12"/>
      <c r="HSO55" s="12"/>
      <c r="HSP55" s="12"/>
      <c r="HSQ55" s="12"/>
      <c r="HSR55" s="12"/>
      <c r="HSS55" s="12"/>
      <c r="HST55" s="12"/>
      <c r="HSU55" s="12"/>
      <c r="HSV55" s="12"/>
      <c r="HSW55" s="12"/>
      <c r="HSX55" s="12"/>
      <c r="HSY55" s="12"/>
      <c r="HSZ55" s="12"/>
      <c r="HTA55" s="12"/>
      <c r="HTB55" s="12"/>
      <c r="HTC55" s="12"/>
      <c r="HTD55" s="12"/>
      <c r="HTE55" s="12"/>
      <c r="HTF55" s="12"/>
      <c r="HTG55" s="12"/>
      <c r="HTH55" s="12"/>
      <c r="HTI55" s="12"/>
      <c r="HTJ55" s="12"/>
      <c r="HTK55" s="12"/>
      <c r="HTL55" s="12"/>
      <c r="HTM55" s="12"/>
      <c r="HTN55" s="12"/>
      <c r="HTO55" s="12"/>
      <c r="HTP55" s="12"/>
      <c r="HTQ55" s="12"/>
      <c r="HTR55" s="12"/>
      <c r="HTS55" s="12"/>
      <c r="HTT55" s="12"/>
      <c r="HTU55" s="12"/>
      <c r="HTV55" s="12"/>
      <c r="HTW55" s="12"/>
      <c r="HTX55" s="12"/>
      <c r="HTY55" s="12"/>
      <c r="HTZ55" s="12"/>
      <c r="HUA55" s="12"/>
      <c r="HUB55" s="12"/>
      <c r="HUC55" s="12"/>
      <c r="HUD55" s="12"/>
      <c r="HUE55" s="12"/>
      <c r="HUF55" s="12"/>
      <c r="HUG55" s="12"/>
      <c r="HUH55" s="12"/>
      <c r="HUI55" s="12"/>
      <c r="HUJ55" s="12"/>
      <c r="HUK55" s="12"/>
      <c r="HUL55" s="12"/>
      <c r="HUM55" s="12"/>
      <c r="HUN55" s="12"/>
      <c r="HUO55" s="12"/>
      <c r="HUP55" s="12"/>
      <c r="HUQ55" s="12"/>
      <c r="HUR55" s="12"/>
      <c r="HUS55" s="12"/>
      <c r="HUT55" s="12"/>
      <c r="HUU55" s="12"/>
      <c r="HUV55" s="12"/>
      <c r="HUW55" s="12"/>
      <c r="HUX55" s="12"/>
      <c r="HUY55" s="12"/>
      <c r="HUZ55" s="12"/>
      <c r="HVA55" s="12"/>
      <c r="HVB55" s="12"/>
      <c r="HVC55" s="12"/>
      <c r="HVD55" s="12"/>
      <c r="HVE55" s="12"/>
      <c r="HVF55" s="12"/>
      <c r="HVG55" s="12"/>
      <c r="HVH55" s="12"/>
      <c r="HVI55" s="12"/>
      <c r="HVJ55" s="12"/>
      <c r="HVK55" s="12"/>
      <c r="HVL55" s="12"/>
      <c r="HVM55" s="12"/>
      <c r="HVN55" s="12"/>
      <c r="HVO55" s="12"/>
      <c r="HVP55" s="12"/>
      <c r="HVQ55" s="12"/>
      <c r="HVR55" s="12"/>
      <c r="HVS55" s="12"/>
      <c r="HVT55" s="12"/>
      <c r="HVU55" s="12"/>
      <c r="HVV55" s="12"/>
      <c r="HVW55" s="12"/>
      <c r="HVX55" s="12"/>
      <c r="HVY55" s="12"/>
      <c r="HVZ55" s="12"/>
      <c r="HWA55" s="12"/>
      <c r="HWB55" s="12"/>
      <c r="HWC55" s="12"/>
      <c r="HWD55" s="12"/>
      <c r="HWE55" s="12"/>
      <c r="HWF55" s="12"/>
      <c r="HWG55" s="12"/>
      <c r="HWH55" s="12"/>
      <c r="HWI55" s="12"/>
      <c r="HWJ55" s="12"/>
      <c r="HWK55" s="12"/>
      <c r="HWL55" s="12"/>
      <c r="HWM55" s="12"/>
      <c r="HWN55" s="12"/>
      <c r="HWO55" s="12"/>
      <c r="HWP55" s="12"/>
      <c r="HWQ55" s="12"/>
      <c r="HWR55" s="12"/>
      <c r="HWS55" s="12"/>
      <c r="HWT55" s="12"/>
      <c r="HWU55" s="12"/>
      <c r="HWV55" s="12"/>
      <c r="HWW55" s="12"/>
      <c r="HWX55" s="12"/>
      <c r="HWY55" s="12"/>
      <c r="HWZ55" s="12"/>
      <c r="HXA55" s="12"/>
      <c r="HXB55" s="12"/>
      <c r="HXC55" s="12"/>
      <c r="HXD55" s="12"/>
      <c r="HXE55" s="12"/>
      <c r="HXF55" s="12"/>
      <c r="HXG55" s="12"/>
      <c r="HXH55" s="12"/>
      <c r="HXI55" s="12"/>
      <c r="HXJ55" s="12"/>
      <c r="HXK55" s="12"/>
      <c r="HXL55" s="12"/>
      <c r="HXM55" s="12"/>
      <c r="HXN55" s="12"/>
      <c r="HXO55" s="12"/>
      <c r="HXP55" s="12"/>
      <c r="HXQ55" s="12"/>
      <c r="HXR55" s="12"/>
      <c r="HXS55" s="12"/>
      <c r="HXT55" s="12"/>
      <c r="HXU55" s="12"/>
      <c r="HXV55" s="12"/>
      <c r="HXW55" s="12"/>
      <c r="HXX55" s="12"/>
      <c r="HXY55" s="12"/>
      <c r="HXZ55" s="12"/>
      <c r="HYA55" s="12"/>
      <c r="HYB55" s="12"/>
      <c r="HYC55" s="12"/>
      <c r="HYD55" s="12"/>
      <c r="HYE55" s="12"/>
      <c r="HYF55" s="12"/>
      <c r="HYG55" s="12"/>
      <c r="HYH55" s="12"/>
      <c r="HYI55" s="12"/>
      <c r="HYJ55" s="12"/>
      <c r="HYK55" s="12"/>
      <c r="HYL55" s="12"/>
      <c r="HYM55" s="12"/>
      <c r="HYN55" s="12"/>
      <c r="HYO55" s="12"/>
      <c r="HYP55" s="12"/>
      <c r="HYQ55" s="12"/>
      <c r="HYR55" s="12"/>
      <c r="HYS55" s="12"/>
      <c r="HYT55" s="12"/>
      <c r="HYU55" s="12"/>
      <c r="HYV55" s="12"/>
      <c r="HYW55" s="12"/>
      <c r="HYX55" s="12"/>
      <c r="HYY55" s="12"/>
      <c r="HYZ55" s="12"/>
      <c r="HZA55" s="12"/>
      <c r="HZB55" s="12"/>
      <c r="HZC55" s="12"/>
      <c r="HZD55" s="12"/>
      <c r="HZE55" s="12"/>
      <c r="HZF55" s="12"/>
      <c r="HZG55" s="12"/>
      <c r="HZH55" s="12"/>
      <c r="HZI55" s="12"/>
      <c r="HZJ55" s="12"/>
      <c r="HZK55" s="12"/>
      <c r="HZL55" s="12"/>
      <c r="HZM55" s="12"/>
      <c r="HZN55" s="12"/>
      <c r="HZO55" s="12"/>
      <c r="HZP55" s="12"/>
      <c r="HZQ55" s="12"/>
      <c r="HZR55" s="12"/>
      <c r="HZS55" s="12"/>
      <c r="HZT55" s="12"/>
      <c r="HZU55" s="12"/>
      <c r="HZV55" s="12"/>
      <c r="HZW55" s="12"/>
      <c r="HZX55" s="12"/>
      <c r="HZY55" s="12"/>
      <c r="HZZ55" s="12"/>
      <c r="IAA55" s="12"/>
      <c r="IAB55" s="12"/>
      <c r="IAC55" s="12"/>
      <c r="IAD55" s="12"/>
      <c r="IAE55" s="12"/>
      <c r="IAF55" s="12"/>
      <c r="IAG55" s="12"/>
      <c r="IAH55" s="12"/>
      <c r="IAI55" s="12"/>
      <c r="IAJ55" s="12"/>
      <c r="IAK55" s="12"/>
      <c r="IAL55" s="12"/>
      <c r="IAM55" s="12"/>
      <c r="IAN55" s="12"/>
      <c r="IAO55" s="12"/>
      <c r="IAP55" s="12"/>
      <c r="IAQ55" s="12"/>
      <c r="IAR55" s="12"/>
      <c r="IAS55" s="12"/>
      <c r="IAT55" s="12"/>
      <c r="IAU55" s="12"/>
      <c r="IAV55" s="12"/>
      <c r="IAW55" s="12"/>
      <c r="IAX55" s="12"/>
      <c r="IAY55" s="12"/>
      <c r="IAZ55" s="12"/>
      <c r="IBA55" s="12"/>
      <c r="IBB55" s="12"/>
      <c r="IBC55" s="12"/>
      <c r="IBD55" s="12"/>
      <c r="IBE55" s="12"/>
      <c r="IBF55" s="12"/>
      <c r="IBG55" s="12"/>
      <c r="IBH55" s="12"/>
      <c r="IBI55" s="12"/>
      <c r="IBJ55" s="12"/>
      <c r="IBK55" s="12"/>
      <c r="IBL55" s="12"/>
      <c r="IBM55" s="12"/>
      <c r="IBN55" s="12"/>
      <c r="IBO55" s="12"/>
      <c r="IBP55" s="12"/>
      <c r="IBQ55" s="12"/>
      <c r="IBR55" s="12"/>
      <c r="IBS55" s="12"/>
      <c r="IBT55" s="12"/>
      <c r="IBU55" s="12"/>
      <c r="IBV55" s="12"/>
      <c r="IBW55" s="12"/>
      <c r="IBX55" s="12"/>
      <c r="IBY55" s="12"/>
      <c r="IBZ55" s="12"/>
      <c r="ICA55" s="12"/>
      <c r="ICB55" s="12"/>
      <c r="ICC55" s="12"/>
      <c r="ICD55" s="12"/>
      <c r="ICE55" s="12"/>
      <c r="ICF55" s="12"/>
      <c r="ICG55" s="12"/>
      <c r="ICH55" s="12"/>
      <c r="ICI55" s="12"/>
      <c r="ICJ55" s="12"/>
      <c r="ICK55" s="12"/>
      <c r="ICL55" s="12"/>
      <c r="ICM55" s="12"/>
      <c r="ICN55" s="12"/>
      <c r="ICO55" s="12"/>
      <c r="ICP55" s="12"/>
      <c r="ICQ55" s="12"/>
      <c r="ICR55" s="12"/>
      <c r="ICS55" s="12"/>
      <c r="ICT55" s="12"/>
      <c r="ICU55" s="12"/>
      <c r="ICV55" s="12"/>
      <c r="ICW55" s="12"/>
      <c r="ICX55" s="12"/>
      <c r="ICY55" s="12"/>
      <c r="ICZ55" s="12"/>
      <c r="IDA55" s="12"/>
      <c r="IDB55" s="12"/>
      <c r="IDC55" s="12"/>
      <c r="IDD55" s="12"/>
      <c r="IDE55" s="12"/>
      <c r="IDF55" s="12"/>
      <c r="IDG55" s="12"/>
      <c r="IDH55" s="12"/>
      <c r="IDI55" s="12"/>
      <c r="IDJ55" s="12"/>
      <c r="IDK55" s="12"/>
      <c r="IDL55" s="12"/>
      <c r="IDM55" s="12"/>
      <c r="IDN55" s="12"/>
      <c r="IDO55" s="12"/>
      <c r="IDP55" s="12"/>
      <c r="IDQ55" s="12"/>
      <c r="IDR55" s="12"/>
      <c r="IDS55" s="12"/>
      <c r="IDT55" s="12"/>
      <c r="IDU55" s="12"/>
      <c r="IDV55" s="12"/>
      <c r="IDW55" s="12"/>
      <c r="IDX55" s="12"/>
      <c r="IDY55" s="12"/>
      <c r="IDZ55" s="12"/>
      <c r="IEA55" s="12"/>
      <c r="IEB55" s="12"/>
      <c r="IEC55" s="12"/>
      <c r="IED55" s="12"/>
      <c r="IEE55" s="12"/>
      <c r="IEF55" s="12"/>
      <c r="IEG55" s="12"/>
      <c r="IEH55" s="12"/>
      <c r="IEI55" s="12"/>
      <c r="IEJ55" s="12"/>
      <c r="IEK55" s="12"/>
      <c r="IEL55" s="12"/>
      <c r="IEM55" s="12"/>
      <c r="IEN55" s="12"/>
      <c r="IEO55" s="12"/>
      <c r="IEP55" s="12"/>
      <c r="IEQ55" s="12"/>
      <c r="IER55" s="12"/>
      <c r="IES55" s="12"/>
      <c r="IET55" s="12"/>
      <c r="IEU55" s="12"/>
      <c r="IEV55" s="12"/>
      <c r="IEW55" s="12"/>
      <c r="IEX55" s="12"/>
      <c r="IEY55" s="12"/>
      <c r="IEZ55" s="12"/>
      <c r="IFA55" s="12"/>
      <c r="IFB55" s="12"/>
      <c r="IFC55" s="12"/>
      <c r="IFD55" s="12"/>
      <c r="IFE55" s="12"/>
      <c r="IFF55" s="12"/>
      <c r="IFG55" s="12"/>
      <c r="IFH55" s="12"/>
      <c r="IFI55" s="12"/>
      <c r="IFJ55" s="12"/>
      <c r="IFK55" s="12"/>
      <c r="IFL55" s="12"/>
      <c r="IFM55" s="12"/>
      <c r="IFN55" s="12"/>
      <c r="IFO55" s="12"/>
      <c r="IFP55" s="12"/>
      <c r="IFQ55" s="12"/>
      <c r="IFR55" s="12"/>
      <c r="IFS55" s="12"/>
      <c r="IFT55" s="12"/>
      <c r="IFU55" s="12"/>
      <c r="IFV55" s="12"/>
      <c r="IFW55" s="12"/>
      <c r="IFX55" s="12"/>
      <c r="IFY55" s="12"/>
      <c r="IFZ55" s="12"/>
      <c r="IGA55" s="12"/>
      <c r="IGB55" s="12"/>
      <c r="IGC55" s="12"/>
      <c r="IGD55" s="12"/>
      <c r="IGE55" s="12"/>
      <c r="IGF55" s="12"/>
      <c r="IGG55" s="12"/>
      <c r="IGH55" s="12"/>
      <c r="IGI55" s="12"/>
      <c r="IGJ55" s="12"/>
      <c r="IGK55" s="12"/>
      <c r="IGL55" s="12"/>
      <c r="IGM55" s="12"/>
      <c r="IGN55" s="12"/>
      <c r="IGO55" s="12"/>
      <c r="IGP55" s="12"/>
      <c r="IGQ55" s="12"/>
      <c r="IGR55" s="12"/>
      <c r="IGS55" s="12"/>
      <c r="IGT55" s="12"/>
      <c r="IGU55" s="12"/>
      <c r="IGV55" s="12"/>
      <c r="IGW55" s="12"/>
      <c r="IGX55" s="12"/>
      <c r="IGY55" s="12"/>
      <c r="IGZ55" s="12"/>
      <c r="IHA55" s="12"/>
      <c r="IHB55" s="12"/>
      <c r="IHC55" s="12"/>
      <c r="IHD55" s="12"/>
      <c r="IHE55" s="12"/>
      <c r="IHF55" s="12"/>
      <c r="IHG55" s="12"/>
      <c r="IHH55" s="12"/>
      <c r="IHI55" s="12"/>
      <c r="IHJ55" s="12"/>
      <c r="IHK55" s="12"/>
      <c r="IHL55" s="12"/>
      <c r="IHM55" s="12"/>
      <c r="IHN55" s="12"/>
      <c r="IHO55" s="12"/>
      <c r="IHP55" s="12"/>
      <c r="IHQ55" s="12"/>
      <c r="IHR55" s="12"/>
      <c r="IHS55" s="12"/>
      <c r="IHT55" s="12"/>
      <c r="IHU55" s="12"/>
      <c r="IHV55" s="12"/>
      <c r="IHW55" s="12"/>
      <c r="IHX55" s="12"/>
      <c r="IHY55" s="12"/>
      <c r="IHZ55" s="12"/>
      <c r="IIA55" s="12"/>
      <c r="IIB55" s="12"/>
      <c r="IIC55" s="12"/>
      <c r="IID55" s="12"/>
      <c r="IIE55" s="12"/>
      <c r="IIF55" s="12"/>
      <c r="IIG55" s="12"/>
      <c r="IIH55" s="12"/>
      <c r="III55" s="12"/>
      <c r="IIJ55" s="12"/>
      <c r="IIK55" s="12"/>
      <c r="IIL55" s="12"/>
      <c r="IIM55" s="12"/>
      <c r="IIN55" s="12"/>
      <c r="IIO55" s="12"/>
      <c r="IIP55" s="12"/>
      <c r="IIQ55" s="12"/>
      <c r="IIR55" s="12"/>
      <c r="IIS55" s="12"/>
      <c r="IIT55" s="12"/>
      <c r="IIU55" s="12"/>
      <c r="IIV55" s="12"/>
      <c r="IIW55" s="12"/>
      <c r="IIX55" s="12"/>
      <c r="IIY55" s="12"/>
      <c r="IIZ55" s="12"/>
      <c r="IJA55" s="12"/>
      <c r="IJB55" s="12"/>
      <c r="IJC55" s="12"/>
      <c r="IJD55" s="12"/>
      <c r="IJE55" s="12"/>
      <c r="IJF55" s="12"/>
      <c r="IJG55" s="12"/>
      <c r="IJH55" s="12"/>
      <c r="IJI55" s="12"/>
      <c r="IJJ55" s="12"/>
      <c r="IJK55" s="12"/>
      <c r="IJL55" s="12"/>
      <c r="IJM55" s="12"/>
      <c r="IJN55" s="12"/>
      <c r="IJO55" s="12"/>
      <c r="IJP55" s="12"/>
      <c r="IJQ55" s="12"/>
      <c r="IJR55" s="12"/>
      <c r="IJS55" s="12"/>
      <c r="IJT55" s="12"/>
      <c r="IJU55" s="12"/>
      <c r="IJV55" s="12"/>
      <c r="IJW55" s="12"/>
      <c r="IJX55" s="12"/>
      <c r="IJY55" s="12"/>
      <c r="IJZ55" s="12"/>
      <c r="IKA55" s="12"/>
      <c r="IKB55" s="12"/>
      <c r="IKC55" s="12"/>
      <c r="IKD55" s="12"/>
      <c r="IKE55" s="12"/>
      <c r="IKF55" s="12"/>
      <c r="IKG55" s="12"/>
      <c r="IKH55" s="12"/>
      <c r="IKI55" s="12"/>
      <c r="IKJ55" s="12"/>
      <c r="IKK55" s="12"/>
      <c r="IKL55" s="12"/>
      <c r="IKM55" s="12"/>
      <c r="IKN55" s="12"/>
      <c r="IKO55" s="12"/>
      <c r="IKP55" s="12"/>
      <c r="IKQ55" s="12"/>
      <c r="IKR55" s="12"/>
      <c r="IKS55" s="12"/>
      <c r="IKT55" s="12"/>
      <c r="IKU55" s="12"/>
      <c r="IKV55" s="12"/>
      <c r="IKW55" s="12"/>
      <c r="IKX55" s="12"/>
      <c r="IKY55" s="12"/>
      <c r="IKZ55" s="12"/>
      <c r="ILA55" s="12"/>
      <c r="ILB55" s="12"/>
      <c r="ILC55" s="12"/>
      <c r="ILD55" s="12"/>
      <c r="ILE55" s="12"/>
      <c r="ILF55" s="12"/>
      <c r="ILG55" s="12"/>
      <c r="ILH55" s="12"/>
      <c r="ILI55" s="12"/>
      <c r="ILJ55" s="12"/>
      <c r="ILK55" s="12"/>
      <c r="ILL55" s="12"/>
      <c r="ILM55" s="12"/>
      <c r="ILN55" s="12"/>
      <c r="ILO55" s="12"/>
      <c r="ILP55" s="12"/>
      <c r="ILQ55" s="12"/>
      <c r="ILR55" s="12"/>
      <c r="ILS55" s="12"/>
      <c r="ILT55" s="12"/>
      <c r="ILU55" s="12"/>
      <c r="ILV55" s="12"/>
      <c r="ILW55" s="12"/>
      <c r="ILX55" s="12"/>
      <c r="ILY55" s="12"/>
      <c r="ILZ55" s="12"/>
      <c r="IMA55" s="12"/>
      <c r="IMB55" s="12"/>
      <c r="IMC55" s="12"/>
      <c r="IMD55" s="12"/>
      <c r="IME55" s="12"/>
      <c r="IMF55" s="12"/>
      <c r="IMG55" s="12"/>
      <c r="IMH55" s="12"/>
      <c r="IMI55" s="12"/>
      <c r="IMJ55" s="12"/>
      <c r="IMK55" s="12"/>
      <c r="IML55" s="12"/>
      <c r="IMM55" s="12"/>
      <c r="IMN55" s="12"/>
      <c r="IMO55" s="12"/>
      <c r="IMP55" s="12"/>
      <c r="IMQ55" s="12"/>
      <c r="IMR55" s="12"/>
      <c r="IMS55" s="12"/>
      <c r="IMT55" s="12"/>
      <c r="IMU55" s="12"/>
      <c r="IMV55" s="12"/>
      <c r="IMW55" s="12"/>
      <c r="IMX55" s="12"/>
      <c r="IMY55" s="12"/>
      <c r="IMZ55" s="12"/>
      <c r="INA55" s="12"/>
      <c r="INB55" s="12"/>
      <c r="INC55" s="12"/>
      <c r="IND55" s="12"/>
      <c r="INE55" s="12"/>
      <c r="INF55" s="12"/>
      <c r="ING55" s="12"/>
      <c r="INH55" s="12"/>
      <c r="INI55" s="12"/>
      <c r="INJ55" s="12"/>
      <c r="INK55" s="12"/>
      <c r="INL55" s="12"/>
      <c r="INM55" s="12"/>
      <c r="INN55" s="12"/>
      <c r="INO55" s="12"/>
      <c r="INP55" s="12"/>
      <c r="INQ55" s="12"/>
      <c r="INR55" s="12"/>
      <c r="INS55" s="12"/>
      <c r="INT55" s="12"/>
      <c r="INU55" s="12"/>
      <c r="INV55" s="12"/>
      <c r="INW55" s="12"/>
      <c r="INX55" s="12"/>
      <c r="INY55" s="12"/>
      <c r="INZ55" s="12"/>
      <c r="IOA55" s="12"/>
      <c r="IOB55" s="12"/>
      <c r="IOC55" s="12"/>
      <c r="IOD55" s="12"/>
      <c r="IOE55" s="12"/>
      <c r="IOF55" s="12"/>
      <c r="IOG55" s="12"/>
      <c r="IOH55" s="12"/>
      <c r="IOI55" s="12"/>
      <c r="IOJ55" s="12"/>
      <c r="IOK55" s="12"/>
      <c r="IOL55" s="12"/>
      <c r="IOM55" s="12"/>
      <c r="ION55" s="12"/>
      <c r="IOO55" s="12"/>
      <c r="IOP55" s="12"/>
      <c r="IOQ55" s="12"/>
      <c r="IOR55" s="12"/>
      <c r="IOS55" s="12"/>
      <c r="IOT55" s="12"/>
      <c r="IOU55" s="12"/>
      <c r="IOV55" s="12"/>
      <c r="IOW55" s="12"/>
      <c r="IOX55" s="12"/>
      <c r="IOY55" s="12"/>
      <c r="IOZ55" s="12"/>
      <c r="IPA55" s="12"/>
      <c r="IPB55" s="12"/>
      <c r="IPC55" s="12"/>
      <c r="IPD55" s="12"/>
      <c r="IPE55" s="12"/>
      <c r="IPF55" s="12"/>
      <c r="IPG55" s="12"/>
      <c r="IPH55" s="12"/>
      <c r="IPI55" s="12"/>
      <c r="IPJ55" s="12"/>
      <c r="IPK55" s="12"/>
      <c r="IPL55" s="12"/>
      <c r="IPM55" s="12"/>
      <c r="IPN55" s="12"/>
      <c r="IPO55" s="12"/>
      <c r="IPP55" s="12"/>
      <c r="IPQ55" s="12"/>
      <c r="IPR55" s="12"/>
      <c r="IPS55" s="12"/>
      <c r="IPT55" s="12"/>
      <c r="IPU55" s="12"/>
      <c r="IPV55" s="12"/>
      <c r="IPW55" s="12"/>
      <c r="IPX55" s="12"/>
      <c r="IPY55" s="12"/>
      <c r="IPZ55" s="12"/>
      <c r="IQA55" s="12"/>
      <c r="IQB55" s="12"/>
      <c r="IQC55" s="12"/>
      <c r="IQD55" s="12"/>
      <c r="IQE55" s="12"/>
      <c r="IQF55" s="12"/>
      <c r="IQG55" s="12"/>
      <c r="IQH55" s="12"/>
      <c r="IQI55" s="12"/>
      <c r="IQJ55" s="12"/>
      <c r="IQK55" s="12"/>
      <c r="IQL55" s="12"/>
      <c r="IQM55" s="12"/>
      <c r="IQN55" s="12"/>
      <c r="IQO55" s="12"/>
      <c r="IQP55" s="12"/>
      <c r="IQQ55" s="12"/>
      <c r="IQR55" s="12"/>
      <c r="IQS55" s="12"/>
      <c r="IQT55" s="12"/>
      <c r="IQU55" s="12"/>
      <c r="IQV55" s="12"/>
      <c r="IQW55" s="12"/>
      <c r="IQX55" s="12"/>
      <c r="IQY55" s="12"/>
      <c r="IQZ55" s="12"/>
      <c r="IRA55" s="12"/>
      <c r="IRB55" s="12"/>
      <c r="IRC55" s="12"/>
      <c r="IRD55" s="12"/>
      <c r="IRE55" s="12"/>
      <c r="IRF55" s="12"/>
      <c r="IRG55" s="12"/>
      <c r="IRH55" s="12"/>
      <c r="IRI55" s="12"/>
      <c r="IRJ55" s="12"/>
      <c r="IRK55" s="12"/>
      <c r="IRL55" s="12"/>
      <c r="IRM55" s="12"/>
      <c r="IRN55" s="12"/>
      <c r="IRO55" s="12"/>
      <c r="IRP55" s="12"/>
      <c r="IRQ55" s="12"/>
      <c r="IRR55" s="12"/>
      <c r="IRS55" s="12"/>
      <c r="IRT55" s="12"/>
      <c r="IRU55" s="12"/>
      <c r="IRV55" s="12"/>
      <c r="IRW55" s="12"/>
      <c r="IRX55" s="12"/>
      <c r="IRY55" s="12"/>
      <c r="IRZ55" s="12"/>
      <c r="ISA55" s="12"/>
      <c r="ISB55" s="12"/>
      <c r="ISC55" s="12"/>
      <c r="ISD55" s="12"/>
      <c r="ISE55" s="12"/>
      <c r="ISF55" s="12"/>
      <c r="ISG55" s="12"/>
      <c r="ISH55" s="12"/>
      <c r="ISI55" s="12"/>
      <c r="ISJ55" s="12"/>
      <c r="ISK55" s="12"/>
      <c r="ISL55" s="12"/>
      <c r="ISM55" s="12"/>
      <c r="ISN55" s="12"/>
      <c r="ISO55" s="12"/>
      <c r="ISP55" s="12"/>
      <c r="ISQ55" s="12"/>
      <c r="ISR55" s="12"/>
      <c r="ISS55" s="12"/>
      <c r="IST55" s="12"/>
      <c r="ISU55" s="12"/>
      <c r="ISV55" s="12"/>
      <c r="ISW55" s="12"/>
      <c r="ISX55" s="12"/>
      <c r="ISY55" s="12"/>
      <c r="ISZ55" s="12"/>
      <c r="ITA55" s="12"/>
      <c r="ITB55" s="12"/>
      <c r="ITC55" s="12"/>
      <c r="ITD55" s="12"/>
      <c r="ITE55" s="12"/>
      <c r="ITF55" s="12"/>
      <c r="ITG55" s="12"/>
      <c r="ITH55" s="12"/>
      <c r="ITI55" s="12"/>
      <c r="ITJ55" s="12"/>
      <c r="ITK55" s="12"/>
      <c r="ITL55" s="12"/>
      <c r="ITM55" s="12"/>
      <c r="ITN55" s="12"/>
      <c r="ITO55" s="12"/>
      <c r="ITP55" s="12"/>
      <c r="ITQ55" s="12"/>
      <c r="ITR55" s="12"/>
      <c r="ITS55" s="12"/>
      <c r="ITT55" s="12"/>
      <c r="ITU55" s="12"/>
      <c r="ITV55" s="12"/>
      <c r="ITW55" s="12"/>
      <c r="ITX55" s="12"/>
      <c r="ITY55" s="12"/>
      <c r="ITZ55" s="12"/>
      <c r="IUA55" s="12"/>
      <c r="IUB55" s="12"/>
      <c r="IUC55" s="12"/>
      <c r="IUD55" s="12"/>
      <c r="IUE55" s="12"/>
      <c r="IUF55" s="12"/>
      <c r="IUG55" s="12"/>
      <c r="IUH55" s="12"/>
      <c r="IUI55" s="12"/>
      <c r="IUJ55" s="12"/>
      <c r="IUK55" s="12"/>
      <c r="IUL55" s="12"/>
      <c r="IUM55" s="12"/>
      <c r="IUN55" s="12"/>
      <c r="IUO55" s="12"/>
      <c r="IUP55" s="12"/>
      <c r="IUQ55" s="12"/>
      <c r="IUR55" s="12"/>
      <c r="IUS55" s="12"/>
      <c r="IUT55" s="12"/>
      <c r="IUU55" s="12"/>
      <c r="IUV55" s="12"/>
      <c r="IUW55" s="12"/>
      <c r="IUX55" s="12"/>
      <c r="IUY55" s="12"/>
      <c r="IUZ55" s="12"/>
      <c r="IVA55" s="12"/>
      <c r="IVB55" s="12"/>
      <c r="IVC55" s="12"/>
      <c r="IVD55" s="12"/>
      <c r="IVE55" s="12"/>
      <c r="IVF55" s="12"/>
      <c r="IVG55" s="12"/>
      <c r="IVH55" s="12"/>
      <c r="IVI55" s="12"/>
      <c r="IVJ55" s="12"/>
      <c r="IVK55" s="12"/>
      <c r="IVL55" s="12"/>
      <c r="IVM55" s="12"/>
      <c r="IVN55" s="12"/>
      <c r="IVO55" s="12"/>
      <c r="IVP55" s="12"/>
      <c r="IVQ55" s="12"/>
      <c r="IVR55" s="12"/>
      <c r="IVS55" s="12"/>
      <c r="IVT55" s="12"/>
      <c r="IVU55" s="12"/>
      <c r="IVV55" s="12"/>
      <c r="IVW55" s="12"/>
      <c r="IVX55" s="12"/>
      <c r="IVY55" s="12"/>
      <c r="IVZ55" s="12"/>
      <c r="IWA55" s="12"/>
      <c r="IWB55" s="12"/>
      <c r="IWC55" s="12"/>
      <c r="IWD55" s="12"/>
      <c r="IWE55" s="12"/>
      <c r="IWF55" s="12"/>
      <c r="IWG55" s="12"/>
      <c r="IWH55" s="12"/>
      <c r="IWI55" s="12"/>
      <c r="IWJ55" s="12"/>
      <c r="IWK55" s="12"/>
      <c r="IWL55" s="12"/>
      <c r="IWM55" s="12"/>
      <c r="IWN55" s="12"/>
      <c r="IWO55" s="12"/>
      <c r="IWP55" s="12"/>
      <c r="IWQ55" s="12"/>
      <c r="IWR55" s="12"/>
      <c r="IWS55" s="12"/>
      <c r="IWT55" s="12"/>
      <c r="IWU55" s="12"/>
      <c r="IWV55" s="12"/>
      <c r="IWW55" s="12"/>
      <c r="IWX55" s="12"/>
      <c r="IWY55" s="12"/>
      <c r="IWZ55" s="12"/>
      <c r="IXA55" s="12"/>
      <c r="IXB55" s="12"/>
      <c r="IXC55" s="12"/>
      <c r="IXD55" s="12"/>
      <c r="IXE55" s="12"/>
      <c r="IXF55" s="12"/>
      <c r="IXG55" s="12"/>
      <c r="IXH55" s="12"/>
      <c r="IXI55" s="12"/>
      <c r="IXJ55" s="12"/>
      <c r="IXK55" s="12"/>
      <c r="IXL55" s="12"/>
      <c r="IXM55" s="12"/>
      <c r="IXN55" s="12"/>
      <c r="IXO55" s="12"/>
      <c r="IXP55" s="12"/>
      <c r="IXQ55" s="12"/>
      <c r="IXR55" s="12"/>
      <c r="IXS55" s="12"/>
      <c r="IXT55" s="12"/>
      <c r="IXU55" s="12"/>
      <c r="IXV55" s="12"/>
      <c r="IXW55" s="12"/>
      <c r="IXX55" s="12"/>
      <c r="IXY55" s="12"/>
      <c r="IXZ55" s="12"/>
      <c r="IYA55" s="12"/>
      <c r="IYB55" s="12"/>
      <c r="IYC55" s="12"/>
      <c r="IYD55" s="12"/>
      <c r="IYE55" s="12"/>
      <c r="IYF55" s="12"/>
      <c r="IYG55" s="12"/>
      <c r="IYH55" s="12"/>
      <c r="IYI55" s="12"/>
      <c r="IYJ55" s="12"/>
      <c r="IYK55" s="12"/>
      <c r="IYL55" s="12"/>
      <c r="IYM55" s="12"/>
      <c r="IYN55" s="12"/>
      <c r="IYO55" s="12"/>
      <c r="IYP55" s="12"/>
      <c r="IYQ55" s="12"/>
      <c r="IYR55" s="12"/>
      <c r="IYS55" s="12"/>
      <c r="IYT55" s="12"/>
      <c r="IYU55" s="12"/>
      <c r="IYV55" s="12"/>
      <c r="IYW55" s="12"/>
      <c r="IYX55" s="12"/>
      <c r="IYY55" s="12"/>
      <c r="IYZ55" s="12"/>
      <c r="IZA55" s="12"/>
      <c r="IZB55" s="12"/>
      <c r="IZC55" s="12"/>
      <c r="IZD55" s="12"/>
      <c r="IZE55" s="12"/>
      <c r="IZF55" s="12"/>
      <c r="IZG55" s="12"/>
      <c r="IZH55" s="12"/>
      <c r="IZI55" s="12"/>
      <c r="IZJ55" s="12"/>
      <c r="IZK55" s="12"/>
      <c r="IZL55" s="12"/>
      <c r="IZM55" s="12"/>
      <c r="IZN55" s="12"/>
      <c r="IZO55" s="12"/>
      <c r="IZP55" s="12"/>
      <c r="IZQ55" s="12"/>
      <c r="IZR55" s="12"/>
      <c r="IZS55" s="12"/>
      <c r="IZT55" s="12"/>
      <c r="IZU55" s="12"/>
      <c r="IZV55" s="12"/>
      <c r="IZW55" s="12"/>
      <c r="IZX55" s="12"/>
      <c r="IZY55" s="12"/>
      <c r="IZZ55" s="12"/>
      <c r="JAA55" s="12"/>
      <c r="JAB55" s="12"/>
      <c r="JAC55" s="12"/>
      <c r="JAD55" s="12"/>
      <c r="JAE55" s="12"/>
      <c r="JAF55" s="12"/>
      <c r="JAG55" s="12"/>
      <c r="JAH55" s="12"/>
      <c r="JAI55" s="12"/>
      <c r="JAJ55" s="12"/>
      <c r="JAK55" s="12"/>
      <c r="JAL55" s="12"/>
      <c r="JAM55" s="12"/>
      <c r="JAN55" s="12"/>
      <c r="JAO55" s="12"/>
      <c r="JAP55" s="12"/>
      <c r="JAQ55" s="12"/>
      <c r="JAR55" s="12"/>
      <c r="JAS55" s="12"/>
      <c r="JAT55" s="12"/>
      <c r="JAU55" s="12"/>
      <c r="JAV55" s="12"/>
      <c r="JAW55" s="12"/>
      <c r="JAX55" s="12"/>
      <c r="JAY55" s="12"/>
      <c r="JAZ55" s="12"/>
      <c r="JBA55" s="12"/>
      <c r="JBB55" s="12"/>
      <c r="JBC55" s="12"/>
      <c r="JBD55" s="12"/>
      <c r="JBE55" s="12"/>
      <c r="JBF55" s="12"/>
      <c r="JBG55" s="12"/>
      <c r="JBH55" s="12"/>
      <c r="JBI55" s="12"/>
      <c r="JBJ55" s="12"/>
      <c r="JBK55" s="12"/>
      <c r="JBL55" s="12"/>
      <c r="JBM55" s="12"/>
      <c r="JBN55" s="12"/>
      <c r="JBO55" s="12"/>
      <c r="JBP55" s="12"/>
      <c r="JBQ55" s="12"/>
      <c r="JBR55" s="12"/>
      <c r="JBS55" s="12"/>
      <c r="JBT55" s="12"/>
      <c r="JBU55" s="12"/>
      <c r="JBV55" s="12"/>
      <c r="JBW55" s="12"/>
      <c r="JBX55" s="12"/>
      <c r="JBY55" s="12"/>
      <c r="JBZ55" s="12"/>
      <c r="JCA55" s="12"/>
      <c r="JCB55" s="12"/>
      <c r="JCC55" s="12"/>
      <c r="JCD55" s="12"/>
      <c r="JCE55" s="12"/>
      <c r="JCF55" s="12"/>
      <c r="JCG55" s="12"/>
      <c r="JCH55" s="12"/>
      <c r="JCI55" s="12"/>
      <c r="JCJ55" s="12"/>
      <c r="JCK55" s="12"/>
      <c r="JCL55" s="12"/>
      <c r="JCM55" s="12"/>
      <c r="JCN55" s="12"/>
      <c r="JCO55" s="12"/>
      <c r="JCP55" s="12"/>
      <c r="JCQ55" s="12"/>
      <c r="JCR55" s="12"/>
      <c r="JCS55" s="12"/>
      <c r="JCT55" s="12"/>
      <c r="JCU55" s="12"/>
      <c r="JCV55" s="12"/>
      <c r="JCW55" s="12"/>
      <c r="JCX55" s="12"/>
      <c r="JCY55" s="12"/>
      <c r="JCZ55" s="12"/>
      <c r="JDA55" s="12"/>
      <c r="JDB55" s="12"/>
      <c r="JDC55" s="12"/>
      <c r="JDD55" s="12"/>
      <c r="JDE55" s="12"/>
      <c r="JDF55" s="12"/>
      <c r="JDG55" s="12"/>
      <c r="JDH55" s="12"/>
      <c r="JDI55" s="12"/>
      <c r="JDJ55" s="12"/>
      <c r="JDK55" s="12"/>
      <c r="JDL55" s="12"/>
      <c r="JDM55" s="12"/>
      <c r="JDN55" s="12"/>
      <c r="JDO55" s="12"/>
      <c r="JDP55" s="12"/>
      <c r="JDQ55" s="12"/>
      <c r="JDR55" s="12"/>
      <c r="JDS55" s="12"/>
      <c r="JDT55" s="12"/>
      <c r="JDU55" s="12"/>
      <c r="JDV55" s="12"/>
      <c r="JDW55" s="12"/>
      <c r="JDX55" s="12"/>
      <c r="JDY55" s="12"/>
      <c r="JDZ55" s="12"/>
      <c r="JEA55" s="12"/>
      <c r="JEB55" s="12"/>
      <c r="JEC55" s="12"/>
      <c r="JED55" s="12"/>
      <c r="JEE55" s="12"/>
      <c r="JEF55" s="12"/>
      <c r="JEG55" s="12"/>
      <c r="JEH55" s="12"/>
      <c r="JEI55" s="12"/>
      <c r="JEJ55" s="12"/>
      <c r="JEK55" s="12"/>
      <c r="JEL55" s="12"/>
      <c r="JEM55" s="12"/>
      <c r="JEN55" s="12"/>
      <c r="JEO55" s="12"/>
      <c r="JEP55" s="12"/>
      <c r="JEQ55" s="12"/>
      <c r="JER55" s="12"/>
      <c r="JES55" s="12"/>
      <c r="JET55" s="12"/>
      <c r="JEU55" s="12"/>
      <c r="JEV55" s="12"/>
      <c r="JEW55" s="12"/>
      <c r="JEX55" s="12"/>
      <c r="JEY55" s="12"/>
      <c r="JEZ55" s="12"/>
      <c r="JFA55" s="12"/>
      <c r="JFB55" s="12"/>
      <c r="JFC55" s="12"/>
      <c r="JFD55" s="12"/>
      <c r="JFE55" s="12"/>
      <c r="JFF55" s="12"/>
      <c r="JFG55" s="12"/>
      <c r="JFH55" s="12"/>
      <c r="JFI55" s="12"/>
      <c r="JFJ55" s="12"/>
      <c r="JFK55" s="12"/>
      <c r="JFL55" s="12"/>
      <c r="JFM55" s="12"/>
      <c r="JFN55" s="12"/>
      <c r="JFO55" s="12"/>
      <c r="JFP55" s="12"/>
      <c r="JFQ55" s="12"/>
      <c r="JFR55" s="12"/>
      <c r="JFS55" s="12"/>
      <c r="JFT55" s="12"/>
      <c r="JFU55" s="12"/>
      <c r="JFV55" s="12"/>
      <c r="JFW55" s="12"/>
      <c r="JFX55" s="12"/>
      <c r="JFY55" s="12"/>
      <c r="JFZ55" s="12"/>
      <c r="JGA55" s="12"/>
      <c r="JGB55" s="12"/>
      <c r="JGC55" s="12"/>
      <c r="JGD55" s="12"/>
      <c r="JGE55" s="12"/>
      <c r="JGF55" s="12"/>
      <c r="JGG55" s="12"/>
      <c r="JGH55" s="12"/>
      <c r="JGI55" s="12"/>
      <c r="JGJ55" s="12"/>
      <c r="JGK55" s="12"/>
      <c r="JGL55" s="12"/>
      <c r="JGM55" s="12"/>
      <c r="JGN55" s="12"/>
      <c r="JGO55" s="12"/>
      <c r="JGP55" s="12"/>
      <c r="JGQ55" s="12"/>
      <c r="JGR55" s="12"/>
      <c r="JGS55" s="12"/>
      <c r="JGT55" s="12"/>
      <c r="JGU55" s="12"/>
      <c r="JGV55" s="12"/>
      <c r="JGW55" s="12"/>
      <c r="JGX55" s="12"/>
      <c r="JGY55" s="12"/>
      <c r="JGZ55" s="12"/>
      <c r="JHA55" s="12"/>
      <c r="JHB55" s="12"/>
      <c r="JHC55" s="12"/>
      <c r="JHD55" s="12"/>
      <c r="JHE55" s="12"/>
      <c r="JHF55" s="12"/>
      <c r="JHG55" s="12"/>
      <c r="JHH55" s="12"/>
      <c r="JHI55" s="12"/>
      <c r="JHJ55" s="12"/>
      <c r="JHK55" s="12"/>
      <c r="JHL55" s="12"/>
      <c r="JHM55" s="12"/>
      <c r="JHN55" s="12"/>
      <c r="JHO55" s="12"/>
      <c r="JHP55" s="12"/>
      <c r="JHQ55" s="12"/>
      <c r="JHR55" s="12"/>
      <c r="JHS55" s="12"/>
      <c r="JHT55" s="12"/>
      <c r="JHU55" s="12"/>
      <c r="JHV55" s="12"/>
      <c r="JHW55" s="12"/>
      <c r="JHX55" s="12"/>
      <c r="JHY55" s="12"/>
      <c r="JHZ55" s="12"/>
      <c r="JIA55" s="12"/>
      <c r="JIB55" s="12"/>
      <c r="JIC55" s="12"/>
      <c r="JID55" s="12"/>
      <c r="JIE55" s="12"/>
      <c r="JIF55" s="12"/>
      <c r="JIG55" s="12"/>
      <c r="JIH55" s="12"/>
      <c r="JII55" s="12"/>
      <c r="JIJ55" s="12"/>
      <c r="JIK55" s="12"/>
      <c r="JIL55" s="12"/>
      <c r="JIM55" s="12"/>
      <c r="JIN55" s="12"/>
      <c r="JIO55" s="12"/>
      <c r="JIP55" s="12"/>
      <c r="JIQ55" s="12"/>
      <c r="JIR55" s="12"/>
      <c r="JIS55" s="12"/>
      <c r="JIT55" s="12"/>
      <c r="JIU55" s="12"/>
      <c r="JIV55" s="12"/>
      <c r="JIW55" s="12"/>
      <c r="JIX55" s="12"/>
      <c r="JIY55" s="12"/>
      <c r="JIZ55" s="12"/>
      <c r="JJA55" s="12"/>
      <c r="JJB55" s="12"/>
      <c r="JJC55" s="12"/>
      <c r="JJD55" s="12"/>
      <c r="JJE55" s="12"/>
      <c r="JJF55" s="12"/>
      <c r="JJG55" s="12"/>
      <c r="JJH55" s="12"/>
      <c r="JJI55" s="12"/>
      <c r="JJJ55" s="12"/>
      <c r="JJK55" s="12"/>
      <c r="JJL55" s="12"/>
      <c r="JJM55" s="12"/>
      <c r="JJN55" s="12"/>
      <c r="JJO55" s="12"/>
      <c r="JJP55" s="12"/>
      <c r="JJQ55" s="12"/>
      <c r="JJR55" s="12"/>
      <c r="JJS55" s="12"/>
      <c r="JJT55" s="12"/>
      <c r="JJU55" s="12"/>
      <c r="JJV55" s="12"/>
      <c r="JJW55" s="12"/>
      <c r="JJX55" s="12"/>
      <c r="JJY55" s="12"/>
      <c r="JJZ55" s="12"/>
      <c r="JKA55" s="12"/>
      <c r="JKB55" s="12"/>
      <c r="JKC55" s="12"/>
      <c r="JKD55" s="12"/>
      <c r="JKE55" s="12"/>
      <c r="JKF55" s="12"/>
      <c r="JKG55" s="12"/>
      <c r="JKH55" s="12"/>
      <c r="JKI55" s="12"/>
      <c r="JKJ55" s="12"/>
      <c r="JKK55" s="12"/>
      <c r="JKL55" s="12"/>
      <c r="JKM55" s="12"/>
      <c r="JKN55" s="12"/>
      <c r="JKO55" s="12"/>
      <c r="JKP55" s="12"/>
      <c r="JKQ55" s="12"/>
      <c r="JKR55" s="12"/>
      <c r="JKS55" s="12"/>
      <c r="JKT55" s="12"/>
      <c r="JKU55" s="12"/>
      <c r="JKV55" s="12"/>
      <c r="JKW55" s="12"/>
      <c r="JKX55" s="12"/>
      <c r="JKY55" s="12"/>
      <c r="JKZ55" s="12"/>
      <c r="JLA55" s="12"/>
      <c r="JLB55" s="12"/>
      <c r="JLC55" s="12"/>
      <c r="JLD55" s="12"/>
      <c r="JLE55" s="12"/>
      <c r="JLF55" s="12"/>
      <c r="JLG55" s="12"/>
      <c r="JLH55" s="12"/>
      <c r="JLI55" s="12"/>
      <c r="JLJ55" s="12"/>
      <c r="JLK55" s="12"/>
      <c r="JLL55" s="12"/>
      <c r="JLM55" s="12"/>
      <c r="JLN55" s="12"/>
      <c r="JLO55" s="12"/>
      <c r="JLP55" s="12"/>
      <c r="JLQ55" s="12"/>
      <c r="JLR55" s="12"/>
      <c r="JLS55" s="12"/>
      <c r="JLT55" s="12"/>
      <c r="JLU55" s="12"/>
      <c r="JLV55" s="12"/>
      <c r="JLW55" s="12"/>
      <c r="JLX55" s="12"/>
      <c r="JLY55" s="12"/>
      <c r="JLZ55" s="12"/>
      <c r="JMA55" s="12"/>
      <c r="JMB55" s="12"/>
      <c r="JMC55" s="12"/>
      <c r="JMD55" s="12"/>
      <c r="JME55" s="12"/>
      <c r="JMF55" s="12"/>
      <c r="JMG55" s="12"/>
      <c r="JMH55" s="12"/>
      <c r="JMI55" s="12"/>
      <c r="JMJ55" s="12"/>
      <c r="JMK55" s="12"/>
      <c r="JML55" s="12"/>
      <c r="JMM55" s="12"/>
      <c r="JMN55" s="12"/>
      <c r="JMO55" s="12"/>
      <c r="JMP55" s="12"/>
      <c r="JMQ55" s="12"/>
      <c r="JMR55" s="12"/>
      <c r="JMS55" s="12"/>
      <c r="JMT55" s="12"/>
      <c r="JMU55" s="12"/>
      <c r="JMV55" s="12"/>
      <c r="JMW55" s="12"/>
      <c r="JMX55" s="12"/>
      <c r="JMY55" s="12"/>
      <c r="JMZ55" s="12"/>
      <c r="JNA55" s="12"/>
      <c r="JNB55" s="12"/>
      <c r="JNC55" s="12"/>
      <c r="JND55" s="12"/>
      <c r="JNE55" s="12"/>
      <c r="JNF55" s="12"/>
      <c r="JNG55" s="12"/>
      <c r="JNH55" s="12"/>
      <c r="JNI55" s="12"/>
      <c r="JNJ55" s="12"/>
      <c r="JNK55" s="12"/>
      <c r="JNL55" s="12"/>
      <c r="JNM55" s="12"/>
      <c r="JNN55" s="12"/>
      <c r="JNO55" s="12"/>
      <c r="JNP55" s="12"/>
      <c r="JNQ55" s="12"/>
      <c r="JNR55" s="12"/>
      <c r="JNS55" s="12"/>
      <c r="JNT55" s="12"/>
      <c r="JNU55" s="12"/>
      <c r="JNV55" s="12"/>
      <c r="JNW55" s="12"/>
      <c r="JNX55" s="12"/>
      <c r="JNY55" s="12"/>
      <c r="JNZ55" s="12"/>
      <c r="JOA55" s="12"/>
      <c r="JOB55" s="12"/>
      <c r="JOC55" s="12"/>
      <c r="JOD55" s="12"/>
      <c r="JOE55" s="12"/>
      <c r="JOF55" s="12"/>
      <c r="JOG55" s="12"/>
      <c r="JOH55" s="12"/>
      <c r="JOI55" s="12"/>
      <c r="JOJ55" s="12"/>
      <c r="JOK55" s="12"/>
      <c r="JOL55" s="12"/>
      <c r="JOM55" s="12"/>
      <c r="JON55" s="12"/>
      <c r="JOO55" s="12"/>
      <c r="JOP55" s="12"/>
      <c r="JOQ55" s="12"/>
      <c r="JOR55" s="12"/>
      <c r="JOS55" s="12"/>
      <c r="JOT55" s="12"/>
      <c r="JOU55" s="12"/>
      <c r="JOV55" s="12"/>
      <c r="JOW55" s="12"/>
      <c r="JOX55" s="12"/>
      <c r="JOY55" s="12"/>
      <c r="JOZ55" s="12"/>
      <c r="JPA55" s="12"/>
      <c r="JPB55" s="12"/>
      <c r="JPC55" s="12"/>
      <c r="JPD55" s="12"/>
      <c r="JPE55" s="12"/>
      <c r="JPF55" s="12"/>
      <c r="JPG55" s="12"/>
      <c r="JPH55" s="12"/>
      <c r="JPI55" s="12"/>
      <c r="JPJ55" s="12"/>
      <c r="JPK55" s="12"/>
      <c r="JPL55" s="12"/>
      <c r="JPM55" s="12"/>
      <c r="JPN55" s="12"/>
      <c r="JPO55" s="12"/>
      <c r="JPP55" s="12"/>
      <c r="JPQ55" s="12"/>
      <c r="JPR55" s="12"/>
      <c r="JPS55" s="12"/>
      <c r="JPT55" s="12"/>
      <c r="JPU55" s="12"/>
      <c r="JPV55" s="12"/>
      <c r="JPW55" s="12"/>
      <c r="JPX55" s="12"/>
      <c r="JPY55" s="12"/>
      <c r="JPZ55" s="12"/>
      <c r="JQA55" s="12"/>
      <c r="JQB55" s="12"/>
      <c r="JQC55" s="12"/>
      <c r="JQD55" s="12"/>
      <c r="JQE55" s="12"/>
      <c r="JQF55" s="12"/>
      <c r="JQG55" s="12"/>
      <c r="JQH55" s="12"/>
      <c r="JQI55" s="12"/>
      <c r="JQJ55" s="12"/>
      <c r="JQK55" s="12"/>
      <c r="JQL55" s="12"/>
      <c r="JQM55" s="12"/>
      <c r="JQN55" s="12"/>
      <c r="JQO55" s="12"/>
      <c r="JQP55" s="12"/>
      <c r="JQQ55" s="12"/>
      <c r="JQR55" s="12"/>
      <c r="JQS55" s="12"/>
      <c r="JQT55" s="12"/>
      <c r="JQU55" s="12"/>
      <c r="JQV55" s="12"/>
      <c r="JQW55" s="12"/>
      <c r="JQX55" s="12"/>
      <c r="JQY55" s="12"/>
      <c r="JQZ55" s="12"/>
      <c r="JRA55" s="12"/>
      <c r="JRB55" s="12"/>
      <c r="JRC55" s="12"/>
      <c r="JRD55" s="12"/>
      <c r="JRE55" s="12"/>
      <c r="JRF55" s="12"/>
      <c r="JRG55" s="12"/>
      <c r="JRH55" s="12"/>
      <c r="JRI55" s="12"/>
      <c r="JRJ55" s="12"/>
      <c r="JRK55" s="12"/>
      <c r="JRL55" s="12"/>
      <c r="JRM55" s="12"/>
      <c r="JRN55" s="12"/>
      <c r="JRO55" s="12"/>
      <c r="JRP55" s="12"/>
      <c r="JRQ55" s="12"/>
      <c r="JRR55" s="12"/>
      <c r="JRS55" s="12"/>
      <c r="JRT55" s="12"/>
      <c r="JRU55" s="12"/>
      <c r="JRV55" s="12"/>
      <c r="JRW55" s="12"/>
      <c r="JRX55" s="12"/>
      <c r="JRY55" s="12"/>
      <c r="JRZ55" s="12"/>
      <c r="JSA55" s="12"/>
      <c r="JSB55" s="12"/>
      <c r="JSC55" s="12"/>
      <c r="JSD55" s="12"/>
      <c r="JSE55" s="12"/>
      <c r="JSF55" s="12"/>
      <c r="JSG55" s="12"/>
      <c r="JSH55" s="12"/>
      <c r="JSI55" s="12"/>
      <c r="JSJ55" s="12"/>
      <c r="JSK55" s="12"/>
      <c r="JSL55" s="12"/>
      <c r="JSM55" s="12"/>
      <c r="JSN55" s="12"/>
      <c r="JSO55" s="12"/>
      <c r="JSP55" s="12"/>
      <c r="JSQ55" s="12"/>
      <c r="JSR55" s="12"/>
      <c r="JSS55" s="12"/>
      <c r="JST55" s="12"/>
      <c r="JSU55" s="12"/>
      <c r="JSV55" s="12"/>
      <c r="JSW55" s="12"/>
      <c r="JSX55" s="12"/>
      <c r="JSY55" s="12"/>
      <c r="JSZ55" s="12"/>
      <c r="JTA55" s="12"/>
      <c r="JTB55" s="12"/>
      <c r="JTC55" s="12"/>
      <c r="JTD55" s="12"/>
      <c r="JTE55" s="12"/>
      <c r="JTF55" s="12"/>
      <c r="JTG55" s="12"/>
      <c r="JTH55" s="12"/>
      <c r="JTI55" s="12"/>
      <c r="JTJ55" s="12"/>
      <c r="JTK55" s="12"/>
      <c r="JTL55" s="12"/>
      <c r="JTM55" s="12"/>
      <c r="JTN55" s="12"/>
      <c r="JTO55" s="12"/>
      <c r="JTP55" s="12"/>
      <c r="JTQ55" s="12"/>
      <c r="JTR55" s="12"/>
      <c r="JTS55" s="12"/>
      <c r="JTT55" s="12"/>
      <c r="JTU55" s="12"/>
      <c r="JTV55" s="12"/>
      <c r="JTW55" s="12"/>
      <c r="JTX55" s="12"/>
      <c r="JTY55" s="12"/>
      <c r="JTZ55" s="12"/>
      <c r="JUA55" s="12"/>
      <c r="JUB55" s="12"/>
      <c r="JUC55" s="12"/>
      <c r="JUD55" s="12"/>
      <c r="JUE55" s="12"/>
      <c r="JUF55" s="12"/>
      <c r="JUG55" s="12"/>
      <c r="JUH55" s="12"/>
      <c r="JUI55" s="12"/>
      <c r="JUJ55" s="12"/>
      <c r="JUK55" s="12"/>
      <c r="JUL55" s="12"/>
      <c r="JUM55" s="12"/>
      <c r="JUN55" s="12"/>
      <c r="JUO55" s="12"/>
      <c r="JUP55" s="12"/>
      <c r="JUQ55" s="12"/>
      <c r="JUR55" s="12"/>
      <c r="JUS55" s="12"/>
      <c r="JUT55" s="12"/>
      <c r="JUU55" s="12"/>
      <c r="JUV55" s="12"/>
      <c r="JUW55" s="12"/>
      <c r="JUX55" s="12"/>
      <c r="JUY55" s="12"/>
      <c r="JUZ55" s="12"/>
      <c r="JVA55" s="12"/>
      <c r="JVB55" s="12"/>
      <c r="JVC55" s="12"/>
      <c r="JVD55" s="12"/>
      <c r="JVE55" s="12"/>
      <c r="JVF55" s="12"/>
      <c r="JVG55" s="12"/>
      <c r="JVH55" s="12"/>
      <c r="JVI55" s="12"/>
      <c r="JVJ55" s="12"/>
      <c r="JVK55" s="12"/>
      <c r="JVL55" s="12"/>
      <c r="JVM55" s="12"/>
      <c r="JVN55" s="12"/>
      <c r="JVO55" s="12"/>
      <c r="JVP55" s="12"/>
      <c r="JVQ55" s="12"/>
      <c r="JVR55" s="12"/>
      <c r="JVS55" s="12"/>
      <c r="JVT55" s="12"/>
      <c r="JVU55" s="12"/>
      <c r="JVV55" s="12"/>
      <c r="JVW55" s="12"/>
      <c r="JVX55" s="12"/>
      <c r="JVY55" s="12"/>
      <c r="JVZ55" s="12"/>
      <c r="JWA55" s="12"/>
      <c r="JWB55" s="12"/>
      <c r="JWC55" s="12"/>
      <c r="JWD55" s="12"/>
      <c r="JWE55" s="12"/>
      <c r="JWF55" s="12"/>
      <c r="JWG55" s="12"/>
      <c r="JWH55" s="12"/>
      <c r="JWI55" s="12"/>
      <c r="JWJ55" s="12"/>
      <c r="JWK55" s="12"/>
      <c r="JWL55" s="12"/>
      <c r="JWM55" s="12"/>
      <c r="JWN55" s="12"/>
      <c r="JWO55" s="12"/>
      <c r="JWP55" s="12"/>
      <c r="JWQ55" s="12"/>
      <c r="JWR55" s="12"/>
      <c r="JWS55" s="12"/>
      <c r="JWT55" s="12"/>
      <c r="JWU55" s="12"/>
      <c r="JWV55" s="12"/>
      <c r="JWW55" s="12"/>
      <c r="JWX55" s="12"/>
      <c r="JWY55" s="12"/>
      <c r="JWZ55" s="12"/>
      <c r="JXA55" s="12"/>
      <c r="JXB55" s="12"/>
      <c r="JXC55" s="12"/>
      <c r="JXD55" s="12"/>
      <c r="JXE55" s="12"/>
      <c r="JXF55" s="12"/>
      <c r="JXG55" s="12"/>
      <c r="JXH55" s="12"/>
      <c r="JXI55" s="12"/>
      <c r="JXJ55" s="12"/>
      <c r="JXK55" s="12"/>
      <c r="JXL55" s="12"/>
      <c r="JXM55" s="12"/>
      <c r="JXN55" s="12"/>
      <c r="JXO55" s="12"/>
      <c r="JXP55" s="12"/>
      <c r="JXQ55" s="12"/>
      <c r="JXR55" s="12"/>
      <c r="JXS55" s="12"/>
      <c r="JXT55" s="12"/>
      <c r="JXU55" s="12"/>
      <c r="JXV55" s="12"/>
      <c r="JXW55" s="12"/>
      <c r="JXX55" s="12"/>
      <c r="JXY55" s="12"/>
      <c r="JXZ55" s="12"/>
      <c r="JYA55" s="12"/>
      <c r="JYB55" s="12"/>
      <c r="JYC55" s="12"/>
      <c r="JYD55" s="12"/>
      <c r="JYE55" s="12"/>
      <c r="JYF55" s="12"/>
      <c r="JYG55" s="12"/>
      <c r="JYH55" s="12"/>
      <c r="JYI55" s="12"/>
      <c r="JYJ55" s="12"/>
      <c r="JYK55" s="12"/>
      <c r="JYL55" s="12"/>
      <c r="JYM55" s="12"/>
      <c r="JYN55" s="12"/>
      <c r="JYO55" s="12"/>
      <c r="JYP55" s="12"/>
      <c r="JYQ55" s="12"/>
      <c r="JYR55" s="12"/>
      <c r="JYS55" s="12"/>
      <c r="JYT55" s="12"/>
      <c r="JYU55" s="12"/>
      <c r="JYV55" s="12"/>
      <c r="JYW55" s="12"/>
      <c r="JYX55" s="12"/>
      <c r="JYY55" s="12"/>
      <c r="JYZ55" s="12"/>
      <c r="JZA55" s="12"/>
      <c r="JZB55" s="12"/>
      <c r="JZC55" s="12"/>
      <c r="JZD55" s="12"/>
      <c r="JZE55" s="12"/>
      <c r="JZF55" s="12"/>
      <c r="JZG55" s="12"/>
      <c r="JZH55" s="12"/>
      <c r="JZI55" s="12"/>
      <c r="JZJ55" s="12"/>
      <c r="JZK55" s="12"/>
      <c r="JZL55" s="12"/>
      <c r="JZM55" s="12"/>
      <c r="JZN55" s="12"/>
      <c r="JZO55" s="12"/>
      <c r="JZP55" s="12"/>
      <c r="JZQ55" s="12"/>
      <c r="JZR55" s="12"/>
      <c r="JZS55" s="12"/>
      <c r="JZT55" s="12"/>
      <c r="JZU55" s="12"/>
      <c r="JZV55" s="12"/>
      <c r="JZW55" s="12"/>
      <c r="JZX55" s="12"/>
      <c r="JZY55" s="12"/>
      <c r="JZZ55" s="12"/>
      <c r="KAA55" s="12"/>
      <c r="KAB55" s="12"/>
      <c r="KAC55" s="12"/>
      <c r="KAD55" s="12"/>
      <c r="KAE55" s="12"/>
      <c r="KAF55" s="12"/>
      <c r="KAG55" s="12"/>
      <c r="KAH55" s="12"/>
      <c r="KAI55" s="12"/>
      <c r="KAJ55" s="12"/>
      <c r="KAK55" s="12"/>
      <c r="KAL55" s="12"/>
      <c r="KAM55" s="12"/>
      <c r="KAN55" s="12"/>
      <c r="KAO55" s="12"/>
      <c r="KAP55" s="12"/>
      <c r="KAQ55" s="12"/>
      <c r="KAR55" s="12"/>
      <c r="KAS55" s="12"/>
      <c r="KAT55" s="12"/>
      <c r="KAU55" s="12"/>
      <c r="KAV55" s="12"/>
      <c r="KAW55" s="12"/>
      <c r="KAX55" s="12"/>
      <c r="KAY55" s="12"/>
      <c r="KAZ55" s="12"/>
      <c r="KBA55" s="12"/>
      <c r="KBB55" s="12"/>
      <c r="KBC55" s="12"/>
      <c r="KBD55" s="12"/>
      <c r="KBE55" s="12"/>
      <c r="KBF55" s="12"/>
      <c r="KBG55" s="12"/>
      <c r="KBH55" s="12"/>
      <c r="KBI55" s="12"/>
      <c r="KBJ55" s="12"/>
      <c r="KBK55" s="12"/>
      <c r="KBL55" s="12"/>
      <c r="KBM55" s="12"/>
      <c r="KBN55" s="12"/>
      <c r="KBO55" s="12"/>
      <c r="KBP55" s="12"/>
      <c r="KBQ55" s="12"/>
      <c r="KBR55" s="12"/>
      <c r="KBS55" s="12"/>
      <c r="KBT55" s="12"/>
      <c r="KBU55" s="12"/>
      <c r="KBV55" s="12"/>
      <c r="KBW55" s="12"/>
      <c r="KBX55" s="12"/>
      <c r="KBY55" s="12"/>
      <c r="KBZ55" s="12"/>
      <c r="KCA55" s="12"/>
      <c r="KCB55" s="12"/>
      <c r="KCC55" s="12"/>
      <c r="KCD55" s="12"/>
      <c r="KCE55" s="12"/>
      <c r="KCF55" s="12"/>
      <c r="KCG55" s="12"/>
      <c r="KCH55" s="12"/>
      <c r="KCI55" s="12"/>
      <c r="KCJ55" s="12"/>
      <c r="KCK55" s="12"/>
      <c r="KCL55" s="12"/>
      <c r="KCM55" s="12"/>
      <c r="KCN55" s="12"/>
      <c r="KCO55" s="12"/>
      <c r="KCP55" s="12"/>
      <c r="KCQ55" s="12"/>
      <c r="KCR55" s="12"/>
      <c r="KCS55" s="12"/>
      <c r="KCT55" s="12"/>
      <c r="KCU55" s="12"/>
      <c r="KCV55" s="12"/>
      <c r="KCW55" s="12"/>
      <c r="KCX55" s="12"/>
      <c r="KCY55" s="12"/>
      <c r="KCZ55" s="12"/>
      <c r="KDA55" s="12"/>
      <c r="KDB55" s="12"/>
      <c r="KDC55" s="12"/>
      <c r="KDD55" s="12"/>
      <c r="KDE55" s="12"/>
      <c r="KDF55" s="12"/>
      <c r="KDG55" s="12"/>
      <c r="KDH55" s="12"/>
      <c r="KDI55" s="12"/>
      <c r="KDJ55" s="12"/>
      <c r="KDK55" s="12"/>
      <c r="KDL55" s="12"/>
      <c r="KDM55" s="12"/>
      <c r="KDN55" s="12"/>
      <c r="KDO55" s="12"/>
      <c r="KDP55" s="12"/>
      <c r="KDQ55" s="12"/>
      <c r="KDR55" s="12"/>
      <c r="KDS55" s="12"/>
      <c r="KDT55" s="12"/>
      <c r="KDU55" s="12"/>
      <c r="KDV55" s="12"/>
      <c r="KDW55" s="12"/>
      <c r="KDX55" s="12"/>
      <c r="KDY55" s="12"/>
      <c r="KDZ55" s="12"/>
      <c r="KEA55" s="12"/>
      <c r="KEB55" s="12"/>
      <c r="KEC55" s="12"/>
      <c r="KED55" s="12"/>
      <c r="KEE55" s="12"/>
      <c r="KEF55" s="12"/>
      <c r="KEG55" s="12"/>
      <c r="KEH55" s="12"/>
      <c r="KEI55" s="12"/>
      <c r="KEJ55" s="12"/>
      <c r="KEK55" s="12"/>
      <c r="KEL55" s="12"/>
      <c r="KEM55" s="12"/>
      <c r="KEN55" s="12"/>
      <c r="KEO55" s="12"/>
      <c r="KEP55" s="12"/>
      <c r="KEQ55" s="12"/>
      <c r="KER55" s="12"/>
      <c r="KES55" s="12"/>
      <c r="KET55" s="12"/>
      <c r="KEU55" s="12"/>
      <c r="KEV55" s="12"/>
      <c r="KEW55" s="12"/>
      <c r="KEX55" s="12"/>
      <c r="KEY55" s="12"/>
      <c r="KEZ55" s="12"/>
      <c r="KFA55" s="12"/>
      <c r="KFB55" s="12"/>
      <c r="KFC55" s="12"/>
      <c r="KFD55" s="12"/>
      <c r="KFE55" s="12"/>
      <c r="KFF55" s="12"/>
      <c r="KFG55" s="12"/>
      <c r="KFH55" s="12"/>
      <c r="KFI55" s="12"/>
      <c r="KFJ55" s="12"/>
      <c r="KFK55" s="12"/>
      <c r="KFL55" s="12"/>
      <c r="KFM55" s="12"/>
      <c r="KFN55" s="12"/>
      <c r="KFO55" s="12"/>
      <c r="KFP55" s="12"/>
      <c r="KFQ55" s="12"/>
      <c r="KFR55" s="12"/>
      <c r="KFS55" s="12"/>
      <c r="KFT55" s="12"/>
      <c r="KFU55" s="12"/>
      <c r="KFV55" s="12"/>
      <c r="KFW55" s="12"/>
      <c r="KFX55" s="12"/>
      <c r="KFY55" s="12"/>
      <c r="KFZ55" s="12"/>
      <c r="KGA55" s="12"/>
      <c r="KGB55" s="12"/>
      <c r="KGC55" s="12"/>
      <c r="KGD55" s="12"/>
      <c r="KGE55" s="12"/>
      <c r="KGF55" s="12"/>
      <c r="KGG55" s="12"/>
      <c r="KGH55" s="12"/>
      <c r="KGI55" s="12"/>
      <c r="KGJ55" s="12"/>
      <c r="KGK55" s="12"/>
      <c r="KGL55" s="12"/>
      <c r="KGM55" s="12"/>
      <c r="KGN55" s="12"/>
      <c r="KGO55" s="12"/>
      <c r="KGP55" s="12"/>
      <c r="KGQ55" s="12"/>
      <c r="KGR55" s="12"/>
      <c r="KGS55" s="12"/>
      <c r="KGT55" s="12"/>
      <c r="KGU55" s="12"/>
      <c r="KGV55" s="12"/>
      <c r="KGW55" s="12"/>
      <c r="KGX55" s="12"/>
      <c r="KGY55" s="12"/>
      <c r="KGZ55" s="12"/>
      <c r="KHA55" s="12"/>
      <c r="KHB55" s="12"/>
      <c r="KHC55" s="12"/>
      <c r="KHD55" s="12"/>
      <c r="KHE55" s="12"/>
      <c r="KHF55" s="12"/>
      <c r="KHG55" s="12"/>
      <c r="KHH55" s="12"/>
      <c r="KHI55" s="12"/>
      <c r="KHJ55" s="12"/>
      <c r="KHK55" s="12"/>
      <c r="KHL55" s="12"/>
      <c r="KHM55" s="12"/>
      <c r="KHN55" s="12"/>
      <c r="KHO55" s="12"/>
      <c r="KHP55" s="12"/>
      <c r="KHQ55" s="12"/>
      <c r="KHR55" s="12"/>
      <c r="KHS55" s="12"/>
      <c r="KHT55" s="12"/>
      <c r="KHU55" s="12"/>
      <c r="KHV55" s="12"/>
      <c r="KHW55" s="12"/>
      <c r="KHX55" s="12"/>
      <c r="KHY55" s="12"/>
      <c r="KHZ55" s="12"/>
      <c r="KIA55" s="12"/>
      <c r="KIB55" s="12"/>
      <c r="KIC55" s="12"/>
      <c r="KID55" s="12"/>
      <c r="KIE55" s="12"/>
      <c r="KIF55" s="12"/>
      <c r="KIG55" s="12"/>
      <c r="KIH55" s="12"/>
      <c r="KII55" s="12"/>
      <c r="KIJ55" s="12"/>
      <c r="KIK55" s="12"/>
      <c r="KIL55" s="12"/>
      <c r="KIM55" s="12"/>
      <c r="KIN55" s="12"/>
      <c r="KIO55" s="12"/>
      <c r="KIP55" s="12"/>
      <c r="KIQ55" s="12"/>
      <c r="KIR55" s="12"/>
      <c r="KIS55" s="12"/>
      <c r="KIT55" s="12"/>
      <c r="KIU55" s="12"/>
      <c r="KIV55" s="12"/>
      <c r="KIW55" s="12"/>
      <c r="KIX55" s="12"/>
      <c r="KIY55" s="12"/>
      <c r="KIZ55" s="12"/>
      <c r="KJA55" s="12"/>
      <c r="KJB55" s="12"/>
      <c r="KJC55" s="12"/>
      <c r="KJD55" s="12"/>
      <c r="KJE55" s="12"/>
      <c r="KJF55" s="12"/>
      <c r="KJG55" s="12"/>
      <c r="KJH55" s="12"/>
      <c r="KJI55" s="12"/>
      <c r="KJJ55" s="12"/>
      <c r="KJK55" s="12"/>
      <c r="KJL55" s="12"/>
      <c r="KJM55" s="12"/>
      <c r="KJN55" s="12"/>
      <c r="KJO55" s="12"/>
      <c r="KJP55" s="12"/>
      <c r="KJQ55" s="12"/>
      <c r="KJR55" s="12"/>
      <c r="KJS55" s="12"/>
      <c r="KJT55" s="12"/>
      <c r="KJU55" s="12"/>
      <c r="KJV55" s="12"/>
      <c r="KJW55" s="12"/>
      <c r="KJX55" s="12"/>
      <c r="KJY55" s="12"/>
      <c r="KJZ55" s="12"/>
      <c r="KKA55" s="12"/>
      <c r="KKB55" s="12"/>
      <c r="KKC55" s="12"/>
      <c r="KKD55" s="12"/>
      <c r="KKE55" s="12"/>
      <c r="KKF55" s="12"/>
      <c r="KKG55" s="12"/>
      <c r="KKH55" s="12"/>
      <c r="KKI55" s="12"/>
      <c r="KKJ55" s="12"/>
      <c r="KKK55" s="12"/>
      <c r="KKL55" s="12"/>
      <c r="KKM55" s="12"/>
      <c r="KKN55" s="12"/>
      <c r="KKO55" s="12"/>
      <c r="KKP55" s="12"/>
      <c r="KKQ55" s="12"/>
      <c r="KKR55" s="12"/>
      <c r="KKS55" s="12"/>
      <c r="KKT55" s="12"/>
      <c r="KKU55" s="12"/>
      <c r="KKV55" s="12"/>
      <c r="KKW55" s="12"/>
      <c r="KKX55" s="12"/>
      <c r="KKY55" s="12"/>
      <c r="KKZ55" s="12"/>
      <c r="KLA55" s="12"/>
      <c r="KLB55" s="12"/>
      <c r="KLC55" s="12"/>
      <c r="KLD55" s="12"/>
      <c r="KLE55" s="12"/>
      <c r="KLF55" s="12"/>
      <c r="KLG55" s="12"/>
      <c r="KLH55" s="12"/>
      <c r="KLI55" s="12"/>
      <c r="KLJ55" s="12"/>
      <c r="KLK55" s="12"/>
      <c r="KLL55" s="12"/>
      <c r="KLM55" s="12"/>
      <c r="KLN55" s="12"/>
      <c r="KLO55" s="12"/>
      <c r="KLP55" s="12"/>
      <c r="KLQ55" s="12"/>
      <c r="KLR55" s="12"/>
      <c r="KLS55" s="12"/>
      <c r="KLT55" s="12"/>
      <c r="KLU55" s="12"/>
      <c r="KLV55" s="12"/>
      <c r="KLW55" s="12"/>
      <c r="KLX55" s="12"/>
      <c r="KLY55" s="12"/>
      <c r="KLZ55" s="12"/>
      <c r="KMA55" s="12"/>
      <c r="KMB55" s="12"/>
      <c r="KMC55" s="12"/>
      <c r="KMD55" s="12"/>
      <c r="KME55" s="12"/>
      <c r="KMF55" s="12"/>
      <c r="KMG55" s="12"/>
      <c r="KMH55" s="12"/>
      <c r="KMI55" s="12"/>
      <c r="KMJ55" s="12"/>
      <c r="KMK55" s="12"/>
      <c r="KML55" s="12"/>
      <c r="KMM55" s="12"/>
      <c r="KMN55" s="12"/>
      <c r="KMO55" s="12"/>
      <c r="KMP55" s="12"/>
      <c r="KMQ55" s="12"/>
      <c r="KMR55" s="12"/>
      <c r="KMS55" s="12"/>
      <c r="KMT55" s="12"/>
      <c r="KMU55" s="12"/>
      <c r="KMV55" s="12"/>
      <c r="KMW55" s="12"/>
      <c r="KMX55" s="12"/>
      <c r="KMY55" s="12"/>
      <c r="KMZ55" s="12"/>
      <c r="KNA55" s="12"/>
      <c r="KNB55" s="12"/>
      <c r="KNC55" s="12"/>
      <c r="KND55" s="12"/>
      <c r="KNE55" s="12"/>
      <c r="KNF55" s="12"/>
      <c r="KNG55" s="12"/>
      <c r="KNH55" s="12"/>
      <c r="KNI55" s="12"/>
      <c r="KNJ55" s="12"/>
      <c r="KNK55" s="12"/>
      <c r="KNL55" s="12"/>
      <c r="KNM55" s="12"/>
      <c r="KNN55" s="12"/>
      <c r="KNO55" s="12"/>
      <c r="KNP55" s="12"/>
      <c r="KNQ55" s="12"/>
      <c r="KNR55" s="12"/>
      <c r="KNS55" s="12"/>
      <c r="KNT55" s="12"/>
      <c r="KNU55" s="12"/>
      <c r="KNV55" s="12"/>
      <c r="KNW55" s="12"/>
      <c r="KNX55" s="12"/>
      <c r="KNY55" s="12"/>
      <c r="KNZ55" s="12"/>
      <c r="KOA55" s="12"/>
      <c r="KOB55" s="12"/>
      <c r="KOC55" s="12"/>
      <c r="KOD55" s="12"/>
      <c r="KOE55" s="12"/>
      <c r="KOF55" s="12"/>
      <c r="KOG55" s="12"/>
      <c r="KOH55" s="12"/>
      <c r="KOI55" s="12"/>
      <c r="KOJ55" s="12"/>
      <c r="KOK55" s="12"/>
      <c r="KOL55" s="12"/>
      <c r="KOM55" s="12"/>
      <c r="KON55" s="12"/>
      <c r="KOO55" s="12"/>
      <c r="KOP55" s="12"/>
      <c r="KOQ55" s="12"/>
      <c r="KOR55" s="12"/>
      <c r="KOS55" s="12"/>
      <c r="KOT55" s="12"/>
      <c r="KOU55" s="12"/>
      <c r="KOV55" s="12"/>
      <c r="KOW55" s="12"/>
      <c r="KOX55" s="12"/>
      <c r="KOY55" s="12"/>
      <c r="KOZ55" s="12"/>
      <c r="KPA55" s="12"/>
      <c r="KPB55" s="12"/>
      <c r="KPC55" s="12"/>
      <c r="KPD55" s="12"/>
      <c r="KPE55" s="12"/>
      <c r="KPF55" s="12"/>
      <c r="KPG55" s="12"/>
      <c r="KPH55" s="12"/>
      <c r="KPI55" s="12"/>
      <c r="KPJ55" s="12"/>
      <c r="KPK55" s="12"/>
      <c r="KPL55" s="12"/>
      <c r="KPM55" s="12"/>
      <c r="KPN55" s="12"/>
      <c r="KPO55" s="12"/>
      <c r="KPP55" s="12"/>
      <c r="KPQ55" s="12"/>
      <c r="KPR55" s="12"/>
      <c r="KPS55" s="12"/>
      <c r="KPT55" s="12"/>
      <c r="KPU55" s="12"/>
      <c r="KPV55" s="12"/>
      <c r="KPW55" s="12"/>
      <c r="KPX55" s="12"/>
      <c r="KPY55" s="12"/>
      <c r="KPZ55" s="12"/>
      <c r="KQA55" s="12"/>
      <c r="KQB55" s="12"/>
      <c r="KQC55" s="12"/>
      <c r="KQD55" s="12"/>
      <c r="KQE55" s="12"/>
      <c r="KQF55" s="12"/>
      <c r="KQG55" s="12"/>
      <c r="KQH55" s="12"/>
      <c r="KQI55" s="12"/>
      <c r="KQJ55" s="12"/>
      <c r="KQK55" s="12"/>
      <c r="KQL55" s="12"/>
      <c r="KQM55" s="12"/>
      <c r="KQN55" s="12"/>
      <c r="KQO55" s="12"/>
      <c r="KQP55" s="12"/>
      <c r="KQQ55" s="12"/>
      <c r="KQR55" s="12"/>
      <c r="KQS55" s="12"/>
      <c r="KQT55" s="12"/>
      <c r="KQU55" s="12"/>
      <c r="KQV55" s="12"/>
      <c r="KQW55" s="12"/>
      <c r="KQX55" s="12"/>
      <c r="KQY55" s="12"/>
      <c r="KQZ55" s="12"/>
      <c r="KRA55" s="12"/>
      <c r="KRB55" s="12"/>
      <c r="KRC55" s="12"/>
      <c r="KRD55" s="12"/>
      <c r="KRE55" s="12"/>
      <c r="KRF55" s="12"/>
      <c r="KRG55" s="12"/>
      <c r="KRH55" s="12"/>
      <c r="KRI55" s="12"/>
      <c r="KRJ55" s="12"/>
      <c r="KRK55" s="12"/>
      <c r="KRL55" s="12"/>
      <c r="KRM55" s="12"/>
      <c r="KRN55" s="12"/>
      <c r="KRO55" s="12"/>
      <c r="KRP55" s="12"/>
      <c r="KRQ55" s="12"/>
      <c r="KRR55" s="12"/>
      <c r="KRS55" s="12"/>
      <c r="KRT55" s="12"/>
      <c r="KRU55" s="12"/>
      <c r="KRV55" s="12"/>
      <c r="KRW55" s="12"/>
      <c r="KRX55" s="12"/>
      <c r="KRY55" s="12"/>
      <c r="KRZ55" s="12"/>
      <c r="KSA55" s="12"/>
      <c r="KSB55" s="12"/>
      <c r="KSC55" s="12"/>
      <c r="KSD55" s="12"/>
      <c r="KSE55" s="12"/>
      <c r="KSF55" s="12"/>
      <c r="KSG55" s="12"/>
      <c r="KSH55" s="12"/>
      <c r="KSI55" s="12"/>
      <c r="KSJ55" s="12"/>
      <c r="KSK55" s="12"/>
      <c r="KSL55" s="12"/>
      <c r="KSM55" s="12"/>
      <c r="KSN55" s="12"/>
      <c r="KSO55" s="12"/>
      <c r="KSP55" s="12"/>
      <c r="KSQ55" s="12"/>
      <c r="KSR55" s="12"/>
      <c r="KSS55" s="12"/>
      <c r="KST55" s="12"/>
      <c r="KSU55" s="12"/>
      <c r="KSV55" s="12"/>
      <c r="KSW55" s="12"/>
      <c r="KSX55" s="12"/>
      <c r="KSY55" s="12"/>
      <c r="KSZ55" s="12"/>
      <c r="KTA55" s="12"/>
      <c r="KTB55" s="12"/>
      <c r="KTC55" s="12"/>
      <c r="KTD55" s="12"/>
      <c r="KTE55" s="12"/>
      <c r="KTF55" s="12"/>
      <c r="KTG55" s="12"/>
      <c r="KTH55" s="12"/>
      <c r="KTI55" s="12"/>
      <c r="KTJ55" s="12"/>
      <c r="KTK55" s="12"/>
      <c r="KTL55" s="12"/>
      <c r="KTM55" s="12"/>
      <c r="KTN55" s="12"/>
      <c r="KTO55" s="12"/>
      <c r="KTP55" s="12"/>
      <c r="KTQ55" s="12"/>
      <c r="KTR55" s="12"/>
      <c r="KTS55" s="12"/>
      <c r="KTT55" s="12"/>
      <c r="KTU55" s="12"/>
      <c r="KTV55" s="12"/>
      <c r="KTW55" s="12"/>
      <c r="KTX55" s="12"/>
      <c r="KTY55" s="12"/>
      <c r="KTZ55" s="12"/>
      <c r="KUA55" s="12"/>
      <c r="KUB55" s="12"/>
      <c r="KUC55" s="12"/>
      <c r="KUD55" s="12"/>
      <c r="KUE55" s="12"/>
      <c r="KUF55" s="12"/>
      <c r="KUG55" s="12"/>
      <c r="KUH55" s="12"/>
      <c r="KUI55" s="12"/>
      <c r="KUJ55" s="12"/>
      <c r="KUK55" s="12"/>
      <c r="KUL55" s="12"/>
      <c r="KUM55" s="12"/>
      <c r="KUN55" s="12"/>
      <c r="KUO55" s="12"/>
      <c r="KUP55" s="12"/>
      <c r="KUQ55" s="12"/>
      <c r="KUR55" s="12"/>
      <c r="KUS55" s="12"/>
      <c r="KUT55" s="12"/>
      <c r="KUU55" s="12"/>
      <c r="KUV55" s="12"/>
      <c r="KUW55" s="12"/>
      <c r="KUX55" s="12"/>
      <c r="KUY55" s="12"/>
      <c r="KUZ55" s="12"/>
      <c r="KVA55" s="12"/>
      <c r="KVB55" s="12"/>
      <c r="KVC55" s="12"/>
      <c r="KVD55" s="12"/>
      <c r="KVE55" s="12"/>
      <c r="KVF55" s="12"/>
      <c r="KVG55" s="12"/>
      <c r="KVH55" s="12"/>
      <c r="KVI55" s="12"/>
      <c r="KVJ55" s="12"/>
      <c r="KVK55" s="12"/>
      <c r="KVL55" s="12"/>
      <c r="KVM55" s="12"/>
      <c r="KVN55" s="12"/>
      <c r="KVO55" s="12"/>
      <c r="KVP55" s="12"/>
      <c r="KVQ55" s="12"/>
      <c r="KVR55" s="12"/>
      <c r="KVS55" s="12"/>
      <c r="KVT55" s="12"/>
      <c r="KVU55" s="12"/>
      <c r="KVV55" s="12"/>
      <c r="KVW55" s="12"/>
      <c r="KVX55" s="12"/>
      <c r="KVY55" s="12"/>
      <c r="KVZ55" s="12"/>
      <c r="KWA55" s="12"/>
      <c r="KWB55" s="12"/>
      <c r="KWC55" s="12"/>
      <c r="KWD55" s="12"/>
      <c r="KWE55" s="12"/>
      <c r="KWF55" s="12"/>
      <c r="KWG55" s="12"/>
      <c r="KWH55" s="12"/>
      <c r="KWI55" s="12"/>
      <c r="KWJ55" s="12"/>
      <c r="KWK55" s="12"/>
      <c r="KWL55" s="12"/>
      <c r="KWM55" s="12"/>
      <c r="KWN55" s="12"/>
      <c r="KWO55" s="12"/>
      <c r="KWP55" s="12"/>
      <c r="KWQ55" s="12"/>
      <c r="KWR55" s="12"/>
      <c r="KWS55" s="12"/>
      <c r="KWT55" s="12"/>
      <c r="KWU55" s="12"/>
      <c r="KWV55" s="12"/>
      <c r="KWW55" s="12"/>
      <c r="KWX55" s="12"/>
      <c r="KWY55" s="12"/>
      <c r="KWZ55" s="12"/>
      <c r="KXA55" s="12"/>
      <c r="KXB55" s="12"/>
      <c r="KXC55" s="12"/>
      <c r="KXD55" s="12"/>
      <c r="KXE55" s="12"/>
      <c r="KXF55" s="12"/>
      <c r="KXG55" s="12"/>
      <c r="KXH55" s="12"/>
      <c r="KXI55" s="12"/>
      <c r="KXJ55" s="12"/>
      <c r="KXK55" s="12"/>
      <c r="KXL55" s="12"/>
      <c r="KXM55" s="12"/>
      <c r="KXN55" s="12"/>
      <c r="KXO55" s="12"/>
      <c r="KXP55" s="12"/>
      <c r="KXQ55" s="12"/>
      <c r="KXR55" s="12"/>
      <c r="KXS55" s="12"/>
      <c r="KXT55" s="12"/>
      <c r="KXU55" s="12"/>
      <c r="KXV55" s="12"/>
      <c r="KXW55" s="12"/>
      <c r="KXX55" s="12"/>
      <c r="KXY55" s="12"/>
      <c r="KXZ55" s="12"/>
      <c r="KYA55" s="12"/>
      <c r="KYB55" s="12"/>
      <c r="KYC55" s="12"/>
      <c r="KYD55" s="12"/>
      <c r="KYE55" s="12"/>
      <c r="KYF55" s="12"/>
      <c r="KYG55" s="12"/>
      <c r="KYH55" s="12"/>
      <c r="KYI55" s="12"/>
      <c r="KYJ55" s="12"/>
      <c r="KYK55" s="12"/>
      <c r="KYL55" s="12"/>
      <c r="KYM55" s="12"/>
      <c r="KYN55" s="12"/>
      <c r="KYO55" s="12"/>
      <c r="KYP55" s="12"/>
      <c r="KYQ55" s="12"/>
      <c r="KYR55" s="12"/>
      <c r="KYS55" s="12"/>
      <c r="KYT55" s="12"/>
      <c r="KYU55" s="12"/>
      <c r="KYV55" s="12"/>
      <c r="KYW55" s="12"/>
      <c r="KYX55" s="12"/>
      <c r="KYY55" s="12"/>
      <c r="KYZ55" s="12"/>
      <c r="KZA55" s="12"/>
      <c r="KZB55" s="12"/>
      <c r="KZC55" s="12"/>
      <c r="KZD55" s="12"/>
      <c r="KZE55" s="12"/>
      <c r="KZF55" s="12"/>
      <c r="KZG55" s="12"/>
      <c r="KZH55" s="12"/>
      <c r="KZI55" s="12"/>
      <c r="KZJ55" s="12"/>
      <c r="KZK55" s="12"/>
      <c r="KZL55" s="12"/>
      <c r="KZM55" s="12"/>
      <c r="KZN55" s="12"/>
      <c r="KZO55" s="12"/>
      <c r="KZP55" s="12"/>
      <c r="KZQ55" s="12"/>
      <c r="KZR55" s="12"/>
      <c r="KZS55" s="12"/>
      <c r="KZT55" s="12"/>
      <c r="KZU55" s="12"/>
      <c r="KZV55" s="12"/>
      <c r="KZW55" s="12"/>
      <c r="KZX55" s="12"/>
      <c r="KZY55" s="12"/>
      <c r="KZZ55" s="12"/>
      <c r="LAA55" s="12"/>
      <c r="LAB55" s="12"/>
      <c r="LAC55" s="12"/>
      <c r="LAD55" s="12"/>
      <c r="LAE55" s="12"/>
      <c r="LAF55" s="12"/>
      <c r="LAG55" s="12"/>
      <c r="LAH55" s="12"/>
      <c r="LAI55" s="12"/>
      <c r="LAJ55" s="12"/>
      <c r="LAK55" s="12"/>
      <c r="LAL55" s="12"/>
      <c r="LAM55" s="12"/>
      <c r="LAN55" s="12"/>
      <c r="LAO55" s="12"/>
      <c r="LAP55" s="12"/>
      <c r="LAQ55" s="12"/>
      <c r="LAR55" s="12"/>
      <c r="LAS55" s="12"/>
      <c r="LAT55" s="12"/>
      <c r="LAU55" s="12"/>
      <c r="LAV55" s="12"/>
      <c r="LAW55" s="12"/>
      <c r="LAX55" s="12"/>
      <c r="LAY55" s="12"/>
      <c r="LAZ55" s="12"/>
      <c r="LBA55" s="12"/>
      <c r="LBB55" s="12"/>
      <c r="LBC55" s="12"/>
      <c r="LBD55" s="12"/>
      <c r="LBE55" s="12"/>
      <c r="LBF55" s="12"/>
      <c r="LBG55" s="12"/>
      <c r="LBH55" s="12"/>
      <c r="LBI55" s="12"/>
      <c r="LBJ55" s="12"/>
      <c r="LBK55" s="12"/>
      <c r="LBL55" s="12"/>
      <c r="LBM55" s="12"/>
      <c r="LBN55" s="12"/>
      <c r="LBO55" s="12"/>
      <c r="LBP55" s="12"/>
      <c r="LBQ55" s="12"/>
      <c r="LBR55" s="12"/>
      <c r="LBS55" s="12"/>
      <c r="LBT55" s="12"/>
      <c r="LBU55" s="12"/>
      <c r="LBV55" s="12"/>
      <c r="LBW55" s="12"/>
      <c r="LBX55" s="12"/>
      <c r="LBY55" s="12"/>
      <c r="LBZ55" s="12"/>
      <c r="LCA55" s="12"/>
      <c r="LCB55" s="12"/>
      <c r="LCC55" s="12"/>
      <c r="LCD55" s="12"/>
      <c r="LCE55" s="12"/>
      <c r="LCF55" s="12"/>
      <c r="LCG55" s="12"/>
      <c r="LCH55" s="12"/>
      <c r="LCI55" s="12"/>
      <c r="LCJ55" s="12"/>
      <c r="LCK55" s="12"/>
      <c r="LCL55" s="12"/>
      <c r="LCM55" s="12"/>
      <c r="LCN55" s="12"/>
      <c r="LCO55" s="12"/>
      <c r="LCP55" s="12"/>
      <c r="LCQ55" s="12"/>
      <c r="LCR55" s="12"/>
      <c r="LCS55" s="12"/>
      <c r="LCT55" s="12"/>
      <c r="LCU55" s="12"/>
      <c r="LCV55" s="12"/>
      <c r="LCW55" s="12"/>
      <c r="LCX55" s="12"/>
      <c r="LCY55" s="12"/>
      <c r="LCZ55" s="12"/>
      <c r="LDA55" s="12"/>
      <c r="LDB55" s="12"/>
      <c r="LDC55" s="12"/>
      <c r="LDD55" s="12"/>
      <c r="LDE55" s="12"/>
      <c r="LDF55" s="12"/>
      <c r="LDG55" s="12"/>
      <c r="LDH55" s="12"/>
      <c r="LDI55" s="12"/>
      <c r="LDJ55" s="12"/>
      <c r="LDK55" s="12"/>
      <c r="LDL55" s="12"/>
      <c r="LDM55" s="12"/>
      <c r="LDN55" s="12"/>
      <c r="LDO55" s="12"/>
      <c r="LDP55" s="12"/>
      <c r="LDQ55" s="12"/>
      <c r="LDR55" s="12"/>
      <c r="LDS55" s="12"/>
      <c r="LDT55" s="12"/>
      <c r="LDU55" s="12"/>
      <c r="LDV55" s="12"/>
      <c r="LDW55" s="12"/>
      <c r="LDX55" s="12"/>
      <c r="LDY55" s="12"/>
      <c r="LDZ55" s="12"/>
      <c r="LEA55" s="12"/>
      <c r="LEB55" s="12"/>
      <c r="LEC55" s="12"/>
      <c r="LED55" s="12"/>
      <c r="LEE55" s="12"/>
      <c r="LEF55" s="12"/>
      <c r="LEG55" s="12"/>
      <c r="LEH55" s="12"/>
      <c r="LEI55" s="12"/>
      <c r="LEJ55" s="12"/>
      <c r="LEK55" s="12"/>
      <c r="LEL55" s="12"/>
      <c r="LEM55" s="12"/>
      <c r="LEN55" s="12"/>
      <c r="LEO55" s="12"/>
      <c r="LEP55" s="12"/>
      <c r="LEQ55" s="12"/>
      <c r="LER55" s="12"/>
      <c r="LES55" s="12"/>
      <c r="LET55" s="12"/>
      <c r="LEU55" s="12"/>
      <c r="LEV55" s="12"/>
      <c r="LEW55" s="12"/>
      <c r="LEX55" s="12"/>
      <c r="LEY55" s="12"/>
      <c r="LEZ55" s="12"/>
      <c r="LFA55" s="12"/>
      <c r="LFB55" s="12"/>
      <c r="LFC55" s="12"/>
      <c r="LFD55" s="12"/>
      <c r="LFE55" s="12"/>
      <c r="LFF55" s="12"/>
      <c r="LFG55" s="12"/>
      <c r="LFH55" s="12"/>
      <c r="LFI55" s="12"/>
      <c r="LFJ55" s="12"/>
      <c r="LFK55" s="12"/>
      <c r="LFL55" s="12"/>
      <c r="LFM55" s="12"/>
      <c r="LFN55" s="12"/>
      <c r="LFO55" s="12"/>
      <c r="LFP55" s="12"/>
      <c r="LFQ55" s="12"/>
      <c r="LFR55" s="12"/>
      <c r="LFS55" s="12"/>
      <c r="LFT55" s="12"/>
      <c r="LFU55" s="12"/>
      <c r="LFV55" s="12"/>
      <c r="LFW55" s="12"/>
      <c r="LFX55" s="12"/>
      <c r="LFY55" s="12"/>
      <c r="LFZ55" s="12"/>
      <c r="LGA55" s="12"/>
      <c r="LGB55" s="12"/>
      <c r="LGC55" s="12"/>
      <c r="LGD55" s="12"/>
      <c r="LGE55" s="12"/>
      <c r="LGF55" s="12"/>
      <c r="LGG55" s="12"/>
      <c r="LGH55" s="12"/>
      <c r="LGI55" s="12"/>
      <c r="LGJ55" s="12"/>
      <c r="LGK55" s="12"/>
      <c r="LGL55" s="12"/>
      <c r="LGM55" s="12"/>
      <c r="LGN55" s="12"/>
      <c r="LGO55" s="12"/>
      <c r="LGP55" s="12"/>
      <c r="LGQ55" s="12"/>
      <c r="LGR55" s="12"/>
      <c r="LGS55" s="12"/>
      <c r="LGT55" s="12"/>
      <c r="LGU55" s="12"/>
      <c r="LGV55" s="12"/>
      <c r="LGW55" s="12"/>
      <c r="LGX55" s="12"/>
      <c r="LGY55" s="12"/>
      <c r="LGZ55" s="12"/>
      <c r="LHA55" s="12"/>
      <c r="LHB55" s="12"/>
      <c r="LHC55" s="12"/>
      <c r="LHD55" s="12"/>
      <c r="LHE55" s="12"/>
      <c r="LHF55" s="12"/>
      <c r="LHG55" s="12"/>
      <c r="LHH55" s="12"/>
      <c r="LHI55" s="12"/>
      <c r="LHJ55" s="12"/>
      <c r="LHK55" s="12"/>
      <c r="LHL55" s="12"/>
      <c r="LHM55" s="12"/>
      <c r="LHN55" s="12"/>
      <c r="LHO55" s="12"/>
      <c r="LHP55" s="12"/>
      <c r="LHQ55" s="12"/>
      <c r="LHR55" s="12"/>
      <c r="LHS55" s="12"/>
      <c r="LHT55" s="12"/>
      <c r="LHU55" s="12"/>
      <c r="LHV55" s="12"/>
      <c r="LHW55" s="12"/>
      <c r="LHX55" s="12"/>
      <c r="LHY55" s="12"/>
      <c r="LHZ55" s="12"/>
      <c r="LIA55" s="12"/>
      <c r="LIB55" s="12"/>
      <c r="LIC55" s="12"/>
      <c r="LID55" s="12"/>
      <c r="LIE55" s="12"/>
      <c r="LIF55" s="12"/>
      <c r="LIG55" s="12"/>
      <c r="LIH55" s="12"/>
      <c r="LII55" s="12"/>
      <c r="LIJ55" s="12"/>
      <c r="LIK55" s="12"/>
      <c r="LIL55" s="12"/>
      <c r="LIM55" s="12"/>
      <c r="LIN55" s="12"/>
      <c r="LIO55" s="12"/>
      <c r="LIP55" s="12"/>
      <c r="LIQ55" s="12"/>
      <c r="LIR55" s="12"/>
      <c r="LIS55" s="12"/>
      <c r="LIT55" s="12"/>
      <c r="LIU55" s="12"/>
      <c r="LIV55" s="12"/>
      <c r="LIW55" s="12"/>
      <c r="LIX55" s="12"/>
      <c r="LIY55" s="12"/>
      <c r="LIZ55" s="12"/>
      <c r="LJA55" s="12"/>
      <c r="LJB55" s="12"/>
      <c r="LJC55" s="12"/>
      <c r="LJD55" s="12"/>
      <c r="LJE55" s="12"/>
      <c r="LJF55" s="12"/>
      <c r="LJG55" s="12"/>
      <c r="LJH55" s="12"/>
      <c r="LJI55" s="12"/>
      <c r="LJJ55" s="12"/>
      <c r="LJK55" s="12"/>
      <c r="LJL55" s="12"/>
      <c r="LJM55" s="12"/>
      <c r="LJN55" s="12"/>
      <c r="LJO55" s="12"/>
      <c r="LJP55" s="12"/>
      <c r="LJQ55" s="12"/>
      <c r="LJR55" s="12"/>
      <c r="LJS55" s="12"/>
      <c r="LJT55" s="12"/>
      <c r="LJU55" s="12"/>
      <c r="LJV55" s="12"/>
      <c r="LJW55" s="12"/>
      <c r="LJX55" s="12"/>
      <c r="LJY55" s="12"/>
      <c r="LJZ55" s="12"/>
      <c r="LKA55" s="12"/>
      <c r="LKB55" s="12"/>
      <c r="LKC55" s="12"/>
      <c r="LKD55" s="12"/>
      <c r="LKE55" s="12"/>
      <c r="LKF55" s="12"/>
      <c r="LKG55" s="12"/>
      <c r="LKH55" s="12"/>
      <c r="LKI55" s="12"/>
      <c r="LKJ55" s="12"/>
      <c r="LKK55" s="12"/>
      <c r="LKL55" s="12"/>
      <c r="LKM55" s="12"/>
      <c r="LKN55" s="12"/>
      <c r="LKO55" s="12"/>
      <c r="LKP55" s="12"/>
      <c r="LKQ55" s="12"/>
      <c r="LKR55" s="12"/>
      <c r="LKS55" s="12"/>
      <c r="LKT55" s="12"/>
      <c r="LKU55" s="12"/>
      <c r="LKV55" s="12"/>
      <c r="LKW55" s="12"/>
      <c r="LKX55" s="12"/>
      <c r="LKY55" s="12"/>
      <c r="LKZ55" s="12"/>
      <c r="LLA55" s="12"/>
      <c r="LLB55" s="12"/>
      <c r="LLC55" s="12"/>
      <c r="LLD55" s="12"/>
      <c r="LLE55" s="12"/>
      <c r="LLF55" s="12"/>
      <c r="LLG55" s="12"/>
      <c r="LLH55" s="12"/>
      <c r="LLI55" s="12"/>
      <c r="LLJ55" s="12"/>
      <c r="LLK55" s="12"/>
      <c r="LLL55" s="12"/>
      <c r="LLM55" s="12"/>
      <c r="LLN55" s="12"/>
      <c r="LLO55" s="12"/>
      <c r="LLP55" s="12"/>
      <c r="LLQ55" s="12"/>
      <c r="LLR55" s="12"/>
      <c r="LLS55" s="12"/>
      <c r="LLT55" s="12"/>
      <c r="LLU55" s="12"/>
      <c r="LLV55" s="12"/>
      <c r="LLW55" s="12"/>
      <c r="LLX55" s="12"/>
      <c r="LLY55" s="12"/>
      <c r="LLZ55" s="12"/>
      <c r="LMA55" s="12"/>
      <c r="LMB55" s="12"/>
      <c r="LMC55" s="12"/>
      <c r="LMD55" s="12"/>
      <c r="LME55" s="12"/>
      <c r="LMF55" s="12"/>
      <c r="LMG55" s="12"/>
      <c r="LMH55" s="12"/>
      <c r="LMI55" s="12"/>
      <c r="LMJ55" s="12"/>
      <c r="LMK55" s="12"/>
      <c r="LML55" s="12"/>
      <c r="LMM55" s="12"/>
      <c r="LMN55" s="12"/>
      <c r="LMO55" s="12"/>
      <c r="LMP55" s="12"/>
      <c r="LMQ55" s="12"/>
      <c r="LMR55" s="12"/>
      <c r="LMS55" s="12"/>
      <c r="LMT55" s="12"/>
      <c r="LMU55" s="12"/>
      <c r="LMV55" s="12"/>
      <c r="LMW55" s="12"/>
      <c r="LMX55" s="12"/>
      <c r="LMY55" s="12"/>
      <c r="LMZ55" s="12"/>
      <c r="LNA55" s="12"/>
      <c r="LNB55" s="12"/>
      <c r="LNC55" s="12"/>
      <c r="LND55" s="12"/>
      <c r="LNE55" s="12"/>
      <c r="LNF55" s="12"/>
      <c r="LNG55" s="12"/>
      <c r="LNH55" s="12"/>
      <c r="LNI55" s="12"/>
      <c r="LNJ55" s="12"/>
      <c r="LNK55" s="12"/>
      <c r="LNL55" s="12"/>
      <c r="LNM55" s="12"/>
      <c r="LNN55" s="12"/>
      <c r="LNO55" s="12"/>
      <c r="LNP55" s="12"/>
      <c r="LNQ55" s="12"/>
      <c r="LNR55" s="12"/>
      <c r="LNS55" s="12"/>
      <c r="LNT55" s="12"/>
      <c r="LNU55" s="12"/>
      <c r="LNV55" s="12"/>
      <c r="LNW55" s="12"/>
      <c r="LNX55" s="12"/>
      <c r="LNY55" s="12"/>
      <c r="LNZ55" s="12"/>
      <c r="LOA55" s="12"/>
      <c r="LOB55" s="12"/>
      <c r="LOC55" s="12"/>
      <c r="LOD55" s="12"/>
      <c r="LOE55" s="12"/>
      <c r="LOF55" s="12"/>
      <c r="LOG55" s="12"/>
      <c r="LOH55" s="12"/>
      <c r="LOI55" s="12"/>
      <c r="LOJ55" s="12"/>
      <c r="LOK55" s="12"/>
      <c r="LOL55" s="12"/>
      <c r="LOM55" s="12"/>
      <c r="LON55" s="12"/>
      <c r="LOO55" s="12"/>
      <c r="LOP55" s="12"/>
      <c r="LOQ55" s="12"/>
      <c r="LOR55" s="12"/>
      <c r="LOS55" s="12"/>
      <c r="LOT55" s="12"/>
      <c r="LOU55" s="12"/>
      <c r="LOV55" s="12"/>
      <c r="LOW55" s="12"/>
      <c r="LOX55" s="12"/>
      <c r="LOY55" s="12"/>
      <c r="LOZ55" s="12"/>
      <c r="LPA55" s="12"/>
      <c r="LPB55" s="12"/>
      <c r="LPC55" s="12"/>
      <c r="LPD55" s="12"/>
      <c r="LPE55" s="12"/>
      <c r="LPF55" s="12"/>
      <c r="LPG55" s="12"/>
      <c r="LPH55" s="12"/>
      <c r="LPI55" s="12"/>
      <c r="LPJ55" s="12"/>
      <c r="LPK55" s="12"/>
      <c r="LPL55" s="12"/>
      <c r="LPM55" s="12"/>
      <c r="LPN55" s="12"/>
      <c r="LPO55" s="12"/>
      <c r="LPP55" s="12"/>
      <c r="LPQ55" s="12"/>
      <c r="LPR55" s="12"/>
      <c r="LPS55" s="12"/>
      <c r="LPT55" s="12"/>
      <c r="LPU55" s="12"/>
      <c r="LPV55" s="12"/>
      <c r="LPW55" s="12"/>
      <c r="LPX55" s="12"/>
      <c r="LPY55" s="12"/>
      <c r="LPZ55" s="12"/>
      <c r="LQA55" s="12"/>
      <c r="LQB55" s="12"/>
      <c r="LQC55" s="12"/>
      <c r="LQD55" s="12"/>
      <c r="LQE55" s="12"/>
      <c r="LQF55" s="12"/>
      <c r="LQG55" s="12"/>
      <c r="LQH55" s="12"/>
      <c r="LQI55" s="12"/>
      <c r="LQJ55" s="12"/>
      <c r="LQK55" s="12"/>
      <c r="LQL55" s="12"/>
      <c r="LQM55" s="12"/>
      <c r="LQN55" s="12"/>
      <c r="LQO55" s="12"/>
      <c r="LQP55" s="12"/>
      <c r="LQQ55" s="12"/>
      <c r="LQR55" s="12"/>
      <c r="LQS55" s="12"/>
      <c r="LQT55" s="12"/>
      <c r="LQU55" s="12"/>
      <c r="LQV55" s="12"/>
      <c r="LQW55" s="12"/>
      <c r="LQX55" s="12"/>
      <c r="LQY55" s="12"/>
      <c r="LQZ55" s="12"/>
      <c r="LRA55" s="12"/>
      <c r="LRB55" s="12"/>
      <c r="LRC55" s="12"/>
      <c r="LRD55" s="12"/>
      <c r="LRE55" s="12"/>
      <c r="LRF55" s="12"/>
      <c r="LRG55" s="12"/>
      <c r="LRH55" s="12"/>
      <c r="LRI55" s="12"/>
      <c r="LRJ55" s="12"/>
      <c r="LRK55" s="12"/>
      <c r="LRL55" s="12"/>
      <c r="LRM55" s="12"/>
      <c r="LRN55" s="12"/>
      <c r="LRO55" s="12"/>
      <c r="LRP55" s="12"/>
      <c r="LRQ55" s="12"/>
      <c r="LRR55" s="12"/>
      <c r="LRS55" s="12"/>
      <c r="LRT55" s="12"/>
      <c r="LRU55" s="12"/>
      <c r="LRV55" s="12"/>
      <c r="LRW55" s="12"/>
      <c r="LRX55" s="12"/>
      <c r="LRY55" s="12"/>
      <c r="LRZ55" s="12"/>
      <c r="LSA55" s="12"/>
      <c r="LSB55" s="12"/>
      <c r="LSC55" s="12"/>
      <c r="LSD55" s="12"/>
      <c r="LSE55" s="12"/>
      <c r="LSF55" s="12"/>
      <c r="LSG55" s="12"/>
      <c r="LSH55" s="12"/>
      <c r="LSI55" s="12"/>
      <c r="LSJ55" s="12"/>
      <c r="LSK55" s="12"/>
      <c r="LSL55" s="12"/>
      <c r="LSM55" s="12"/>
      <c r="LSN55" s="12"/>
      <c r="LSO55" s="12"/>
      <c r="LSP55" s="12"/>
      <c r="LSQ55" s="12"/>
      <c r="LSR55" s="12"/>
      <c r="LSS55" s="12"/>
      <c r="LST55" s="12"/>
      <c r="LSU55" s="12"/>
      <c r="LSV55" s="12"/>
      <c r="LSW55" s="12"/>
      <c r="LSX55" s="12"/>
      <c r="LSY55" s="12"/>
      <c r="LSZ55" s="12"/>
      <c r="LTA55" s="12"/>
      <c r="LTB55" s="12"/>
      <c r="LTC55" s="12"/>
      <c r="LTD55" s="12"/>
      <c r="LTE55" s="12"/>
      <c r="LTF55" s="12"/>
      <c r="LTG55" s="12"/>
      <c r="LTH55" s="12"/>
      <c r="LTI55" s="12"/>
      <c r="LTJ55" s="12"/>
      <c r="LTK55" s="12"/>
      <c r="LTL55" s="12"/>
      <c r="LTM55" s="12"/>
      <c r="LTN55" s="12"/>
      <c r="LTO55" s="12"/>
      <c r="LTP55" s="12"/>
      <c r="LTQ55" s="12"/>
      <c r="LTR55" s="12"/>
      <c r="LTS55" s="12"/>
      <c r="LTT55" s="12"/>
      <c r="LTU55" s="12"/>
      <c r="LTV55" s="12"/>
      <c r="LTW55" s="12"/>
      <c r="LTX55" s="12"/>
      <c r="LTY55" s="12"/>
      <c r="LTZ55" s="12"/>
      <c r="LUA55" s="12"/>
      <c r="LUB55" s="12"/>
      <c r="LUC55" s="12"/>
      <c r="LUD55" s="12"/>
      <c r="LUE55" s="12"/>
      <c r="LUF55" s="12"/>
      <c r="LUG55" s="12"/>
      <c r="LUH55" s="12"/>
      <c r="LUI55" s="12"/>
      <c r="LUJ55" s="12"/>
      <c r="LUK55" s="12"/>
      <c r="LUL55" s="12"/>
      <c r="LUM55" s="12"/>
      <c r="LUN55" s="12"/>
      <c r="LUO55" s="12"/>
      <c r="LUP55" s="12"/>
      <c r="LUQ55" s="12"/>
      <c r="LUR55" s="12"/>
      <c r="LUS55" s="12"/>
      <c r="LUT55" s="12"/>
      <c r="LUU55" s="12"/>
      <c r="LUV55" s="12"/>
      <c r="LUW55" s="12"/>
      <c r="LUX55" s="12"/>
      <c r="LUY55" s="12"/>
      <c r="LUZ55" s="12"/>
      <c r="LVA55" s="12"/>
      <c r="LVB55" s="12"/>
      <c r="LVC55" s="12"/>
      <c r="LVD55" s="12"/>
      <c r="LVE55" s="12"/>
      <c r="LVF55" s="12"/>
      <c r="LVG55" s="12"/>
      <c r="LVH55" s="12"/>
      <c r="LVI55" s="12"/>
      <c r="LVJ55" s="12"/>
      <c r="LVK55" s="12"/>
      <c r="LVL55" s="12"/>
      <c r="LVM55" s="12"/>
      <c r="LVN55" s="12"/>
      <c r="LVO55" s="12"/>
      <c r="LVP55" s="12"/>
      <c r="LVQ55" s="12"/>
      <c r="LVR55" s="12"/>
      <c r="LVS55" s="12"/>
      <c r="LVT55" s="12"/>
      <c r="LVU55" s="12"/>
      <c r="LVV55" s="12"/>
      <c r="LVW55" s="12"/>
      <c r="LVX55" s="12"/>
      <c r="LVY55" s="12"/>
      <c r="LVZ55" s="12"/>
      <c r="LWA55" s="12"/>
      <c r="LWB55" s="12"/>
      <c r="LWC55" s="12"/>
      <c r="LWD55" s="12"/>
      <c r="LWE55" s="12"/>
      <c r="LWF55" s="12"/>
      <c r="LWG55" s="12"/>
      <c r="LWH55" s="12"/>
      <c r="LWI55" s="12"/>
      <c r="LWJ55" s="12"/>
      <c r="LWK55" s="12"/>
      <c r="LWL55" s="12"/>
      <c r="LWM55" s="12"/>
      <c r="LWN55" s="12"/>
      <c r="LWO55" s="12"/>
      <c r="LWP55" s="12"/>
      <c r="LWQ55" s="12"/>
      <c r="LWR55" s="12"/>
      <c r="LWS55" s="12"/>
      <c r="LWT55" s="12"/>
      <c r="LWU55" s="12"/>
      <c r="LWV55" s="12"/>
      <c r="LWW55" s="12"/>
      <c r="LWX55" s="12"/>
      <c r="LWY55" s="12"/>
      <c r="LWZ55" s="12"/>
      <c r="LXA55" s="12"/>
      <c r="LXB55" s="12"/>
      <c r="LXC55" s="12"/>
      <c r="LXD55" s="12"/>
      <c r="LXE55" s="12"/>
      <c r="LXF55" s="12"/>
      <c r="LXG55" s="12"/>
      <c r="LXH55" s="12"/>
      <c r="LXI55" s="12"/>
      <c r="LXJ55" s="12"/>
      <c r="LXK55" s="12"/>
      <c r="LXL55" s="12"/>
      <c r="LXM55" s="12"/>
      <c r="LXN55" s="12"/>
      <c r="LXO55" s="12"/>
      <c r="LXP55" s="12"/>
      <c r="LXQ55" s="12"/>
      <c r="LXR55" s="12"/>
      <c r="LXS55" s="12"/>
      <c r="LXT55" s="12"/>
      <c r="LXU55" s="12"/>
      <c r="LXV55" s="12"/>
      <c r="LXW55" s="12"/>
      <c r="LXX55" s="12"/>
      <c r="LXY55" s="12"/>
      <c r="LXZ55" s="12"/>
      <c r="LYA55" s="12"/>
      <c r="LYB55" s="12"/>
      <c r="LYC55" s="12"/>
      <c r="LYD55" s="12"/>
      <c r="LYE55" s="12"/>
      <c r="LYF55" s="12"/>
      <c r="LYG55" s="12"/>
      <c r="LYH55" s="12"/>
      <c r="LYI55" s="12"/>
      <c r="LYJ55" s="12"/>
      <c r="LYK55" s="12"/>
      <c r="LYL55" s="12"/>
      <c r="LYM55" s="12"/>
      <c r="LYN55" s="12"/>
      <c r="LYO55" s="12"/>
      <c r="LYP55" s="12"/>
      <c r="LYQ55" s="12"/>
      <c r="LYR55" s="12"/>
      <c r="LYS55" s="12"/>
      <c r="LYT55" s="12"/>
      <c r="LYU55" s="12"/>
      <c r="LYV55" s="12"/>
      <c r="LYW55" s="12"/>
      <c r="LYX55" s="12"/>
      <c r="LYY55" s="12"/>
      <c r="LYZ55" s="12"/>
      <c r="LZA55" s="12"/>
      <c r="LZB55" s="12"/>
      <c r="LZC55" s="12"/>
      <c r="LZD55" s="12"/>
      <c r="LZE55" s="12"/>
      <c r="LZF55" s="12"/>
      <c r="LZG55" s="12"/>
      <c r="LZH55" s="12"/>
      <c r="LZI55" s="12"/>
      <c r="LZJ55" s="12"/>
      <c r="LZK55" s="12"/>
      <c r="LZL55" s="12"/>
      <c r="LZM55" s="12"/>
      <c r="LZN55" s="12"/>
      <c r="LZO55" s="12"/>
      <c r="LZP55" s="12"/>
      <c r="LZQ55" s="12"/>
      <c r="LZR55" s="12"/>
      <c r="LZS55" s="12"/>
      <c r="LZT55" s="12"/>
      <c r="LZU55" s="12"/>
      <c r="LZV55" s="12"/>
      <c r="LZW55" s="12"/>
      <c r="LZX55" s="12"/>
      <c r="LZY55" s="12"/>
      <c r="LZZ55" s="12"/>
      <c r="MAA55" s="12"/>
      <c r="MAB55" s="12"/>
      <c r="MAC55" s="12"/>
      <c r="MAD55" s="12"/>
      <c r="MAE55" s="12"/>
      <c r="MAF55" s="12"/>
      <c r="MAG55" s="12"/>
      <c r="MAH55" s="12"/>
      <c r="MAI55" s="12"/>
      <c r="MAJ55" s="12"/>
      <c r="MAK55" s="12"/>
      <c r="MAL55" s="12"/>
      <c r="MAM55" s="12"/>
      <c r="MAN55" s="12"/>
      <c r="MAO55" s="12"/>
      <c r="MAP55" s="12"/>
      <c r="MAQ55" s="12"/>
      <c r="MAR55" s="12"/>
      <c r="MAS55" s="12"/>
      <c r="MAT55" s="12"/>
      <c r="MAU55" s="12"/>
      <c r="MAV55" s="12"/>
      <c r="MAW55" s="12"/>
      <c r="MAX55" s="12"/>
      <c r="MAY55" s="12"/>
      <c r="MAZ55" s="12"/>
      <c r="MBA55" s="12"/>
      <c r="MBB55" s="12"/>
      <c r="MBC55" s="12"/>
      <c r="MBD55" s="12"/>
      <c r="MBE55" s="12"/>
      <c r="MBF55" s="12"/>
      <c r="MBG55" s="12"/>
      <c r="MBH55" s="12"/>
      <c r="MBI55" s="12"/>
      <c r="MBJ55" s="12"/>
      <c r="MBK55" s="12"/>
      <c r="MBL55" s="12"/>
      <c r="MBM55" s="12"/>
      <c r="MBN55" s="12"/>
      <c r="MBO55" s="12"/>
      <c r="MBP55" s="12"/>
      <c r="MBQ55" s="12"/>
      <c r="MBR55" s="12"/>
      <c r="MBS55" s="12"/>
      <c r="MBT55" s="12"/>
      <c r="MBU55" s="12"/>
      <c r="MBV55" s="12"/>
      <c r="MBW55" s="12"/>
      <c r="MBX55" s="12"/>
      <c r="MBY55" s="12"/>
      <c r="MBZ55" s="12"/>
      <c r="MCA55" s="12"/>
      <c r="MCB55" s="12"/>
      <c r="MCC55" s="12"/>
      <c r="MCD55" s="12"/>
      <c r="MCE55" s="12"/>
      <c r="MCF55" s="12"/>
      <c r="MCG55" s="12"/>
      <c r="MCH55" s="12"/>
      <c r="MCI55" s="12"/>
      <c r="MCJ55" s="12"/>
      <c r="MCK55" s="12"/>
      <c r="MCL55" s="12"/>
      <c r="MCM55" s="12"/>
      <c r="MCN55" s="12"/>
      <c r="MCO55" s="12"/>
      <c r="MCP55" s="12"/>
      <c r="MCQ55" s="12"/>
      <c r="MCR55" s="12"/>
      <c r="MCS55" s="12"/>
      <c r="MCT55" s="12"/>
      <c r="MCU55" s="12"/>
      <c r="MCV55" s="12"/>
      <c r="MCW55" s="12"/>
      <c r="MCX55" s="12"/>
      <c r="MCY55" s="12"/>
      <c r="MCZ55" s="12"/>
      <c r="MDA55" s="12"/>
      <c r="MDB55" s="12"/>
      <c r="MDC55" s="12"/>
      <c r="MDD55" s="12"/>
      <c r="MDE55" s="12"/>
      <c r="MDF55" s="12"/>
      <c r="MDG55" s="12"/>
      <c r="MDH55" s="12"/>
      <c r="MDI55" s="12"/>
      <c r="MDJ55" s="12"/>
      <c r="MDK55" s="12"/>
      <c r="MDL55" s="12"/>
      <c r="MDM55" s="12"/>
      <c r="MDN55" s="12"/>
      <c r="MDO55" s="12"/>
      <c r="MDP55" s="12"/>
      <c r="MDQ55" s="12"/>
      <c r="MDR55" s="12"/>
      <c r="MDS55" s="12"/>
      <c r="MDT55" s="12"/>
      <c r="MDU55" s="12"/>
      <c r="MDV55" s="12"/>
      <c r="MDW55" s="12"/>
      <c r="MDX55" s="12"/>
      <c r="MDY55" s="12"/>
      <c r="MDZ55" s="12"/>
      <c r="MEA55" s="12"/>
      <c r="MEB55" s="12"/>
      <c r="MEC55" s="12"/>
      <c r="MED55" s="12"/>
      <c r="MEE55" s="12"/>
      <c r="MEF55" s="12"/>
      <c r="MEG55" s="12"/>
      <c r="MEH55" s="12"/>
      <c r="MEI55" s="12"/>
      <c r="MEJ55" s="12"/>
      <c r="MEK55" s="12"/>
      <c r="MEL55" s="12"/>
      <c r="MEM55" s="12"/>
      <c r="MEN55" s="12"/>
      <c r="MEO55" s="12"/>
      <c r="MEP55" s="12"/>
      <c r="MEQ55" s="12"/>
      <c r="MER55" s="12"/>
      <c r="MES55" s="12"/>
      <c r="MET55" s="12"/>
      <c r="MEU55" s="12"/>
      <c r="MEV55" s="12"/>
      <c r="MEW55" s="12"/>
      <c r="MEX55" s="12"/>
      <c r="MEY55" s="12"/>
      <c r="MEZ55" s="12"/>
      <c r="MFA55" s="12"/>
      <c r="MFB55" s="12"/>
      <c r="MFC55" s="12"/>
      <c r="MFD55" s="12"/>
      <c r="MFE55" s="12"/>
      <c r="MFF55" s="12"/>
      <c r="MFG55" s="12"/>
      <c r="MFH55" s="12"/>
      <c r="MFI55" s="12"/>
      <c r="MFJ55" s="12"/>
      <c r="MFK55" s="12"/>
      <c r="MFL55" s="12"/>
      <c r="MFM55" s="12"/>
      <c r="MFN55" s="12"/>
      <c r="MFO55" s="12"/>
      <c r="MFP55" s="12"/>
      <c r="MFQ55" s="12"/>
      <c r="MFR55" s="12"/>
      <c r="MFS55" s="12"/>
      <c r="MFT55" s="12"/>
      <c r="MFU55" s="12"/>
      <c r="MFV55" s="12"/>
      <c r="MFW55" s="12"/>
      <c r="MFX55" s="12"/>
      <c r="MFY55" s="12"/>
      <c r="MFZ55" s="12"/>
      <c r="MGA55" s="12"/>
      <c r="MGB55" s="12"/>
      <c r="MGC55" s="12"/>
      <c r="MGD55" s="12"/>
      <c r="MGE55" s="12"/>
      <c r="MGF55" s="12"/>
      <c r="MGG55" s="12"/>
      <c r="MGH55" s="12"/>
      <c r="MGI55" s="12"/>
      <c r="MGJ55" s="12"/>
      <c r="MGK55" s="12"/>
      <c r="MGL55" s="12"/>
      <c r="MGM55" s="12"/>
      <c r="MGN55" s="12"/>
      <c r="MGO55" s="12"/>
      <c r="MGP55" s="12"/>
      <c r="MGQ55" s="12"/>
      <c r="MGR55" s="12"/>
      <c r="MGS55" s="12"/>
      <c r="MGT55" s="12"/>
      <c r="MGU55" s="12"/>
      <c r="MGV55" s="12"/>
      <c r="MGW55" s="12"/>
      <c r="MGX55" s="12"/>
      <c r="MGY55" s="12"/>
      <c r="MGZ55" s="12"/>
      <c r="MHA55" s="12"/>
      <c r="MHB55" s="12"/>
      <c r="MHC55" s="12"/>
      <c r="MHD55" s="12"/>
      <c r="MHE55" s="12"/>
      <c r="MHF55" s="12"/>
      <c r="MHG55" s="12"/>
      <c r="MHH55" s="12"/>
      <c r="MHI55" s="12"/>
      <c r="MHJ55" s="12"/>
      <c r="MHK55" s="12"/>
      <c r="MHL55" s="12"/>
      <c r="MHM55" s="12"/>
      <c r="MHN55" s="12"/>
      <c r="MHO55" s="12"/>
      <c r="MHP55" s="12"/>
      <c r="MHQ55" s="12"/>
      <c r="MHR55" s="12"/>
      <c r="MHS55" s="12"/>
      <c r="MHT55" s="12"/>
      <c r="MHU55" s="12"/>
      <c r="MHV55" s="12"/>
      <c r="MHW55" s="12"/>
      <c r="MHX55" s="12"/>
      <c r="MHY55" s="12"/>
      <c r="MHZ55" s="12"/>
      <c r="MIA55" s="12"/>
      <c r="MIB55" s="12"/>
      <c r="MIC55" s="12"/>
      <c r="MID55" s="12"/>
      <c r="MIE55" s="12"/>
      <c r="MIF55" s="12"/>
      <c r="MIG55" s="12"/>
      <c r="MIH55" s="12"/>
      <c r="MII55" s="12"/>
      <c r="MIJ55" s="12"/>
      <c r="MIK55" s="12"/>
      <c r="MIL55" s="12"/>
      <c r="MIM55" s="12"/>
      <c r="MIN55" s="12"/>
      <c r="MIO55" s="12"/>
      <c r="MIP55" s="12"/>
      <c r="MIQ55" s="12"/>
      <c r="MIR55" s="12"/>
      <c r="MIS55" s="12"/>
      <c r="MIT55" s="12"/>
      <c r="MIU55" s="12"/>
      <c r="MIV55" s="12"/>
      <c r="MIW55" s="12"/>
      <c r="MIX55" s="12"/>
      <c r="MIY55" s="12"/>
      <c r="MIZ55" s="12"/>
      <c r="MJA55" s="12"/>
      <c r="MJB55" s="12"/>
      <c r="MJC55" s="12"/>
      <c r="MJD55" s="12"/>
      <c r="MJE55" s="12"/>
      <c r="MJF55" s="12"/>
      <c r="MJG55" s="12"/>
      <c r="MJH55" s="12"/>
      <c r="MJI55" s="12"/>
      <c r="MJJ55" s="12"/>
      <c r="MJK55" s="12"/>
      <c r="MJL55" s="12"/>
      <c r="MJM55" s="12"/>
      <c r="MJN55" s="12"/>
      <c r="MJO55" s="12"/>
      <c r="MJP55" s="12"/>
      <c r="MJQ55" s="12"/>
      <c r="MJR55" s="12"/>
      <c r="MJS55" s="12"/>
      <c r="MJT55" s="12"/>
      <c r="MJU55" s="12"/>
      <c r="MJV55" s="12"/>
      <c r="MJW55" s="12"/>
      <c r="MJX55" s="12"/>
      <c r="MJY55" s="12"/>
      <c r="MJZ55" s="12"/>
      <c r="MKA55" s="12"/>
      <c r="MKB55" s="12"/>
      <c r="MKC55" s="12"/>
      <c r="MKD55" s="12"/>
      <c r="MKE55" s="12"/>
      <c r="MKF55" s="12"/>
      <c r="MKG55" s="12"/>
      <c r="MKH55" s="12"/>
      <c r="MKI55" s="12"/>
      <c r="MKJ55" s="12"/>
      <c r="MKK55" s="12"/>
      <c r="MKL55" s="12"/>
      <c r="MKM55" s="12"/>
      <c r="MKN55" s="12"/>
      <c r="MKO55" s="12"/>
      <c r="MKP55" s="12"/>
      <c r="MKQ55" s="12"/>
      <c r="MKR55" s="12"/>
      <c r="MKS55" s="12"/>
      <c r="MKT55" s="12"/>
      <c r="MKU55" s="12"/>
      <c r="MKV55" s="12"/>
      <c r="MKW55" s="12"/>
      <c r="MKX55" s="12"/>
      <c r="MKY55" s="12"/>
      <c r="MKZ55" s="12"/>
      <c r="MLA55" s="12"/>
      <c r="MLB55" s="12"/>
      <c r="MLC55" s="12"/>
      <c r="MLD55" s="12"/>
      <c r="MLE55" s="12"/>
      <c r="MLF55" s="12"/>
      <c r="MLG55" s="12"/>
      <c r="MLH55" s="12"/>
      <c r="MLI55" s="12"/>
      <c r="MLJ55" s="12"/>
      <c r="MLK55" s="12"/>
      <c r="MLL55" s="12"/>
      <c r="MLM55" s="12"/>
      <c r="MLN55" s="12"/>
      <c r="MLO55" s="12"/>
      <c r="MLP55" s="12"/>
      <c r="MLQ55" s="12"/>
      <c r="MLR55" s="12"/>
      <c r="MLS55" s="12"/>
      <c r="MLT55" s="12"/>
      <c r="MLU55" s="12"/>
      <c r="MLV55" s="12"/>
      <c r="MLW55" s="12"/>
      <c r="MLX55" s="12"/>
      <c r="MLY55" s="12"/>
      <c r="MLZ55" s="12"/>
      <c r="MMA55" s="12"/>
      <c r="MMB55" s="12"/>
      <c r="MMC55" s="12"/>
      <c r="MMD55" s="12"/>
      <c r="MME55" s="12"/>
      <c r="MMF55" s="12"/>
      <c r="MMG55" s="12"/>
      <c r="MMH55" s="12"/>
      <c r="MMI55" s="12"/>
      <c r="MMJ55" s="12"/>
      <c r="MMK55" s="12"/>
      <c r="MML55" s="12"/>
      <c r="MMM55" s="12"/>
      <c r="MMN55" s="12"/>
      <c r="MMO55" s="12"/>
      <c r="MMP55" s="12"/>
      <c r="MMQ55" s="12"/>
      <c r="MMR55" s="12"/>
      <c r="MMS55" s="12"/>
      <c r="MMT55" s="12"/>
      <c r="MMU55" s="12"/>
      <c r="MMV55" s="12"/>
      <c r="MMW55" s="12"/>
      <c r="MMX55" s="12"/>
      <c r="MMY55" s="12"/>
      <c r="MMZ55" s="12"/>
      <c r="MNA55" s="12"/>
      <c r="MNB55" s="12"/>
      <c r="MNC55" s="12"/>
      <c r="MND55" s="12"/>
      <c r="MNE55" s="12"/>
      <c r="MNF55" s="12"/>
      <c r="MNG55" s="12"/>
      <c r="MNH55" s="12"/>
      <c r="MNI55" s="12"/>
      <c r="MNJ55" s="12"/>
      <c r="MNK55" s="12"/>
      <c r="MNL55" s="12"/>
      <c r="MNM55" s="12"/>
      <c r="MNN55" s="12"/>
      <c r="MNO55" s="12"/>
      <c r="MNP55" s="12"/>
      <c r="MNQ55" s="12"/>
      <c r="MNR55" s="12"/>
      <c r="MNS55" s="12"/>
      <c r="MNT55" s="12"/>
      <c r="MNU55" s="12"/>
      <c r="MNV55" s="12"/>
      <c r="MNW55" s="12"/>
      <c r="MNX55" s="12"/>
      <c r="MNY55" s="12"/>
      <c r="MNZ55" s="12"/>
      <c r="MOA55" s="12"/>
      <c r="MOB55" s="12"/>
      <c r="MOC55" s="12"/>
      <c r="MOD55" s="12"/>
      <c r="MOE55" s="12"/>
      <c r="MOF55" s="12"/>
      <c r="MOG55" s="12"/>
      <c r="MOH55" s="12"/>
      <c r="MOI55" s="12"/>
      <c r="MOJ55" s="12"/>
      <c r="MOK55" s="12"/>
      <c r="MOL55" s="12"/>
      <c r="MOM55" s="12"/>
      <c r="MON55" s="12"/>
      <c r="MOO55" s="12"/>
      <c r="MOP55" s="12"/>
      <c r="MOQ55" s="12"/>
      <c r="MOR55" s="12"/>
      <c r="MOS55" s="12"/>
      <c r="MOT55" s="12"/>
      <c r="MOU55" s="12"/>
      <c r="MOV55" s="12"/>
      <c r="MOW55" s="12"/>
      <c r="MOX55" s="12"/>
      <c r="MOY55" s="12"/>
      <c r="MOZ55" s="12"/>
      <c r="MPA55" s="12"/>
      <c r="MPB55" s="12"/>
      <c r="MPC55" s="12"/>
      <c r="MPD55" s="12"/>
      <c r="MPE55" s="12"/>
      <c r="MPF55" s="12"/>
      <c r="MPG55" s="12"/>
      <c r="MPH55" s="12"/>
      <c r="MPI55" s="12"/>
      <c r="MPJ55" s="12"/>
      <c r="MPK55" s="12"/>
      <c r="MPL55" s="12"/>
      <c r="MPM55" s="12"/>
      <c r="MPN55" s="12"/>
      <c r="MPO55" s="12"/>
      <c r="MPP55" s="12"/>
      <c r="MPQ55" s="12"/>
      <c r="MPR55" s="12"/>
      <c r="MPS55" s="12"/>
      <c r="MPT55" s="12"/>
      <c r="MPU55" s="12"/>
      <c r="MPV55" s="12"/>
      <c r="MPW55" s="12"/>
      <c r="MPX55" s="12"/>
      <c r="MPY55" s="12"/>
      <c r="MPZ55" s="12"/>
      <c r="MQA55" s="12"/>
      <c r="MQB55" s="12"/>
      <c r="MQC55" s="12"/>
      <c r="MQD55" s="12"/>
      <c r="MQE55" s="12"/>
      <c r="MQF55" s="12"/>
      <c r="MQG55" s="12"/>
      <c r="MQH55" s="12"/>
      <c r="MQI55" s="12"/>
      <c r="MQJ55" s="12"/>
      <c r="MQK55" s="12"/>
      <c r="MQL55" s="12"/>
      <c r="MQM55" s="12"/>
      <c r="MQN55" s="12"/>
      <c r="MQO55" s="12"/>
      <c r="MQP55" s="12"/>
      <c r="MQQ55" s="12"/>
      <c r="MQR55" s="12"/>
      <c r="MQS55" s="12"/>
      <c r="MQT55" s="12"/>
      <c r="MQU55" s="12"/>
      <c r="MQV55" s="12"/>
      <c r="MQW55" s="12"/>
      <c r="MQX55" s="12"/>
      <c r="MQY55" s="12"/>
      <c r="MQZ55" s="12"/>
      <c r="MRA55" s="12"/>
      <c r="MRB55" s="12"/>
      <c r="MRC55" s="12"/>
      <c r="MRD55" s="12"/>
      <c r="MRE55" s="12"/>
      <c r="MRF55" s="12"/>
      <c r="MRG55" s="12"/>
      <c r="MRH55" s="12"/>
      <c r="MRI55" s="12"/>
      <c r="MRJ55" s="12"/>
      <c r="MRK55" s="12"/>
      <c r="MRL55" s="12"/>
      <c r="MRM55" s="12"/>
      <c r="MRN55" s="12"/>
      <c r="MRO55" s="12"/>
      <c r="MRP55" s="12"/>
      <c r="MRQ55" s="12"/>
      <c r="MRR55" s="12"/>
      <c r="MRS55" s="12"/>
      <c r="MRT55" s="12"/>
      <c r="MRU55" s="12"/>
      <c r="MRV55" s="12"/>
      <c r="MRW55" s="12"/>
      <c r="MRX55" s="12"/>
      <c r="MRY55" s="12"/>
      <c r="MRZ55" s="12"/>
      <c r="MSA55" s="12"/>
      <c r="MSB55" s="12"/>
      <c r="MSC55" s="12"/>
      <c r="MSD55" s="12"/>
      <c r="MSE55" s="12"/>
      <c r="MSF55" s="12"/>
      <c r="MSG55" s="12"/>
      <c r="MSH55" s="12"/>
      <c r="MSI55" s="12"/>
      <c r="MSJ55" s="12"/>
      <c r="MSK55" s="12"/>
      <c r="MSL55" s="12"/>
      <c r="MSM55" s="12"/>
      <c r="MSN55" s="12"/>
      <c r="MSO55" s="12"/>
      <c r="MSP55" s="12"/>
      <c r="MSQ55" s="12"/>
      <c r="MSR55" s="12"/>
      <c r="MSS55" s="12"/>
      <c r="MST55" s="12"/>
      <c r="MSU55" s="12"/>
      <c r="MSV55" s="12"/>
      <c r="MSW55" s="12"/>
      <c r="MSX55" s="12"/>
      <c r="MSY55" s="12"/>
      <c r="MSZ55" s="12"/>
      <c r="MTA55" s="12"/>
      <c r="MTB55" s="12"/>
      <c r="MTC55" s="12"/>
      <c r="MTD55" s="12"/>
      <c r="MTE55" s="12"/>
      <c r="MTF55" s="12"/>
      <c r="MTG55" s="12"/>
      <c r="MTH55" s="12"/>
      <c r="MTI55" s="12"/>
      <c r="MTJ55" s="12"/>
      <c r="MTK55" s="12"/>
      <c r="MTL55" s="12"/>
      <c r="MTM55" s="12"/>
      <c r="MTN55" s="12"/>
      <c r="MTO55" s="12"/>
      <c r="MTP55" s="12"/>
      <c r="MTQ55" s="12"/>
      <c r="MTR55" s="12"/>
      <c r="MTS55" s="12"/>
      <c r="MTT55" s="12"/>
      <c r="MTU55" s="12"/>
      <c r="MTV55" s="12"/>
      <c r="MTW55" s="12"/>
      <c r="MTX55" s="12"/>
      <c r="MTY55" s="12"/>
      <c r="MTZ55" s="12"/>
      <c r="MUA55" s="12"/>
      <c r="MUB55" s="12"/>
      <c r="MUC55" s="12"/>
      <c r="MUD55" s="12"/>
      <c r="MUE55" s="12"/>
      <c r="MUF55" s="12"/>
      <c r="MUG55" s="12"/>
      <c r="MUH55" s="12"/>
      <c r="MUI55" s="12"/>
      <c r="MUJ55" s="12"/>
      <c r="MUK55" s="12"/>
      <c r="MUL55" s="12"/>
      <c r="MUM55" s="12"/>
      <c r="MUN55" s="12"/>
      <c r="MUO55" s="12"/>
      <c r="MUP55" s="12"/>
      <c r="MUQ55" s="12"/>
      <c r="MUR55" s="12"/>
      <c r="MUS55" s="12"/>
      <c r="MUT55" s="12"/>
      <c r="MUU55" s="12"/>
      <c r="MUV55" s="12"/>
      <c r="MUW55" s="12"/>
      <c r="MUX55" s="12"/>
      <c r="MUY55" s="12"/>
      <c r="MUZ55" s="12"/>
      <c r="MVA55" s="12"/>
      <c r="MVB55" s="12"/>
      <c r="MVC55" s="12"/>
      <c r="MVD55" s="12"/>
      <c r="MVE55" s="12"/>
      <c r="MVF55" s="12"/>
      <c r="MVG55" s="12"/>
      <c r="MVH55" s="12"/>
      <c r="MVI55" s="12"/>
      <c r="MVJ55" s="12"/>
      <c r="MVK55" s="12"/>
      <c r="MVL55" s="12"/>
      <c r="MVM55" s="12"/>
      <c r="MVN55" s="12"/>
      <c r="MVO55" s="12"/>
      <c r="MVP55" s="12"/>
      <c r="MVQ55" s="12"/>
      <c r="MVR55" s="12"/>
      <c r="MVS55" s="12"/>
      <c r="MVT55" s="12"/>
      <c r="MVU55" s="12"/>
      <c r="MVV55" s="12"/>
      <c r="MVW55" s="12"/>
      <c r="MVX55" s="12"/>
      <c r="MVY55" s="12"/>
      <c r="MVZ55" s="12"/>
      <c r="MWA55" s="12"/>
      <c r="MWB55" s="12"/>
      <c r="MWC55" s="12"/>
      <c r="MWD55" s="12"/>
      <c r="MWE55" s="12"/>
      <c r="MWF55" s="12"/>
      <c r="MWG55" s="12"/>
      <c r="MWH55" s="12"/>
      <c r="MWI55" s="12"/>
      <c r="MWJ55" s="12"/>
      <c r="MWK55" s="12"/>
      <c r="MWL55" s="12"/>
      <c r="MWM55" s="12"/>
      <c r="MWN55" s="12"/>
      <c r="MWO55" s="12"/>
      <c r="MWP55" s="12"/>
      <c r="MWQ55" s="12"/>
      <c r="MWR55" s="12"/>
      <c r="MWS55" s="12"/>
      <c r="MWT55" s="12"/>
      <c r="MWU55" s="12"/>
      <c r="MWV55" s="12"/>
      <c r="MWW55" s="12"/>
      <c r="MWX55" s="12"/>
      <c r="MWY55" s="12"/>
      <c r="MWZ55" s="12"/>
      <c r="MXA55" s="12"/>
      <c r="MXB55" s="12"/>
      <c r="MXC55" s="12"/>
      <c r="MXD55" s="12"/>
      <c r="MXE55" s="12"/>
      <c r="MXF55" s="12"/>
      <c r="MXG55" s="12"/>
      <c r="MXH55" s="12"/>
      <c r="MXI55" s="12"/>
      <c r="MXJ55" s="12"/>
      <c r="MXK55" s="12"/>
      <c r="MXL55" s="12"/>
      <c r="MXM55" s="12"/>
      <c r="MXN55" s="12"/>
      <c r="MXO55" s="12"/>
      <c r="MXP55" s="12"/>
      <c r="MXQ55" s="12"/>
      <c r="MXR55" s="12"/>
      <c r="MXS55" s="12"/>
      <c r="MXT55" s="12"/>
      <c r="MXU55" s="12"/>
      <c r="MXV55" s="12"/>
      <c r="MXW55" s="12"/>
      <c r="MXX55" s="12"/>
      <c r="MXY55" s="12"/>
      <c r="MXZ55" s="12"/>
      <c r="MYA55" s="12"/>
      <c r="MYB55" s="12"/>
      <c r="MYC55" s="12"/>
      <c r="MYD55" s="12"/>
      <c r="MYE55" s="12"/>
      <c r="MYF55" s="12"/>
      <c r="MYG55" s="12"/>
      <c r="MYH55" s="12"/>
      <c r="MYI55" s="12"/>
      <c r="MYJ55" s="12"/>
      <c r="MYK55" s="12"/>
      <c r="MYL55" s="12"/>
      <c r="MYM55" s="12"/>
      <c r="MYN55" s="12"/>
      <c r="MYO55" s="12"/>
      <c r="MYP55" s="12"/>
      <c r="MYQ55" s="12"/>
      <c r="MYR55" s="12"/>
      <c r="MYS55" s="12"/>
      <c r="MYT55" s="12"/>
      <c r="MYU55" s="12"/>
      <c r="MYV55" s="12"/>
      <c r="MYW55" s="12"/>
      <c r="MYX55" s="12"/>
      <c r="MYY55" s="12"/>
      <c r="MYZ55" s="12"/>
      <c r="MZA55" s="12"/>
      <c r="MZB55" s="12"/>
      <c r="MZC55" s="12"/>
      <c r="MZD55" s="12"/>
      <c r="MZE55" s="12"/>
      <c r="MZF55" s="12"/>
      <c r="MZG55" s="12"/>
      <c r="MZH55" s="12"/>
      <c r="MZI55" s="12"/>
      <c r="MZJ55" s="12"/>
      <c r="MZK55" s="12"/>
      <c r="MZL55" s="12"/>
      <c r="MZM55" s="12"/>
      <c r="MZN55" s="12"/>
      <c r="MZO55" s="12"/>
      <c r="MZP55" s="12"/>
      <c r="MZQ55" s="12"/>
      <c r="MZR55" s="12"/>
      <c r="MZS55" s="12"/>
      <c r="MZT55" s="12"/>
      <c r="MZU55" s="12"/>
      <c r="MZV55" s="12"/>
      <c r="MZW55" s="12"/>
      <c r="MZX55" s="12"/>
      <c r="MZY55" s="12"/>
      <c r="MZZ55" s="12"/>
      <c r="NAA55" s="12"/>
      <c r="NAB55" s="12"/>
      <c r="NAC55" s="12"/>
      <c r="NAD55" s="12"/>
      <c r="NAE55" s="12"/>
      <c r="NAF55" s="12"/>
      <c r="NAG55" s="12"/>
      <c r="NAH55" s="12"/>
      <c r="NAI55" s="12"/>
      <c r="NAJ55" s="12"/>
      <c r="NAK55" s="12"/>
      <c r="NAL55" s="12"/>
      <c r="NAM55" s="12"/>
      <c r="NAN55" s="12"/>
      <c r="NAO55" s="12"/>
      <c r="NAP55" s="12"/>
      <c r="NAQ55" s="12"/>
      <c r="NAR55" s="12"/>
      <c r="NAS55" s="12"/>
      <c r="NAT55" s="12"/>
      <c r="NAU55" s="12"/>
      <c r="NAV55" s="12"/>
      <c r="NAW55" s="12"/>
      <c r="NAX55" s="12"/>
      <c r="NAY55" s="12"/>
      <c r="NAZ55" s="12"/>
      <c r="NBA55" s="12"/>
      <c r="NBB55" s="12"/>
      <c r="NBC55" s="12"/>
      <c r="NBD55" s="12"/>
      <c r="NBE55" s="12"/>
      <c r="NBF55" s="12"/>
      <c r="NBG55" s="12"/>
      <c r="NBH55" s="12"/>
      <c r="NBI55" s="12"/>
      <c r="NBJ55" s="12"/>
      <c r="NBK55" s="12"/>
      <c r="NBL55" s="12"/>
      <c r="NBM55" s="12"/>
      <c r="NBN55" s="12"/>
      <c r="NBO55" s="12"/>
      <c r="NBP55" s="12"/>
      <c r="NBQ55" s="12"/>
      <c r="NBR55" s="12"/>
      <c r="NBS55" s="12"/>
      <c r="NBT55" s="12"/>
      <c r="NBU55" s="12"/>
      <c r="NBV55" s="12"/>
      <c r="NBW55" s="12"/>
      <c r="NBX55" s="12"/>
      <c r="NBY55" s="12"/>
      <c r="NBZ55" s="12"/>
      <c r="NCA55" s="12"/>
      <c r="NCB55" s="12"/>
      <c r="NCC55" s="12"/>
      <c r="NCD55" s="12"/>
      <c r="NCE55" s="12"/>
      <c r="NCF55" s="12"/>
      <c r="NCG55" s="12"/>
      <c r="NCH55" s="12"/>
      <c r="NCI55" s="12"/>
      <c r="NCJ55" s="12"/>
      <c r="NCK55" s="12"/>
      <c r="NCL55" s="12"/>
      <c r="NCM55" s="12"/>
      <c r="NCN55" s="12"/>
      <c r="NCO55" s="12"/>
      <c r="NCP55" s="12"/>
      <c r="NCQ55" s="12"/>
      <c r="NCR55" s="12"/>
      <c r="NCS55" s="12"/>
      <c r="NCT55" s="12"/>
      <c r="NCU55" s="12"/>
      <c r="NCV55" s="12"/>
      <c r="NCW55" s="12"/>
      <c r="NCX55" s="12"/>
      <c r="NCY55" s="12"/>
      <c r="NCZ55" s="12"/>
      <c r="NDA55" s="12"/>
      <c r="NDB55" s="12"/>
      <c r="NDC55" s="12"/>
      <c r="NDD55" s="12"/>
      <c r="NDE55" s="12"/>
      <c r="NDF55" s="12"/>
      <c r="NDG55" s="12"/>
      <c r="NDH55" s="12"/>
      <c r="NDI55" s="12"/>
      <c r="NDJ55" s="12"/>
      <c r="NDK55" s="12"/>
      <c r="NDL55" s="12"/>
      <c r="NDM55" s="12"/>
      <c r="NDN55" s="12"/>
      <c r="NDO55" s="12"/>
      <c r="NDP55" s="12"/>
      <c r="NDQ55" s="12"/>
      <c r="NDR55" s="12"/>
      <c r="NDS55" s="12"/>
      <c r="NDT55" s="12"/>
      <c r="NDU55" s="12"/>
      <c r="NDV55" s="12"/>
      <c r="NDW55" s="12"/>
      <c r="NDX55" s="12"/>
      <c r="NDY55" s="12"/>
      <c r="NDZ55" s="12"/>
      <c r="NEA55" s="12"/>
      <c r="NEB55" s="12"/>
      <c r="NEC55" s="12"/>
      <c r="NED55" s="12"/>
      <c r="NEE55" s="12"/>
      <c r="NEF55" s="12"/>
      <c r="NEG55" s="12"/>
      <c r="NEH55" s="12"/>
      <c r="NEI55" s="12"/>
      <c r="NEJ55" s="12"/>
      <c r="NEK55" s="12"/>
      <c r="NEL55" s="12"/>
      <c r="NEM55" s="12"/>
      <c r="NEN55" s="12"/>
      <c r="NEO55" s="12"/>
      <c r="NEP55" s="12"/>
      <c r="NEQ55" s="12"/>
      <c r="NER55" s="12"/>
      <c r="NES55" s="12"/>
      <c r="NET55" s="12"/>
      <c r="NEU55" s="12"/>
      <c r="NEV55" s="12"/>
      <c r="NEW55" s="12"/>
      <c r="NEX55" s="12"/>
      <c r="NEY55" s="12"/>
      <c r="NEZ55" s="12"/>
      <c r="NFA55" s="12"/>
      <c r="NFB55" s="12"/>
      <c r="NFC55" s="12"/>
      <c r="NFD55" s="12"/>
      <c r="NFE55" s="12"/>
      <c r="NFF55" s="12"/>
      <c r="NFG55" s="12"/>
      <c r="NFH55" s="12"/>
      <c r="NFI55" s="12"/>
      <c r="NFJ55" s="12"/>
      <c r="NFK55" s="12"/>
      <c r="NFL55" s="12"/>
      <c r="NFM55" s="12"/>
      <c r="NFN55" s="12"/>
      <c r="NFO55" s="12"/>
      <c r="NFP55" s="12"/>
      <c r="NFQ55" s="12"/>
      <c r="NFR55" s="12"/>
      <c r="NFS55" s="12"/>
      <c r="NFT55" s="12"/>
      <c r="NFU55" s="12"/>
      <c r="NFV55" s="12"/>
      <c r="NFW55" s="12"/>
      <c r="NFX55" s="12"/>
      <c r="NFY55" s="12"/>
      <c r="NFZ55" s="12"/>
      <c r="NGA55" s="12"/>
      <c r="NGB55" s="12"/>
      <c r="NGC55" s="12"/>
      <c r="NGD55" s="12"/>
      <c r="NGE55" s="12"/>
      <c r="NGF55" s="12"/>
      <c r="NGG55" s="12"/>
      <c r="NGH55" s="12"/>
      <c r="NGI55" s="12"/>
      <c r="NGJ55" s="12"/>
      <c r="NGK55" s="12"/>
      <c r="NGL55" s="12"/>
      <c r="NGM55" s="12"/>
      <c r="NGN55" s="12"/>
      <c r="NGO55" s="12"/>
      <c r="NGP55" s="12"/>
      <c r="NGQ55" s="12"/>
      <c r="NGR55" s="12"/>
      <c r="NGS55" s="12"/>
      <c r="NGT55" s="12"/>
      <c r="NGU55" s="12"/>
      <c r="NGV55" s="12"/>
      <c r="NGW55" s="12"/>
      <c r="NGX55" s="12"/>
      <c r="NGY55" s="12"/>
      <c r="NGZ55" s="12"/>
      <c r="NHA55" s="12"/>
      <c r="NHB55" s="12"/>
      <c r="NHC55" s="12"/>
      <c r="NHD55" s="12"/>
      <c r="NHE55" s="12"/>
      <c r="NHF55" s="12"/>
      <c r="NHG55" s="12"/>
      <c r="NHH55" s="12"/>
      <c r="NHI55" s="12"/>
      <c r="NHJ55" s="12"/>
      <c r="NHK55" s="12"/>
      <c r="NHL55" s="12"/>
      <c r="NHM55" s="12"/>
      <c r="NHN55" s="12"/>
      <c r="NHO55" s="12"/>
      <c r="NHP55" s="12"/>
      <c r="NHQ55" s="12"/>
      <c r="NHR55" s="12"/>
      <c r="NHS55" s="12"/>
      <c r="NHT55" s="12"/>
      <c r="NHU55" s="12"/>
      <c r="NHV55" s="12"/>
      <c r="NHW55" s="12"/>
      <c r="NHX55" s="12"/>
      <c r="NHY55" s="12"/>
      <c r="NHZ55" s="12"/>
      <c r="NIA55" s="12"/>
      <c r="NIB55" s="12"/>
      <c r="NIC55" s="12"/>
      <c r="NID55" s="12"/>
      <c r="NIE55" s="12"/>
      <c r="NIF55" s="12"/>
      <c r="NIG55" s="12"/>
      <c r="NIH55" s="12"/>
      <c r="NII55" s="12"/>
      <c r="NIJ55" s="12"/>
      <c r="NIK55" s="12"/>
      <c r="NIL55" s="12"/>
      <c r="NIM55" s="12"/>
      <c r="NIN55" s="12"/>
      <c r="NIO55" s="12"/>
      <c r="NIP55" s="12"/>
      <c r="NIQ55" s="12"/>
      <c r="NIR55" s="12"/>
      <c r="NIS55" s="12"/>
      <c r="NIT55" s="12"/>
      <c r="NIU55" s="12"/>
      <c r="NIV55" s="12"/>
      <c r="NIW55" s="12"/>
      <c r="NIX55" s="12"/>
      <c r="NIY55" s="12"/>
      <c r="NIZ55" s="12"/>
      <c r="NJA55" s="12"/>
      <c r="NJB55" s="12"/>
      <c r="NJC55" s="12"/>
      <c r="NJD55" s="12"/>
      <c r="NJE55" s="12"/>
      <c r="NJF55" s="12"/>
      <c r="NJG55" s="12"/>
      <c r="NJH55" s="12"/>
      <c r="NJI55" s="12"/>
      <c r="NJJ55" s="12"/>
      <c r="NJK55" s="12"/>
      <c r="NJL55" s="12"/>
      <c r="NJM55" s="12"/>
      <c r="NJN55" s="12"/>
      <c r="NJO55" s="12"/>
      <c r="NJP55" s="12"/>
      <c r="NJQ55" s="12"/>
      <c r="NJR55" s="12"/>
      <c r="NJS55" s="12"/>
      <c r="NJT55" s="12"/>
      <c r="NJU55" s="12"/>
      <c r="NJV55" s="12"/>
      <c r="NJW55" s="12"/>
      <c r="NJX55" s="12"/>
      <c r="NJY55" s="12"/>
      <c r="NJZ55" s="12"/>
      <c r="NKA55" s="12"/>
      <c r="NKB55" s="12"/>
      <c r="NKC55" s="12"/>
      <c r="NKD55" s="12"/>
      <c r="NKE55" s="12"/>
      <c r="NKF55" s="12"/>
      <c r="NKG55" s="12"/>
      <c r="NKH55" s="12"/>
      <c r="NKI55" s="12"/>
      <c r="NKJ55" s="12"/>
      <c r="NKK55" s="12"/>
      <c r="NKL55" s="12"/>
      <c r="NKM55" s="12"/>
      <c r="NKN55" s="12"/>
      <c r="NKO55" s="12"/>
      <c r="NKP55" s="12"/>
      <c r="NKQ55" s="12"/>
      <c r="NKR55" s="12"/>
      <c r="NKS55" s="12"/>
      <c r="NKT55" s="12"/>
      <c r="NKU55" s="12"/>
      <c r="NKV55" s="12"/>
      <c r="NKW55" s="12"/>
      <c r="NKX55" s="12"/>
      <c r="NKY55" s="12"/>
      <c r="NKZ55" s="12"/>
      <c r="NLA55" s="12"/>
      <c r="NLB55" s="12"/>
      <c r="NLC55" s="12"/>
      <c r="NLD55" s="12"/>
      <c r="NLE55" s="12"/>
      <c r="NLF55" s="12"/>
      <c r="NLG55" s="12"/>
      <c r="NLH55" s="12"/>
      <c r="NLI55" s="12"/>
      <c r="NLJ55" s="12"/>
      <c r="NLK55" s="12"/>
      <c r="NLL55" s="12"/>
      <c r="NLM55" s="12"/>
      <c r="NLN55" s="12"/>
      <c r="NLO55" s="12"/>
      <c r="NLP55" s="12"/>
      <c r="NLQ55" s="12"/>
      <c r="NLR55" s="12"/>
      <c r="NLS55" s="12"/>
      <c r="NLT55" s="12"/>
      <c r="NLU55" s="12"/>
      <c r="NLV55" s="12"/>
      <c r="NLW55" s="12"/>
      <c r="NLX55" s="12"/>
      <c r="NLY55" s="12"/>
      <c r="NLZ55" s="12"/>
      <c r="NMA55" s="12"/>
      <c r="NMB55" s="12"/>
      <c r="NMC55" s="12"/>
      <c r="NMD55" s="12"/>
      <c r="NME55" s="12"/>
      <c r="NMF55" s="12"/>
      <c r="NMG55" s="12"/>
      <c r="NMH55" s="12"/>
      <c r="NMI55" s="12"/>
      <c r="NMJ55" s="12"/>
      <c r="NMK55" s="12"/>
      <c r="NML55" s="12"/>
      <c r="NMM55" s="12"/>
      <c r="NMN55" s="12"/>
      <c r="NMO55" s="12"/>
      <c r="NMP55" s="12"/>
      <c r="NMQ55" s="12"/>
      <c r="NMR55" s="12"/>
      <c r="NMS55" s="12"/>
      <c r="NMT55" s="12"/>
      <c r="NMU55" s="12"/>
      <c r="NMV55" s="12"/>
      <c r="NMW55" s="12"/>
      <c r="NMX55" s="12"/>
      <c r="NMY55" s="12"/>
      <c r="NMZ55" s="12"/>
      <c r="NNA55" s="12"/>
      <c r="NNB55" s="12"/>
      <c r="NNC55" s="12"/>
      <c r="NND55" s="12"/>
      <c r="NNE55" s="12"/>
      <c r="NNF55" s="12"/>
      <c r="NNG55" s="12"/>
      <c r="NNH55" s="12"/>
      <c r="NNI55" s="12"/>
      <c r="NNJ55" s="12"/>
      <c r="NNK55" s="12"/>
      <c r="NNL55" s="12"/>
      <c r="NNM55" s="12"/>
      <c r="NNN55" s="12"/>
      <c r="NNO55" s="12"/>
      <c r="NNP55" s="12"/>
      <c r="NNQ55" s="12"/>
      <c r="NNR55" s="12"/>
      <c r="NNS55" s="12"/>
      <c r="NNT55" s="12"/>
      <c r="NNU55" s="12"/>
      <c r="NNV55" s="12"/>
      <c r="NNW55" s="12"/>
      <c r="NNX55" s="12"/>
      <c r="NNY55" s="12"/>
      <c r="NNZ55" s="12"/>
      <c r="NOA55" s="12"/>
      <c r="NOB55" s="12"/>
      <c r="NOC55" s="12"/>
      <c r="NOD55" s="12"/>
      <c r="NOE55" s="12"/>
      <c r="NOF55" s="12"/>
      <c r="NOG55" s="12"/>
      <c r="NOH55" s="12"/>
      <c r="NOI55" s="12"/>
      <c r="NOJ55" s="12"/>
      <c r="NOK55" s="12"/>
      <c r="NOL55" s="12"/>
      <c r="NOM55" s="12"/>
      <c r="NON55" s="12"/>
      <c r="NOO55" s="12"/>
      <c r="NOP55" s="12"/>
      <c r="NOQ55" s="12"/>
      <c r="NOR55" s="12"/>
      <c r="NOS55" s="12"/>
      <c r="NOT55" s="12"/>
      <c r="NOU55" s="12"/>
      <c r="NOV55" s="12"/>
      <c r="NOW55" s="12"/>
      <c r="NOX55" s="12"/>
      <c r="NOY55" s="12"/>
      <c r="NOZ55" s="12"/>
      <c r="NPA55" s="12"/>
      <c r="NPB55" s="12"/>
      <c r="NPC55" s="12"/>
      <c r="NPD55" s="12"/>
      <c r="NPE55" s="12"/>
      <c r="NPF55" s="12"/>
      <c r="NPG55" s="12"/>
      <c r="NPH55" s="12"/>
      <c r="NPI55" s="12"/>
      <c r="NPJ55" s="12"/>
      <c r="NPK55" s="12"/>
      <c r="NPL55" s="12"/>
      <c r="NPM55" s="12"/>
      <c r="NPN55" s="12"/>
      <c r="NPO55" s="12"/>
      <c r="NPP55" s="12"/>
      <c r="NPQ55" s="12"/>
      <c r="NPR55" s="12"/>
      <c r="NPS55" s="12"/>
      <c r="NPT55" s="12"/>
      <c r="NPU55" s="12"/>
      <c r="NPV55" s="12"/>
      <c r="NPW55" s="12"/>
      <c r="NPX55" s="12"/>
      <c r="NPY55" s="12"/>
      <c r="NPZ55" s="12"/>
      <c r="NQA55" s="12"/>
      <c r="NQB55" s="12"/>
      <c r="NQC55" s="12"/>
      <c r="NQD55" s="12"/>
      <c r="NQE55" s="12"/>
      <c r="NQF55" s="12"/>
      <c r="NQG55" s="12"/>
      <c r="NQH55" s="12"/>
      <c r="NQI55" s="12"/>
      <c r="NQJ55" s="12"/>
      <c r="NQK55" s="12"/>
      <c r="NQL55" s="12"/>
      <c r="NQM55" s="12"/>
      <c r="NQN55" s="12"/>
      <c r="NQO55" s="12"/>
      <c r="NQP55" s="12"/>
      <c r="NQQ55" s="12"/>
      <c r="NQR55" s="12"/>
      <c r="NQS55" s="12"/>
      <c r="NQT55" s="12"/>
      <c r="NQU55" s="12"/>
      <c r="NQV55" s="12"/>
      <c r="NQW55" s="12"/>
      <c r="NQX55" s="12"/>
      <c r="NQY55" s="12"/>
      <c r="NQZ55" s="12"/>
      <c r="NRA55" s="12"/>
      <c r="NRB55" s="12"/>
      <c r="NRC55" s="12"/>
      <c r="NRD55" s="12"/>
      <c r="NRE55" s="12"/>
      <c r="NRF55" s="12"/>
      <c r="NRG55" s="12"/>
      <c r="NRH55" s="12"/>
      <c r="NRI55" s="12"/>
      <c r="NRJ55" s="12"/>
      <c r="NRK55" s="12"/>
      <c r="NRL55" s="12"/>
      <c r="NRM55" s="12"/>
      <c r="NRN55" s="12"/>
      <c r="NRO55" s="12"/>
      <c r="NRP55" s="12"/>
      <c r="NRQ55" s="12"/>
      <c r="NRR55" s="12"/>
      <c r="NRS55" s="12"/>
      <c r="NRT55" s="12"/>
      <c r="NRU55" s="12"/>
      <c r="NRV55" s="12"/>
      <c r="NRW55" s="12"/>
      <c r="NRX55" s="12"/>
      <c r="NRY55" s="12"/>
      <c r="NRZ55" s="12"/>
      <c r="NSA55" s="12"/>
      <c r="NSB55" s="12"/>
      <c r="NSC55" s="12"/>
      <c r="NSD55" s="12"/>
      <c r="NSE55" s="12"/>
      <c r="NSF55" s="12"/>
      <c r="NSG55" s="12"/>
      <c r="NSH55" s="12"/>
      <c r="NSI55" s="12"/>
      <c r="NSJ55" s="12"/>
      <c r="NSK55" s="12"/>
      <c r="NSL55" s="12"/>
      <c r="NSM55" s="12"/>
      <c r="NSN55" s="12"/>
      <c r="NSO55" s="12"/>
      <c r="NSP55" s="12"/>
      <c r="NSQ55" s="12"/>
      <c r="NSR55" s="12"/>
      <c r="NSS55" s="12"/>
      <c r="NST55" s="12"/>
      <c r="NSU55" s="12"/>
      <c r="NSV55" s="12"/>
      <c r="NSW55" s="12"/>
      <c r="NSX55" s="12"/>
      <c r="NSY55" s="12"/>
      <c r="NSZ55" s="12"/>
      <c r="NTA55" s="12"/>
      <c r="NTB55" s="12"/>
      <c r="NTC55" s="12"/>
      <c r="NTD55" s="12"/>
      <c r="NTE55" s="12"/>
      <c r="NTF55" s="12"/>
      <c r="NTG55" s="12"/>
      <c r="NTH55" s="12"/>
      <c r="NTI55" s="12"/>
      <c r="NTJ55" s="12"/>
      <c r="NTK55" s="12"/>
      <c r="NTL55" s="12"/>
      <c r="NTM55" s="12"/>
      <c r="NTN55" s="12"/>
      <c r="NTO55" s="12"/>
      <c r="NTP55" s="12"/>
      <c r="NTQ55" s="12"/>
      <c r="NTR55" s="12"/>
      <c r="NTS55" s="12"/>
      <c r="NTT55" s="12"/>
      <c r="NTU55" s="12"/>
      <c r="NTV55" s="12"/>
      <c r="NTW55" s="12"/>
      <c r="NTX55" s="12"/>
      <c r="NTY55" s="12"/>
      <c r="NTZ55" s="12"/>
      <c r="NUA55" s="12"/>
      <c r="NUB55" s="12"/>
      <c r="NUC55" s="12"/>
      <c r="NUD55" s="12"/>
      <c r="NUE55" s="12"/>
      <c r="NUF55" s="12"/>
      <c r="NUG55" s="12"/>
      <c r="NUH55" s="12"/>
      <c r="NUI55" s="12"/>
      <c r="NUJ55" s="12"/>
      <c r="NUK55" s="12"/>
      <c r="NUL55" s="12"/>
      <c r="NUM55" s="12"/>
      <c r="NUN55" s="12"/>
      <c r="NUO55" s="12"/>
      <c r="NUP55" s="12"/>
      <c r="NUQ55" s="12"/>
      <c r="NUR55" s="12"/>
      <c r="NUS55" s="12"/>
      <c r="NUT55" s="12"/>
      <c r="NUU55" s="12"/>
      <c r="NUV55" s="12"/>
      <c r="NUW55" s="12"/>
      <c r="NUX55" s="12"/>
      <c r="NUY55" s="12"/>
      <c r="NUZ55" s="12"/>
      <c r="NVA55" s="12"/>
      <c r="NVB55" s="12"/>
      <c r="NVC55" s="12"/>
      <c r="NVD55" s="12"/>
      <c r="NVE55" s="12"/>
      <c r="NVF55" s="12"/>
      <c r="NVG55" s="12"/>
      <c r="NVH55" s="12"/>
      <c r="NVI55" s="12"/>
      <c r="NVJ55" s="12"/>
      <c r="NVK55" s="12"/>
      <c r="NVL55" s="12"/>
      <c r="NVM55" s="12"/>
      <c r="NVN55" s="12"/>
      <c r="NVO55" s="12"/>
      <c r="NVP55" s="12"/>
      <c r="NVQ55" s="12"/>
      <c r="NVR55" s="12"/>
      <c r="NVS55" s="12"/>
      <c r="NVT55" s="12"/>
      <c r="NVU55" s="12"/>
      <c r="NVV55" s="12"/>
      <c r="NVW55" s="12"/>
      <c r="NVX55" s="12"/>
      <c r="NVY55" s="12"/>
      <c r="NVZ55" s="12"/>
      <c r="NWA55" s="12"/>
      <c r="NWB55" s="12"/>
      <c r="NWC55" s="12"/>
      <c r="NWD55" s="12"/>
      <c r="NWE55" s="12"/>
      <c r="NWF55" s="12"/>
      <c r="NWG55" s="12"/>
      <c r="NWH55" s="12"/>
      <c r="NWI55" s="12"/>
      <c r="NWJ55" s="12"/>
      <c r="NWK55" s="12"/>
      <c r="NWL55" s="12"/>
      <c r="NWM55" s="12"/>
      <c r="NWN55" s="12"/>
      <c r="NWO55" s="12"/>
      <c r="NWP55" s="12"/>
      <c r="NWQ55" s="12"/>
      <c r="NWR55" s="12"/>
      <c r="NWS55" s="12"/>
      <c r="NWT55" s="12"/>
      <c r="NWU55" s="12"/>
      <c r="NWV55" s="12"/>
      <c r="NWW55" s="12"/>
      <c r="NWX55" s="12"/>
      <c r="NWY55" s="12"/>
      <c r="NWZ55" s="12"/>
      <c r="NXA55" s="12"/>
      <c r="NXB55" s="12"/>
      <c r="NXC55" s="12"/>
      <c r="NXD55" s="12"/>
      <c r="NXE55" s="12"/>
      <c r="NXF55" s="12"/>
      <c r="NXG55" s="12"/>
      <c r="NXH55" s="12"/>
      <c r="NXI55" s="12"/>
      <c r="NXJ55" s="12"/>
      <c r="NXK55" s="12"/>
      <c r="NXL55" s="12"/>
      <c r="NXM55" s="12"/>
      <c r="NXN55" s="12"/>
      <c r="NXO55" s="12"/>
      <c r="NXP55" s="12"/>
      <c r="NXQ55" s="12"/>
      <c r="NXR55" s="12"/>
      <c r="NXS55" s="12"/>
      <c r="NXT55" s="12"/>
      <c r="NXU55" s="12"/>
      <c r="NXV55" s="12"/>
      <c r="NXW55" s="12"/>
      <c r="NXX55" s="12"/>
      <c r="NXY55" s="12"/>
      <c r="NXZ55" s="12"/>
      <c r="NYA55" s="12"/>
      <c r="NYB55" s="12"/>
      <c r="NYC55" s="12"/>
      <c r="NYD55" s="12"/>
      <c r="NYE55" s="12"/>
      <c r="NYF55" s="12"/>
      <c r="NYG55" s="12"/>
      <c r="NYH55" s="12"/>
      <c r="NYI55" s="12"/>
      <c r="NYJ55" s="12"/>
      <c r="NYK55" s="12"/>
      <c r="NYL55" s="12"/>
      <c r="NYM55" s="12"/>
      <c r="NYN55" s="12"/>
      <c r="NYO55" s="12"/>
      <c r="NYP55" s="12"/>
      <c r="NYQ55" s="12"/>
      <c r="NYR55" s="12"/>
      <c r="NYS55" s="12"/>
      <c r="NYT55" s="12"/>
      <c r="NYU55" s="12"/>
      <c r="NYV55" s="12"/>
      <c r="NYW55" s="12"/>
      <c r="NYX55" s="12"/>
      <c r="NYY55" s="12"/>
      <c r="NYZ55" s="12"/>
      <c r="NZA55" s="12"/>
      <c r="NZB55" s="12"/>
      <c r="NZC55" s="12"/>
      <c r="NZD55" s="12"/>
      <c r="NZE55" s="12"/>
      <c r="NZF55" s="12"/>
      <c r="NZG55" s="12"/>
      <c r="NZH55" s="12"/>
      <c r="NZI55" s="12"/>
      <c r="NZJ55" s="12"/>
      <c r="NZK55" s="12"/>
      <c r="NZL55" s="12"/>
      <c r="NZM55" s="12"/>
      <c r="NZN55" s="12"/>
      <c r="NZO55" s="12"/>
      <c r="NZP55" s="12"/>
      <c r="NZQ55" s="12"/>
      <c r="NZR55" s="12"/>
      <c r="NZS55" s="12"/>
      <c r="NZT55" s="12"/>
      <c r="NZU55" s="12"/>
      <c r="NZV55" s="12"/>
      <c r="NZW55" s="12"/>
      <c r="NZX55" s="12"/>
      <c r="NZY55" s="12"/>
      <c r="NZZ55" s="12"/>
      <c r="OAA55" s="12"/>
      <c r="OAB55" s="12"/>
      <c r="OAC55" s="12"/>
      <c r="OAD55" s="12"/>
      <c r="OAE55" s="12"/>
      <c r="OAF55" s="12"/>
      <c r="OAG55" s="12"/>
      <c r="OAH55" s="12"/>
      <c r="OAI55" s="12"/>
      <c r="OAJ55" s="12"/>
      <c r="OAK55" s="12"/>
      <c r="OAL55" s="12"/>
      <c r="OAM55" s="12"/>
      <c r="OAN55" s="12"/>
      <c r="OAO55" s="12"/>
      <c r="OAP55" s="12"/>
      <c r="OAQ55" s="12"/>
      <c r="OAR55" s="12"/>
      <c r="OAS55" s="12"/>
      <c r="OAT55" s="12"/>
      <c r="OAU55" s="12"/>
      <c r="OAV55" s="12"/>
      <c r="OAW55" s="12"/>
      <c r="OAX55" s="12"/>
      <c r="OAY55" s="12"/>
      <c r="OAZ55" s="12"/>
      <c r="OBA55" s="12"/>
      <c r="OBB55" s="12"/>
      <c r="OBC55" s="12"/>
      <c r="OBD55" s="12"/>
      <c r="OBE55" s="12"/>
      <c r="OBF55" s="12"/>
      <c r="OBG55" s="12"/>
      <c r="OBH55" s="12"/>
      <c r="OBI55" s="12"/>
      <c r="OBJ55" s="12"/>
      <c r="OBK55" s="12"/>
      <c r="OBL55" s="12"/>
      <c r="OBM55" s="12"/>
      <c r="OBN55" s="12"/>
      <c r="OBO55" s="12"/>
      <c r="OBP55" s="12"/>
      <c r="OBQ55" s="12"/>
      <c r="OBR55" s="12"/>
      <c r="OBS55" s="12"/>
      <c r="OBT55" s="12"/>
      <c r="OBU55" s="12"/>
      <c r="OBV55" s="12"/>
      <c r="OBW55" s="12"/>
      <c r="OBX55" s="12"/>
      <c r="OBY55" s="12"/>
      <c r="OBZ55" s="12"/>
      <c r="OCA55" s="12"/>
      <c r="OCB55" s="12"/>
      <c r="OCC55" s="12"/>
      <c r="OCD55" s="12"/>
      <c r="OCE55" s="12"/>
      <c r="OCF55" s="12"/>
      <c r="OCG55" s="12"/>
      <c r="OCH55" s="12"/>
      <c r="OCI55" s="12"/>
      <c r="OCJ55" s="12"/>
      <c r="OCK55" s="12"/>
      <c r="OCL55" s="12"/>
      <c r="OCM55" s="12"/>
      <c r="OCN55" s="12"/>
      <c r="OCO55" s="12"/>
      <c r="OCP55" s="12"/>
      <c r="OCQ55" s="12"/>
      <c r="OCR55" s="12"/>
      <c r="OCS55" s="12"/>
      <c r="OCT55" s="12"/>
      <c r="OCU55" s="12"/>
      <c r="OCV55" s="12"/>
      <c r="OCW55" s="12"/>
      <c r="OCX55" s="12"/>
      <c r="OCY55" s="12"/>
      <c r="OCZ55" s="12"/>
      <c r="ODA55" s="12"/>
      <c r="ODB55" s="12"/>
      <c r="ODC55" s="12"/>
      <c r="ODD55" s="12"/>
      <c r="ODE55" s="12"/>
      <c r="ODF55" s="12"/>
      <c r="ODG55" s="12"/>
      <c r="ODH55" s="12"/>
      <c r="ODI55" s="12"/>
      <c r="ODJ55" s="12"/>
      <c r="ODK55" s="12"/>
      <c r="ODL55" s="12"/>
      <c r="ODM55" s="12"/>
      <c r="ODN55" s="12"/>
      <c r="ODO55" s="12"/>
      <c r="ODP55" s="12"/>
      <c r="ODQ55" s="12"/>
      <c r="ODR55" s="12"/>
      <c r="ODS55" s="12"/>
      <c r="ODT55" s="12"/>
      <c r="ODU55" s="12"/>
      <c r="ODV55" s="12"/>
      <c r="ODW55" s="12"/>
      <c r="ODX55" s="12"/>
      <c r="ODY55" s="12"/>
      <c r="ODZ55" s="12"/>
      <c r="OEA55" s="12"/>
      <c r="OEB55" s="12"/>
      <c r="OEC55" s="12"/>
      <c r="OED55" s="12"/>
      <c r="OEE55" s="12"/>
      <c r="OEF55" s="12"/>
      <c r="OEG55" s="12"/>
      <c r="OEH55" s="12"/>
      <c r="OEI55" s="12"/>
      <c r="OEJ55" s="12"/>
      <c r="OEK55" s="12"/>
      <c r="OEL55" s="12"/>
      <c r="OEM55" s="12"/>
      <c r="OEN55" s="12"/>
      <c r="OEO55" s="12"/>
      <c r="OEP55" s="12"/>
      <c r="OEQ55" s="12"/>
      <c r="OER55" s="12"/>
      <c r="OES55" s="12"/>
      <c r="OET55" s="12"/>
      <c r="OEU55" s="12"/>
      <c r="OEV55" s="12"/>
      <c r="OEW55" s="12"/>
      <c r="OEX55" s="12"/>
      <c r="OEY55" s="12"/>
      <c r="OEZ55" s="12"/>
      <c r="OFA55" s="12"/>
      <c r="OFB55" s="12"/>
      <c r="OFC55" s="12"/>
      <c r="OFD55" s="12"/>
      <c r="OFE55" s="12"/>
      <c r="OFF55" s="12"/>
      <c r="OFG55" s="12"/>
      <c r="OFH55" s="12"/>
      <c r="OFI55" s="12"/>
      <c r="OFJ55" s="12"/>
      <c r="OFK55" s="12"/>
      <c r="OFL55" s="12"/>
      <c r="OFM55" s="12"/>
      <c r="OFN55" s="12"/>
      <c r="OFO55" s="12"/>
      <c r="OFP55" s="12"/>
      <c r="OFQ55" s="12"/>
      <c r="OFR55" s="12"/>
      <c r="OFS55" s="12"/>
      <c r="OFT55" s="12"/>
      <c r="OFU55" s="12"/>
      <c r="OFV55" s="12"/>
      <c r="OFW55" s="12"/>
      <c r="OFX55" s="12"/>
      <c r="OFY55" s="12"/>
      <c r="OFZ55" s="12"/>
      <c r="OGA55" s="12"/>
      <c r="OGB55" s="12"/>
      <c r="OGC55" s="12"/>
      <c r="OGD55" s="12"/>
      <c r="OGE55" s="12"/>
      <c r="OGF55" s="12"/>
      <c r="OGG55" s="12"/>
      <c r="OGH55" s="12"/>
      <c r="OGI55" s="12"/>
      <c r="OGJ55" s="12"/>
      <c r="OGK55" s="12"/>
      <c r="OGL55" s="12"/>
      <c r="OGM55" s="12"/>
      <c r="OGN55" s="12"/>
      <c r="OGO55" s="12"/>
      <c r="OGP55" s="12"/>
      <c r="OGQ55" s="12"/>
      <c r="OGR55" s="12"/>
      <c r="OGS55" s="12"/>
      <c r="OGT55" s="12"/>
      <c r="OGU55" s="12"/>
      <c r="OGV55" s="12"/>
      <c r="OGW55" s="12"/>
      <c r="OGX55" s="12"/>
      <c r="OGY55" s="12"/>
      <c r="OGZ55" s="12"/>
      <c r="OHA55" s="12"/>
      <c r="OHB55" s="12"/>
      <c r="OHC55" s="12"/>
      <c r="OHD55" s="12"/>
      <c r="OHE55" s="12"/>
      <c r="OHF55" s="12"/>
      <c r="OHG55" s="12"/>
      <c r="OHH55" s="12"/>
      <c r="OHI55" s="12"/>
      <c r="OHJ55" s="12"/>
      <c r="OHK55" s="12"/>
      <c r="OHL55" s="12"/>
      <c r="OHM55" s="12"/>
      <c r="OHN55" s="12"/>
      <c r="OHO55" s="12"/>
      <c r="OHP55" s="12"/>
      <c r="OHQ55" s="12"/>
      <c r="OHR55" s="12"/>
      <c r="OHS55" s="12"/>
      <c r="OHT55" s="12"/>
      <c r="OHU55" s="12"/>
      <c r="OHV55" s="12"/>
      <c r="OHW55" s="12"/>
      <c r="OHX55" s="12"/>
      <c r="OHY55" s="12"/>
      <c r="OHZ55" s="12"/>
      <c r="OIA55" s="12"/>
      <c r="OIB55" s="12"/>
      <c r="OIC55" s="12"/>
      <c r="OID55" s="12"/>
      <c r="OIE55" s="12"/>
      <c r="OIF55" s="12"/>
      <c r="OIG55" s="12"/>
      <c r="OIH55" s="12"/>
      <c r="OII55" s="12"/>
      <c r="OIJ55" s="12"/>
      <c r="OIK55" s="12"/>
      <c r="OIL55" s="12"/>
      <c r="OIM55" s="12"/>
      <c r="OIN55" s="12"/>
      <c r="OIO55" s="12"/>
      <c r="OIP55" s="12"/>
      <c r="OIQ55" s="12"/>
      <c r="OIR55" s="12"/>
      <c r="OIS55" s="12"/>
      <c r="OIT55" s="12"/>
      <c r="OIU55" s="12"/>
      <c r="OIV55" s="12"/>
      <c r="OIW55" s="12"/>
      <c r="OIX55" s="12"/>
      <c r="OIY55" s="12"/>
      <c r="OIZ55" s="12"/>
      <c r="OJA55" s="12"/>
      <c r="OJB55" s="12"/>
      <c r="OJC55" s="12"/>
      <c r="OJD55" s="12"/>
      <c r="OJE55" s="12"/>
      <c r="OJF55" s="12"/>
      <c r="OJG55" s="12"/>
      <c r="OJH55" s="12"/>
      <c r="OJI55" s="12"/>
      <c r="OJJ55" s="12"/>
      <c r="OJK55" s="12"/>
      <c r="OJL55" s="12"/>
      <c r="OJM55" s="12"/>
      <c r="OJN55" s="12"/>
      <c r="OJO55" s="12"/>
      <c r="OJP55" s="12"/>
      <c r="OJQ55" s="12"/>
      <c r="OJR55" s="12"/>
      <c r="OJS55" s="12"/>
      <c r="OJT55" s="12"/>
      <c r="OJU55" s="12"/>
      <c r="OJV55" s="12"/>
      <c r="OJW55" s="12"/>
      <c r="OJX55" s="12"/>
      <c r="OJY55" s="12"/>
      <c r="OJZ55" s="12"/>
      <c r="OKA55" s="12"/>
      <c r="OKB55" s="12"/>
      <c r="OKC55" s="12"/>
      <c r="OKD55" s="12"/>
      <c r="OKE55" s="12"/>
      <c r="OKF55" s="12"/>
      <c r="OKG55" s="12"/>
      <c r="OKH55" s="12"/>
      <c r="OKI55" s="12"/>
      <c r="OKJ55" s="12"/>
      <c r="OKK55" s="12"/>
      <c r="OKL55" s="12"/>
      <c r="OKM55" s="12"/>
      <c r="OKN55" s="12"/>
      <c r="OKO55" s="12"/>
      <c r="OKP55" s="12"/>
      <c r="OKQ55" s="12"/>
      <c r="OKR55" s="12"/>
      <c r="OKS55" s="12"/>
      <c r="OKT55" s="12"/>
      <c r="OKU55" s="12"/>
      <c r="OKV55" s="12"/>
      <c r="OKW55" s="12"/>
      <c r="OKX55" s="12"/>
      <c r="OKY55" s="12"/>
      <c r="OKZ55" s="12"/>
      <c r="OLA55" s="12"/>
      <c r="OLB55" s="12"/>
      <c r="OLC55" s="12"/>
      <c r="OLD55" s="12"/>
      <c r="OLE55" s="12"/>
      <c r="OLF55" s="12"/>
      <c r="OLG55" s="12"/>
      <c r="OLH55" s="12"/>
      <c r="OLI55" s="12"/>
      <c r="OLJ55" s="12"/>
      <c r="OLK55" s="12"/>
      <c r="OLL55" s="12"/>
      <c r="OLM55" s="12"/>
      <c r="OLN55" s="12"/>
      <c r="OLO55" s="12"/>
      <c r="OLP55" s="12"/>
      <c r="OLQ55" s="12"/>
      <c r="OLR55" s="12"/>
      <c r="OLS55" s="12"/>
      <c r="OLT55" s="12"/>
      <c r="OLU55" s="12"/>
      <c r="OLV55" s="12"/>
      <c r="OLW55" s="12"/>
      <c r="OLX55" s="12"/>
      <c r="OLY55" s="12"/>
      <c r="OLZ55" s="12"/>
      <c r="OMA55" s="12"/>
      <c r="OMB55" s="12"/>
      <c r="OMC55" s="12"/>
      <c r="OMD55" s="12"/>
      <c r="OME55" s="12"/>
      <c r="OMF55" s="12"/>
      <c r="OMG55" s="12"/>
      <c r="OMH55" s="12"/>
      <c r="OMI55" s="12"/>
      <c r="OMJ55" s="12"/>
      <c r="OMK55" s="12"/>
      <c r="OML55" s="12"/>
      <c r="OMM55" s="12"/>
      <c r="OMN55" s="12"/>
      <c r="OMO55" s="12"/>
      <c r="OMP55" s="12"/>
      <c r="OMQ55" s="12"/>
      <c r="OMR55" s="12"/>
      <c r="OMS55" s="12"/>
      <c r="OMT55" s="12"/>
      <c r="OMU55" s="12"/>
      <c r="OMV55" s="12"/>
      <c r="OMW55" s="12"/>
      <c r="OMX55" s="12"/>
      <c r="OMY55" s="12"/>
      <c r="OMZ55" s="12"/>
      <c r="ONA55" s="12"/>
      <c r="ONB55" s="12"/>
      <c r="ONC55" s="12"/>
      <c r="OND55" s="12"/>
      <c r="ONE55" s="12"/>
      <c r="ONF55" s="12"/>
      <c r="ONG55" s="12"/>
      <c r="ONH55" s="12"/>
      <c r="ONI55" s="12"/>
      <c r="ONJ55" s="12"/>
      <c r="ONK55" s="12"/>
      <c r="ONL55" s="12"/>
      <c r="ONM55" s="12"/>
      <c r="ONN55" s="12"/>
      <c r="ONO55" s="12"/>
      <c r="ONP55" s="12"/>
      <c r="ONQ55" s="12"/>
      <c r="ONR55" s="12"/>
      <c r="ONS55" s="12"/>
      <c r="ONT55" s="12"/>
      <c r="ONU55" s="12"/>
      <c r="ONV55" s="12"/>
      <c r="ONW55" s="12"/>
      <c r="ONX55" s="12"/>
      <c r="ONY55" s="12"/>
      <c r="ONZ55" s="12"/>
      <c r="OOA55" s="12"/>
      <c r="OOB55" s="12"/>
      <c r="OOC55" s="12"/>
      <c r="OOD55" s="12"/>
      <c r="OOE55" s="12"/>
      <c r="OOF55" s="12"/>
      <c r="OOG55" s="12"/>
      <c r="OOH55" s="12"/>
      <c r="OOI55" s="12"/>
      <c r="OOJ55" s="12"/>
      <c r="OOK55" s="12"/>
      <c r="OOL55" s="12"/>
      <c r="OOM55" s="12"/>
      <c r="OON55" s="12"/>
      <c r="OOO55" s="12"/>
      <c r="OOP55" s="12"/>
      <c r="OOQ55" s="12"/>
      <c r="OOR55" s="12"/>
      <c r="OOS55" s="12"/>
      <c r="OOT55" s="12"/>
      <c r="OOU55" s="12"/>
      <c r="OOV55" s="12"/>
      <c r="OOW55" s="12"/>
      <c r="OOX55" s="12"/>
      <c r="OOY55" s="12"/>
      <c r="OOZ55" s="12"/>
      <c r="OPA55" s="12"/>
      <c r="OPB55" s="12"/>
      <c r="OPC55" s="12"/>
      <c r="OPD55" s="12"/>
      <c r="OPE55" s="12"/>
      <c r="OPF55" s="12"/>
      <c r="OPG55" s="12"/>
      <c r="OPH55" s="12"/>
      <c r="OPI55" s="12"/>
      <c r="OPJ55" s="12"/>
      <c r="OPK55" s="12"/>
      <c r="OPL55" s="12"/>
      <c r="OPM55" s="12"/>
      <c r="OPN55" s="12"/>
      <c r="OPO55" s="12"/>
      <c r="OPP55" s="12"/>
      <c r="OPQ55" s="12"/>
      <c r="OPR55" s="12"/>
      <c r="OPS55" s="12"/>
      <c r="OPT55" s="12"/>
      <c r="OPU55" s="12"/>
      <c r="OPV55" s="12"/>
      <c r="OPW55" s="12"/>
      <c r="OPX55" s="12"/>
      <c r="OPY55" s="12"/>
      <c r="OPZ55" s="12"/>
      <c r="OQA55" s="12"/>
      <c r="OQB55" s="12"/>
      <c r="OQC55" s="12"/>
      <c r="OQD55" s="12"/>
      <c r="OQE55" s="12"/>
      <c r="OQF55" s="12"/>
      <c r="OQG55" s="12"/>
      <c r="OQH55" s="12"/>
      <c r="OQI55" s="12"/>
      <c r="OQJ55" s="12"/>
      <c r="OQK55" s="12"/>
      <c r="OQL55" s="12"/>
      <c r="OQM55" s="12"/>
      <c r="OQN55" s="12"/>
      <c r="OQO55" s="12"/>
      <c r="OQP55" s="12"/>
      <c r="OQQ55" s="12"/>
      <c r="OQR55" s="12"/>
      <c r="OQS55" s="12"/>
      <c r="OQT55" s="12"/>
      <c r="OQU55" s="12"/>
      <c r="OQV55" s="12"/>
      <c r="OQW55" s="12"/>
      <c r="OQX55" s="12"/>
      <c r="OQY55" s="12"/>
      <c r="OQZ55" s="12"/>
      <c r="ORA55" s="12"/>
      <c r="ORB55" s="12"/>
      <c r="ORC55" s="12"/>
      <c r="ORD55" s="12"/>
      <c r="ORE55" s="12"/>
      <c r="ORF55" s="12"/>
      <c r="ORG55" s="12"/>
      <c r="ORH55" s="12"/>
      <c r="ORI55" s="12"/>
      <c r="ORJ55" s="12"/>
      <c r="ORK55" s="12"/>
      <c r="ORL55" s="12"/>
      <c r="ORM55" s="12"/>
      <c r="ORN55" s="12"/>
      <c r="ORO55" s="12"/>
      <c r="ORP55" s="12"/>
      <c r="ORQ55" s="12"/>
      <c r="ORR55" s="12"/>
      <c r="ORS55" s="12"/>
      <c r="ORT55" s="12"/>
      <c r="ORU55" s="12"/>
      <c r="ORV55" s="12"/>
      <c r="ORW55" s="12"/>
      <c r="ORX55" s="12"/>
      <c r="ORY55" s="12"/>
      <c r="ORZ55" s="12"/>
      <c r="OSA55" s="12"/>
      <c r="OSB55" s="12"/>
      <c r="OSC55" s="12"/>
      <c r="OSD55" s="12"/>
      <c r="OSE55" s="12"/>
      <c r="OSF55" s="12"/>
      <c r="OSG55" s="12"/>
      <c r="OSH55" s="12"/>
      <c r="OSI55" s="12"/>
      <c r="OSJ55" s="12"/>
      <c r="OSK55" s="12"/>
      <c r="OSL55" s="12"/>
      <c r="OSM55" s="12"/>
      <c r="OSN55" s="12"/>
      <c r="OSO55" s="12"/>
      <c r="OSP55" s="12"/>
      <c r="OSQ55" s="12"/>
      <c r="OSR55" s="12"/>
      <c r="OSS55" s="12"/>
      <c r="OST55" s="12"/>
      <c r="OSU55" s="12"/>
      <c r="OSV55" s="12"/>
      <c r="OSW55" s="12"/>
      <c r="OSX55" s="12"/>
      <c r="OSY55" s="12"/>
      <c r="OSZ55" s="12"/>
      <c r="OTA55" s="12"/>
      <c r="OTB55" s="12"/>
      <c r="OTC55" s="12"/>
      <c r="OTD55" s="12"/>
      <c r="OTE55" s="12"/>
      <c r="OTF55" s="12"/>
      <c r="OTG55" s="12"/>
      <c r="OTH55" s="12"/>
      <c r="OTI55" s="12"/>
      <c r="OTJ55" s="12"/>
      <c r="OTK55" s="12"/>
      <c r="OTL55" s="12"/>
      <c r="OTM55" s="12"/>
      <c r="OTN55" s="12"/>
      <c r="OTO55" s="12"/>
      <c r="OTP55" s="12"/>
      <c r="OTQ55" s="12"/>
      <c r="OTR55" s="12"/>
      <c r="OTS55" s="12"/>
      <c r="OTT55" s="12"/>
      <c r="OTU55" s="12"/>
      <c r="OTV55" s="12"/>
      <c r="OTW55" s="12"/>
      <c r="OTX55" s="12"/>
      <c r="OTY55" s="12"/>
      <c r="OTZ55" s="12"/>
      <c r="OUA55" s="12"/>
      <c r="OUB55" s="12"/>
      <c r="OUC55" s="12"/>
      <c r="OUD55" s="12"/>
      <c r="OUE55" s="12"/>
      <c r="OUF55" s="12"/>
      <c r="OUG55" s="12"/>
      <c r="OUH55" s="12"/>
      <c r="OUI55" s="12"/>
      <c r="OUJ55" s="12"/>
      <c r="OUK55" s="12"/>
      <c r="OUL55" s="12"/>
      <c r="OUM55" s="12"/>
      <c r="OUN55" s="12"/>
      <c r="OUO55" s="12"/>
      <c r="OUP55" s="12"/>
      <c r="OUQ55" s="12"/>
      <c r="OUR55" s="12"/>
      <c r="OUS55" s="12"/>
      <c r="OUT55" s="12"/>
      <c r="OUU55" s="12"/>
      <c r="OUV55" s="12"/>
      <c r="OUW55" s="12"/>
      <c r="OUX55" s="12"/>
      <c r="OUY55" s="12"/>
      <c r="OUZ55" s="12"/>
      <c r="OVA55" s="12"/>
      <c r="OVB55" s="12"/>
      <c r="OVC55" s="12"/>
      <c r="OVD55" s="12"/>
      <c r="OVE55" s="12"/>
      <c r="OVF55" s="12"/>
      <c r="OVG55" s="12"/>
      <c r="OVH55" s="12"/>
      <c r="OVI55" s="12"/>
      <c r="OVJ55" s="12"/>
      <c r="OVK55" s="12"/>
      <c r="OVL55" s="12"/>
      <c r="OVM55" s="12"/>
      <c r="OVN55" s="12"/>
      <c r="OVO55" s="12"/>
      <c r="OVP55" s="12"/>
      <c r="OVQ55" s="12"/>
      <c r="OVR55" s="12"/>
      <c r="OVS55" s="12"/>
      <c r="OVT55" s="12"/>
      <c r="OVU55" s="12"/>
      <c r="OVV55" s="12"/>
      <c r="OVW55" s="12"/>
      <c r="OVX55" s="12"/>
      <c r="OVY55" s="12"/>
      <c r="OVZ55" s="12"/>
      <c r="OWA55" s="12"/>
      <c r="OWB55" s="12"/>
      <c r="OWC55" s="12"/>
      <c r="OWD55" s="12"/>
      <c r="OWE55" s="12"/>
      <c r="OWF55" s="12"/>
      <c r="OWG55" s="12"/>
      <c r="OWH55" s="12"/>
      <c r="OWI55" s="12"/>
      <c r="OWJ55" s="12"/>
      <c r="OWK55" s="12"/>
      <c r="OWL55" s="12"/>
      <c r="OWM55" s="12"/>
      <c r="OWN55" s="12"/>
      <c r="OWO55" s="12"/>
      <c r="OWP55" s="12"/>
      <c r="OWQ55" s="12"/>
      <c r="OWR55" s="12"/>
      <c r="OWS55" s="12"/>
      <c r="OWT55" s="12"/>
      <c r="OWU55" s="12"/>
      <c r="OWV55" s="12"/>
      <c r="OWW55" s="12"/>
      <c r="OWX55" s="12"/>
      <c r="OWY55" s="12"/>
      <c r="OWZ55" s="12"/>
      <c r="OXA55" s="12"/>
      <c r="OXB55" s="12"/>
      <c r="OXC55" s="12"/>
      <c r="OXD55" s="12"/>
      <c r="OXE55" s="12"/>
      <c r="OXF55" s="12"/>
      <c r="OXG55" s="12"/>
      <c r="OXH55" s="12"/>
      <c r="OXI55" s="12"/>
      <c r="OXJ55" s="12"/>
      <c r="OXK55" s="12"/>
      <c r="OXL55" s="12"/>
      <c r="OXM55" s="12"/>
      <c r="OXN55" s="12"/>
      <c r="OXO55" s="12"/>
      <c r="OXP55" s="12"/>
      <c r="OXQ55" s="12"/>
      <c r="OXR55" s="12"/>
      <c r="OXS55" s="12"/>
      <c r="OXT55" s="12"/>
      <c r="OXU55" s="12"/>
      <c r="OXV55" s="12"/>
      <c r="OXW55" s="12"/>
      <c r="OXX55" s="12"/>
      <c r="OXY55" s="12"/>
      <c r="OXZ55" s="12"/>
      <c r="OYA55" s="12"/>
      <c r="OYB55" s="12"/>
      <c r="OYC55" s="12"/>
      <c r="OYD55" s="12"/>
      <c r="OYE55" s="12"/>
      <c r="OYF55" s="12"/>
      <c r="OYG55" s="12"/>
      <c r="OYH55" s="12"/>
      <c r="OYI55" s="12"/>
      <c r="OYJ55" s="12"/>
      <c r="OYK55" s="12"/>
      <c r="OYL55" s="12"/>
      <c r="OYM55" s="12"/>
      <c r="OYN55" s="12"/>
      <c r="OYO55" s="12"/>
      <c r="OYP55" s="12"/>
      <c r="OYQ55" s="12"/>
      <c r="OYR55" s="12"/>
      <c r="OYS55" s="12"/>
      <c r="OYT55" s="12"/>
      <c r="OYU55" s="12"/>
      <c r="OYV55" s="12"/>
      <c r="OYW55" s="12"/>
      <c r="OYX55" s="12"/>
      <c r="OYY55" s="12"/>
      <c r="OYZ55" s="12"/>
      <c r="OZA55" s="12"/>
      <c r="OZB55" s="12"/>
      <c r="OZC55" s="12"/>
      <c r="OZD55" s="12"/>
      <c r="OZE55" s="12"/>
      <c r="OZF55" s="12"/>
      <c r="OZG55" s="12"/>
      <c r="OZH55" s="12"/>
      <c r="OZI55" s="12"/>
      <c r="OZJ55" s="12"/>
      <c r="OZK55" s="12"/>
      <c r="OZL55" s="12"/>
      <c r="OZM55" s="12"/>
      <c r="OZN55" s="12"/>
      <c r="OZO55" s="12"/>
      <c r="OZP55" s="12"/>
      <c r="OZQ55" s="12"/>
      <c r="OZR55" s="12"/>
      <c r="OZS55" s="12"/>
      <c r="OZT55" s="12"/>
      <c r="OZU55" s="12"/>
      <c r="OZV55" s="12"/>
      <c r="OZW55" s="12"/>
      <c r="OZX55" s="12"/>
      <c r="OZY55" s="12"/>
      <c r="OZZ55" s="12"/>
      <c r="PAA55" s="12"/>
      <c r="PAB55" s="12"/>
      <c r="PAC55" s="12"/>
      <c r="PAD55" s="12"/>
      <c r="PAE55" s="12"/>
      <c r="PAF55" s="12"/>
      <c r="PAG55" s="12"/>
      <c r="PAH55" s="12"/>
      <c r="PAI55" s="12"/>
      <c r="PAJ55" s="12"/>
      <c r="PAK55" s="12"/>
      <c r="PAL55" s="12"/>
      <c r="PAM55" s="12"/>
      <c r="PAN55" s="12"/>
      <c r="PAO55" s="12"/>
      <c r="PAP55" s="12"/>
      <c r="PAQ55" s="12"/>
      <c r="PAR55" s="12"/>
      <c r="PAS55" s="12"/>
      <c r="PAT55" s="12"/>
      <c r="PAU55" s="12"/>
      <c r="PAV55" s="12"/>
      <c r="PAW55" s="12"/>
      <c r="PAX55" s="12"/>
      <c r="PAY55" s="12"/>
      <c r="PAZ55" s="12"/>
      <c r="PBA55" s="12"/>
      <c r="PBB55" s="12"/>
      <c r="PBC55" s="12"/>
      <c r="PBD55" s="12"/>
      <c r="PBE55" s="12"/>
      <c r="PBF55" s="12"/>
      <c r="PBG55" s="12"/>
      <c r="PBH55" s="12"/>
      <c r="PBI55" s="12"/>
      <c r="PBJ55" s="12"/>
      <c r="PBK55" s="12"/>
      <c r="PBL55" s="12"/>
      <c r="PBM55" s="12"/>
      <c r="PBN55" s="12"/>
      <c r="PBO55" s="12"/>
      <c r="PBP55" s="12"/>
      <c r="PBQ55" s="12"/>
      <c r="PBR55" s="12"/>
      <c r="PBS55" s="12"/>
      <c r="PBT55" s="12"/>
      <c r="PBU55" s="12"/>
      <c r="PBV55" s="12"/>
      <c r="PBW55" s="12"/>
      <c r="PBX55" s="12"/>
      <c r="PBY55" s="12"/>
      <c r="PBZ55" s="12"/>
      <c r="PCA55" s="12"/>
      <c r="PCB55" s="12"/>
      <c r="PCC55" s="12"/>
      <c r="PCD55" s="12"/>
      <c r="PCE55" s="12"/>
      <c r="PCF55" s="12"/>
      <c r="PCG55" s="12"/>
      <c r="PCH55" s="12"/>
      <c r="PCI55" s="12"/>
      <c r="PCJ55" s="12"/>
      <c r="PCK55" s="12"/>
      <c r="PCL55" s="12"/>
      <c r="PCM55" s="12"/>
      <c r="PCN55" s="12"/>
      <c r="PCO55" s="12"/>
      <c r="PCP55" s="12"/>
      <c r="PCQ55" s="12"/>
      <c r="PCR55" s="12"/>
      <c r="PCS55" s="12"/>
      <c r="PCT55" s="12"/>
      <c r="PCU55" s="12"/>
      <c r="PCV55" s="12"/>
      <c r="PCW55" s="12"/>
      <c r="PCX55" s="12"/>
      <c r="PCY55" s="12"/>
      <c r="PCZ55" s="12"/>
      <c r="PDA55" s="12"/>
      <c r="PDB55" s="12"/>
      <c r="PDC55" s="12"/>
      <c r="PDD55" s="12"/>
      <c r="PDE55" s="12"/>
      <c r="PDF55" s="12"/>
      <c r="PDG55" s="12"/>
      <c r="PDH55" s="12"/>
      <c r="PDI55" s="12"/>
      <c r="PDJ55" s="12"/>
      <c r="PDK55" s="12"/>
      <c r="PDL55" s="12"/>
      <c r="PDM55" s="12"/>
      <c r="PDN55" s="12"/>
      <c r="PDO55" s="12"/>
      <c r="PDP55" s="12"/>
      <c r="PDQ55" s="12"/>
      <c r="PDR55" s="12"/>
      <c r="PDS55" s="12"/>
      <c r="PDT55" s="12"/>
      <c r="PDU55" s="12"/>
      <c r="PDV55" s="12"/>
      <c r="PDW55" s="12"/>
      <c r="PDX55" s="12"/>
      <c r="PDY55" s="12"/>
      <c r="PDZ55" s="12"/>
      <c r="PEA55" s="12"/>
      <c r="PEB55" s="12"/>
      <c r="PEC55" s="12"/>
      <c r="PED55" s="12"/>
      <c r="PEE55" s="12"/>
      <c r="PEF55" s="12"/>
      <c r="PEG55" s="12"/>
      <c r="PEH55" s="12"/>
      <c r="PEI55" s="12"/>
      <c r="PEJ55" s="12"/>
      <c r="PEK55" s="12"/>
      <c r="PEL55" s="12"/>
      <c r="PEM55" s="12"/>
      <c r="PEN55" s="12"/>
      <c r="PEO55" s="12"/>
      <c r="PEP55" s="12"/>
      <c r="PEQ55" s="12"/>
      <c r="PER55" s="12"/>
      <c r="PES55" s="12"/>
      <c r="PET55" s="12"/>
      <c r="PEU55" s="12"/>
      <c r="PEV55" s="12"/>
      <c r="PEW55" s="12"/>
      <c r="PEX55" s="12"/>
      <c r="PEY55" s="12"/>
      <c r="PEZ55" s="12"/>
      <c r="PFA55" s="12"/>
      <c r="PFB55" s="12"/>
      <c r="PFC55" s="12"/>
      <c r="PFD55" s="12"/>
      <c r="PFE55" s="12"/>
      <c r="PFF55" s="12"/>
      <c r="PFG55" s="12"/>
      <c r="PFH55" s="12"/>
      <c r="PFI55" s="12"/>
      <c r="PFJ55" s="12"/>
      <c r="PFK55" s="12"/>
      <c r="PFL55" s="12"/>
      <c r="PFM55" s="12"/>
      <c r="PFN55" s="12"/>
      <c r="PFO55" s="12"/>
      <c r="PFP55" s="12"/>
      <c r="PFQ55" s="12"/>
      <c r="PFR55" s="12"/>
      <c r="PFS55" s="12"/>
      <c r="PFT55" s="12"/>
      <c r="PFU55" s="12"/>
      <c r="PFV55" s="12"/>
      <c r="PFW55" s="12"/>
      <c r="PFX55" s="12"/>
      <c r="PFY55" s="12"/>
      <c r="PFZ55" s="12"/>
      <c r="PGA55" s="12"/>
      <c r="PGB55" s="12"/>
      <c r="PGC55" s="12"/>
      <c r="PGD55" s="12"/>
      <c r="PGE55" s="12"/>
      <c r="PGF55" s="12"/>
      <c r="PGG55" s="12"/>
      <c r="PGH55" s="12"/>
      <c r="PGI55" s="12"/>
      <c r="PGJ55" s="12"/>
      <c r="PGK55" s="12"/>
      <c r="PGL55" s="12"/>
      <c r="PGM55" s="12"/>
      <c r="PGN55" s="12"/>
      <c r="PGO55" s="12"/>
      <c r="PGP55" s="12"/>
      <c r="PGQ55" s="12"/>
      <c r="PGR55" s="12"/>
      <c r="PGS55" s="12"/>
      <c r="PGT55" s="12"/>
      <c r="PGU55" s="12"/>
      <c r="PGV55" s="12"/>
      <c r="PGW55" s="12"/>
      <c r="PGX55" s="12"/>
      <c r="PGY55" s="12"/>
      <c r="PGZ55" s="12"/>
      <c r="PHA55" s="12"/>
      <c r="PHB55" s="12"/>
      <c r="PHC55" s="12"/>
      <c r="PHD55" s="12"/>
      <c r="PHE55" s="12"/>
      <c r="PHF55" s="12"/>
      <c r="PHG55" s="12"/>
      <c r="PHH55" s="12"/>
      <c r="PHI55" s="12"/>
      <c r="PHJ55" s="12"/>
      <c r="PHK55" s="12"/>
      <c r="PHL55" s="12"/>
      <c r="PHM55" s="12"/>
      <c r="PHN55" s="12"/>
      <c r="PHO55" s="12"/>
      <c r="PHP55" s="12"/>
      <c r="PHQ55" s="12"/>
      <c r="PHR55" s="12"/>
      <c r="PHS55" s="12"/>
      <c r="PHT55" s="12"/>
      <c r="PHU55" s="12"/>
      <c r="PHV55" s="12"/>
      <c r="PHW55" s="12"/>
      <c r="PHX55" s="12"/>
      <c r="PHY55" s="12"/>
      <c r="PHZ55" s="12"/>
      <c r="PIA55" s="12"/>
      <c r="PIB55" s="12"/>
      <c r="PIC55" s="12"/>
      <c r="PID55" s="12"/>
      <c r="PIE55" s="12"/>
      <c r="PIF55" s="12"/>
      <c r="PIG55" s="12"/>
      <c r="PIH55" s="12"/>
      <c r="PII55" s="12"/>
      <c r="PIJ55" s="12"/>
      <c r="PIK55" s="12"/>
      <c r="PIL55" s="12"/>
      <c r="PIM55" s="12"/>
      <c r="PIN55" s="12"/>
      <c r="PIO55" s="12"/>
      <c r="PIP55" s="12"/>
      <c r="PIQ55" s="12"/>
      <c r="PIR55" s="12"/>
      <c r="PIS55" s="12"/>
      <c r="PIT55" s="12"/>
      <c r="PIU55" s="12"/>
      <c r="PIV55" s="12"/>
      <c r="PIW55" s="12"/>
      <c r="PIX55" s="12"/>
      <c r="PIY55" s="12"/>
      <c r="PIZ55" s="12"/>
      <c r="PJA55" s="12"/>
      <c r="PJB55" s="12"/>
      <c r="PJC55" s="12"/>
      <c r="PJD55" s="12"/>
      <c r="PJE55" s="12"/>
      <c r="PJF55" s="12"/>
      <c r="PJG55" s="12"/>
      <c r="PJH55" s="12"/>
      <c r="PJI55" s="12"/>
      <c r="PJJ55" s="12"/>
      <c r="PJK55" s="12"/>
      <c r="PJL55" s="12"/>
      <c r="PJM55" s="12"/>
      <c r="PJN55" s="12"/>
      <c r="PJO55" s="12"/>
      <c r="PJP55" s="12"/>
      <c r="PJQ55" s="12"/>
      <c r="PJR55" s="12"/>
      <c r="PJS55" s="12"/>
      <c r="PJT55" s="12"/>
      <c r="PJU55" s="12"/>
      <c r="PJV55" s="12"/>
      <c r="PJW55" s="12"/>
      <c r="PJX55" s="12"/>
      <c r="PJY55" s="12"/>
      <c r="PJZ55" s="12"/>
      <c r="PKA55" s="12"/>
      <c r="PKB55" s="12"/>
      <c r="PKC55" s="12"/>
      <c r="PKD55" s="12"/>
      <c r="PKE55" s="12"/>
      <c r="PKF55" s="12"/>
      <c r="PKG55" s="12"/>
      <c r="PKH55" s="12"/>
      <c r="PKI55" s="12"/>
      <c r="PKJ55" s="12"/>
      <c r="PKK55" s="12"/>
      <c r="PKL55" s="12"/>
      <c r="PKM55" s="12"/>
      <c r="PKN55" s="12"/>
      <c r="PKO55" s="12"/>
      <c r="PKP55" s="12"/>
      <c r="PKQ55" s="12"/>
      <c r="PKR55" s="12"/>
      <c r="PKS55" s="12"/>
      <c r="PKT55" s="12"/>
      <c r="PKU55" s="12"/>
      <c r="PKV55" s="12"/>
      <c r="PKW55" s="12"/>
      <c r="PKX55" s="12"/>
      <c r="PKY55" s="12"/>
      <c r="PKZ55" s="12"/>
      <c r="PLA55" s="12"/>
      <c r="PLB55" s="12"/>
      <c r="PLC55" s="12"/>
      <c r="PLD55" s="12"/>
      <c r="PLE55" s="12"/>
      <c r="PLF55" s="12"/>
      <c r="PLG55" s="12"/>
      <c r="PLH55" s="12"/>
      <c r="PLI55" s="12"/>
      <c r="PLJ55" s="12"/>
      <c r="PLK55" s="12"/>
      <c r="PLL55" s="12"/>
      <c r="PLM55" s="12"/>
      <c r="PLN55" s="12"/>
      <c r="PLO55" s="12"/>
      <c r="PLP55" s="12"/>
      <c r="PLQ55" s="12"/>
      <c r="PLR55" s="12"/>
      <c r="PLS55" s="12"/>
      <c r="PLT55" s="12"/>
      <c r="PLU55" s="12"/>
      <c r="PLV55" s="12"/>
      <c r="PLW55" s="12"/>
      <c r="PLX55" s="12"/>
      <c r="PLY55" s="12"/>
      <c r="PLZ55" s="12"/>
      <c r="PMA55" s="12"/>
      <c r="PMB55" s="12"/>
      <c r="PMC55" s="12"/>
      <c r="PMD55" s="12"/>
      <c r="PME55" s="12"/>
      <c r="PMF55" s="12"/>
      <c r="PMG55" s="12"/>
      <c r="PMH55" s="12"/>
      <c r="PMI55" s="12"/>
      <c r="PMJ55" s="12"/>
      <c r="PMK55" s="12"/>
      <c r="PML55" s="12"/>
      <c r="PMM55" s="12"/>
      <c r="PMN55" s="12"/>
      <c r="PMO55" s="12"/>
      <c r="PMP55" s="12"/>
      <c r="PMQ55" s="12"/>
      <c r="PMR55" s="12"/>
      <c r="PMS55" s="12"/>
      <c r="PMT55" s="12"/>
      <c r="PMU55" s="12"/>
      <c r="PMV55" s="12"/>
      <c r="PMW55" s="12"/>
      <c r="PMX55" s="12"/>
      <c r="PMY55" s="12"/>
      <c r="PMZ55" s="12"/>
      <c r="PNA55" s="12"/>
      <c r="PNB55" s="12"/>
      <c r="PNC55" s="12"/>
      <c r="PND55" s="12"/>
      <c r="PNE55" s="12"/>
      <c r="PNF55" s="12"/>
      <c r="PNG55" s="12"/>
      <c r="PNH55" s="12"/>
      <c r="PNI55" s="12"/>
      <c r="PNJ55" s="12"/>
      <c r="PNK55" s="12"/>
      <c r="PNL55" s="12"/>
      <c r="PNM55" s="12"/>
      <c r="PNN55" s="12"/>
      <c r="PNO55" s="12"/>
      <c r="PNP55" s="12"/>
      <c r="PNQ55" s="12"/>
      <c r="PNR55" s="12"/>
      <c r="PNS55" s="12"/>
      <c r="PNT55" s="12"/>
      <c r="PNU55" s="12"/>
      <c r="PNV55" s="12"/>
      <c r="PNW55" s="12"/>
      <c r="PNX55" s="12"/>
      <c r="PNY55" s="12"/>
      <c r="PNZ55" s="12"/>
      <c r="POA55" s="12"/>
      <c r="POB55" s="12"/>
      <c r="POC55" s="12"/>
      <c r="POD55" s="12"/>
      <c r="POE55" s="12"/>
      <c r="POF55" s="12"/>
      <c r="POG55" s="12"/>
      <c r="POH55" s="12"/>
      <c r="POI55" s="12"/>
      <c r="POJ55" s="12"/>
      <c r="POK55" s="12"/>
      <c r="POL55" s="12"/>
      <c r="POM55" s="12"/>
      <c r="PON55" s="12"/>
      <c r="POO55" s="12"/>
      <c r="POP55" s="12"/>
      <c r="POQ55" s="12"/>
      <c r="POR55" s="12"/>
      <c r="POS55" s="12"/>
      <c r="POT55" s="12"/>
      <c r="POU55" s="12"/>
      <c r="POV55" s="12"/>
      <c r="POW55" s="12"/>
      <c r="POX55" s="12"/>
      <c r="POY55" s="12"/>
      <c r="POZ55" s="12"/>
      <c r="PPA55" s="12"/>
      <c r="PPB55" s="12"/>
      <c r="PPC55" s="12"/>
      <c r="PPD55" s="12"/>
      <c r="PPE55" s="12"/>
      <c r="PPF55" s="12"/>
      <c r="PPG55" s="12"/>
      <c r="PPH55" s="12"/>
      <c r="PPI55" s="12"/>
      <c r="PPJ55" s="12"/>
      <c r="PPK55" s="12"/>
      <c r="PPL55" s="12"/>
      <c r="PPM55" s="12"/>
      <c r="PPN55" s="12"/>
      <c r="PPO55" s="12"/>
      <c r="PPP55" s="12"/>
      <c r="PPQ55" s="12"/>
      <c r="PPR55" s="12"/>
      <c r="PPS55" s="12"/>
      <c r="PPT55" s="12"/>
      <c r="PPU55" s="12"/>
      <c r="PPV55" s="12"/>
      <c r="PPW55" s="12"/>
      <c r="PPX55" s="12"/>
      <c r="PPY55" s="12"/>
      <c r="PPZ55" s="12"/>
      <c r="PQA55" s="12"/>
      <c r="PQB55" s="12"/>
      <c r="PQC55" s="12"/>
      <c r="PQD55" s="12"/>
      <c r="PQE55" s="12"/>
      <c r="PQF55" s="12"/>
      <c r="PQG55" s="12"/>
      <c r="PQH55" s="12"/>
      <c r="PQI55" s="12"/>
      <c r="PQJ55" s="12"/>
      <c r="PQK55" s="12"/>
      <c r="PQL55" s="12"/>
      <c r="PQM55" s="12"/>
      <c r="PQN55" s="12"/>
      <c r="PQO55" s="12"/>
      <c r="PQP55" s="12"/>
      <c r="PQQ55" s="12"/>
      <c r="PQR55" s="12"/>
      <c r="PQS55" s="12"/>
      <c r="PQT55" s="12"/>
      <c r="PQU55" s="12"/>
      <c r="PQV55" s="12"/>
      <c r="PQW55" s="12"/>
      <c r="PQX55" s="12"/>
      <c r="PQY55" s="12"/>
      <c r="PQZ55" s="12"/>
      <c r="PRA55" s="12"/>
      <c r="PRB55" s="12"/>
      <c r="PRC55" s="12"/>
      <c r="PRD55" s="12"/>
      <c r="PRE55" s="12"/>
      <c r="PRF55" s="12"/>
      <c r="PRG55" s="12"/>
      <c r="PRH55" s="12"/>
      <c r="PRI55" s="12"/>
      <c r="PRJ55" s="12"/>
      <c r="PRK55" s="12"/>
      <c r="PRL55" s="12"/>
      <c r="PRM55" s="12"/>
      <c r="PRN55" s="12"/>
      <c r="PRO55" s="12"/>
      <c r="PRP55" s="12"/>
      <c r="PRQ55" s="12"/>
      <c r="PRR55" s="12"/>
      <c r="PRS55" s="12"/>
      <c r="PRT55" s="12"/>
      <c r="PRU55" s="12"/>
      <c r="PRV55" s="12"/>
      <c r="PRW55" s="12"/>
      <c r="PRX55" s="12"/>
      <c r="PRY55" s="12"/>
      <c r="PRZ55" s="12"/>
      <c r="PSA55" s="12"/>
      <c r="PSB55" s="12"/>
      <c r="PSC55" s="12"/>
      <c r="PSD55" s="12"/>
      <c r="PSE55" s="12"/>
      <c r="PSF55" s="12"/>
      <c r="PSG55" s="12"/>
      <c r="PSH55" s="12"/>
      <c r="PSI55" s="12"/>
      <c r="PSJ55" s="12"/>
      <c r="PSK55" s="12"/>
      <c r="PSL55" s="12"/>
      <c r="PSM55" s="12"/>
      <c r="PSN55" s="12"/>
      <c r="PSO55" s="12"/>
      <c r="PSP55" s="12"/>
      <c r="PSQ55" s="12"/>
      <c r="PSR55" s="12"/>
      <c r="PSS55" s="12"/>
      <c r="PST55" s="12"/>
      <c r="PSU55" s="12"/>
      <c r="PSV55" s="12"/>
      <c r="PSW55" s="12"/>
      <c r="PSX55" s="12"/>
      <c r="PSY55" s="12"/>
      <c r="PSZ55" s="12"/>
      <c r="PTA55" s="12"/>
      <c r="PTB55" s="12"/>
      <c r="PTC55" s="12"/>
      <c r="PTD55" s="12"/>
      <c r="PTE55" s="12"/>
      <c r="PTF55" s="12"/>
      <c r="PTG55" s="12"/>
      <c r="PTH55" s="12"/>
      <c r="PTI55" s="12"/>
      <c r="PTJ55" s="12"/>
      <c r="PTK55" s="12"/>
      <c r="PTL55" s="12"/>
      <c r="PTM55" s="12"/>
      <c r="PTN55" s="12"/>
      <c r="PTO55" s="12"/>
      <c r="PTP55" s="12"/>
      <c r="PTQ55" s="12"/>
      <c r="PTR55" s="12"/>
      <c r="PTS55" s="12"/>
      <c r="PTT55" s="12"/>
      <c r="PTU55" s="12"/>
      <c r="PTV55" s="12"/>
      <c r="PTW55" s="12"/>
      <c r="PTX55" s="12"/>
      <c r="PTY55" s="12"/>
      <c r="PTZ55" s="12"/>
      <c r="PUA55" s="12"/>
      <c r="PUB55" s="12"/>
      <c r="PUC55" s="12"/>
      <c r="PUD55" s="12"/>
      <c r="PUE55" s="12"/>
      <c r="PUF55" s="12"/>
      <c r="PUG55" s="12"/>
      <c r="PUH55" s="12"/>
      <c r="PUI55" s="12"/>
      <c r="PUJ55" s="12"/>
      <c r="PUK55" s="12"/>
      <c r="PUL55" s="12"/>
      <c r="PUM55" s="12"/>
      <c r="PUN55" s="12"/>
      <c r="PUO55" s="12"/>
      <c r="PUP55" s="12"/>
      <c r="PUQ55" s="12"/>
      <c r="PUR55" s="12"/>
      <c r="PUS55" s="12"/>
      <c r="PUT55" s="12"/>
      <c r="PUU55" s="12"/>
      <c r="PUV55" s="12"/>
      <c r="PUW55" s="12"/>
      <c r="PUX55" s="12"/>
      <c r="PUY55" s="12"/>
      <c r="PUZ55" s="12"/>
      <c r="PVA55" s="12"/>
      <c r="PVB55" s="12"/>
      <c r="PVC55" s="12"/>
      <c r="PVD55" s="12"/>
      <c r="PVE55" s="12"/>
      <c r="PVF55" s="12"/>
      <c r="PVG55" s="12"/>
      <c r="PVH55" s="12"/>
      <c r="PVI55" s="12"/>
      <c r="PVJ55" s="12"/>
      <c r="PVK55" s="12"/>
      <c r="PVL55" s="12"/>
      <c r="PVM55" s="12"/>
      <c r="PVN55" s="12"/>
      <c r="PVO55" s="12"/>
      <c r="PVP55" s="12"/>
      <c r="PVQ55" s="12"/>
      <c r="PVR55" s="12"/>
      <c r="PVS55" s="12"/>
      <c r="PVT55" s="12"/>
      <c r="PVU55" s="12"/>
      <c r="PVV55" s="12"/>
      <c r="PVW55" s="12"/>
      <c r="PVX55" s="12"/>
      <c r="PVY55" s="12"/>
      <c r="PVZ55" s="12"/>
      <c r="PWA55" s="12"/>
      <c r="PWB55" s="12"/>
      <c r="PWC55" s="12"/>
      <c r="PWD55" s="12"/>
      <c r="PWE55" s="12"/>
      <c r="PWF55" s="12"/>
      <c r="PWG55" s="12"/>
      <c r="PWH55" s="12"/>
      <c r="PWI55" s="12"/>
      <c r="PWJ55" s="12"/>
      <c r="PWK55" s="12"/>
      <c r="PWL55" s="12"/>
      <c r="PWM55" s="12"/>
      <c r="PWN55" s="12"/>
      <c r="PWO55" s="12"/>
      <c r="PWP55" s="12"/>
      <c r="PWQ55" s="12"/>
      <c r="PWR55" s="12"/>
      <c r="PWS55" s="12"/>
      <c r="PWT55" s="12"/>
      <c r="PWU55" s="12"/>
      <c r="PWV55" s="12"/>
      <c r="PWW55" s="12"/>
      <c r="PWX55" s="12"/>
      <c r="PWY55" s="12"/>
      <c r="PWZ55" s="12"/>
      <c r="PXA55" s="12"/>
      <c r="PXB55" s="12"/>
      <c r="PXC55" s="12"/>
      <c r="PXD55" s="12"/>
      <c r="PXE55" s="12"/>
      <c r="PXF55" s="12"/>
      <c r="PXG55" s="12"/>
      <c r="PXH55" s="12"/>
      <c r="PXI55" s="12"/>
      <c r="PXJ55" s="12"/>
      <c r="PXK55" s="12"/>
      <c r="PXL55" s="12"/>
      <c r="PXM55" s="12"/>
      <c r="PXN55" s="12"/>
      <c r="PXO55" s="12"/>
      <c r="PXP55" s="12"/>
      <c r="PXQ55" s="12"/>
      <c r="PXR55" s="12"/>
      <c r="PXS55" s="12"/>
      <c r="PXT55" s="12"/>
      <c r="PXU55" s="12"/>
      <c r="PXV55" s="12"/>
      <c r="PXW55" s="12"/>
      <c r="PXX55" s="12"/>
      <c r="PXY55" s="12"/>
      <c r="PXZ55" s="12"/>
      <c r="PYA55" s="12"/>
      <c r="PYB55" s="12"/>
      <c r="PYC55" s="12"/>
      <c r="PYD55" s="12"/>
      <c r="PYE55" s="12"/>
      <c r="PYF55" s="12"/>
      <c r="PYG55" s="12"/>
      <c r="PYH55" s="12"/>
      <c r="PYI55" s="12"/>
      <c r="PYJ55" s="12"/>
      <c r="PYK55" s="12"/>
      <c r="PYL55" s="12"/>
      <c r="PYM55" s="12"/>
      <c r="PYN55" s="12"/>
      <c r="PYO55" s="12"/>
      <c r="PYP55" s="12"/>
      <c r="PYQ55" s="12"/>
      <c r="PYR55" s="12"/>
      <c r="PYS55" s="12"/>
      <c r="PYT55" s="12"/>
      <c r="PYU55" s="12"/>
      <c r="PYV55" s="12"/>
      <c r="PYW55" s="12"/>
      <c r="PYX55" s="12"/>
      <c r="PYY55" s="12"/>
      <c r="PYZ55" s="12"/>
      <c r="PZA55" s="12"/>
      <c r="PZB55" s="12"/>
      <c r="PZC55" s="12"/>
      <c r="PZD55" s="12"/>
      <c r="PZE55" s="12"/>
      <c r="PZF55" s="12"/>
      <c r="PZG55" s="12"/>
      <c r="PZH55" s="12"/>
      <c r="PZI55" s="12"/>
      <c r="PZJ55" s="12"/>
      <c r="PZK55" s="12"/>
      <c r="PZL55" s="12"/>
      <c r="PZM55" s="12"/>
      <c r="PZN55" s="12"/>
      <c r="PZO55" s="12"/>
      <c r="PZP55" s="12"/>
      <c r="PZQ55" s="12"/>
      <c r="PZR55" s="12"/>
      <c r="PZS55" s="12"/>
      <c r="PZT55" s="12"/>
      <c r="PZU55" s="12"/>
      <c r="PZV55" s="12"/>
      <c r="PZW55" s="12"/>
      <c r="PZX55" s="12"/>
      <c r="PZY55" s="12"/>
      <c r="PZZ55" s="12"/>
      <c r="QAA55" s="12"/>
      <c r="QAB55" s="12"/>
      <c r="QAC55" s="12"/>
      <c r="QAD55" s="12"/>
      <c r="QAE55" s="12"/>
      <c r="QAF55" s="12"/>
      <c r="QAG55" s="12"/>
      <c r="QAH55" s="12"/>
      <c r="QAI55" s="12"/>
      <c r="QAJ55" s="12"/>
      <c r="QAK55" s="12"/>
      <c r="QAL55" s="12"/>
      <c r="QAM55" s="12"/>
      <c r="QAN55" s="12"/>
      <c r="QAO55" s="12"/>
      <c r="QAP55" s="12"/>
      <c r="QAQ55" s="12"/>
      <c r="QAR55" s="12"/>
      <c r="QAS55" s="12"/>
      <c r="QAT55" s="12"/>
      <c r="QAU55" s="12"/>
      <c r="QAV55" s="12"/>
      <c r="QAW55" s="12"/>
      <c r="QAX55" s="12"/>
      <c r="QAY55" s="12"/>
      <c r="QAZ55" s="12"/>
      <c r="QBA55" s="12"/>
      <c r="QBB55" s="12"/>
      <c r="QBC55" s="12"/>
      <c r="QBD55" s="12"/>
      <c r="QBE55" s="12"/>
      <c r="QBF55" s="12"/>
      <c r="QBG55" s="12"/>
      <c r="QBH55" s="12"/>
      <c r="QBI55" s="12"/>
      <c r="QBJ55" s="12"/>
      <c r="QBK55" s="12"/>
      <c r="QBL55" s="12"/>
      <c r="QBM55" s="12"/>
      <c r="QBN55" s="12"/>
      <c r="QBO55" s="12"/>
      <c r="QBP55" s="12"/>
      <c r="QBQ55" s="12"/>
      <c r="QBR55" s="12"/>
      <c r="QBS55" s="12"/>
      <c r="QBT55" s="12"/>
      <c r="QBU55" s="12"/>
      <c r="QBV55" s="12"/>
      <c r="QBW55" s="12"/>
      <c r="QBX55" s="12"/>
      <c r="QBY55" s="12"/>
      <c r="QBZ55" s="12"/>
      <c r="QCA55" s="12"/>
      <c r="QCB55" s="12"/>
      <c r="QCC55" s="12"/>
      <c r="QCD55" s="12"/>
      <c r="QCE55" s="12"/>
      <c r="QCF55" s="12"/>
      <c r="QCG55" s="12"/>
      <c r="QCH55" s="12"/>
      <c r="QCI55" s="12"/>
      <c r="QCJ55" s="12"/>
      <c r="QCK55" s="12"/>
      <c r="QCL55" s="12"/>
      <c r="QCM55" s="12"/>
      <c r="QCN55" s="12"/>
      <c r="QCO55" s="12"/>
      <c r="QCP55" s="12"/>
      <c r="QCQ55" s="12"/>
      <c r="QCR55" s="12"/>
      <c r="QCS55" s="12"/>
      <c r="QCT55" s="12"/>
      <c r="QCU55" s="12"/>
      <c r="QCV55" s="12"/>
      <c r="QCW55" s="12"/>
      <c r="QCX55" s="12"/>
      <c r="QCY55" s="12"/>
      <c r="QCZ55" s="12"/>
      <c r="QDA55" s="12"/>
      <c r="QDB55" s="12"/>
      <c r="QDC55" s="12"/>
      <c r="QDD55" s="12"/>
      <c r="QDE55" s="12"/>
      <c r="QDF55" s="12"/>
      <c r="QDG55" s="12"/>
      <c r="QDH55" s="12"/>
      <c r="QDI55" s="12"/>
      <c r="QDJ55" s="12"/>
      <c r="QDK55" s="12"/>
      <c r="QDL55" s="12"/>
      <c r="QDM55" s="12"/>
      <c r="QDN55" s="12"/>
      <c r="QDO55" s="12"/>
      <c r="QDP55" s="12"/>
      <c r="QDQ55" s="12"/>
      <c r="QDR55" s="12"/>
      <c r="QDS55" s="12"/>
      <c r="QDT55" s="12"/>
      <c r="QDU55" s="12"/>
      <c r="QDV55" s="12"/>
      <c r="QDW55" s="12"/>
      <c r="QDX55" s="12"/>
      <c r="QDY55" s="12"/>
      <c r="QDZ55" s="12"/>
      <c r="QEA55" s="12"/>
      <c r="QEB55" s="12"/>
      <c r="QEC55" s="12"/>
      <c r="QED55" s="12"/>
      <c r="QEE55" s="12"/>
      <c r="QEF55" s="12"/>
      <c r="QEG55" s="12"/>
      <c r="QEH55" s="12"/>
      <c r="QEI55" s="12"/>
      <c r="QEJ55" s="12"/>
      <c r="QEK55" s="12"/>
      <c r="QEL55" s="12"/>
      <c r="QEM55" s="12"/>
      <c r="QEN55" s="12"/>
      <c r="QEO55" s="12"/>
      <c r="QEP55" s="12"/>
      <c r="QEQ55" s="12"/>
      <c r="QER55" s="12"/>
      <c r="QES55" s="12"/>
      <c r="QET55" s="12"/>
      <c r="QEU55" s="12"/>
      <c r="QEV55" s="12"/>
      <c r="QEW55" s="12"/>
      <c r="QEX55" s="12"/>
      <c r="QEY55" s="12"/>
      <c r="QEZ55" s="12"/>
      <c r="QFA55" s="12"/>
      <c r="QFB55" s="12"/>
      <c r="QFC55" s="12"/>
      <c r="QFD55" s="12"/>
      <c r="QFE55" s="12"/>
      <c r="QFF55" s="12"/>
      <c r="QFG55" s="12"/>
      <c r="QFH55" s="12"/>
      <c r="QFI55" s="12"/>
      <c r="QFJ55" s="12"/>
      <c r="QFK55" s="12"/>
      <c r="QFL55" s="12"/>
      <c r="QFM55" s="12"/>
      <c r="QFN55" s="12"/>
      <c r="QFO55" s="12"/>
      <c r="QFP55" s="12"/>
      <c r="QFQ55" s="12"/>
      <c r="QFR55" s="12"/>
      <c r="QFS55" s="12"/>
      <c r="QFT55" s="12"/>
      <c r="QFU55" s="12"/>
      <c r="QFV55" s="12"/>
      <c r="QFW55" s="12"/>
      <c r="QFX55" s="12"/>
      <c r="QFY55" s="12"/>
      <c r="QFZ55" s="12"/>
      <c r="QGA55" s="12"/>
      <c r="QGB55" s="12"/>
      <c r="QGC55" s="12"/>
      <c r="QGD55" s="12"/>
      <c r="QGE55" s="12"/>
      <c r="QGF55" s="12"/>
      <c r="QGG55" s="12"/>
      <c r="QGH55" s="12"/>
      <c r="QGI55" s="12"/>
      <c r="QGJ55" s="12"/>
      <c r="QGK55" s="12"/>
      <c r="QGL55" s="12"/>
      <c r="QGM55" s="12"/>
      <c r="QGN55" s="12"/>
      <c r="QGO55" s="12"/>
      <c r="QGP55" s="12"/>
      <c r="QGQ55" s="12"/>
      <c r="QGR55" s="12"/>
      <c r="QGS55" s="12"/>
      <c r="QGT55" s="12"/>
      <c r="QGU55" s="12"/>
      <c r="QGV55" s="12"/>
      <c r="QGW55" s="12"/>
      <c r="QGX55" s="12"/>
      <c r="QGY55" s="12"/>
      <c r="QGZ55" s="12"/>
      <c r="QHA55" s="12"/>
      <c r="QHB55" s="12"/>
      <c r="QHC55" s="12"/>
      <c r="QHD55" s="12"/>
      <c r="QHE55" s="12"/>
      <c r="QHF55" s="12"/>
      <c r="QHG55" s="12"/>
      <c r="QHH55" s="12"/>
      <c r="QHI55" s="12"/>
      <c r="QHJ55" s="12"/>
      <c r="QHK55" s="12"/>
      <c r="QHL55" s="12"/>
      <c r="QHM55" s="12"/>
      <c r="QHN55" s="12"/>
      <c r="QHO55" s="12"/>
      <c r="QHP55" s="12"/>
      <c r="QHQ55" s="12"/>
      <c r="QHR55" s="12"/>
      <c r="QHS55" s="12"/>
      <c r="QHT55" s="12"/>
      <c r="QHU55" s="12"/>
      <c r="QHV55" s="12"/>
      <c r="QHW55" s="12"/>
      <c r="QHX55" s="12"/>
      <c r="QHY55" s="12"/>
      <c r="QHZ55" s="12"/>
      <c r="QIA55" s="12"/>
      <c r="QIB55" s="12"/>
      <c r="QIC55" s="12"/>
      <c r="QID55" s="12"/>
      <c r="QIE55" s="12"/>
      <c r="QIF55" s="12"/>
      <c r="QIG55" s="12"/>
      <c r="QIH55" s="12"/>
      <c r="QII55" s="12"/>
      <c r="QIJ55" s="12"/>
      <c r="QIK55" s="12"/>
      <c r="QIL55" s="12"/>
      <c r="QIM55" s="12"/>
      <c r="QIN55" s="12"/>
      <c r="QIO55" s="12"/>
      <c r="QIP55" s="12"/>
      <c r="QIQ55" s="12"/>
      <c r="QIR55" s="12"/>
      <c r="QIS55" s="12"/>
      <c r="QIT55" s="12"/>
      <c r="QIU55" s="12"/>
      <c r="QIV55" s="12"/>
      <c r="QIW55" s="12"/>
      <c r="QIX55" s="12"/>
      <c r="QIY55" s="12"/>
      <c r="QIZ55" s="12"/>
      <c r="QJA55" s="12"/>
      <c r="QJB55" s="12"/>
      <c r="QJC55" s="12"/>
      <c r="QJD55" s="12"/>
      <c r="QJE55" s="12"/>
      <c r="QJF55" s="12"/>
      <c r="QJG55" s="12"/>
      <c r="QJH55" s="12"/>
      <c r="QJI55" s="12"/>
      <c r="QJJ55" s="12"/>
      <c r="QJK55" s="12"/>
      <c r="QJL55" s="12"/>
      <c r="QJM55" s="12"/>
      <c r="QJN55" s="12"/>
      <c r="QJO55" s="12"/>
      <c r="QJP55" s="12"/>
      <c r="QJQ55" s="12"/>
      <c r="QJR55" s="12"/>
      <c r="QJS55" s="12"/>
      <c r="QJT55" s="12"/>
      <c r="QJU55" s="12"/>
      <c r="QJV55" s="12"/>
      <c r="QJW55" s="12"/>
      <c r="QJX55" s="12"/>
      <c r="QJY55" s="12"/>
      <c r="QJZ55" s="12"/>
      <c r="QKA55" s="12"/>
      <c r="QKB55" s="12"/>
      <c r="QKC55" s="12"/>
      <c r="QKD55" s="12"/>
      <c r="QKE55" s="12"/>
      <c r="QKF55" s="12"/>
      <c r="QKG55" s="12"/>
      <c r="QKH55" s="12"/>
      <c r="QKI55" s="12"/>
      <c r="QKJ55" s="12"/>
      <c r="QKK55" s="12"/>
      <c r="QKL55" s="12"/>
      <c r="QKM55" s="12"/>
      <c r="QKN55" s="12"/>
      <c r="QKO55" s="12"/>
      <c r="QKP55" s="12"/>
      <c r="QKQ55" s="12"/>
      <c r="QKR55" s="12"/>
      <c r="QKS55" s="12"/>
      <c r="QKT55" s="12"/>
      <c r="QKU55" s="12"/>
      <c r="QKV55" s="12"/>
      <c r="QKW55" s="12"/>
      <c r="QKX55" s="12"/>
      <c r="QKY55" s="12"/>
      <c r="QKZ55" s="12"/>
      <c r="QLA55" s="12"/>
      <c r="QLB55" s="12"/>
      <c r="QLC55" s="12"/>
      <c r="QLD55" s="12"/>
      <c r="QLE55" s="12"/>
      <c r="QLF55" s="12"/>
      <c r="QLG55" s="12"/>
      <c r="QLH55" s="12"/>
      <c r="QLI55" s="12"/>
      <c r="QLJ55" s="12"/>
      <c r="QLK55" s="12"/>
      <c r="QLL55" s="12"/>
      <c r="QLM55" s="12"/>
      <c r="QLN55" s="12"/>
      <c r="QLO55" s="12"/>
      <c r="QLP55" s="12"/>
      <c r="QLQ55" s="12"/>
      <c r="QLR55" s="12"/>
      <c r="QLS55" s="12"/>
      <c r="QLT55" s="12"/>
      <c r="QLU55" s="12"/>
      <c r="QLV55" s="12"/>
      <c r="QLW55" s="12"/>
      <c r="QLX55" s="12"/>
      <c r="QLY55" s="12"/>
      <c r="QLZ55" s="12"/>
      <c r="QMA55" s="12"/>
      <c r="QMB55" s="12"/>
      <c r="QMC55" s="12"/>
      <c r="QMD55" s="12"/>
      <c r="QME55" s="12"/>
      <c r="QMF55" s="12"/>
      <c r="QMG55" s="12"/>
      <c r="QMH55" s="12"/>
      <c r="QMI55" s="12"/>
      <c r="QMJ55" s="12"/>
      <c r="QMK55" s="12"/>
      <c r="QML55" s="12"/>
      <c r="QMM55" s="12"/>
      <c r="QMN55" s="12"/>
      <c r="QMO55" s="12"/>
      <c r="QMP55" s="12"/>
      <c r="QMQ55" s="12"/>
      <c r="QMR55" s="12"/>
      <c r="QMS55" s="12"/>
      <c r="QMT55" s="12"/>
      <c r="QMU55" s="12"/>
      <c r="QMV55" s="12"/>
      <c r="QMW55" s="12"/>
      <c r="QMX55" s="12"/>
      <c r="QMY55" s="12"/>
      <c r="QMZ55" s="12"/>
      <c r="QNA55" s="12"/>
      <c r="QNB55" s="12"/>
      <c r="QNC55" s="12"/>
      <c r="QND55" s="12"/>
      <c r="QNE55" s="12"/>
      <c r="QNF55" s="12"/>
      <c r="QNG55" s="12"/>
      <c r="QNH55" s="12"/>
      <c r="QNI55" s="12"/>
      <c r="QNJ55" s="12"/>
      <c r="QNK55" s="12"/>
      <c r="QNL55" s="12"/>
      <c r="QNM55" s="12"/>
      <c r="QNN55" s="12"/>
      <c r="QNO55" s="12"/>
      <c r="QNP55" s="12"/>
      <c r="QNQ55" s="12"/>
      <c r="QNR55" s="12"/>
      <c r="QNS55" s="12"/>
      <c r="QNT55" s="12"/>
      <c r="QNU55" s="12"/>
      <c r="QNV55" s="12"/>
      <c r="QNW55" s="12"/>
      <c r="QNX55" s="12"/>
      <c r="QNY55" s="12"/>
      <c r="QNZ55" s="12"/>
      <c r="QOA55" s="12"/>
      <c r="QOB55" s="12"/>
      <c r="QOC55" s="12"/>
      <c r="QOD55" s="12"/>
      <c r="QOE55" s="12"/>
      <c r="QOF55" s="12"/>
      <c r="QOG55" s="12"/>
      <c r="QOH55" s="12"/>
      <c r="QOI55" s="12"/>
      <c r="QOJ55" s="12"/>
      <c r="QOK55" s="12"/>
      <c r="QOL55" s="12"/>
      <c r="QOM55" s="12"/>
      <c r="QON55" s="12"/>
      <c r="QOO55" s="12"/>
      <c r="QOP55" s="12"/>
      <c r="QOQ55" s="12"/>
      <c r="QOR55" s="12"/>
      <c r="QOS55" s="12"/>
      <c r="QOT55" s="12"/>
      <c r="QOU55" s="12"/>
      <c r="QOV55" s="12"/>
      <c r="QOW55" s="12"/>
      <c r="QOX55" s="12"/>
      <c r="QOY55" s="12"/>
      <c r="QOZ55" s="12"/>
      <c r="QPA55" s="12"/>
      <c r="QPB55" s="12"/>
      <c r="QPC55" s="12"/>
      <c r="QPD55" s="12"/>
      <c r="QPE55" s="12"/>
      <c r="QPF55" s="12"/>
      <c r="QPG55" s="12"/>
      <c r="QPH55" s="12"/>
      <c r="QPI55" s="12"/>
      <c r="QPJ55" s="12"/>
      <c r="QPK55" s="12"/>
      <c r="QPL55" s="12"/>
      <c r="QPM55" s="12"/>
      <c r="QPN55" s="12"/>
      <c r="QPO55" s="12"/>
      <c r="QPP55" s="12"/>
      <c r="QPQ55" s="12"/>
      <c r="QPR55" s="12"/>
      <c r="QPS55" s="12"/>
      <c r="QPT55" s="12"/>
      <c r="QPU55" s="12"/>
      <c r="QPV55" s="12"/>
      <c r="QPW55" s="12"/>
      <c r="QPX55" s="12"/>
      <c r="QPY55" s="12"/>
      <c r="QPZ55" s="12"/>
      <c r="QQA55" s="12"/>
      <c r="QQB55" s="12"/>
      <c r="QQC55" s="12"/>
      <c r="QQD55" s="12"/>
      <c r="QQE55" s="12"/>
      <c r="QQF55" s="12"/>
      <c r="QQG55" s="12"/>
      <c r="QQH55" s="12"/>
      <c r="QQI55" s="12"/>
      <c r="QQJ55" s="12"/>
      <c r="QQK55" s="12"/>
      <c r="QQL55" s="12"/>
      <c r="QQM55" s="12"/>
      <c r="QQN55" s="12"/>
      <c r="QQO55" s="12"/>
      <c r="QQP55" s="12"/>
      <c r="QQQ55" s="12"/>
      <c r="QQR55" s="12"/>
      <c r="QQS55" s="12"/>
      <c r="QQT55" s="12"/>
      <c r="QQU55" s="12"/>
      <c r="QQV55" s="12"/>
      <c r="QQW55" s="12"/>
      <c r="QQX55" s="12"/>
      <c r="QQY55" s="12"/>
      <c r="QQZ55" s="12"/>
      <c r="QRA55" s="12"/>
      <c r="QRB55" s="12"/>
      <c r="QRC55" s="12"/>
      <c r="QRD55" s="12"/>
      <c r="QRE55" s="12"/>
      <c r="QRF55" s="12"/>
      <c r="QRG55" s="12"/>
      <c r="QRH55" s="12"/>
      <c r="QRI55" s="12"/>
      <c r="QRJ55" s="12"/>
      <c r="QRK55" s="12"/>
      <c r="QRL55" s="12"/>
      <c r="QRM55" s="12"/>
      <c r="QRN55" s="12"/>
      <c r="QRO55" s="12"/>
      <c r="QRP55" s="12"/>
      <c r="QRQ55" s="12"/>
      <c r="QRR55" s="12"/>
      <c r="QRS55" s="12"/>
      <c r="QRT55" s="12"/>
      <c r="QRU55" s="12"/>
      <c r="QRV55" s="12"/>
      <c r="QRW55" s="12"/>
      <c r="QRX55" s="12"/>
      <c r="QRY55" s="12"/>
      <c r="QRZ55" s="12"/>
      <c r="QSA55" s="12"/>
      <c r="QSB55" s="12"/>
      <c r="QSC55" s="12"/>
      <c r="QSD55" s="12"/>
      <c r="QSE55" s="12"/>
      <c r="QSF55" s="12"/>
      <c r="QSG55" s="12"/>
      <c r="QSH55" s="12"/>
      <c r="QSI55" s="12"/>
      <c r="QSJ55" s="12"/>
      <c r="QSK55" s="12"/>
      <c r="QSL55" s="12"/>
      <c r="QSM55" s="12"/>
      <c r="QSN55" s="12"/>
      <c r="QSO55" s="12"/>
      <c r="QSP55" s="12"/>
      <c r="QSQ55" s="12"/>
      <c r="QSR55" s="12"/>
      <c r="QSS55" s="12"/>
      <c r="QST55" s="12"/>
      <c r="QSU55" s="12"/>
      <c r="QSV55" s="12"/>
      <c r="QSW55" s="12"/>
      <c r="QSX55" s="12"/>
      <c r="QSY55" s="12"/>
      <c r="QSZ55" s="12"/>
      <c r="QTA55" s="12"/>
      <c r="QTB55" s="12"/>
      <c r="QTC55" s="12"/>
      <c r="QTD55" s="12"/>
      <c r="QTE55" s="12"/>
      <c r="QTF55" s="12"/>
      <c r="QTG55" s="12"/>
      <c r="QTH55" s="12"/>
      <c r="QTI55" s="12"/>
      <c r="QTJ55" s="12"/>
      <c r="QTK55" s="12"/>
      <c r="QTL55" s="12"/>
      <c r="QTM55" s="12"/>
      <c r="QTN55" s="12"/>
      <c r="QTO55" s="12"/>
      <c r="QTP55" s="12"/>
      <c r="QTQ55" s="12"/>
      <c r="QTR55" s="12"/>
      <c r="QTS55" s="12"/>
      <c r="QTT55" s="12"/>
      <c r="QTU55" s="12"/>
      <c r="QTV55" s="12"/>
      <c r="QTW55" s="12"/>
      <c r="QTX55" s="12"/>
      <c r="QTY55" s="12"/>
      <c r="QTZ55" s="12"/>
      <c r="QUA55" s="12"/>
      <c r="QUB55" s="12"/>
      <c r="QUC55" s="12"/>
      <c r="QUD55" s="12"/>
      <c r="QUE55" s="12"/>
      <c r="QUF55" s="12"/>
      <c r="QUG55" s="12"/>
      <c r="QUH55" s="12"/>
      <c r="QUI55" s="12"/>
      <c r="QUJ55" s="12"/>
      <c r="QUK55" s="12"/>
      <c r="QUL55" s="12"/>
      <c r="QUM55" s="12"/>
      <c r="QUN55" s="12"/>
      <c r="QUO55" s="12"/>
      <c r="QUP55" s="12"/>
      <c r="QUQ55" s="12"/>
      <c r="QUR55" s="12"/>
      <c r="QUS55" s="12"/>
      <c r="QUT55" s="12"/>
      <c r="QUU55" s="12"/>
      <c r="QUV55" s="12"/>
      <c r="QUW55" s="12"/>
      <c r="QUX55" s="12"/>
      <c r="QUY55" s="12"/>
      <c r="QUZ55" s="12"/>
      <c r="QVA55" s="12"/>
      <c r="QVB55" s="12"/>
      <c r="QVC55" s="12"/>
      <c r="QVD55" s="12"/>
      <c r="QVE55" s="12"/>
      <c r="QVF55" s="12"/>
      <c r="QVG55" s="12"/>
      <c r="QVH55" s="12"/>
      <c r="QVI55" s="12"/>
      <c r="QVJ55" s="12"/>
      <c r="QVK55" s="12"/>
      <c r="QVL55" s="12"/>
      <c r="QVM55" s="12"/>
      <c r="QVN55" s="12"/>
      <c r="QVO55" s="12"/>
      <c r="QVP55" s="12"/>
      <c r="QVQ55" s="12"/>
      <c r="QVR55" s="12"/>
      <c r="QVS55" s="12"/>
      <c r="QVT55" s="12"/>
      <c r="QVU55" s="12"/>
      <c r="QVV55" s="12"/>
      <c r="QVW55" s="12"/>
      <c r="QVX55" s="12"/>
      <c r="QVY55" s="12"/>
      <c r="QVZ55" s="12"/>
      <c r="QWA55" s="12"/>
      <c r="QWB55" s="12"/>
      <c r="QWC55" s="12"/>
      <c r="QWD55" s="12"/>
      <c r="QWE55" s="12"/>
      <c r="QWF55" s="12"/>
      <c r="QWG55" s="12"/>
      <c r="QWH55" s="12"/>
      <c r="QWI55" s="12"/>
      <c r="QWJ55" s="12"/>
      <c r="QWK55" s="12"/>
      <c r="QWL55" s="12"/>
      <c r="QWM55" s="12"/>
      <c r="QWN55" s="12"/>
      <c r="QWO55" s="12"/>
      <c r="QWP55" s="12"/>
      <c r="QWQ55" s="12"/>
      <c r="QWR55" s="12"/>
      <c r="QWS55" s="12"/>
      <c r="QWT55" s="12"/>
      <c r="QWU55" s="12"/>
      <c r="QWV55" s="12"/>
      <c r="QWW55" s="12"/>
      <c r="QWX55" s="12"/>
      <c r="QWY55" s="12"/>
      <c r="QWZ55" s="12"/>
      <c r="QXA55" s="12"/>
      <c r="QXB55" s="12"/>
      <c r="QXC55" s="12"/>
      <c r="QXD55" s="12"/>
      <c r="QXE55" s="12"/>
      <c r="QXF55" s="12"/>
      <c r="QXG55" s="12"/>
      <c r="QXH55" s="12"/>
      <c r="QXI55" s="12"/>
      <c r="QXJ55" s="12"/>
      <c r="QXK55" s="12"/>
      <c r="QXL55" s="12"/>
      <c r="QXM55" s="12"/>
      <c r="QXN55" s="12"/>
      <c r="QXO55" s="12"/>
      <c r="QXP55" s="12"/>
      <c r="QXQ55" s="12"/>
      <c r="QXR55" s="12"/>
      <c r="QXS55" s="12"/>
      <c r="QXT55" s="12"/>
      <c r="QXU55" s="12"/>
      <c r="QXV55" s="12"/>
      <c r="QXW55" s="12"/>
      <c r="QXX55" s="12"/>
      <c r="QXY55" s="12"/>
      <c r="QXZ55" s="12"/>
      <c r="QYA55" s="12"/>
      <c r="QYB55" s="12"/>
      <c r="QYC55" s="12"/>
      <c r="QYD55" s="12"/>
      <c r="QYE55" s="12"/>
      <c r="QYF55" s="12"/>
      <c r="QYG55" s="12"/>
      <c r="QYH55" s="12"/>
      <c r="QYI55" s="12"/>
      <c r="QYJ55" s="12"/>
      <c r="QYK55" s="12"/>
      <c r="QYL55" s="12"/>
      <c r="QYM55" s="12"/>
      <c r="QYN55" s="12"/>
      <c r="QYO55" s="12"/>
      <c r="QYP55" s="12"/>
      <c r="QYQ55" s="12"/>
      <c r="QYR55" s="12"/>
      <c r="QYS55" s="12"/>
      <c r="QYT55" s="12"/>
      <c r="QYU55" s="12"/>
      <c r="QYV55" s="12"/>
      <c r="QYW55" s="12"/>
      <c r="QYX55" s="12"/>
      <c r="QYY55" s="12"/>
      <c r="QYZ55" s="12"/>
      <c r="QZA55" s="12"/>
      <c r="QZB55" s="12"/>
      <c r="QZC55" s="12"/>
      <c r="QZD55" s="12"/>
      <c r="QZE55" s="12"/>
      <c r="QZF55" s="12"/>
      <c r="QZG55" s="12"/>
      <c r="QZH55" s="12"/>
      <c r="QZI55" s="12"/>
      <c r="QZJ55" s="12"/>
      <c r="QZK55" s="12"/>
      <c r="QZL55" s="12"/>
      <c r="QZM55" s="12"/>
      <c r="QZN55" s="12"/>
      <c r="QZO55" s="12"/>
      <c r="QZP55" s="12"/>
      <c r="QZQ55" s="12"/>
      <c r="QZR55" s="12"/>
      <c r="QZS55" s="12"/>
      <c r="QZT55" s="12"/>
      <c r="QZU55" s="12"/>
      <c r="QZV55" s="12"/>
      <c r="QZW55" s="12"/>
      <c r="QZX55" s="12"/>
      <c r="QZY55" s="12"/>
      <c r="QZZ55" s="12"/>
      <c r="RAA55" s="12"/>
      <c r="RAB55" s="12"/>
      <c r="RAC55" s="12"/>
      <c r="RAD55" s="12"/>
      <c r="RAE55" s="12"/>
      <c r="RAF55" s="12"/>
      <c r="RAG55" s="12"/>
      <c r="RAH55" s="12"/>
      <c r="RAI55" s="12"/>
      <c r="RAJ55" s="12"/>
      <c r="RAK55" s="12"/>
      <c r="RAL55" s="12"/>
      <c r="RAM55" s="12"/>
      <c r="RAN55" s="12"/>
      <c r="RAO55" s="12"/>
      <c r="RAP55" s="12"/>
      <c r="RAQ55" s="12"/>
      <c r="RAR55" s="12"/>
      <c r="RAS55" s="12"/>
      <c r="RAT55" s="12"/>
      <c r="RAU55" s="12"/>
      <c r="RAV55" s="12"/>
      <c r="RAW55" s="12"/>
      <c r="RAX55" s="12"/>
      <c r="RAY55" s="12"/>
      <c r="RAZ55" s="12"/>
      <c r="RBA55" s="12"/>
      <c r="RBB55" s="12"/>
      <c r="RBC55" s="12"/>
      <c r="RBD55" s="12"/>
      <c r="RBE55" s="12"/>
      <c r="RBF55" s="12"/>
      <c r="RBG55" s="12"/>
      <c r="RBH55" s="12"/>
      <c r="RBI55" s="12"/>
      <c r="RBJ55" s="12"/>
      <c r="RBK55" s="12"/>
      <c r="RBL55" s="12"/>
      <c r="RBM55" s="12"/>
      <c r="RBN55" s="12"/>
      <c r="RBO55" s="12"/>
      <c r="RBP55" s="12"/>
      <c r="RBQ55" s="12"/>
      <c r="RBR55" s="12"/>
      <c r="RBS55" s="12"/>
      <c r="RBT55" s="12"/>
      <c r="RBU55" s="12"/>
      <c r="RBV55" s="12"/>
      <c r="RBW55" s="12"/>
      <c r="RBX55" s="12"/>
      <c r="RBY55" s="12"/>
      <c r="RBZ55" s="12"/>
      <c r="RCA55" s="12"/>
      <c r="RCB55" s="12"/>
      <c r="RCC55" s="12"/>
      <c r="RCD55" s="12"/>
      <c r="RCE55" s="12"/>
      <c r="RCF55" s="12"/>
      <c r="RCG55" s="12"/>
      <c r="RCH55" s="12"/>
      <c r="RCI55" s="12"/>
      <c r="RCJ55" s="12"/>
      <c r="RCK55" s="12"/>
      <c r="RCL55" s="12"/>
      <c r="RCM55" s="12"/>
      <c r="RCN55" s="12"/>
      <c r="RCO55" s="12"/>
      <c r="RCP55" s="12"/>
      <c r="RCQ55" s="12"/>
      <c r="RCR55" s="12"/>
      <c r="RCS55" s="12"/>
      <c r="RCT55" s="12"/>
      <c r="RCU55" s="12"/>
      <c r="RCV55" s="12"/>
      <c r="RCW55" s="12"/>
      <c r="RCX55" s="12"/>
      <c r="RCY55" s="12"/>
      <c r="RCZ55" s="12"/>
      <c r="RDA55" s="12"/>
      <c r="RDB55" s="12"/>
      <c r="RDC55" s="12"/>
      <c r="RDD55" s="12"/>
      <c r="RDE55" s="12"/>
      <c r="RDF55" s="12"/>
      <c r="RDG55" s="12"/>
      <c r="RDH55" s="12"/>
      <c r="RDI55" s="12"/>
      <c r="RDJ55" s="12"/>
      <c r="RDK55" s="12"/>
      <c r="RDL55" s="12"/>
      <c r="RDM55" s="12"/>
      <c r="RDN55" s="12"/>
      <c r="RDO55" s="12"/>
      <c r="RDP55" s="12"/>
      <c r="RDQ55" s="12"/>
      <c r="RDR55" s="12"/>
      <c r="RDS55" s="12"/>
      <c r="RDT55" s="12"/>
      <c r="RDU55" s="12"/>
      <c r="RDV55" s="12"/>
      <c r="RDW55" s="12"/>
      <c r="RDX55" s="12"/>
      <c r="RDY55" s="12"/>
      <c r="RDZ55" s="12"/>
      <c r="REA55" s="12"/>
      <c r="REB55" s="12"/>
      <c r="REC55" s="12"/>
      <c r="RED55" s="12"/>
      <c r="REE55" s="12"/>
      <c r="REF55" s="12"/>
      <c r="REG55" s="12"/>
      <c r="REH55" s="12"/>
      <c r="REI55" s="12"/>
      <c r="REJ55" s="12"/>
      <c r="REK55" s="12"/>
      <c r="REL55" s="12"/>
      <c r="REM55" s="12"/>
      <c r="REN55" s="12"/>
      <c r="REO55" s="12"/>
      <c r="REP55" s="12"/>
      <c r="REQ55" s="12"/>
      <c r="RER55" s="12"/>
      <c r="RES55" s="12"/>
      <c r="RET55" s="12"/>
      <c r="REU55" s="12"/>
      <c r="REV55" s="12"/>
      <c r="REW55" s="12"/>
      <c r="REX55" s="12"/>
      <c r="REY55" s="12"/>
      <c r="REZ55" s="12"/>
      <c r="RFA55" s="12"/>
      <c r="RFB55" s="12"/>
      <c r="RFC55" s="12"/>
      <c r="RFD55" s="12"/>
      <c r="RFE55" s="12"/>
      <c r="RFF55" s="12"/>
      <c r="RFG55" s="12"/>
      <c r="RFH55" s="12"/>
      <c r="RFI55" s="12"/>
      <c r="RFJ55" s="12"/>
      <c r="RFK55" s="12"/>
      <c r="RFL55" s="12"/>
      <c r="RFM55" s="12"/>
      <c r="RFN55" s="12"/>
      <c r="RFO55" s="12"/>
      <c r="RFP55" s="12"/>
      <c r="RFQ55" s="12"/>
      <c r="RFR55" s="12"/>
      <c r="RFS55" s="12"/>
      <c r="RFT55" s="12"/>
      <c r="RFU55" s="12"/>
      <c r="RFV55" s="12"/>
      <c r="RFW55" s="12"/>
      <c r="RFX55" s="12"/>
      <c r="RFY55" s="12"/>
      <c r="RFZ55" s="12"/>
      <c r="RGA55" s="12"/>
      <c r="RGB55" s="12"/>
      <c r="RGC55" s="12"/>
      <c r="RGD55" s="12"/>
      <c r="RGE55" s="12"/>
      <c r="RGF55" s="12"/>
      <c r="RGG55" s="12"/>
      <c r="RGH55" s="12"/>
      <c r="RGI55" s="12"/>
      <c r="RGJ55" s="12"/>
      <c r="RGK55" s="12"/>
      <c r="RGL55" s="12"/>
      <c r="RGM55" s="12"/>
      <c r="RGN55" s="12"/>
      <c r="RGO55" s="12"/>
      <c r="RGP55" s="12"/>
      <c r="RGQ55" s="12"/>
      <c r="RGR55" s="12"/>
      <c r="RGS55" s="12"/>
      <c r="RGT55" s="12"/>
      <c r="RGU55" s="12"/>
      <c r="RGV55" s="12"/>
      <c r="RGW55" s="12"/>
      <c r="RGX55" s="12"/>
      <c r="RGY55" s="12"/>
      <c r="RGZ55" s="12"/>
      <c r="RHA55" s="12"/>
      <c r="RHB55" s="12"/>
      <c r="RHC55" s="12"/>
      <c r="RHD55" s="12"/>
      <c r="RHE55" s="12"/>
      <c r="RHF55" s="12"/>
      <c r="RHG55" s="12"/>
      <c r="RHH55" s="12"/>
      <c r="RHI55" s="12"/>
      <c r="RHJ55" s="12"/>
      <c r="RHK55" s="12"/>
      <c r="RHL55" s="12"/>
      <c r="RHM55" s="12"/>
      <c r="RHN55" s="12"/>
      <c r="RHO55" s="12"/>
      <c r="RHP55" s="12"/>
      <c r="RHQ55" s="12"/>
      <c r="RHR55" s="12"/>
      <c r="RHS55" s="12"/>
      <c r="RHT55" s="12"/>
      <c r="RHU55" s="12"/>
      <c r="RHV55" s="12"/>
      <c r="RHW55" s="12"/>
      <c r="RHX55" s="12"/>
      <c r="RHY55" s="12"/>
      <c r="RHZ55" s="12"/>
      <c r="RIA55" s="12"/>
      <c r="RIB55" s="12"/>
      <c r="RIC55" s="12"/>
      <c r="RID55" s="12"/>
      <c r="RIE55" s="12"/>
      <c r="RIF55" s="12"/>
      <c r="RIG55" s="12"/>
      <c r="RIH55" s="12"/>
      <c r="RII55" s="12"/>
      <c r="RIJ55" s="12"/>
      <c r="RIK55" s="12"/>
      <c r="RIL55" s="12"/>
      <c r="RIM55" s="12"/>
      <c r="RIN55" s="12"/>
      <c r="RIO55" s="12"/>
      <c r="RIP55" s="12"/>
      <c r="RIQ55" s="12"/>
      <c r="RIR55" s="12"/>
      <c r="RIS55" s="12"/>
      <c r="RIT55" s="12"/>
      <c r="RIU55" s="12"/>
      <c r="RIV55" s="12"/>
      <c r="RIW55" s="12"/>
      <c r="RIX55" s="12"/>
      <c r="RIY55" s="12"/>
      <c r="RIZ55" s="12"/>
      <c r="RJA55" s="12"/>
      <c r="RJB55" s="12"/>
      <c r="RJC55" s="12"/>
      <c r="RJD55" s="12"/>
      <c r="RJE55" s="12"/>
      <c r="RJF55" s="12"/>
      <c r="RJG55" s="12"/>
      <c r="RJH55" s="12"/>
      <c r="RJI55" s="12"/>
      <c r="RJJ55" s="12"/>
      <c r="RJK55" s="12"/>
      <c r="RJL55" s="12"/>
      <c r="RJM55" s="12"/>
      <c r="RJN55" s="12"/>
      <c r="RJO55" s="12"/>
      <c r="RJP55" s="12"/>
      <c r="RJQ55" s="12"/>
      <c r="RJR55" s="12"/>
      <c r="RJS55" s="12"/>
      <c r="RJT55" s="12"/>
      <c r="RJU55" s="12"/>
      <c r="RJV55" s="12"/>
      <c r="RJW55" s="12"/>
      <c r="RJX55" s="12"/>
      <c r="RJY55" s="12"/>
      <c r="RJZ55" s="12"/>
      <c r="RKA55" s="12"/>
      <c r="RKB55" s="12"/>
      <c r="RKC55" s="12"/>
      <c r="RKD55" s="12"/>
      <c r="RKE55" s="12"/>
      <c r="RKF55" s="12"/>
      <c r="RKG55" s="12"/>
      <c r="RKH55" s="12"/>
      <c r="RKI55" s="12"/>
      <c r="RKJ55" s="12"/>
      <c r="RKK55" s="12"/>
      <c r="RKL55" s="12"/>
      <c r="RKM55" s="12"/>
      <c r="RKN55" s="12"/>
      <c r="RKO55" s="12"/>
      <c r="RKP55" s="12"/>
      <c r="RKQ55" s="12"/>
      <c r="RKR55" s="12"/>
      <c r="RKS55" s="12"/>
      <c r="RKT55" s="12"/>
      <c r="RKU55" s="12"/>
      <c r="RKV55" s="12"/>
      <c r="RKW55" s="12"/>
      <c r="RKX55" s="12"/>
      <c r="RKY55" s="12"/>
      <c r="RKZ55" s="12"/>
      <c r="RLA55" s="12"/>
      <c r="RLB55" s="12"/>
      <c r="RLC55" s="12"/>
      <c r="RLD55" s="12"/>
      <c r="RLE55" s="12"/>
      <c r="RLF55" s="12"/>
      <c r="RLG55" s="12"/>
      <c r="RLH55" s="12"/>
      <c r="RLI55" s="12"/>
      <c r="RLJ55" s="12"/>
      <c r="RLK55" s="12"/>
      <c r="RLL55" s="12"/>
      <c r="RLM55" s="12"/>
      <c r="RLN55" s="12"/>
      <c r="RLO55" s="12"/>
      <c r="RLP55" s="12"/>
      <c r="RLQ55" s="12"/>
      <c r="RLR55" s="12"/>
      <c r="RLS55" s="12"/>
      <c r="RLT55" s="12"/>
      <c r="RLU55" s="12"/>
      <c r="RLV55" s="12"/>
      <c r="RLW55" s="12"/>
      <c r="RLX55" s="12"/>
      <c r="RLY55" s="12"/>
      <c r="RLZ55" s="12"/>
      <c r="RMA55" s="12"/>
      <c r="RMB55" s="12"/>
      <c r="RMC55" s="12"/>
      <c r="RMD55" s="12"/>
      <c r="RME55" s="12"/>
      <c r="RMF55" s="12"/>
      <c r="RMG55" s="12"/>
      <c r="RMH55" s="12"/>
      <c r="RMI55" s="12"/>
      <c r="RMJ55" s="12"/>
      <c r="RMK55" s="12"/>
      <c r="RML55" s="12"/>
      <c r="RMM55" s="12"/>
      <c r="RMN55" s="12"/>
      <c r="RMO55" s="12"/>
      <c r="RMP55" s="12"/>
      <c r="RMQ55" s="12"/>
      <c r="RMR55" s="12"/>
      <c r="RMS55" s="12"/>
      <c r="RMT55" s="12"/>
      <c r="RMU55" s="12"/>
      <c r="RMV55" s="12"/>
      <c r="RMW55" s="12"/>
      <c r="RMX55" s="12"/>
      <c r="RMY55" s="12"/>
      <c r="RMZ55" s="12"/>
      <c r="RNA55" s="12"/>
      <c r="RNB55" s="12"/>
      <c r="RNC55" s="12"/>
      <c r="RND55" s="12"/>
      <c r="RNE55" s="12"/>
      <c r="RNF55" s="12"/>
      <c r="RNG55" s="12"/>
      <c r="RNH55" s="12"/>
      <c r="RNI55" s="12"/>
      <c r="RNJ55" s="12"/>
      <c r="RNK55" s="12"/>
      <c r="RNL55" s="12"/>
      <c r="RNM55" s="12"/>
      <c r="RNN55" s="12"/>
      <c r="RNO55" s="12"/>
      <c r="RNP55" s="12"/>
      <c r="RNQ55" s="12"/>
      <c r="RNR55" s="12"/>
      <c r="RNS55" s="12"/>
      <c r="RNT55" s="12"/>
      <c r="RNU55" s="12"/>
      <c r="RNV55" s="12"/>
      <c r="RNW55" s="12"/>
      <c r="RNX55" s="12"/>
      <c r="RNY55" s="12"/>
      <c r="RNZ55" s="12"/>
      <c r="ROA55" s="12"/>
      <c r="ROB55" s="12"/>
      <c r="ROC55" s="12"/>
      <c r="ROD55" s="12"/>
      <c r="ROE55" s="12"/>
      <c r="ROF55" s="12"/>
      <c r="ROG55" s="12"/>
      <c r="ROH55" s="12"/>
      <c r="ROI55" s="12"/>
      <c r="ROJ55" s="12"/>
      <c r="ROK55" s="12"/>
      <c r="ROL55" s="12"/>
      <c r="ROM55" s="12"/>
      <c r="RON55" s="12"/>
      <c r="ROO55" s="12"/>
      <c r="ROP55" s="12"/>
      <c r="ROQ55" s="12"/>
      <c r="ROR55" s="12"/>
      <c r="ROS55" s="12"/>
      <c r="ROT55" s="12"/>
      <c r="ROU55" s="12"/>
      <c r="ROV55" s="12"/>
      <c r="ROW55" s="12"/>
      <c r="ROX55" s="12"/>
      <c r="ROY55" s="12"/>
      <c r="ROZ55" s="12"/>
      <c r="RPA55" s="12"/>
      <c r="RPB55" s="12"/>
      <c r="RPC55" s="12"/>
      <c r="RPD55" s="12"/>
      <c r="RPE55" s="12"/>
      <c r="RPF55" s="12"/>
      <c r="RPG55" s="12"/>
      <c r="RPH55" s="12"/>
      <c r="RPI55" s="12"/>
      <c r="RPJ55" s="12"/>
      <c r="RPK55" s="12"/>
      <c r="RPL55" s="12"/>
      <c r="RPM55" s="12"/>
      <c r="RPN55" s="12"/>
      <c r="RPO55" s="12"/>
      <c r="RPP55" s="12"/>
      <c r="RPQ55" s="12"/>
      <c r="RPR55" s="12"/>
      <c r="RPS55" s="12"/>
      <c r="RPT55" s="12"/>
      <c r="RPU55" s="12"/>
      <c r="RPV55" s="12"/>
      <c r="RPW55" s="12"/>
      <c r="RPX55" s="12"/>
      <c r="RPY55" s="12"/>
      <c r="RPZ55" s="12"/>
      <c r="RQA55" s="12"/>
      <c r="RQB55" s="12"/>
      <c r="RQC55" s="12"/>
      <c r="RQD55" s="12"/>
      <c r="RQE55" s="12"/>
      <c r="RQF55" s="12"/>
      <c r="RQG55" s="12"/>
      <c r="RQH55" s="12"/>
      <c r="RQI55" s="12"/>
      <c r="RQJ55" s="12"/>
      <c r="RQK55" s="12"/>
      <c r="RQL55" s="12"/>
      <c r="RQM55" s="12"/>
      <c r="RQN55" s="12"/>
      <c r="RQO55" s="12"/>
      <c r="RQP55" s="12"/>
      <c r="RQQ55" s="12"/>
      <c r="RQR55" s="12"/>
      <c r="RQS55" s="12"/>
      <c r="RQT55" s="12"/>
      <c r="RQU55" s="12"/>
      <c r="RQV55" s="12"/>
      <c r="RQW55" s="12"/>
      <c r="RQX55" s="12"/>
      <c r="RQY55" s="12"/>
      <c r="RQZ55" s="12"/>
      <c r="RRA55" s="12"/>
      <c r="RRB55" s="12"/>
      <c r="RRC55" s="12"/>
      <c r="RRD55" s="12"/>
      <c r="RRE55" s="12"/>
      <c r="RRF55" s="12"/>
      <c r="RRG55" s="12"/>
      <c r="RRH55" s="12"/>
      <c r="RRI55" s="12"/>
      <c r="RRJ55" s="12"/>
      <c r="RRK55" s="12"/>
      <c r="RRL55" s="12"/>
      <c r="RRM55" s="12"/>
      <c r="RRN55" s="12"/>
      <c r="RRO55" s="12"/>
      <c r="RRP55" s="12"/>
      <c r="RRQ55" s="12"/>
      <c r="RRR55" s="12"/>
      <c r="RRS55" s="12"/>
      <c r="RRT55" s="12"/>
      <c r="RRU55" s="12"/>
      <c r="RRV55" s="12"/>
      <c r="RRW55" s="12"/>
      <c r="RRX55" s="12"/>
      <c r="RRY55" s="12"/>
      <c r="RRZ55" s="12"/>
      <c r="RSA55" s="12"/>
      <c r="RSB55" s="12"/>
      <c r="RSC55" s="12"/>
      <c r="RSD55" s="12"/>
      <c r="RSE55" s="12"/>
      <c r="RSF55" s="12"/>
      <c r="RSG55" s="12"/>
      <c r="RSH55" s="12"/>
      <c r="RSI55" s="12"/>
      <c r="RSJ55" s="12"/>
      <c r="RSK55" s="12"/>
      <c r="RSL55" s="12"/>
      <c r="RSM55" s="12"/>
      <c r="RSN55" s="12"/>
      <c r="RSO55" s="12"/>
      <c r="RSP55" s="12"/>
      <c r="RSQ55" s="12"/>
      <c r="RSR55" s="12"/>
      <c r="RSS55" s="12"/>
      <c r="RST55" s="12"/>
      <c r="RSU55" s="12"/>
      <c r="RSV55" s="12"/>
      <c r="RSW55" s="12"/>
      <c r="RSX55" s="12"/>
      <c r="RSY55" s="12"/>
      <c r="RSZ55" s="12"/>
      <c r="RTA55" s="12"/>
      <c r="RTB55" s="12"/>
      <c r="RTC55" s="12"/>
      <c r="RTD55" s="12"/>
      <c r="RTE55" s="12"/>
      <c r="RTF55" s="12"/>
      <c r="RTG55" s="12"/>
      <c r="RTH55" s="12"/>
      <c r="RTI55" s="12"/>
      <c r="RTJ55" s="12"/>
      <c r="RTK55" s="12"/>
      <c r="RTL55" s="12"/>
      <c r="RTM55" s="12"/>
      <c r="RTN55" s="12"/>
      <c r="RTO55" s="12"/>
      <c r="RTP55" s="12"/>
      <c r="RTQ55" s="12"/>
      <c r="RTR55" s="12"/>
      <c r="RTS55" s="12"/>
      <c r="RTT55" s="12"/>
      <c r="RTU55" s="12"/>
      <c r="RTV55" s="12"/>
      <c r="RTW55" s="12"/>
      <c r="RTX55" s="12"/>
      <c r="RTY55" s="12"/>
      <c r="RTZ55" s="12"/>
      <c r="RUA55" s="12"/>
      <c r="RUB55" s="12"/>
      <c r="RUC55" s="12"/>
      <c r="RUD55" s="12"/>
      <c r="RUE55" s="12"/>
      <c r="RUF55" s="12"/>
      <c r="RUG55" s="12"/>
      <c r="RUH55" s="12"/>
      <c r="RUI55" s="12"/>
      <c r="RUJ55" s="12"/>
      <c r="RUK55" s="12"/>
      <c r="RUL55" s="12"/>
      <c r="RUM55" s="12"/>
      <c r="RUN55" s="12"/>
      <c r="RUO55" s="12"/>
      <c r="RUP55" s="12"/>
      <c r="RUQ55" s="12"/>
      <c r="RUR55" s="12"/>
      <c r="RUS55" s="12"/>
      <c r="RUT55" s="12"/>
      <c r="RUU55" s="12"/>
      <c r="RUV55" s="12"/>
      <c r="RUW55" s="12"/>
      <c r="RUX55" s="12"/>
      <c r="RUY55" s="12"/>
      <c r="RUZ55" s="12"/>
      <c r="RVA55" s="12"/>
      <c r="RVB55" s="12"/>
      <c r="RVC55" s="12"/>
      <c r="RVD55" s="12"/>
      <c r="RVE55" s="12"/>
      <c r="RVF55" s="12"/>
      <c r="RVG55" s="12"/>
      <c r="RVH55" s="12"/>
      <c r="RVI55" s="12"/>
      <c r="RVJ55" s="12"/>
      <c r="RVK55" s="12"/>
      <c r="RVL55" s="12"/>
      <c r="RVM55" s="12"/>
      <c r="RVN55" s="12"/>
      <c r="RVO55" s="12"/>
      <c r="RVP55" s="12"/>
      <c r="RVQ55" s="12"/>
      <c r="RVR55" s="12"/>
      <c r="RVS55" s="12"/>
      <c r="RVT55" s="12"/>
      <c r="RVU55" s="12"/>
      <c r="RVV55" s="12"/>
      <c r="RVW55" s="12"/>
      <c r="RVX55" s="12"/>
      <c r="RVY55" s="12"/>
      <c r="RVZ55" s="12"/>
      <c r="RWA55" s="12"/>
      <c r="RWB55" s="12"/>
      <c r="RWC55" s="12"/>
      <c r="RWD55" s="12"/>
      <c r="RWE55" s="12"/>
      <c r="RWF55" s="12"/>
      <c r="RWG55" s="12"/>
      <c r="RWH55" s="12"/>
      <c r="RWI55" s="12"/>
      <c r="RWJ55" s="12"/>
      <c r="RWK55" s="12"/>
      <c r="RWL55" s="12"/>
      <c r="RWM55" s="12"/>
      <c r="RWN55" s="12"/>
      <c r="RWO55" s="12"/>
      <c r="RWP55" s="12"/>
      <c r="RWQ55" s="12"/>
      <c r="RWR55" s="12"/>
      <c r="RWS55" s="12"/>
      <c r="RWT55" s="12"/>
      <c r="RWU55" s="12"/>
      <c r="RWV55" s="12"/>
      <c r="RWW55" s="12"/>
      <c r="RWX55" s="12"/>
      <c r="RWY55" s="12"/>
      <c r="RWZ55" s="12"/>
      <c r="RXA55" s="12"/>
      <c r="RXB55" s="12"/>
      <c r="RXC55" s="12"/>
      <c r="RXD55" s="12"/>
      <c r="RXE55" s="12"/>
      <c r="RXF55" s="12"/>
      <c r="RXG55" s="12"/>
      <c r="RXH55" s="12"/>
      <c r="RXI55" s="12"/>
      <c r="RXJ55" s="12"/>
      <c r="RXK55" s="12"/>
      <c r="RXL55" s="12"/>
      <c r="RXM55" s="12"/>
      <c r="RXN55" s="12"/>
      <c r="RXO55" s="12"/>
      <c r="RXP55" s="12"/>
      <c r="RXQ55" s="12"/>
      <c r="RXR55" s="12"/>
      <c r="RXS55" s="12"/>
      <c r="RXT55" s="12"/>
      <c r="RXU55" s="12"/>
      <c r="RXV55" s="12"/>
      <c r="RXW55" s="12"/>
      <c r="RXX55" s="12"/>
      <c r="RXY55" s="12"/>
      <c r="RXZ55" s="12"/>
      <c r="RYA55" s="12"/>
      <c r="RYB55" s="12"/>
      <c r="RYC55" s="12"/>
      <c r="RYD55" s="12"/>
      <c r="RYE55" s="12"/>
      <c r="RYF55" s="12"/>
      <c r="RYG55" s="12"/>
      <c r="RYH55" s="12"/>
      <c r="RYI55" s="12"/>
      <c r="RYJ55" s="12"/>
      <c r="RYK55" s="12"/>
      <c r="RYL55" s="12"/>
      <c r="RYM55" s="12"/>
      <c r="RYN55" s="12"/>
      <c r="RYO55" s="12"/>
      <c r="RYP55" s="12"/>
      <c r="RYQ55" s="12"/>
      <c r="RYR55" s="12"/>
      <c r="RYS55" s="12"/>
      <c r="RYT55" s="12"/>
      <c r="RYU55" s="12"/>
      <c r="RYV55" s="12"/>
      <c r="RYW55" s="12"/>
      <c r="RYX55" s="12"/>
      <c r="RYY55" s="12"/>
      <c r="RYZ55" s="12"/>
      <c r="RZA55" s="12"/>
      <c r="RZB55" s="12"/>
      <c r="RZC55" s="12"/>
      <c r="RZD55" s="12"/>
      <c r="RZE55" s="12"/>
      <c r="RZF55" s="12"/>
      <c r="RZG55" s="12"/>
      <c r="RZH55" s="12"/>
      <c r="RZI55" s="12"/>
      <c r="RZJ55" s="12"/>
      <c r="RZK55" s="12"/>
      <c r="RZL55" s="12"/>
      <c r="RZM55" s="12"/>
      <c r="RZN55" s="12"/>
      <c r="RZO55" s="12"/>
      <c r="RZP55" s="12"/>
      <c r="RZQ55" s="12"/>
      <c r="RZR55" s="12"/>
      <c r="RZS55" s="12"/>
      <c r="RZT55" s="12"/>
      <c r="RZU55" s="12"/>
      <c r="RZV55" s="12"/>
      <c r="RZW55" s="12"/>
      <c r="RZX55" s="12"/>
      <c r="RZY55" s="12"/>
      <c r="RZZ55" s="12"/>
      <c r="SAA55" s="12"/>
      <c r="SAB55" s="12"/>
      <c r="SAC55" s="12"/>
      <c r="SAD55" s="12"/>
      <c r="SAE55" s="12"/>
      <c r="SAF55" s="12"/>
      <c r="SAG55" s="12"/>
      <c r="SAH55" s="12"/>
      <c r="SAI55" s="12"/>
      <c r="SAJ55" s="12"/>
      <c r="SAK55" s="12"/>
      <c r="SAL55" s="12"/>
      <c r="SAM55" s="12"/>
      <c r="SAN55" s="12"/>
      <c r="SAO55" s="12"/>
      <c r="SAP55" s="12"/>
      <c r="SAQ55" s="12"/>
      <c r="SAR55" s="12"/>
      <c r="SAS55" s="12"/>
      <c r="SAT55" s="12"/>
      <c r="SAU55" s="12"/>
      <c r="SAV55" s="12"/>
      <c r="SAW55" s="12"/>
      <c r="SAX55" s="12"/>
      <c r="SAY55" s="12"/>
      <c r="SAZ55" s="12"/>
      <c r="SBA55" s="12"/>
      <c r="SBB55" s="12"/>
      <c r="SBC55" s="12"/>
      <c r="SBD55" s="12"/>
      <c r="SBE55" s="12"/>
      <c r="SBF55" s="12"/>
      <c r="SBG55" s="12"/>
      <c r="SBH55" s="12"/>
      <c r="SBI55" s="12"/>
      <c r="SBJ55" s="12"/>
      <c r="SBK55" s="12"/>
      <c r="SBL55" s="12"/>
      <c r="SBM55" s="12"/>
      <c r="SBN55" s="12"/>
      <c r="SBO55" s="12"/>
      <c r="SBP55" s="12"/>
      <c r="SBQ55" s="12"/>
      <c r="SBR55" s="12"/>
      <c r="SBS55" s="12"/>
      <c r="SBT55" s="12"/>
      <c r="SBU55" s="12"/>
      <c r="SBV55" s="12"/>
      <c r="SBW55" s="12"/>
      <c r="SBX55" s="12"/>
      <c r="SBY55" s="12"/>
      <c r="SBZ55" s="12"/>
      <c r="SCA55" s="12"/>
      <c r="SCB55" s="12"/>
      <c r="SCC55" s="12"/>
      <c r="SCD55" s="12"/>
      <c r="SCE55" s="12"/>
      <c r="SCF55" s="12"/>
      <c r="SCG55" s="12"/>
      <c r="SCH55" s="12"/>
      <c r="SCI55" s="12"/>
      <c r="SCJ55" s="12"/>
      <c r="SCK55" s="12"/>
      <c r="SCL55" s="12"/>
      <c r="SCM55" s="12"/>
      <c r="SCN55" s="12"/>
      <c r="SCO55" s="12"/>
      <c r="SCP55" s="12"/>
      <c r="SCQ55" s="12"/>
      <c r="SCR55" s="12"/>
      <c r="SCS55" s="12"/>
      <c r="SCT55" s="12"/>
      <c r="SCU55" s="12"/>
      <c r="SCV55" s="12"/>
      <c r="SCW55" s="12"/>
      <c r="SCX55" s="12"/>
      <c r="SCY55" s="12"/>
      <c r="SCZ55" s="12"/>
      <c r="SDA55" s="12"/>
      <c r="SDB55" s="12"/>
      <c r="SDC55" s="12"/>
      <c r="SDD55" s="12"/>
      <c r="SDE55" s="12"/>
      <c r="SDF55" s="12"/>
      <c r="SDG55" s="12"/>
      <c r="SDH55" s="12"/>
      <c r="SDI55" s="12"/>
      <c r="SDJ55" s="12"/>
      <c r="SDK55" s="12"/>
      <c r="SDL55" s="12"/>
      <c r="SDM55" s="12"/>
      <c r="SDN55" s="12"/>
      <c r="SDO55" s="12"/>
      <c r="SDP55" s="12"/>
      <c r="SDQ55" s="12"/>
      <c r="SDR55" s="12"/>
      <c r="SDS55" s="12"/>
      <c r="SDT55" s="12"/>
      <c r="SDU55" s="12"/>
      <c r="SDV55" s="12"/>
      <c r="SDW55" s="12"/>
      <c r="SDX55" s="12"/>
      <c r="SDY55" s="12"/>
      <c r="SDZ55" s="12"/>
      <c r="SEA55" s="12"/>
      <c r="SEB55" s="12"/>
      <c r="SEC55" s="12"/>
      <c r="SED55" s="12"/>
      <c r="SEE55" s="12"/>
      <c r="SEF55" s="12"/>
      <c r="SEG55" s="12"/>
      <c r="SEH55" s="12"/>
      <c r="SEI55" s="12"/>
      <c r="SEJ55" s="12"/>
      <c r="SEK55" s="12"/>
      <c r="SEL55" s="12"/>
      <c r="SEM55" s="12"/>
      <c r="SEN55" s="12"/>
      <c r="SEO55" s="12"/>
      <c r="SEP55" s="12"/>
      <c r="SEQ55" s="12"/>
      <c r="SER55" s="12"/>
      <c r="SES55" s="12"/>
      <c r="SET55" s="12"/>
      <c r="SEU55" s="12"/>
      <c r="SEV55" s="12"/>
      <c r="SEW55" s="12"/>
      <c r="SEX55" s="12"/>
      <c r="SEY55" s="12"/>
      <c r="SEZ55" s="12"/>
      <c r="SFA55" s="12"/>
      <c r="SFB55" s="12"/>
      <c r="SFC55" s="12"/>
      <c r="SFD55" s="12"/>
      <c r="SFE55" s="12"/>
      <c r="SFF55" s="12"/>
      <c r="SFG55" s="12"/>
      <c r="SFH55" s="12"/>
      <c r="SFI55" s="12"/>
      <c r="SFJ55" s="12"/>
      <c r="SFK55" s="12"/>
      <c r="SFL55" s="12"/>
      <c r="SFM55" s="12"/>
      <c r="SFN55" s="12"/>
      <c r="SFO55" s="12"/>
      <c r="SFP55" s="12"/>
      <c r="SFQ55" s="12"/>
      <c r="SFR55" s="12"/>
      <c r="SFS55" s="12"/>
      <c r="SFT55" s="12"/>
      <c r="SFU55" s="12"/>
      <c r="SFV55" s="12"/>
      <c r="SFW55" s="12"/>
      <c r="SFX55" s="12"/>
      <c r="SFY55" s="12"/>
      <c r="SFZ55" s="12"/>
      <c r="SGA55" s="12"/>
      <c r="SGB55" s="12"/>
      <c r="SGC55" s="12"/>
      <c r="SGD55" s="12"/>
      <c r="SGE55" s="12"/>
      <c r="SGF55" s="12"/>
      <c r="SGG55" s="12"/>
      <c r="SGH55" s="12"/>
      <c r="SGI55" s="12"/>
      <c r="SGJ55" s="12"/>
      <c r="SGK55" s="12"/>
      <c r="SGL55" s="12"/>
      <c r="SGM55" s="12"/>
      <c r="SGN55" s="12"/>
      <c r="SGO55" s="12"/>
      <c r="SGP55" s="12"/>
      <c r="SGQ55" s="12"/>
      <c r="SGR55" s="12"/>
      <c r="SGS55" s="12"/>
      <c r="SGT55" s="12"/>
      <c r="SGU55" s="12"/>
      <c r="SGV55" s="12"/>
      <c r="SGW55" s="12"/>
      <c r="SGX55" s="12"/>
      <c r="SGY55" s="12"/>
      <c r="SGZ55" s="12"/>
      <c r="SHA55" s="12"/>
      <c r="SHB55" s="12"/>
      <c r="SHC55" s="12"/>
      <c r="SHD55" s="12"/>
      <c r="SHE55" s="12"/>
      <c r="SHF55" s="12"/>
      <c r="SHG55" s="12"/>
      <c r="SHH55" s="12"/>
      <c r="SHI55" s="12"/>
      <c r="SHJ55" s="12"/>
      <c r="SHK55" s="12"/>
      <c r="SHL55" s="12"/>
      <c r="SHM55" s="12"/>
      <c r="SHN55" s="12"/>
      <c r="SHO55" s="12"/>
      <c r="SHP55" s="12"/>
      <c r="SHQ55" s="12"/>
      <c r="SHR55" s="12"/>
      <c r="SHS55" s="12"/>
      <c r="SHT55" s="12"/>
      <c r="SHU55" s="12"/>
      <c r="SHV55" s="12"/>
      <c r="SHW55" s="12"/>
      <c r="SHX55" s="12"/>
      <c r="SHY55" s="12"/>
      <c r="SHZ55" s="12"/>
      <c r="SIA55" s="12"/>
      <c r="SIB55" s="12"/>
      <c r="SIC55" s="12"/>
      <c r="SID55" s="12"/>
      <c r="SIE55" s="12"/>
      <c r="SIF55" s="12"/>
      <c r="SIG55" s="12"/>
      <c r="SIH55" s="12"/>
      <c r="SII55" s="12"/>
      <c r="SIJ55" s="12"/>
      <c r="SIK55" s="12"/>
      <c r="SIL55" s="12"/>
      <c r="SIM55" s="12"/>
      <c r="SIN55" s="12"/>
      <c r="SIO55" s="12"/>
      <c r="SIP55" s="12"/>
      <c r="SIQ55" s="12"/>
      <c r="SIR55" s="12"/>
      <c r="SIS55" s="12"/>
      <c r="SIT55" s="12"/>
      <c r="SIU55" s="12"/>
      <c r="SIV55" s="12"/>
      <c r="SIW55" s="12"/>
      <c r="SIX55" s="12"/>
      <c r="SIY55" s="12"/>
      <c r="SIZ55" s="12"/>
      <c r="SJA55" s="12"/>
      <c r="SJB55" s="12"/>
      <c r="SJC55" s="12"/>
      <c r="SJD55" s="12"/>
      <c r="SJE55" s="12"/>
      <c r="SJF55" s="12"/>
      <c r="SJG55" s="12"/>
      <c r="SJH55" s="12"/>
      <c r="SJI55" s="12"/>
      <c r="SJJ55" s="12"/>
      <c r="SJK55" s="12"/>
      <c r="SJL55" s="12"/>
      <c r="SJM55" s="12"/>
      <c r="SJN55" s="12"/>
      <c r="SJO55" s="12"/>
      <c r="SJP55" s="12"/>
      <c r="SJQ55" s="12"/>
      <c r="SJR55" s="12"/>
      <c r="SJS55" s="12"/>
      <c r="SJT55" s="12"/>
      <c r="SJU55" s="12"/>
      <c r="SJV55" s="12"/>
      <c r="SJW55" s="12"/>
      <c r="SJX55" s="12"/>
      <c r="SJY55" s="12"/>
      <c r="SJZ55" s="12"/>
      <c r="SKA55" s="12"/>
      <c r="SKB55" s="12"/>
      <c r="SKC55" s="12"/>
      <c r="SKD55" s="12"/>
      <c r="SKE55" s="12"/>
      <c r="SKF55" s="12"/>
      <c r="SKG55" s="12"/>
      <c r="SKH55" s="12"/>
      <c r="SKI55" s="12"/>
      <c r="SKJ55" s="12"/>
      <c r="SKK55" s="12"/>
      <c r="SKL55" s="12"/>
      <c r="SKM55" s="12"/>
      <c r="SKN55" s="12"/>
      <c r="SKO55" s="12"/>
      <c r="SKP55" s="12"/>
      <c r="SKQ55" s="12"/>
      <c r="SKR55" s="12"/>
      <c r="SKS55" s="12"/>
      <c r="SKT55" s="12"/>
      <c r="SKU55" s="12"/>
      <c r="SKV55" s="12"/>
      <c r="SKW55" s="12"/>
      <c r="SKX55" s="12"/>
      <c r="SKY55" s="12"/>
      <c r="SKZ55" s="12"/>
      <c r="SLA55" s="12"/>
      <c r="SLB55" s="12"/>
      <c r="SLC55" s="12"/>
      <c r="SLD55" s="12"/>
      <c r="SLE55" s="12"/>
      <c r="SLF55" s="12"/>
      <c r="SLG55" s="12"/>
      <c r="SLH55" s="12"/>
      <c r="SLI55" s="12"/>
      <c r="SLJ55" s="12"/>
      <c r="SLK55" s="12"/>
      <c r="SLL55" s="12"/>
      <c r="SLM55" s="12"/>
      <c r="SLN55" s="12"/>
      <c r="SLO55" s="12"/>
      <c r="SLP55" s="12"/>
      <c r="SLQ55" s="12"/>
      <c r="SLR55" s="12"/>
      <c r="SLS55" s="12"/>
      <c r="SLT55" s="12"/>
      <c r="SLU55" s="12"/>
      <c r="SLV55" s="12"/>
      <c r="SLW55" s="12"/>
      <c r="SLX55" s="12"/>
      <c r="SLY55" s="12"/>
      <c r="SLZ55" s="12"/>
      <c r="SMA55" s="12"/>
      <c r="SMB55" s="12"/>
      <c r="SMC55" s="12"/>
      <c r="SMD55" s="12"/>
      <c r="SME55" s="12"/>
      <c r="SMF55" s="12"/>
      <c r="SMG55" s="12"/>
      <c r="SMH55" s="12"/>
      <c r="SMI55" s="12"/>
      <c r="SMJ55" s="12"/>
      <c r="SMK55" s="12"/>
      <c r="SML55" s="12"/>
      <c r="SMM55" s="12"/>
      <c r="SMN55" s="12"/>
      <c r="SMO55" s="12"/>
      <c r="SMP55" s="12"/>
      <c r="SMQ55" s="12"/>
      <c r="SMR55" s="12"/>
      <c r="SMS55" s="12"/>
      <c r="SMT55" s="12"/>
      <c r="SMU55" s="12"/>
      <c r="SMV55" s="12"/>
      <c r="SMW55" s="12"/>
      <c r="SMX55" s="12"/>
      <c r="SMY55" s="12"/>
      <c r="SMZ55" s="12"/>
      <c r="SNA55" s="12"/>
      <c r="SNB55" s="12"/>
      <c r="SNC55" s="12"/>
      <c r="SND55" s="12"/>
      <c r="SNE55" s="12"/>
      <c r="SNF55" s="12"/>
      <c r="SNG55" s="12"/>
      <c r="SNH55" s="12"/>
      <c r="SNI55" s="12"/>
      <c r="SNJ55" s="12"/>
      <c r="SNK55" s="12"/>
      <c r="SNL55" s="12"/>
      <c r="SNM55" s="12"/>
      <c r="SNN55" s="12"/>
      <c r="SNO55" s="12"/>
      <c r="SNP55" s="12"/>
      <c r="SNQ55" s="12"/>
      <c r="SNR55" s="12"/>
      <c r="SNS55" s="12"/>
      <c r="SNT55" s="12"/>
      <c r="SNU55" s="12"/>
      <c r="SNV55" s="12"/>
      <c r="SNW55" s="12"/>
      <c r="SNX55" s="12"/>
      <c r="SNY55" s="12"/>
      <c r="SNZ55" s="12"/>
      <c r="SOA55" s="12"/>
      <c r="SOB55" s="12"/>
      <c r="SOC55" s="12"/>
      <c r="SOD55" s="12"/>
      <c r="SOE55" s="12"/>
      <c r="SOF55" s="12"/>
      <c r="SOG55" s="12"/>
      <c r="SOH55" s="12"/>
      <c r="SOI55" s="12"/>
      <c r="SOJ55" s="12"/>
      <c r="SOK55" s="12"/>
      <c r="SOL55" s="12"/>
      <c r="SOM55" s="12"/>
      <c r="SON55" s="12"/>
      <c r="SOO55" s="12"/>
      <c r="SOP55" s="12"/>
      <c r="SOQ55" s="12"/>
      <c r="SOR55" s="12"/>
      <c r="SOS55" s="12"/>
      <c r="SOT55" s="12"/>
      <c r="SOU55" s="12"/>
      <c r="SOV55" s="12"/>
      <c r="SOW55" s="12"/>
      <c r="SOX55" s="12"/>
      <c r="SOY55" s="12"/>
      <c r="SOZ55" s="12"/>
      <c r="SPA55" s="12"/>
      <c r="SPB55" s="12"/>
      <c r="SPC55" s="12"/>
      <c r="SPD55" s="12"/>
      <c r="SPE55" s="12"/>
      <c r="SPF55" s="12"/>
      <c r="SPG55" s="12"/>
      <c r="SPH55" s="12"/>
      <c r="SPI55" s="12"/>
      <c r="SPJ55" s="12"/>
      <c r="SPK55" s="12"/>
      <c r="SPL55" s="12"/>
      <c r="SPM55" s="12"/>
      <c r="SPN55" s="12"/>
      <c r="SPO55" s="12"/>
      <c r="SPP55" s="12"/>
      <c r="SPQ55" s="12"/>
      <c r="SPR55" s="12"/>
      <c r="SPS55" s="12"/>
      <c r="SPT55" s="12"/>
      <c r="SPU55" s="12"/>
      <c r="SPV55" s="12"/>
      <c r="SPW55" s="12"/>
      <c r="SPX55" s="12"/>
      <c r="SPY55" s="12"/>
      <c r="SPZ55" s="12"/>
      <c r="SQA55" s="12"/>
      <c r="SQB55" s="12"/>
      <c r="SQC55" s="12"/>
      <c r="SQD55" s="12"/>
      <c r="SQE55" s="12"/>
      <c r="SQF55" s="12"/>
      <c r="SQG55" s="12"/>
      <c r="SQH55" s="12"/>
      <c r="SQI55" s="12"/>
      <c r="SQJ55" s="12"/>
      <c r="SQK55" s="12"/>
      <c r="SQL55" s="12"/>
      <c r="SQM55" s="12"/>
      <c r="SQN55" s="12"/>
      <c r="SQO55" s="12"/>
      <c r="SQP55" s="12"/>
      <c r="SQQ55" s="12"/>
      <c r="SQR55" s="12"/>
      <c r="SQS55" s="12"/>
      <c r="SQT55" s="12"/>
      <c r="SQU55" s="12"/>
      <c r="SQV55" s="12"/>
      <c r="SQW55" s="12"/>
      <c r="SQX55" s="12"/>
      <c r="SQY55" s="12"/>
      <c r="SQZ55" s="12"/>
      <c r="SRA55" s="12"/>
      <c r="SRB55" s="12"/>
      <c r="SRC55" s="12"/>
      <c r="SRD55" s="12"/>
      <c r="SRE55" s="12"/>
      <c r="SRF55" s="12"/>
      <c r="SRG55" s="12"/>
      <c r="SRH55" s="12"/>
      <c r="SRI55" s="12"/>
      <c r="SRJ55" s="12"/>
      <c r="SRK55" s="12"/>
      <c r="SRL55" s="12"/>
      <c r="SRM55" s="12"/>
      <c r="SRN55" s="12"/>
      <c r="SRO55" s="12"/>
      <c r="SRP55" s="12"/>
      <c r="SRQ55" s="12"/>
      <c r="SRR55" s="12"/>
      <c r="SRS55" s="12"/>
      <c r="SRT55" s="12"/>
      <c r="SRU55" s="12"/>
      <c r="SRV55" s="12"/>
      <c r="SRW55" s="12"/>
      <c r="SRX55" s="12"/>
      <c r="SRY55" s="12"/>
      <c r="SRZ55" s="12"/>
      <c r="SSA55" s="12"/>
      <c r="SSB55" s="12"/>
      <c r="SSC55" s="12"/>
      <c r="SSD55" s="12"/>
      <c r="SSE55" s="12"/>
      <c r="SSF55" s="12"/>
      <c r="SSG55" s="12"/>
      <c r="SSH55" s="12"/>
      <c r="SSI55" s="12"/>
      <c r="SSJ55" s="12"/>
      <c r="SSK55" s="12"/>
      <c r="SSL55" s="12"/>
      <c r="SSM55" s="12"/>
      <c r="SSN55" s="12"/>
      <c r="SSO55" s="12"/>
      <c r="SSP55" s="12"/>
      <c r="SSQ55" s="12"/>
      <c r="SSR55" s="12"/>
      <c r="SSS55" s="12"/>
      <c r="SST55" s="12"/>
      <c r="SSU55" s="12"/>
      <c r="SSV55" s="12"/>
      <c r="SSW55" s="12"/>
      <c r="SSX55" s="12"/>
      <c r="SSY55" s="12"/>
      <c r="SSZ55" s="12"/>
      <c r="STA55" s="12"/>
      <c r="STB55" s="12"/>
      <c r="STC55" s="12"/>
      <c r="STD55" s="12"/>
      <c r="STE55" s="12"/>
      <c r="STF55" s="12"/>
      <c r="STG55" s="12"/>
      <c r="STH55" s="12"/>
      <c r="STI55" s="12"/>
      <c r="STJ55" s="12"/>
      <c r="STK55" s="12"/>
      <c r="STL55" s="12"/>
      <c r="STM55" s="12"/>
      <c r="STN55" s="12"/>
      <c r="STO55" s="12"/>
      <c r="STP55" s="12"/>
      <c r="STQ55" s="12"/>
      <c r="STR55" s="12"/>
      <c r="STS55" s="12"/>
      <c r="STT55" s="12"/>
      <c r="STU55" s="12"/>
      <c r="STV55" s="12"/>
      <c r="STW55" s="12"/>
      <c r="STX55" s="12"/>
      <c r="STY55" s="12"/>
      <c r="STZ55" s="12"/>
      <c r="SUA55" s="12"/>
      <c r="SUB55" s="12"/>
      <c r="SUC55" s="12"/>
      <c r="SUD55" s="12"/>
      <c r="SUE55" s="12"/>
      <c r="SUF55" s="12"/>
      <c r="SUG55" s="12"/>
      <c r="SUH55" s="12"/>
      <c r="SUI55" s="12"/>
      <c r="SUJ55" s="12"/>
      <c r="SUK55" s="12"/>
      <c r="SUL55" s="12"/>
      <c r="SUM55" s="12"/>
      <c r="SUN55" s="12"/>
      <c r="SUO55" s="12"/>
      <c r="SUP55" s="12"/>
      <c r="SUQ55" s="12"/>
      <c r="SUR55" s="12"/>
      <c r="SUS55" s="12"/>
      <c r="SUT55" s="12"/>
      <c r="SUU55" s="12"/>
      <c r="SUV55" s="12"/>
      <c r="SUW55" s="12"/>
      <c r="SUX55" s="12"/>
      <c r="SUY55" s="12"/>
      <c r="SUZ55" s="12"/>
      <c r="SVA55" s="12"/>
      <c r="SVB55" s="12"/>
      <c r="SVC55" s="12"/>
      <c r="SVD55" s="12"/>
      <c r="SVE55" s="12"/>
      <c r="SVF55" s="12"/>
      <c r="SVG55" s="12"/>
      <c r="SVH55" s="12"/>
      <c r="SVI55" s="12"/>
      <c r="SVJ55" s="12"/>
      <c r="SVK55" s="12"/>
      <c r="SVL55" s="12"/>
      <c r="SVM55" s="12"/>
      <c r="SVN55" s="12"/>
      <c r="SVO55" s="12"/>
      <c r="SVP55" s="12"/>
      <c r="SVQ55" s="12"/>
      <c r="SVR55" s="12"/>
      <c r="SVS55" s="12"/>
      <c r="SVT55" s="12"/>
      <c r="SVU55" s="12"/>
      <c r="SVV55" s="12"/>
      <c r="SVW55" s="12"/>
      <c r="SVX55" s="12"/>
      <c r="SVY55" s="12"/>
      <c r="SVZ55" s="12"/>
      <c r="SWA55" s="12"/>
      <c r="SWB55" s="12"/>
      <c r="SWC55" s="12"/>
      <c r="SWD55" s="12"/>
      <c r="SWE55" s="12"/>
      <c r="SWF55" s="12"/>
      <c r="SWG55" s="12"/>
      <c r="SWH55" s="12"/>
      <c r="SWI55" s="12"/>
      <c r="SWJ55" s="12"/>
      <c r="SWK55" s="12"/>
      <c r="SWL55" s="12"/>
      <c r="SWM55" s="12"/>
      <c r="SWN55" s="12"/>
      <c r="SWO55" s="12"/>
      <c r="SWP55" s="12"/>
      <c r="SWQ55" s="12"/>
      <c r="SWR55" s="12"/>
      <c r="SWS55" s="12"/>
      <c r="SWT55" s="12"/>
      <c r="SWU55" s="12"/>
      <c r="SWV55" s="12"/>
      <c r="SWW55" s="12"/>
      <c r="SWX55" s="12"/>
      <c r="SWY55" s="12"/>
      <c r="SWZ55" s="12"/>
      <c r="SXA55" s="12"/>
      <c r="SXB55" s="12"/>
      <c r="SXC55" s="12"/>
      <c r="SXD55" s="12"/>
      <c r="SXE55" s="12"/>
      <c r="SXF55" s="12"/>
      <c r="SXG55" s="12"/>
      <c r="SXH55" s="12"/>
      <c r="SXI55" s="12"/>
      <c r="SXJ55" s="12"/>
      <c r="SXK55" s="12"/>
      <c r="SXL55" s="12"/>
      <c r="SXM55" s="12"/>
      <c r="SXN55" s="12"/>
      <c r="SXO55" s="12"/>
      <c r="SXP55" s="12"/>
      <c r="SXQ55" s="12"/>
      <c r="SXR55" s="12"/>
      <c r="SXS55" s="12"/>
      <c r="SXT55" s="12"/>
      <c r="SXU55" s="12"/>
      <c r="SXV55" s="12"/>
      <c r="SXW55" s="12"/>
      <c r="SXX55" s="12"/>
      <c r="SXY55" s="12"/>
      <c r="SXZ55" s="12"/>
      <c r="SYA55" s="12"/>
      <c r="SYB55" s="12"/>
      <c r="SYC55" s="12"/>
      <c r="SYD55" s="12"/>
      <c r="SYE55" s="12"/>
      <c r="SYF55" s="12"/>
      <c r="SYG55" s="12"/>
      <c r="SYH55" s="12"/>
      <c r="SYI55" s="12"/>
      <c r="SYJ55" s="12"/>
      <c r="SYK55" s="12"/>
      <c r="SYL55" s="12"/>
      <c r="SYM55" s="12"/>
      <c r="SYN55" s="12"/>
      <c r="SYO55" s="12"/>
      <c r="SYP55" s="12"/>
      <c r="SYQ55" s="12"/>
      <c r="SYR55" s="12"/>
      <c r="SYS55" s="12"/>
      <c r="SYT55" s="12"/>
      <c r="SYU55" s="12"/>
      <c r="SYV55" s="12"/>
      <c r="SYW55" s="12"/>
      <c r="SYX55" s="12"/>
      <c r="SYY55" s="12"/>
      <c r="SYZ55" s="12"/>
      <c r="SZA55" s="12"/>
      <c r="SZB55" s="12"/>
      <c r="SZC55" s="12"/>
      <c r="SZD55" s="12"/>
      <c r="SZE55" s="12"/>
      <c r="SZF55" s="12"/>
      <c r="SZG55" s="12"/>
      <c r="SZH55" s="12"/>
      <c r="SZI55" s="12"/>
      <c r="SZJ55" s="12"/>
      <c r="SZK55" s="12"/>
      <c r="SZL55" s="12"/>
      <c r="SZM55" s="12"/>
      <c r="SZN55" s="12"/>
      <c r="SZO55" s="12"/>
      <c r="SZP55" s="12"/>
      <c r="SZQ55" s="12"/>
      <c r="SZR55" s="12"/>
      <c r="SZS55" s="12"/>
      <c r="SZT55" s="12"/>
      <c r="SZU55" s="12"/>
      <c r="SZV55" s="12"/>
      <c r="SZW55" s="12"/>
      <c r="SZX55" s="12"/>
      <c r="SZY55" s="12"/>
      <c r="SZZ55" s="12"/>
      <c r="TAA55" s="12"/>
      <c r="TAB55" s="12"/>
      <c r="TAC55" s="12"/>
      <c r="TAD55" s="12"/>
      <c r="TAE55" s="12"/>
      <c r="TAF55" s="12"/>
      <c r="TAG55" s="12"/>
      <c r="TAH55" s="12"/>
      <c r="TAI55" s="12"/>
      <c r="TAJ55" s="12"/>
      <c r="TAK55" s="12"/>
      <c r="TAL55" s="12"/>
      <c r="TAM55" s="12"/>
      <c r="TAN55" s="12"/>
      <c r="TAO55" s="12"/>
      <c r="TAP55" s="12"/>
      <c r="TAQ55" s="12"/>
      <c r="TAR55" s="12"/>
      <c r="TAS55" s="12"/>
      <c r="TAT55" s="12"/>
      <c r="TAU55" s="12"/>
      <c r="TAV55" s="12"/>
      <c r="TAW55" s="12"/>
      <c r="TAX55" s="12"/>
      <c r="TAY55" s="12"/>
      <c r="TAZ55" s="12"/>
      <c r="TBA55" s="12"/>
      <c r="TBB55" s="12"/>
      <c r="TBC55" s="12"/>
      <c r="TBD55" s="12"/>
      <c r="TBE55" s="12"/>
      <c r="TBF55" s="12"/>
      <c r="TBG55" s="12"/>
      <c r="TBH55" s="12"/>
      <c r="TBI55" s="12"/>
      <c r="TBJ55" s="12"/>
      <c r="TBK55" s="12"/>
      <c r="TBL55" s="12"/>
      <c r="TBM55" s="12"/>
      <c r="TBN55" s="12"/>
      <c r="TBO55" s="12"/>
      <c r="TBP55" s="12"/>
      <c r="TBQ55" s="12"/>
      <c r="TBR55" s="12"/>
      <c r="TBS55" s="12"/>
      <c r="TBT55" s="12"/>
      <c r="TBU55" s="12"/>
      <c r="TBV55" s="12"/>
      <c r="TBW55" s="12"/>
      <c r="TBX55" s="12"/>
      <c r="TBY55" s="12"/>
      <c r="TBZ55" s="12"/>
      <c r="TCA55" s="12"/>
      <c r="TCB55" s="12"/>
      <c r="TCC55" s="12"/>
      <c r="TCD55" s="12"/>
      <c r="TCE55" s="12"/>
      <c r="TCF55" s="12"/>
      <c r="TCG55" s="12"/>
      <c r="TCH55" s="12"/>
      <c r="TCI55" s="12"/>
      <c r="TCJ55" s="12"/>
      <c r="TCK55" s="12"/>
      <c r="TCL55" s="12"/>
      <c r="TCM55" s="12"/>
      <c r="TCN55" s="12"/>
      <c r="TCO55" s="12"/>
      <c r="TCP55" s="12"/>
      <c r="TCQ55" s="12"/>
      <c r="TCR55" s="12"/>
      <c r="TCS55" s="12"/>
      <c r="TCT55" s="12"/>
      <c r="TCU55" s="12"/>
      <c r="TCV55" s="12"/>
      <c r="TCW55" s="12"/>
      <c r="TCX55" s="12"/>
      <c r="TCY55" s="12"/>
      <c r="TCZ55" s="12"/>
      <c r="TDA55" s="12"/>
      <c r="TDB55" s="12"/>
      <c r="TDC55" s="12"/>
      <c r="TDD55" s="12"/>
      <c r="TDE55" s="12"/>
      <c r="TDF55" s="12"/>
      <c r="TDG55" s="12"/>
      <c r="TDH55" s="12"/>
      <c r="TDI55" s="12"/>
      <c r="TDJ55" s="12"/>
      <c r="TDK55" s="12"/>
      <c r="TDL55" s="12"/>
      <c r="TDM55" s="12"/>
      <c r="TDN55" s="12"/>
      <c r="TDO55" s="12"/>
      <c r="TDP55" s="12"/>
      <c r="TDQ55" s="12"/>
      <c r="TDR55" s="12"/>
      <c r="TDS55" s="12"/>
      <c r="TDT55" s="12"/>
      <c r="TDU55" s="12"/>
      <c r="TDV55" s="12"/>
      <c r="TDW55" s="12"/>
      <c r="TDX55" s="12"/>
      <c r="TDY55" s="12"/>
      <c r="TDZ55" s="12"/>
      <c r="TEA55" s="12"/>
      <c r="TEB55" s="12"/>
      <c r="TEC55" s="12"/>
      <c r="TED55" s="12"/>
      <c r="TEE55" s="12"/>
      <c r="TEF55" s="12"/>
      <c r="TEG55" s="12"/>
      <c r="TEH55" s="12"/>
      <c r="TEI55" s="12"/>
      <c r="TEJ55" s="12"/>
      <c r="TEK55" s="12"/>
      <c r="TEL55" s="12"/>
      <c r="TEM55" s="12"/>
      <c r="TEN55" s="12"/>
      <c r="TEO55" s="12"/>
      <c r="TEP55" s="12"/>
      <c r="TEQ55" s="12"/>
      <c r="TER55" s="12"/>
      <c r="TES55" s="12"/>
      <c r="TET55" s="12"/>
      <c r="TEU55" s="12"/>
      <c r="TEV55" s="12"/>
      <c r="TEW55" s="12"/>
      <c r="TEX55" s="12"/>
      <c r="TEY55" s="12"/>
      <c r="TEZ55" s="12"/>
      <c r="TFA55" s="12"/>
      <c r="TFB55" s="12"/>
      <c r="TFC55" s="12"/>
      <c r="TFD55" s="12"/>
      <c r="TFE55" s="12"/>
      <c r="TFF55" s="12"/>
      <c r="TFG55" s="12"/>
      <c r="TFH55" s="12"/>
      <c r="TFI55" s="12"/>
      <c r="TFJ55" s="12"/>
      <c r="TFK55" s="12"/>
      <c r="TFL55" s="12"/>
      <c r="TFM55" s="12"/>
      <c r="TFN55" s="12"/>
      <c r="TFO55" s="12"/>
      <c r="TFP55" s="12"/>
      <c r="TFQ55" s="12"/>
      <c r="TFR55" s="12"/>
      <c r="TFS55" s="12"/>
      <c r="TFT55" s="12"/>
      <c r="TFU55" s="12"/>
      <c r="TFV55" s="12"/>
      <c r="TFW55" s="12"/>
      <c r="TFX55" s="12"/>
      <c r="TFY55" s="12"/>
      <c r="TFZ55" s="12"/>
      <c r="TGA55" s="12"/>
      <c r="TGB55" s="12"/>
      <c r="TGC55" s="12"/>
      <c r="TGD55" s="12"/>
      <c r="TGE55" s="12"/>
      <c r="TGF55" s="12"/>
      <c r="TGG55" s="12"/>
      <c r="TGH55" s="12"/>
      <c r="TGI55" s="12"/>
      <c r="TGJ55" s="12"/>
      <c r="TGK55" s="12"/>
      <c r="TGL55" s="12"/>
      <c r="TGM55" s="12"/>
      <c r="TGN55" s="12"/>
      <c r="TGO55" s="12"/>
      <c r="TGP55" s="12"/>
      <c r="TGQ55" s="12"/>
      <c r="TGR55" s="12"/>
      <c r="TGS55" s="12"/>
      <c r="TGT55" s="12"/>
      <c r="TGU55" s="12"/>
      <c r="TGV55" s="12"/>
      <c r="TGW55" s="12"/>
      <c r="TGX55" s="12"/>
      <c r="TGY55" s="12"/>
      <c r="TGZ55" s="12"/>
      <c r="THA55" s="12"/>
      <c r="THB55" s="12"/>
      <c r="THC55" s="12"/>
      <c r="THD55" s="12"/>
      <c r="THE55" s="12"/>
      <c r="THF55" s="12"/>
      <c r="THG55" s="12"/>
      <c r="THH55" s="12"/>
      <c r="THI55" s="12"/>
      <c r="THJ55" s="12"/>
      <c r="THK55" s="12"/>
      <c r="THL55" s="12"/>
      <c r="THM55" s="12"/>
      <c r="THN55" s="12"/>
      <c r="THO55" s="12"/>
      <c r="THP55" s="12"/>
      <c r="THQ55" s="12"/>
      <c r="THR55" s="12"/>
      <c r="THS55" s="12"/>
      <c r="THT55" s="12"/>
      <c r="THU55" s="12"/>
      <c r="THV55" s="12"/>
      <c r="THW55" s="12"/>
      <c r="THX55" s="12"/>
      <c r="THY55" s="12"/>
      <c r="THZ55" s="12"/>
      <c r="TIA55" s="12"/>
      <c r="TIB55" s="12"/>
      <c r="TIC55" s="12"/>
      <c r="TID55" s="12"/>
      <c r="TIE55" s="12"/>
      <c r="TIF55" s="12"/>
      <c r="TIG55" s="12"/>
      <c r="TIH55" s="12"/>
      <c r="TII55" s="12"/>
      <c r="TIJ55" s="12"/>
      <c r="TIK55" s="12"/>
      <c r="TIL55" s="12"/>
      <c r="TIM55" s="12"/>
      <c r="TIN55" s="12"/>
      <c r="TIO55" s="12"/>
      <c r="TIP55" s="12"/>
      <c r="TIQ55" s="12"/>
      <c r="TIR55" s="12"/>
      <c r="TIS55" s="12"/>
      <c r="TIT55" s="12"/>
      <c r="TIU55" s="12"/>
      <c r="TIV55" s="12"/>
      <c r="TIW55" s="12"/>
      <c r="TIX55" s="12"/>
      <c r="TIY55" s="12"/>
      <c r="TIZ55" s="12"/>
      <c r="TJA55" s="12"/>
      <c r="TJB55" s="12"/>
      <c r="TJC55" s="12"/>
      <c r="TJD55" s="12"/>
      <c r="TJE55" s="12"/>
      <c r="TJF55" s="12"/>
      <c r="TJG55" s="12"/>
      <c r="TJH55" s="12"/>
      <c r="TJI55" s="12"/>
      <c r="TJJ55" s="12"/>
      <c r="TJK55" s="12"/>
      <c r="TJL55" s="12"/>
      <c r="TJM55" s="12"/>
      <c r="TJN55" s="12"/>
      <c r="TJO55" s="12"/>
      <c r="TJP55" s="12"/>
      <c r="TJQ55" s="12"/>
      <c r="TJR55" s="12"/>
      <c r="TJS55" s="12"/>
      <c r="TJT55" s="12"/>
      <c r="TJU55" s="12"/>
      <c r="TJV55" s="12"/>
      <c r="TJW55" s="12"/>
      <c r="TJX55" s="12"/>
      <c r="TJY55" s="12"/>
      <c r="TJZ55" s="12"/>
      <c r="TKA55" s="12"/>
      <c r="TKB55" s="12"/>
      <c r="TKC55" s="12"/>
      <c r="TKD55" s="12"/>
      <c r="TKE55" s="12"/>
      <c r="TKF55" s="12"/>
      <c r="TKG55" s="12"/>
      <c r="TKH55" s="12"/>
      <c r="TKI55" s="12"/>
      <c r="TKJ55" s="12"/>
      <c r="TKK55" s="12"/>
      <c r="TKL55" s="12"/>
      <c r="TKM55" s="12"/>
      <c r="TKN55" s="12"/>
      <c r="TKO55" s="12"/>
      <c r="TKP55" s="12"/>
      <c r="TKQ55" s="12"/>
      <c r="TKR55" s="12"/>
      <c r="TKS55" s="12"/>
      <c r="TKT55" s="12"/>
      <c r="TKU55" s="12"/>
      <c r="TKV55" s="12"/>
      <c r="TKW55" s="12"/>
      <c r="TKX55" s="12"/>
      <c r="TKY55" s="12"/>
      <c r="TKZ55" s="12"/>
      <c r="TLA55" s="12"/>
      <c r="TLB55" s="12"/>
      <c r="TLC55" s="12"/>
      <c r="TLD55" s="12"/>
      <c r="TLE55" s="12"/>
      <c r="TLF55" s="12"/>
      <c r="TLG55" s="12"/>
      <c r="TLH55" s="12"/>
      <c r="TLI55" s="12"/>
      <c r="TLJ55" s="12"/>
      <c r="TLK55" s="12"/>
      <c r="TLL55" s="12"/>
      <c r="TLM55" s="12"/>
      <c r="TLN55" s="12"/>
      <c r="TLO55" s="12"/>
      <c r="TLP55" s="12"/>
      <c r="TLQ55" s="12"/>
      <c r="TLR55" s="12"/>
      <c r="TLS55" s="12"/>
      <c r="TLT55" s="12"/>
      <c r="TLU55" s="12"/>
      <c r="TLV55" s="12"/>
      <c r="TLW55" s="12"/>
      <c r="TLX55" s="12"/>
      <c r="TLY55" s="12"/>
      <c r="TLZ55" s="12"/>
      <c r="TMA55" s="12"/>
      <c r="TMB55" s="12"/>
      <c r="TMC55" s="12"/>
      <c r="TMD55" s="12"/>
      <c r="TME55" s="12"/>
      <c r="TMF55" s="12"/>
      <c r="TMG55" s="12"/>
      <c r="TMH55" s="12"/>
      <c r="TMI55" s="12"/>
      <c r="TMJ55" s="12"/>
      <c r="TMK55" s="12"/>
      <c r="TML55" s="12"/>
      <c r="TMM55" s="12"/>
      <c r="TMN55" s="12"/>
      <c r="TMO55" s="12"/>
      <c r="TMP55" s="12"/>
      <c r="TMQ55" s="12"/>
      <c r="TMR55" s="12"/>
      <c r="TMS55" s="12"/>
      <c r="TMT55" s="12"/>
      <c r="TMU55" s="12"/>
      <c r="TMV55" s="12"/>
      <c r="TMW55" s="12"/>
      <c r="TMX55" s="12"/>
      <c r="TMY55" s="12"/>
      <c r="TMZ55" s="12"/>
      <c r="TNA55" s="12"/>
      <c r="TNB55" s="12"/>
      <c r="TNC55" s="12"/>
      <c r="TND55" s="12"/>
      <c r="TNE55" s="12"/>
      <c r="TNF55" s="12"/>
      <c r="TNG55" s="12"/>
      <c r="TNH55" s="12"/>
      <c r="TNI55" s="12"/>
      <c r="TNJ55" s="12"/>
      <c r="TNK55" s="12"/>
      <c r="TNL55" s="12"/>
      <c r="TNM55" s="12"/>
      <c r="TNN55" s="12"/>
      <c r="TNO55" s="12"/>
      <c r="TNP55" s="12"/>
      <c r="TNQ55" s="12"/>
      <c r="TNR55" s="12"/>
      <c r="TNS55" s="12"/>
      <c r="TNT55" s="12"/>
      <c r="TNU55" s="12"/>
      <c r="TNV55" s="12"/>
      <c r="TNW55" s="12"/>
      <c r="TNX55" s="12"/>
      <c r="TNY55" s="12"/>
      <c r="TNZ55" s="12"/>
      <c r="TOA55" s="12"/>
      <c r="TOB55" s="12"/>
      <c r="TOC55" s="12"/>
      <c r="TOD55" s="12"/>
      <c r="TOE55" s="12"/>
      <c r="TOF55" s="12"/>
      <c r="TOG55" s="12"/>
      <c r="TOH55" s="12"/>
      <c r="TOI55" s="12"/>
      <c r="TOJ55" s="12"/>
      <c r="TOK55" s="12"/>
      <c r="TOL55" s="12"/>
      <c r="TOM55" s="12"/>
      <c r="TON55" s="12"/>
      <c r="TOO55" s="12"/>
      <c r="TOP55" s="12"/>
      <c r="TOQ55" s="12"/>
      <c r="TOR55" s="12"/>
      <c r="TOS55" s="12"/>
      <c r="TOT55" s="12"/>
      <c r="TOU55" s="12"/>
      <c r="TOV55" s="12"/>
      <c r="TOW55" s="12"/>
      <c r="TOX55" s="12"/>
      <c r="TOY55" s="12"/>
      <c r="TOZ55" s="12"/>
      <c r="TPA55" s="12"/>
      <c r="TPB55" s="12"/>
      <c r="TPC55" s="12"/>
      <c r="TPD55" s="12"/>
      <c r="TPE55" s="12"/>
      <c r="TPF55" s="12"/>
      <c r="TPG55" s="12"/>
      <c r="TPH55" s="12"/>
      <c r="TPI55" s="12"/>
      <c r="TPJ55" s="12"/>
      <c r="TPK55" s="12"/>
      <c r="TPL55" s="12"/>
      <c r="TPM55" s="12"/>
      <c r="TPN55" s="12"/>
      <c r="TPO55" s="12"/>
      <c r="TPP55" s="12"/>
      <c r="TPQ55" s="12"/>
      <c r="TPR55" s="12"/>
      <c r="TPS55" s="12"/>
      <c r="TPT55" s="12"/>
      <c r="TPU55" s="12"/>
      <c r="TPV55" s="12"/>
      <c r="TPW55" s="12"/>
      <c r="TPX55" s="12"/>
      <c r="TPY55" s="12"/>
      <c r="TPZ55" s="12"/>
      <c r="TQA55" s="12"/>
      <c r="TQB55" s="12"/>
      <c r="TQC55" s="12"/>
      <c r="TQD55" s="12"/>
      <c r="TQE55" s="12"/>
      <c r="TQF55" s="12"/>
      <c r="TQG55" s="12"/>
      <c r="TQH55" s="12"/>
      <c r="TQI55" s="12"/>
      <c r="TQJ55" s="12"/>
      <c r="TQK55" s="12"/>
      <c r="TQL55" s="12"/>
      <c r="TQM55" s="12"/>
      <c r="TQN55" s="12"/>
      <c r="TQO55" s="12"/>
      <c r="TQP55" s="12"/>
      <c r="TQQ55" s="12"/>
      <c r="TQR55" s="12"/>
      <c r="TQS55" s="12"/>
      <c r="TQT55" s="12"/>
      <c r="TQU55" s="12"/>
      <c r="TQV55" s="12"/>
      <c r="TQW55" s="12"/>
      <c r="TQX55" s="12"/>
      <c r="TQY55" s="12"/>
      <c r="TQZ55" s="12"/>
      <c r="TRA55" s="12"/>
      <c r="TRB55" s="12"/>
      <c r="TRC55" s="12"/>
      <c r="TRD55" s="12"/>
      <c r="TRE55" s="12"/>
      <c r="TRF55" s="12"/>
      <c r="TRG55" s="12"/>
      <c r="TRH55" s="12"/>
      <c r="TRI55" s="12"/>
      <c r="TRJ55" s="12"/>
      <c r="TRK55" s="12"/>
      <c r="TRL55" s="12"/>
      <c r="TRM55" s="12"/>
      <c r="TRN55" s="12"/>
      <c r="TRO55" s="12"/>
      <c r="TRP55" s="12"/>
      <c r="TRQ55" s="12"/>
      <c r="TRR55" s="12"/>
      <c r="TRS55" s="12"/>
      <c r="TRT55" s="12"/>
      <c r="TRU55" s="12"/>
      <c r="TRV55" s="12"/>
      <c r="TRW55" s="12"/>
      <c r="TRX55" s="12"/>
      <c r="TRY55" s="12"/>
      <c r="TRZ55" s="12"/>
      <c r="TSA55" s="12"/>
      <c r="TSB55" s="12"/>
      <c r="TSC55" s="12"/>
      <c r="TSD55" s="12"/>
      <c r="TSE55" s="12"/>
      <c r="TSF55" s="12"/>
      <c r="TSG55" s="12"/>
      <c r="TSH55" s="12"/>
      <c r="TSI55" s="12"/>
      <c r="TSJ55" s="12"/>
      <c r="TSK55" s="12"/>
      <c r="TSL55" s="12"/>
      <c r="TSM55" s="12"/>
      <c r="TSN55" s="12"/>
      <c r="TSO55" s="12"/>
      <c r="TSP55" s="12"/>
      <c r="TSQ55" s="12"/>
      <c r="TSR55" s="12"/>
      <c r="TSS55" s="12"/>
      <c r="TST55" s="12"/>
      <c r="TSU55" s="12"/>
      <c r="TSV55" s="12"/>
      <c r="TSW55" s="12"/>
      <c r="TSX55" s="12"/>
      <c r="TSY55" s="12"/>
      <c r="TSZ55" s="12"/>
      <c r="TTA55" s="12"/>
      <c r="TTB55" s="12"/>
      <c r="TTC55" s="12"/>
      <c r="TTD55" s="12"/>
      <c r="TTE55" s="12"/>
      <c r="TTF55" s="12"/>
      <c r="TTG55" s="12"/>
      <c r="TTH55" s="12"/>
      <c r="TTI55" s="12"/>
      <c r="TTJ55" s="12"/>
      <c r="TTK55" s="12"/>
      <c r="TTL55" s="12"/>
      <c r="TTM55" s="12"/>
      <c r="TTN55" s="12"/>
      <c r="TTO55" s="12"/>
      <c r="TTP55" s="12"/>
      <c r="TTQ55" s="12"/>
      <c r="TTR55" s="12"/>
      <c r="TTS55" s="12"/>
      <c r="TTT55" s="12"/>
      <c r="TTU55" s="12"/>
      <c r="TTV55" s="12"/>
      <c r="TTW55" s="12"/>
      <c r="TTX55" s="12"/>
      <c r="TTY55" s="12"/>
      <c r="TTZ55" s="12"/>
      <c r="TUA55" s="12"/>
      <c r="TUB55" s="12"/>
      <c r="TUC55" s="12"/>
      <c r="TUD55" s="12"/>
      <c r="TUE55" s="12"/>
      <c r="TUF55" s="12"/>
      <c r="TUG55" s="12"/>
      <c r="TUH55" s="12"/>
      <c r="TUI55" s="12"/>
      <c r="TUJ55" s="12"/>
      <c r="TUK55" s="12"/>
      <c r="TUL55" s="12"/>
      <c r="TUM55" s="12"/>
      <c r="TUN55" s="12"/>
      <c r="TUO55" s="12"/>
      <c r="TUP55" s="12"/>
      <c r="TUQ55" s="12"/>
      <c r="TUR55" s="12"/>
      <c r="TUS55" s="12"/>
      <c r="TUT55" s="12"/>
      <c r="TUU55" s="12"/>
      <c r="TUV55" s="12"/>
      <c r="TUW55" s="12"/>
      <c r="TUX55" s="12"/>
      <c r="TUY55" s="12"/>
      <c r="TUZ55" s="12"/>
      <c r="TVA55" s="12"/>
      <c r="TVB55" s="12"/>
      <c r="TVC55" s="12"/>
      <c r="TVD55" s="12"/>
      <c r="TVE55" s="12"/>
      <c r="TVF55" s="12"/>
      <c r="TVG55" s="12"/>
      <c r="TVH55" s="12"/>
      <c r="TVI55" s="12"/>
      <c r="TVJ55" s="12"/>
      <c r="TVK55" s="12"/>
      <c r="TVL55" s="12"/>
      <c r="TVM55" s="12"/>
      <c r="TVN55" s="12"/>
      <c r="TVO55" s="12"/>
      <c r="TVP55" s="12"/>
      <c r="TVQ55" s="12"/>
      <c r="TVR55" s="12"/>
      <c r="TVS55" s="12"/>
      <c r="TVT55" s="12"/>
      <c r="TVU55" s="12"/>
      <c r="TVV55" s="12"/>
      <c r="TVW55" s="12"/>
      <c r="TVX55" s="12"/>
      <c r="TVY55" s="12"/>
      <c r="TVZ55" s="12"/>
      <c r="TWA55" s="12"/>
      <c r="TWB55" s="12"/>
      <c r="TWC55" s="12"/>
      <c r="TWD55" s="12"/>
      <c r="TWE55" s="12"/>
      <c r="TWF55" s="12"/>
      <c r="TWG55" s="12"/>
      <c r="TWH55" s="12"/>
      <c r="TWI55" s="12"/>
      <c r="TWJ55" s="12"/>
      <c r="TWK55" s="12"/>
      <c r="TWL55" s="12"/>
      <c r="TWM55" s="12"/>
      <c r="TWN55" s="12"/>
      <c r="TWO55" s="12"/>
      <c r="TWP55" s="12"/>
      <c r="TWQ55" s="12"/>
      <c r="TWR55" s="12"/>
      <c r="TWS55" s="12"/>
      <c r="TWT55" s="12"/>
      <c r="TWU55" s="12"/>
      <c r="TWV55" s="12"/>
      <c r="TWW55" s="12"/>
      <c r="TWX55" s="12"/>
      <c r="TWY55" s="12"/>
      <c r="TWZ55" s="12"/>
      <c r="TXA55" s="12"/>
      <c r="TXB55" s="12"/>
      <c r="TXC55" s="12"/>
      <c r="TXD55" s="12"/>
      <c r="TXE55" s="12"/>
      <c r="TXF55" s="12"/>
      <c r="TXG55" s="12"/>
      <c r="TXH55" s="12"/>
      <c r="TXI55" s="12"/>
      <c r="TXJ55" s="12"/>
      <c r="TXK55" s="12"/>
      <c r="TXL55" s="12"/>
      <c r="TXM55" s="12"/>
      <c r="TXN55" s="12"/>
      <c r="TXO55" s="12"/>
      <c r="TXP55" s="12"/>
      <c r="TXQ55" s="12"/>
      <c r="TXR55" s="12"/>
      <c r="TXS55" s="12"/>
      <c r="TXT55" s="12"/>
      <c r="TXU55" s="12"/>
      <c r="TXV55" s="12"/>
      <c r="TXW55" s="12"/>
      <c r="TXX55" s="12"/>
      <c r="TXY55" s="12"/>
      <c r="TXZ55" s="12"/>
      <c r="TYA55" s="12"/>
      <c r="TYB55" s="12"/>
      <c r="TYC55" s="12"/>
      <c r="TYD55" s="12"/>
      <c r="TYE55" s="12"/>
      <c r="TYF55" s="12"/>
      <c r="TYG55" s="12"/>
      <c r="TYH55" s="12"/>
      <c r="TYI55" s="12"/>
      <c r="TYJ55" s="12"/>
      <c r="TYK55" s="12"/>
      <c r="TYL55" s="12"/>
      <c r="TYM55" s="12"/>
      <c r="TYN55" s="12"/>
      <c r="TYO55" s="12"/>
      <c r="TYP55" s="12"/>
      <c r="TYQ55" s="12"/>
      <c r="TYR55" s="12"/>
      <c r="TYS55" s="12"/>
      <c r="TYT55" s="12"/>
      <c r="TYU55" s="12"/>
      <c r="TYV55" s="12"/>
      <c r="TYW55" s="12"/>
      <c r="TYX55" s="12"/>
      <c r="TYY55" s="12"/>
      <c r="TYZ55" s="12"/>
      <c r="TZA55" s="12"/>
      <c r="TZB55" s="12"/>
      <c r="TZC55" s="12"/>
      <c r="TZD55" s="12"/>
      <c r="TZE55" s="12"/>
      <c r="TZF55" s="12"/>
      <c r="TZG55" s="12"/>
      <c r="TZH55" s="12"/>
      <c r="TZI55" s="12"/>
      <c r="TZJ55" s="12"/>
      <c r="TZK55" s="12"/>
      <c r="TZL55" s="12"/>
      <c r="TZM55" s="12"/>
      <c r="TZN55" s="12"/>
      <c r="TZO55" s="12"/>
      <c r="TZP55" s="12"/>
      <c r="TZQ55" s="12"/>
      <c r="TZR55" s="12"/>
      <c r="TZS55" s="12"/>
      <c r="TZT55" s="12"/>
      <c r="TZU55" s="12"/>
      <c r="TZV55" s="12"/>
      <c r="TZW55" s="12"/>
      <c r="TZX55" s="12"/>
      <c r="TZY55" s="12"/>
      <c r="TZZ55" s="12"/>
      <c r="UAA55" s="12"/>
      <c r="UAB55" s="12"/>
      <c r="UAC55" s="12"/>
      <c r="UAD55" s="12"/>
      <c r="UAE55" s="12"/>
      <c r="UAF55" s="12"/>
      <c r="UAG55" s="12"/>
      <c r="UAH55" s="12"/>
      <c r="UAI55" s="12"/>
      <c r="UAJ55" s="12"/>
      <c r="UAK55" s="12"/>
      <c r="UAL55" s="12"/>
      <c r="UAM55" s="12"/>
      <c r="UAN55" s="12"/>
      <c r="UAO55" s="12"/>
      <c r="UAP55" s="12"/>
      <c r="UAQ55" s="12"/>
      <c r="UAR55" s="12"/>
      <c r="UAS55" s="12"/>
      <c r="UAT55" s="12"/>
      <c r="UAU55" s="12"/>
      <c r="UAV55" s="12"/>
      <c r="UAW55" s="12"/>
      <c r="UAX55" s="12"/>
      <c r="UAY55" s="12"/>
      <c r="UAZ55" s="12"/>
      <c r="UBA55" s="12"/>
      <c r="UBB55" s="12"/>
      <c r="UBC55" s="12"/>
      <c r="UBD55" s="12"/>
      <c r="UBE55" s="12"/>
      <c r="UBF55" s="12"/>
      <c r="UBG55" s="12"/>
      <c r="UBH55" s="12"/>
      <c r="UBI55" s="12"/>
      <c r="UBJ55" s="12"/>
      <c r="UBK55" s="12"/>
      <c r="UBL55" s="12"/>
      <c r="UBM55" s="12"/>
      <c r="UBN55" s="12"/>
      <c r="UBO55" s="12"/>
      <c r="UBP55" s="12"/>
      <c r="UBQ55" s="12"/>
      <c r="UBR55" s="12"/>
      <c r="UBS55" s="12"/>
      <c r="UBT55" s="12"/>
      <c r="UBU55" s="12"/>
      <c r="UBV55" s="12"/>
      <c r="UBW55" s="12"/>
      <c r="UBX55" s="12"/>
      <c r="UBY55" s="12"/>
      <c r="UBZ55" s="12"/>
      <c r="UCA55" s="12"/>
      <c r="UCB55" s="12"/>
      <c r="UCC55" s="12"/>
      <c r="UCD55" s="12"/>
      <c r="UCE55" s="12"/>
      <c r="UCF55" s="12"/>
      <c r="UCG55" s="12"/>
      <c r="UCH55" s="12"/>
      <c r="UCI55" s="12"/>
      <c r="UCJ55" s="12"/>
      <c r="UCK55" s="12"/>
      <c r="UCL55" s="12"/>
      <c r="UCM55" s="12"/>
      <c r="UCN55" s="12"/>
      <c r="UCO55" s="12"/>
      <c r="UCP55" s="12"/>
      <c r="UCQ55" s="12"/>
      <c r="UCR55" s="12"/>
      <c r="UCS55" s="12"/>
      <c r="UCT55" s="12"/>
      <c r="UCU55" s="12"/>
      <c r="UCV55" s="12"/>
      <c r="UCW55" s="12"/>
      <c r="UCX55" s="12"/>
      <c r="UCY55" s="12"/>
      <c r="UCZ55" s="12"/>
      <c r="UDA55" s="12"/>
      <c r="UDB55" s="12"/>
      <c r="UDC55" s="12"/>
      <c r="UDD55" s="12"/>
      <c r="UDE55" s="12"/>
      <c r="UDF55" s="12"/>
      <c r="UDG55" s="12"/>
      <c r="UDH55" s="12"/>
      <c r="UDI55" s="12"/>
      <c r="UDJ55" s="12"/>
      <c r="UDK55" s="12"/>
      <c r="UDL55" s="12"/>
      <c r="UDM55" s="12"/>
      <c r="UDN55" s="12"/>
      <c r="UDO55" s="12"/>
      <c r="UDP55" s="12"/>
      <c r="UDQ55" s="12"/>
      <c r="UDR55" s="12"/>
      <c r="UDS55" s="12"/>
      <c r="UDT55" s="12"/>
      <c r="UDU55" s="12"/>
      <c r="UDV55" s="12"/>
      <c r="UDW55" s="12"/>
      <c r="UDX55" s="12"/>
      <c r="UDY55" s="12"/>
      <c r="UDZ55" s="12"/>
      <c r="UEA55" s="12"/>
      <c r="UEB55" s="12"/>
      <c r="UEC55" s="12"/>
      <c r="UED55" s="12"/>
      <c r="UEE55" s="12"/>
      <c r="UEF55" s="12"/>
      <c r="UEG55" s="12"/>
      <c r="UEH55" s="12"/>
      <c r="UEI55" s="12"/>
      <c r="UEJ55" s="12"/>
      <c r="UEK55" s="12"/>
      <c r="UEL55" s="12"/>
      <c r="UEM55" s="12"/>
      <c r="UEN55" s="12"/>
      <c r="UEO55" s="12"/>
      <c r="UEP55" s="12"/>
      <c r="UEQ55" s="12"/>
      <c r="UER55" s="12"/>
      <c r="UES55" s="12"/>
      <c r="UET55" s="12"/>
      <c r="UEU55" s="12"/>
      <c r="UEV55" s="12"/>
      <c r="UEW55" s="12"/>
      <c r="UEX55" s="12"/>
      <c r="UEY55" s="12"/>
      <c r="UEZ55" s="12"/>
      <c r="UFA55" s="12"/>
      <c r="UFB55" s="12"/>
      <c r="UFC55" s="12"/>
      <c r="UFD55" s="12"/>
      <c r="UFE55" s="12"/>
      <c r="UFF55" s="12"/>
      <c r="UFG55" s="12"/>
      <c r="UFH55" s="12"/>
      <c r="UFI55" s="12"/>
      <c r="UFJ55" s="12"/>
      <c r="UFK55" s="12"/>
      <c r="UFL55" s="12"/>
      <c r="UFM55" s="12"/>
      <c r="UFN55" s="12"/>
      <c r="UFO55" s="12"/>
      <c r="UFP55" s="12"/>
      <c r="UFQ55" s="12"/>
      <c r="UFR55" s="12"/>
      <c r="UFS55" s="12"/>
      <c r="UFT55" s="12"/>
      <c r="UFU55" s="12"/>
      <c r="UFV55" s="12"/>
      <c r="UFW55" s="12"/>
      <c r="UFX55" s="12"/>
      <c r="UFY55" s="12"/>
      <c r="UFZ55" s="12"/>
      <c r="UGA55" s="12"/>
      <c r="UGB55" s="12"/>
      <c r="UGC55" s="12"/>
      <c r="UGD55" s="12"/>
      <c r="UGE55" s="12"/>
      <c r="UGF55" s="12"/>
      <c r="UGG55" s="12"/>
      <c r="UGH55" s="12"/>
      <c r="UGI55" s="12"/>
      <c r="UGJ55" s="12"/>
      <c r="UGK55" s="12"/>
      <c r="UGL55" s="12"/>
      <c r="UGM55" s="12"/>
      <c r="UGN55" s="12"/>
      <c r="UGO55" s="12"/>
      <c r="UGP55" s="12"/>
      <c r="UGQ55" s="12"/>
      <c r="UGR55" s="12"/>
      <c r="UGS55" s="12"/>
      <c r="UGT55" s="12"/>
      <c r="UGU55" s="12"/>
      <c r="UGV55" s="12"/>
      <c r="UGW55" s="12"/>
      <c r="UGX55" s="12"/>
      <c r="UGY55" s="12"/>
      <c r="UGZ55" s="12"/>
      <c r="UHA55" s="12"/>
      <c r="UHB55" s="12"/>
      <c r="UHC55" s="12"/>
      <c r="UHD55" s="12"/>
      <c r="UHE55" s="12"/>
      <c r="UHF55" s="12"/>
      <c r="UHG55" s="12"/>
      <c r="UHH55" s="12"/>
      <c r="UHI55" s="12"/>
      <c r="UHJ55" s="12"/>
      <c r="UHK55" s="12"/>
      <c r="UHL55" s="12"/>
      <c r="UHM55" s="12"/>
      <c r="UHN55" s="12"/>
      <c r="UHO55" s="12"/>
      <c r="UHP55" s="12"/>
      <c r="UHQ55" s="12"/>
      <c r="UHR55" s="12"/>
      <c r="UHS55" s="12"/>
      <c r="UHT55" s="12"/>
      <c r="UHU55" s="12"/>
      <c r="UHV55" s="12"/>
      <c r="UHW55" s="12"/>
      <c r="UHX55" s="12"/>
      <c r="UHY55" s="12"/>
      <c r="UHZ55" s="12"/>
      <c r="UIA55" s="12"/>
      <c r="UIB55" s="12"/>
      <c r="UIC55" s="12"/>
      <c r="UID55" s="12"/>
      <c r="UIE55" s="12"/>
      <c r="UIF55" s="12"/>
      <c r="UIG55" s="12"/>
      <c r="UIH55" s="12"/>
      <c r="UII55" s="12"/>
      <c r="UIJ55" s="12"/>
      <c r="UIK55" s="12"/>
      <c r="UIL55" s="12"/>
      <c r="UIM55" s="12"/>
      <c r="UIN55" s="12"/>
      <c r="UIO55" s="12"/>
      <c r="UIP55" s="12"/>
      <c r="UIQ55" s="12"/>
      <c r="UIR55" s="12"/>
      <c r="UIS55" s="12"/>
      <c r="UIT55" s="12"/>
      <c r="UIU55" s="12"/>
      <c r="UIV55" s="12"/>
      <c r="UIW55" s="12"/>
      <c r="UIX55" s="12"/>
      <c r="UIY55" s="12"/>
      <c r="UIZ55" s="12"/>
      <c r="UJA55" s="12"/>
      <c r="UJB55" s="12"/>
      <c r="UJC55" s="12"/>
      <c r="UJD55" s="12"/>
      <c r="UJE55" s="12"/>
      <c r="UJF55" s="12"/>
      <c r="UJG55" s="12"/>
      <c r="UJH55" s="12"/>
      <c r="UJI55" s="12"/>
      <c r="UJJ55" s="12"/>
      <c r="UJK55" s="12"/>
      <c r="UJL55" s="12"/>
      <c r="UJM55" s="12"/>
      <c r="UJN55" s="12"/>
      <c r="UJO55" s="12"/>
      <c r="UJP55" s="12"/>
      <c r="UJQ55" s="12"/>
      <c r="UJR55" s="12"/>
      <c r="UJS55" s="12"/>
      <c r="UJT55" s="12"/>
      <c r="UJU55" s="12"/>
      <c r="UJV55" s="12"/>
      <c r="UJW55" s="12"/>
      <c r="UJX55" s="12"/>
      <c r="UJY55" s="12"/>
      <c r="UJZ55" s="12"/>
      <c r="UKA55" s="12"/>
      <c r="UKB55" s="12"/>
      <c r="UKC55" s="12"/>
      <c r="UKD55" s="12"/>
      <c r="UKE55" s="12"/>
      <c r="UKF55" s="12"/>
      <c r="UKG55" s="12"/>
      <c r="UKH55" s="12"/>
      <c r="UKI55" s="12"/>
      <c r="UKJ55" s="12"/>
      <c r="UKK55" s="12"/>
      <c r="UKL55" s="12"/>
      <c r="UKM55" s="12"/>
      <c r="UKN55" s="12"/>
      <c r="UKO55" s="12"/>
      <c r="UKP55" s="12"/>
      <c r="UKQ55" s="12"/>
      <c r="UKR55" s="12"/>
      <c r="UKS55" s="12"/>
      <c r="UKT55" s="12"/>
      <c r="UKU55" s="12"/>
      <c r="UKV55" s="12"/>
      <c r="UKW55" s="12"/>
      <c r="UKX55" s="12"/>
      <c r="UKY55" s="12"/>
      <c r="UKZ55" s="12"/>
      <c r="ULA55" s="12"/>
      <c r="ULB55" s="12"/>
      <c r="ULC55" s="12"/>
      <c r="ULD55" s="12"/>
      <c r="ULE55" s="12"/>
      <c r="ULF55" s="12"/>
      <c r="ULG55" s="12"/>
      <c r="ULH55" s="12"/>
      <c r="ULI55" s="12"/>
      <c r="ULJ55" s="12"/>
      <c r="ULK55" s="12"/>
      <c r="ULL55" s="12"/>
      <c r="ULM55" s="12"/>
      <c r="ULN55" s="12"/>
      <c r="ULO55" s="12"/>
      <c r="ULP55" s="12"/>
      <c r="ULQ55" s="12"/>
      <c r="ULR55" s="12"/>
      <c r="ULS55" s="12"/>
      <c r="ULT55" s="12"/>
      <c r="ULU55" s="12"/>
      <c r="ULV55" s="12"/>
      <c r="ULW55" s="12"/>
      <c r="ULX55" s="12"/>
      <c r="ULY55" s="12"/>
      <c r="ULZ55" s="12"/>
      <c r="UMA55" s="12"/>
      <c r="UMB55" s="12"/>
      <c r="UMC55" s="12"/>
      <c r="UMD55" s="12"/>
      <c r="UME55" s="12"/>
      <c r="UMF55" s="12"/>
      <c r="UMG55" s="12"/>
      <c r="UMH55" s="12"/>
      <c r="UMI55" s="12"/>
      <c r="UMJ55" s="12"/>
      <c r="UMK55" s="12"/>
      <c r="UML55" s="12"/>
      <c r="UMM55" s="12"/>
      <c r="UMN55" s="12"/>
      <c r="UMO55" s="12"/>
      <c r="UMP55" s="12"/>
      <c r="UMQ55" s="12"/>
      <c r="UMR55" s="12"/>
      <c r="UMS55" s="12"/>
      <c r="UMT55" s="12"/>
      <c r="UMU55" s="12"/>
      <c r="UMV55" s="12"/>
      <c r="UMW55" s="12"/>
      <c r="UMX55" s="12"/>
      <c r="UMY55" s="12"/>
      <c r="UMZ55" s="12"/>
      <c r="UNA55" s="12"/>
      <c r="UNB55" s="12"/>
      <c r="UNC55" s="12"/>
      <c r="UND55" s="12"/>
      <c r="UNE55" s="12"/>
      <c r="UNF55" s="12"/>
      <c r="UNG55" s="12"/>
      <c r="UNH55" s="12"/>
      <c r="UNI55" s="12"/>
      <c r="UNJ55" s="12"/>
      <c r="UNK55" s="12"/>
      <c r="UNL55" s="12"/>
      <c r="UNM55" s="12"/>
      <c r="UNN55" s="12"/>
      <c r="UNO55" s="12"/>
      <c r="UNP55" s="12"/>
      <c r="UNQ55" s="12"/>
      <c r="UNR55" s="12"/>
      <c r="UNS55" s="12"/>
      <c r="UNT55" s="12"/>
      <c r="UNU55" s="12"/>
      <c r="UNV55" s="12"/>
      <c r="UNW55" s="12"/>
      <c r="UNX55" s="12"/>
      <c r="UNY55" s="12"/>
      <c r="UNZ55" s="12"/>
      <c r="UOA55" s="12"/>
      <c r="UOB55" s="12"/>
      <c r="UOC55" s="12"/>
      <c r="UOD55" s="12"/>
      <c r="UOE55" s="12"/>
      <c r="UOF55" s="12"/>
      <c r="UOG55" s="12"/>
      <c r="UOH55" s="12"/>
      <c r="UOI55" s="12"/>
      <c r="UOJ55" s="12"/>
      <c r="UOK55" s="12"/>
      <c r="UOL55" s="12"/>
      <c r="UOM55" s="12"/>
      <c r="UON55" s="12"/>
      <c r="UOO55" s="12"/>
      <c r="UOP55" s="12"/>
      <c r="UOQ55" s="12"/>
      <c r="UOR55" s="12"/>
      <c r="UOS55" s="12"/>
      <c r="UOT55" s="12"/>
      <c r="UOU55" s="12"/>
      <c r="UOV55" s="12"/>
      <c r="UOW55" s="12"/>
      <c r="UOX55" s="12"/>
      <c r="UOY55" s="12"/>
      <c r="UOZ55" s="12"/>
      <c r="UPA55" s="12"/>
      <c r="UPB55" s="12"/>
      <c r="UPC55" s="12"/>
      <c r="UPD55" s="12"/>
      <c r="UPE55" s="12"/>
      <c r="UPF55" s="12"/>
      <c r="UPG55" s="12"/>
      <c r="UPH55" s="12"/>
      <c r="UPI55" s="12"/>
      <c r="UPJ55" s="12"/>
      <c r="UPK55" s="12"/>
      <c r="UPL55" s="12"/>
      <c r="UPM55" s="12"/>
      <c r="UPN55" s="12"/>
      <c r="UPO55" s="12"/>
      <c r="UPP55" s="12"/>
      <c r="UPQ55" s="12"/>
      <c r="UPR55" s="12"/>
      <c r="UPS55" s="12"/>
      <c r="UPT55" s="12"/>
      <c r="UPU55" s="12"/>
      <c r="UPV55" s="12"/>
      <c r="UPW55" s="12"/>
      <c r="UPX55" s="12"/>
      <c r="UPY55" s="12"/>
      <c r="UPZ55" s="12"/>
      <c r="UQA55" s="12"/>
      <c r="UQB55" s="12"/>
      <c r="UQC55" s="12"/>
      <c r="UQD55" s="12"/>
      <c r="UQE55" s="12"/>
      <c r="UQF55" s="12"/>
      <c r="UQG55" s="12"/>
      <c r="UQH55" s="12"/>
      <c r="UQI55" s="12"/>
      <c r="UQJ55" s="12"/>
      <c r="UQK55" s="12"/>
      <c r="UQL55" s="12"/>
      <c r="UQM55" s="12"/>
      <c r="UQN55" s="12"/>
      <c r="UQO55" s="12"/>
      <c r="UQP55" s="12"/>
      <c r="UQQ55" s="12"/>
      <c r="UQR55" s="12"/>
      <c r="UQS55" s="12"/>
      <c r="UQT55" s="12"/>
      <c r="UQU55" s="12"/>
      <c r="UQV55" s="12"/>
      <c r="UQW55" s="12"/>
      <c r="UQX55" s="12"/>
      <c r="UQY55" s="12"/>
      <c r="UQZ55" s="12"/>
      <c r="URA55" s="12"/>
      <c r="URB55" s="12"/>
      <c r="URC55" s="12"/>
      <c r="URD55" s="12"/>
      <c r="URE55" s="12"/>
      <c r="URF55" s="12"/>
      <c r="URG55" s="12"/>
      <c r="URH55" s="12"/>
      <c r="URI55" s="12"/>
      <c r="URJ55" s="12"/>
      <c r="URK55" s="12"/>
      <c r="URL55" s="12"/>
      <c r="URM55" s="12"/>
      <c r="URN55" s="12"/>
      <c r="URO55" s="12"/>
      <c r="URP55" s="12"/>
      <c r="URQ55" s="12"/>
      <c r="URR55" s="12"/>
      <c r="URS55" s="12"/>
      <c r="URT55" s="12"/>
      <c r="URU55" s="12"/>
      <c r="URV55" s="12"/>
      <c r="URW55" s="12"/>
      <c r="URX55" s="12"/>
      <c r="URY55" s="12"/>
      <c r="URZ55" s="12"/>
      <c r="USA55" s="12"/>
      <c r="USB55" s="12"/>
      <c r="USC55" s="12"/>
      <c r="USD55" s="12"/>
      <c r="USE55" s="12"/>
      <c r="USF55" s="12"/>
      <c r="USG55" s="12"/>
      <c r="USH55" s="12"/>
      <c r="USI55" s="12"/>
      <c r="USJ55" s="12"/>
      <c r="USK55" s="12"/>
      <c r="USL55" s="12"/>
      <c r="USM55" s="12"/>
      <c r="USN55" s="12"/>
      <c r="USO55" s="12"/>
      <c r="USP55" s="12"/>
      <c r="USQ55" s="12"/>
      <c r="USR55" s="12"/>
      <c r="USS55" s="12"/>
      <c r="UST55" s="12"/>
      <c r="USU55" s="12"/>
      <c r="USV55" s="12"/>
      <c r="USW55" s="12"/>
      <c r="USX55" s="12"/>
      <c r="USY55" s="12"/>
      <c r="USZ55" s="12"/>
      <c r="UTA55" s="12"/>
      <c r="UTB55" s="12"/>
      <c r="UTC55" s="12"/>
      <c r="UTD55" s="12"/>
      <c r="UTE55" s="12"/>
      <c r="UTF55" s="12"/>
      <c r="UTG55" s="12"/>
      <c r="UTH55" s="12"/>
      <c r="UTI55" s="12"/>
      <c r="UTJ55" s="12"/>
      <c r="UTK55" s="12"/>
      <c r="UTL55" s="12"/>
      <c r="UTM55" s="12"/>
      <c r="UTN55" s="12"/>
      <c r="UTO55" s="12"/>
      <c r="UTP55" s="12"/>
      <c r="UTQ55" s="12"/>
      <c r="UTR55" s="12"/>
      <c r="UTS55" s="12"/>
      <c r="UTT55" s="12"/>
      <c r="UTU55" s="12"/>
      <c r="UTV55" s="12"/>
      <c r="UTW55" s="12"/>
      <c r="UTX55" s="12"/>
      <c r="UTY55" s="12"/>
      <c r="UTZ55" s="12"/>
      <c r="UUA55" s="12"/>
      <c r="UUB55" s="12"/>
      <c r="UUC55" s="12"/>
      <c r="UUD55" s="12"/>
      <c r="UUE55" s="12"/>
      <c r="UUF55" s="12"/>
      <c r="UUG55" s="12"/>
      <c r="UUH55" s="12"/>
      <c r="UUI55" s="12"/>
      <c r="UUJ55" s="12"/>
      <c r="UUK55" s="12"/>
      <c r="UUL55" s="12"/>
      <c r="UUM55" s="12"/>
      <c r="UUN55" s="12"/>
      <c r="UUO55" s="12"/>
      <c r="UUP55" s="12"/>
      <c r="UUQ55" s="12"/>
      <c r="UUR55" s="12"/>
      <c r="UUS55" s="12"/>
      <c r="UUT55" s="12"/>
      <c r="UUU55" s="12"/>
      <c r="UUV55" s="12"/>
      <c r="UUW55" s="12"/>
      <c r="UUX55" s="12"/>
      <c r="UUY55" s="12"/>
      <c r="UUZ55" s="12"/>
      <c r="UVA55" s="12"/>
      <c r="UVB55" s="12"/>
      <c r="UVC55" s="12"/>
      <c r="UVD55" s="12"/>
      <c r="UVE55" s="12"/>
      <c r="UVF55" s="12"/>
      <c r="UVG55" s="12"/>
      <c r="UVH55" s="12"/>
      <c r="UVI55" s="12"/>
      <c r="UVJ55" s="12"/>
      <c r="UVK55" s="12"/>
      <c r="UVL55" s="12"/>
      <c r="UVM55" s="12"/>
      <c r="UVN55" s="12"/>
      <c r="UVO55" s="12"/>
      <c r="UVP55" s="12"/>
      <c r="UVQ55" s="12"/>
      <c r="UVR55" s="12"/>
      <c r="UVS55" s="12"/>
      <c r="UVT55" s="12"/>
      <c r="UVU55" s="12"/>
      <c r="UVV55" s="12"/>
      <c r="UVW55" s="12"/>
      <c r="UVX55" s="12"/>
      <c r="UVY55" s="12"/>
      <c r="UVZ55" s="12"/>
      <c r="UWA55" s="12"/>
      <c r="UWB55" s="12"/>
      <c r="UWC55" s="12"/>
      <c r="UWD55" s="12"/>
      <c r="UWE55" s="12"/>
      <c r="UWF55" s="12"/>
      <c r="UWG55" s="12"/>
      <c r="UWH55" s="12"/>
      <c r="UWI55" s="12"/>
      <c r="UWJ55" s="12"/>
      <c r="UWK55" s="12"/>
      <c r="UWL55" s="12"/>
      <c r="UWM55" s="12"/>
      <c r="UWN55" s="12"/>
      <c r="UWO55" s="12"/>
      <c r="UWP55" s="12"/>
      <c r="UWQ55" s="12"/>
      <c r="UWR55" s="12"/>
      <c r="UWS55" s="12"/>
      <c r="UWT55" s="12"/>
      <c r="UWU55" s="12"/>
      <c r="UWV55" s="12"/>
      <c r="UWW55" s="12"/>
      <c r="UWX55" s="12"/>
      <c r="UWY55" s="12"/>
      <c r="UWZ55" s="12"/>
      <c r="UXA55" s="12"/>
      <c r="UXB55" s="12"/>
      <c r="UXC55" s="12"/>
      <c r="UXD55" s="12"/>
      <c r="UXE55" s="12"/>
      <c r="UXF55" s="12"/>
      <c r="UXG55" s="12"/>
      <c r="UXH55" s="12"/>
      <c r="UXI55" s="12"/>
      <c r="UXJ55" s="12"/>
      <c r="UXK55" s="12"/>
      <c r="UXL55" s="12"/>
      <c r="UXM55" s="12"/>
      <c r="UXN55" s="12"/>
      <c r="UXO55" s="12"/>
      <c r="UXP55" s="12"/>
      <c r="UXQ55" s="12"/>
      <c r="UXR55" s="12"/>
      <c r="UXS55" s="12"/>
      <c r="UXT55" s="12"/>
      <c r="UXU55" s="12"/>
      <c r="UXV55" s="12"/>
      <c r="UXW55" s="12"/>
      <c r="UXX55" s="12"/>
      <c r="UXY55" s="12"/>
      <c r="UXZ55" s="12"/>
      <c r="UYA55" s="12"/>
      <c r="UYB55" s="12"/>
      <c r="UYC55" s="12"/>
      <c r="UYD55" s="12"/>
      <c r="UYE55" s="12"/>
      <c r="UYF55" s="12"/>
      <c r="UYG55" s="12"/>
      <c r="UYH55" s="12"/>
      <c r="UYI55" s="12"/>
      <c r="UYJ55" s="12"/>
      <c r="UYK55" s="12"/>
      <c r="UYL55" s="12"/>
      <c r="UYM55" s="12"/>
      <c r="UYN55" s="12"/>
      <c r="UYO55" s="12"/>
      <c r="UYP55" s="12"/>
      <c r="UYQ55" s="12"/>
      <c r="UYR55" s="12"/>
      <c r="UYS55" s="12"/>
      <c r="UYT55" s="12"/>
      <c r="UYU55" s="12"/>
      <c r="UYV55" s="12"/>
      <c r="UYW55" s="12"/>
      <c r="UYX55" s="12"/>
      <c r="UYY55" s="12"/>
      <c r="UYZ55" s="12"/>
      <c r="UZA55" s="12"/>
      <c r="UZB55" s="12"/>
      <c r="UZC55" s="12"/>
      <c r="UZD55" s="12"/>
      <c r="UZE55" s="12"/>
      <c r="UZF55" s="12"/>
      <c r="UZG55" s="12"/>
      <c r="UZH55" s="12"/>
      <c r="UZI55" s="12"/>
      <c r="UZJ55" s="12"/>
      <c r="UZK55" s="12"/>
      <c r="UZL55" s="12"/>
      <c r="UZM55" s="12"/>
      <c r="UZN55" s="12"/>
      <c r="UZO55" s="12"/>
      <c r="UZP55" s="12"/>
      <c r="UZQ55" s="12"/>
      <c r="UZR55" s="12"/>
      <c r="UZS55" s="12"/>
      <c r="UZT55" s="12"/>
      <c r="UZU55" s="12"/>
      <c r="UZV55" s="12"/>
      <c r="UZW55" s="12"/>
      <c r="UZX55" s="12"/>
      <c r="UZY55" s="12"/>
      <c r="UZZ55" s="12"/>
      <c r="VAA55" s="12"/>
      <c r="VAB55" s="12"/>
      <c r="VAC55" s="12"/>
      <c r="VAD55" s="12"/>
      <c r="VAE55" s="12"/>
      <c r="VAF55" s="12"/>
      <c r="VAG55" s="12"/>
      <c r="VAH55" s="12"/>
      <c r="VAI55" s="12"/>
      <c r="VAJ55" s="12"/>
      <c r="VAK55" s="12"/>
      <c r="VAL55" s="12"/>
      <c r="VAM55" s="12"/>
      <c r="VAN55" s="12"/>
      <c r="VAO55" s="12"/>
      <c r="VAP55" s="12"/>
      <c r="VAQ55" s="12"/>
      <c r="VAR55" s="12"/>
      <c r="VAS55" s="12"/>
      <c r="VAT55" s="12"/>
      <c r="VAU55" s="12"/>
      <c r="VAV55" s="12"/>
      <c r="VAW55" s="12"/>
      <c r="VAX55" s="12"/>
      <c r="VAY55" s="12"/>
      <c r="VAZ55" s="12"/>
      <c r="VBA55" s="12"/>
      <c r="VBB55" s="12"/>
      <c r="VBC55" s="12"/>
      <c r="VBD55" s="12"/>
      <c r="VBE55" s="12"/>
      <c r="VBF55" s="12"/>
      <c r="VBG55" s="12"/>
      <c r="VBH55" s="12"/>
      <c r="VBI55" s="12"/>
      <c r="VBJ55" s="12"/>
      <c r="VBK55" s="12"/>
      <c r="VBL55" s="12"/>
      <c r="VBM55" s="12"/>
      <c r="VBN55" s="12"/>
      <c r="VBO55" s="12"/>
      <c r="VBP55" s="12"/>
      <c r="VBQ55" s="12"/>
      <c r="VBR55" s="12"/>
      <c r="VBS55" s="12"/>
      <c r="VBT55" s="12"/>
      <c r="VBU55" s="12"/>
      <c r="VBV55" s="12"/>
      <c r="VBW55" s="12"/>
      <c r="VBX55" s="12"/>
      <c r="VBY55" s="12"/>
      <c r="VBZ55" s="12"/>
      <c r="VCA55" s="12"/>
      <c r="VCB55" s="12"/>
      <c r="VCC55" s="12"/>
      <c r="VCD55" s="12"/>
      <c r="VCE55" s="12"/>
      <c r="VCF55" s="12"/>
      <c r="VCG55" s="12"/>
      <c r="VCH55" s="12"/>
      <c r="VCI55" s="12"/>
      <c r="VCJ55" s="12"/>
      <c r="VCK55" s="12"/>
      <c r="VCL55" s="12"/>
      <c r="VCM55" s="12"/>
      <c r="VCN55" s="12"/>
      <c r="VCO55" s="12"/>
      <c r="VCP55" s="12"/>
      <c r="VCQ55" s="12"/>
      <c r="VCR55" s="12"/>
      <c r="VCS55" s="12"/>
      <c r="VCT55" s="12"/>
      <c r="VCU55" s="12"/>
      <c r="VCV55" s="12"/>
      <c r="VCW55" s="12"/>
      <c r="VCX55" s="12"/>
      <c r="VCY55" s="12"/>
      <c r="VCZ55" s="12"/>
      <c r="VDA55" s="12"/>
      <c r="VDB55" s="12"/>
      <c r="VDC55" s="12"/>
      <c r="VDD55" s="12"/>
      <c r="VDE55" s="12"/>
      <c r="VDF55" s="12"/>
      <c r="VDG55" s="12"/>
      <c r="VDH55" s="12"/>
      <c r="VDI55" s="12"/>
      <c r="VDJ55" s="12"/>
      <c r="VDK55" s="12"/>
      <c r="VDL55" s="12"/>
      <c r="VDM55" s="12"/>
      <c r="VDN55" s="12"/>
      <c r="VDO55" s="12"/>
      <c r="VDP55" s="12"/>
      <c r="VDQ55" s="12"/>
      <c r="VDR55" s="12"/>
      <c r="VDS55" s="12"/>
      <c r="VDT55" s="12"/>
      <c r="VDU55" s="12"/>
      <c r="VDV55" s="12"/>
      <c r="VDW55" s="12"/>
      <c r="VDX55" s="12"/>
      <c r="VDY55" s="12"/>
      <c r="VDZ55" s="12"/>
      <c r="VEA55" s="12"/>
      <c r="VEB55" s="12"/>
      <c r="VEC55" s="12"/>
      <c r="VED55" s="12"/>
      <c r="VEE55" s="12"/>
      <c r="VEF55" s="12"/>
      <c r="VEG55" s="12"/>
      <c r="VEH55" s="12"/>
      <c r="VEI55" s="12"/>
      <c r="VEJ55" s="12"/>
      <c r="VEK55" s="12"/>
      <c r="VEL55" s="12"/>
      <c r="VEM55" s="12"/>
      <c r="VEN55" s="12"/>
      <c r="VEO55" s="12"/>
      <c r="VEP55" s="12"/>
      <c r="VEQ55" s="12"/>
      <c r="VER55" s="12"/>
      <c r="VES55" s="12"/>
      <c r="VET55" s="12"/>
      <c r="VEU55" s="12"/>
      <c r="VEV55" s="12"/>
      <c r="VEW55" s="12"/>
      <c r="VEX55" s="12"/>
      <c r="VEY55" s="12"/>
      <c r="VEZ55" s="12"/>
      <c r="VFA55" s="12"/>
      <c r="VFB55" s="12"/>
      <c r="VFC55" s="12"/>
      <c r="VFD55" s="12"/>
      <c r="VFE55" s="12"/>
      <c r="VFF55" s="12"/>
      <c r="VFG55" s="12"/>
      <c r="VFH55" s="12"/>
      <c r="VFI55" s="12"/>
      <c r="VFJ55" s="12"/>
      <c r="VFK55" s="12"/>
      <c r="VFL55" s="12"/>
      <c r="VFM55" s="12"/>
      <c r="VFN55" s="12"/>
      <c r="VFO55" s="12"/>
      <c r="VFP55" s="12"/>
      <c r="VFQ55" s="12"/>
      <c r="VFR55" s="12"/>
      <c r="VFS55" s="12"/>
      <c r="VFT55" s="12"/>
      <c r="VFU55" s="12"/>
      <c r="VFV55" s="12"/>
      <c r="VFW55" s="12"/>
      <c r="VFX55" s="12"/>
      <c r="VFY55" s="12"/>
      <c r="VFZ55" s="12"/>
      <c r="VGA55" s="12"/>
      <c r="VGB55" s="12"/>
      <c r="VGC55" s="12"/>
      <c r="VGD55" s="12"/>
      <c r="VGE55" s="12"/>
      <c r="VGF55" s="12"/>
      <c r="VGG55" s="12"/>
      <c r="VGH55" s="12"/>
      <c r="VGI55" s="12"/>
      <c r="VGJ55" s="12"/>
      <c r="VGK55" s="12"/>
      <c r="VGL55" s="12"/>
      <c r="VGM55" s="12"/>
      <c r="VGN55" s="12"/>
      <c r="VGO55" s="12"/>
      <c r="VGP55" s="12"/>
      <c r="VGQ55" s="12"/>
      <c r="VGR55" s="12"/>
      <c r="VGS55" s="12"/>
      <c r="VGT55" s="12"/>
      <c r="VGU55" s="12"/>
      <c r="VGV55" s="12"/>
      <c r="VGW55" s="12"/>
      <c r="VGX55" s="12"/>
      <c r="VGY55" s="12"/>
      <c r="VGZ55" s="12"/>
      <c r="VHA55" s="12"/>
      <c r="VHB55" s="12"/>
      <c r="VHC55" s="12"/>
      <c r="VHD55" s="12"/>
      <c r="VHE55" s="12"/>
      <c r="VHF55" s="12"/>
      <c r="VHG55" s="12"/>
      <c r="VHH55" s="12"/>
      <c r="VHI55" s="12"/>
      <c r="VHJ55" s="12"/>
      <c r="VHK55" s="12"/>
      <c r="VHL55" s="12"/>
      <c r="VHM55" s="12"/>
      <c r="VHN55" s="12"/>
      <c r="VHO55" s="12"/>
      <c r="VHP55" s="12"/>
      <c r="VHQ55" s="12"/>
      <c r="VHR55" s="12"/>
      <c r="VHS55" s="12"/>
      <c r="VHT55" s="12"/>
      <c r="VHU55" s="12"/>
      <c r="VHV55" s="12"/>
      <c r="VHW55" s="12"/>
      <c r="VHX55" s="12"/>
      <c r="VHY55" s="12"/>
      <c r="VHZ55" s="12"/>
      <c r="VIA55" s="12"/>
      <c r="VIB55" s="12"/>
      <c r="VIC55" s="12"/>
      <c r="VID55" s="12"/>
      <c r="VIE55" s="12"/>
      <c r="VIF55" s="12"/>
      <c r="VIG55" s="12"/>
      <c r="VIH55" s="12"/>
      <c r="VII55" s="12"/>
      <c r="VIJ55" s="12"/>
      <c r="VIK55" s="12"/>
      <c r="VIL55" s="12"/>
      <c r="VIM55" s="12"/>
      <c r="VIN55" s="12"/>
      <c r="VIO55" s="12"/>
      <c r="VIP55" s="12"/>
      <c r="VIQ55" s="12"/>
      <c r="VIR55" s="12"/>
      <c r="VIS55" s="12"/>
      <c r="VIT55" s="12"/>
      <c r="VIU55" s="12"/>
      <c r="VIV55" s="12"/>
      <c r="VIW55" s="12"/>
      <c r="VIX55" s="12"/>
      <c r="VIY55" s="12"/>
      <c r="VIZ55" s="12"/>
      <c r="VJA55" s="12"/>
      <c r="VJB55" s="12"/>
      <c r="VJC55" s="12"/>
      <c r="VJD55" s="12"/>
      <c r="VJE55" s="12"/>
      <c r="VJF55" s="12"/>
      <c r="VJG55" s="12"/>
      <c r="VJH55" s="12"/>
      <c r="VJI55" s="12"/>
      <c r="VJJ55" s="12"/>
      <c r="VJK55" s="12"/>
      <c r="VJL55" s="12"/>
      <c r="VJM55" s="12"/>
      <c r="VJN55" s="12"/>
      <c r="VJO55" s="12"/>
      <c r="VJP55" s="12"/>
      <c r="VJQ55" s="12"/>
      <c r="VJR55" s="12"/>
      <c r="VJS55" s="12"/>
      <c r="VJT55" s="12"/>
      <c r="VJU55" s="12"/>
      <c r="VJV55" s="12"/>
      <c r="VJW55" s="12"/>
      <c r="VJX55" s="12"/>
      <c r="VJY55" s="12"/>
      <c r="VJZ55" s="12"/>
      <c r="VKA55" s="12"/>
      <c r="VKB55" s="12"/>
      <c r="VKC55" s="12"/>
      <c r="VKD55" s="12"/>
      <c r="VKE55" s="12"/>
      <c r="VKF55" s="12"/>
      <c r="VKG55" s="12"/>
      <c r="VKH55" s="12"/>
      <c r="VKI55" s="12"/>
      <c r="VKJ55" s="12"/>
      <c r="VKK55" s="12"/>
      <c r="VKL55" s="12"/>
      <c r="VKM55" s="12"/>
      <c r="VKN55" s="12"/>
      <c r="VKO55" s="12"/>
      <c r="VKP55" s="12"/>
      <c r="VKQ55" s="12"/>
      <c r="VKR55" s="12"/>
      <c r="VKS55" s="12"/>
      <c r="VKT55" s="12"/>
      <c r="VKU55" s="12"/>
      <c r="VKV55" s="12"/>
      <c r="VKW55" s="12"/>
      <c r="VKX55" s="12"/>
      <c r="VKY55" s="12"/>
      <c r="VKZ55" s="12"/>
      <c r="VLA55" s="12"/>
      <c r="VLB55" s="12"/>
      <c r="VLC55" s="12"/>
      <c r="VLD55" s="12"/>
      <c r="VLE55" s="12"/>
      <c r="VLF55" s="12"/>
      <c r="VLG55" s="12"/>
      <c r="VLH55" s="12"/>
      <c r="VLI55" s="12"/>
      <c r="VLJ55" s="12"/>
      <c r="VLK55" s="12"/>
      <c r="VLL55" s="12"/>
      <c r="VLM55" s="12"/>
      <c r="VLN55" s="12"/>
      <c r="VLO55" s="12"/>
      <c r="VLP55" s="12"/>
      <c r="VLQ55" s="12"/>
      <c r="VLR55" s="12"/>
      <c r="VLS55" s="12"/>
      <c r="VLT55" s="12"/>
      <c r="VLU55" s="12"/>
      <c r="VLV55" s="12"/>
      <c r="VLW55" s="12"/>
      <c r="VLX55" s="12"/>
      <c r="VLY55" s="12"/>
      <c r="VLZ55" s="12"/>
      <c r="VMA55" s="12"/>
      <c r="VMB55" s="12"/>
      <c r="VMC55" s="12"/>
      <c r="VMD55" s="12"/>
      <c r="VME55" s="12"/>
      <c r="VMF55" s="12"/>
      <c r="VMG55" s="12"/>
      <c r="VMH55" s="12"/>
      <c r="VMI55" s="12"/>
      <c r="VMJ55" s="12"/>
      <c r="VMK55" s="12"/>
      <c r="VML55" s="12"/>
      <c r="VMM55" s="12"/>
      <c r="VMN55" s="12"/>
      <c r="VMO55" s="12"/>
      <c r="VMP55" s="12"/>
      <c r="VMQ55" s="12"/>
      <c r="VMR55" s="12"/>
      <c r="VMS55" s="12"/>
      <c r="VMT55" s="12"/>
      <c r="VMU55" s="12"/>
      <c r="VMV55" s="12"/>
      <c r="VMW55" s="12"/>
      <c r="VMX55" s="12"/>
      <c r="VMY55" s="12"/>
      <c r="VMZ55" s="12"/>
      <c r="VNA55" s="12"/>
      <c r="VNB55" s="12"/>
      <c r="VNC55" s="12"/>
      <c r="VND55" s="12"/>
      <c r="VNE55" s="12"/>
      <c r="VNF55" s="12"/>
      <c r="VNG55" s="12"/>
      <c r="VNH55" s="12"/>
      <c r="VNI55" s="12"/>
      <c r="VNJ55" s="12"/>
      <c r="VNK55" s="12"/>
      <c r="VNL55" s="12"/>
      <c r="VNM55" s="12"/>
      <c r="VNN55" s="12"/>
      <c r="VNO55" s="12"/>
      <c r="VNP55" s="12"/>
      <c r="VNQ55" s="12"/>
      <c r="VNR55" s="12"/>
      <c r="VNS55" s="12"/>
      <c r="VNT55" s="12"/>
      <c r="VNU55" s="12"/>
      <c r="VNV55" s="12"/>
      <c r="VNW55" s="12"/>
      <c r="VNX55" s="12"/>
      <c r="VNY55" s="12"/>
      <c r="VNZ55" s="12"/>
      <c r="VOA55" s="12"/>
      <c r="VOB55" s="12"/>
      <c r="VOC55" s="12"/>
      <c r="VOD55" s="12"/>
      <c r="VOE55" s="12"/>
      <c r="VOF55" s="12"/>
      <c r="VOG55" s="12"/>
      <c r="VOH55" s="12"/>
      <c r="VOI55" s="12"/>
      <c r="VOJ55" s="12"/>
      <c r="VOK55" s="12"/>
      <c r="VOL55" s="12"/>
      <c r="VOM55" s="12"/>
      <c r="VON55" s="12"/>
      <c r="VOO55" s="12"/>
      <c r="VOP55" s="12"/>
      <c r="VOQ55" s="12"/>
      <c r="VOR55" s="12"/>
      <c r="VOS55" s="12"/>
      <c r="VOT55" s="12"/>
      <c r="VOU55" s="12"/>
      <c r="VOV55" s="12"/>
      <c r="VOW55" s="12"/>
      <c r="VOX55" s="12"/>
      <c r="VOY55" s="12"/>
      <c r="VOZ55" s="12"/>
      <c r="VPA55" s="12"/>
      <c r="VPB55" s="12"/>
      <c r="VPC55" s="12"/>
      <c r="VPD55" s="12"/>
      <c r="VPE55" s="12"/>
      <c r="VPF55" s="12"/>
      <c r="VPG55" s="12"/>
      <c r="VPH55" s="12"/>
      <c r="VPI55" s="12"/>
      <c r="VPJ55" s="12"/>
      <c r="VPK55" s="12"/>
      <c r="VPL55" s="12"/>
      <c r="VPM55" s="12"/>
      <c r="VPN55" s="12"/>
      <c r="VPO55" s="12"/>
      <c r="VPP55" s="12"/>
      <c r="VPQ55" s="12"/>
      <c r="VPR55" s="12"/>
      <c r="VPS55" s="12"/>
      <c r="VPT55" s="12"/>
      <c r="VPU55" s="12"/>
      <c r="VPV55" s="12"/>
      <c r="VPW55" s="12"/>
      <c r="VPX55" s="12"/>
      <c r="VPY55" s="12"/>
      <c r="VPZ55" s="12"/>
      <c r="VQA55" s="12"/>
      <c r="VQB55" s="12"/>
      <c r="VQC55" s="12"/>
      <c r="VQD55" s="12"/>
      <c r="VQE55" s="12"/>
      <c r="VQF55" s="12"/>
      <c r="VQG55" s="12"/>
      <c r="VQH55" s="12"/>
      <c r="VQI55" s="12"/>
      <c r="VQJ55" s="12"/>
      <c r="VQK55" s="12"/>
      <c r="VQL55" s="12"/>
      <c r="VQM55" s="12"/>
      <c r="VQN55" s="12"/>
      <c r="VQO55" s="12"/>
      <c r="VQP55" s="12"/>
      <c r="VQQ55" s="12"/>
      <c r="VQR55" s="12"/>
      <c r="VQS55" s="12"/>
      <c r="VQT55" s="12"/>
      <c r="VQU55" s="12"/>
      <c r="VQV55" s="12"/>
      <c r="VQW55" s="12"/>
      <c r="VQX55" s="12"/>
      <c r="VQY55" s="12"/>
      <c r="VQZ55" s="12"/>
      <c r="VRA55" s="12"/>
      <c r="VRB55" s="12"/>
      <c r="VRC55" s="12"/>
      <c r="VRD55" s="12"/>
      <c r="VRE55" s="12"/>
      <c r="VRF55" s="12"/>
      <c r="VRG55" s="12"/>
      <c r="VRH55" s="12"/>
      <c r="VRI55" s="12"/>
      <c r="VRJ55" s="12"/>
      <c r="VRK55" s="12"/>
      <c r="VRL55" s="12"/>
      <c r="VRM55" s="12"/>
      <c r="VRN55" s="12"/>
      <c r="VRO55" s="12"/>
      <c r="VRP55" s="12"/>
      <c r="VRQ55" s="12"/>
      <c r="VRR55" s="12"/>
      <c r="VRS55" s="12"/>
      <c r="VRT55" s="12"/>
      <c r="VRU55" s="12"/>
      <c r="VRV55" s="12"/>
      <c r="VRW55" s="12"/>
      <c r="VRX55" s="12"/>
      <c r="VRY55" s="12"/>
      <c r="VRZ55" s="12"/>
      <c r="VSA55" s="12"/>
      <c r="VSB55" s="12"/>
      <c r="VSC55" s="12"/>
      <c r="VSD55" s="12"/>
      <c r="VSE55" s="12"/>
      <c r="VSF55" s="12"/>
      <c r="VSG55" s="12"/>
      <c r="VSH55" s="12"/>
      <c r="VSI55" s="12"/>
      <c r="VSJ55" s="12"/>
      <c r="VSK55" s="12"/>
      <c r="VSL55" s="12"/>
      <c r="VSM55" s="12"/>
      <c r="VSN55" s="12"/>
      <c r="VSO55" s="12"/>
      <c r="VSP55" s="12"/>
      <c r="VSQ55" s="12"/>
      <c r="VSR55" s="12"/>
      <c r="VSS55" s="12"/>
      <c r="VST55" s="12"/>
      <c r="VSU55" s="12"/>
      <c r="VSV55" s="12"/>
      <c r="VSW55" s="12"/>
      <c r="VSX55" s="12"/>
      <c r="VSY55" s="12"/>
      <c r="VSZ55" s="12"/>
      <c r="VTA55" s="12"/>
      <c r="VTB55" s="12"/>
      <c r="VTC55" s="12"/>
      <c r="VTD55" s="12"/>
      <c r="VTE55" s="12"/>
      <c r="VTF55" s="12"/>
      <c r="VTG55" s="12"/>
      <c r="VTH55" s="12"/>
      <c r="VTI55" s="12"/>
      <c r="VTJ55" s="12"/>
      <c r="VTK55" s="12"/>
      <c r="VTL55" s="12"/>
      <c r="VTM55" s="12"/>
      <c r="VTN55" s="12"/>
      <c r="VTO55" s="12"/>
      <c r="VTP55" s="12"/>
      <c r="VTQ55" s="12"/>
      <c r="VTR55" s="12"/>
      <c r="VTS55" s="12"/>
      <c r="VTT55" s="12"/>
      <c r="VTU55" s="12"/>
      <c r="VTV55" s="12"/>
      <c r="VTW55" s="12"/>
      <c r="VTX55" s="12"/>
      <c r="VTY55" s="12"/>
      <c r="VTZ55" s="12"/>
      <c r="VUA55" s="12"/>
      <c r="VUB55" s="12"/>
      <c r="VUC55" s="12"/>
      <c r="VUD55" s="12"/>
      <c r="VUE55" s="12"/>
      <c r="VUF55" s="12"/>
      <c r="VUG55" s="12"/>
      <c r="VUH55" s="12"/>
      <c r="VUI55" s="12"/>
      <c r="VUJ55" s="12"/>
      <c r="VUK55" s="12"/>
      <c r="VUL55" s="12"/>
      <c r="VUM55" s="12"/>
      <c r="VUN55" s="12"/>
      <c r="VUO55" s="12"/>
      <c r="VUP55" s="12"/>
      <c r="VUQ55" s="12"/>
      <c r="VUR55" s="12"/>
      <c r="VUS55" s="12"/>
      <c r="VUT55" s="12"/>
      <c r="VUU55" s="12"/>
      <c r="VUV55" s="12"/>
      <c r="VUW55" s="12"/>
      <c r="VUX55" s="12"/>
      <c r="VUY55" s="12"/>
      <c r="VUZ55" s="12"/>
      <c r="VVA55" s="12"/>
      <c r="VVB55" s="12"/>
      <c r="VVC55" s="12"/>
      <c r="VVD55" s="12"/>
      <c r="VVE55" s="12"/>
      <c r="VVF55" s="12"/>
      <c r="VVG55" s="12"/>
      <c r="VVH55" s="12"/>
      <c r="VVI55" s="12"/>
      <c r="VVJ55" s="12"/>
      <c r="VVK55" s="12"/>
      <c r="VVL55" s="12"/>
      <c r="VVM55" s="12"/>
      <c r="VVN55" s="12"/>
      <c r="VVO55" s="12"/>
      <c r="VVP55" s="12"/>
      <c r="VVQ55" s="12"/>
      <c r="VVR55" s="12"/>
      <c r="VVS55" s="12"/>
      <c r="VVT55" s="12"/>
      <c r="VVU55" s="12"/>
      <c r="VVV55" s="12"/>
      <c r="VVW55" s="12"/>
      <c r="VVX55" s="12"/>
      <c r="VVY55" s="12"/>
      <c r="VVZ55" s="12"/>
      <c r="VWA55" s="12"/>
      <c r="VWB55" s="12"/>
      <c r="VWC55" s="12"/>
      <c r="VWD55" s="12"/>
      <c r="VWE55" s="12"/>
      <c r="VWF55" s="12"/>
      <c r="VWG55" s="12"/>
      <c r="VWH55" s="12"/>
      <c r="VWI55" s="12"/>
      <c r="VWJ55" s="12"/>
      <c r="VWK55" s="12"/>
      <c r="VWL55" s="12"/>
      <c r="VWM55" s="12"/>
      <c r="VWN55" s="12"/>
      <c r="VWO55" s="12"/>
      <c r="VWP55" s="12"/>
      <c r="VWQ55" s="12"/>
      <c r="VWR55" s="12"/>
      <c r="VWS55" s="12"/>
      <c r="VWT55" s="12"/>
      <c r="VWU55" s="12"/>
      <c r="VWV55" s="12"/>
      <c r="VWW55" s="12"/>
      <c r="VWX55" s="12"/>
      <c r="VWY55" s="12"/>
      <c r="VWZ55" s="12"/>
      <c r="VXA55" s="12"/>
      <c r="VXB55" s="12"/>
      <c r="VXC55" s="12"/>
      <c r="VXD55" s="12"/>
      <c r="VXE55" s="12"/>
      <c r="VXF55" s="12"/>
      <c r="VXG55" s="12"/>
      <c r="VXH55" s="12"/>
      <c r="VXI55" s="12"/>
      <c r="VXJ55" s="12"/>
      <c r="VXK55" s="12"/>
      <c r="VXL55" s="12"/>
      <c r="VXM55" s="12"/>
      <c r="VXN55" s="12"/>
      <c r="VXO55" s="12"/>
      <c r="VXP55" s="12"/>
      <c r="VXQ55" s="12"/>
      <c r="VXR55" s="12"/>
      <c r="VXS55" s="12"/>
      <c r="VXT55" s="12"/>
      <c r="VXU55" s="12"/>
      <c r="VXV55" s="12"/>
      <c r="VXW55" s="12"/>
      <c r="VXX55" s="12"/>
      <c r="VXY55" s="12"/>
      <c r="VXZ55" s="12"/>
      <c r="VYA55" s="12"/>
      <c r="VYB55" s="12"/>
      <c r="VYC55" s="12"/>
      <c r="VYD55" s="12"/>
      <c r="VYE55" s="12"/>
      <c r="VYF55" s="12"/>
      <c r="VYG55" s="12"/>
      <c r="VYH55" s="12"/>
      <c r="VYI55" s="12"/>
      <c r="VYJ55" s="12"/>
      <c r="VYK55" s="12"/>
      <c r="VYL55" s="12"/>
      <c r="VYM55" s="12"/>
      <c r="VYN55" s="12"/>
      <c r="VYO55" s="12"/>
      <c r="VYP55" s="12"/>
      <c r="VYQ55" s="12"/>
      <c r="VYR55" s="12"/>
      <c r="VYS55" s="12"/>
      <c r="VYT55" s="12"/>
      <c r="VYU55" s="12"/>
      <c r="VYV55" s="12"/>
      <c r="VYW55" s="12"/>
      <c r="VYX55" s="12"/>
      <c r="VYY55" s="12"/>
      <c r="VYZ55" s="12"/>
      <c r="VZA55" s="12"/>
      <c r="VZB55" s="12"/>
      <c r="VZC55" s="12"/>
      <c r="VZD55" s="12"/>
      <c r="VZE55" s="12"/>
      <c r="VZF55" s="12"/>
      <c r="VZG55" s="12"/>
      <c r="VZH55" s="12"/>
      <c r="VZI55" s="12"/>
      <c r="VZJ55" s="12"/>
      <c r="VZK55" s="12"/>
      <c r="VZL55" s="12"/>
      <c r="VZM55" s="12"/>
      <c r="VZN55" s="12"/>
      <c r="VZO55" s="12"/>
      <c r="VZP55" s="12"/>
      <c r="VZQ55" s="12"/>
      <c r="VZR55" s="12"/>
      <c r="VZS55" s="12"/>
      <c r="VZT55" s="12"/>
      <c r="VZU55" s="12"/>
      <c r="VZV55" s="12"/>
      <c r="VZW55" s="12"/>
      <c r="VZX55" s="12"/>
      <c r="VZY55" s="12"/>
      <c r="VZZ55" s="12"/>
      <c r="WAA55" s="12"/>
      <c r="WAB55" s="12"/>
      <c r="WAC55" s="12"/>
      <c r="WAD55" s="12"/>
      <c r="WAE55" s="12"/>
      <c r="WAF55" s="12"/>
      <c r="WAG55" s="12"/>
      <c r="WAH55" s="12"/>
      <c r="WAI55" s="12"/>
      <c r="WAJ55" s="12"/>
      <c r="WAK55" s="12"/>
      <c r="WAL55" s="12"/>
      <c r="WAM55" s="12"/>
      <c r="WAN55" s="12"/>
      <c r="WAO55" s="12"/>
      <c r="WAP55" s="12"/>
      <c r="WAQ55" s="12"/>
      <c r="WAR55" s="12"/>
      <c r="WAS55" s="12"/>
      <c r="WAT55" s="12"/>
      <c r="WAU55" s="12"/>
      <c r="WAV55" s="12"/>
      <c r="WAW55" s="12"/>
      <c r="WAX55" s="12"/>
      <c r="WAY55" s="12"/>
      <c r="WAZ55" s="12"/>
      <c r="WBA55" s="12"/>
      <c r="WBB55" s="12"/>
      <c r="WBC55" s="12"/>
      <c r="WBD55" s="12"/>
      <c r="WBE55" s="12"/>
      <c r="WBF55" s="12"/>
      <c r="WBG55" s="12"/>
      <c r="WBH55" s="12"/>
      <c r="WBI55" s="12"/>
      <c r="WBJ55" s="12"/>
      <c r="WBK55" s="12"/>
      <c r="WBL55" s="12"/>
      <c r="WBM55" s="12"/>
      <c r="WBN55" s="12"/>
      <c r="WBO55" s="12"/>
      <c r="WBP55" s="12"/>
      <c r="WBQ55" s="12"/>
      <c r="WBR55" s="12"/>
      <c r="WBS55" s="12"/>
      <c r="WBT55" s="12"/>
      <c r="WBU55" s="12"/>
      <c r="WBV55" s="12"/>
      <c r="WBW55" s="12"/>
      <c r="WBX55" s="12"/>
      <c r="WBY55" s="12"/>
      <c r="WBZ55" s="12"/>
      <c r="WCA55" s="12"/>
      <c r="WCB55" s="12"/>
      <c r="WCC55" s="12"/>
      <c r="WCD55" s="12"/>
      <c r="WCE55" s="12"/>
      <c r="WCF55" s="12"/>
      <c r="WCG55" s="12"/>
      <c r="WCH55" s="12"/>
      <c r="WCI55" s="12"/>
      <c r="WCJ55" s="12"/>
      <c r="WCK55" s="12"/>
      <c r="WCL55" s="12"/>
      <c r="WCM55" s="12"/>
      <c r="WCN55" s="12"/>
      <c r="WCO55" s="12"/>
      <c r="WCP55" s="12"/>
      <c r="WCQ55" s="12"/>
      <c r="WCR55" s="12"/>
      <c r="WCS55" s="12"/>
      <c r="WCT55" s="12"/>
      <c r="WCU55" s="12"/>
      <c r="WCV55" s="12"/>
      <c r="WCW55" s="12"/>
      <c r="WCX55" s="12"/>
      <c r="WCY55" s="12"/>
      <c r="WCZ55" s="12"/>
      <c r="WDA55" s="12"/>
      <c r="WDB55" s="12"/>
      <c r="WDC55" s="12"/>
      <c r="WDD55" s="12"/>
      <c r="WDE55" s="12"/>
      <c r="WDF55" s="12"/>
      <c r="WDG55" s="12"/>
      <c r="WDH55" s="12"/>
      <c r="WDI55" s="12"/>
      <c r="WDJ55" s="12"/>
      <c r="WDK55" s="12"/>
      <c r="WDL55" s="12"/>
      <c r="WDM55" s="12"/>
      <c r="WDN55" s="12"/>
      <c r="WDO55" s="12"/>
      <c r="WDP55" s="12"/>
      <c r="WDQ55" s="12"/>
      <c r="WDR55" s="12"/>
      <c r="WDS55" s="12"/>
      <c r="WDT55" s="12"/>
      <c r="WDU55" s="12"/>
      <c r="WDV55" s="12"/>
      <c r="WDW55" s="12"/>
      <c r="WDX55" s="12"/>
      <c r="WDY55" s="12"/>
      <c r="WDZ55" s="12"/>
      <c r="WEA55" s="12"/>
      <c r="WEB55" s="12"/>
      <c r="WEC55" s="12"/>
      <c r="WED55" s="12"/>
      <c r="WEE55" s="12"/>
      <c r="WEF55" s="12"/>
      <c r="WEG55" s="12"/>
      <c r="WEH55" s="12"/>
      <c r="WEI55" s="12"/>
      <c r="WEJ55" s="12"/>
      <c r="WEK55" s="12"/>
      <c r="WEL55" s="12"/>
      <c r="WEM55" s="12"/>
      <c r="WEN55" s="12"/>
      <c r="WEO55" s="12"/>
      <c r="WEP55" s="12"/>
      <c r="WEQ55" s="12"/>
      <c r="WER55" s="12"/>
      <c r="WES55" s="12"/>
      <c r="WET55" s="12"/>
      <c r="WEU55" s="12"/>
      <c r="WEV55" s="12"/>
      <c r="WEW55" s="12"/>
      <c r="WEX55" s="12"/>
      <c r="WEY55" s="12"/>
      <c r="WEZ55" s="12"/>
      <c r="WFA55" s="12"/>
      <c r="WFB55" s="12"/>
      <c r="WFC55" s="12"/>
      <c r="WFD55" s="12"/>
      <c r="WFE55" s="12"/>
      <c r="WFF55" s="12"/>
      <c r="WFG55" s="12"/>
      <c r="WFH55" s="12"/>
      <c r="WFI55" s="12"/>
      <c r="WFJ55" s="12"/>
      <c r="WFK55" s="12"/>
      <c r="WFL55" s="12"/>
      <c r="WFM55" s="12"/>
      <c r="WFN55" s="12"/>
      <c r="WFO55" s="12"/>
      <c r="WFP55" s="12"/>
      <c r="WFQ55" s="12"/>
      <c r="WFR55" s="12"/>
      <c r="WFS55" s="12"/>
      <c r="WFT55" s="12"/>
      <c r="WFU55" s="12"/>
      <c r="WFV55" s="12"/>
      <c r="WFW55" s="12"/>
      <c r="WFX55" s="12"/>
      <c r="WFY55" s="12"/>
      <c r="WFZ55" s="12"/>
      <c r="WGA55" s="12"/>
      <c r="WGB55" s="12"/>
      <c r="WGC55" s="12"/>
      <c r="WGD55" s="12"/>
      <c r="WGE55" s="12"/>
      <c r="WGF55" s="12"/>
      <c r="WGG55" s="12"/>
      <c r="WGH55" s="12"/>
      <c r="WGI55" s="12"/>
      <c r="WGJ55" s="12"/>
      <c r="WGK55" s="12"/>
      <c r="WGL55" s="12"/>
      <c r="WGM55" s="12"/>
      <c r="WGN55" s="12"/>
      <c r="WGO55" s="12"/>
      <c r="WGP55" s="12"/>
      <c r="WGQ55" s="12"/>
      <c r="WGR55" s="12"/>
      <c r="WGS55" s="12"/>
      <c r="WGT55" s="12"/>
      <c r="WGU55" s="12"/>
      <c r="WGV55" s="12"/>
      <c r="WGW55" s="12"/>
      <c r="WGX55" s="12"/>
      <c r="WGY55" s="12"/>
      <c r="WGZ55" s="12"/>
      <c r="WHA55" s="12"/>
      <c r="WHB55" s="12"/>
      <c r="WHC55" s="12"/>
      <c r="WHD55" s="12"/>
      <c r="WHE55" s="12"/>
      <c r="WHF55" s="12"/>
      <c r="WHG55" s="12"/>
      <c r="WHH55" s="12"/>
      <c r="WHI55" s="12"/>
      <c r="WHJ55" s="12"/>
      <c r="WHK55" s="12"/>
      <c r="WHL55" s="12"/>
      <c r="WHM55" s="12"/>
      <c r="WHN55" s="12"/>
      <c r="WHO55" s="12"/>
      <c r="WHP55" s="12"/>
      <c r="WHQ55" s="12"/>
      <c r="WHR55" s="12"/>
      <c r="WHS55" s="12"/>
      <c r="WHT55" s="12"/>
      <c r="WHU55" s="12"/>
      <c r="WHV55" s="12"/>
      <c r="WHW55" s="12"/>
      <c r="WHX55" s="12"/>
      <c r="WHY55" s="12"/>
      <c r="WHZ55" s="12"/>
      <c r="WIA55" s="12"/>
      <c r="WIB55" s="12"/>
      <c r="WIC55" s="12"/>
      <c r="WID55" s="12"/>
      <c r="WIE55" s="12"/>
      <c r="WIF55" s="12"/>
      <c r="WIG55" s="12"/>
      <c r="WIH55" s="12"/>
      <c r="WII55" s="12"/>
      <c r="WIJ55" s="12"/>
      <c r="WIK55" s="12"/>
      <c r="WIL55" s="12"/>
      <c r="WIM55" s="12"/>
      <c r="WIN55" s="12"/>
      <c r="WIO55" s="12"/>
      <c r="WIP55" s="12"/>
      <c r="WIQ55" s="12"/>
      <c r="WIR55" s="12"/>
      <c r="WIS55" s="12"/>
      <c r="WIT55" s="12"/>
      <c r="WIU55" s="12"/>
      <c r="WIV55" s="12"/>
      <c r="WIW55" s="12"/>
      <c r="WIX55" s="12"/>
      <c r="WIY55" s="12"/>
      <c r="WIZ55" s="12"/>
      <c r="WJA55" s="12"/>
      <c r="WJB55" s="12"/>
      <c r="WJC55" s="12"/>
      <c r="WJD55" s="12"/>
      <c r="WJE55" s="12"/>
      <c r="WJF55" s="12"/>
      <c r="WJG55" s="12"/>
      <c r="WJH55" s="12"/>
      <c r="WJI55" s="12"/>
      <c r="WJJ55" s="12"/>
      <c r="WJK55" s="12"/>
      <c r="WJL55" s="12"/>
      <c r="WJM55" s="12"/>
      <c r="WJN55" s="12"/>
      <c r="WJO55" s="12"/>
      <c r="WJP55" s="12"/>
      <c r="WJQ55" s="12"/>
      <c r="WJR55" s="12"/>
      <c r="WJS55" s="12"/>
      <c r="WJT55" s="12"/>
      <c r="WJU55" s="12"/>
      <c r="WJV55" s="12"/>
      <c r="WJW55" s="12"/>
      <c r="WJX55" s="12"/>
      <c r="WJY55" s="12"/>
      <c r="WJZ55" s="12"/>
      <c r="WKA55" s="12"/>
      <c r="WKB55" s="12"/>
      <c r="WKC55" s="12"/>
      <c r="WKD55" s="12"/>
      <c r="WKE55" s="12"/>
      <c r="WKF55" s="12"/>
      <c r="WKG55" s="12"/>
      <c r="WKH55" s="12"/>
      <c r="WKI55" s="12"/>
      <c r="WKJ55" s="12"/>
      <c r="WKK55" s="12"/>
      <c r="WKL55" s="12"/>
      <c r="WKM55" s="12"/>
      <c r="WKN55" s="12"/>
      <c r="WKO55" s="12"/>
      <c r="WKP55" s="12"/>
      <c r="WKQ55" s="12"/>
      <c r="WKR55" s="12"/>
      <c r="WKS55" s="12"/>
      <c r="WKT55" s="12"/>
      <c r="WKU55" s="12"/>
      <c r="WKV55" s="12"/>
      <c r="WKW55" s="12"/>
      <c r="WKX55" s="12"/>
      <c r="WKY55" s="12"/>
      <c r="WKZ55" s="12"/>
      <c r="WLA55" s="12"/>
      <c r="WLB55" s="12"/>
      <c r="WLC55" s="12"/>
      <c r="WLD55" s="12"/>
      <c r="WLE55" s="12"/>
      <c r="WLF55" s="12"/>
      <c r="WLG55" s="12"/>
      <c r="WLH55" s="12"/>
      <c r="WLI55" s="12"/>
      <c r="WLJ55" s="12"/>
      <c r="WLK55" s="12"/>
      <c r="WLL55" s="12"/>
      <c r="WLM55" s="12"/>
      <c r="WLN55" s="12"/>
      <c r="WLO55" s="12"/>
      <c r="WLP55" s="12"/>
      <c r="WLQ55" s="12"/>
      <c r="WLR55" s="12"/>
      <c r="WLS55" s="12"/>
      <c r="WLT55" s="12"/>
      <c r="WLU55" s="12"/>
      <c r="WLV55" s="12"/>
      <c r="WLW55" s="12"/>
      <c r="WLX55" s="12"/>
      <c r="WLY55" s="12"/>
      <c r="WLZ55" s="12"/>
      <c r="WMA55" s="12"/>
      <c r="WMB55" s="12"/>
      <c r="WMC55" s="12"/>
      <c r="WMD55" s="12"/>
      <c r="WME55" s="12"/>
      <c r="WMF55" s="12"/>
      <c r="WMG55" s="12"/>
      <c r="WMH55" s="12"/>
      <c r="WMI55" s="12"/>
      <c r="WMJ55" s="12"/>
      <c r="WMK55" s="12"/>
      <c r="WML55" s="12"/>
      <c r="WMM55" s="12"/>
      <c r="WMN55" s="12"/>
      <c r="WMO55" s="12"/>
      <c r="WMP55" s="12"/>
      <c r="WMQ55" s="12"/>
      <c r="WMR55" s="12"/>
      <c r="WMS55" s="12"/>
      <c r="WMT55" s="12"/>
      <c r="WMU55" s="12"/>
      <c r="WMV55" s="12"/>
      <c r="WMW55" s="12"/>
      <c r="WMX55" s="12"/>
      <c r="WMY55" s="12"/>
      <c r="WMZ55" s="12"/>
      <c r="WNA55" s="12"/>
      <c r="WNB55" s="12"/>
      <c r="WNC55" s="12"/>
      <c r="WND55" s="12"/>
      <c r="WNE55" s="12"/>
      <c r="WNF55" s="12"/>
      <c r="WNG55" s="12"/>
      <c r="WNH55" s="12"/>
      <c r="WNI55" s="12"/>
      <c r="WNJ55" s="12"/>
      <c r="WNK55" s="12"/>
      <c r="WNL55" s="12"/>
      <c r="WNM55" s="12"/>
      <c r="WNN55" s="12"/>
      <c r="WNO55" s="12"/>
      <c r="WNP55" s="12"/>
      <c r="WNQ55" s="12"/>
      <c r="WNR55" s="12"/>
      <c r="WNS55" s="12"/>
      <c r="WNT55" s="12"/>
      <c r="WNU55" s="12"/>
      <c r="WNV55" s="12"/>
      <c r="WNW55" s="12"/>
      <c r="WNX55" s="12"/>
      <c r="WNY55" s="12"/>
      <c r="WNZ55" s="12"/>
      <c r="WOA55" s="12"/>
      <c r="WOB55" s="12"/>
      <c r="WOC55" s="12"/>
      <c r="WOD55" s="12"/>
      <c r="WOE55" s="12"/>
      <c r="WOF55" s="12"/>
      <c r="WOG55" s="12"/>
      <c r="WOH55" s="12"/>
      <c r="WOI55" s="12"/>
      <c r="WOJ55" s="12"/>
      <c r="WOK55" s="12"/>
      <c r="WOL55" s="12"/>
      <c r="WOM55" s="12"/>
      <c r="WON55" s="12"/>
      <c r="WOO55" s="12"/>
      <c r="WOP55" s="12"/>
      <c r="WOQ55" s="12"/>
      <c r="WOR55" s="12"/>
      <c r="WOS55" s="12"/>
      <c r="WOT55" s="12"/>
      <c r="WOU55" s="12"/>
      <c r="WOV55" s="12"/>
      <c r="WOW55" s="12"/>
      <c r="WOX55" s="12"/>
      <c r="WOY55" s="12"/>
      <c r="WOZ55" s="12"/>
      <c r="WPA55" s="12"/>
      <c r="WPB55" s="12"/>
      <c r="WPC55" s="12"/>
      <c r="WPD55" s="12"/>
      <c r="WPE55" s="12"/>
      <c r="WPF55" s="12"/>
      <c r="WPG55" s="12"/>
      <c r="WPH55" s="12"/>
      <c r="WPI55" s="12"/>
      <c r="WPJ55" s="12"/>
      <c r="WPK55" s="12"/>
      <c r="WPL55" s="12"/>
      <c r="WPM55" s="12"/>
      <c r="WPN55" s="12"/>
      <c r="WPO55" s="12"/>
      <c r="WPP55" s="12"/>
      <c r="WPQ55" s="12"/>
      <c r="WPR55" s="12"/>
      <c r="WPS55" s="12"/>
      <c r="WPT55" s="12"/>
      <c r="WPU55" s="12"/>
      <c r="WPV55" s="12"/>
      <c r="WPW55" s="12"/>
      <c r="WPX55" s="12"/>
      <c r="WPY55" s="12"/>
      <c r="WPZ55" s="12"/>
      <c r="WQA55" s="12"/>
      <c r="WQB55" s="12"/>
      <c r="WQC55" s="12"/>
      <c r="WQD55" s="12"/>
      <c r="WQE55" s="12"/>
      <c r="WQF55" s="12"/>
      <c r="WQG55" s="12"/>
      <c r="WQH55" s="12"/>
      <c r="WQI55" s="12"/>
      <c r="WQJ55" s="12"/>
      <c r="WQK55" s="12"/>
      <c r="WQL55" s="12"/>
      <c r="WQM55" s="12"/>
      <c r="WQN55" s="12"/>
      <c r="WQO55" s="12"/>
      <c r="WQP55" s="12"/>
      <c r="WQQ55" s="12"/>
      <c r="WQR55" s="12"/>
      <c r="WQS55" s="12"/>
      <c r="WQT55" s="12"/>
      <c r="WQU55" s="12"/>
      <c r="WQV55" s="12"/>
      <c r="WQW55" s="12"/>
      <c r="WQX55" s="12"/>
      <c r="WQY55" s="12"/>
      <c r="WQZ55" s="12"/>
      <c r="WRA55" s="12"/>
      <c r="WRB55" s="12"/>
      <c r="WRC55" s="12"/>
      <c r="WRD55" s="12"/>
      <c r="WRE55" s="12"/>
      <c r="WRF55" s="12"/>
      <c r="WRG55" s="12"/>
      <c r="WRH55" s="12"/>
      <c r="WRI55" s="12"/>
      <c r="WRJ55" s="12"/>
      <c r="WRK55" s="12"/>
      <c r="WRL55" s="12"/>
      <c r="WRM55" s="12"/>
      <c r="WRN55" s="12"/>
      <c r="WRO55" s="12"/>
      <c r="WRP55" s="12"/>
      <c r="WRQ55" s="12"/>
      <c r="WRR55" s="12"/>
      <c r="WRS55" s="12"/>
      <c r="WRT55" s="12"/>
      <c r="WRU55" s="12"/>
      <c r="WRV55" s="12"/>
      <c r="WRW55" s="12"/>
      <c r="WRX55" s="12"/>
      <c r="WRY55" s="12"/>
      <c r="WRZ55" s="12"/>
      <c r="WSA55" s="12"/>
      <c r="WSB55" s="12"/>
      <c r="WSC55" s="12"/>
      <c r="WSD55" s="12"/>
      <c r="WSE55" s="12"/>
      <c r="WSF55" s="12"/>
      <c r="WSG55" s="12"/>
      <c r="WSH55" s="12"/>
      <c r="WSI55" s="12"/>
      <c r="WSJ55" s="12"/>
      <c r="WSK55" s="12"/>
      <c r="WSL55" s="12"/>
      <c r="WSM55" s="12"/>
      <c r="WSN55" s="12"/>
      <c r="WSO55" s="12"/>
      <c r="WSP55" s="12"/>
      <c r="WSQ55" s="12"/>
      <c r="WSR55" s="12"/>
      <c r="WSS55" s="12"/>
      <c r="WST55" s="12"/>
      <c r="WSU55" s="12"/>
      <c r="WSV55" s="12"/>
      <c r="WSW55" s="12"/>
      <c r="WSX55" s="12"/>
      <c r="WSY55" s="12"/>
      <c r="WSZ55" s="12"/>
      <c r="WTA55" s="12"/>
      <c r="WTB55" s="12"/>
      <c r="WTC55" s="12"/>
      <c r="WTD55" s="12"/>
      <c r="WTE55" s="12"/>
      <c r="WTF55" s="12"/>
      <c r="WTG55" s="12"/>
      <c r="WTH55" s="12"/>
      <c r="WTI55" s="12"/>
      <c r="WTJ55" s="12"/>
      <c r="WTK55" s="12"/>
      <c r="WTL55" s="12"/>
      <c r="WTM55" s="12"/>
      <c r="WTN55" s="12"/>
      <c r="WTO55" s="12"/>
      <c r="WTP55" s="12"/>
      <c r="WTQ55" s="12"/>
      <c r="WTR55" s="12"/>
      <c r="WTS55" s="12"/>
      <c r="WTT55" s="12"/>
      <c r="WTU55" s="12"/>
      <c r="WTV55" s="12"/>
      <c r="WTW55" s="12"/>
      <c r="WTX55" s="12"/>
      <c r="WTY55" s="12"/>
      <c r="WTZ55" s="12"/>
      <c r="WUA55" s="12"/>
      <c r="WUB55" s="12"/>
      <c r="WUC55" s="12"/>
      <c r="WUD55" s="12"/>
      <c r="WUE55" s="12"/>
      <c r="WUF55" s="12"/>
      <c r="WUG55" s="12"/>
      <c r="WUH55" s="12"/>
      <c r="WUI55" s="12"/>
      <c r="WUJ55" s="12"/>
      <c r="WUK55" s="12"/>
      <c r="WUL55" s="12"/>
      <c r="WUM55" s="12"/>
      <c r="WUN55" s="12"/>
      <c r="WUO55" s="12"/>
      <c r="WUP55" s="12"/>
      <c r="WUQ55" s="12"/>
      <c r="WUR55" s="12"/>
      <c r="WUS55" s="12"/>
      <c r="WUT55" s="12"/>
      <c r="WUU55" s="12"/>
      <c r="WUV55" s="12"/>
      <c r="WUW55" s="12"/>
      <c r="WUX55" s="12"/>
      <c r="WUY55" s="12"/>
      <c r="WUZ55" s="12"/>
      <c r="WVA55" s="12"/>
      <c r="WVB55" s="12"/>
      <c r="WVC55" s="12"/>
      <c r="WVD55" s="12"/>
      <c r="WVE55" s="12"/>
      <c r="WVF55" s="12"/>
      <c r="WVG55" s="12"/>
      <c r="WVH55" s="12"/>
      <c r="WVI55" s="12"/>
      <c r="WVJ55" s="12"/>
      <c r="WVK55" s="12"/>
      <c r="WVL55" s="12"/>
      <c r="WVM55" s="12"/>
      <c r="WVN55" s="12"/>
      <c r="WVO55" s="12"/>
      <c r="WVP55" s="12"/>
      <c r="WVQ55" s="12"/>
      <c r="WVR55" s="12"/>
      <c r="WVS55" s="12"/>
      <c r="WVT55" s="12"/>
      <c r="WVU55" s="12"/>
      <c r="WVV55" s="12"/>
      <c r="WVW55" s="12"/>
      <c r="WVX55" s="12"/>
      <c r="WVY55" s="12"/>
      <c r="WVZ55" s="12"/>
      <c r="WWA55" s="12"/>
      <c r="WWB55" s="12"/>
      <c r="WWC55" s="12"/>
      <c r="WWD55" s="12"/>
      <c r="WWE55" s="12"/>
      <c r="WWF55" s="12"/>
      <c r="WWG55" s="12"/>
      <c r="WWH55" s="12"/>
      <c r="WWI55" s="12"/>
      <c r="WWJ55" s="12"/>
      <c r="WWK55" s="12"/>
      <c r="WWL55" s="12"/>
      <c r="WWM55" s="12"/>
      <c r="WWN55" s="12"/>
      <c r="WWO55" s="12"/>
      <c r="WWP55" s="12"/>
      <c r="WWQ55" s="12"/>
      <c r="WWR55" s="12"/>
      <c r="WWS55" s="12"/>
      <c r="WWT55" s="12"/>
      <c r="WWU55" s="12"/>
      <c r="WWV55" s="12"/>
      <c r="WWW55" s="12"/>
      <c r="WWX55" s="12"/>
      <c r="WWY55" s="12"/>
      <c r="WWZ55" s="12"/>
      <c r="WXA55" s="12"/>
      <c r="WXB55" s="12"/>
      <c r="WXC55" s="12"/>
      <c r="WXD55" s="12"/>
      <c r="WXE55" s="12"/>
      <c r="WXF55" s="12"/>
      <c r="WXG55" s="12"/>
      <c r="WXH55" s="12"/>
      <c r="WXI55" s="12"/>
      <c r="WXJ55" s="12"/>
      <c r="WXK55" s="12"/>
      <c r="WXL55" s="12"/>
      <c r="WXM55" s="12"/>
      <c r="WXN55" s="12"/>
      <c r="WXO55" s="12"/>
      <c r="WXP55" s="12"/>
      <c r="WXQ55" s="12"/>
      <c r="WXR55" s="12"/>
      <c r="WXS55" s="12"/>
      <c r="WXT55" s="12"/>
      <c r="WXU55" s="12"/>
      <c r="WXV55" s="12"/>
      <c r="WXW55" s="12"/>
      <c r="WXX55" s="12"/>
      <c r="WXY55" s="12"/>
      <c r="WXZ55" s="12"/>
      <c r="WYA55" s="12"/>
      <c r="WYB55" s="12"/>
      <c r="WYC55" s="12"/>
      <c r="WYD55" s="12"/>
      <c r="WYE55" s="12"/>
      <c r="WYF55" s="12"/>
      <c r="WYG55" s="12"/>
      <c r="WYH55" s="12"/>
      <c r="WYI55" s="12"/>
      <c r="WYJ55" s="12"/>
      <c r="WYK55" s="12"/>
      <c r="WYL55" s="12"/>
      <c r="WYM55" s="12"/>
      <c r="WYN55" s="12"/>
      <c r="WYO55" s="12"/>
      <c r="WYP55" s="12"/>
      <c r="WYQ55" s="12"/>
      <c r="WYR55" s="12"/>
      <c r="WYS55" s="12"/>
      <c r="WYT55" s="12"/>
      <c r="WYU55" s="12"/>
      <c r="WYV55" s="12"/>
      <c r="WYW55" s="12"/>
      <c r="WYX55" s="12"/>
      <c r="WYY55" s="12"/>
      <c r="WYZ55" s="12"/>
      <c r="WZA55" s="12"/>
      <c r="WZB55" s="12"/>
      <c r="WZC55" s="12"/>
      <c r="WZD55" s="12"/>
      <c r="WZE55" s="12"/>
      <c r="WZF55" s="12"/>
      <c r="WZG55" s="12"/>
      <c r="WZH55" s="12"/>
      <c r="WZI55" s="12"/>
      <c r="WZJ55" s="12"/>
      <c r="WZK55" s="12"/>
      <c r="WZL55" s="12"/>
      <c r="WZM55" s="12"/>
      <c r="WZN55" s="12"/>
      <c r="WZO55" s="12"/>
      <c r="WZP55" s="12"/>
      <c r="WZQ55" s="12"/>
      <c r="WZR55" s="12"/>
      <c r="WZS55" s="12"/>
      <c r="WZT55" s="12"/>
      <c r="WZU55" s="12"/>
      <c r="WZV55" s="12"/>
      <c r="WZW55" s="12"/>
      <c r="WZX55" s="12"/>
      <c r="WZY55" s="12"/>
      <c r="WZZ55" s="12"/>
      <c r="XAA55" s="12"/>
      <c r="XAB55" s="12"/>
      <c r="XAC55" s="12"/>
      <c r="XAD55" s="12"/>
      <c r="XAE55" s="12"/>
      <c r="XAF55" s="12"/>
      <c r="XAG55" s="12"/>
      <c r="XAH55" s="12"/>
      <c r="XAI55" s="12"/>
      <c r="XAJ55" s="12"/>
      <c r="XAK55" s="12"/>
      <c r="XAL55" s="12"/>
      <c r="XAM55" s="12"/>
      <c r="XAN55" s="12"/>
      <c r="XAO55" s="12"/>
      <c r="XAP55" s="12"/>
      <c r="XAQ55" s="12"/>
      <c r="XAR55" s="12"/>
      <c r="XAS55" s="12"/>
      <c r="XAT55" s="12"/>
      <c r="XAU55" s="12"/>
      <c r="XAV55" s="12"/>
      <c r="XAW55" s="12"/>
      <c r="XAX55" s="12"/>
      <c r="XAY55" s="12"/>
      <c r="XAZ55" s="12"/>
      <c r="XBA55" s="12"/>
      <c r="XBB55" s="12"/>
      <c r="XBC55" s="12"/>
      <c r="XBD55" s="12"/>
      <c r="XBE55" s="12"/>
      <c r="XBF55" s="12"/>
      <c r="XBG55" s="12"/>
      <c r="XBH55" s="12"/>
      <c r="XBI55" s="12"/>
      <c r="XBJ55" s="12"/>
      <c r="XBK55" s="12"/>
      <c r="XBL55" s="12"/>
      <c r="XBM55" s="12"/>
      <c r="XBN55" s="12"/>
      <c r="XBO55" s="12"/>
      <c r="XBP55" s="12"/>
      <c r="XBQ55" s="12"/>
      <c r="XBR55" s="12"/>
      <c r="XBS55" s="12"/>
      <c r="XBT55" s="12"/>
      <c r="XBU55" s="12"/>
      <c r="XBV55" s="12"/>
      <c r="XBW55" s="12"/>
      <c r="XBX55" s="12"/>
      <c r="XBY55" s="12"/>
      <c r="XBZ55" s="12"/>
      <c r="XCA55" s="12"/>
      <c r="XCB55" s="12"/>
      <c r="XCC55" s="12"/>
      <c r="XCD55" s="12"/>
      <c r="XCE55" s="12"/>
      <c r="XCF55" s="12"/>
      <c r="XCG55" s="12"/>
      <c r="XCH55" s="12"/>
    </row>
    <row r="56" spans="1:16310" s="115" customFormat="1" ht="10.199999999999999" x14ac:dyDescent="0.2">
      <c r="A56" s="122">
        <v>1</v>
      </c>
      <c r="C56" s="123"/>
      <c r="D56" s="116" t="str">
        <f>IF(ISERROR(VLOOKUP('Оценка трудоемкости'!$C56,Справочники!S:V,3,0))=TRUE,"",VLOOKUP('Оценка трудоемкости'!$C56,Справочники!S:V,3,0))</f>
        <v/>
      </c>
      <c r="E56" s="116">
        <f>IF(ISERROR(VLOOKUP('Оценка трудоемкости'!$C56,Справочники!S:V,4,0))=TRUE,0,VLOOKUP('Оценка трудоемкости'!$C56,Справочники!S:V,4,0))</f>
        <v>0</v>
      </c>
      <c r="F56" s="127"/>
      <c r="G56" s="116">
        <f t="shared" si="207"/>
        <v>0</v>
      </c>
      <c r="H56" s="12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16">
        <f t="shared" si="208"/>
        <v>0</v>
      </c>
      <c r="V56" s="12"/>
      <c r="W56" s="124"/>
      <c r="X56" s="124"/>
      <c r="Y56" s="124"/>
      <c r="Z56" s="124"/>
      <c r="AA56" s="124"/>
      <c r="AB56" s="124"/>
      <c r="AC56" s="124"/>
      <c r="AD56" s="124"/>
      <c r="AE56" s="124"/>
      <c r="AF56" s="124"/>
      <c r="AG56" s="124"/>
      <c r="AH56" s="124"/>
      <c r="AI56" s="116">
        <f t="shared" si="209"/>
        <v>0</v>
      </c>
      <c r="AJ56" s="12"/>
      <c r="AK56" s="124"/>
      <c r="AL56" s="124"/>
      <c r="AM56" s="124"/>
      <c r="AN56" s="124"/>
      <c r="AO56" s="124"/>
      <c r="AP56" s="124"/>
      <c r="AQ56" s="124"/>
      <c r="AR56" s="124"/>
      <c r="AS56" s="124"/>
      <c r="AT56" s="124"/>
      <c r="AU56" s="124"/>
      <c r="AV56" s="124"/>
      <c r="AW56" s="116">
        <f t="shared" si="210"/>
        <v>0</v>
      </c>
      <c r="AX56" s="12"/>
      <c r="AY56" s="124"/>
      <c r="AZ56" s="124"/>
      <c r="BA56" s="124"/>
      <c r="BB56" s="124"/>
      <c r="BC56" s="124"/>
      <c r="BD56" s="124"/>
      <c r="BE56" s="124"/>
      <c r="BF56" s="124"/>
      <c r="BG56" s="124"/>
      <c r="BH56" s="124"/>
      <c r="BI56" s="124"/>
      <c r="BJ56" s="124"/>
      <c r="BK56" s="116">
        <f t="shared" si="211"/>
        <v>0</v>
      </c>
      <c r="BL56" s="12"/>
      <c r="BM56" s="124"/>
      <c r="BN56" s="124"/>
      <c r="BO56" s="124"/>
      <c r="BP56" s="124"/>
      <c r="BQ56" s="124"/>
      <c r="BR56" s="124"/>
      <c r="BS56" s="124"/>
      <c r="BT56" s="124"/>
      <c r="BU56" s="124"/>
      <c r="BV56" s="124"/>
      <c r="BW56" s="124"/>
      <c r="BX56" s="124"/>
      <c r="BY56" s="116">
        <f t="shared" si="212"/>
        <v>0</v>
      </c>
      <c r="BZ56" s="12"/>
      <c r="CA56" s="200">
        <f t="shared" si="213"/>
        <v>0</v>
      </c>
      <c r="CB56" s="12"/>
      <c r="CC56" s="118">
        <f t="shared" si="147"/>
        <v>0</v>
      </c>
      <c r="CD56" s="118">
        <f t="shared" si="148"/>
        <v>0</v>
      </c>
      <c r="CE56" s="118">
        <f t="shared" si="149"/>
        <v>0</v>
      </c>
      <c r="CF56" s="118">
        <f t="shared" si="150"/>
        <v>0</v>
      </c>
      <c r="CG56" s="118">
        <f t="shared" si="151"/>
        <v>0</v>
      </c>
      <c r="CH56" s="118">
        <f t="shared" si="152"/>
        <v>0</v>
      </c>
      <c r="CI56" s="118">
        <f t="shared" si="153"/>
        <v>0</v>
      </c>
      <c r="CJ56" s="118">
        <f t="shared" si="154"/>
        <v>0</v>
      </c>
      <c r="CK56" s="118">
        <f t="shared" si="155"/>
        <v>0</v>
      </c>
      <c r="CL56" s="118">
        <f t="shared" si="156"/>
        <v>0</v>
      </c>
      <c r="CM56" s="118">
        <f t="shared" si="157"/>
        <v>0</v>
      </c>
      <c r="CN56" s="118">
        <f t="shared" si="158"/>
        <v>0</v>
      </c>
      <c r="CO56" s="41">
        <f t="shared" si="219"/>
        <v>0</v>
      </c>
      <c r="CP56" s="12"/>
      <c r="CQ56" s="118">
        <f t="shared" si="159"/>
        <v>0</v>
      </c>
      <c r="CR56" s="118">
        <f t="shared" si="160"/>
        <v>0</v>
      </c>
      <c r="CS56" s="118">
        <f t="shared" si="161"/>
        <v>0</v>
      </c>
      <c r="CT56" s="118">
        <f t="shared" si="162"/>
        <v>0</v>
      </c>
      <c r="CU56" s="118">
        <f t="shared" si="163"/>
        <v>0</v>
      </c>
      <c r="CV56" s="118">
        <f t="shared" si="164"/>
        <v>0</v>
      </c>
      <c r="CW56" s="118">
        <f t="shared" si="165"/>
        <v>0</v>
      </c>
      <c r="CX56" s="118">
        <f t="shared" si="166"/>
        <v>0</v>
      </c>
      <c r="CY56" s="118">
        <f t="shared" si="167"/>
        <v>0</v>
      </c>
      <c r="CZ56" s="118">
        <f t="shared" si="168"/>
        <v>0</v>
      </c>
      <c r="DA56" s="118">
        <f t="shared" si="169"/>
        <v>0</v>
      </c>
      <c r="DB56" s="118">
        <f t="shared" si="170"/>
        <v>0</v>
      </c>
      <c r="DC56" s="41">
        <f t="shared" si="220"/>
        <v>0</v>
      </c>
      <c r="DD56" s="12"/>
      <c r="DE56" s="118">
        <f t="shared" si="171"/>
        <v>0</v>
      </c>
      <c r="DF56" s="118">
        <f t="shared" si="172"/>
        <v>0</v>
      </c>
      <c r="DG56" s="118">
        <f t="shared" si="173"/>
        <v>0</v>
      </c>
      <c r="DH56" s="118">
        <f t="shared" si="174"/>
        <v>0</v>
      </c>
      <c r="DI56" s="118">
        <f t="shared" si="175"/>
        <v>0</v>
      </c>
      <c r="DJ56" s="118">
        <f t="shared" si="176"/>
        <v>0</v>
      </c>
      <c r="DK56" s="118">
        <f t="shared" si="177"/>
        <v>0</v>
      </c>
      <c r="DL56" s="118">
        <f t="shared" si="178"/>
        <v>0</v>
      </c>
      <c r="DM56" s="118">
        <f t="shared" si="179"/>
        <v>0</v>
      </c>
      <c r="DN56" s="118">
        <f t="shared" si="180"/>
        <v>0</v>
      </c>
      <c r="DO56" s="118">
        <f t="shared" si="181"/>
        <v>0</v>
      </c>
      <c r="DP56" s="118">
        <f t="shared" si="182"/>
        <v>0</v>
      </c>
      <c r="DQ56" s="41">
        <f t="shared" si="221"/>
        <v>0</v>
      </c>
      <c r="DR56" s="12"/>
      <c r="DS56" s="118">
        <f t="shared" si="183"/>
        <v>0</v>
      </c>
      <c r="DT56" s="118">
        <f t="shared" si="184"/>
        <v>0</v>
      </c>
      <c r="DU56" s="118">
        <f t="shared" si="185"/>
        <v>0</v>
      </c>
      <c r="DV56" s="118">
        <f t="shared" si="186"/>
        <v>0</v>
      </c>
      <c r="DW56" s="118">
        <f t="shared" si="187"/>
        <v>0</v>
      </c>
      <c r="DX56" s="118">
        <f t="shared" si="188"/>
        <v>0</v>
      </c>
      <c r="DY56" s="118">
        <f t="shared" si="189"/>
        <v>0</v>
      </c>
      <c r="DZ56" s="118">
        <f t="shared" si="190"/>
        <v>0</v>
      </c>
      <c r="EA56" s="118">
        <f t="shared" si="191"/>
        <v>0</v>
      </c>
      <c r="EB56" s="118">
        <f t="shared" si="192"/>
        <v>0</v>
      </c>
      <c r="EC56" s="118">
        <f t="shared" si="193"/>
        <v>0</v>
      </c>
      <c r="ED56" s="118">
        <f t="shared" si="194"/>
        <v>0</v>
      </c>
      <c r="EE56" s="41">
        <f t="shared" si="222"/>
        <v>0</v>
      </c>
      <c r="EF56" s="12"/>
      <c r="EG56" s="118">
        <f t="shared" si="195"/>
        <v>0</v>
      </c>
      <c r="EH56" s="118">
        <f t="shared" si="196"/>
        <v>0</v>
      </c>
      <c r="EI56" s="118">
        <f t="shared" si="197"/>
        <v>0</v>
      </c>
      <c r="EJ56" s="118">
        <f t="shared" si="198"/>
        <v>0</v>
      </c>
      <c r="EK56" s="118">
        <f t="shared" si="199"/>
        <v>0</v>
      </c>
      <c r="EL56" s="118">
        <f t="shared" si="200"/>
        <v>0</v>
      </c>
      <c r="EM56" s="118">
        <f t="shared" si="201"/>
        <v>0</v>
      </c>
      <c r="EN56" s="118">
        <f t="shared" si="202"/>
        <v>0</v>
      </c>
      <c r="EO56" s="118">
        <f t="shared" si="203"/>
        <v>0</v>
      </c>
      <c r="EP56" s="118">
        <f t="shared" si="204"/>
        <v>0</v>
      </c>
      <c r="EQ56" s="118">
        <f t="shared" si="205"/>
        <v>0</v>
      </c>
      <c r="ER56" s="118">
        <f t="shared" si="206"/>
        <v>0</v>
      </c>
      <c r="ES56" s="41">
        <f t="shared" si="223"/>
        <v>0</v>
      </c>
      <c r="ET56" s="12"/>
      <c r="EU56" s="12"/>
      <c r="EV56" s="12"/>
      <c r="EW56" s="12"/>
      <c r="EX56" s="12"/>
      <c r="EY56" s="12"/>
      <c r="EZ56" s="12"/>
      <c r="FA56" s="12"/>
      <c r="FB56" s="12"/>
      <c r="FC56" s="12"/>
      <c r="FD56" s="12"/>
      <c r="FE56" s="12"/>
      <c r="FF56" s="12"/>
      <c r="FG56" s="12"/>
      <c r="FH56" s="12"/>
      <c r="FI56" s="12"/>
      <c r="FJ56" s="12"/>
      <c r="FK56" s="12"/>
      <c r="FL56" s="12"/>
      <c r="FM56" s="12"/>
      <c r="FN56" s="12"/>
      <c r="FO56" s="12"/>
      <c r="FP56" s="12"/>
      <c r="FQ56" s="12"/>
      <c r="FR56" s="12"/>
      <c r="FS56" s="12"/>
      <c r="FT56" s="12"/>
      <c r="FU56" s="12"/>
      <c r="FV56" s="12"/>
      <c r="FW56" s="12"/>
      <c r="FX56" s="12"/>
      <c r="FY56" s="12"/>
      <c r="FZ56" s="12"/>
      <c r="GA56" s="12"/>
      <c r="GB56" s="12"/>
      <c r="GC56" s="12"/>
      <c r="GD56" s="12"/>
      <c r="GE56" s="12"/>
      <c r="GF56" s="12"/>
      <c r="GG56" s="12"/>
      <c r="GH56" s="12"/>
      <c r="GI56" s="12"/>
      <c r="GJ56" s="12"/>
      <c r="GK56" s="12"/>
      <c r="GL56" s="12"/>
      <c r="GM56" s="12"/>
      <c r="GN56" s="12"/>
      <c r="GO56" s="12"/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GZ56" s="12"/>
      <c r="HA56" s="12"/>
      <c r="HB56" s="12"/>
      <c r="HC56" s="12"/>
      <c r="HD56" s="12"/>
      <c r="HE56" s="12"/>
      <c r="HF56" s="12"/>
      <c r="HG56" s="12"/>
      <c r="HH56" s="12"/>
      <c r="HI56" s="12"/>
      <c r="HJ56" s="12"/>
      <c r="HK56" s="12"/>
      <c r="HL56" s="12"/>
      <c r="HM56" s="12"/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/>
      <c r="HZ56" s="12"/>
      <c r="IA56" s="12"/>
      <c r="IB56" s="12"/>
      <c r="IC56" s="12"/>
      <c r="ID56" s="12"/>
      <c r="IE56" s="12"/>
      <c r="IF56" s="12"/>
      <c r="IG56" s="12"/>
      <c r="IH56" s="12"/>
      <c r="II56" s="12"/>
      <c r="IJ56" s="12"/>
      <c r="IK56" s="12"/>
      <c r="IL56" s="12"/>
      <c r="IM56" s="12"/>
      <c r="IN56" s="12"/>
      <c r="IO56" s="12"/>
      <c r="IP56" s="12"/>
      <c r="IQ56" s="12"/>
      <c r="IR56" s="12"/>
      <c r="IS56" s="12"/>
      <c r="IT56" s="12"/>
      <c r="IU56" s="12"/>
      <c r="IV56" s="12"/>
      <c r="IW56" s="12"/>
      <c r="IX56" s="12"/>
      <c r="IY56" s="12"/>
      <c r="IZ56" s="12"/>
      <c r="JA56" s="12"/>
      <c r="JB56" s="12"/>
      <c r="JC56" s="12"/>
      <c r="JD56" s="12"/>
      <c r="JE56" s="12"/>
      <c r="JF56" s="12"/>
      <c r="JG56" s="12"/>
      <c r="JH56" s="12"/>
      <c r="JI56" s="12"/>
      <c r="JJ56" s="12"/>
      <c r="JK56" s="12"/>
      <c r="JL56" s="12"/>
      <c r="JM56" s="12"/>
      <c r="JN56" s="12"/>
      <c r="JO56" s="12"/>
      <c r="JP56" s="12"/>
      <c r="JQ56" s="12"/>
      <c r="JR56" s="12"/>
      <c r="JS56" s="12"/>
      <c r="JT56" s="12"/>
      <c r="JU56" s="12"/>
      <c r="JV56" s="12"/>
      <c r="JW56" s="12"/>
      <c r="JX56" s="12"/>
      <c r="JY56" s="12"/>
      <c r="JZ56" s="12"/>
      <c r="KA56" s="12"/>
      <c r="KB56" s="12"/>
      <c r="KC56" s="12"/>
      <c r="KD56" s="12"/>
      <c r="KE56" s="12"/>
      <c r="KF56" s="12"/>
      <c r="KG56" s="12"/>
      <c r="KH56" s="12"/>
      <c r="KI56" s="12"/>
      <c r="KJ56" s="12"/>
      <c r="KK56" s="12"/>
      <c r="KL56" s="12"/>
      <c r="KM56" s="12"/>
      <c r="KN56" s="12"/>
      <c r="KO56" s="12"/>
      <c r="KP56" s="12"/>
      <c r="KQ56" s="12"/>
      <c r="KR56" s="12"/>
      <c r="KS56" s="12"/>
      <c r="KT56" s="12"/>
      <c r="KU56" s="12"/>
      <c r="KV56" s="12"/>
      <c r="KW56" s="12"/>
      <c r="KX56" s="12"/>
      <c r="KY56" s="12"/>
      <c r="KZ56" s="12"/>
      <c r="LA56" s="12"/>
      <c r="LB56" s="12"/>
      <c r="LC56" s="12"/>
      <c r="LD56" s="12"/>
      <c r="LE56" s="12"/>
      <c r="LF56" s="12"/>
      <c r="LG56" s="12"/>
      <c r="LH56" s="12"/>
      <c r="LI56" s="12"/>
      <c r="LJ56" s="12"/>
      <c r="LK56" s="12"/>
      <c r="LL56" s="12"/>
      <c r="LM56" s="12"/>
      <c r="LN56" s="12"/>
      <c r="LO56" s="12"/>
      <c r="LP56" s="12"/>
      <c r="LQ56" s="12"/>
      <c r="LR56" s="12"/>
      <c r="LS56" s="12"/>
      <c r="LT56" s="12"/>
      <c r="LU56" s="12"/>
      <c r="LV56" s="12"/>
      <c r="LW56" s="12"/>
      <c r="LX56" s="12"/>
      <c r="LY56" s="12"/>
      <c r="LZ56" s="12"/>
      <c r="MA56" s="12"/>
      <c r="MB56" s="12"/>
      <c r="MC56" s="12"/>
      <c r="MD56" s="12"/>
      <c r="ME56" s="12"/>
      <c r="MF56" s="12"/>
      <c r="MG56" s="12"/>
      <c r="MH56" s="12"/>
      <c r="MI56" s="12"/>
      <c r="MJ56" s="12"/>
      <c r="MK56" s="12"/>
      <c r="ML56" s="12"/>
      <c r="MM56" s="12"/>
      <c r="MN56" s="12"/>
      <c r="MO56" s="12"/>
      <c r="MP56" s="12"/>
      <c r="MQ56" s="12"/>
      <c r="MR56" s="12"/>
      <c r="MS56" s="12"/>
      <c r="MT56" s="12"/>
      <c r="MU56" s="12"/>
      <c r="MV56" s="12"/>
      <c r="MW56" s="12"/>
      <c r="MX56" s="12"/>
      <c r="MY56" s="12"/>
      <c r="MZ56" s="12"/>
      <c r="NA56" s="12"/>
      <c r="NB56" s="12"/>
      <c r="NC56" s="12"/>
      <c r="ND56" s="12"/>
      <c r="NE56" s="12"/>
      <c r="NF56" s="12"/>
      <c r="NG56" s="12"/>
      <c r="NH56" s="12"/>
      <c r="NI56" s="12"/>
      <c r="NJ56" s="12"/>
      <c r="NK56" s="12"/>
      <c r="NL56" s="12"/>
      <c r="NM56" s="12"/>
      <c r="NN56" s="12"/>
      <c r="NO56" s="12"/>
      <c r="NP56" s="12"/>
      <c r="NQ56" s="12"/>
      <c r="NR56" s="12"/>
      <c r="NS56" s="12"/>
      <c r="NT56" s="12"/>
      <c r="NU56" s="12"/>
      <c r="NV56" s="12"/>
      <c r="NW56" s="12"/>
      <c r="NX56" s="12"/>
      <c r="NY56" s="12"/>
      <c r="NZ56" s="12"/>
      <c r="OA56" s="12"/>
      <c r="OB56" s="12"/>
      <c r="OC56" s="12"/>
      <c r="OD56" s="12"/>
      <c r="OE56" s="12"/>
      <c r="OF56" s="12"/>
      <c r="OG56" s="12"/>
      <c r="OH56" s="12"/>
      <c r="OI56" s="12"/>
      <c r="OJ56" s="12"/>
      <c r="OK56" s="12"/>
      <c r="OL56" s="12"/>
      <c r="OM56" s="12"/>
      <c r="ON56" s="12"/>
      <c r="OO56" s="12"/>
      <c r="OP56" s="12"/>
      <c r="OQ56" s="12"/>
      <c r="OR56" s="12"/>
      <c r="OS56" s="12"/>
      <c r="OT56" s="12"/>
      <c r="OU56" s="12"/>
      <c r="OV56" s="12"/>
      <c r="OW56" s="12"/>
      <c r="OX56" s="12"/>
      <c r="OY56" s="12"/>
      <c r="OZ56" s="12"/>
      <c r="PA56" s="12"/>
      <c r="PB56" s="12"/>
      <c r="PC56" s="12"/>
      <c r="PD56" s="12"/>
      <c r="PE56" s="12"/>
      <c r="PF56" s="12"/>
      <c r="PG56" s="12"/>
      <c r="PH56" s="12"/>
      <c r="PI56" s="12"/>
      <c r="PJ56" s="12"/>
      <c r="PK56" s="12"/>
      <c r="PL56" s="12"/>
      <c r="PM56" s="12"/>
      <c r="PN56" s="12"/>
      <c r="PO56" s="12"/>
      <c r="PP56" s="12"/>
      <c r="PQ56" s="12"/>
      <c r="PR56" s="12"/>
      <c r="PS56" s="12"/>
      <c r="PT56" s="12"/>
      <c r="PU56" s="12"/>
      <c r="PV56" s="12"/>
      <c r="PW56" s="12"/>
      <c r="PX56" s="12"/>
      <c r="PY56" s="12"/>
      <c r="PZ56" s="12"/>
      <c r="QA56" s="12"/>
      <c r="QB56" s="12"/>
      <c r="QC56" s="12"/>
      <c r="QD56" s="12"/>
      <c r="QE56" s="12"/>
      <c r="QF56" s="12"/>
      <c r="QG56" s="12"/>
      <c r="QH56" s="12"/>
      <c r="QI56" s="12"/>
      <c r="QJ56" s="12"/>
      <c r="QK56" s="12"/>
      <c r="QL56" s="12"/>
      <c r="QM56" s="12"/>
      <c r="QN56" s="12"/>
      <c r="QO56" s="12"/>
      <c r="QP56" s="12"/>
      <c r="QQ56" s="12"/>
      <c r="QR56" s="12"/>
      <c r="QS56" s="12"/>
      <c r="QT56" s="12"/>
      <c r="QU56" s="12"/>
      <c r="QV56" s="12"/>
      <c r="QW56" s="12"/>
      <c r="QX56" s="12"/>
      <c r="QY56" s="12"/>
      <c r="QZ56" s="12"/>
      <c r="RA56" s="12"/>
      <c r="RB56" s="12"/>
      <c r="RC56" s="12"/>
      <c r="RD56" s="12"/>
      <c r="RE56" s="12"/>
      <c r="RF56" s="12"/>
      <c r="RG56" s="12"/>
      <c r="RH56" s="12"/>
      <c r="RI56" s="12"/>
      <c r="RJ56" s="12"/>
      <c r="RK56" s="12"/>
      <c r="RL56" s="12"/>
      <c r="RM56" s="12"/>
      <c r="RN56" s="12"/>
      <c r="RO56" s="12"/>
      <c r="RP56" s="12"/>
      <c r="RQ56" s="12"/>
      <c r="RR56" s="12"/>
      <c r="RS56" s="12"/>
      <c r="RT56" s="12"/>
      <c r="RU56" s="12"/>
      <c r="RV56" s="12"/>
      <c r="RW56" s="12"/>
      <c r="RX56" s="12"/>
      <c r="RY56" s="12"/>
      <c r="RZ56" s="12"/>
      <c r="SA56" s="12"/>
      <c r="SB56" s="12"/>
      <c r="SC56" s="12"/>
      <c r="SD56" s="12"/>
      <c r="SE56" s="12"/>
      <c r="SF56" s="12"/>
      <c r="SG56" s="12"/>
      <c r="SH56" s="12"/>
      <c r="SI56" s="12"/>
      <c r="SJ56" s="12"/>
      <c r="SK56" s="12"/>
      <c r="SL56" s="12"/>
      <c r="SM56" s="12"/>
      <c r="SN56" s="12"/>
      <c r="SO56" s="12"/>
      <c r="SP56" s="12"/>
      <c r="SQ56" s="12"/>
      <c r="SR56" s="12"/>
      <c r="SS56" s="12"/>
      <c r="ST56" s="12"/>
      <c r="SU56" s="12"/>
      <c r="SV56" s="12"/>
      <c r="SW56" s="12"/>
      <c r="SX56" s="12"/>
      <c r="SY56" s="12"/>
      <c r="SZ56" s="12"/>
      <c r="TA56" s="12"/>
      <c r="TB56" s="12"/>
      <c r="TC56" s="12"/>
      <c r="TD56" s="12"/>
      <c r="TE56" s="12"/>
      <c r="TF56" s="12"/>
      <c r="TG56" s="12"/>
      <c r="TH56" s="12"/>
      <c r="TI56" s="12"/>
      <c r="TJ56" s="12"/>
      <c r="TK56" s="12"/>
      <c r="TL56" s="12"/>
      <c r="TM56" s="12"/>
      <c r="TN56" s="12"/>
      <c r="TO56" s="12"/>
      <c r="TP56" s="12"/>
      <c r="TQ56" s="12"/>
      <c r="TR56" s="12"/>
      <c r="TS56" s="12"/>
      <c r="TT56" s="12"/>
      <c r="TU56" s="12"/>
      <c r="TV56" s="12"/>
      <c r="TW56" s="12"/>
      <c r="TX56" s="12"/>
      <c r="TY56" s="12"/>
      <c r="TZ56" s="12"/>
      <c r="UA56" s="12"/>
      <c r="UB56" s="12"/>
      <c r="UC56" s="12"/>
      <c r="UD56" s="12"/>
      <c r="UE56" s="12"/>
      <c r="UF56" s="12"/>
      <c r="UG56" s="12"/>
      <c r="UH56" s="12"/>
      <c r="UI56" s="12"/>
      <c r="UJ56" s="12"/>
      <c r="UK56" s="12"/>
      <c r="UL56" s="12"/>
      <c r="UM56" s="12"/>
      <c r="UN56" s="12"/>
      <c r="UO56" s="12"/>
      <c r="UP56" s="12"/>
      <c r="UQ56" s="12"/>
      <c r="UR56" s="12"/>
      <c r="US56" s="12"/>
      <c r="UT56" s="12"/>
      <c r="UU56" s="12"/>
      <c r="UV56" s="12"/>
      <c r="UW56" s="12"/>
      <c r="UX56" s="12"/>
      <c r="UY56" s="12"/>
      <c r="UZ56" s="12"/>
      <c r="VA56" s="12"/>
      <c r="VB56" s="12"/>
      <c r="VC56" s="12"/>
      <c r="VD56" s="12"/>
      <c r="VE56" s="12"/>
      <c r="VF56" s="12"/>
      <c r="VG56" s="12"/>
      <c r="VH56" s="12"/>
      <c r="VI56" s="12"/>
      <c r="VJ56" s="12"/>
      <c r="VK56" s="12"/>
      <c r="VL56" s="12"/>
      <c r="VM56" s="12"/>
      <c r="VN56" s="12"/>
      <c r="VO56" s="12"/>
      <c r="VP56" s="12"/>
      <c r="VQ56" s="12"/>
      <c r="VR56" s="12"/>
      <c r="VS56" s="12"/>
      <c r="VT56" s="12"/>
      <c r="VU56" s="12"/>
      <c r="VV56" s="12"/>
      <c r="VW56" s="12"/>
      <c r="VX56" s="12"/>
      <c r="VY56" s="12"/>
      <c r="VZ56" s="12"/>
      <c r="WA56" s="12"/>
      <c r="WB56" s="12"/>
      <c r="WC56" s="12"/>
      <c r="WD56" s="12"/>
      <c r="WE56" s="12"/>
      <c r="WF56" s="12"/>
      <c r="WG56" s="12"/>
      <c r="WH56" s="12"/>
      <c r="WI56" s="12"/>
      <c r="WJ56" s="12"/>
      <c r="WK56" s="12"/>
      <c r="WL56" s="12"/>
      <c r="WM56" s="12"/>
      <c r="WN56" s="12"/>
      <c r="WO56" s="12"/>
      <c r="WP56" s="12"/>
      <c r="WQ56" s="12"/>
      <c r="WR56" s="12"/>
      <c r="WS56" s="12"/>
      <c r="WT56" s="12"/>
      <c r="WU56" s="12"/>
      <c r="WV56" s="12"/>
      <c r="WW56" s="12"/>
      <c r="WX56" s="12"/>
      <c r="WY56" s="12"/>
      <c r="WZ56" s="12"/>
      <c r="XA56" s="12"/>
      <c r="XB56" s="12"/>
      <c r="XC56" s="12"/>
      <c r="XD56" s="12"/>
      <c r="XE56" s="12"/>
      <c r="XF56" s="12"/>
      <c r="XG56" s="12"/>
      <c r="XH56" s="12"/>
      <c r="XI56" s="12"/>
      <c r="XJ56" s="12"/>
      <c r="XK56" s="12"/>
      <c r="XL56" s="12"/>
      <c r="XM56" s="12"/>
      <c r="XN56" s="12"/>
      <c r="XO56" s="12"/>
      <c r="XP56" s="12"/>
      <c r="XQ56" s="12"/>
      <c r="XR56" s="12"/>
      <c r="XS56" s="12"/>
      <c r="XT56" s="12"/>
      <c r="XU56" s="12"/>
      <c r="XV56" s="12"/>
      <c r="XW56" s="12"/>
      <c r="XX56" s="12"/>
      <c r="XY56" s="12"/>
      <c r="XZ56" s="12"/>
      <c r="YA56" s="12"/>
      <c r="YB56" s="12"/>
      <c r="YC56" s="12"/>
      <c r="YD56" s="12"/>
      <c r="YE56" s="12"/>
      <c r="YF56" s="12"/>
      <c r="YG56" s="12"/>
      <c r="YH56" s="12"/>
      <c r="YI56" s="12"/>
      <c r="YJ56" s="12"/>
      <c r="YK56" s="12"/>
      <c r="YL56" s="12"/>
      <c r="YM56" s="12"/>
      <c r="YN56" s="12"/>
      <c r="YO56" s="12"/>
      <c r="YP56" s="12"/>
      <c r="YQ56" s="12"/>
      <c r="YR56" s="12"/>
      <c r="YS56" s="12"/>
      <c r="YT56" s="12"/>
      <c r="YU56" s="12"/>
      <c r="YV56" s="12"/>
      <c r="YW56" s="12"/>
      <c r="YX56" s="12"/>
      <c r="YY56" s="12"/>
      <c r="YZ56" s="12"/>
      <c r="ZA56" s="12"/>
      <c r="ZB56" s="12"/>
      <c r="ZC56" s="12"/>
      <c r="ZD56" s="12"/>
      <c r="ZE56" s="12"/>
      <c r="ZF56" s="12"/>
      <c r="ZG56" s="12"/>
      <c r="ZH56" s="12"/>
      <c r="ZI56" s="12"/>
      <c r="ZJ56" s="12"/>
      <c r="ZK56" s="12"/>
      <c r="ZL56" s="12"/>
      <c r="ZM56" s="12"/>
      <c r="ZN56" s="12"/>
      <c r="ZO56" s="12"/>
      <c r="ZP56" s="12"/>
      <c r="ZQ56" s="12"/>
      <c r="ZR56" s="12"/>
      <c r="ZS56" s="12"/>
      <c r="ZT56" s="12"/>
      <c r="ZU56" s="12"/>
      <c r="ZV56" s="12"/>
      <c r="ZW56" s="12"/>
      <c r="ZX56" s="12"/>
      <c r="ZY56" s="12"/>
      <c r="ZZ56" s="12"/>
      <c r="AAA56" s="12"/>
      <c r="AAB56" s="12"/>
      <c r="AAC56" s="12"/>
      <c r="AAD56" s="12"/>
      <c r="AAE56" s="12"/>
      <c r="AAF56" s="12"/>
      <c r="AAG56" s="12"/>
      <c r="AAH56" s="12"/>
      <c r="AAI56" s="12"/>
      <c r="AAJ56" s="12"/>
      <c r="AAK56" s="12"/>
      <c r="AAL56" s="12"/>
      <c r="AAM56" s="12"/>
      <c r="AAN56" s="12"/>
      <c r="AAO56" s="12"/>
      <c r="AAP56" s="12"/>
      <c r="AAQ56" s="12"/>
      <c r="AAR56" s="12"/>
      <c r="AAS56" s="12"/>
      <c r="AAT56" s="12"/>
      <c r="AAU56" s="12"/>
      <c r="AAV56" s="12"/>
      <c r="AAW56" s="12"/>
      <c r="AAX56" s="12"/>
      <c r="AAY56" s="12"/>
      <c r="AAZ56" s="12"/>
      <c r="ABA56" s="12"/>
      <c r="ABB56" s="12"/>
      <c r="ABC56" s="12"/>
      <c r="ABD56" s="12"/>
      <c r="ABE56" s="12"/>
      <c r="ABF56" s="12"/>
      <c r="ABG56" s="12"/>
      <c r="ABH56" s="12"/>
      <c r="ABI56" s="12"/>
      <c r="ABJ56" s="12"/>
      <c r="ABK56" s="12"/>
      <c r="ABL56" s="12"/>
      <c r="ABM56" s="12"/>
      <c r="ABN56" s="12"/>
      <c r="ABO56" s="12"/>
      <c r="ABP56" s="12"/>
      <c r="ABQ56" s="12"/>
      <c r="ABR56" s="12"/>
      <c r="ABS56" s="12"/>
      <c r="ABT56" s="12"/>
      <c r="ABU56" s="12"/>
      <c r="ABV56" s="12"/>
      <c r="ABW56" s="12"/>
      <c r="ABX56" s="12"/>
      <c r="ABY56" s="12"/>
      <c r="ABZ56" s="12"/>
      <c r="ACA56" s="12"/>
      <c r="ACB56" s="12"/>
      <c r="ACC56" s="12"/>
      <c r="ACD56" s="12"/>
      <c r="ACE56" s="12"/>
      <c r="ACF56" s="12"/>
      <c r="ACG56" s="12"/>
      <c r="ACH56" s="12"/>
      <c r="ACI56" s="12"/>
      <c r="ACJ56" s="12"/>
      <c r="ACK56" s="12"/>
      <c r="ACL56" s="12"/>
      <c r="ACM56" s="12"/>
      <c r="ACN56" s="12"/>
      <c r="ACO56" s="12"/>
      <c r="ACP56" s="12"/>
      <c r="ACQ56" s="12"/>
      <c r="ACR56" s="12"/>
      <c r="ACS56" s="12"/>
      <c r="ACT56" s="12"/>
      <c r="ACU56" s="12"/>
      <c r="ACV56" s="12"/>
      <c r="ACW56" s="12"/>
      <c r="ACX56" s="12"/>
      <c r="ACY56" s="12"/>
      <c r="ACZ56" s="12"/>
      <c r="ADA56" s="12"/>
      <c r="ADB56" s="12"/>
      <c r="ADC56" s="12"/>
      <c r="ADD56" s="12"/>
      <c r="ADE56" s="12"/>
      <c r="ADF56" s="12"/>
      <c r="ADG56" s="12"/>
      <c r="ADH56" s="12"/>
      <c r="ADI56" s="12"/>
      <c r="ADJ56" s="12"/>
      <c r="ADK56" s="12"/>
      <c r="ADL56" s="12"/>
      <c r="ADM56" s="12"/>
      <c r="ADN56" s="12"/>
      <c r="ADO56" s="12"/>
      <c r="ADP56" s="12"/>
      <c r="ADQ56" s="12"/>
      <c r="ADR56" s="12"/>
      <c r="ADS56" s="12"/>
      <c r="ADT56" s="12"/>
      <c r="ADU56" s="12"/>
      <c r="ADV56" s="12"/>
      <c r="ADW56" s="12"/>
      <c r="ADX56" s="12"/>
      <c r="ADY56" s="12"/>
      <c r="ADZ56" s="12"/>
      <c r="AEA56" s="12"/>
      <c r="AEB56" s="12"/>
      <c r="AEC56" s="12"/>
      <c r="AED56" s="12"/>
      <c r="AEE56" s="12"/>
      <c r="AEF56" s="12"/>
      <c r="AEG56" s="12"/>
      <c r="AEH56" s="12"/>
      <c r="AEI56" s="12"/>
      <c r="AEJ56" s="12"/>
      <c r="AEK56" s="12"/>
      <c r="AEL56" s="12"/>
      <c r="AEM56" s="12"/>
      <c r="AEN56" s="12"/>
      <c r="AEO56" s="12"/>
      <c r="AEP56" s="12"/>
      <c r="AEQ56" s="12"/>
      <c r="AER56" s="12"/>
      <c r="AES56" s="12"/>
      <c r="AET56" s="12"/>
      <c r="AEU56" s="12"/>
      <c r="AEV56" s="12"/>
      <c r="AEW56" s="12"/>
      <c r="AEX56" s="12"/>
      <c r="AEY56" s="12"/>
      <c r="AEZ56" s="12"/>
      <c r="AFA56" s="12"/>
      <c r="AFB56" s="12"/>
      <c r="AFC56" s="12"/>
      <c r="AFD56" s="12"/>
      <c r="AFE56" s="12"/>
      <c r="AFF56" s="12"/>
      <c r="AFG56" s="12"/>
      <c r="AFH56" s="12"/>
      <c r="AFI56" s="12"/>
      <c r="AFJ56" s="12"/>
      <c r="AFK56" s="12"/>
      <c r="AFL56" s="12"/>
      <c r="AFM56" s="12"/>
      <c r="AFN56" s="12"/>
      <c r="AFO56" s="12"/>
      <c r="AFP56" s="12"/>
      <c r="AFQ56" s="12"/>
      <c r="AFR56" s="12"/>
      <c r="AFS56" s="12"/>
      <c r="AFT56" s="12"/>
      <c r="AFU56" s="12"/>
      <c r="AFV56" s="12"/>
      <c r="AFW56" s="12"/>
      <c r="AFX56" s="12"/>
      <c r="AFY56" s="12"/>
      <c r="AFZ56" s="12"/>
      <c r="AGA56" s="12"/>
      <c r="AGB56" s="12"/>
      <c r="AGC56" s="12"/>
      <c r="AGD56" s="12"/>
      <c r="AGE56" s="12"/>
      <c r="AGF56" s="12"/>
      <c r="AGG56" s="12"/>
      <c r="AGH56" s="12"/>
      <c r="AGI56" s="12"/>
      <c r="AGJ56" s="12"/>
      <c r="AGK56" s="12"/>
      <c r="AGL56" s="12"/>
      <c r="AGM56" s="12"/>
      <c r="AGN56" s="12"/>
      <c r="AGO56" s="12"/>
      <c r="AGP56" s="12"/>
      <c r="AGQ56" s="12"/>
      <c r="AGR56" s="12"/>
      <c r="AGS56" s="12"/>
      <c r="AGT56" s="12"/>
      <c r="AGU56" s="12"/>
      <c r="AGV56" s="12"/>
      <c r="AGW56" s="12"/>
      <c r="AGX56" s="12"/>
      <c r="AGY56" s="12"/>
      <c r="AGZ56" s="12"/>
      <c r="AHA56" s="12"/>
      <c r="AHB56" s="12"/>
      <c r="AHC56" s="12"/>
      <c r="AHD56" s="12"/>
      <c r="AHE56" s="12"/>
      <c r="AHF56" s="12"/>
      <c r="AHG56" s="12"/>
      <c r="AHH56" s="12"/>
      <c r="AHI56" s="12"/>
      <c r="AHJ56" s="12"/>
      <c r="AHK56" s="12"/>
      <c r="AHL56" s="12"/>
      <c r="AHM56" s="12"/>
      <c r="AHN56" s="12"/>
      <c r="AHO56" s="12"/>
      <c r="AHP56" s="12"/>
      <c r="AHQ56" s="12"/>
      <c r="AHR56" s="12"/>
      <c r="AHS56" s="12"/>
      <c r="AHT56" s="12"/>
      <c r="AHU56" s="12"/>
      <c r="AHV56" s="12"/>
      <c r="AHW56" s="12"/>
      <c r="AHX56" s="12"/>
      <c r="AHY56" s="12"/>
      <c r="AHZ56" s="12"/>
      <c r="AIA56" s="12"/>
      <c r="AIB56" s="12"/>
      <c r="AIC56" s="12"/>
      <c r="AID56" s="12"/>
      <c r="AIE56" s="12"/>
      <c r="AIF56" s="12"/>
      <c r="AIG56" s="12"/>
      <c r="AIH56" s="12"/>
      <c r="AII56" s="12"/>
      <c r="AIJ56" s="12"/>
      <c r="AIK56" s="12"/>
      <c r="AIL56" s="12"/>
      <c r="AIM56" s="12"/>
      <c r="AIN56" s="12"/>
      <c r="AIO56" s="12"/>
      <c r="AIP56" s="12"/>
      <c r="AIQ56" s="12"/>
      <c r="AIR56" s="12"/>
      <c r="AIS56" s="12"/>
      <c r="AIT56" s="12"/>
      <c r="AIU56" s="12"/>
      <c r="AIV56" s="12"/>
      <c r="AIW56" s="12"/>
      <c r="AIX56" s="12"/>
      <c r="AIY56" s="12"/>
      <c r="AIZ56" s="12"/>
      <c r="AJA56" s="12"/>
      <c r="AJB56" s="12"/>
      <c r="AJC56" s="12"/>
      <c r="AJD56" s="12"/>
      <c r="AJE56" s="12"/>
      <c r="AJF56" s="12"/>
      <c r="AJG56" s="12"/>
      <c r="AJH56" s="12"/>
      <c r="AJI56" s="12"/>
      <c r="AJJ56" s="12"/>
      <c r="AJK56" s="12"/>
      <c r="AJL56" s="12"/>
      <c r="AJM56" s="12"/>
      <c r="AJN56" s="12"/>
      <c r="AJO56" s="12"/>
      <c r="AJP56" s="12"/>
      <c r="AJQ56" s="12"/>
      <c r="AJR56" s="12"/>
      <c r="AJS56" s="12"/>
      <c r="AJT56" s="12"/>
      <c r="AJU56" s="12"/>
      <c r="AJV56" s="12"/>
      <c r="AJW56" s="12"/>
      <c r="AJX56" s="12"/>
      <c r="AJY56" s="12"/>
      <c r="AJZ56" s="12"/>
      <c r="AKA56" s="12"/>
      <c r="AKB56" s="12"/>
      <c r="AKC56" s="12"/>
      <c r="AKD56" s="12"/>
      <c r="AKE56" s="12"/>
      <c r="AKF56" s="12"/>
      <c r="AKG56" s="12"/>
      <c r="AKH56" s="12"/>
      <c r="AKI56" s="12"/>
      <c r="AKJ56" s="12"/>
      <c r="AKK56" s="12"/>
      <c r="AKL56" s="12"/>
      <c r="AKM56" s="12"/>
      <c r="AKN56" s="12"/>
      <c r="AKO56" s="12"/>
      <c r="AKP56" s="12"/>
      <c r="AKQ56" s="12"/>
      <c r="AKR56" s="12"/>
      <c r="AKS56" s="12"/>
      <c r="AKT56" s="12"/>
      <c r="AKU56" s="12"/>
      <c r="AKV56" s="12"/>
      <c r="AKW56" s="12"/>
      <c r="AKX56" s="12"/>
      <c r="AKY56" s="12"/>
      <c r="AKZ56" s="12"/>
      <c r="ALA56" s="12"/>
      <c r="ALB56" s="12"/>
      <c r="ALC56" s="12"/>
      <c r="ALD56" s="12"/>
      <c r="ALE56" s="12"/>
      <c r="ALF56" s="12"/>
      <c r="ALG56" s="12"/>
      <c r="ALH56" s="12"/>
      <c r="ALI56" s="12"/>
      <c r="ALJ56" s="12"/>
      <c r="ALK56" s="12"/>
      <c r="ALL56" s="12"/>
      <c r="ALM56" s="12"/>
      <c r="ALN56" s="12"/>
      <c r="ALO56" s="12"/>
      <c r="ALP56" s="12"/>
      <c r="ALQ56" s="12"/>
      <c r="ALR56" s="12"/>
      <c r="ALS56" s="12"/>
      <c r="ALT56" s="12"/>
      <c r="ALU56" s="12"/>
      <c r="ALV56" s="12"/>
      <c r="ALW56" s="12"/>
      <c r="ALX56" s="12"/>
      <c r="ALY56" s="12"/>
      <c r="ALZ56" s="12"/>
      <c r="AMA56" s="12"/>
      <c r="AMB56" s="12"/>
      <c r="AMC56" s="12"/>
      <c r="AMD56" s="12"/>
      <c r="AME56" s="12"/>
      <c r="AMF56" s="12"/>
      <c r="AMG56" s="12"/>
      <c r="AMH56" s="12"/>
      <c r="AMI56" s="12"/>
      <c r="AMJ56" s="12"/>
      <c r="AMK56" s="12"/>
      <c r="AML56" s="12"/>
      <c r="AMM56" s="12"/>
      <c r="AMN56" s="12"/>
      <c r="AMO56" s="12"/>
      <c r="AMP56" s="12"/>
      <c r="AMQ56" s="12"/>
      <c r="AMR56" s="12"/>
      <c r="AMS56" s="12"/>
      <c r="AMT56" s="12"/>
      <c r="AMU56" s="12"/>
      <c r="AMV56" s="12"/>
      <c r="AMW56" s="12"/>
      <c r="AMX56" s="12"/>
      <c r="AMY56" s="12"/>
      <c r="AMZ56" s="12"/>
      <c r="ANA56" s="12"/>
      <c r="ANB56" s="12"/>
      <c r="ANC56" s="12"/>
      <c r="AND56" s="12"/>
      <c r="ANE56" s="12"/>
      <c r="ANF56" s="12"/>
      <c r="ANG56" s="12"/>
      <c r="ANH56" s="12"/>
      <c r="ANI56" s="12"/>
      <c r="ANJ56" s="12"/>
      <c r="ANK56" s="12"/>
      <c r="ANL56" s="12"/>
      <c r="ANM56" s="12"/>
      <c r="ANN56" s="12"/>
      <c r="ANO56" s="12"/>
      <c r="ANP56" s="12"/>
      <c r="ANQ56" s="12"/>
      <c r="ANR56" s="12"/>
      <c r="ANS56" s="12"/>
      <c r="ANT56" s="12"/>
      <c r="ANU56" s="12"/>
      <c r="ANV56" s="12"/>
      <c r="ANW56" s="12"/>
      <c r="ANX56" s="12"/>
      <c r="ANY56" s="12"/>
      <c r="ANZ56" s="12"/>
      <c r="AOA56" s="12"/>
      <c r="AOB56" s="12"/>
      <c r="AOC56" s="12"/>
      <c r="AOD56" s="12"/>
      <c r="AOE56" s="12"/>
      <c r="AOF56" s="12"/>
      <c r="AOG56" s="12"/>
      <c r="AOH56" s="12"/>
      <c r="AOI56" s="12"/>
      <c r="AOJ56" s="12"/>
      <c r="AOK56" s="12"/>
      <c r="AOL56" s="12"/>
      <c r="AOM56" s="12"/>
      <c r="AON56" s="12"/>
      <c r="AOO56" s="12"/>
      <c r="AOP56" s="12"/>
      <c r="AOQ56" s="12"/>
      <c r="AOR56" s="12"/>
      <c r="AOS56" s="12"/>
      <c r="AOT56" s="12"/>
      <c r="AOU56" s="12"/>
      <c r="AOV56" s="12"/>
      <c r="AOW56" s="12"/>
      <c r="AOX56" s="12"/>
      <c r="AOY56" s="12"/>
      <c r="AOZ56" s="12"/>
      <c r="APA56" s="12"/>
      <c r="APB56" s="12"/>
      <c r="APC56" s="12"/>
      <c r="APD56" s="12"/>
      <c r="APE56" s="12"/>
      <c r="APF56" s="12"/>
      <c r="APG56" s="12"/>
      <c r="APH56" s="12"/>
      <c r="API56" s="12"/>
      <c r="APJ56" s="12"/>
      <c r="APK56" s="12"/>
      <c r="APL56" s="12"/>
      <c r="APM56" s="12"/>
      <c r="APN56" s="12"/>
      <c r="APO56" s="12"/>
      <c r="APP56" s="12"/>
      <c r="APQ56" s="12"/>
      <c r="APR56" s="12"/>
      <c r="APS56" s="12"/>
      <c r="APT56" s="12"/>
      <c r="APU56" s="12"/>
      <c r="APV56" s="12"/>
      <c r="APW56" s="12"/>
      <c r="APX56" s="12"/>
      <c r="APY56" s="12"/>
      <c r="APZ56" s="12"/>
      <c r="AQA56" s="12"/>
      <c r="AQB56" s="12"/>
      <c r="AQC56" s="12"/>
      <c r="AQD56" s="12"/>
      <c r="AQE56" s="12"/>
      <c r="AQF56" s="12"/>
      <c r="AQG56" s="12"/>
      <c r="AQH56" s="12"/>
      <c r="AQI56" s="12"/>
      <c r="AQJ56" s="12"/>
      <c r="AQK56" s="12"/>
      <c r="AQL56" s="12"/>
      <c r="AQM56" s="12"/>
      <c r="AQN56" s="12"/>
      <c r="AQO56" s="12"/>
      <c r="AQP56" s="12"/>
      <c r="AQQ56" s="12"/>
      <c r="AQR56" s="12"/>
      <c r="AQS56" s="12"/>
      <c r="AQT56" s="12"/>
      <c r="AQU56" s="12"/>
      <c r="AQV56" s="12"/>
      <c r="AQW56" s="12"/>
      <c r="AQX56" s="12"/>
      <c r="AQY56" s="12"/>
      <c r="AQZ56" s="12"/>
      <c r="ARA56" s="12"/>
      <c r="ARB56" s="12"/>
      <c r="ARC56" s="12"/>
      <c r="ARD56" s="12"/>
      <c r="ARE56" s="12"/>
      <c r="ARF56" s="12"/>
      <c r="ARG56" s="12"/>
      <c r="ARH56" s="12"/>
      <c r="ARI56" s="12"/>
      <c r="ARJ56" s="12"/>
      <c r="ARK56" s="12"/>
      <c r="ARL56" s="12"/>
      <c r="ARM56" s="12"/>
      <c r="ARN56" s="12"/>
      <c r="ARO56" s="12"/>
      <c r="ARP56" s="12"/>
      <c r="ARQ56" s="12"/>
      <c r="ARR56" s="12"/>
      <c r="ARS56" s="12"/>
      <c r="ART56" s="12"/>
      <c r="ARU56" s="12"/>
      <c r="ARV56" s="12"/>
      <c r="ARW56" s="12"/>
      <c r="ARX56" s="12"/>
      <c r="ARY56" s="12"/>
      <c r="ARZ56" s="12"/>
      <c r="ASA56" s="12"/>
      <c r="ASB56" s="12"/>
      <c r="ASC56" s="12"/>
      <c r="ASD56" s="12"/>
      <c r="ASE56" s="12"/>
      <c r="ASF56" s="12"/>
      <c r="ASG56" s="12"/>
      <c r="ASH56" s="12"/>
      <c r="ASI56" s="12"/>
      <c r="ASJ56" s="12"/>
      <c r="ASK56" s="12"/>
      <c r="ASL56" s="12"/>
      <c r="ASM56" s="12"/>
      <c r="ASN56" s="12"/>
      <c r="ASO56" s="12"/>
      <c r="ASP56" s="12"/>
      <c r="ASQ56" s="12"/>
      <c r="ASR56" s="12"/>
      <c r="ASS56" s="12"/>
      <c r="AST56" s="12"/>
      <c r="ASU56" s="12"/>
      <c r="ASV56" s="12"/>
      <c r="ASW56" s="12"/>
      <c r="ASX56" s="12"/>
      <c r="ASY56" s="12"/>
      <c r="ASZ56" s="12"/>
      <c r="ATA56" s="12"/>
      <c r="ATB56" s="12"/>
      <c r="ATC56" s="12"/>
      <c r="ATD56" s="12"/>
      <c r="ATE56" s="12"/>
      <c r="ATF56" s="12"/>
      <c r="ATG56" s="12"/>
      <c r="ATH56" s="12"/>
      <c r="ATI56" s="12"/>
      <c r="ATJ56" s="12"/>
      <c r="ATK56" s="12"/>
      <c r="ATL56" s="12"/>
      <c r="ATM56" s="12"/>
      <c r="ATN56" s="12"/>
      <c r="ATO56" s="12"/>
      <c r="ATP56" s="12"/>
      <c r="ATQ56" s="12"/>
      <c r="ATR56" s="12"/>
      <c r="ATS56" s="12"/>
      <c r="ATT56" s="12"/>
      <c r="ATU56" s="12"/>
      <c r="ATV56" s="12"/>
      <c r="ATW56" s="12"/>
      <c r="ATX56" s="12"/>
      <c r="ATY56" s="12"/>
      <c r="ATZ56" s="12"/>
      <c r="AUA56" s="12"/>
      <c r="AUB56" s="12"/>
      <c r="AUC56" s="12"/>
      <c r="AUD56" s="12"/>
      <c r="AUE56" s="12"/>
      <c r="AUF56" s="12"/>
      <c r="AUG56" s="12"/>
      <c r="AUH56" s="12"/>
      <c r="AUI56" s="12"/>
      <c r="AUJ56" s="12"/>
      <c r="AUK56" s="12"/>
      <c r="AUL56" s="12"/>
      <c r="AUM56" s="12"/>
      <c r="AUN56" s="12"/>
      <c r="AUO56" s="12"/>
      <c r="AUP56" s="12"/>
      <c r="AUQ56" s="12"/>
      <c r="AUR56" s="12"/>
      <c r="AUS56" s="12"/>
      <c r="AUT56" s="12"/>
      <c r="AUU56" s="12"/>
      <c r="AUV56" s="12"/>
      <c r="AUW56" s="12"/>
      <c r="AUX56" s="12"/>
      <c r="AUY56" s="12"/>
      <c r="AUZ56" s="12"/>
      <c r="AVA56" s="12"/>
      <c r="AVB56" s="12"/>
      <c r="AVC56" s="12"/>
      <c r="AVD56" s="12"/>
      <c r="AVE56" s="12"/>
      <c r="AVF56" s="12"/>
      <c r="AVG56" s="12"/>
      <c r="AVH56" s="12"/>
      <c r="AVI56" s="12"/>
      <c r="AVJ56" s="12"/>
      <c r="AVK56" s="12"/>
      <c r="AVL56" s="12"/>
      <c r="AVM56" s="12"/>
      <c r="AVN56" s="12"/>
      <c r="AVO56" s="12"/>
      <c r="AVP56" s="12"/>
      <c r="AVQ56" s="12"/>
      <c r="AVR56" s="12"/>
      <c r="AVS56" s="12"/>
      <c r="AVT56" s="12"/>
      <c r="AVU56" s="12"/>
      <c r="AVV56" s="12"/>
      <c r="AVW56" s="12"/>
      <c r="AVX56" s="12"/>
      <c r="AVY56" s="12"/>
      <c r="AVZ56" s="12"/>
      <c r="AWA56" s="12"/>
      <c r="AWB56" s="12"/>
      <c r="AWC56" s="12"/>
      <c r="AWD56" s="12"/>
      <c r="AWE56" s="12"/>
      <c r="AWF56" s="12"/>
      <c r="AWG56" s="12"/>
      <c r="AWH56" s="12"/>
      <c r="AWI56" s="12"/>
      <c r="AWJ56" s="12"/>
      <c r="AWK56" s="12"/>
      <c r="AWL56" s="12"/>
      <c r="AWM56" s="12"/>
      <c r="AWN56" s="12"/>
      <c r="AWO56" s="12"/>
      <c r="AWP56" s="12"/>
      <c r="AWQ56" s="12"/>
      <c r="AWR56" s="12"/>
      <c r="AWS56" s="12"/>
      <c r="AWT56" s="12"/>
      <c r="AWU56" s="12"/>
      <c r="AWV56" s="12"/>
      <c r="AWW56" s="12"/>
      <c r="AWX56" s="12"/>
      <c r="AWY56" s="12"/>
      <c r="AWZ56" s="12"/>
      <c r="AXA56" s="12"/>
      <c r="AXB56" s="12"/>
      <c r="AXC56" s="12"/>
      <c r="AXD56" s="12"/>
      <c r="AXE56" s="12"/>
      <c r="AXF56" s="12"/>
      <c r="AXG56" s="12"/>
      <c r="AXH56" s="12"/>
      <c r="AXI56" s="12"/>
      <c r="AXJ56" s="12"/>
      <c r="AXK56" s="12"/>
      <c r="AXL56" s="12"/>
      <c r="AXM56" s="12"/>
      <c r="AXN56" s="12"/>
      <c r="AXO56" s="12"/>
      <c r="AXP56" s="12"/>
      <c r="AXQ56" s="12"/>
      <c r="AXR56" s="12"/>
      <c r="AXS56" s="12"/>
      <c r="AXT56" s="12"/>
      <c r="AXU56" s="12"/>
      <c r="AXV56" s="12"/>
      <c r="AXW56" s="12"/>
      <c r="AXX56" s="12"/>
      <c r="AXY56" s="12"/>
      <c r="AXZ56" s="12"/>
      <c r="AYA56" s="12"/>
      <c r="AYB56" s="12"/>
      <c r="AYC56" s="12"/>
      <c r="AYD56" s="12"/>
      <c r="AYE56" s="12"/>
      <c r="AYF56" s="12"/>
      <c r="AYG56" s="12"/>
      <c r="AYH56" s="12"/>
      <c r="AYI56" s="12"/>
      <c r="AYJ56" s="12"/>
      <c r="AYK56" s="12"/>
      <c r="AYL56" s="12"/>
      <c r="AYM56" s="12"/>
      <c r="AYN56" s="12"/>
      <c r="AYO56" s="12"/>
      <c r="AYP56" s="12"/>
      <c r="AYQ56" s="12"/>
      <c r="AYR56" s="12"/>
      <c r="AYS56" s="12"/>
      <c r="AYT56" s="12"/>
      <c r="AYU56" s="12"/>
      <c r="AYV56" s="12"/>
      <c r="AYW56" s="12"/>
      <c r="AYX56" s="12"/>
      <c r="AYY56" s="12"/>
      <c r="AYZ56" s="12"/>
      <c r="AZA56" s="12"/>
      <c r="AZB56" s="12"/>
      <c r="AZC56" s="12"/>
      <c r="AZD56" s="12"/>
      <c r="AZE56" s="12"/>
      <c r="AZF56" s="12"/>
      <c r="AZG56" s="12"/>
      <c r="AZH56" s="12"/>
      <c r="AZI56" s="12"/>
      <c r="AZJ56" s="12"/>
      <c r="AZK56" s="12"/>
      <c r="AZL56" s="12"/>
      <c r="AZM56" s="12"/>
      <c r="AZN56" s="12"/>
      <c r="AZO56" s="12"/>
      <c r="AZP56" s="12"/>
      <c r="AZQ56" s="12"/>
      <c r="AZR56" s="12"/>
      <c r="AZS56" s="12"/>
      <c r="AZT56" s="12"/>
      <c r="AZU56" s="12"/>
      <c r="AZV56" s="12"/>
      <c r="AZW56" s="12"/>
      <c r="AZX56" s="12"/>
      <c r="AZY56" s="12"/>
      <c r="AZZ56" s="12"/>
      <c r="BAA56" s="12"/>
      <c r="BAB56" s="12"/>
      <c r="BAC56" s="12"/>
      <c r="BAD56" s="12"/>
      <c r="BAE56" s="12"/>
      <c r="BAF56" s="12"/>
      <c r="BAG56" s="12"/>
      <c r="BAH56" s="12"/>
      <c r="BAI56" s="12"/>
      <c r="BAJ56" s="12"/>
      <c r="BAK56" s="12"/>
      <c r="BAL56" s="12"/>
      <c r="BAM56" s="12"/>
      <c r="BAN56" s="12"/>
      <c r="BAO56" s="12"/>
      <c r="BAP56" s="12"/>
      <c r="BAQ56" s="12"/>
      <c r="BAR56" s="12"/>
      <c r="BAS56" s="12"/>
      <c r="BAT56" s="12"/>
      <c r="BAU56" s="12"/>
      <c r="BAV56" s="12"/>
      <c r="BAW56" s="12"/>
      <c r="BAX56" s="12"/>
      <c r="BAY56" s="12"/>
      <c r="BAZ56" s="12"/>
      <c r="BBA56" s="12"/>
      <c r="BBB56" s="12"/>
      <c r="BBC56" s="12"/>
      <c r="BBD56" s="12"/>
      <c r="BBE56" s="12"/>
      <c r="BBF56" s="12"/>
      <c r="BBG56" s="12"/>
      <c r="BBH56" s="12"/>
      <c r="BBI56" s="12"/>
      <c r="BBJ56" s="12"/>
      <c r="BBK56" s="12"/>
      <c r="BBL56" s="12"/>
      <c r="BBM56" s="12"/>
      <c r="BBN56" s="12"/>
      <c r="BBO56" s="12"/>
      <c r="BBP56" s="12"/>
      <c r="BBQ56" s="12"/>
      <c r="BBR56" s="12"/>
      <c r="BBS56" s="12"/>
      <c r="BBT56" s="12"/>
      <c r="BBU56" s="12"/>
      <c r="BBV56" s="12"/>
      <c r="BBW56" s="12"/>
      <c r="BBX56" s="12"/>
      <c r="BBY56" s="12"/>
      <c r="BBZ56" s="12"/>
      <c r="BCA56" s="12"/>
      <c r="BCB56" s="12"/>
      <c r="BCC56" s="12"/>
      <c r="BCD56" s="12"/>
      <c r="BCE56" s="12"/>
      <c r="BCF56" s="12"/>
      <c r="BCG56" s="12"/>
      <c r="BCH56" s="12"/>
      <c r="BCI56" s="12"/>
      <c r="BCJ56" s="12"/>
      <c r="BCK56" s="12"/>
      <c r="BCL56" s="12"/>
      <c r="BCM56" s="12"/>
      <c r="BCN56" s="12"/>
      <c r="BCO56" s="12"/>
      <c r="BCP56" s="12"/>
      <c r="BCQ56" s="12"/>
      <c r="BCR56" s="12"/>
      <c r="BCS56" s="12"/>
      <c r="BCT56" s="12"/>
      <c r="BCU56" s="12"/>
      <c r="BCV56" s="12"/>
      <c r="BCW56" s="12"/>
      <c r="BCX56" s="12"/>
      <c r="BCY56" s="12"/>
      <c r="BCZ56" s="12"/>
      <c r="BDA56" s="12"/>
      <c r="BDB56" s="12"/>
      <c r="BDC56" s="12"/>
      <c r="BDD56" s="12"/>
      <c r="BDE56" s="12"/>
      <c r="BDF56" s="12"/>
      <c r="BDG56" s="12"/>
      <c r="BDH56" s="12"/>
      <c r="BDI56" s="12"/>
      <c r="BDJ56" s="12"/>
      <c r="BDK56" s="12"/>
      <c r="BDL56" s="12"/>
      <c r="BDM56" s="12"/>
      <c r="BDN56" s="12"/>
      <c r="BDO56" s="12"/>
      <c r="BDP56" s="12"/>
      <c r="BDQ56" s="12"/>
      <c r="BDR56" s="12"/>
      <c r="BDS56" s="12"/>
      <c r="BDT56" s="12"/>
      <c r="BDU56" s="12"/>
      <c r="BDV56" s="12"/>
      <c r="BDW56" s="12"/>
      <c r="BDX56" s="12"/>
      <c r="BDY56" s="12"/>
      <c r="BDZ56" s="12"/>
      <c r="BEA56" s="12"/>
      <c r="BEB56" s="12"/>
      <c r="BEC56" s="12"/>
      <c r="BED56" s="12"/>
      <c r="BEE56" s="12"/>
      <c r="BEF56" s="12"/>
      <c r="BEG56" s="12"/>
      <c r="BEH56" s="12"/>
      <c r="BEI56" s="12"/>
      <c r="BEJ56" s="12"/>
      <c r="BEK56" s="12"/>
      <c r="BEL56" s="12"/>
      <c r="BEM56" s="12"/>
      <c r="BEN56" s="12"/>
      <c r="BEO56" s="12"/>
      <c r="BEP56" s="12"/>
      <c r="BEQ56" s="12"/>
      <c r="BER56" s="12"/>
      <c r="BES56" s="12"/>
      <c r="BET56" s="12"/>
      <c r="BEU56" s="12"/>
      <c r="BEV56" s="12"/>
      <c r="BEW56" s="12"/>
      <c r="BEX56" s="12"/>
      <c r="BEY56" s="12"/>
      <c r="BEZ56" s="12"/>
      <c r="BFA56" s="12"/>
      <c r="BFB56" s="12"/>
      <c r="BFC56" s="12"/>
      <c r="BFD56" s="12"/>
      <c r="BFE56" s="12"/>
      <c r="BFF56" s="12"/>
      <c r="BFG56" s="12"/>
      <c r="BFH56" s="12"/>
      <c r="BFI56" s="12"/>
      <c r="BFJ56" s="12"/>
      <c r="BFK56" s="12"/>
      <c r="BFL56" s="12"/>
      <c r="BFM56" s="12"/>
      <c r="BFN56" s="12"/>
      <c r="BFO56" s="12"/>
      <c r="BFP56" s="12"/>
      <c r="BFQ56" s="12"/>
      <c r="BFR56" s="12"/>
      <c r="BFS56" s="12"/>
      <c r="BFT56" s="12"/>
      <c r="BFU56" s="12"/>
      <c r="BFV56" s="12"/>
      <c r="BFW56" s="12"/>
      <c r="BFX56" s="12"/>
      <c r="BFY56" s="12"/>
      <c r="BFZ56" s="12"/>
      <c r="BGA56" s="12"/>
      <c r="BGB56" s="12"/>
      <c r="BGC56" s="12"/>
      <c r="BGD56" s="12"/>
      <c r="BGE56" s="12"/>
      <c r="BGF56" s="12"/>
      <c r="BGG56" s="12"/>
      <c r="BGH56" s="12"/>
      <c r="BGI56" s="12"/>
      <c r="BGJ56" s="12"/>
      <c r="BGK56" s="12"/>
      <c r="BGL56" s="12"/>
      <c r="BGM56" s="12"/>
      <c r="BGN56" s="12"/>
      <c r="BGO56" s="12"/>
      <c r="BGP56" s="12"/>
      <c r="BGQ56" s="12"/>
      <c r="BGR56" s="12"/>
      <c r="BGS56" s="12"/>
      <c r="BGT56" s="12"/>
      <c r="BGU56" s="12"/>
      <c r="BGV56" s="12"/>
      <c r="BGW56" s="12"/>
      <c r="BGX56" s="12"/>
      <c r="BGY56" s="12"/>
      <c r="BGZ56" s="12"/>
      <c r="BHA56" s="12"/>
      <c r="BHB56" s="12"/>
      <c r="BHC56" s="12"/>
      <c r="BHD56" s="12"/>
      <c r="BHE56" s="12"/>
      <c r="BHF56" s="12"/>
      <c r="BHG56" s="12"/>
      <c r="BHH56" s="12"/>
      <c r="BHI56" s="12"/>
      <c r="BHJ56" s="12"/>
      <c r="BHK56" s="12"/>
      <c r="BHL56" s="12"/>
      <c r="BHM56" s="12"/>
      <c r="BHN56" s="12"/>
      <c r="BHO56" s="12"/>
      <c r="BHP56" s="12"/>
      <c r="BHQ56" s="12"/>
      <c r="BHR56" s="12"/>
      <c r="BHS56" s="12"/>
      <c r="BHT56" s="12"/>
      <c r="BHU56" s="12"/>
      <c r="BHV56" s="12"/>
      <c r="BHW56" s="12"/>
      <c r="BHX56" s="12"/>
      <c r="BHY56" s="12"/>
      <c r="BHZ56" s="12"/>
      <c r="BIA56" s="12"/>
      <c r="BIB56" s="12"/>
      <c r="BIC56" s="12"/>
      <c r="BID56" s="12"/>
      <c r="BIE56" s="12"/>
      <c r="BIF56" s="12"/>
      <c r="BIG56" s="12"/>
      <c r="BIH56" s="12"/>
      <c r="BII56" s="12"/>
      <c r="BIJ56" s="12"/>
      <c r="BIK56" s="12"/>
      <c r="BIL56" s="12"/>
      <c r="BIM56" s="12"/>
      <c r="BIN56" s="12"/>
      <c r="BIO56" s="12"/>
      <c r="BIP56" s="12"/>
      <c r="BIQ56" s="12"/>
      <c r="BIR56" s="12"/>
      <c r="BIS56" s="12"/>
      <c r="BIT56" s="12"/>
      <c r="BIU56" s="12"/>
      <c r="BIV56" s="12"/>
      <c r="BIW56" s="12"/>
      <c r="BIX56" s="12"/>
      <c r="BIY56" s="12"/>
      <c r="BIZ56" s="12"/>
      <c r="BJA56" s="12"/>
      <c r="BJB56" s="12"/>
      <c r="BJC56" s="12"/>
      <c r="BJD56" s="12"/>
      <c r="BJE56" s="12"/>
      <c r="BJF56" s="12"/>
      <c r="BJG56" s="12"/>
      <c r="BJH56" s="12"/>
      <c r="BJI56" s="12"/>
      <c r="BJJ56" s="12"/>
      <c r="BJK56" s="12"/>
      <c r="BJL56" s="12"/>
      <c r="BJM56" s="12"/>
      <c r="BJN56" s="12"/>
      <c r="BJO56" s="12"/>
      <c r="BJP56" s="12"/>
      <c r="BJQ56" s="12"/>
      <c r="BJR56" s="12"/>
      <c r="BJS56" s="12"/>
      <c r="BJT56" s="12"/>
      <c r="BJU56" s="12"/>
      <c r="BJV56" s="12"/>
      <c r="BJW56" s="12"/>
      <c r="BJX56" s="12"/>
      <c r="BJY56" s="12"/>
      <c r="BJZ56" s="12"/>
      <c r="BKA56" s="12"/>
      <c r="BKB56" s="12"/>
      <c r="BKC56" s="12"/>
      <c r="BKD56" s="12"/>
      <c r="BKE56" s="12"/>
      <c r="BKF56" s="12"/>
      <c r="BKG56" s="12"/>
      <c r="BKH56" s="12"/>
      <c r="BKI56" s="12"/>
      <c r="BKJ56" s="12"/>
      <c r="BKK56" s="12"/>
      <c r="BKL56" s="12"/>
      <c r="BKM56" s="12"/>
      <c r="BKN56" s="12"/>
      <c r="BKO56" s="12"/>
      <c r="BKP56" s="12"/>
      <c r="BKQ56" s="12"/>
      <c r="BKR56" s="12"/>
      <c r="BKS56" s="12"/>
      <c r="BKT56" s="12"/>
      <c r="BKU56" s="12"/>
      <c r="BKV56" s="12"/>
      <c r="BKW56" s="12"/>
      <c r="BKX56" s="12"/>
      <c r="BKY56" s="12"/>
      <c r="BKZ56" s="12"/>
      <c r="BLA56" s="12"/>
      <c r="BLB56" s="12"/>
      <c r="BLC56" s="12"/>
      <c r="BLD56" s="12"/>
      <c r="BLE56" s="12"/>
      <c r="BLF56" s="12"/>
      <c r="BLG56" s="12"/>
      <c r="BLH56" s="12"/>
      <c r="BLI56" s="12"/>
      <c r="BLJ56" s="12"/>
      <c r="BLK56" s="12"/>
      <c r="BLL56" s="12"/>
      <c r="BLM56" s="12"/>
      <c r="BLN56" s="12"/>
      <c r="BLO56" s="12"/>
      <c r="BLP56" s="12"/>
      <c r="BLQ56" s="12"/>
      <c r="BLR56" s="12"/>
      <c r="BLS56" s="12"/>
      <c r="BLT56" s="12"/>
      <c r="BLU56" s="12"/>
      <c r="BLV56" s="12"/>
      <c r="BLW56" s="12"/>
      <c r="BLX56" s="12"/>
      <c r="BLY56" s="12"/>
      <c r="BLZ56" s="12"/>
      <c r="BMA56" s="12"/>
      <c r="BMB56" s="12"/>
      <c r="BMC56" s="12"/>
      <c r="BMD56" s="12"/>
      <c r="BME56" s="12"/>
      <c r="BMF56" s="12"/>
      <c r="BMG56" s="12"/>
      <c r="BMH56" s="12"/>
      <c r="BMI56" s="12"/>
      <c r="BMJ56" s="12"/>
      <c r="BMK56" s="12"/>
      <c r="BML56" s="12"/>
      <c r="BMM56" s="12"/>
      <c r="BMN56" s="12"/>
      <c r="BMO56" s="12"/>
      <c r="BMP56" s="12"/>
      <c r="BMQ56" s="12"/>
      <c r="BMR56" s="12"/>
      <c r="BMS56" s="12"/>
      <c r="BMT56" s="12"/>
      <c r="BMU56" s="12"/>
      <c r="BMV56" s="12"/>
      <c r="BMW56" s="12"/>
      <c r="BMX56" s="12"/>
      <c r="BMY56" s="12"/>
      <c r="BMZ56" s="12"/>
      <c r="BNA56" s="12"/>
      <c r="BNB56" s="12"/>
      <c r="BNC56" s="12"/>
      <c r="BND56" s="12"/>
      <c r="BNE56" s="12"/>
      <c r="BNF56" s="12"/>
      <c r="BNG56" s="12"/>
      <c r="BNH56" s="12"/>
      <c r="BNI56" s="12"/>
      <c r="BNJ56" s="12"/>
      <c r="BNK56" s="12"/>
      <c r="BNL56" s="12"/>
      <c r="BNM56" s="12"/>
      <c r="BNN56" s="12"/>
      <c r="BNO56" s="12"/>
      <c r="BNP56" s="12"/>
      <c r="BNQ56" s="12"/>
      <c r="BNR56" s="12"/>
      <c r="BNS56" s="12"/>
      <c r="BNT56" s="12"/>
      <c r="BNU56" s="12"/>
      <c r="BNV56" s="12"/>
      <c r="BNW56" s="12"/>
      <c r="BNX56" s="12"/>
      <c r="BNY56" s="12"/>
      <c r="BNZ56" s="12"/>
      <c r="BOA56" s="12"/>
      <c r="BOB56" s="12"/>
      <c r="BOC56" s="12"/>
      <c r="BOD56" s="12"/>
      <c r="BOE56" s="12"/>
      <c r="BOF56" s="12"/>
      <c r="BOG56" s="12"/>
      <c r="BOH56" s="12"/>
      <c r="BOI56" s="12"/>
      <c r="BOJ56" s="12"/>
      <c r="BOK56" s="12"/>
      <c r="BOL56" s="12"/>
      <c r="BOM56" s="12"/>
      <c r="BON56" s="12"/>
      <c r="BOO56" s="12"/>
      <c r="BOP56" s="12"/>
      <c r="BOQ56" s="12"/>
      <c r="BOR56" s="12"/>
      <c r="BOS56" s="12"/>
      <c r="BOT56" s="12"/>
      <c r="BOU56" s="12"/>
      <c r="BOV56" s="12"/>
      <c r="BOW56" s="12"/>
      <c r="BOX56" s="12"/>
      <c r="BOY56" s="12"/>
      <c r="BOZ56" s="12"/>
      <c r="BPA56" s="12"/>
      <c r="BPB56" s="12"/>
      <c r="BPC56" s="12"/>
      <c r="BPD56" s="12"/>
      <c r="BPE56" s="12"/>
      <c r="BPF56" s="12"/>
      <c r="BPG56" s="12"/>
      <c r="BPH56" s="12"/>
      <c r="BPI56" s="12"/>
      <c r="BPJ56" s="12"/>
      <c r="BPK56" s="12"/>
      <c r="BPL56" s="12"/>
      <c r="BPM56" s="12"/>
      <c r="BPN56" s="12"/>
      <c r="BPO56" s="12"/>
      <c r="BPP56" s="12"/>
      <c r="BPQ56" s="12"/>
      <c r="BPR56" s="12"/>
      <c r="BPS56" s="12"/>
      <c r="BPT56" s="12"/>
      <c r="BPU56" s="12"/>
      <c r="BPV56" s="12"/>
      <c r="BPW56" s="12"/>
      <c r="BPX56" s="12"/>
      <c r="BPY56" s="12"/>
      <c r="BPZ56" s="12"/>
      <c r="BQA56" s="12"/>
      <c r="BQB56" s="12"/>
      <c r="BQC56" s="12"/>
      <c r="BQD56" s="12"/>
      <c r="BQE56" s="12"/>
      <c r="BQF56" s="12"/>
      <c r="BQG56" s="12"/>
      <c r="BQH56" s="12"/>
      <c r="BQI56" s="12"/>
      <c r="BQJ56" s="12"/>
      <c r="BQK56" s="12"/>
      <c r="BQL56" s="12"/>
      <c r="BQM56" s="12"/>
      <c r="BQN56" s="12"/>
      <c r="BQO56" s="12"/>
      <c r="BQP56" s="12"/>
      <c r="BQQ56" s="12"/>
      <c r="BQR56" s="12"/>
      <c r="BQS56" s="12"/>
      <c r="BQT56" s="12"/>
      <c r="BQU56" s="12"/>
      <c r="BQV56" s="12"/>
      <c r="BQW56" s="12"/>
      <c r="BQX56" s="12"/>
      <c r="BQY56" s="12"/>
      <c r="BQZ56" s="12"/>
      <c r="BRA56" s="12"/>
      <c r="BRB56" s="12"/>
      <c r="BRC56" s="12"/>
      <c r="BRD56" s="12"/>
      <c r="BRE56" s="12"/>
      <c r="BRF56" s="12"/>
      <c r="BRG56" s="12"/>
      <c r="BRH56" s="12"/>
      <c r="BRI56" s="12"/>
      <c r="BRJ56" s="12"/>
      <c r="BRK56" s="12"/>
      <c r="BRL56" s="12"/>
      <c r="BRM56" s="12"/>
      <c r="BRN56" s="12"/>
      <c r="BRO56" s="12"/>
      <c r="BRP56" s="12"/>
      <c r="BRQ56" s="12"/>
      <c r="BRR56" s="12"/>
      <c r="BRS56" s="12"/>
      <c r="BRT56" s="12"/>
      <c r="BRU56" s="12"/>
      <c r="BRV56" s="12"/>
      <c r="BRW56" s="12"/>
      <c r="BRX56" s="12"/>
      <c r="BRY56" s="12"/>
      <c r="BRZ56" s="12"/>
      <c r="BSA56" s="12"/>
      <c r="BSB56" s="12"/>
      <c r="BSC56" s="12"/>
      <c r="BSD56" s="12"/>
      <c r="BSE56" s="12"/>
      <c r="BSF56" s="12"/>
      <c r="BSG56" s="12"/>
      <c r="BSH56" s="12"/>
      <c r="BSI56" s="12"/>
      <c r="BSJ56" s="12"/>
      <c r="BSK56" s="12"/>
      <c r="BSL56" s="12"/>
      <c r="BSM56" s="12"/>
      <c r="BSN56" s="12"/>
      <c r="BSO56" s="12"/>
      <c r="BSP56" s="12"/>
      <c r="BSQ56" s="12"/>
      <c r="BSR56" s="12"/>
      <c r="BSS56" s="12"/>
      <c r="BST56" s="12"/>
      <c r="BSU56" s="12"/>
      <c r="BSV56" s="12"/>
      <c r="BSW56" s="12"/>
      <c r="BSX56" s="12"/>
      <c r="BSY56" s="12"/>
      <c r="BSZ56" s="12"/>
      <c r="BTA56" s="12"/>
      <c r="BTB56" s="12"/>
      <c r="BTC56" s="12"/>
      <c r="BTD56" s="12"/>
      <c r="BTE56" s="12"/>
      <c r="BTF56" s="12"/>
      <c r="BTG56" s="12"/>
      <c r="BTH56" s="12"/>
      <c r="BTI56" s="12"/>
      <c r="BTJ56" s="12"/>
      <c r="BTK56" s="12"/>
      <c r="BTL56" s="12"/>
      <c r="BTM56" s="12"/>
      <c r="BTN56" s="12"/>
      <c r="BTO56" s="12"/>
      <c r="BTP56" s="12"/>
      <c r="BTQ56" s="12"/>
      <c r="BTR56" s="12"/>
      <c r="BTS56" s="12"/>
      <c r="BTT56" s="12"/>
      <c r="BTU56" s="12"/>
      <c r="BTV56" s="12"/>
      <c r="BTW56" s="12"/>
      <c r="BTX56" s="12"/>
      <c r="BTY56" s="12"/>
      <c r="BTZ56" s="12"/>
      <c r="BUA56" s="12"/>
      <c r="BUB56" s="12"/>
      <c r="BUC56" s="12"/>
      <c r="BUD56" s="12"/>
      <c r="BUE56" s="12"/>
      <c r="BUF56" s="12"/>
      <c r="BUG56" s="12"/>
      <c r="BUH56" s="12"/>
      <c r="BUI56" s="12"/>
      <c r="BUJ56" s="12"/>
      <c r="BUK56" s="12"/>
      <c r="BUL56" s="12"/>
      <c r="BUM56" s="12"/>
      <c r="BUN56" s="12"/>
      <c r="BUO56" s="12"/>
      <c r="BUP56" s="12"/>
      <c r="BUQ56" s="12"/>
      <c r="BUR56" s="12"/>
      <c r="BUS56" s="12"/>
      <c r="BUT56" s="12"/>
      <c r="BUU56" s="12"/>
      <c r="BUV56" s="12"/>
      <c r="BUW56" s="12"/>
      <c r="BUX56" s="12"/>
      <c r="BUY56" s="12"/>
      <c r="BUZ56" s="12"/>
      <c r="BVA56" s="12"/>
      <c r="BVB56" s="12"/>
      <c r="BVC56" s="12"/>
      <c r="BVD56" s="12"/>
      <c r="BVE56" s="12"/>
      <c r="BVF56" s="12"/>
      <c r="BVG56" s="12"/>
      <c r="BVH56" s="12"/>
      <c r="BVI56" s="12"/>
      <c r="BVJ56" s="12"/>
      <c r="BVK56" s="12"/>
      <c r="BVL56" s="12"/>
      <c r="BVM56" s="12"/>
      <c r="BVN56" s="12"/>
      <c r="BVO56" s="12"/>
      <c r="BVP56" s="12"/>
      <c r="BVQ56" s="12"/>
      <c r="BVR56" s="12"/>
      <c r="BVS56" s="12"/>
      <c r="BVT56" s="12"/>
      <c r="BVU56" s="12"/>
      <c r="BVV56" s="12"/>
      <c r="BVW56" s="12"/>
      <c r="BVX56" s="12"/>
      <c r="BVY56" s="12"/>
      <c r="BVZ56" s="12"/>
      <c r="BWA56" s="12"/>
      <c r="BWB56" s="12"/>
      <c r="BWC56" s="12"/>
      <c r="BWD56" s="12"/>
      <c r="BWE56" s="12"/>
      <c r="BWF56" s="12"/>
      <c r="BWG56" s="12"/>
      <c r="BWH56" s="12"/>
      <c r="BWI56" s="12"/>
      <c r="BWJ56" s="12"/>
      <c r="BWK56" s="12"/>
      <c r="BWL56" s="12"/>
      <c r="BWM56" s="12"/>
      <c r="BWN56" s="12"/>
      <c r="BWO56" s="12"/>
      <c r="BWP56" s="12"/>
      <c r="BWQ56" s="12"/>
      <c r="BWR56" s="12"/>
      <c r="BWS56" s="12"/>
      <c r="BWT56" s="12"/>
      <c r="BWU56" s="12"/>
      <c r="BWV56" s="12"/>
      <c r="BWW56" s="12"/>
      <c r="BWX56" s="12"/>
      <c r="BWY56" s="12"/>
      <c r="BWZ56" s="12"/>
      <c r="BXA56" s="12"/>
      <c r="BXB56" s="12"/>
      <c r="BXC56" s="12"/>
      <c r="BXD56" s="12"/>
      <c r="BXE56" s="12"/>
      <c r="BXF56" s="12"/>
      <c r="BXG56" s="12"/>
      <c r="BXH56" s="12"/>
      <c r="BXI56" s="12"/>
      <c r="BXJ56" s="12"/>
      <c r="BXK56" s="12"/>
      <c r="BXL56" s="12"/>
      <c r="BXM56" s="12"/>
      <c r="BXN56" s="12"/>
      <c r="BXO56" s="12"/>
      <c r="BXP56" s="12"/>
      <c r="BXQ56" s="12"/>
      <c r="BXR56" s="12"/>
      <c r="BXS56" s="12"/>
      <c r="BXT56" s="12"/>
      <c r="BXU56" s="12"/>
      <c r="BXV56" s="12"/>
      <c r="BXW56" s="12"/>
      <c r="BXX56" s="12"/>
      <c r="BXY56" s="12"/>
      <c r="BXZ56" s="12"/>
      <c r="BYA56" s="12"/>
      <c r="BYB56" s="12"/>
      <c r="BYC56" s="12"/>
      <c r="BYD56" s="12"/>
      <c r="BYE56" s="12"/>
      <c r="BYF56" s="12"/>
      <c r="BYG56" s="12"/>
      <c r="BYH56" s="12"/>
      <c r="BYI56" s="12"/>
      <c r="BYJ56" s="12"/>
      <c r="BYK56" s="12"/>
      <c r="BYL56" s="12"/>
      <c r="BYM56" s="12"/>
      <c r="BYN56" s="12"/>
      <c r="BYO56" s="12"/>
      <c r="BYP56" s="12"/>
      <c r="BYQ56" s="12"/>
      <c r="BYR56" s="12"/>
      <c r="BYS56" s="12"/>
      <c r="BYT56" s="12"/>
      <c r="BYU56" s="12"/>
      <c r="BYV56" s="12"/>
      <c r="BYW56" s="12"/>
      <c r="BYX56" s="12"/>
      <c r="BYY56" s="12"/>
      <c r="BYZ56" s="12"/>
      <c r="BZA56" s="12"/>
      <c r="BZB56" s="12"/>
      <c r="BZC56" s="12"/>
      <c r="BZD56" s="12"/>
      <c r="BZE56" s="12"/>
      <c r="BZF56" s="12"/>
      <c r="BZG56" s="12"/>
      <c r="BZH56" s="12"/>
      <c r="BZI56" s="12"/>
      <c r="BZJ56" s="12"/>
      <c r="BZK56" s="12"/>
      <c r="BZL56" s="12"/>
      <c r="BZM56" s="12"/>
      <c r="BZN56" s="12"/>
      <c r="BZO56" s="12"/>
      <c r="BZP56" s="12"/>
      <c r="BZQ56" s="12"/>
      <c r="BZR56" s="12"/>
      <c r="BZS56" s="12"/>
      <c r="BZT56" s="12"/>
      <c r="BZU56" s="12"/>
      <c r="BZV56" s="12"/>
      <c r="BZW56" s="12"/>
      <c r="BZX56" s="12"/>
      <c r="BZY56" s="12"/>
      <c r="BZZ56" s="12"/>
      <c r="CAA56" s="12"/>
      <c r="CAB56" s="12"/>
      <c r="CAC56" s="12"/>
      <c r="CAD56" s="12"/>
      <c r="CAE56" s="12"/>
      <c r="CAF56" s="12"/>
      <c r="CAG56" s="12"/>
      <c r="CAH56" s="12"/>
      <c r="CAI56" s="12"/>
      <c r="CAJ56" s="12"/>
      <c r="CAK56" s="12"/>
      <c r="CAL56" s="12"/>
      <c r="CAM56" s="12"/>
      <c r="CAN56" s="12"/>
      <c r="CAO56" s="12"/>
      <c r="CAP56" s="12"/>
      <c r="CAQ56" s="12"/>
      <c r="CAR56" s="12"/>
      <c r="CAS56" s="12"/>
      <c r="CAT56" s="12"/>
      <c r="CAU56" s="12"/>
      <c r="CAV56" s="12"/>
      <c r="CAW56" s="12"/>
      <c r="CAX56" s="12"/>
      <c r="CAY56" s="12"/>
      <c r="CAZ56" s="12"/>
      <c r="CBA56" s="12"/>
      <c r="CBB56" s="12"/>
      <c r="CBC56" s="12"/>
      <c r="CBD56" s="12"/>
      <c r="CBE56" s="12"/>
      <c r="CBF56" s="12"/>
      <c r="CBG56" s="12"/>
      <c r="CBH56" s="12"/>
      <c r="CBI56" s="12"/>
      <c r="CBJ56" s="12"/>
      <c r="CBK56" s="12"/>
      <c r="CBL56" s="12"/>
      <c r="CBM56" s="12"/>
      <c r="CBN56" s="12"/>
      <c r="CBO56" s="12"/>
      <c r="CBP56" s="12"/>
      <c r="CBQ56" s="12"/>
      <c r="CBR56" s="12"/>
      <c r="CBS56" s="12"/>
      <c r="CBT56" s="12"/>
      <c r="CBU56" s="12"/>
      <c r="CBV56" s="12"/>
      <c r="CBW56" s="12"/>
      <c r="CBX56" s="12"/>
      <c r="CBY56" s="12"/>
      <c r="CBZ56" s="12"/>
      <c r="CCA56" s="12"/>
      <c r="CCB56" s="12"/>
      <c r="CCC56" s="12"/>
      <c r="CCD56" s="12"/>
      <c r="CCE56" s="12"/>
      <c r="CCF56" s="12"/>
      <c r="CCG56" s="12"/>
      <c r="CCH56" s="12"/>
      <c r="CCI56" s="12"/>
      <c r="CCJ56" s="12"/>
      <c r="CCK56" s="12"/>
      <c r="CCL56" s="12"/>
      <c r="CCM56" s="12"/>
      <c r="CCN56" s="12"/>
      <c r="CCO56" s="12"/>
      <c r="CCP56" s="12"/>
      <c r="CCQ56" s="12"/>
      <c r="CCR56" s="12"/>
      <c r="CCS56" s="12"/>
      <c r="CCT56" s="12"/>
      <c r="CCU56" s="12"/>
      <c r="CCV56" s="12"/>
      <c r="CCW56" s="12"/>
      <c r="CCX56" s="12"/>
      <c r="CCY56" s="12"/>
      <c r="CCZ56" s="12"/>
      <c r="CDA56" s="12"/>
      <c r="CDB56" s="12"/>
      <c r="CDC56" s="12"/>
      <c r="CDD56" s="12"/>
      <c r="CDE56" s="12"/>
      <c r="CDF56" s="12"/>
      <c r="CDG56" s="12"/>
      <c r="CDH56" s="12"/>
      <c r="CDI56" s="12"/>
      <c r="CDJ56" s="12"/>
      <c r="CDK56" s="12"/>
      <c r="CDL56" s="12"/>
      <c r="CDM56" s="12"/>
      <c r="CDN56" s="12"/>
      <c r="CDO56" s="12"/>
      <c r="CDP56" s="12"/>
      <c r="CDQ56" s="12"/>
      <c r="CDR56" s="12"/>
      <c r="CDS56" s="12"/>
      <c r="CDT56" s="12"/>
      <c r="CDU56" s="12"/>
      <c r="CDV56" s="12"/>
      <c r="CDW56" s="12"/>
      <c r="CDX56" s="12"/>
      <c r="CDY56" s="12"/>
      <c r="CDZ56" s="12"/>
      <c r="CEA56" s="12"/>
      <c r="CEB56" s="12"/>
      <c r="CEC56" s="12"/>
      <c r="CED56" s="12"/>
      <c r="CEE56" s="12"/>
      <c r="CEF56" s="12"/>
      <c r="CEG56" s="12"/>
      <c r="CEH56" s="12"/>
      <c r="CEI56" s="12"/>
      <c r="CEJ56" s="12"/>
      <c r="CEK56" s="12"/>
      <c r="CEL56" s="12"/>
      <c r="CEM56" s="12"/>
      <c r="CEN56" s="12"/>
      <c r="CEO56" s="12"/>
      <c r="CEP56" s="12"/>
      <c r="CEQ56" s="12"/>
      <c r="CER56" s="12"/>
      <c r="CES56" s="12"/>
      <c r="CET56" s="12"/>
      <c r="CEU56" s="12"/>
      <c r="CEV56" s="12"/>
      <c r="CEW56" s="12"/>
      <c r="CEX56" s="12"/>
      <c r="CEY56" s="12"/>
      <c r="CEZ56" s="12"/>
      <c r="CFA56" s="12"/>
      <c r="CFB56" s="12"/>
      <c r="CFC56" s="12"/>
      <c r="CFD56" s="12"/>
      <c r="CFE56" s="12"/>
      <c r="CFF56" s="12"/>
      <c r="CFG56" s="12"/>
      <c r="CFH56" s="12"/>
      <c r="CFI56" s="12"/>
      <c r="CFJ56" s="12"/>
      <c r="CFK56" s="12"/>
      <c r="CFL56" s="12"/>
      <c r="CFM56" s="12"/>
      <c r="CFN56" s="12"/>
      <c r="CFO56" s="12"/>
      <c r="CFP56" s="12"/>
      <c r="CFQ56" s="12"/>
      <c r="CFR56" s="12"/>
      <c r="CFS56" s="12"/>
      <c r="CFT56" s="12"/>
      <c r="CFU56" s="12"/>
      <c r="CFV56" s="12"/>
      <c r="CFW56" s="12"/>
      <c r="CFX56" s="12"/>
      <c r="CFY56" s="12"/>
      <c r="CFZ56" s="12"/>
      <c r="CGA56" s="12"/>
      <c r="CGB56" s="12"/>
      <c r="CGC56" s="12"/>
      <c r="CGD56" s="12"/>
      <c r="CGE56" s="12"/>
      <c r="CGF56" s="12"/>
      <c r="CGG56" s="12"/>
      <c r="CGH56" s="12"/>
      <c r="CGI56" s="12"/>
      <c r="CGJ56" s="12"/>
      <c r="CGK56" s="12"/>
      <c r="CGL56" s="12"/>
      <c r="CGM56" s="12"/>
      <c r="CGN56" s="12"/>
      <c r="CGO56" s="12"/>
      <c r="CGP56" s="12"/>
      <c r="CGQ56" s="12"/>
      <c r="CGR56" s="12"/>
      <c r="CGS56" s="12"/>
      <c r="CGT56" s="12"/>
      <c r="CGU56" s="12"/>
      <c r="CGV56" s="12"/>
      <c r="CGW56" s="12"/>
      <c r="CGX56" s="12"/>
      <c r="CGY56" s="12"/>
      <c r="CGZ56" s="12"/>
      <c r="CHA56" s="12"/>
      <c r="CHB56" s="12"/>
      <c r="CHC56" s="12"/>
      <c r="CHD56" s="12"/>
      <c r="CHE56" s="12"/>
      <c r="CHF56" s="12"/>
      <c r="CHG56" s="12"/>
      <c r="CHH56" s="12"/>
      <c r="CHI56" s="12"/>
      <c r="CHJ56" s="12"/>
      <c r="CHK56" s="12"/>
      <c r="CHL56" s="12"/>
      <c r="CHM56" s="12"/>
      <c r="CHN56" s="12"/>
      <c r="CHO56" s="12"/>
      <c r="CHP56" s="12"/>
      <c r="CHQ56" s="12"/>
      <c r="CHR56" s="12"/>
      <c r="CHS56" s="12"/>
      <c r="CHT56" s="12"/>
      <c r="CHU56" s="12"/>
      <c r="CHV56" s="12"/>
      <c r="CHW56" s="12"/>
      <c r="CHX56" s="12"/>
      <c r="CHY56" s="12"/>
      <c r="CHZ56" s="12"/>
      <c r="CIA56" s="12"/>
      <c r="CIB56" s="12"/>
      <c r="CIC56" s="12"/>
      <c r="CID56" s="12"/>
      <c r="CIE56" s="12"/>
      <c r="CIF56" s="12"/>
      <c r="CIG56" s="12"/>
      <c r="CIH56" s="12"/>
      <c r="CII56" s="12"/>
      <c r="CIJ56" s="12"/>
      <c r="CIK56" s="12"/>
      <c r="CIL56" s="12"/>
      <c r="CIM56" s="12"/>
      <c r="CIN56" s="12"/>
      <c r="CIO56" s="12"/>
      <c r="CIP56" s="12"/>
      <c r="CIQ56" s="12"/>
      <c r="CIR56" s="12"/>
      <c r="CIS56" s="12"/>
      <c r="CIT56" s="12"/>
      <c r="CIU56" s="12"/>
      <c r="CIV56" s="12"/>
      <c r="CIW56" s="12"/>
      <c r="CIX56" s="12"/>
      <c r="CIY56" s="12"/>
      <c r="CIZ56" s="12"/>
      <c r="CJA56" s="12"/>
      <c r="CJB56" s="12"/>
      <c r="CJC56" s="12"/>
      <c r="CJD56" s="12"/>
      <c r="CJE56" s="12"/>
      <c r="CJF56" s="12"/>
      <c r="CJG56" s="12"/>
      <c r="CJH56" s="12"/>
      <c r="CJI56" s="12"/>
      <c r="CJJ56" s="12"/>
      <c r="CJK56" s="12"/>
      <c r="CJL56" s="12"/>
      <c r="CJM56" s="12"/>
      <c r="CJN56" s="12"/>
      <c r="CJO56" s="12"/>
      <c r="CJP56" s="12"/>
      <c r="CJQ56" s="12"/>
      <c r="CJR56" s="12"/>
      <c r="CJS56" s="12"/>
      <c r="CJT56" s="12"/>
      <c r="CJU56" s="12"/>
      <c r="CJV56" s="12"/>
      <c r="CJW56" s="12"/>
      <c r="CJX56" s="12"/>
      <c r="CJY56" s="12"/>
      <c r="CJZ56" s="12"/>
      <c r="CKA56" s="12"/>
      <c r="CKB56" s="12"/>
      <c r="CKC56" s="12"/>
      <c r="CKD56" s="12"/>
      <c r="CKE56" s="12"/>
      <c r="CKF56" s="12"/>
      <c r="CKG56" s="12"/>
      <c r="CKH56" s="12"/>
      <c r="CKI56" s="12"/>
      <c r="CKJ56" s="12"/>
      <c r="CKK56" s="12"/>
      <c r="CKL56" s="12"/>
      <c r="CKM56" s="12"/>
      <c r="CKN56" s="12"/>
      <c r="CKO56" s="12"/>
      <c r="CKP56" s="12"/>
      <c r="CKQ56" s="12"/>
      <c r="CKR56" s="12"/>
      <c r="CKS56" s="12"/>
      <c r="CKT56" s="12"/>
      <c r="CKU56" s="12"/>
      <c r="CKV56" s="12"/>
      <c r="CKW56" s="12"/>
      <c r="CKX56" s="12"/>
      <c r="CKY56" s="12"/>
      <c r="CKZ56" s="12"/>
      <c r="CLA56" s="12"/>
      <c r="CLB56" s="12"/>
      <c r="CLC56" s="12"/>
      <c r="CLD56" s="12"/>
      <c r="CLE56" s="12"/>
      <c r="CLF56" s="12"/>
      <c r="CLG56" s="12"/>
      <c r="CLH56" s="12"/>
      <c r="CLI56" s="12"/>
      <c r="CLJ56" s="12"/>
      <c r="CLK56" s="12"/>
      <c r="CLL56" s="12"/>
      <c r="CLM56" s="12"/>
      <c r="CLN56" s="12"/>
      <c r="CLO56" s="12"/>
      <c r="CLP56" s="12"/>
      <c r="CLQ56" s="12"/>
      <c r="CLR56" s="12"/>
      <c r="CLS56" s="12"/>
      <c r="CLT56" s="12"/>
      <c r="CLU56" s="12"/>
      <c r="CLV56" s="12"/>
      <c r="CLW56" s="12"/>
      <c r="CLX56" s="12"/>
      <c r="CLY56" s="12"/>
      <c r="CLZ56" s="12"/>
      <c r="CMA56" s="12"/>
      <c r="CMB56" s="12"/>
      <c r="CMC56" s="12"/>
      <c r="CMD56" s="12"/>
      <c r="CME56" s="12"/>
      <c r="CMF56" s="12"/>
      <c r="CMG56" s="12"/>
      <c r="CMH56" s="12"/>
      <c r="CMI56" s="12"/>
      <c r="CMJ56" s="12"/>
      <c r="CMK56" s="12"/>
      <c r="CML56" s="12"/>
      <c r="CMM56" s="12"/>
      <c r="CMN56" s="12"/>
      <c r="CMO56" s="12"/>
      <c r="CMP56" s="12"/>
      <c r="CMQ56" s="12"/>
      <c r="CMR56" s="12"/>
      <c r="CMS56" s="12"/>
      <c r="CMT56" s="12"/>
      <c r="CMU56" s="12"/>
      <c r="CMV56" s="12"/>
      <c r="CMW56" s="12"/>
      <c r="CMX56" s="12"/>
      <c r="CMY56" s="12"/>
      <c r="CMZ56" s="12"/>
      <c r="CNA56" s="12"/>
      <c r="CNB56" s="12"/>
      <c r="CNC56" s="12"/>
      <c r="CND56" s="12"/>
      <c r="CNE56" s="12"/>
      <c r="CNF56" s="12"/>
      <c r="CNG56" s="12"/>
      <c r="CNH56" s="12"/>
      <c r="CNI56" s="12"/>
      <c r="CNJ56" s="12"/>
      <c r="CNK56" s="12"/>
      <c r="CNL56" s="12"/>
      <c r="CNM56" s="12"/>
      <c r="CNN56" s="12"/>
      <c r="CNO56" s="12"/>
      <c r="CNP56" s="12"/>
      <c r="CNQ56" s="12"/>
      <c r="CNR56" s="12"/>
      <c r="CNS56" s="12"/>
      <c r="CNT56" s="12"/>
      <c r="CNU56" s="12"/>
      <c r="CNV56" s="12"/>
      <c r="CNW56" s="12"/>
      <c r="CNX56" s="12"/>
      <c r="CNY56" s="12"/>
      <c r="CNZ56" s="12"/>
      <c r="COA56" s="12"/>
      <c r="COB56" s="12"/>
      <c r="COC56" s="12"/>
      <c r="COD56" s="12"/>
      <c r="COE56" s="12"/>
      <c r="COF56" s="12"/>
      <c r="COG56" s="12"/>
      <c r="COH56" s="12"/>
      <c r="COI56" s="12"/>
      <c r="COJ56" s="12"/>
      <c r="COK56" s="12"/>
      <c r="COL56" s="12"/>
      <c r="COM56" s="12"/>
      <c r="CON56" s="12"/>
      <c r="COO56" s="12"/>
      <c r="COP56" s="12"/>
      <c r="COQ56" s="12"/>
      <c r="COR56" s="12"/>
      <c r="COS56" s="12"/>
      <c r="COT56" s="12"/>
      <c r="COU56" s="12"/>
      <c r="COV56" s="12"/>
      <c r="COW56" s="12"/>
      <c r="COX56" s="12"/>
      <c r="COY56" s="12"/>
      <c r="COZ56" s="12"/>
      <c r="CPA56" s="12"/>
      <c r="CPB56" s="12"/>
      <c r="CPC56" s="12"/>
      <c r="CPD56" s="12"/>
      <c r="CPE56" s="12"/>
      <c r="CPF56" s="12"/>
      <c r="CPG56" s="12"/>
      <c r="CPH56" s="12"/>
      <c r="CPI56" s="12"/>
      <c r="CPJ56" s="12"/>
      <c r="CPK56" s="12"/>
      <c r="CPL56" s="12"/>
      <c r="CPM56" s="12"/>
      <c r="CPN56" s="12"/>
      <c r="CPO56" s="12"/>
      <c r="CPP56" s="12"/>
      <c r="CPQ56" s="12"/>
      <c r="CPR56" s="12"/>
      <c r="CPS56" s="12"/>
      <c r="CPT56" s="12"/>
      <c r="CPU56" s="12"/>
      <c r="CPV56" s="12"/>
      <c r="CPW56" s="12"/>
      <c r="CPX56" s="12"/>
      <c r="CPY56" s="12"/>
      <c r="CPZ56" s="12"/>
      <c r="CQA56" s="12"/>
      <c r="CQB56" s="12"/>
      <c r="CQC56" s="12"/>
      <c r="CQD56" s="12"/>
      <c r="CQE56" s="12"/>
      <c r="CQF56" s="12"/>
      <c r="CQG56" s="12"/>
      <c r="CQH56" s="12"/>
      <c r="CQI56" s="12"/>
      <c r="CQJ56" s="12"/>
      <c r="CQK56" s="12"/>
      <c r="CQL56" s="12"/>
      <c r="CQM56" s="12"/>
      <c r="CQN56" s="12"/>
      <c r="CQO56" s="12"/>
      <c r="CQP56" s="12"/>
      <c r="CQQ56" s="12"/>
      <c r="CQR56" s="12"/>
      <c r="CQS56" s="12"/>
      <c r="CQT56" s="12"/>
      <c r="CQU56" s="12"/>
      <c r="CQV56" s="12"/>
      <c r="CQW56" s="12"/>
      <c r="CQX56" s="12"/>
      <c r="CQY56" s="12"/>
      <c r="CQZ56" s="12"/>
      <c r="CRA56" s="12"/>
      <c r="CRB56" s="12"/>
      <c r="CRC56" s="12"/>
      <c r="CRD56" s="12"/>
      <c r="CRE56" s="12"/>
      <c r="CRF56" s="12"/>
      <c r="CRG56" s="12"/>
      <c r="CRH56" s="12"/>
      <c r="CRI56" s="12"/>
      <c r="CRJ56" s="12"/>
      <c r="CRK56" s="12"/>
      <c r="CRL56" s="12"/>
      <c r="CRM56" s="12"/>
      <c r="CRN56" s="12"/>
      <c r="CRO56" s="12"/>
      <c r="CRP56" s="12"/>
      <c r="CRQ56" s="12"/>
      <c r="CRR56" s="12"/>
      <c r="CRS56" s="12"/>
      <c r="CRT56" s="12"/>
      <c r="CRU56" s="12"/>
      <c r="CRV56" s="12"/>
      <c r="CRW56" s="12"/>
      <c r="CRX56" s="12"/>
      <c r="CRY56" s="12"/>
      <c r="CRZ56" s="12"/>
      <c r="CSA56" s="12"/>
      <c r="CSB56" s="12"/>
      <c r="CSC56" s="12"/>
      <c r="CSD56" s="12"/>
      <c r="CSE56" s="12"/>
      <c r="CSF56" s="12"/>
      <c r="CSG56" s="12"/>
      <c r="CSH56" s="12"/>
      <c r="CSI56" s="12"/>
      <c r="CSJ56" s="12"/>
      <c r="CSK56" s="12"/>
      <c r="CSL56" s="12"/>
      <c r="CSM56" s="12"/>
      <c r="CSN56" s="12"/>
      <c r="CSO56" s="12"/>
      <c r="CSP56" s="12"/>
      <c r="CSQ56" s="12"/>
      <c r="CSR56" s="12"/>
      <c r="CSS56" s="12"/>
      <c r="CST56" s="12"/>
      <c r="CSU56" s="12"/>
      <c r="CSV56" s="12"/>
      <c r="CSW56" s="12"/>
      <c r="CSX56" s="12"/>
      <c r="CSY56" s="12"/>
      <c r="CSZ56" s="12"/>
      <c r="CTA56" s="12"/>
      <c r="CTB56" s="12"/>
      <c r="CTC56" s="12"/>
      <c r="CTD56" s="12"/>
      <c r="CTE56" s="12"/>
      <c r="CTF56" s="12"/>
      <c r="CTG56" s="12"/>
      <c r="CTH56" s="12"/>
      <c r="CTI56" s="12"/>
      <c r="CTJ56" s="12"/>
      <c r="CTK56" s="12"/>
      <c r="CTL56" s="12"/>
      <c r="CTM56" s="12"/>
      <c r="CTN56" s="12"/>
      <c r="CTO56" s="12"/>
      <c r="CTP56" s="12"/>
      <c r="CTQ56" s="12"/>
      <c r="CTR56" s="12"/>
      <c r="CTS56" s="12"/>
      <c r="CTT56" s="12"/>
      <c r="CTU56" s="12"/>
      <c r="CTV56" s="12"/>
      <c r="CTW56" s="12"/>
      <c r="CTX56" s="12"/>
      <c r="CTY56" s="12"/>
      <c r="CTZ56" s="12"/>
      <c r="CUA56" s="12"/>
      <c r="CUB56" s="12"/>
      <c r="CUC56" s="12"/>
      <c r="CUD56" s="12"/>
      <c r="CUE56" s="12"/>
      <c r="CUF56" s="12"/>
      <c r="CUG56" s="12"/>
      <c r="CUH56" s="12"/>
      <c r="CUI56" s="12"/>
      <c r="CUJ56" s="12"/>
      <c r="CUK56" s="12"/>
      <c r="CUL56" s="12"/>
      <c r="CUM56" s="12"/>
      <c r="CUN56" s="12"/>
      <c r="CUO56" s="12"/>
      <c r="CUP56" s="12"/>
      <c r="CUQ56" s="12"/>
      <c r="CUR56" s="12"/>
      <c r="CUS56" s="12"/>
      <c r="CUT56" s="12"/>
      <c r="CUU56" s="12"/>
      <c r="CUV56" s="12"/>
      <c r="CUW56" s="12"/>
      <c r="CUX56" s="12"/>
      <c r="CUY56" s="12"/>
      <c r="CUZ56" s="12"/>
      <c r="CVA56" s="12"/>
      <c r="CVB56" s="12"/>
      <c r="CVC56" s="12"/>
      <c r="CVD56" s="12"/>
      <c r="CVE56" s="12"/>
      <c r="CVF56" s="12"/>
      <c r="CVG56" s="12"/>
      <c r="CVH56" s="12"/>
      <c r="CVI56" s="12"/>
      <c r="CVJ56" s="12"/>
      <c r="CVK56" s="12"/>
      <c r="CVL56" s="12"/>
      <c r="CVM56" s="12"/>
      <c r="CVN56" s="12"/>
      <c r="CVO56" s="12"/>
      <c r="CVP56" s="12"/>
      <c r="CVQ56" s="12"/>
      <c r="CVR56" s="12"/>
      <c r="CVS56" s="12"/>
      <c r="CVT56" s="12"/>
      <c r="CVU56" s="12"/>
      <c r="CVV56" s="12"/>
      <c r="CVW56" s="12"/>
      <c r="CVX56" s="12"/>
      <c r="CVY56" s="12"/>
      <c r="CVZ56" s="12"/>
      <c r="CWA56" s="12"/>
      <c r="CWB56" s="12"/>
      <c r="CWC56" s="12"/>
      <c r="CWD56" s="12"/>
      <c r="CWE56" s="12"/>
      <c r="CWF56" s="12"/>
      <c r="CWG56" s="12"/>
      <c r="CWH56" s="12"/>
      <c r="CWI56" s="12"/>
      <c r="CWJ56" s="12"/>
      <c r="CWK56" s="12"/>
      <c r="CWL56" s="12"/>
      <c r="CWM56" s="12"/>
      <c r="CWN56" s="12"/>
      <c r="CWO56" s="12"/>
      <c r="CWP56" s="12"/>
      <c r="CWQ56" s="12"/>
      <c r="CWR56" s="12"/>
      <c r="CWS56" s="12"/>
      <c r="CWT56" s="12"/>
      <c r="CWU56" s="12"/>
      <c r="CWV56" s="12"/>
      <c r="CWW56" s="12"/>
      <c r="CWX56" s="12"/>
      <c r="CWY56" s="12"/>
      <c r="CWZ56" s="12"/>
      <c r="CXA56" s="12"/>
      <c r="CXB56" s="12"/>
      <c r="CXC56" s="12"/>
      <c r="CXD56" s="12"/>
      <c r="CXE56" s="12"/>
      <c r="CXF56" s="12"/>
      <c r="CXG56" s="12"/>
      <c r="CXH56" s="12"/>
      <c r="CXI56" s="12"/>
      <c r="CXJ56" s="12"/>
      <c r="CXK56" s="12"/>
      <c r="CXL56" s="12"/>
      <c r="CXM56" s="12"/>
      <c r="CXN56" s="12"/>
      <c r="CXO56" s="12"/>
      <c r="CXP56" s="12"/>
      <c r="CXQ56" s="12"/>
      <c r="CXR56" s="12"/>
      <c r="CXS56" s="12"/>
      <c r="CXT56" s="12"/>
      <c r="CXU56" s="12"/>
      <c r="CXV56" s="12"/>
      <c r="CXW56" s="12"/>
      <c r="CXX56" s="12"/>
      <c r="CXY56" s="12"/>
      <c r="CXZ56" s="12"/>
      <c r="CYA56" s="12"/>
      <c r="CYB56" s="12"/>
      <c r="CYC56" s="12"/>
      <c r="CYD56" s="12"/>
      <c r="CYE56" s="12"/>
      <c r="CYF56" s="12"/>
      <c r="CYG56" s="12"/>
      <c r="CYH56" s="12"/>
      <c r="CYI56" s="12"/>
      <c r="CYJ56" s="12"/>
      <c r="CYK56" s="12"/>
      <c r="CYL56" s="12"/>
      <c r="CYM56" s="12"/>
      <c r="CYN56" s="12"/>
      <c r="CYO56" s="12"/>
      <c r="CYP56" s="12"/>
      <c r="CYQ56" s="12"/>
      <c r="CYR56" s="12"/>
      <c r="CYS56" s="12"/>
      <c r="CYT56" s="12"/>
      <c r="CYU56" s="12"/>
      <c r="CYV56" s="12"/>
      <c r="CYW56" s="12"/>
      <c r="CYX56" s="12"/>
      <c r="CYY56" s="12"/>
      <c r="CYZ56" s="12"/>
      <c r="CZA56" s="12"/>
      <c r="CZB56" s="12"/>
      <c r="CZC56" s="12"/>
      <c r="CZD56" s="12"/>
      <c r="CZE56" s="12"/>
      <c r="CZF56" s="12"/>
      <c r="CZG56" s="12"/>
      <c r="CZH56" s="12"/>
      <c r="CZI56" s="12"/>
      <c r="CZJ56" s="12"/>
      <c r="CZK56" s="12"/>
      <c r="CZL56" s="12"/>
      <c r="CZM56" s="12"/>
      <c r="CZN56" s="12"/>
      <c r="CZO56" s="12"/>
      <c r="CZP56" s="12"/>
      <c r="CZQ56" s="12"/>
      <c r="CZR56" s="12"/>
      <c r="CZS56" s="12"/>
      <c r="CZT56" s="12"/>
      <c r="CZU56" s="12"/>
      <c r="CZV56" s="12"/>
      <c r="CZW56" s="12"/>
      <c r="CZX56" s="12"/>
      <c r="CZY56" s="12"/>
      <c r="CZZ56" s="12"/>
      <c r="DAA56" s="12"/>
      <c r="DAB56" s="12"/>
      <c r="DAC56" s="12"/>
      <c r="DAD56" s="12"/>
      <c r="DAE56" s="12"/>
      <c r="DAF56" s="12"/>
      <c r="DAG56" s="12"/>
      <c r="DAH56" s="12"/>
      <c r="DAI56" s="12"/>
      <c r="DAJ56" s="12"/>
      <c r="DAK56" s="12"/>
      <c r="DAL56" s="12"/>
      <c r="DAM56" s="12"/>
      <c r="DAN56" s="12"/>
      <c r="DAO56" s="12"/>
      <c r="DAP56" s="12"/>
      <c r="DAQ56" s="12"/>
      <c r="DAR56" s="12"/>
      <c r="DAS56" s="12"/>
      <c r="DAT56" s="12"/>
      <c r="DAU56" s="12"/>
      <c r="DAV56" s="12"/>
      <c r="DAW56" s="12"/>
      <c r="DAX56" s="12"/>
      <c r="DAY56" s="12"/>
      <c r="DAZ56" s="12"/>
      <c r="DBA56" s="12"/>
      <c r="DBB56" s="12"/>
      <c r="DBC56" s="12"/>
      <c r="DBD56" s="12"/>
      <c r="DBE56" s="12"/>
      <c r="DBF56" s="12"/>
      <c r="DBG56" s="12"/>
      <c r="DBH56" s="12"/>
      <c r="DBI56" s="12"/>
      <c r="DBJ56" s="12"/>
      <c r="DBK56" s="12"/>
      <c r="DBL56" s="12"/>
      <c r="DBM56" s="12"/>
      <c r="DBN56" s="12"/>
      <c r="DBO56" s="12"/>
      <c r="DBP56" s="12"/>
      <c r="DBQ56" s="12"/>
      <c r="DBR56" s="12"/>
      <c r="DBS56" s="12"/>
      <c r="DBT56" s="12"/>
      <c r="DBU56" s="12"/>
      <c r="DBV56" s="12"/>
      <c r="DBW56" s="12"/>
      <c r="DBX56" s="12"/>
      <c r="DBY56" s="12"/>
      <c r="DBZ56" s="12"/>
      <c r="DCA56" s="12"/>
      <c r="DCB56" s="12"/>
      <c r="DCC56" s="12"/>
      <c r="DCD56" s="12"/>
      <c r="DCE56" s="12"/>
      <c r="DCF56" s="12"/>
      <c r="DCG56" s="12"/>
      <c r="DCH56" s="12"/>
      <c r="DCI56" s="12"/>
      <c r="DCJ56" s="12"/>
      <c r="DCK56" s="12"/>
      <c r="DCL56" s="12"/>
      <c r="DCM56" s="12"/>
      <c r="DCN56" s="12"/>
      <c r="DCO56" s="12"/>
      <c r="DCP56" s="12"/>
      <c r="DCQ56" s="12"/>
      <c r="DCR56" s="12"/>
      <c r="DCS56" s="12"/>
      <c r="DCT56" s="12"/>
      <c r="DCU56" s="12"/>
      <c r="DCV56" s="12"/>
      <c r="DCW56" s="12"/>
      <c r="DCX56" s="12"/>
      <c r="DCY56" s="12"/>
      <c r="DCZ56" s="12"/>
      <c r="DDA56" s="12"/>
      <c r="DDB56" s="12"/>
      <c r="DDC56" s="12"/>
      <c r="DDD56" s="12"/>
      <c r="DDE56" s="12"/>
      <c r="DDF56" s="12"/>
      <c r="DDG56" s="12"/>
      <c r="DDH56" s="12"/>
      <c r="DDI56" s="12"/>
      <c r="DDJ56" s="12"/>
      <c r="DDK56" s="12"/>
      <c r="DDL56" s="12"/>
      <c r="DDM56" s="12"/>
      <c r="DDN56" s="12"/>
      <c r="DDO56" s="12"/>
      <c r="DDP56" s="12"/>
      <c r="DDQ56" s="12"/>
      <c r="DDR56" s="12"/>
      <c r="DDS56" s="12"/>
      <c r="DDT56" s="12"/>
      <c r="DDU56" s="12"/>
      <c r="DDV56" s="12"/>
      <c r="DDW56" s="12"/>
      <c r="DDX56" s="12"/>
      <c r="DDY56" s="12"/>
      <c r="DDZ56" s="12"/>
      <c r="DEA56" s="12"/>
      <c r="DEB56" s="12"/>
      <c r="DEC56" s="12"/>
      <c r="DED56" s="12"/>
      <c r="DEE56" s="12"/>
      <c r="DEF56" s="12"/>
      <c r="DEG56" s="12"/>
      <c r="DEH56" s="12"/>
      <c r="DEI56" s="12"/>
      <c r="DEJ56" s="12"/>
      <c r="DEK56" s="12"/>
      <c r="DEL56" s="12"/>
      <c r="DEM56" s="12"/>
      <c r="DEN56" s="12"/>
      <c r="DEO56" s="12"/>
      <c r="DEP56" s="12"/>
      <c r="DEQ56" s="12"/>
      <c r="DER56" s="12"/>
      <c r="DES56" s="12"/>
      <c r="DET56" s="12"/>
      <c r="DEU56" s="12"/>
      <c r="DEV56" s="12"/>
      <c r="DEW56" s="12"/>
      <c r="DEX56" s="12"/>
      <c r="DEY56" s="12"/>
      <c r="DEZ56" s="12"/>
      <c r="DFA56" s="12"/>
      <c r="DFB56" s="12"/>
      <c r="DFC56" s="12"/>
      <c r="DFD56" s="12"/>
      <c r="DFE56" s="12"/>
      <c r="DFF56" s="12"/>
      <c r="DFG56" s="12"/>
      <c r="DFH56" s="12"/>
      <c r="DFI56" s="12"/>
      <c r="DFJ56" s="12"/>
      <c r="DFK56" s="12"/>
      <c r="DFL56" s="12"/>
      <c r="DFM56" s="12"/>
      <c r="DFN56" s="12"/>
      <c r="DFO56" s="12"/>
      <c r="DFP56" s="12"/>
      <c r="DFQ56" s="12"/>
      <c r="DFR56" s="12"/>
      <c r="DFS56" s="12"/>
      <c r="DFT56" s="12"/>
      <c r="DFU56" s="12"/>
      <c r="DFV56" s="12"/>
      <c r="DFW56" s="12"/>
      <c r="DFX56" s="12"/>
      <c r="DFY56" s="12"/>
      <c r="DFZ56" s="12"/>
      <c r="DGA56" s="12"/>
      <c r="DGB56" s="12"/>
      <c r="DGC56" s="12"/>
      <c r="DGD56" s="12"/>
      <c r="DGE56" s="12"/>
      <c r="DGF56" s="12"/>
      <c r="DGG56" s="12"/>
      <c r="DGH56" s="12"/>
      <c r="DGI56" s="12"/>
      <c r="DGJ56" s="12"/>
      <c r="DGK56" s="12"/>
      <c r="DGL56" s="12"/>
      <c r="DGM56" s="12"/>
      <c r="DGN56" s="12"/>
      <c r="DGO56" s="12"/>
      <c r="DGP56" s="12"/>
      <c r="DGQ56" s="12"/>
      <c r="DGR56" s="12"/>
      <c r="DGS56" s="12"/>
      <c r="DGT56" s="12"/>
      <c r="DGU56" s="12"/>
      <c r="DGV56" s="12"/>
      <c r="DGW56" s="12"/>
      <c r="DGX56" s="12"/>
      <c r="DGY56" s="12"/>
      <c r="DGZ56" s="12"/>
      <c r="DHA56" s="12"/>
      <c r="DHB56" s="12"/>
      <c r="DHC56" s="12"/>
      <c r="DHD56" s="12"/>
      <c r="DHE56" s="12"/>
      <c r="DHF56" s="12"/>
      <c r="DHG56" s="12"/>
      <c r="DHH56" s="12"/>
      <c r="DHI56" s="12"/>
      <c r="DHJ56" s="12"/>
      <c r="DHK56" s="12"/>
      <c r="DHL56" s="12"/>
      <c r="DHM56" s="12"/>
      <c r="DHN56" s="12"/>
      <c r="DHO56" s="12"/>
      <c r="DHP56" s="12"/>
      <c r="DHQ56" s="12"/>
      <c r="DHR56" s="12"/>
      <c r="DHS56" s="12"/>
      <c r="DHT56" s="12"/>
      <c r="DHU56" s="12"/>
      <c r="DHV56" s="12"/>
      <c r="DHW56" s="12"/>
      <c r="DHX56" s="12"/>
      <c r="DHY56" s="12"/>
      <c r="DHZ56" s="12"/>
      <c r="DIA56" s="12"/>
      <c r="DIB56" s="12"/>
      <c r="DIC56" s="12"/>
      <c r="DID56" s="12"/>
      <c r="DIE56" s="12"/>
      <c r="DIF56" s="12"/>
      <c r="DIG56" s="12"/>
      <c r="DIH56" s="12"/>
      <c r="DII56" s="12"/>
      <c r="DIJ56" s="12"/>
      <c r="DIK56" s="12"/>
      <c r="DIL56" s="12"/>
      <c r="DIM56" s="12"/>
      <c r="DIN56" s="12"/>
      <c r="DIO56" s="12"/>
      <c r="DIP56" s="12"/>
      <c r="DIQ56" s="12"/>
      <c r="DIR56" s="12"/>
      <c r="DIS56" s="12"/>
      <c r="DIT56" s="12"/>
      <c r="DIU56" s="12"/>
      <c r="DIV56" s="12"/>
      <c r="DIW56" s="12"/>
      <c r="DIX56" s="12"/>
      <c r="DIY56" s="12"/>
      <c r="DIZ56" s="12"/>
      <c r="DJA56" s="12"/>
      <c r="DJB56" s="12"/>
      <c r="DJC56" s="12"/>
      <c r="DJD56" s="12"/>
      <c r="DJE56" s="12"/>
      <c r="DJF56" s="12"/>
      <c r="DJG56" s="12"/>
      <c r="DJH56" s="12"/>
      <c r="DJI56" s="12"/>
      <c r="DJJ56" s="12"/>
      <c r="DJK56" s="12"/>
      <c r="DJL56" s="12"/>
      <c r="DJM56" s="12"/>
      <c r="DJN56" s="12"/>
      <c r="DJO56" s="12"/>
      <c r="DJP56" s="12"/>
      <c r="DJQ56" s="12"/>
      <c r="DJR56" s="12"/>
      <c r="DJS56" s="12"/>
      <c r="DJT56" s="12"/>
      <c r="DJU56" s="12"/>
      <c r="DJV56" s="12"/>
      <c r="DJW56" s="12"/>
      <c r="DJX56" s="12"/>
      <c r="DJY56" s="12"/>
      <c r="DJZ56" s="12"/>
      <c r="DKA56" s="12"/>
      <c r="DKB56" s="12"/>
      <c r="DKC56" s="12"/>
      <c r="DKD56" s="12"/>
      <c r="DKE56" s="12"/>
      <c r="DKF56" s="12"/>
      <c r="DKG56" s="12"/>
      <c r="DKH56" s="12"/>
      <c r="DKI56" s="12"/>
      <c r="DKJ56" s="12"/>
      <c r="DKK56" s="12"/>
      <c r="DKL56" s="12"/>
      <c r="DKM56" s="12"/>
      <c r="DKN56" s="12"/>
      <c r="DKO56" s="12"/>
      <c r="DKP56" s="12"/>
      <c r="DKQ56" s="12"/>
      <c r="DKR56" s="12"/>
      <c r="DKS56" s="12"/>
      <c r="DKT56" s="12"/>
      <c r="DKU56" s="12"/>
      <c r="DKV56" s="12"/>
      <c r="DKW56" s="12"/>
      <c r="DKX56" s="12"/>
      <c r="DKY56" s="12"/>
      <c r="DKZ56" s="12"/>
      <c r="DLA56" s="12"/>
      <c r="DLB56" s="12"/>
      <c r="DLC56" s="12"/>
      <c r="DLD56" s="12"/>
      <c r="DLE56" s="12"/>
      <c r="DLF56" s="12"/>
      <c r="DLG56" s="12"/>
      <c r="DLH56" s="12"/>
      <c r="DLI56" s="12"/>
      <c r="DLJ56" s="12"/>
      <c r="DLK56" s="12"/>
      <c r="DLL56" s="12"/>
      <c r="DLM56" s="12"/>
      <c r="DLN56" s="12"/>
      <c r="DLO56" s="12"/>
      <c r="DLP56" s="12"/>
      <c r="DLQ56" s="12"/>
      <c r="DLR56" s="12"/>
      <c r="DLS56" s="12"/>
      <c r="DLT56" s="12"/>
      <c r="DLU56" s="12"/>
      <c r="DLV56" s="12"/>
      <c r="DLW56" s="12"/>
      <c r="DLX56" s="12"/>
      <c r="DLY56" s="12"/>
      <c r="DLZ56" s="12"/>
      <c r="DMA56" s="12"/>
      <c r="DMB56" s="12"/>
      <c r="DMC56" s="12"/>
      <c r="DMD56" s="12"/>
      <c r="DME56" s="12"/>
      <c r="DMF56" s="12"/>
      <c r="DMG56" s="12"/>
      <c r="DMH56" s="12"/>
      <c r="DMI56" s="12"/>
      <c r="DMJ56" s="12"/>
      <c r="DMK56" s="12"/>
      <c r="DML56" s="12"/>
      <c r="DMM56" s="12"/>
      <c r="DMN56" s="12"/>
      <c r="DMO56" s="12"/>
      <c r="DMP56" s="12"/>
      <c r="DMQ56" s="12"/>
      <c r="DMR56" s="12"/>
      <c r="DMS56" s="12"/>
      <c r="DMT56" s="12"/>
      <c r="DMU56" s="12"/>
      <c r="DMV56" s="12"/>
      <c r="DMW56" s="12"/>
      <c r="DMX56" s="12"/>
      <c r="DMY56" s="12"/>
      <c r="DMZ56" s="12"/>
      <c r="DNA56" s="12"/>
      <c r="DNB56" s="12"/>
      <c r="DNC56" s="12"/>
      <c r="DND56" s="12"/>
      <c r="DNE56" s="12"/>
      <c r="DNF56" s="12"/>
      <c r="DNG56" s="12"/>
      <c r="DNH56" s="12"/>
      <c r="DNI56" s="12"/>
      <c r="DNJ56" s="12"/>
      <c r="DNK56" s="12"/>
      <c r="DNL56" s="12"/>
      <c r="DNM56" s="12"/>
      <c r="DNN56" s="12"/>
      <c r="DNO56" s="12"/>
      <c r="DNP56" s="12"/>
      <c r="DNQ56" s="12"/>
      <c r="DNR56" s="12"/>
      <c r="DNS56" s="12"/>
      <c r="DNT56" s="12"/>
      <c r="DNU56" s="12"/>
      <c r="DNV56" s="12"/>
      <c r="DNW56" s="12"/>
      <c r="DNX56" s="12"/>
      <c r="DNY56" s="12"/>
      <c r="DNZ56" s="12"/>
      <c r="DOA56" s="12"/>
      <c r="DOB56" s="12"/>
      <c r="DOC56" s="12"/>
      <c r="DOD56" s="12"/>
      <c r="DOE56" s="12"/>
      <c r="DOF56" s="12"/>
      <c r="DOG56" s="12"/>
      <c r="DOH56" s="12"/>
      <c r="DOI56" s="12"/>
      <c r="DOJ56" s="12"/>
      <c r="DOK56" s="12"/>
      <c r="DOL56" s="12"/>
      <c r="DOM56" s="12"/>
      <c r="DON56" s="12"/>
      <c r="DOO56" s="12"/>
      <c r="DOP56" s="12"/>
      <c r="DOQ56" s="12"/>
      <c r="DOR56" s="12"/>
      <c r="DOS56" s="12"/>
      <c r="DOT56" s="12"/>
      <c r="DOU56" s="12"/>
      <c r="DOV56" s="12"/>
      <c r="DOW56" s="12"/>
      <c r="DOX56" s="12"/>
      <c r="DOY56" s="12"/>
      <c r="DOZ56" s="12"/>
      <c r="DPA56" s="12"/>
      <c r="DPB56" s="12"/>
      <c r="DPC56" s="12"/>
      <c r="DPD56" s="12"/>
      <c r="DPE56" s="12"/>
      <c r="DPF56" s="12"/>
      <c r="DPG56" s="12"/>
      <c r="DPH56" s="12"/>
      <c r="DPI56" s="12"/>
      <c r="DPJ56" s="12"/>
      <c r="DPK56" s="12"/>
      <c r="DPL56" s="12"/>
      <c r="DPM56" s="12"/>
      <c r="DPN56" s="12"/>
      <c r="DPO56" s="12"/>
      <c r="DPP56" s="12"/>
      <c r="DPQ56" s="12"/>
      <c r="DPR56" s="12"/>
      <c r="DPS56" s="12"/>
      <c r="DPT56" s="12"/>
      <c r="DPU56" s="12"/>
      <c r="DPV56" s="12"/>
      <c r="DPW56" s="12"/>
      <c r="DPX56" s="12"/>
      <c r="DPY56" s="12"/>
      <c r="DPZ56" s="12"/>
      <c r="DQA56" s="12"/>
      <c r="DQB56" s="12"/>
      <c r="DQC56" s="12"/>
      <c r="DQD56" s="12"/>
      <c r="DQE56" s="12"/>
      <c r="DQF56" s="12"/>
      <c r="DQG56" s="12"/>
      <c r="DQH56" s="12"/>
      <c r="DQI56" s="12"/>
      <c r="DQJ56" s="12"/>
      <c r="DQK56" s="12"/>
      <c r="DQL56" s="12"/>
      <c r="DQM56" s="12"/>
      <c r="DQN56" s="12"/>
      <c r="DQO56" s="12"/>
      <c r="DQP56" s="12"/>
      <c r="DQQ56" s="12"/>
      <c r="DQR56" s="12"/>
      <c r="DQS56" s="12"/>
      <c r="DQT56" s="12"/>
      <c r="DQU56" s="12"/>
      <c r="DQV56" s="12"/>
      <c r="DQW56" s="12"/>
      <c r="DQX56" s="12"/>
      <c r="DQY56" s="12"/>
      <c r="DQZ56" s="12"/>
      <c r="DRA56" s="12"/>
      <c r="DRB56" s="12"/>
      <c r="DRC56" s="12"/>
      <c r="DRD56" s="12"/>
      <c r="DRE56" s="12"/>
      <c r="DRF56" s="12"/>
      <c r="DRG56" s="12"/>
      <c r="DRH56" s="12"/>
      <c r="DRI56" s="12"/>
      <c r="DRJ56" s="12"/>
      <c r="DRK56" s="12"/>
      <c r="DRL56" s="12"/>
      <c r="DRM56" s="12"/>
      <c r="DRN56" s="12"/>
      <c r="DRO56" s="12"/>
      <c r="DRP56" s="12"/>
      <c r="DRQ56" s="12"/>
      <c r="DRR56" s="12"/>
      <c r="DRS56" s="12"/>
      <c r="DRT56" s="12"/>
      <c r="DRU56" s="12"/>
      <c r="DRV56" s="12"/>
      <c r="DRW56" s="12"/>
      <c r="DRX56" s="12"/>
      <c r="DRY56" s="12"/>
      <c r="DRZ56" s="12"/>
      <c r="DSA56" s="12"/>
      <c r="DSB56" s="12"/>
      <c r="DSC56" s="12"/>
      <c r="DSD56" s="12"/>
      <c r="DSE56" s="12"/>
      <c r="DSF56" s="12"/>
      <c r="DSG56" s="12"/>
      <c r="DSH56" s="12"/>
      <c r="DSI56" s="12"/>
      <c r="DSJ56" s="12"/>
      <c r="DSK56" s="12"/>
      <c r="DSL56" s="12"/>
      <c r="DSM56" s="12"/>
      <c r="DSN56" s="12"/>
      <c r="DSO56" s="12"/>
      <c r="DSP56" s="12"/>
      <c r="DSQ56" s="12"/>
      <c r="DSR56" s="12"/>
      <c r="DSS56" s="12"/>
      <c r="DST56" s="12"/>
      <c r="DSU56" s="12"/>
      <c r="DSV56" s="12"/>
      <c r="DSW56" s="12"/>
      <c r="DSX56" s="12"/>
      <c r="DSY56" s="12"/>
      <c r="DSZ56" s="12"/>
      <c r="DTA56" s="12"/>
      <c r="DTB56" s="12"/>
      <c r="DTC56" s="12"/>
      <c r="DTD56" s="12"/>
      <c r="DTE56" s="12"/>
      <c r="DTF56" s="12"/>
      <c r="DTG56" s="12"/>
      <c r="DTH56" s="12"/>
      <c r="DTI56" s="12"/>
      <c r="DTJ56" s="12"/>
      <c r="DTK56" s="12"/>
      <c r="DTL56" s="12"/>
      <c r="DTM56" s="12"/>
      <c r="DTN56" s="12"/>
      <c r="DTO56" s="12"/>
      <c r="DTP56" s="12"/>
      <c r="DTQ56" s="12"/>
      <c r="DTR56" s="12"/>
      <c r="DTS56" s="12"/>
      <c r="DTT56" s="12"/>
      <c r="DTU56" s="12"/>
      <c r="DTV56" s="12"/>
      <c r="DTW56" s="12"/>
      <c r="DTX56" s="12"/>
      <c r="DTY56" s="12"/>
      <c r="DTZ56" s="12"/>
      <c r="DUA56" s="12"/>
      <c r="DUB56" s="12"/>
      <c r="DUC56" s="12"/>
      <c r="DUD56" s="12"/>
      <c r="DUE56" s="12"/>
      <c r="DUF56" s="12"/>
      <c r="DUG56" s="12"/>
      <c r="DUH56" s="12"/>
      <c r="DUI56" s="12"/>
      <c r="DUJ56" s="12"/>
      <c r="DUK56" s="12"/>
      <c r="DUL56" s="12"/>
      <c r="DUM56" s="12"/>
      <c r="DUN56" s="12"/>
      <c r="DUO56" s="12"/>
      <c r="DUP56" s="12"/>
      <c r="DUQ56" s="12"/>
      <c r="DUR56" s="12"/>
      <c r="DUS56" s="12"/>
      <c r="DUT56" s="12"/>
      <c r="DUU56" s="12"/>
      <c r="DUV56" s="12"/>
      <c r="DUW56" s="12"/>
      <c r="DUX56" s="12"/>
      <c r="DUY56" s="12"/>
      <c r="DUZ56" s="12"/>
      <c r="DVA56" s="12"/>
      <c r="DVB56" s="12"/>
      <c r="DVC56" s="12"/>
      <c r="DVD56" s="12"/>
      <c r="DVE56" s="12"/>
      <c r="DVF56" s="12"/>
      <c r="DVG56" s="12"/>
      <c r="DVH56" s="12"/>
      <c r="DVI56" s="12"/>
      <c r="DVJ56" s="12"/>
      <c r="DVK56" s="12"/>
      <c r="DVL56" s="12"/>
      <c r="DVM56" s="12"/>
      <c r="DVN56" s="12"/>
      <c r="DVO56" s="12"/>
      <c r="DVP56" s="12"/>
      <c r="DVQ56" s="12"/>
      <c r="DVR56" s="12"/>
      <c r="DVS56" s="12"/>
      <c r="DVT56" s="12"/>
      <c r="DVU56" s="12"/>
      <c r="DVV56" s="12"/>
      <c r="DVW56" s="12"/>
      <c r="DVX56" s="12"/>
      <c r="DVY56" s="12"/>
      <c r="DVZ56" s="12"/>
      <c r="DWA56" s="12"/>
      <c r="DWB56" s="12"/>
      <c r="DWC56" s="12"/>
      <c r="DWD56" s="12"/>
      <c r="DWE56" s="12"/>
      <c r="DWF56" s="12"/>
      <c r="DWG56" s="12"/>
      <c r="DWH56" s="12"/>
      <c r="DWI56" s="12"/>
      <c r="DWJ56" s="12"/>
      <c r="DWK56" s="12"/>
      <c r="DWL56" s="12"/>
      <c r="DWM56" s="12"/>
      <c r="DWN56" s="12"/>
      <c r="DWO56" s="12"/>
      <c r="DWP56" s="12"/>
      <c r="DWQ56" s="12"/>
      <c r="DWR56" s="12"/>
      <c r="DWS56" s="12"/>
      <c r="DWT56" s="12"/>
      <c r="DWU56" s="12"/>
      <c r="DWV56" s="12"/>
      <c r="DWW56" s="12"/>
      <c r="DWX56" s="12"/>
      <c r="DWY56" s="12"/>
      <c r="DWZ56" s="12"/>
      <c r="DXA56" s="12"/>
      <c r="DXB56" s="12"/>
      <c r="DXC56" s="12"/>
      <c r="DXD56" s="12"/>
      <c r="DXE56" s="12"/>
      <c r="DXF56" s="12"/>
      <c r="DXG56" s="12"/>
      <c r="DXH56" s="12"/>
      <c r="DXI56" s="12"/>
      <c r="DXJ56" s="12"/>
      <c r="DXK56" s="12"/>
      <c r="DXL56" s="12"/>
      <c r="DXM56" s="12"/>
      <c r="DXN56" s="12"/>
      <c r="DXO56" s="12"/>
      <c r="DXP56" s="12"/>
      <c r="DXQ56" s="12"/>
      <c r="DXR56" s="12"/>
      <c r="DXS56" s="12"/>
      <c r="DXT56" s="12"/>
      <c r="DXU56" s="12"/>
      <c r="DXV56" s="12"/>
      <c r="DXW56" s="12"/>
      <c r="DXX56" s="12"/>
      <c r="DXY56" s="12"/>
      <c r="DXZ56" s="12"/>
      <c r="DYA56" s="12"/>
      <c r="DYB56" s="12"/>
      <c r="DYC56" s="12"/>
      <c r="DYD56" s="12"/>
      <c r="DYE56" s="12"/>
      <c r="DYF56" s="12"/>
      <c r="DYG56" s="12"/>
      <c r="DYH56" s="12"/>
      <c r="DYI56" s="12"/>
      <c r="DYJ56" s="12"/>
      <c r="DYK56" s="12"/>
      <c r="DYL56" s="12"/>
      <c r="DYM56" s="12"/>
      <c r="DYN56" s="12"/>
      <c r="DYO56" s="12"/>
      <c r="DYP56" s="12"/>
      <c r="DYQ56" s="12"/>
      <c r="DYR56" s="12"/>
      <c r="DYS56" s="12"/>
      <c r="DYT56" s="12"/>
      <c r="DYU56" s="12"/>
      <c r="DYV56" s="12"/>
      <c r="DYW56" s="12"/>
      <c r="DYX56" s="12"/>
      <c r="DYY56" s="12"/>
      <c r="DYZ56" s="12"/>
      <c r="DZA56" s="12"/>
      <c r="DZB56" s="12"/>
      <c r="DZC56" s="12"/>
      <c r="DZD56" s="12"/>
      <c r="DZE56" s="12"/>
      <c r="DZF56" s="12"/>
      <c r="DZG56" s="12"/>
      <c r="DZH56" s="12"/>
      <c r="DZI56" s="12"/>
      <c r="DZJ56" s="12"/>
      <c r="DZK56" s="12"/>
      <c r="DZL56" s="12"/>
      <c r="DZM56" s="12"/>
      <c r="DZN56" s="12"/>
      <c r="DZO56" s="12"/>
      <c r="DZP56" s="12"/>
      <c r="DZQ56" s="12"/>
      <c r="DZR56" s="12"/>
      <c r="DZS56" s="12"/>
      <c r="DZT56" s="12"/>
      <c r="DZU56" s="12"/>
      <c r="DZV56" s="12"/>
      <c r="DZW56" s="12"/>
      <c r="DZX56" s="12"/>
      <c r="DZY56" s="12"/>
      <c r="DZZ56" s="12"/>
      <c r="EAA56" s="12"/>
      <c r="EAB56" s="12"/>
      <c r="EAC56" s="12"/>
      <c r="EAD56" s="12"/>
      <c r="EAE56" s="12"/>
      <c r="EAF56" s="12"/>
      <c r="EAG56" s="12"/>
      <c r="EAH56" s="12"/>
      <c r="EAI56" s="12"/>
      <c r="EAJ56" s="12"/>
      <c r="EAK56" s="12"/>
      <c r="EAL56" s="12"/>
      <c r="EAM56" s="12"/>
      <c r="EAN56" s="12"/>
      <c r="EAO56" s="12"/>
      <c r="EAP56" s="12"/>
      <c r="EAQ56" s="12"/>
      <c r="EAR56" s="12"/>
      <c r="EAS56" s="12"/>
      <c r="EAT56" s="12"/>
      <c r="EAU56" s="12"/>
      <c r="EAV56" s="12"/>
      <c r="EAW56" s="12"/>
      <c r="EAX56" s="12"/>
      <c r="EAY56" s="12"/>
      <c r="EAZ56" s="12"/>
      <c r="EBA56" s="12"/>
      <c r="EBB56" s="12"/>
      <c r="EBC56" s="12"/>
      <c r="EBD56" s="12"/>
      <c r="EBE56" s="12"/>
      <c r="EBF56" s="12"/>
      <c r="EBG56" s="12"/>
      <c r="EBH56" s="12"/>
      <c r="EBI56" s="12"/>
      <c r="EBJ56" s="12"/>
      <c r="EBK56" s="12"/>
      <c r="EBL56" s="12"/>
      <c r="EBM56" s="12"/>
      <c r="EBN56" s="12"/>
      <c r="EBO56" s="12"/>
      <c r="EBP56" s="12"/>
      <c r="EBQ56" s="12"/>
      <c r="EBR56" s="12"/>
      <c r="EBS56" s="12"/>
      <c r="EBT56" s="12"/>
      <c r="EBU56" s="12"/>
      <c r="EBV56" s="12"/>
      <c r="EBW56" s="12"/>
      <c r="EBX56" s="12"/>
      <c r="EBY56" s="12"/>
      <c r="EBZ56" s="12"/>
      <c r="ECA56" s="12"/>
      <c r="ECB56" s="12"/>
      <c r="ECC56" s="12"/>
      <c r="ECD56" s="12"/>
      <c r="ECE56" s="12"/>
      <c r="ECF56" s="12"/>
      <c r="ECG56" s="12"/>
      <c r="ECH56" s="12"/>
      <c r="ECI56" s="12"/>
      <c r="ECJ56" s="12"/>
      <c r="ECK56" s="12"/>
      <c r="ECL56" s="12"/>
      <c r="ECM56" s="12"/>
      <c r="ECN56" s="12"/>
      <c r="ECO56" s="12"/>
      <c r="ECP56" s="12"/>
      <c r="ECQ56" s="12"/>
      <c r="ECR56" s="12"/>
      <c r="ECS56" s="12"/>
      <c r="ECT56" s="12"/>
      <c r="ECU56" s="12"/>
      <c r="ECV56" s="12"/>
      <c r="ECW56" s="12"/>
      <c r="ECX56" s="12"/>
      <c r="ECY56" s="12"/>
      <c r="ECZ56" s="12"/>
      <c r="EDA56" s="12"/>
      <c r="EDB56" s="12"/>
      <c r="EDC56" s="12"/>
      <c r="EDD56" s="12"/>
      <c r="EDE56" s="12"/>
      <c r="EDF56" s="12"/>
      <c r="EDG56" s="12"/>
      <c r="EDH56" s="12"/>
      <c r="EDI56" s="12"/>
      <c r="EDJ56" s="12"/>
      <c r="EDK56" s="12"/>
      <c r="EDL56" s="12"/>
      <c r="EDM56" s="12"/>
      <c r="EDN56" s="12"/>
      <c r="EDO56" s="12"/>
      <c r="EDP56" s="12"/>
      <c r="EDQ56" s="12"/>
      <c r="EDR56" s="12"/>
      <c r="EDS56" s="12"/>
      <c r="EDT56" s="12"/>
      <c r="EDU56" s="12"/>
      <c r="EDV56" s="12"/>
      <c r="EDW56" s="12"/>
      <c r="EDX56" s="12"/>
      <c r="EDY56" s="12"/>
      <c r="EDZ56" s="12"/>
      <c r="EEA56" s="12"/>
      <c r="EEB56" s="12"/>
      <c r="EEC56" s="12"/>
      <c r="EED56" s="12"/>
      <c r="EEE56" s="12"/>
      <c r="EEF56" s="12"/>
      <c r="EEG56" s="12"/>
      <c r="EEH56" s="12"/>
      <c r="EEI56" s="12"/>
      <c r="EEJ56" s="12"/>
      <c r="EEK56" s="12"/>
      <c r="EEL56" s="12"/>
      <c r="EEM56" s="12"/>
      <c r="EEN56" s="12"/>
      <c r="EEO56" s="12"/>
      <c r="EEP56" s="12"/>
      <c r="EEQ56" s="12"/>
      <c r="EER56" s="12"/>
      <c r="EES56" s="12"/>
      <c r="EET56" s="12"/>
      <c r="EEU56" s="12"/>
      <c r="EEV56" s="12"/>
      <c r="EEW56" s="12"/>
      <c r="EEX56" s="12"/>
      <c r="EEY56" s="12"/>
      <c r="EEZ56" s="12"/>
      <c r="EFA56" s="12"/>
      <c r="EFB56" s="12"/>
      <c r="EFC56" s="12"/>
      <c r="EFD56" s="12"/>
      <c r="EFE56" s="12"/>
      <c r="EFF56" s="12"/>
      <c r="EFG56" s="12"/>
      <c r="EFH56" s="12"/>
      <c r="EFI56" s="12"/>
      <c r="EFJ56" s="12"/>
      <c r="EFK56" s="12"/>
      <c r="EFL56" s="12"/>
      <c r="EFM56" s="12"/>
      <c r="EFN56" s="12"/>
      <c r="EFO56" s="12"/>
      <c r="EFP56" s="12"/>
      <c r="EFQ56" s="12"/>
      <c r="EFR56" s="12"/>
      <c r="EFS56" s="12"/>
      <c r="EFT56" s="12"/>
      <c r="EFU56" s="12"/>
      <c r="EFV56" s="12"/>
      <c r="EFW56" s="12"/>
      <c r="EFX56" s="12"/>
      <c r="EFY56" s="12"/>
      <c r="EFZ56" s="12"/>
      <c r="EGA56" s="12"/>
      <c r="EGB56" s="12"/>
      <c r="EGC56" s="12"/>
      <c r="EGD56" s="12"/>
      <c r="EGE56" s="12"/>
      <c r="EGF56" s="12"/>
      <c r="EGG56" s="12"/>
      <c r="EGH56" s="12"/>
      <c r="EGI56" s="12"/>
      <c r="EGJ56" s="12"/>
      <c r="EGK56" s="12"/>
      <c r="EGL56" s="12"/>
      <c r="EGM56" s="12"/>
      <c r="EGN56" s="12"/>
      <c r="EGO56" s="12"/>
      <c r="EGP56" s="12"/>
      <c r="EGQ56" s="12"/>
      <c r="EGR56" s="12"/>
      <c r="EGS56" s="12"/>
      <c r="EGT56" s="12"/>
      <c r="EGU56" s="12"/>
      <c r="EGV56" s="12"/>
      <c r="EGW56" s="12"/>
      <c r="EGX56" s="12"/>
      <c r="EGY56" s="12"/>
      <c r="EGZ56" s="12"/>
      <c r="EHA56" s="12"/>
      <c r="EHB56" s="12"/>
      <c r="EHC56" s="12"/>
      <c r="EHD56" s="12"/>
      <c r="EHE56" s="12"/>
      <c r="EHF56" s="12"/>
      <c r="EHG56" s="12"/>
      <c r="EHH56" s="12"/>
      <c r="EHI56" s="12"/>
      <c r="EHJ56" s="12"/>
      <c r="EHK56" s="12"/>
      <c r="EHL56" s="12"/>
      <c r="EHM56" s="12"/>
      <c r="EHN56" s="12"/>
      <c r="EHO56" s="12"/>
      <c r="EHP56" s="12"/>
      <c r="EHQ56" s="12"/>
      <c r="EHR56" s="12"/>
      <c r="EHS56" s="12"/>
      <c r="EHT56" s="12"/>
      <c r="EHU56" s="12"/>
      <c r="EHV56" s="12"/>
      <c r="EHW56" s="12"/>
      <c r="EHX56" s="12"/>
      <c r="EHY56" s="12"/>
      <c r="EHZ56" s="12"/>
      <c r="EIA56" s="12"/>
      <c r="EIB56" s="12"/>
      <c r="EIC56" s="12"/>
      <c r="EID56" s="12"/>
      <c r="EIE56" s="12"/>
      <c r="EIF56" s="12"/>
      <c r="EIG56" s="12"/>
      <c r="EIH56" s="12"/>
      <c r="EII56" s="12"/>
      <c r="EIJ56" s="12"/>
      <c r="EIK56" s="12"/>
      <c r="EIL56" s="12"/>
      <c r="EIM56" s="12"/>
      <c r="EIN56" s="12"/>
      <c r="EIO56" s="12"/>
      <c r="EIP56" s="12"/>
      <c r="EIQ56" s="12"/>
      <c r="EIR56" s="12"/>
      <c r="EIS56" s="12"/>
      <c r="EIT56" s="12"/>
      <c r="EIU56" s="12"/>
      <c r="EIV56" s="12"/>
      <c r="EIW56" s="12"/>
      <c r="EIX56" s="12"/>
      <c r="EIY56" s="12"/>
      <c r="EIZ56" s="12"/>
      <c r="EJA56" s="12"/>
      <c r="EJB56" s="12"/>
      <c r="EJC56" s="12"/>
      <c r="EJD56" s="12"/>
      <c r="EJE56" s="12"/>
      <c r="EJF56" s="12"/>
      <c r="EJG56" s="12"/>
      <c r="EJH56" s="12"/>
      <c r="EJI56" s="12"/>
      <c r="EJJ56" s="12"/>
      <c r="EJK56" s="12"/>
      <c r="EJL56" s="12"/>
      <c r="EJM56" s="12"/>
      <c r="EJN56" s="12"/>
      <c r="EJO56" s="12"/>
      <c r="EJP56" s="12"/>
      <c r="EJQ56" s="12"/>
      <c r="EJR56" s="12"/>
      <c r="EJS56" s="12"/>
      <c r="EJT56" s="12"/>
      <c r="EJU56" s="12"/>
      <c r="EJV56" s="12"/>
      <c r="EJW56" s="12"/>
      <c r="EJX56" s="12"/>
      <c r="EJY56" s="12"/>
      <c r="EJZ56" s="12"/>
      <c r="EKA56" s="12"/>
      <c r="EKB56" s="12"/>
      <c r="EKC56" s="12"/>
      <c r="EKD56" s="12"/>
      <c r="EKE56" s="12"/>
      <c r="EKF56" s="12"/>
      <c r="EKG56" s="12"/>
      <c r="EKH56" s="12"/>
      <c r="EKI56" s="12"/>
      <c r="EKJ56" s="12"/>
      <c r="EKK56" s="12"/>
      <c r="EKL56" s="12"/>
      <c r="EKM56" s="12"/>
      <c r="EKN56" s="12"/>
      <c r="EKO56" s="12"/>
      <c r="EKP56" s="12"/>
      <c r="EKQ56" s="12"/>
      <c r="EKR56" s="12"/>
      <c r="EKS56" s="12"/>
      <c r="EKT56" s="12"/>
      <c r="EKU56" s="12"/>
      <c r="EKV56" s="12"/>
      <c r="EKW56" s="12"/>
      <c r="EKX56" s="12"/>
      <c r="EKY56" s="12"/>
      <c r="EKZ56" s="12"/>
      <c r="ELA56" s="12"/>
      <c r="ELB56" s="12"/>
      <c r="ELC56" s="12"/>
      <c r="ELD56" s="12"/>
      <c r="ELE56" s="12"/>
      <c r="ELF56" s="12"/>
      <c r="ELG56" s="12"/>
      <c r="ELH56" s="12"/>
      <c r="ELI56" s="12"/>
      <c r="ELJ56" s="12"/>
      <c r="ELK56" s="12"/>
      <c r="ELL56" s="12"/>
      <c r="ELM56" s="12"/>
      <c r="ELN56" s="12"/>
      <c r="ELO56" s="12"/>
      <c r="ELP56" s="12"/>
      <c r="ELQ56" s="12"/>
      <c r="ELR56" s="12"/>
      <c r="ELS56" s="12"/>
      <c r="ELT56" s="12"/>
      <c r="ELU56" s="12"/>
      <c r="ELV56" s="12"/>
      <c r="ELW56" s="12"/>
      <c r="ELX56" s="12"/>
      <c r="ELY56" s="12"/>
      <c r="ELZ56" s="12"/>
      <c r="EMA56" s="12"/>
      <c r="EMB56" s="12"/>
      <c r="EMC56" s="12"/>
      <c r="EMD56" s="12"/>
      <c r="EME56" s="12"/>
      <c r="EMF56" s="12"/>
      <c r="EMG56" s="12"/>
      <c r="EMH56" s="12"/>
      <c r="EMI56" s="12"/>
      <c r="EMJ56" s="12"/>
      <c r="EMK56" s="12"/>
      <c r="EML56" s="12"/>
      <c r="EMM56" s="12"/>
      <c r="EMN56" s="12"/>
      <c r="EMO56" s="12"/>
      <c r="EMP56" s="12"/>
      <c r="EMQ56" s="12"/>
      <c r="EMR56" s="12"/>
      <c r="EMS56" s="12"/>
      <c r="EMT56" s="12"/>
      <c r="EMU56" s="12"/>
      <c r="EMV56" s="12"/>
      <c r="EMW56" s="12"/>
      <c r="EMX56" s="12"/>
      <c r="EMY56" s="12"/>
      <c r="EMZ56" s="12"/>
      <c r="ENA56" s="12"/>
      <c r="ENB56" s="12"/>
      <c r="ENC56" s="12"/>
      <c r="END56" s="12"/>
      <c r="ENE56" s="12"/>
      <c r="ENF56" s="12"/>
      <c r="ENG56" s="12"/>
      <c r="ENH56" s="12"/>
      <c r="ENI56" s="12"/>
      <c r="ENJ56" s="12"/>
      <c r="ENK56" s="12"/>
      <c r="ENL56" s="12"/>
      <c r="ENM56" s="12"/>
      <c r="ENN56" s="12"/>
      <c r="ENO56" s="12"/>
      <c r="ENP56" s="12"/>
      <c r="ENQ56" s="12"/>
      <c r="ENR56" s="12"/>
      <c r="ENS56" s="12"/>
      <c r="ENT56" s="12"/>
      <c r="ENU56" s="12"/>
      <c r="ENV56" s="12"/>
      <c r="ENW56" s="12"/>
      <c r="ENX56" s="12"/>
      <c r="ENY56" s="12"/>
      <c r="ENZ56" s="12"/>
      <c r="EOA56" s="12"/>
      <c r="EOB56" s="12"/>
      <c r="EOC56" s="12"/>
      <c r="EOD56" s="12"/>
      <c r="EOE56" s="12"/>
      <c r="EOF56" s="12"/>
      <c r="EOG56" s="12"/>
      <c r="EOH56" s="12"/>
      <c r="EOI56" s="12"/>
      <c r="EOJ56" s="12"/>
      <c r="EOK56" s="12"/>
      <c r="EOL56" s="12"/>
      <c r="EOM56" s="12"/>
      <c r="EON56" s="12"/>
      <c r="EOO56" s="12"/>
      <c r="EOP56" s="12"/>
      <c r="EOQ56" s="12"/>
      <c r="EOR56" s="12"/>
      <c r="EOS56" s="12"/>
      <c r="EOT56" s="12"/>
      <c r="EOU56" s="12"/>
      <c r="EOV56" s="12"/>
      <c r="EOW56" s="12"/>
      <c r="EOX56" s="12"/>
      <c r="EOY56" s="12"/>
      <c r="EOZ56" s="12"/>
      <c r="EPA56" s="12"/>
      <c r="EPB56" s="12"/>
      <c r="EPC56" s="12"/>
      <c r="EPD56" s="12"/>
      <c r="EPE56" s="12"/>
      <c r="EPF56" s="12"/>
      <c r="EPG56" s="12"/>
      <c r="EPH56" s="12"/>
      <c r="EPI56" s="12"/>
      <c r="EPJ56" s="12"/>
      <c r="EPK56" s="12"/>
      <c r="EPL56" s="12"/>
      <c r="EPM56" s="12"/>
      <c r="EPN56" s="12"/>
      <c r="EPO56" s="12"/>
      <c r="EPP56" s="12"/>
      <c r="EPQ56" s="12"/>
      <c r="EPR56" s="12"/>
      <c r="EPS56" s="12"/>
      <c r="EPT56" s="12"/>
      <c r="EPU56" s="12"/>
      <c r="EPV56" s="12"/>
      <c r="EPW56" s="12"/>
      <c r="EPX56" s="12"/>
      <c r="EPY56" s="12"/>
      <c r="EPZ56" s="12"/>
      <c r="EQA56" s="12"/>
      <c r="EQB56" s="12"/>
      <c r="EQC56" s="12"/>
      <c r="EQD56" s="12"/>
      <c r="EQE56" s="12"/>
      <c r="EQF56" s="12"/>
      <c r="EQG56" s="12"/>
      <c r="EQH56" s="12"/>
      <c r="EQI56" s="12"/>
      <c r="EQJ56" s="12"/>
      <c r="EQK56" s="12"/>
      <c r="EQL56" s="12"/>
      <c r="EQM56" s="12"/>
      <c r="EQN56" s="12"/>
      <c r="EQO56" s="12"/>
      <c r="EQP56" s="12"/>
      <c r="EQQ56" s="12"/>
      <c r="EQR56" s="12"/>
      <c r="EQS56" s="12"/>
      <c r="EQT56" s="12"/>
      <c r="EQU56" s="12"/>
      <c r="EQV56" s="12"/>
      <c r="EQW56" s="12"/>
      <c r="EQX56" s="12"/>
      <c r="EQY56" s="12"/>
      <c r="EQZ56" s="12"/>
      <c r="ERA56" s="12"/>
      <c r="ERB56" s="12"/>
      <c r="ERC56" s="12"/>
      <c r="ERD56" s="12"/>
      <c r="ERE56" s="12"/>
      <c r="ERF56" s="12"/>
      <c r="ERG56" s="12"/>
      <c r="ERH56" s="12"/>
      <c r="ERI56" s="12"/>
      <c r="ERJ56" s="12"/>
      <c r="ERK56" s="12"/>
      <c r="ERL56" s="12"/>
      <c r="ERM56" s="12"/>
      <c r="ERN56" s="12"/>
      <c r="ERO56" s="12"/>
      <c r="ERP56" s="12"/>
      <c r="ERQ56" s="12"/>
      <c r="ERR56" s="12"/>
      <c r="ERS56" s="12"/>
      <c r="ERT56" s="12"/>
      <c r="ERU56" s="12"/>
      <c r="ERV56" s="12"/>
      <c r="ERW56" s="12"/>
      <c r="ERX56" s="12"/>
      <c r="ERY56" s="12"/>
      <c r="ERZ56" s="12"/>
      <c r="ESA56" s="12"/>
      <c r="ESB56" s="12"/>
      <c r="ESC56" s="12"/>
      <c r="ESD56" s="12"/>
      <c r="ESE56" s="12"/>
      <c r="ESF56" s="12"/>
      <c r="ESG56" s="12"/>
      <c r="ESH56" s="12"/>
      <c r="ESI56" s="12"/>
      <c r="ESJ56" s="12"/>
      <c r="ESK56" s="12"/>
      <c r="ESL56" s="12"/>
      <c r="ESM56" s="12"/>
      <c r="ESN56" s="12"/>
      <c r="ESO56" s="12"/>
      <c r="ESP56" s="12"/>
      <c r="ESQ56" s="12"/>
      <c r="ESR56" s="12"/>
      <c r="ESS56" s="12"/>
      <c r="EST56" s="12"/>
      <c r="ESU56" s="12"/>
      <c r="ESV56" s="12"/>
      <c r="ESW56" s="12"/>
      <c r="ESX56" s="12"/>
      <c r="ESY56" s="12"/>
      <c r="ESZ56" s="12"/>
      <c r="ETA56" s="12"/>
      <c r="ETB56" s="12"/>
      <c r="ETC56" s="12"/>
      <c r="ETD56" s="12"/>
      <c r="ETE56" s="12"/>
      <c r="ETF56" s="12"/>
      <c r="ETG56" s="12"/>
      <c r="ETH56" s="12"/>
      <c r="ETI56" s="12"/>
      <c r="ETJ56" s="12"/>
      <c r="ETK56" s="12"/>
      <c r="ETL56" s="12"/>
      <c r="ETM56" s="12"/>
      <c r="ETN56" s="12"/>
      <c r="ETO56" s="12"/>
      <c r="ETP56" s="12"/>
      <c r="ETQ56" s="12"/>
      <c r="ETR56" s="12"/>
      <c r="ETS56" s="12"/>
      <c r="ETT56" s="12"/>
      <c r="ETU56" s="12"/>
      <c r="ETV56" s="12"/>
      <c r="ETW56" s="12"/>
      <c r="ETX56" s="12"/>
      <c r="ETY56" s="12"/>
      <c r="ETZ56" s="12"/>
      <c r="EUA56" s="12"/>
      <c r="EUB56" s="12"/>
      <c r="EUC56" s="12"/>
      <c r="EUD56" s="12"/>
      <c r="EUE56" s="12"/>
      <c r="EUF56" s="12"/>
      <c r="EUG56" s="12"/>
      <c r="EUH56" s="12"/>
      <c r="EUI56" s="12"/>
      <c r="EUJ56" s="12"/>
      <c r="EUK56" s="12"/>
      <c r="EUL56" s="12"/>
      <c r="EUM56" s="12"/>
      <c r="EUN56" s="12"/>
      <c r="EUO56" s="12"/>
      <c r="EUP56" s="12"/>
      <c r="EUQ56" s="12"/>
      <c r="EUR56" s="12"/>
      <c r="EUS56" s="12"/>
      <c r="EUT56" s="12"/>
      <c r="EUU56" s="12"/>
      <c r="EUV56" s="12"/>
      <c r="EUW56" s="12"/>
      <c r="EUX56" s="12"/>
      <c r="EUY56" s="12"/>
      <c r="EUZ56" s="12"/>
      <c r="EVA56" s="12"/>
      <c r="EVB56" s="12"/>
      <c r="EVC56" s="12"/>
      <c r="EVD56" s="12"/>
      <c r="EVE56" s="12"/>
      <c r="EVF56" s="12"/>
      <c r="EVG56" s="12"/>
      <c r="EVH56" s="12"/>
      <c r="EVI56" s="12"/>
      <c r="EVJ56" s="12"/>
      <c r="EVK56" s="12"/>
      <c r="EVL56" s="12"/>
      <c r="EVM56" s="12"/>
      <c r="EVN56" s="12"/>
      <c r="EVO56" s="12"/>
      <c r="EVP56" s="12"/>
      <c r="EVQ56" s="12"/>
      <c r="EVR56" s="12"/>
      <c r="EVS56" s="12"/>
      <c r="EVT56" s="12"/>
      <c r="EVU56" s="12"/>
      <c r="EVV56" s="12"/>
      <c r="EVW56" s="12"/>
      <c r="EVX56" s="12"/>
      <c r="EVY56" s="12"/>
      <c r="EVZ56" s="12"/>
      <c r="EWA56" s="12"/>
      <c r="EWB56" s="12"/>
      <c r="EWC56" s="12"/>
      <c r="EWD56" s="12"/>
      <c r="EWE56" s="12"/>
      <c r="EWF56" s="12"/>
      <c r="EWG56" s="12"/>
      <c r="EWH56" s="12"/>
      <c r="EWI56" s="12"/>
      <c r="EWJ56" s="12"/>
      <c r="EWK56" s="12"/>
      <c r="EWL56" s="12"/>
      <c r="EWM56" s="12"/>
      <c r="EWN56" s="12"/>
      <c r="EWO56" s="12"/>
      <c r="EWP56" s="12"/>
      <c r="EWQ56" s="12"/>
      <c r="EWR56" s="12"/>
      <c r="EWS56" s="12"/>
      <c r="EWT56" s="12"/>
      <c r="EWU56" s="12"/>
      <c r="EWV56" s="12"/>
      <c r="EWW56" s="12"/>
      <c r="EWX56" s="12"/>
      <c r="EWY56" s="12"/>
      <c r="EWZ56" s="12"/>
      <c r="EXA56" s="12"/>
      <c r="EXB56" s="12"/>
      <c r="EXC56" s="12"/>
      <c r="EXD56" s="12"/>
      <c r="EXE56" s="12"/>
      <c r="EXF56" s="12"/>
      <c r="EXG56" s="12"/>
      <c r="EXH56" s="12"/>
      <c r="EXI56" s="12"/>
      <c r="EXJ56" s="12"/>
      <c r="EXK56" s="12"/>
      <c r="EXL56" s="12"/>
      <c r="EXM56" s="12"/>
      <c r="EXN56" s="12"/>
      <c r="EXO56" s="12"/>
      <c r="EXP56" s="12"/>
      <c r="EXQ56" s="12"/>
      <c r="EXR56" s="12"/>
      <c r="EXS56" s="12"/>
      <c r="EXT56" s="12"/>
      <c r="EXU56" s="12"/>
      <c r="EXV56" s="12"/>
      <c r="EXW56" s="12"/>
      <c r="EXX56" s="12"/>
      <c r="EXY56" s="12"/>
      <c r="EXZ56" s="12"/>
      <c r="EYA56" s="12"/>
      <c r="EYB56" s="12"/>
      <c r="EYC56" s="12"/>
      <c r="EYD56" s="12"/>
      <c r="EYE56" s="12"/>
      <c r="EYF56" s="12"/>
      <c r="EYG56" s="12"/>
      <c r="EYH56" s="12"/>
      <c r="EYI56" s="12"/>
      <c r="EYJ56" s="12"/>
      <c r="EYK56" s="12"/>
      <c r="EYL56" s="12"/>
      <c r="EYM56" s="12"/>
      <c r="EYN56" s="12"/>
      <c r="EYO56" s="12"/>
      <c r="EYP56" s="12"/>
      <c r="EYQ56" s="12"/>
      <c r="EYR56" s="12"/>
      <c r="EYS56" s="12"/>
      <c r="EYT56" s="12"/>
      <c r="EYU56" s="12"/>
      <c r="EYV56" s="12"/>
      <c r="EYW56" s="12"/>
      <c r="EYX56" s="12"/>
      <c r="EYY56" s="12"/>
      <c r="EYZ56" s="12"/>
      <c r="EZA56" s="12"/>
      <c r="EZB56" s="12"/>
      <c r="EZC56" s="12"/>
      <c r="EZD56" s="12"/>
      <c r="EZE56" s="12"/>
      <c r="EZF56" s="12"/>
      <c r="EZG56" s="12"/>
      <c r="EZH56" s="12"/>
      <c r="EZI56" s="12"/>
      <c r="EZJ56" s="12"/>
      <c r="EZK56" s="12"/>
      <c r="EZL56" s="12"/>
      <c r="EZM56" s="12"/>
      <c r="EZN56" s="12"/>
      <c r="EZO56" s="12"/>
      <c r="EZP56" s="12"/>
      <c r="EZQ56" s="12"/>
      <c r="EZR56" s="12"/>
      <c r="EZS56" s="12"/>
      <c r="EZT56" s="12"/>
      <c r="EZU56" s="12"/>
      <c r="EZV56" s="12"/>
      <c r="EZW56" s="12"/>
      <c r="EZX56" s="12"/>
      <c r="EZY56" s="12"/>
      <c r="EZZ56" s="12"/>
      <c r="FAA56" s="12"/>
      <c r="FAB56" s="12"/>
      <c r="FAC56" s="12"/>
      <c r="FAD56" s="12"/>
      <c r="FAE56" s="12"/>
      <c r="FAF56" s="12"/>
      <c r="FAG56" s="12"/>
      <c r="FAH56" s="12"/>
      <c r="FAI56" s="12"/>
      <c r="FAJ56" s="12"/>
      <c r="FAK56" s="12"/>
      <c r="FAL56" s="12"/>
      <c r="FAM56" s="12"/>
      <c r="FAN56" s="12"/>
      <c r="FAO56" s="12"/>
      <c r="FAP56" s="12"/>
      <c r="FAQ56" s="12"/>
      <c r="FAR56" s="12"/>
      <c r="FAS56" s="12"/>
      <c r="FAT56" s="12"/>
      <c r="FAU56" s="12"/>
      <c r="FAV56" s="12"/>
      <c r="FAW56" s="12"/>
      <c r="FAX56" s="12"/>
      <c r="FAY56" s="12"/>
      <c r="FAZ56" s="12"/>
      <c r="FBA56" s="12"/>
      <c r="FBB56" s="12"/>
      <c r="FBC56" s="12"/>
      <c r="FBD56" s="12"/>
      <c r="FBE56" s="12"/>
      <c r="FBF56" s="12"/>
      <c r="FBG56" s="12"/>
      <c r="FBH56" s="12"/>
      <c r="FBI56" s="12"/>
      <c r="FBJ56" s="12"/>
      <c r="FBK56" s="12"/>
      <c r="FBL56" s="12"/>
      <c r="FBM56" s="12"/>
      <c r="FBN56" s="12"/>
      <c r="FBO56" s="12"/>
      <c r="FBP56" s="12"/>
      <c r="FBQ56" s="12"/>
      <c r="FBR56" s="12"/>
      <c r="FBS56" s="12"/>
      <c r="FBT56" s="12"/>
      <c r="FBU56" s="12"/>
      <c r="FBV56" s="12"/>
      <c r="FBW56" s="12"/>
      <c r="FBX56" s="12"/>
      <c r="FBY56" s="12"/>
      <c r="FBZ56" s="12"/>
      <c r="FCA56" s="12"/>
      <c r="FCB56" s="12"/>
      <c r="FCC56" s="12"/>
      <c r="FCD56" s="12"/>
      <c r="FCE56" s="12"/>
      <c r="FCF56" s="12"/>
      <c r="FCG56" s="12"/>
      <c r="FCH56" s="12"/>
      <c r="FCI56" s="12"/>
      <c r="FCJ56" s="12"/>
      <c r="FCK56" s="12"/>
      <c r="FCL56" s="12"/>
      <c r="FCM56" s="12"/>
      <c r="FCN56" s="12"/>
      <c r="FCO56" s="12"/>
      <c r="FCP56" s="12"/>
      <c r="FCQ56" s="12"/>
      <c r="FCR56" s="12"/>
      <c r="FCS56" s="12"/>
      <c r="FCT56" s="12"/>
      <c r="FCU56" s="12"/>
      <c r="FCV56" s="12"/>
      <c r="FCW56" s="12"/>
      <c r="FCX56" s="12"/>
      <c r="FCY56" s="12"/>
      <c r="FCZ56" s="12"/>
      <c r="FDA56" s="12"/>
      <c r="FDB56" s="12"/>
      <c r="FDC56" s="12"/>
      <c r="FDD56" s="12"/>
      <c r="FDE56" s="12"/>
      <c r="FDF56" s="12"/>
      <c r="FDG56" s="12"/>
      <c r="FDH56" s="12"/>
      <c r="FDI56" s="12"/>
      <c r="FDJ56" s="12"/>
      <c r="FDK56" s="12"/>
      <c r="FDL56" s="12"/>
      <c r="FDM56" s="12"/>
      <c r="FDN56" s="12"/>
      <c r="FDO56" s="12"/>
      <c r="FDP56" s="12"/>
      <c r="FDQ56" s="12"/>
      <c r="FDR56" s="12"/>
      <c r="FDS56" s="12"/>
      <c r="FDT56" s="12"/>
      <c r="FDU56" s="12"/>
      <c r="FDV56" s="12"/>
      <c r="FDW56" s="12"/>
      <c r="FDX56" s="12"/>
      <c r="FDY56" s="12"/>
      <c r="FDZ56" s="12"/>
      <c r="FEA56" s="12"/>
      <c r="FEB56" s="12"/>
      <c r="FEC56" s="12"/>
      <c r="FED56" s="12"/>
      <c r="FEE56" s="12"/>
      <c r="FEF56" s="12"/>
      <c r="FEG56" s="12"/>
      <c r="FEH56" s="12"/>
      <c r="FEI56" s="12"/>
      <c r="FEJ56" s="12"/>
      <c r="FEK56" s="12"/>
      <c r="FEL56" s="12"/>
      <c r="FEM56" s="12"/>
      <c r="FEN56" s="12"/>
      <c r="FEO56" s="12"/>
      <c r="FEP56" s="12"/>
      <c r="FEQ56" s="12"/>
      <c r="FER56" s="12"/>
      <c r="FES56" s="12"/>
      <c r="FET56" s="12"/>
      <c r="FEU56" s="12"/>
      <c r="FEV56" s="12"/>
      <c r="FEW56" s="12"/>
      <c r="FEX56" s="12"/>
      <c r="FEY56" s="12"/>
      <c r="FEZ56" s="12"/>
      <c r="FFA56" s="12"/>
      <c r="FFB56" s="12"/>
      <c r="FFC56" s="12"/>
      <c r="FFD56" s="12"/>
      <c r="FFE56" s="12"/>
      <c r="FFF56" s="12"/>
      <c r="FFG56" s="12"/>
      <c r="FFH56" s="12"/>
      <c r="FFI56" s="12"/>
      <c r="FFJ56" s="12"/>
      <c r="FFK56" s="12"/>
      <c r="FFL56" s="12"/>
      <c r="FFM56" s="12"/>
      <c r="FFN56" s="12"/>
      <c r="FFO56" s="12"/>
      <c r="FFP56" s="12"/>
      <c r="FFQ56" s="12"/>
      <c r="FFR56" s="12"/>
      <c r="FFS56" s="12"/>
      <c r="FFT56" s="12"/>
      <c r="FFU56" s="12"/>
      <c r="FFV56" s="12"/>
      <c r="FFW56" s="12"/>
      <c r="FFX56" s="12"/>
      <c r="FFY56" s="12"/>
      <c r="FFZ56" s="12"/>
      <c r="FGA56" s="12"/>
      <c r="FGB56" s="12"/>
      <c r="FGC56" s="12"/>
      <c r="FGD56" s="12"/>
      <c r="FGE56" s="12"/>
      <c r="FGF56" s="12"/>
      <c r="FGG56" s="12"/>
      <c r="FGH56" s="12"/>
      <c r="FGI56" s="12"/>
      <c r="FGJ56" s="12"/>
      <c r="FGK56" s="12"/>
      <c r="FGL56" s="12"/>
      <c r="FGM56" s="12"/>
      <c r="FGN56" s="12"/>
      <c r="FGO56" s="12"/>
      <c r="FGP56" s="12"/>
      <c r="FGQ56" s="12"/>
      <c r="FGR56" s="12"/>
      <c r="FGS56" s="12"/>
      <c r="FGT56" s="12"/>
      <c r="FGU56" s="12"/>
      <c r="FGV56" s="12"/>
      <c r="FGW56" s="12"/>
      <c r="FGX56" s="12"/>
      <c r="FGY56" s="12"/>
      <c r="FGZ56" s="12"/>
      <c r="FHA56" s="12"/>
      <c r="FHB56" s="12"/>
      <c r="FHC56" s="12"/>
      <c r="FHD56" s="12"/>
      <c r="FHE56" s="12"/>
      <c r="FHF56" s="12"/>
      <c r="FHG56" s="12"/>
      <c r="FHH56" s="12"/>
      <c r="FHI56" s="12"/>
      <c r="FHJ56" s="12"/>
      <c r="FHK56" s="12"/>
      <c r="FHL56" s="12"/>
      <c r="FHM56" s="12"/>
      <c r="FHN56" s="12"/>
      <c r="FHO56" s="12"/>
      <c r="FHP56" s="12"/>
      <c r="FHQ56" s="12"/>
      <c r="FHR56" s="12"/>
      <c r="FHS56" s="12"/>
      <c r="FHT56" s="12"/>
      <c r="FHU56" s="12"/>
      <c r="FHV56" s="12"/>
      <c r="FHW56" s="12"/>
      <c r="FHX56" s="12"/>
      <c r="FHY56" s="12"/>
      <c r="FHZ56" s="12"/>
      <c r="FIA56" s="12"/>
      <c r="FIB56" s="12"/>
      <c r="FIC56" s="12"/>
      <c r="FID56" s="12"/>
      <c r="FIE56" s="12"/>
      <c r="FIF56" s="12"/>
      <c r="FIG56" s="12"/>
      <c r="FIH56" s="12"/>
      <c r="FII56" s="12"/>
      <c r="FIJ56" s="12"/>
      <c r="FIK56" s="12"/>
      <c r="FIL56" s="12"/>
      <c r="FIM56" s="12"/>
      <c r="FIN56" s="12"/>
      <c r="FIO56" s="12"/>
      <c r="FIP56" s="12"/>
      <c r="FIQ56" s="12"/>
      <c r="FIR56" s="12"/>
      <c r="FIS56" s="12"/>
      <c r="FIT56" s="12"/>
      <c r="FIU56" s="12"/>
      <c r="FIV56" s="12"/>
      <c r="FIW56" s="12"/>
      <c r="FIX56" s="12"/>
      <c r="FIY56" s="12"/>
      <c r="FIZ56" s="12"/>
      <c r="FJA56" s="12"/>
      <c r="FJB56" s="12"/>
      <c r="FJC56" s="12"/>
      <c r="FJD56" s="12"/>
      <c r="FJE56" s="12"/>
      <c r="FJF56" s="12"/>
      <c r="FJG56" s="12"/>
      <c r="FJH56" s="12"/>
      <c r="FJI56" s="12"/>
      <c r="FJJ56" s="12"/>
      <c r="FJK56" s="12"/>
      <c r="FJL56" s="12"/>
      <c r="FJM56" s="12"/>
      <c r="FJN56" s="12"/>
      <c r="FJO56" s="12"/>
      <c r="FJP56" s="12"/>
      <c r="FJQ56" s="12"/>
      <c r="FJR56" s="12"/>
      <c r="FJS56" s="12"/>
      <c r="FJT56" s="12"/>
      <c r="FJU56" s="12"/>
      <c r="FJV56" s="12"/>
      <c r="FJW56" s="12"/>
      <c r="FJX56" s="12"/>
      <c r="FJY56" s="12"/>
      <c r="FJZ56" s="12"/>
      <c r="FKA56" s="12"/>
      <c r="FKB56" s="12"/>
      <c r="FKC56" s="12"/>
      <c r="FKD56" s="12"/>
      <c r="FKE56" s="12"/>
      <c r="FKF56" s="12"/>
      <c r="FKG56" s="12"/>
      <c r="FKH56" s="12"/>
      <c r="FKI56" s="12"/>
      <c r="FKJ56" s="12"/>
      <c r="FKK56" s="12"/>
      <c r="FKL56" s="12"/>
      <c r="FKM56" s="12"/>
      <c r="FKN56" s="12"/>
      <c r="FKO56" s="12"/>
      <c r="FKP56" s="12"/>
      <c r="FKQ56" s="12"/>
      <c r="FKR56" s="12"/>
      <c r="FKS56" s="12"/>
      <c r="FKT56" s="12"/>
      <c r="FKU56" s="12"/>
      <c r="FKV56" s="12"/>
      <c r="FKW56" s="12"/>
      <c r="FKX56" s="12"/>
      <c r="FKY56" s="12"/>
      <c r="FKZ56" s="12"/>
      <c r="FLA56" s="12"/>
      <c r="FLB56" s="12"/>
      <c r="FLC56" s="12"/>
      <c r="FLD56" s="12"/>
      <c r="FLE56" s="12"/>
      <c r="FLF56" s="12"/>
      <c r="FLG56" s="12"/>
      <c r="FLH56" s="12"/>
      <c r="FLI56" s="12"/>
      <c r="FLJ56" s="12"/>
      <c r="FLK56" s="12"/>
      <c r="FLL56" s="12"/>
      <c r="FLM56" s="12"/>
      <c r="FLN56" s="12"/>
      <c r="FLO56" s="12"/>
      <c r="FLP56" s="12"/>
      <c r="FLQ56" s="12"/>
      <c r="FLR56" s="12"/>
      <c r="FLS56" s="12"/>
      <c r="FLT56" s="12"/>
      <c r="FLU56" s="12"/>
      <c r="FLV56" s="12"/>
      <c r="FLW56" s="12"/>
      <c r="FLX56" s="12"/>
      <c r="FLY56" s="12"/>
      <c r="FLZ56" s="12"/>
      <c r="FMA56" s="12"/>
      <c r="FMB56" s="12"/>
      <c r="FMC56" s="12"/>
      <c r="FMD56" s="12"/>
      <c r="FME56" s="12"/>
      <c r="FMF56" s="12"/>
      <c r="FMG56" s="12"/>
      <c r="FMH56" s="12"/>
      <c r="FMI56" s="12"/>
      <c r="FMJ56" s="12"/>
      <c r="FMK56" s="12"/>
      <c r="FML56" s="12"/>
      <c r="FMM56" s="12"/>
      <c r="FMN56" s="12"/>
      <c r="FMO56" s="12"/>
      <c r="FMP56" s="12"/>
      <c r="FMQ56" s="12"/>
      <c r="FMR56" s="12"/>
      <c r="FMS56" s="12"/>
      <c r="FMT56" s="12"/>
      <c r="FMU56" s="12"/>
      <c r="FMV56" s="12"/>
      <c r="FMW56" s="12"/>
      <c r="FMX56" s="12"/>
      <c r="FMY56" s="12"/>
      <c r="FMZ56" s="12"/>
      <c r="FNA56" s="12"/>
      <c r="FNB56" s="12"/>
      <c r="FNC56" s="12"/>
      <c r="FND56" s="12"/>
      <c r="FNE56" s="12"/>
      <c r="FNF56" s="12"/>
      <c r="FNG56" s="12"/>
      <c r="FNH56" s="12"/>
      <c r="FNI56" s="12"/>
      <c r="FNJ56" s="12"/>
      <c r="FNK56" s="12"/>
      <c r="FNL56" s="12"/>
      <c r="FNM56" s="12"/>
      <c r="FNN56" s="12"/>
      <c r="FNO56" s="12"/>
      <c r="FNP56" s="12"/>
      <c r="FNQ56" s="12"/>
      <c r="FNR56" s="12"/>
      <c r="FNS56" s="12"/>
      <c r="FNT56" s="12"/>
      <c r="FNU56" s="12"/>
      <c r="FNV56" s="12"/>
      <c r="FNW56" s="12"/>
      <c r="FNX56" s="12"/>
      <c r="FNY56" s="12"/>
      <c r="FNZ56" s="12"/>
      <c r="FOA56" s="12"/>
      <c r="FOB56" s="12"/>
      <c r="FOC56" s="12"/>
      <c r="FOD56" s="12"/>
      <c r="FOE56" s="12"/>
      <c r="FOF56" s="12"/>
      <c r="FOG56" s="12"/>
      <c r="FOH56" s="12"/>
      <c r="FOI56" s="12"/>
      <c r="FOJ56" s="12"/>
      <c r="FOK56" s="12"/>
      <c r="FOL56" s="12"/>
      <c r="FOM56" s="12"/>
      <c r="FON56" s="12"/>
      <c r="FOO56" s="12"/>
      <c r="FOP56" s="12"/>
      <c r="FOQ56" s="12"/>
      <c r="FOR56" s="12"/>
      <c r="FOS56" s="12"/>
      <c r="FOT56" s="12"/>
      <c r="FOU56" s="12"/>
      <c r="FOV56" s="12"/>
      <c r="FOW56" s="12"/>
      <c r="FOX56" s="12"/>
      <c r="FOY56" s="12"/>
      <c r="FOZ56" s="12"/>
      <c r="FPA56" s="12"/>
      <c r="FPB56" s="12"/>
      <c r="FPC56" s="12"/>
      <c r="FPD56" s="12"/>
      <c r="FPE56" s="12"/>
      <c r="FPF56" s="12"/>
      <c r="FPG56" s="12"/>
      <c r="FPH56" s="12"/>
      <c r="FPI56" s="12"/>
      <c r="FPJ56" s="12"/>
      <c r="FPK56" s="12"/>
      <c r="FPL56" s="12"/>
      <c r="FPM56" s="12"/>
      <c r="FPN56" s="12"/>
      <c r="FPO56" s="12"/>
      <c r="FPP56" s="12"/>
      <c r="FPQ56" s="12"/>
      <c r="FPR56" s="12"/>
      <c r="FPS56" s="12"/>
      <c r="FPT56" s="12"/>
      <c r="FPU56" s="12"/>
      <c r="FPV56" s="12"/>
      <c r="FPW56" s="12"/>
      <c r="FPX56" s="12"/>
      <c r="FPY56" s="12"/>
      <c r="FPZ56" s="12"/>
      <c r="FQA56" s="12"/>
      <c r="FQB56" s="12"/>
      <c r="FQC56" s="12"/>
      <c r="FQD56" s="12"/>
      <c r="FQE56" s="12"/>
      <c r="FQF56" s="12"/>
      <c r="FQG56" s="12"/>
      <c r="FQH56" s="12"/>
      <c r="FQI56" s="12"/>
      <c r="FQJ56" s="12"/>
      <c r="FQK56" s="12"/>
      <c r="FQL56" s="12"/>
      <c r="FQM56" s="12"/>
      <c r="FQN56" s="12"/>
      <c r="FQO56" s="12"/>
      <c r="FQP56" s="12"/>
      <c r="FQQ56" s="12"/>
      <c r="FQR56" s="12"/>
      <c r="FQS56" s="12"/>
      <c r="FQT56" s="12"/>
      <c r="FQU56" s="12"/>
      <c r="FQV56" s="12"/>
      <c r="FQW56" s="12"/>
      <c r="FQX56" s="12"/>
      <c r="FQY56" s="12"/>
      <c r="FQZ56" s="12"/>
      <c r="FRA56" s="12"/>
      <c r="FRB56" s="12"/>
      <c r="FRC56" s="12"/>
      <c r="FRD56" s="12"/>
      <c r="FRE56" s="12"/>
      <c r="FRF56" s="12"/>
      <c r="FRG56" s="12"/>
      <c r="FRH56" s="12"/>
      <c r="FRI56" s="12"/>
      <c r="FRJ56" s="12"/>
      <c r="FRK56" s="12"/>
      <c r="FRL56" s="12"/>
      <c r="FRM56" s="12"/>
      <c r="FRN56" s="12"/>
      <c r="FRO56" s="12"/>
      <c r="FRP56" s="12"/>
      <c r="FRQ56" s="12"/>
      <c r="FRR56" s="12"/>
      <c r="FRS56" s="12"/>
      <c r="FRT56" s="12"/>
      <c r="FRU56" s="12"/>
      <c r="FRV56" s="12"/>
      <c r="FRW56" s="12"/>
      <c r="FRX56" s="12"/>
      <c r="FRY56" s="12"/>
      <c r="FRZ56" s="12"/>
      <c r="FSA56" s="12"/>
      <c r="FSB56" s="12"/>
      <c r="FSC56" s="12"/>
      <c r="FSD56" s="12"/>
      <c r="FSE56" s="12"/>
      <c r="FSF56" s="12"/>
      <c r="FSG56" s="12"/>
      <c r="FSH56" s="12"/>
      <c r="FSI56" s="12"/>
      <c r="FSJ56" s="12"/>
      <c r="FSK56" s="12"/>
      <c r="FSL56" s="12"/>
      <c r="FSM56" s="12"/>
      <c r="FSN56" s="12"/>
      <c r="FSO56" s="12"/>
      <c r="FSP56" s="12"/>
      <c r="FSQ56" s="12"/>
      <c r="FSR56" s="12"/>
      <c r="FSS56" s="12"/>
      <c r="FST56" s="12"/>
      <c r="FSU56" s="12"/>
      <c r="FSV56" s="12"/>
      <c r="FSW56" s="12"/>
      <c r="FSX56" s="12"/>
      <c r="FSY56" s="12"/>
      <c r="FSZ56" s="12"/>
      <c r="FTA56" s="12"/>
      <c r="FTB56" s="12"/>
      <c r="FTC56" s="12"/>
      <c r="FTD56" s="12"/>
      <c r="FTE56" s="12"/>
      <c r="FTF56" s="12"/>
      <c r="FTG56" s="12"/>
      <c r="FTH56" s="12"/>
      <c r="FTI56" s="12"/>
      <c r="FTJ56" s="12"/>
      <c r="FTK56" s="12"/>
      <c r="FTL56" s="12"/>
      <c r="FTM56" s="12"/>
      <c r="FTN56" s="12"/>
      <c r="FTO56" s="12"/>
      <c r="FTP56" s="12"/>
      <c r="FTQ56" s="12"/>
      <c r="FTR56" s="12"/>
      <c r="FTS56" s="12"/>
      <c r="FTT56" s="12"/>
      <c r="FTU56" s="12"/>
      <c r="FTV56" s="12"/>
      <c r="FTW56" s="12"/>
      <c r="FTX56" s="12"/>
      <c r="FTY56" s="12"/>
      <c r="FTZ56" s="12"/>
      <c r="FUA56" s="12"/>
      <c r="FUB56" s="12"/>
      <c r="FUC56" s="12"/>
      <c r="FUD56" s="12"/>
      <c r="FUE56" s="12"/>
      <c r="FUF56" s="12"/>
      <c r="FUG56" s="12"/>
      <c r="FUH56" s="12"/>
      <c r="FUI56" s="12"/>
      <c r="FUJ56" s="12"/>
      <c r="FUK56" s="12"/>
      <c r="FUL56" s="12"/>
      <c r="FUM56" s="12"/>
      <c r="FUN56" s="12"/>
      <c r="FUO56" s="12"/>
      <c r="FUP56" s="12"/>
      <c r="FUQ56" s="12"/>
      <c r="FUR56" s="12"/>
      <c r="FUS56" s="12"/>
      <c r="FUT56" s="12"/>
      <c r="FUU56" s="12"/>
      <c r="FUV56" s="12"/>
      <c r="FUW56" s="12"/>
      <c r="FUX56" s="12"/>
      <c r="FUY56" s="12"/>
      <c r="FUZ56" s="12"/>
      <c r="FVA56" s="12"/>
      <c r="FVB56" s="12"/>
      <c r="FVC56" s="12"/>
      <c r="FVD56" s="12"/>
      <c r="FVE56" s="12"/>
      <c r="FVF56" s="12"/>
      <c r="FVG56" s="12"/>
      <c r="FVH56" s="12"/>
      <c r="FVI56" s="12"/>
      <c r="FVJ56" s="12"/>
      <c r="FVK56" s="12"/>
      <c r="FVL56" s="12"/>
      <c r="FVM56" s="12"/>
      <c r="FVN56" s="12"/>
      <c r="FVO56" s="12"/>
      <c r="FVP56" s="12"/>
      <c r="FVQ56" s="12"/>
      <c r="FVR56" s="12"/>
      <c r="FVS56" s="12"/>
      <c r="FVT56" s="12"/>
      <c r="FVU56" s="12"/>
      <c r="FVV56" s="12"/>
      <c r="FVW56" s="12"/>
      <c r="FVX56" s="12"/>
      <c r="FVY56" s="12"/>
      <c r="FVZ56" s="12"/>
      <c r="FWA56" s="12"/>
      <c r="FWB56" s="12"/>
      <c r="FWC56" s="12"/>
      <c r="FWD56" s="12"/>
      <c r="FWE56" s="12"/>
      <c r="FWF56" s="12"/>
      <c r="FWG56" s="12"/>
      <c r="FWH56" s="12"/>
      <c r="FWI56" s="12"/>
      <c r="FWJ56" s="12"/>
      <c r="FWK56" s="12"/>
      <c r="FWL56" s="12"/>
      <c r="FWM56" s="12"/>
      <c r="FWN56" s="12"/>
      <c r="FWO56" s="12"/>
      <c r="FWP56" s="12"/>
      <c r="FWQ56" s="12"/>
      <c r="FWR56" s="12"/>
      <c r="FWS56" s="12"/>
      <c r="FWT56" s="12"/>
      <c r="FWU56" s="12"/>
      <c r="FWV56" s="12"/>
      <c r="FWW56" s="12"/>
      <c r="FWX56" s="12"/>
      <c r="FWY56" s="12"/>
      <c r="FWZ56" s="12"/>
      <c r="FXA56" s="12"/>
      <c r="FXB56" s="12"/>
      <c r="FXC56" s="12"/>
      <c r="FXD56" s="12"/>
      <c r="FXE56" s="12"/>
      <c r="FXF56" s="12"/>
      <c r="FXG56" s="12"/>
      <c r="FXH56" s="12"/>
      <c r="FXI56" s="12"/>
      <c r="FXJ56" s="12"/>
      <c r="FXK56" s="12"/>
      <c r="FXL56" s="12"/>
      <c r="FXM56" s="12"/>
      <c r="FXN56" s="12"/>
      <c r="FXO56" s="12"/>
      <c r="FXP56" s="12"/>
      <c r="FXQ56" s="12"/>
      <c r="FXR56" s="12"/>
      <c r="FXS56" s="12"/>
      <c r="FXT56" s="12"/>
      <c r="FXU56" s="12"/>
      <c r="FXV56" s="12"/>
      <c r="FXW56" s="12"/>
      <c r="FXX56" s="12"/>
      <c r="FXY56" s="12"/>
      <c r="FXZ56" s="12"/>
      <c r="FYA56" s="12"/>
      <c r="FYB56" s="12"/>
      <c r="FYC56" s="12"/>
      <c r="FYD56" s="12"/>
      <c r="FYE56" s="12"/>
      <c r="FYF56" s="12"/>
      <c r="FYG56" s="12"/>
      <c r="FYH56" s="12"/>
      <c r="FYI56" s="12"/>
      <c r="FYJ56" s="12"/>
      <c r="FYK56" s="12"/>
      <c r="FYL56" s="12"/>
      <c r="FYM56" s="12"/>
      <c r="FYN56" s="12"/>
      <c r="FYO56" s="12"/>
      <c r="FYP56" s="12"/>
      <c r="FYQ56" s="12"/>
      <c r="FYR56" s="12"/>
      <c r="FYS56" s="12"/>
      <c r="FYT56" s="12"/>
      <c r="FYU56" s="12"/>
      <c r="FYV56" s="12"/>
      <c r="FYW56" s="12"/>
      <c r="FYX56" s="12"/>
      <c r="FYY56" s="12"/>
      <c r="FYZ56" s="12"/>
      <c r="FZA56" s="12"/>
      <c r="FZB56" s="12"/>
      <c r="FZC56" s="12"/>
      <c r="FZD56" s="12"/>
      <c r="FZE56" s="12"/>
      <c r="FZF56" s="12"/>
      <c r="FZG56" s="12"/>
      <c r="FZH56" s="12"/>
      <c r="FZI56" s="12"/>
      <c r="FZJ56" s="12"/>
      <c r="FZK56" s="12"/>
      <c r="FZL56" s="12"/>
      <c r="FZM56" s="12"/>
      <c r="FZN56" s="12"/>
      <c r="FZO56" s="12"/>
      <c r="FZP56" s="12"/>
      <c r="FZQ56" s="12"/>
      <c r="FZR56" s="12"/>
      <c r="FZS56" s="12"/>
      <c r="FZT56" s="12"/>
      <c r="FZU56" s="12"/>
      <c r="FZV56" s="12"/>
      <c r="FZW56" s="12"/>
      <c r="FZX56" s="12"/>
      <c r="FZY56" s="12"/>
      <c r="FZZ56" s="12"/>
      <c r="GAA56" s="12"/>
      <c r="GAB56" s="12"/>
      <c r="GAC56" s="12"/>
      <c r="GAD56" s="12"/>
      <c r="GAE56" s="12"/>
      <c r="GAF56" s="12"/>
      <c r="GAG56" s="12"/>
      <c r="GAH56" s="12"/>
      <c r="GAI56" s="12"/>
      <c r="GAJ56" s="12"/>
      <c r="GAK56" s="12"/>
      <c r="GAL56" s="12"/>
      <c r="GAM56" s="12"/>
      <c r="GAN56" s="12"/>
      <c r="GAO56" s="12"/>
      <c r="GAP56" s="12"/>
      <c r="GAQ56" s="12"/>
      <c r="GAR56" s="12"/>
      <c r="GAS56" s="12"/>
      <c r="GAT56" s="12"/>
      <c r="GAU56" s="12"/>
      <c r="GAV56" s="12"/>
      <c r="GAW56" s="12"/>
      <c r="GAX56" s="12"/>
      <c r="GAY56" s="12"/>
      <c r="GAZ56" s="12"/>
      <c r="GBA56" s="12"/>
      <c r="GBB56" s="12"/>
      <c r="GBC56" s="12"/>
      <c r="GBD56" s="12"/>
      <c r="GBE56" s="12"/>
      <c r="GBF56" s="12"/>
      <c r="GBG56" s="12"/>
      <c r="GBH56" s="12"/>
      <c r="GBI56" s="12"/>
      <c r="GBJ56" s="12"/>
      <c r="GBK56" s="12"/>
      <c r="GBL56" s="12"/>
      <c r="GBM56" s="12"/>
      <c r="GBN56" s="12"/>
      <c r="GBO56" s="12"/>
      <c r="GBP56" s="12"/>
      <c r="GBQ56" s="12"/>
      <c r="GBR56" s="12"/>
      <c r="GBS56" s="12"/>
      <c r="GBT56" s="12"/>
      <c r="GBU56" s="12"/>
      <c r="GBV56" s="12"/>
      <c r="GBW56" s="12"/>
      <c r="GBX56" s="12"/>
      <c r="GBY56" s="12"/>
      <c r="GBZ56" s="12"/>
      <c r="GCA56" s="12"/>
      <c r="GCB56" s="12"/>
      <c r="GCC56" s="12"/>
      <c r="GCD56" s="12"/>
      <c r="GCE56" s="12"/>
      <c r="GCF56" s="12"/>
      <c r="GCG56" s="12"/>
      <c r="GCH56" s="12"/>
      <c r="GCI56" s="12"/>
      <c r="GCJ56" s="12"/>
      <c r="GCK56" s="12"/>
      <c r="GCL56" s="12"/>
      <c r="GCM56" s="12"/>
      <c r="GCN56" s="12"/>
      <c r="GCO56" s="12"/>
      <c r="GCP56" s="12"/>
      <c r="GCQ56" s="12"/>
      <c r="GCR56" s="12"/>
      <c r="GCS56" s="12"/>
      <c r="GCT56" s="12"/>
      <c r="GCU56" s="12"/>
      <c r="GCV56" s="12"/>
      <c r="GCW56" s="12"/>
      <c r="GCX56" s="12"/>
      <c r="GCY56" s="12"/>
      <c r="GCZ56" s="12"/>
      <c r="GDA56" s="12"/>
      <c r="GDB56" s="12"/>
      <c r="GDC56" s="12"/>
      <c r="GDD56" s="12"/>
      <c r="GDE56" s="12"/>
      <c r="GDF56" s="12"/>
      <c r="GDG56" s="12"/>
      <c r="GDH56" s="12"/>
      <c r="GDI56" s="12"/>
      <c r="GDJ56" s="12"/>
      <c r="GDK56" s="12"/>
      <c r="GDL56" s="12"/>
      <c r="GDM56" s="12"/>
      <c r="GDN56" s="12"/>
      <c r="GDO56" s="12"/>
      <c r="GDP56" s="12"/>
      <c r="GDQ56" s="12"/>
      <c r="GDR56" s="12"/>
      <c r="GDS56" s="12"/>
      <c r="GDT56" s="12"/>
      <c r="GDU56" s="12"/>
      <c r="GDV56" s="12"/>
      <c r="GDW56" s="12"/>
      <c r="GDX56" s="12"/>
      <c r="GDY56" s="12"/>
      <c r="GDZ56" s="12"/>
      <c r="GEA56" s="12"/>
      <c r="GEB56" s="12"/>
      <c r="GEC56" s="12"/>
      <c r="GED56" s="12"/>
      <c r="GEE56" s="12"/>
      <c r="GEF56" s="12"/>
      <c r="GEG56" s="12"/>
      <c r="GEH56" s="12"/>
      <c r="GEI56" s="12"/>
      <c r="GEJ56" s="12"/>
      <c r="GEK56" s="12"/>
      <c r="GEL56" s="12"/>
      <c r="GEM56" s="12"/>
      <c r="GEN56" s="12"/>
      <c r="GEO56" s="12"/>
      <c r="GEP56" s="12"/>
      <c r="GEQ56" s="12"/>
      <c r="GER56" s="12"/>
      <c r="GES56" s="12"/>
      <c r="GET56" s="12"/>
      <c r="GEU56" s="12"/>
      <c r="GEV56" s="12"/>
      <c r="GEW56" s="12"/>
      <c r="GEX56" s="12"/>
      <c r="GEY56" s="12"/>
      <c r="GEZ56" s="12"/>
      <c r="GFA56" s="12"/>
      <c r="GFB56" s="12"/>
      <c r="GFC56" s="12"/>
      <c r="GFD56" s="12"/>
      <c r="GFE56" s="12"/>
      <c r="GFF56" s="12"/>
      <c r="GFG56" s="12"/>
      <c r="GFH56" s="12"/>
      <c r="GFI56" s="12"/>
      <c r="GFJ56" s="12"/>
      <c r="GFK56" s="12"/>
      <c r="GFL56" s="12"/>
      <c r="GFM56" s="12"/>
      <c r="GFN56" s="12"/>
      <c r="GFO56" s="12"/>
      <c r="GFP56" s="12"/>
      <c r="GFQ56" s="12"/>
      <c r="GFR56" s="12"/>
      <c r="GFS56" s="12"/>
      <c r="GFT56" s="12"/>
      <c r="GFU56" s="12"/>
      <c r="GFV56" s="12"/>
      <c r="GFW56" s="12"/>
      <c r="GFX56" s="12"/>
      <c r="GFY56" s="12"/>
      <c r="GFZ56" s="12"/>
      <c r="GGA56" s="12"/>
      <c r="GGB56" s="12"/>
      <c r="GGC56" s="12"/>
      <c r="GGD56" s="12"/>
      <c r="GGE56" s="12"/>
      <c r="GGF56" s="12"/>
      <c r="GGG56" s="12"/>
      <c r="GGH56" s="12"/>
      <c r="GGI56" s="12"/>
      <c r="GGJ56" s="12"/>
      <c r="GGK56" s="12"/>
      <c r="GGL56" s="12"/>
      <c r="GGM56" s="12"/>
      <c r="GGN56" s="12"/>
      <c r="GGO56" s="12"/>
      <c r="GGP56" s="12"/>
      <c r="GGQ56" s="12"/>
      <c r="GGR56" s="12"/>
      <c r="GGS56" s="12"/>
      <c r="GGT56" s="12"/>
      <c r="GGU56" s="12"/>
      <c r="GGV56" s="12"/>
      <c r="GGW56" s="12"/>
      <c r="GGX56" s="12"/>
      <c r="GGY56" s="12"/>
      <c r="GGZ56" s="12"/>
      <c r="GHA56" s="12"/>
      <c r="GHB56" s="12"/>
      <c r="GHC56" s="12"/>
      <c r="GHD56" s="12"/>
      <c r="GHE56" s="12"/>
      <c r="GHF56" s="12"/>
      <c r="GHG56" s="12"/>
      <c r="GHH56" s="12"/>
      <c r="GHI56" s="12"/>
      <c r="GHJ56" s="12"/>
      <c r="GHK56" s="12"/>
      <c r="GHL56" s="12"/>
      <c r="GHM56" s="12"/>
      <c r="GHN56" s="12"/>
      <c r="GHO56" s="12"/>
      <c r="GHP56" s="12"/>
      <c r="GHQ56" s="12"/>
      <c r="GHR56" s="12"/>
      <c r="GHS56" s="12"/>
      <c r="GHT56" s="12"/>
      <c r="GHU56" s="12"/>
      <c r="GHV56" s="12"/>
      <c r="GHW56" s="12"/>
      <c r="GHX56" s="12"/>
      <c r="GHY56" s="12"/>
      <c r="GHZ56" s="12"/>
      <c r="GIA56" s="12"/>
      <c r="GIB56" s="12"/>
      <c r="GIC56" s="12"/>
      <c r="GID56" s="12"/>
      <c r="GIE56" s="12"/>
      <c r="GIF56" s="12"/>
      <c r="GIG56" s="12"/>
      <c r="GIH56" s="12"/>
      <c r="GII56" s="12"/>
      <c r="GIJ56" s="12"/>
      <c r="GIK56" s="12"/>
      <c r="GIL56" s="12"/>
      <c r="GIM56" s="12"/>
      <c r="GIN56" s="12"/>
      <c r="GIO56" s="12"/>
      <c r="GIP56" s="12"/>
      <c r="GIQ56" s="12"/>
      <c r="GIR56" s="12"/>
      <c r="GIS56" s="12"/>
      <c r="GIT56" s="12"/>
      <c r="GIU56" s="12"/>
      <c r="GIV56" s="12"/>
      <c r="GIW56" s="12"/>
      <c r="GIX56" s="12"/>
      <c r="GIY56" s="12"/>
      <c r="GIZ56" s="12"/>
      <c r="GJA56" s="12"/>
      <c r="GJB56" s="12"/>
      <c r="GJC56" s="12"/>
      <c r="GJD56" s="12"/>
      <c r="GJE56" s="12"/>
      <c r="GJF56" s="12"/>
      <c r="GJG56" s="12"/>
      <c r="GJH56" s="12"/>
      <c r="GJI56" s="12"/>
      <c r="GJJ56" s="12"/>
      <c r="GJK56" s="12"/>
      <c r="GJL56" s="12"/>
      <c r="GJM56" s="12"/>
      <c r="GJN56" s="12"/>
      <c r="GJO56" s="12"/>
      <c r="GJP56" s="12"/>
      <c r="GJQ56" s="12"/>
      <c r="GJR56" s="12"/>
      <c r="GJS56" s="12"/>
      <c r="GJT56" s="12"/>
      <c r="GJU56" s="12"/>
      <c r="GJV56" s="12"/>
      <c r="GJW56" s="12"/>
      <c r="GJX56" s="12"/>
      <c r="GJY56" s="12"/>
      <c r="GJZ56" s="12"/>
      <c r="GKA56" s="12"/>
      <c r="GKB56" s="12"/>
      <c r="GKC56" s="12"/>
      <c r="GKD56" s="12"/>
      <c r="GKE56" s="12"/>
      <c r="GKF56" s="12"/>
      <c r="GKG56" s="12"/>
      <c r="GKH56" s="12"/>
      <c r="GKI56" s="12"/>
      <c r="GKJ56" s="12"/>
      <c r="GKK56" s="12"/>
      <c r="GKL56" s="12"/>
      <c r="GKM56" s="12"/>
      <c r="GKN56" s="12"/>
      <c r="GKO56" s="12"/>
      <c r="GKP56" s="12"/>
      <c r="GKQ56" s="12"/>
      <c r="GKR56" s="12"/>
      <c r="GKS56" s="12"/>
      <c r="GKT56" s="12"/>
      <c r="GKU56" s="12"/>
      <c r="GKV56" s="12"/>
      <c r="GKW56" s="12"/>
      <c r="GKX56" s="12"/>
      <c r="GKY56" s="12"/>
      <c r="GKZ56" s="12"/>
      <c r="GLA56" s="12"/>
      <c r="GLB56" s="12"/>
      <c r="GLC56" s="12"/>
      <c r="GLD56" s="12"/>
      <c r="GLE56" s="12"/>
      <c r="GLF56" s="12"/>
      <c r="GLG56" s="12"/>
      <c r="GLH56" s="12"/>
      <c r="GLI56" s="12"/>
      <c r="GLJ56" s="12"/>
      <c r="GLK56" s="12"/>
      <c r="GLL56" s="12"/>
      <c r="GLM56" s="12"/>
      <c r="GLN56" s="12"/>
      <c r="GLO56" s="12"/>
      <c r="GLP56" s="12"/>
      <c r="GLQ56" s="12"/>
      <c r="GLR56" s="12"/>
      <c r="GLS56" s="12"/>
      <c r="GLT56" s="12"/>
      <c r="GLU56" s="12"/>
      <c r="GLV56" s="12"/>
      <c r="GLW56" s="12"/>
      <c r="GLX56" s="12"/>
      <c r="GLY56" s="12"/>
      <c r="GLZ56" s="12"/>
      <c r="GMA56" s="12"/>
      <c r="GMB56" s="12"/>
      <c r="GMC56" s="12"/>
      <c r="GMD56" s="12"/>
      <c r="GME56" s="12"/>
      <c r="GMF56" s="12"/>
      <c r="GMG56" s="12"/>
      <c r="GMH56" s="12"/>
      <c r="GMI56" s="12"/>
      <c r="GMJ56" s="12"/>
      <c r="GMK56" s="12"/>
      <c r="GML56" s="12"/>
      <c r="GMM56" s="12"/>
      <c r="GMN56" s="12"/>
      <c r="GMO56" s="12"/>
      <c r="GMP56" s="12"/>
      <c r="GMQ56" s="12"/>
      <c r="GMR56" s="12"/>
      <c r="GMS56" s="12"/>
      <c r="GMT56" s="12"/>
      <c r="GMU56" s="12"/>
      <c r="GMV56" s="12"/>
      <c r="GMW56" s="12"/>
      <c r="GMX56" s="12"/>
      <c r="GMY56" s="12"/>
      <c r="GMZ56" s="12"/>
      <c r="GNA56" s="12"/>
      <c r="GNB56" s="12"/>
      <c r="GNC56" s="12"/>
      <c r="GND56" s="12"/>
      <c r="GNE56" s="12"/>
      <c r="GNF56" s="12"/>
      <c r="GNG56" s="12"/>
      <c r="GNH56" s="12"/>
      <c r="GNI56" s="12"/>
      <c r="GNJ56" s="12"/>
      <c r="GNK56" s="12"/>
      <c r="GNL56" s="12"/>
      <c r="GNM56" s="12"/>
      <c r="GNN56" s="12"/>
      <c r="GNO56" s="12"/>
      <c r="GNP56" s="12"/>
      <c r="GNQ56" s="12"/>
      <c r="GNR56" s="12"/>
      <c r="GNS56" s="12"/>
      <c r="GNT56" s="12"/>
      <c r="GNU56" s="12"/>
      <c r="GNV56" s="12"/>
      <c r="GNW56" s="12"/>
      <c r="GNX56" s="12"/>
      <c r="GNY56" s="12"/>
      <c r="GNZ56" s="12"/>
      <c r="GOA56" s="12"/>
      <c r="GOB56" s="12"/>
      <c r="GOC56" s="12"/>
      <c r="GOD56" s="12"/>
      <c r="GOE56" s="12"/>
      <c r="GOF56" s="12"/>
      <c r="GOG56" s="12"/>
      <c r="GOH56" s="12"/>
      <c r="GOI56" s="12"/>
      <c r="GOJ56" s="12"/>
      <c r="GOK56" s="12"/>
      <c r="GOL56" s="12"/>
      <c r="GOM56" s="12"/>
      <c r="GON56" s="12"/>
      <c r="GOO56" s="12"/>
      <c r="GOP56" s="12"/>
      <c r="GOQ56" s="12"/>
      <c r="GOR56" s="12"/>
      <c r="GOS56" s="12"/>
      <c r="GOT56" s="12"/>
      <c r="GOU56" s="12"/>
      <c r="GOV56" s="12"/>
      <c r="GOW56" s="12"/>
      <c r="GOX56" s="12"/>
      <c r="GOY56" s="12"/>
      <c r="GOZ56" s="12"/>
      <c r="GPA56" s="12"/>
      <c r="GPB56" s="12"/>
      <c r="GPC56" s="12"/>
      <c r="GPD56" s="12"/>
      <c r="GPE56" s="12"/>
      <c r="GPF56" s="12"/>
      <c r="GPG56" s="12"/>
      <c r="GPH56" s="12"/>
      <c r="GPI56" s="12"/>
      <c r="GPJ56" s="12"/>
      <c r="GPK56" s="12"/>
      <c r="GPL56" s="12"/>
      <c r="GPM56" s="12"/>
      <c r="GPN56" s="12"/>
      <c r="GPO56" s="12"/>
      <c r="GPP56" s="12"/>
      <c r="GPQ56" s="12"/>
      <c r="GPR56" s="12"/>
      <c r="GPS56" s="12"/>
      <c r="GPT56" s="12"/>
      <c r="GPU56" s="12"/>
      <c r="GPV56" s="12"/>
      <c r="GPW56" s="12"/>
      <c r="GPX56" s="12"/>
      <c r="GPY56" s="12"/>
      <c r="GPZ56" s="12"/>
      <c r="GQA56" s="12"/>
      <c r="GQB56" s="12"/>
      <c r="GQC56" s="12"/>
      <c r="GQD56" s="12"/>
      <c r="GQE56" s="12"/>
      <c r="GQF56" s="12"/>
      <c r="GQG56" s="12"/>
      <c r="GQH56" s="12"/>
      <c r="GQI56" s="12"/>
      <c r="GQJ56" s="12"/>
      <c r="GQK56" s="12"/>
      <c r="GQL56" s="12"/>
      <c r="GQM56" s="12"/>
      <c r="GQN56" s="12"/>
      <c r="GQO56" s="12"/>
      <c r="GQP56" s="12"/>
      <c r="GQQ56" s="12"/>
      <c r="GQR56" s="12"/>
      <c r="GQS56" s="12"/>
      <c r="GQT56" s="12"/>
      <c r="GQU56" s="12"/>
      <c r="GQV56" s="12"/>
      <c r="GQW56" s="12"/>
      <c r="GQX56" s="12"/>
      <c r="GQY56" s="12"/>
      <c r="GQZ56" s="12"/>
      <c r="GRA56" s="12"/>
      <c r="GRB56" s="12"/>
      <c r="GRC56" s="12"/>
      <c r="GRD56" s="12"/>
      <c r="GRE56" s="12"/>
      <c r="GRF56" s="12"/>
      <c r="GRG56" s="12"/>
      <c r="GRH56" s="12"/>
      <c r="GRI56" s="12"/>
      <c r="GRJ56" s="12"/>
      <c r="GRK56" s="12"/>
      <c r="GRL56" s="12"/>
      <c r="GRM56" s="12"/>
      <c r="GRN56" s="12"/>
      <c r="GRO56" s="12"/>
      <c r="GRP56" s="12"/>
      <c r="GRQ56" s="12"/>
      <c r="GRR56" s="12"/>
      <c r="GRS56" s="12"/>
      <c r="GRT56" s="12"/>
      <c r="GRU56" s="12"/>
      <c r="GRV56" s="12"/>
      <c r="GRW56" s="12"/>
      <c r="GRX56" s="12"/>
      <c r="GRY56" s="12"/>
      <c r="GRZ56" s="12"/>
      <c r="GSA56" s="12"/>
      <c r="GSB56" s="12"/>
      <c r="GSC56" s="12"/>
      <c r="GSD56" s="12"/>
      <c r="GSE56" s="12"/>
      <c r="GSF56" s="12"/>
      <c r="GSG56" s="12"/>
      <c r="GSH56" s="12"/>
      <c r="GSI56" s="12"/>
      <c r="GSJ56" s="12"/>
      <c r="GSK56" s="12"/>
      <c r="GSL56" s="12"/>
      <c r="GSM56" s="12"/>
      <c r="GSN56" s="12"/>
      <c r="GSO56" s="12"/>
      <c r="GSP56" s="12"/>
      <c r="GSQ56" s="12"/>
      <c r="GSR56" s="12"/>
      <c r="GSS56" s="12"/>
      <c r="GST56" s="12"/>
      <c r="GSU56" s="12"/>
      <c r="GSV56" s="12"/>
      <c r="GSW56" s="12"/>
      <c r="GSX56" s="12"/>
      <c r="GSY56" s="12"/>
      <c r="GSZ56" s="12"/>
      <c r="GTA56" s="12"/>
      <c r="GTB56" s="12"/>
      <c r="GTC56" s="12"/>
      <c r="GTD56" s="12"/>
      <c r="GTE56" s="12"/>
      <c r="GTF56" s="12"/>
      <c r="GTG56" s="12"/>
      <c r="GTH56" s="12"/>
      <c r="GTI56" s="12"/>
      <c r="GTJ56" s="12"/>
      <c r="GTK56" s="12"/>
      <c r="GTL56" s="12"/>
      <c r="GTM56" s="12"/>
      <c r="GTN56" s="12"/>
      <c r="GTO56" s="12"/>
      <c r="GTP56" s="12"/>
      <c r="GTQ56" s="12"/>
      <c r="GTR56" s="12"/>
      <c r="GTS56" s="12"/>
      <c r="GTT56" s="12"/>
      <c r="GTU56" s="12"/>
      <c r="GTV56" s="12"/>
      <c r="GTW56" s="12"/>
      <c r="GTX56" s="12"/>
      <c r="GTY56" s="12"/>
      <c r="GTZ56" s="12"/>
      <c r="GUA56" s="12"/>
      <c r="GUB56" s="12"/>
      <c r="GUC56" s="12"/>
      <c r="GUD56" s="12"/>
      <c r="GUE56" s="12"/>
      <c r="GUF56" s="12"/>
      <c r="GUG56" s="12"/>
      <c r="GUH56" s="12"/>
      <c r="GUI56" s="12"/>
      <c r="GUJ56" s="12"/>
      <c r="GUK56" s="12"/>
      <c r="GUL56" s="12"/>
      <c r="GUM56" s="12"/>
      <c r="GUN56" s="12"/>
      <c r="GUO56" s="12"/>
      <c r="GUP56" s="12"/>
      <c r="GUQ56" s="12"/>
      <c r="GUR56" s="12"/>
      <c r="GUS56" s="12"/>
      <c r="GUT56" s="12"/>
      <c r="GUU56" s="12"/>
      <c r="GUV56" s="12"/>
      <c r="GUW56" s="12"/>
      <c r="GUX56" s="12"/>
      <c r="GUY56" s="12"/>
      <c r="GUZ56" s="12"/>
      <c r="GVA56" s="12"/>
      <c r="GVB56" s="12"/>
      <c r="GVC56" s="12"/>
      <c r="GVD56" s="12"/>
      <c r="GVE56" s="12"/>
      <c r="GVF56" s="12"/>
      <c r="GVG56" s="12"/>
      <c r="GVH56" s="12"/>
      <c r="GVI56" s="12"/>
      <c r="GVJ56" s="12"/>
      <c r="GVK56" s="12"/>
      <c r="GVL56" s="12"/>
      <c r="GVM56" s="12"/>
      <c r="GVN56" s="12"/>
      <c r="GVO56" s="12"/>
      <c r="GVP56" s="12"/>
      <c r="GVQ56" s="12"/>
      <c r="GVR56" s="12"/>
      <c r="GVS56" s="12"/>
      <c r="GVT56" s="12"/>
      <c r="GVU56" s="12"/>
      <c r="GVV56" s="12"/>
      <c r="GVW56" s="12"/>
      <c r="GVX56" s="12"/>
      <c r="GVY56" s="12"/>
      <c r="GVZ56" s="12"/>
      <c r="GWA56" s="12"/>
      <c r="GWB56" s="12"/>
      <c r="GWC56" s="12"/>
      <c r="GWD56" s="12"/>
      <c r="GWE56" s="12"/>
      <c r="GWF56" s="12"/>
      <c r="GWG56" s="12"/>
      <c r="GWH56" s="12"/>
      <c r="GWI56" s="12"/>
      <c r="GWJ56" s="12"/>
      <c r="GWK56" s="12"/>
      <c r="GWL56" s="12"/>
      <c r="GWM56" s="12"/>
      <c r="GWN56" s="12"/>
      <c r="GWO56" s="12"/>
      <c r="GWP56" s="12"/>
      <c r="GWQ56" s="12"/>
      <c r="GWR56" s="12"/>
      <c r="GWS56" s="12"/>
      <c r="GWT56" s="12"/>
      <c r="GWU56" s="12"/>
      <c r="GWV56" s="12"/>
      <c r="GWW56" s="12"/>
      <c r="GWX56" s="12"/>
      <c r="GWY56" s="12"/>
      <c r="GWZ56" s="12"/>
      <c r="GXA56" s="12"/>
      <c r="GXB56" s="12"/>
      <c r="GXC56" s="12"/>
      <c r="GXD56" s="12"/>
      <c r="GXE56" s="12"/>
      <c r="GXF56" s="12"/>
      <c r="GXG56" s="12"/>
      <c r="GXH56" s="12"/>
      <c r="GXI56" s="12"/>
      <c r="GXJ56" s="12"/>
      <c r="GXK56" s="12"/>
      <c r="GXL56" s="12"/>
      <c r="GXM56" s="12"/>
      <c r="GXN56" s="12"/>
      <c r="GXO56" s="12"/>
      <c r="GXP56" s="12"/>
      <c r="GXQ56" s="12"/>
      <c r="GXR56" s="12"/>
      <c r="GXS56" s="12"/>
      <c r="GXT56" s="12"/>
      <c r="GXU56" s="12"/>
      <c r="GXV56" s="12"/>
      <c r="GXW56" s="12"/>
      <c r="GXX56" s="12"/>
      <c r="GXY56" s="12"/>
      <c r="GXZ56" s="12"/>
      <c r="GYA56" s="12"/>
      <c r="GYB56" s="12"/>
      <c r="GYC56" s="12"/>
      <c r="GYD56" s="12"/>
      <c r="GYE56" s="12"/>
      <c r="GYF56" s="12"/>
      <c r="GYG56" s="12"/>
      <c r="GYH56" s="12"/>
      <c r="GYI56" s="12"/>
      <c r="GYJ56" s="12"/>
      <c r="GYK56" s="12"/>
      <c r="GYL56" s="12"/>
      <c r="GYM56" s="12"/>
      <c r="GYN56" s="12"/>
      <c r="GYO56" s="12"/>
      <c r="GYP56" s="12"/>
      <c r="GYQ56" s="12"/>
      <c r="GYR56" s="12"/>
      <c r="GYS56" s="12"/>
      <c r="GYT56" s="12"/>
      <c r="GYU56" s="12"/>
      <c r="GYV56" s="12"/>
      <c r="GYW56" s="12"/>
      <c r="GYX56" s="12"/>
      <c r="GYY56" s="12"/>
      <c r="GYZ56" s="12"/>
      <c r="GZA56" s="12"/>
      <c r="GZB56" s="12"/>
      <c r="GZC56" s="12"/>
      <c r="GZD56" s="12"/>
      <c r="GZE56" s="12"/>
      <c r="GZF56" s="12"/>
      <c r="GZG56" s="12"/>
      <c r="GZH56" s="12"/>
      <c r="GZI56" s="12"/>
      <c r="GZJ56" s="12"/>
      <c r="GZK56" s="12"/>
      <c r="GZL56" s="12"/>
      <c r="GZM56" s="12"/>
      <c r="GZN56" s="12"/>
      <c r="GZO56" s="12"/>
      <c r="GZP56" s="12"/>
      <c r="GZQ56" s="12"/>
      <c r="GZR56" s="12"/>
      <c r="GZS56" s="12"/>
      <c r="GZT56" s="12"/>
      <c r="GZU56" s="12"/>
      <c r="GZV56" s="12"/>
      <c r="GZW56" s="12"/>
      <c r="GZX56" s="12"/>
      <c r="GZY56" s="12"/>
      <c r="GZZ56" s="12"/>
      <c r="HAA56" s="12"/>
      <c r="HAB56" s="12"/>
      <c r="HAC56" s="12"/>
      <c r="HAD56" s="12"/>
      <c r="HAE56" s="12"/>
      <c r="HAF56" s="12"/>
      <c r="HAG56" s="12"/>
      <c r="HAH56" s="12"/>
      <c r="HAI56" s="12"/>
      <c r="HAJ56" s="12"/>
      <c r="HAK56" s="12"/>
      <c r="HAL56" s="12"/>
      <c r="HAM56" s="12"/>
      <c r="HAN56" s="12"/>
      <c r="HAO56" s="12"/>
      <c r="HAP56" s="12"/>
      <c r="HAQ56" s="12"/>
      <c r="HAR56" s="12"/>
      <c r="HAS56" s="12"/>
      <c r="HAT56" s="12"/>
      <c r="HAU56" s="12"/>
      <c r="HAV56" s="12"/>
      <c r="HAW56" s="12"/>
      <c r="HAX56" s="12"/>
      <c r="HAY56" s="12"/>
      <c r="HAZ56" s="12"/>
      <c r="HBA56" s="12"/>
      <c r="HBB56" s="12"/>
      <c r="HBC56" s="12"/>
      <c r="HBD56" s="12"/>
      <c r="HBE56" s="12"/>
      <c r="HBF56" s="12"/>
      <c r="HBG56" s="12"/>
      <c r="HBH56" s="12"/>
      <c r="HBI56" s="12"/>
      <c r="HBJ56" s="12"/>
      <c r="HBK56" s="12"/>
      <c r="HBL56" s="12"/>
      <c r="HBM56" s="12"/>
      <c r="HBN56" s="12"/>
      <c r="HBO56" s="12"/>
      <c r="HBP56" s="12"/>
      <c r="HBQ56" s="12"/>
      <c r="HBR56" s="12"/>
      <c r="HBS56" s="12"/>
      <c r="HBT56" s="12"/>
      <c r="HBU56" s="12"/>
      <c r="HBV56" s="12"/>
      <c r="HBW56" s="12"/>
      <c r="HBX56" s="12"/>
      <c r="HBY56" s="12"/>
      <c r="HBZ56" s="12"/>
      <c r="HCA56" s="12"/>
      <c r="HCB56" s="12"/>
      <c r="HCC56" s="12"/>
      <c r="HCD56" s="12"/>
      <c r="HCE56" s="12"/>
      <c r="HCF56" s="12"/>
      <c r="HCG56" s="12"/>
      <c r="HCH56" s="12"/>
      <c r="HCI56" s="12"/>
      <c r="HCJ56" s="12"/>
      <c r="HCK56" s="12"/>
      <c r="HCL56" s="12"/>
      <c r="HCM56" s="12"/>
      <c r="HCN56" s="12"/>
      <c r="HCO56" s="12"/>
      <c r="HCP56" s="12"/>
      <c r="HCQ56" s="12"/>
      <c r="HCR56" s="12"/>
      <c r="HCS56" s="12"/>
      <c r="HCT56" s="12"/>
      <c r="HCU56" s="12"/>
      <c r="HCV56" s="12"/>
      <c r="HCW56" s="12"/>
      <c r="HCX56" s="12"/>
      <c r="HCY56" s="12"/>
      <c r="HCZ56" s="12"/>
      <c r="HDA56" s="12"/>
      <c r="HDB56" s="12"/>
      <c r="HDC56" s="12"/>
      <c r="HDD56" s="12"/>
      <c r="HDE56" s="12"/>
      <c r="HDF56" s="12"/>
      <c r="HDG56" s="12"/>
      <c r="HDH56" s="12"/>
      <c r="HDI56" s="12"/>
      <c r="HDJ56" s="12"/>
      <c r="HDK56" s="12"/>
      <c r="HDL56" s="12"/>
      <c r="HDM56" s="12"/>
      <c r="HDN56" s="12"/>
      <c r="HDO56" s="12"/>
      <c r="HDP56" s="12"/>
      <c r="HDQ56" s="12"/>
      <c r="HDR56" s="12"/>
      <c r="HDS56" s="12"/>
      <c r="HDT56" s="12"/>
      <c r="HDU56" s="12"/>
      <c r="HDV56" s="12"/>
      <c r="HDW56" s="12"/>
      <c r="HDX56" s="12"/>
      <c r="HDY56" s="12"/>
      <c r="HDZ56" s="12"/>
      <c r="HEA56" s="12"/>
      <c r="HEB56" s="12"/>
      <c r="HEC56" s="12"/>
      <c r="HED56" s="12"/>
      <c r="HEE56" s="12"/>
      <c r="HEF56" s="12"/>
      <c r="HEG56" s="12"/>
      <c r="HEH56" s="12"/>
      <c r="HEI56" s="12"/>
      <c r="HEJ56" s="12"/>
      <c r="HEK56" s="12"/>
      <c r="HEL56" s="12"/>
      <c r="HEM56" s="12"/>
      <c r="HEN56" s="12"/>
      <c r="HEO56" s="12"/>
      <c r="HEP56" s="12"/>
      <c r="HEQ56" s="12"/>
      <c r="HER56" s="12"/>
      <c r="HES56" s="12"/>
      <c r="HET56" s="12"/>
      <c r="HEU56" s="12"/>
      <c r="HEV56" s="12"/>
      <c r="HEW56" s="12"/>
      <c r="HEX56" s="12"/>
      <c r="HEY56" s="12"/>
      <c r="HEZ56" s="12"/>
      <c r="HFA56" s="12"/>
      <c r="HFB56" s="12"/>
      <c r="HFC56" s="12"/>
      <c r="HFD56" s="12"/>
      <c r="HFE56" s="12"/>
      <c r="HFF56" s="12"/>
      <c r="HFG56" s="12"/>
      <c r="HFH56" s="12"/>
      <c r="HFI56" s="12"/>
      <c r="HFJ56" s="12"/>
      <c r="HFK56" s="12"/>
      <c r="HFL56" s="12"/>
      <c r="HFM56" s="12"/>
      <c r="HFN56" s="12"/>
      <c r="HFO56" s="12"/>
      <c r="HFP56" s="12"/>
      <c r="HFQ56" s="12"/>
      <c r="HFR56" s="12"/>
      <c r="HFS56" s="12"/>
      <c r="HFT56" s="12"/>
      <c r="HFU56" s="12"/>
      <c r="HFV56" s="12"/>
      <c r="HFW56" s="12"/>
      <c r="HFX56" s="12"/>
      <c r="HFY56" s="12"/>
      <c r="HFZ56" s="12"/>
      <c r="HGA56" s="12"/>
      <c r="HGB56" s="12"/>
      <c r="HGC56" s="12"/>
      <c r="HGD56" s="12"/>
      <c r="HGE56" s="12"/>
      <c r="HGF56" s="12"/>
      <c r="HGG56" s="12"/>
      <c r="HGH56" s="12"/>
      <c r="HGI56" s="12"/>
      <c r="HGJ56" s="12"/>
      <c r="HGK56" s="12"/>
      <c r="HGL56" s="12"/>
      <c r="HGM56" s="12"/>
      <c r="HGN56" s="12"/>
      <c r="HGO56" s="12"/>
      <c r="HGP56" s="12"/>
      <c r="HGQ56" s="12"/>
      <c r="HGR56" s="12"/>
      <c r="HGS56" s="12"/>
      <c r="HGT56" s="12"/>
      <c r="HGU56" s="12"/>
      <c r="HGV56" s="12"/>
      <c r="HGW56" s="12"/>
      <c r="HGX56" s="12"/>
      <c r="HGY56" s="12"/>
      <c r="HGZ56" s="12"/>
      <c r="HHA56" s="12"/>
      <c r="HHB56" s="12"/>
      <c r="HHC56" s="12"/>
      <c r="HHD56" s="12"/>
      <c r="HHE56" s="12"/>
      <c r="HHF56" s="12"/>
      <c r="HHG56" s="12"/>
      <c r="HHH56" s="12"/>
      <c r="HHI56" s="12"/>
      <c r="HHJ56" s="12"/>
      <c r="HHK56" s="12"/>
      <c r="HHL56" s="12"/>
      <c r="HHM56" s="12"/>
      <c r="HHN56" s="12"/>
      <c r="HHO56" s="12"/>
      <c r="HHP56" s="12"/>
      <c r="HHQ56" s="12"/>
      <c r="HHR56" s="12"/>
      <c r="HHS56" s="12"/>
      <c r="HHT56" s="12"/>
      <c r="HHU56" s="12"/>
      <c r="HHV56" s="12"/>
      <c r="HHW56" s="12"/>
      <c r="HHX56" s="12"/>
      <c r="HHY56" s="12"/>
      <c r="HHZ56" s="12"/>
      <c r="HIA56" s="12"/>
      <c r="HIB56" s="12"/>
      <c r="HIC56" s="12"/>
      <c r="HID56" s="12"/>
      <c r="HIE56" s="12"/>
      <c r="HIF56" s="12"/>
      <c r="HIG56" s="12"/>
      <c r="HIH56" s="12"/>
      <c r="HII56" s="12"/>
      <c r="HIJ56" s="12"/>
      <c r="HIK56" s="12"/>
      <c r="HIL56" s="12"/>
      <c r="HIM56" s="12"/>
      <c r="HIN56" s="12"/>
      <c r="HIO56" s="12"/>
      <c r="HIP56" s="12"/>
      <c r="HIQ56" s="12"/>
      <c r="HIR56" s="12"/>
      <c r="HIS56" s="12"/>
      <c r="HIT56" s="12"/>
      <c r="HIU56" s="12"/>
      <c r="HIV56" s="12"/>
      <c r="HIW56" s="12"/>
      <c r="HIX56" s="12"/>
      <c r="HIY56" s="12"/>
      <c r="HIZ56" s="12"/>
      <c r="HJA56" s="12"/>
      <c r="HJB56" s="12"/>
      <c r="HJC56" s="12"/>
      <c r="HJD56" s="12"/>
      <c r="HJE56" s="12"/>
      <c r="HJF56" s="12"/>
      <c r="HJG56" s="12"/>
      <c r="HJH56" s="12"/>
      <c r="HJI56" s="12"/>
      <c r="HJJ56" s="12"/>
      <c r="HJK56" s="12"/>
      <c r="HJL56" s="12"/>
      <c r="HJM56" s="12"/>
      <c r="HJN56" s="12"/>
      <c r="HJO56" s="12"/>
      <c r="HJP56" s="12"/>
      <c r="HJQ56" s="12"/>
      <c r="HJR56" s="12"/>
      <c r="HJS56" s="12"/>
      <c r="HJT56" s="12"/>
      <c r="HJU56" s="12"/>
      <c r="HJV56" s="12"/>
      <c r="HJW56" s="12"/>
      <c r="HJX56" s="12"/>
      <c r="HJY56" s="12"/>
      <c r="HJZ56" s="12"/>
      <c r="HKA56" s="12"/>
      <c r="HKB56" s="12"/>
      <c r="HKC56" s="12"/>
      <c r="HKD56" s="12"/>
      <c r="HKE56" s="12"/>
      <c r="HKF56" s="12"/>
      <c r="HKG56" s="12"/>
      <c r="HKH56" s="12"/>
      <c r="HKI56" s="12"/>
      <c r="HKJ56" s="12"/>
      <c r="HKK56" s="12"/>
      <c r="HKL56" s="12"/>
      <c r="HKM56" s="12"/>
      <c r="HKN56" s="12"/>
      <c r="HKO56" s="12"/>
      <c r="HKP56" s="12"/>
      <c r="HKQ56" s="12"/>
      <c r="HKR56" s="12"/>
      <c r="HKS56" s="12"/>
      <c r="HKT56" s="12"/>
      <c r="HKU56" s="12"/>
      <c r="HKV56" s="12"/>
      <c r="HKW56" s="12"/>
      <c r="HKX56" s="12"/>
      <c r="HKY56" s="12"/>
      <c r="HKZ56" s="12"/>
      <c r="HLA56" s="12"/>
      <c r="HLB56" s="12"/>
      <c r="HLC56" s="12"/>
      <c r="HLD56" s="12"/>
      <c r="HLE56" s="12"/>
      <c r="HLF56" s="12"/>
      <c r="HLG56" s="12"/>
      <c r="HLH56" s="12"/>
      <c r="HLI56" s="12"/>
      <c r="HLJ56" s="12"/>
      <c r="HLK56" s="12"/>
      <c r="HLL56" s="12"/>
      <c r="HLM56" s="12"/>
      <c r="HLN56" s="12"/>
      <c r="HLO56" s="12"/>
      <c r="HLP56" s="12"/>
      <c r="HLQ56" s="12"/>
      <c r="HLR56" s="12"/>
      <c r="HLS56" s="12"/>
      <c r="HLT56" s="12"/>
      <c r="HLU56" s="12"/>
      <c r="HLV56" s="12"/>
      <c r="HLW56" s="12"/>
      <c r="HLX56" s="12"/>
      <c r="HLY56" s="12"/>
      <c r="HLZ56" s="12"/>
      <c r="HMA56" s="12"/>
      <c r="HMB56" s="12"/>
      <c r="HMC56" s="12"/>
      <c r="HMD56" s="12"/>
      <c r="HME56" s="12"/>
      <c r="HMF56" s="12"/>
      <c r="HMG56" s="12"/>
      <c r="HMH56" s="12"/>
      <c r="HMI56" s="12"/>
      <c r="HMJ56" s="12"/>
      <c r="HMK56" s="12"/>
      <c r="HML56" s="12"/>
      <c r="HMM56" s="12"/>
      <c r="HMN56" s="12"/>
      <c r="HMO56" s="12"/>
      <c r="HMP56" s="12"/>
      <c r="HMQ56" s="12"/>
      <c r="HMR56" s="12"/>
      <c r="HMS56" s="12"/>
      <c r="HMT56" s="12"/>
      <c r="HMU56" s="12"/>
      <c r="HMV56" s="12"/>
      <c r="HMW56" s="12"/>
      <c r="HMX56" s="12"/>
      <c r="HMY56" s="12"/>
      <c r="HMZ56" s="12"/>
      <c r="HNA56" s="12"/>
      <c r="HNB56" s="12"/>
      <c r="HNC56" s="12"/>
      <c r="HND56" s="12"/>
      <c r="HNE56" s="12"/>
      <c r="HNF56" s="12"/>
      <c r="HNG56" s="12"/>
      <c r="HNH56" s="12"/>
      <c r="HNI56" s="12"/>
      <c r="HNJ56" s="12"/>
      <c r="HNK56" s="12"/>
      <c r="HNL56" s="12"/>
      <c r="HNM56" s="12"/>
      <c r="HNN56" s="12"/>
      <c r="HNO56" s="12"/>
      <c r="HNP56" s="12"/>
      <c r="HNQ56" s="12"/>
      <c r="HNR56" s="12"/>
      <c r="HNS56" s="12"/>
      <c r="HNT56" s="12"/>
      <c r="HNU56" s="12"/>
      <c r="HNV56" s="12"/>
      <c r="HNW56" s="12"/>
      <c r="HNX56" s="12"/>
      <c r="HNY56" s="12"/>
      <c r="HNZ56" s="12"/>
      <c r="HOA56" s="12"/>
      <c r="HOB56" s="12"/>
      <c r="HOC56" s="12"/>
      <c r="HOD56" s="12"/>
      <c r="HOE56" s="12"/>
      <c r="HOF56" s="12"/>
      <c r="HOG56" s="12"/>
      <c r="HOH56" s="12"/>
      <c r="HOI56" s="12"/>
      <c r="HOJ56" s="12"/>
      <c r="HOK56" s="12"/>
      <c r="HOL56" s="12"/>
      <c r="HOM56" s="12"/>
      <c r="HON56" s="12"/>
      <c r="HOO56" s="12"/>
      <c r="HOP56" s="12"/>
      <c r="HOQ56" s="12"/>
      <c r="HOR56" s="12"/>
      <c r="HOS56" s="12"/>
      <c r="HOT56" s="12"/>
      <c r="HOU56" s="12"/>
      <c r="HOV56" s="12"/>
      <c r="HOW56" s="12"/>
      <c r="HOX56" s="12"/>
      <c r="HOY56" s="12"/>
      <c r="HOZ56" s="12"/>
      <c r="HPA56" s="12"/>
      <c r="HPB56" s="12"/>
      <c r="HPC56" s="12"/>
      <c r="HPD56" s="12"/>
      <c r="HPE56" s="12"/>
      <c r="HPF56" s="12"/>
      <c r="HPG56" s="12"/>
      <c r="HPH56" s="12"/>
      <c r="HPI56" s="12"/>
      <c r="HPJ56" s="12"/>
      <c r="HPK56" s="12"/>
      <c r="HPL56" s="12"/>
      <c r="HPM56" s="12"/>
      <c r="HPN56" s="12"/>
      <c r="HPO56" s="12"/>
      <c r="HPP56" s="12"/>
      <c r="HPQ56" s="12"/>
      <c r="HPR56" s="12"/>
      <c r="HPS56" s="12"/>
      <c r="HPT56" s="12"/>
      <c r="HPU56" s="12"/>
      <c r="HPV56" s="12"/>
      <c r="HPW56" s="12"/>
      <c r="HPX56" s="12"/>
      <c r="HPY56" s="12"/>
      <c r="HPZ56" s="12"/>
      <c r="HQA56" s="12"/>
      <c r="HQB56" s="12"/>
      <c r="HQC56" s="12"/>
      <c r="HQD56" s="12"/>
      <c r="HQE56" s="12"/>
      <c r="HQF56" s="12"/>
      <c r="HQG56" s="12"/>
      <c r="HQH56" s="12"/>
      <c r="HQI56" s="12"/>
      <c r="HQJ56" s="12"/>
      <c r="HQK56" s="12"/>
      <c r="HQL56" s="12"/>
      <c r="HQM56" s="12"/>
      <c r="HQN56" s="12"/>
      <c r="HQO56" s="12"/>
      <c r="HQP56" s="12"/>
      <c r="HQQ56" s="12"/>
      <c r="HQR56" s="12"/>
      <c r="HQS56" s="12"/>
      <c r="HQT56" s="12"/>
      <c r="HQU56" s="12"/>
      <c r="HQV56" s="12"/>
      <c r="HQW56" s="12"/>
      <c r="HQX56" s="12"/>
      <c r="HQY56" s="12"/>
      <c r="HQZ56" s="12"/>
      <c r="HRA56" s="12"/>
      <c r="HRB56" s="12"/>
      <c r="HRC56" s="12"/>
      <c r="HRD56" s="12"/>
      <c r="HRE56" s="12"/>
      <c r="HRF56" s="12"/>
      <c r="HRG56" s="12"/>
      <c r="HRH56" s="12"/>
      <c r="HRI56" s="12"/>
      <c r="HRJ56" s="12"/>
      <c r="HRK56" s="12"/>
      <c r="HRL56" s="12"/>
      <c r="HRM56" s="12"/>
      <c r="HRN56" s="12"/>
      <c r="HRO56" s="12"/>
      <c r="HRP56" s="12"/>
      <c r="HRQ56" s="12"/>
      <c r="HRR56" s="12"/>
      <c r="HRS56" s="12"/>
      <c r="HRT56" s="12"/>
      <c r="HRU56" s="12"/>
      <c r="HRV56" s="12"/>
      <c r="HRW56" s="12"/>
      <c r="HRX56" s="12"/>
      <c r="HRY56" s="12"/>
      <c r="HRZ56" s="12"/>
      <c r="HSA56" s="12"/>
      <c r="HSB56" s="12"/>
      <c r="HSC56" s="12"/>
      <c r="HSD56" s="12"/>
      <c r="HSE56" s="12"/>
      <c r="HSF56" s="12"/>
      <c r="HSG56" s="12"/>
      <c r="HSH56" s="12"/>
      <c r="HSI56" s="12"/>
      <c r="HSJ56" s="12"/>
      <c r="HSK56" s="12"/>
      <c r="HSL56" s="12"/>
      <c r="HSM56" s="12"/>
      <c r="HSN56" s="12"/>
      <c r="HSO56" s="12"/>
      <c r="HSP56" s="12"/>
      <c r="HSQ56" s="12"/>
      <c r="HSR56" s="12"/>
      <c r="HSS56" s="12"/>
      <c r="HST56" s="12"/>
      <c r="HSU56" s="12"/>
      <c r="HSV56" s="12"/>
      <c r="HSW56" s="12"/>
      <c r="HSX56" s="12"/>
      <c r="HSY56" s="12"/>
      <c r="HSZ56" s="12"/>
      <c r="HTA56" s="12"/>
      <c r="HTB56" s="12"/>
      <c r="HTC56" s="12"/>
      <c r="HTD56" s="12"/>
      <c r="HTE56" s="12"/>
      <c r="HTF56" s="12"/>
      <c r="HTG56" s="12"/>
      <c r="HTH56" s="12"/>
      <c r="HTI56" s="12"/>
      <c r="HTJ56" s="12"/>
      <c r="HTK56" s="12"/>
      <c r="HTL56" s="12"/>
      <c r="HTM56" s="12"/>
      <c r="HTN56" s="12"/>
      <c r="HTO56" s="12"/>
      <c r="HTP56" s="12"/>
      <c r="HTQ56" s="12"/>
      <c r="HTR56" s="12"/>
      <c r="HTS56" s="12"/>
      <c r="HTT56" s="12"/>
      <c r="HTU56" s="12"/>
      <c r="HTV56" s="12"/>
      <c r="HTW56" s="12"/>
      <c r="HTX56" s="12"/>
      <c r="HTY56" s="12"/>
      <c r="HTZ56" s="12"/>
      <c r="HUA56" s="12"/>
      <c r="HUB56" s="12"/>
      <c r="HUC56" s="12"/>
      <c r="HUD56" s="12"/>
      <c r="HUE56" s="12"/>
      <c r="HUF56" s="12"/>
      <c r="HUG56" s="12"/>
      <c r="HUH56" s="12"/>
      <c r="HUI56" s="12"/>
      <c r="HUJ56" s="12"/>
      <c r="HUK56" s="12"/>
      <c r="HUL56" s="12"/>
      <c r="HUM56" s="12"/>
      <c r="HUN56" s="12"/>
      <c r="HUO56" s="12"/>
      <c r="HUP56" s="12"/>
      <c r="HUQ56" s="12"/>
      <c r="HUR56" s="12"/>
      <c r="HUS56" s="12"/>
      <c r="HUT56" s="12"/>
      <c r="HUU56" s="12"/>
      <c r="HUV56" s="12"/>
      <c r="HUW56" s="12"/>
      <c r="HUX56" s="12"/>
      <c r="HUY56" s="12"/>
      <c r="HUZ56" s="12"/>
      <c r="HVA56" s="12"/>
      <c r="HVB56" s="12"/>
      <c r="HVC56" s="12"/>
      <c r="HVD56" s="12"/>
      <c r="HVE56" s="12"/>
      <c r="HVF56" s="12"/>
      <c r="HVG56" s="12"/>
      <c r="HVH56" s="12"/>
      <c r="HVI56" s="12"/>
      <c r="HVJ56" s="12"/>
      <c r="HVK56" s="12"/>
      <c r="HVL56" s="12"/>
      <c r="HVM56" s="12"/>
      <c r="HVN56" s="12"/>
      <c r="HVO56" s="12"/>
      <c r="HVP56" s="12"/>
      <c r="HVQ56" s="12"/>
      <c r="HVR56" s="12"/>
      <c r="HVS56" s="12"/>
      <c r="HVT56" s="12"/>
      <c r="HVU56" s="12"/>
      <c r="HVV56" s="12"/>
      <c r="HVW56" s="12"/>
      <c r="HVX56" s="12"/>
      <c r="HVY56" s="12"/>
      <c r="HVZ56" s="12"/>
      <c r="HWA56" s="12"/>
      <c r="HWB56" s="12"/>
      <c r="HWC56" s="12"/>
      <c r="HWD56" s="12"/>
      <c r="HWE56" s="12"/>
      <c r="HWF56" s="12"/>
      <c r="HWG56" s="12"/>
      <c r="HWH56" s="12"/>
      <c r="HWI56" s="12"/>
      <c r="HWJ56" s="12"/>
      <c r="HWK56" s="12"/>
      <c r="HWL56" s="12"/>
      <c r="HWM56" s="12"/>
      <c r="HWN56" s="12"/>
      <c r="HWO56" s="12"/>
      <c r="HWP56" s="12"/>
      <c r="HWQ56" s="12"/>
      <c r="HWR56" s="12"/>
      <c r="HWS56" s="12"/>
      <c r="HWT56" s="12"/>
      <c r="HWU56" s="12"/>
      <c r="HWV56" s="12"/>
      <c r="HWW56" s="12"/>
      <c r="HWX56" s="12"/>
      <c r="HWY56" s="12"/>
      <c r="HWZ56" s="12"/>
      <c r="HXA56" s="12"/>
      <c r="HXB56" s="12"/>
      <c r="HXC56" s="12"/>
      <c r="HXD56" s="12"/>
      <c r="HXE56" s="12"/>
      <c r="HXF56" s="12"/>
      <c r="HXG56" s="12"/>
      <c r="HXH56" s="12"/>
      <c r="HXI56" s="12"/>
      <c r="HXJ56" s="12"/>
      <c r="HXK56" s="12"/>
      <c r="HXL56" s="12"/>
      <c r="HXM56" s="12"/>
      <c r="HXN56" s="12"/>
      <c r="HXO56" s="12"/>
      <c r="HXP56" s="12"/>
      <c r="HXQ56" s="12"/>
      <c r="HXR56" s="12"/>
      <c r="HXS56" s="12"/>
      <c r="HXT56" s="12"/>
      <c r="HXU56" s="12"/>
      <c r="HXV56" s="12"/>
      <c r="HXW56" s="12"/>
      <c r="HXX56" s="12"/>
      <c r="HXY56" s="12"/>
      <c r="HXZ56" s="12"/>
      <c r="HYA56" s="12"/>
      <c r="HYB56" s="12"/>
      <c r="HYC56" s="12"/>
      <c r="HYD56" s="12"/>
      <c r="HYE56" s="12"/>
      <c r="HYF56" s="12"/>
      <c r="HYG56" s="12"/>
      <c r="HYH56" s="12"/>
      <c r="HYI56" s="12"/>
      <c r="HYJ56" s="12"/>
      <c r="HYK56" s="12"/>
      <c r="HYL56" s="12"/>
      <c r="HYM56" s="12"/>
      <c r="HYN56" s="12"/>
      <c r="HYO56" s="12"/>
      <c r="HYP56" s="12"/>
      <c r="HYQ56" s="12"/>
      <c r="HYR56" s="12"/>
      <c r="HYS56" s="12"/>
      <c r="HYT56" s="12"/>
      <c r="HYU56" s="12"/>
      <c r="HYV56" s="12"/>
      <c r="HYW56" s="12"/>
      <c r="HYX56" s="12"/>
      <c r="HYY56" s="12"/>
      <c r="HYZ56" s="12"/>
      <c r="HZA56" s="12"/>
      <c r="HZB56" s="12"/>
      <c r="HZC56" s="12"/>
      <c r="HZD56" s="12"/>
      <c r="HZE56" s="12"/>
      <c r="HZF56" s="12"/>
      <c r="HZG56" s="12"/>
      <c r="HZH56" s="12"/>
      <c r="HZI56" s="12"/>
      <c r="HZJ56" s="12"/>
      <c r="HZK56" s="12"/>
      <c r="HZL56" s="12"/>
      <c r="HZM56" s="12"/>
      <c r="HZN56" s="12"/>
      <c r="HZO56" s="12"/>
      <c r="HZP56" s="12"/>
      <c r="HZQ56" s="12"/>
      <c r="HZR56" s="12"/>
      <c r="HZS56" s="12"/>
      <c r="HZT56" s="12"/>
      <c r="HZU56" s="12"/>
      <c r="HZV56" s="12"/>
      <c r="HZW56" s="12"/>
      <c r="HZX56" s="12"/>
      <c r="HZY56" s="12"/>
      <c r="HZZ56" s="12"/>
      <c r="IAA56" s="12"/>
      <c r="IAB56" s="12"/>
      <c r="IAC56" s="12"/>
      <c r="IAD56" s="12"/>
      <c r="IAE56" s="12"/>
      <c r="IAF56" s="12"/>
      <c r="IAG56" s="12"/>
      <c r="IAH56" s="12"/>
      <c r="IAI56" s="12"/>
      <c r="IAJ56" s="12"/>
      <c r="IAK56" s="12"/>
      <c r="IAL56" s="12"/>
      <c r="IAM56" s="12"/>
      <c r="IAN56" s="12"/>
      <c r="IAO56" s="12"/>
      <c r="IAP56" s="12"/>
      <c r="IAQ56" s="12"/>
      <c r="IAR56" s="12"/>
      <c r="IAS56" s="12"/>
      <c r="IAT56" s="12"/>
      <c r="IAU56" s="12"/>
      <c r="IAV56" s="12"/>
      <c r="IAW56" s="12"/>
      <c r="IAX56" s="12"/>
      <c r="IAY56" s="12"/>
      <c r="IAZ56" s="12"/>
      <c r="IBA56" s="12"/>
      <c r="IBB56" s="12"/>
      <c r="IBC56" s="12"/>
      <c r="IBD56" s="12"/>
      <c r="IBE56" s="12"/>
      <c r="IBF56" s="12"/>
      <c r="IBG56" s="12"/>
      <c r="IBH56" s="12"/>
      <c r="IBI56" s="12"/>
      <c r="IBJ56" s="12"/>
      <c r="IBK56" s="12"/>
      <c r="IBL56" s="12"/>
      <c r="IBM56" s="12"/>
      <c r="IBN56" s="12"/>
      <c r="IBO56" s="12"/>
      <c r="IBP56" s="12"/>
      <c r="IBQ56" s="12"/>
      <c r="IBR56" s="12"/>
      <c r="IBS56" s="12"/>
      <c r="IBT56" s="12"/>
      <c r="IBU56" s="12"/>
      <c r="IBV56" s="12"/>
      <c r="IBW56" s="12"/>
      <c r="IBX56" s="12"/>
      <c r="IBY56" s="12"/>
      <c r="IBZ56" s="12"/>
      <c r="ICA56" s="12"/>
      <c r="ICB56" s="12"/>
      <c r="ICC56" s="12"/>
      <c r="ICD56" s="12"/>
      <c r="ICE56" s="12"/>
      <c r="ICF56" s="12"/>
      <c r="ICG56" s="12"/>
      <c r="ICH56" s="12"/>
      <c r="ICI56" s="12"/>
      <c r="ICJ56" s="12"/>
      <c r="ICK56" s="12"/>
      <c r="ICL56" s="12"/>
      <c r="ICM56" s="12"/>
      <c r="ICN56" s="12"/>
      <c r="ICO56" s="12"/>
      <c r="ICP56" s="12"/>
      <c r="ICQ56" s="12"/>
      <c r="ICR56" s="12"/>
      <c r="ICS56" s="12"/>
      <c r="ICT56" s="12"/>
      <c r="ICU56" s="12"/>
      <c r="ICV56" s="12"/>
      <c r="ICW56" s="12"/>
      <c r="ICX56" s="12"/>
      <c r="ICY56" s="12"/>
      <c r="ICZ56" s="12"/>
      <c r="IDA56" s="12"/>
      <c r="IDB56" s="12"/>
      <c r="IDC56" s="12"/>
      <c r="IDD56" s="12"/>
      <c r="IDE56" s="12"/>
      <c r="IDF56" s="12"/>
      <c r="IDG56" s="12"/>
      <c r="IDH56" s="12"/>
      <c r="IDI56" s="12"/>
      <c r="IDJ56" s="12"/>
      <c r="IDK56" s="12"/>
      <c r="IDL56" s="12"/>
      <c r="IDM56" s="12"/>
      <c r="IDN56" s="12"/>
      <c r="IDO56" s="12"/>
      <c r="IDP56" s="12"/>
      <c r="IDQ56" s="12"/>
      <c r="IDR56" s="12"/>
      <c r="IDS56" s="12"/>
      <c r="IDT56" s="12"/>
      <c r="IDU56" s="12"/>
      <c r="IDV56" s="12"/>
      <c r="IDW56" s="12"/>
      <c r="IDX56" s="12"/>
      <c r="IDY56" s="12"/>
      <c r="IDZ56" s="12"/>
      <c r="IEA56" s="12"/>
      <c r="IEB56" s="12"/>
      <c r="IEC56" s="12"/>
      <c r="IED56" s="12"/>
      <c r="IEE56" s="12"/>
      <c r="IEF56" s="12"/>
      <c r="IEG56" s="12"/>
      <c r="IEH56" s="12"/>
      <c r="IEI56" s="12"/>
      <c r="IEJ56" s="12"/>
      <c r="IEK56" s="12"/>
      <c r="IEL56" s="12"/>
      <c r="IEM56" s="12"/>
      <c r="IEN56" s="12"/>
      <c r="IEO56" s="12"/>
      <c r="IEP56" s="12"/>
      <c r="IEQ56" s="12"/>
      <c r="IER56" s="12"/>
      <c r="IES56" s="12"/>
      <c r="IET56" s="12"/>
      <c r="IEU56" s="12"/>
      <c r="IEV56" s="12"/>
      <c r="IEW56" s="12"/>
      <c r="IEX56" s="12"/>
      <c r="IEY56" s="12"/>
      <c r="IEZ56" s="12"/>
      <c r="IFA56" s="12"/>
      <c r="IFB56" s="12"/>
      <c r="IFC56" s="12"/>
      <c r="IFD56" s="12"/>
      <c r="IFE56" s="12"/>
      <c r="IFF56" s="12"/>
      <c r="IFG56" s="12"/>
      <c r="IFH56" s="12"/>
      <c r="IFI56" s="12"/>
      <c r="IFJ56" s="12"/>
      <c r="IFK56" s="12"/>
      <c r="IFL56" s="12"/>
      <c r="IFM56" s="12"/>
      <c r="IFN56" s="12"/>
      <c r="IFO56" s="12"/>
      <c r="IFP56" s="12"/>
      <c r="IFQ56" s="12"/>
      <c r="IFR56" s="12"/>
      <c r="IFS56" s="12"/>
      <c r="IFT56" s="12"/>
      <c r="IFU56" s="12"/>
      <c r="IFV56" s="12"/>
      <c r="IFW56" s="12"/>
      <c r="IFX56" s="12"/>
      <c r="IFY56" s="12"/>
      <c r="IFZ56" s="12"/>
      <c r="IGA56" s="12"/>
      <c r="IGB56" s="12"/>
      <c r="IGC56" s="12"/>
      <c r="IGD56" s="12"/>
      <c r="IGE56" s="12"/>
      <c r="IGF56" s="12"/>
      <c r="IGG56" s="12"/>
      <c r="IGH56" s="12"/>
      <c r="IGI56" s="12"/>
      <c r="IGJ56" s="12"/>
      <c r="IGK56" s="12"/>
      <c r="IGL56" s="12"/>
      <c r="IGM56" s="12"/>
      <c r="IGN56" s="12"/>
      <c r="IGO56" s="12"/>
      <c r="IGP56" s="12"/>
      <c r="IGQ56" s="12"/>
      <c r="IGR56" s="12"/>
      <c r="IGS56" s="12"/>
      <c r="IGT56" s="12"/>
      <c r="IGU56" s="12"/>
      <c r="IGV56" s="12"/>
      <c r="IGW56" s="12"/>
      <c r="IGX56" s="12"/>
      <c r="IGY56" s="12"/>
      <c r="IGZ56" s="12"/>
      <c r="IHA56" s="12"/>
      <c r="IHB56" s="12"/>
      <c r="IHC56" s="12"/>
      <c r="IHD56" s="12"/>
      <c r="IHE56" s="12"/>
      <c r="IHF56" s="12"/>
      <c r="IHG56" s="12"/>
      <c r="IHH56" s="12"/>
      <c r="IHI56" s="12"/>
      <c r="IHJ56" s="12"/>
      <c r="IHK56" s="12"/>
      <c r="IHL56" s="12"/>
      <c r="IHM56" s="12"/>
      <c r="IHN56" s="12"/>
      <c r="IHO56" s="12"/>
      <c r="IHP56" s="12"/>
      <c r="IHQ56" s="12"/>
      <c r="IHR56" s="12"/>
      <c r="IHS56" s="12"/>
      <c r="IHT56" s="12"/>
      <c r="IHU56" s="12"/>
      <c r="IHV56" s="12"/>
      <c r="IHW56" s="12"/>
      <c r="IHX56" s="12"/>
      <c r="IHY56" s="12"/>
      <c r="IHZ56" s="12"/>
      <c r="IIA56" s="12"/>
      <c r="IIB56" s="12"/>
      <c r="IIC56" s="12"/>
      <c r="IID56" s="12"/>
      <c r="IIE56" s="12"/>
      <c r="IIF56" s="12"/>
      <c r="IIG56" s="12"/>
      <c r="IIH56" s="12"/>
      <c r="III56" s="12"/>
      <c r="IIJ56" s="12"/>
      <c r="IIK56" s="12"/>
      <c r="IIL56" s="12"/>
      <c r="IIM56" s="12"/>
      <c r="IIN56" s="12"/>
      <c r="IIO56" s="12"/>
      <c r="IIP56" s="12"/>
      <c r="IIQ56" s="12"/>
      <c r="IIR56" s="12"/>
      <c r="IIS56" s="12"/>
      <c r="IIT56" s="12"/>
      <c r="IIU56" s="12"/>
      <c r="IIV56" s="12"/>
      <c r="IIW56" s="12"/>
      <c r="IIX56" s="12"/>
      <c r="IIY56" s="12"/>
      <c r="IIZ56" s="12"/>
      <c r="IJA56" s="12"/>
      <c r="IJB56" s="12"/>
      <c r="IJC56" s="12"/>
      <c r="IJD56" s="12"/>
      <c r="IJE56" s="12"/>
      <c r="IJF56" s="12"/>
      <c r="IJG56" s="12"/>
      <c r="IJH56" s="12"/>
      <c r="IJI56" s="12"/>
      <c r="IJJ56" s="12"/>
      <c r="IJK56" s="12"/>
      <c r="IJL56" s="12"/>
      <c r="IJM56" s="12"/>
      <c r="IJN56" s="12"/>
      <c r="IJO56" s="12"/>
      <c r="IJP56" s="12"/>
      <c r="IJQ56" s="12"/>
      <c r="IJR56" s="12"/>
      <c r="IJS56" s="12"/>
      <c r="IJT56" s="12"/>
      <c r="IJU56" s="12"/>
      <c r="IJV56" s="12"/>
      <c r="IJW56" s="12"/>
      <c r="IJX56" s="12"/>
      <c r="IJY56" s="12"/>
      <c r="IJZ56" s="12"/>
      <c r="IKA56" s="12"/>
      <c r="IKB56" s="12"/>
      <c r="IKC56" s="12"/>
      <c r="IKD56" s="12"/>
      <c r="IKE56" s="12"/>
      <c r="IKF56" s="12"/>
      <c r="IKG56" s="12"/>
      <c r="IKH56" s="12"/>
      <c r="IKI56" s="12"/>
      <c r="IKJ56" s="12"/>
      <c r="IKK56" s="12"/>
      <c r="IKL56" s="12"/>
      <c r="IKM56" s="12"/>
      <c r="IKN56" s="12"/>
      <c r="IKO56" s="12"/>
      <c r="IKP56" s="12"/>
      <c r="IKQ56" s="12"/>
      <c r="IKR56" s="12"/>
      <c r="IKS56" s="12"/>
      <c r="IKT56" s="12"/>
      <c r="IKU56" s="12"/>
      <c r="IKV56" s="12"/>
      <c r="IKW56" s="12"/>
      <c r="IKX56" s="12"/>
      <c r="IKY56" s="12"/>
      <c r="IKZ56" s="12"/>
      <c r="ILA56" s="12"/>
      <c r="ILB56" s="12"/>
      <c r="ILC56" s="12"/>
      <c r="ILD56" s="12"/>
      <c r="ILE56" s="12"/>
      <c r="ILF56" s="12"/>
      <c r="ILG56" s="12"/>
      <c r="ILH56" s="12"/>
      <c r="ILI56" s="12"/>
      <c r="ILJ56" s="12"/>
      <c r="ILK56" s="12"/>
      <c r="ILL56" s="12"/>
      <c r="ILM56" s="12"/>
      <c r="ILN56" s="12"/>
      <c r="ILO56" s="12"/>
      <c r="ILP56" s="12"/>
      <c r="ILQ56" s="12"/>
      <c r="ILR56" s="12"/>
      <c r="ILS56" s="12"/>
      <c r="ILT56" s="12"/>
      <c r="ILU56" s="12"/>
      <c r="ILV56" s="12"/>
      <c r="ILW56" s="12"/>
      <c r="ILX56" s="12"/>
      <c r="ILY56" s="12"/>
      <c r="ILZ56" s="12"/>
      <c r="IMA56" s="12"/>
      <c r="IMB56" s="12"/>
      <c r="IMC56" s="12"/>
      <c r="IMD56" s="12"/>
      <c r="IME56" s="12"/>
      <c r="IMF56" s="12"/>
      <c r="IMG56" s="12"/>
      <c r="IMH56" s="12"/>
      <c r="IMI56" s="12"/>
      <c r="IMJ56" s="12"/>
      <c r="IMK56" s="12"/>
      <c r="IML56" s="12"/>
      <c r="IMM56" s="12"/>
      <c r="IMN56" s="12"/>
      <c r="IMO56" s="12"/>
      <c r="IMP56" s="12"/>
      <c r="IMQ56" s="12"/>
      <c r="IMR56" s="12"/>
      <c r="IMS56" s="12"/>
      <c r="IMT56" s="12"/>
      <c r="IMU56" s="12"/>
      <c r="IMV56" s="12"/>
      <c r="IMW56" s="12"/>
      <c r="IMX56" s="12"/>
      <c r="IMY56" s="12"/>
      <c r="IMZ56" s="12"/>
      <c r="INA56" s="12"/>
      <c r="INB56" s="12"/>
      <c r="INC56" s="12"/>
      <c r="IND56" s="12"/>
      <c r="INE56" s="12"/>
      <c r="INF56" s="12"/>
      <c r="ING56" s="12"/>
      <c r="INH56" s="12"/>
      <c r="INI56" s="12"/>
      <c r="INJ56" s="12"/>
      <c r="INK56" s="12"/>
      <c r="INL56" s="12"/>
      <c r="INM56" s="12"/>
      <c r="INN56" s="12"/>
      <c r="INO56" s="12"/>
      <c r="INP56" s="12"/>
      <c r="INQ56" s="12"/>
      <c r="INR56" s="12"/>
      <c r="INS56" s="12"/>
      <c r="INT56" s="12"/>
      <c r="INU56" s="12"/>
      <c r="INV56" s="12"/>
      <c r="INW56" s="12"/>
      <c r="INX56" s="12"/>
      <c r="INY56" s="12"/>
      <c r="INZ56" s="12"/>
      <c r="IOA56" s="12"/>
      <c r="IOB56" s="12"/>
      <c r="IOC56" s="12"/>
      <c r="IOD56" s="12"/>
      <c r="IOE56" s="12"/>
      <c r="IOF56" s="12"/>
      <c r="IOG56" s="12"/>
      <c r="IOH56" s="12"/>
      <c r="IOI56" s="12"/>
      <c r="IOJ56" s="12"/>
      <c r="IOK56" s="12"/>
      <c r="IOL56" s="12"/>
      <c r="IOM56" s="12"/>
      <c r="ION56" s="12"/>
      <c r="IOO56" s="12"/>
      <c r="IOP56" s="12"/>
      <c r="IOQ56" s="12"/>
      <c r="IOR56" s="12"/>
      <c r="IOS56" s="12"/>
      <c r="IOT56" s="12"/>
      <c r="IOU56" s="12"/>
      <c r="IOV56" s="12"/>
      <c r="IOW56" s="12"/>
      <c r="IOX56" s="12"/>
      <c r="IOY56" s="12"/>
      <c r="IOZ56" s="12"/>
      <c r="IPA56" s="12"/>
      <c r="IPB56" s="12"/>
      <c r="IPC56" s="12"/>
      <c r="IPD56" s="12"/>
      <c r="IPE56" s="12"/>
      <c r="IPF56" s="12"/>
      <c r="IPG56" s="12"/>
      <c r="IPH56" s="12"/>
      <c r="IPI56" s="12"/>
      <c r="IPJ56" s="12"/>
      <c r="IPK56" s="12"/>
      <c r="IPL56" s="12"/>
      <c r="IPM56" s="12"/>
      <c r="IPN56" s="12"/>
      <c r="IPO56" s="12"/>
      <c r="IPP56" s="12"/>
      <c r="IPQ56" s="12"/>
      <c r="IPR56" s="12"/>
      <c r="IPS56" s="12"/>
      <c r="IPT56" s="12"/>
      <c r="IPU56" s="12"/>
      <c r="IPV56" s="12"/>
      <c r="IPW56" s="12"/>
      <c r="IPX56" s="12"/>
      <c r="IPY56" s="12"/>
      <c r="IPZ56" s="12"/>
      <c r="IQA56" s="12"/>
      <c r="IQB56" s="12"/>
      <c r="IQC56" s="12"/>
      <c r="IQD56" s="12"/>
      <c r="IQE56" s="12"/>
      <c r="IQF56" s="12"/>
      <c r="IQG56" s="12"/>
      <c r="IQH56" s="12"/>
      <c r="IQI56" s="12"/>
      <c r="IQJ56" s="12"/>
      <c r="IQK56" s="12"/>
      <c r="IQL56" s="12"/>
      <c r="IQM56" s="12"/>
      <c r="IQN56" s="12"/>
      <c r="IQO56" s="12"/>
      <c r="IQP56" s="12"/>
      <c r="IQQ56" s="12"/>
      <c r="IQR56" s="12"/>
      <c r="IQS56" s="12"/>
      <c r="IQT56" s="12"/>
      <c r="IQU56" s="12"/>
      <c r="IQV56" s="12"/>
      <c r="IQW56" s="12"/>
      <c r="IQX56" s="12"/>
      <c r="IQY56" s="12"/>
      <c r="IQZ56" s="12"/>
      <c r="IRA56" s="12"/>
      <c r="IRB56" s="12"/>
      <c r="IRC56" s="12"/>
      <c r="IRD56" s="12"/>
      <c r="IRE56" s="12"/>
      <c r="IRF56" s="12"/>
      <c r="IRG56" s="12"/>
      <c r="IRH56" s="12"/>
      <c r="IRI56" s="12"/>
      <c r="IRJ56" s="12"/>
      <c r="IRK56" s="12"/>
      <c r="IRL56" s="12"/>
      <c r="IRM56" s="12"/>
      <c r="IRN56" s="12"/>
      <c r="IRO56" s="12"/>
      <c r="IRP56" s="12"/>
      <c r="IRQ56" s="12"/>
      <c r="IRR56" s="12"/>
      <c r="IRS56" s="12"/>
      <c r="IRT56" s="12"/>
      <c r="IRU56" s="12"/>
      <c r="IRV56" s="12"/>
      <c r="IRW56" s="12"/>
      <c r="IRX56" s="12"/>
      <c r="IRY56" s="12"/>
      <c r="IRZ56" s="12"/>
      <c r="ISA56" s="12"/>
      <c r="ISB56" s="12"/>
      <c r="ISC56" s="12"/>
      <c r="ISD56" s="12"/>
      <c r="ISE56" s="12"/>
      <c r="ISF56" s="12"/>
      <c r="ISG56" s="12"/>
      <c r="ISH56" s="12"/>
      <c r="ISI56" s="12"/>
      <c r="ISJ56" s="12"/>
      <c r="ISK56" s="12"/>
      <c r="ISL56" s="12"/>
      <c r="ISM56" s="12"/>
      <c r="ISN56" s="12"/>
      <c r="ISO56" s="12"/>
      <c r="ISP56" s="12"/>
      <c r="ISQ56" s="12"/>
      <c r="ISR56" s="12"/>
      <c r="ISS56" s="12"/>
      <c r="IST56" s="12"/>
      <c r="ISU56" s="12"/>
      <c r="ISV56" s="12"/>
      <c r="ISW56" s="12"/>
      <c r="ISX56" s="12"/>
      <c r="ISY56" s="12"/>
      <c r="ISZ56" s="12"/>
      <c r="ITA56" s="12"/>
      <c r="ITB56" s="12"/>
      <c r="ITC56" s="12"/>
      <c r="ITD56" s="12"/>
      <c r="ITE56" s="12"/>
      <c r="ITF56" s="12"/>
      <c r="ITG56" s="12"/>
      <c r="ITH56" s="12"/>
      <c r="ITI56" s="12"/>
      <c r="ITJ56" s="12"/>
      <c r="ITK56" s="12"/>
      <c r="ITL56" s="12"/>
      <c r="ITM56" s="12"/>
      <c r="ITN56" s="12"/>
      <c r="ITO56" s="12"/>
      <c r="ITP56" s="12"/>
      <c r="ITQ56" s="12"/>
      <c r="ITR56" s="12"/>
      <c r="ITS56" s="12"/>
      <c r="ITT56" s="12"/>
      <c r="ITU56" s="12"/>
      <c r="ITV56" s="12"/>
      <c r="ITW56" s="12"/>
      <c r="ITX56" s="12"/>
      <c r="ITY56" s="12"/>
      <c r="ITZ56" s="12"/>
      <c r="IUA56" s="12"/>
      <c r="IUB56" s="12"/>
      <c r="IUC56" s="12"/>
      <c r="IUD56" s="12"/>
      <c r="IUE56" s="12"/>
      <c r="IUF56" s="12"/>
      <c r="IUG56" s="12"/>
      <c r="IUH56" s="12"/>
      <c r="IUI56" s="12"/>
      <c r="IUJ56" s="12"/>
      <c r="IUK56" s="12"/>
      <c r="IUL56" s="12"/>
      <c r="IUM56" s="12"/>
      <c r="IUN56" s="12"/>
      <c r="IUO56" s="12"/>
      <c r="IUP56" s="12"/>
      <c r="IUQ56" s="12"/>
      <c r="IUR56" s="12"/>
      <c r="IUS56" s="12"/>
      <c r="IUT56" s="12"/>
      <c r="IUU56" s="12"/>
      <c r="IUV56" s="12"/>
      <c r="IUW56" s="12"/>
      <c r="IUX56" s="12"/>
      <c r="IUY56" s="12"/>
      <c r="IUZ56" s="12"/>
      <c r="IVA56" s="12"/>
      <c r="IVB56" s="12"/>
      <c r="IVC56" s="12"/>
      <c r="IVD56" s="12"/>
      <c r="IVE56" s="12"/>
      <c r="IVF56" s="12"/>
      <c r="IVG56" s="12"/>
      <c r="IVH56" s="12"/>
      <c r="IVI56" s="12"/>
      <c r="IVJ56" s="12"/>
      <c r="IVK56" s="12"/>
      <c r="IVL56" s="12"/>
      <c r="IVM56" s="12"/>
      <c r="IVN56" s="12"/>
      <c r="IVO56" s="12"/>
      <c r="IVP56" s="12"/>
      <c r="IVQ56" s="12"/>
      <c r="IVR56" s="12"/>
      <c r="IVS56" s="12"/>
      <c r="IVT56" s="12"/>
      <c r="IVU56" s="12"/>
      <c r="IVV56" s="12"/>
      <c r="IVW56" s="12"/>
      <c r="IVX56" s="12"/>
      <c r="IVY56" s="12"/>
      <c r="IVZ56" s="12"/>
      <c r="IWA56" s="12"/>
      <c r="IWB56" s="12"/>
      <c r="IWC56" s="12"/>
      <c r="IWD56" s="12"/>
      <c r="IWE56" s="12"/>
      <c r="IWF56" s="12"/>
      <c r="IWG56" s="12"/>
      <c r="IWH56" s="12"/>
      <c r="IWI56" s="12"/>
      <c r="IWJ56" s="12"/>
      <c r="IWK56" s="12"/>
      <c r="IWL56" s="12"/>
      <c r="IWM56" s="12"/>
      <c r="IWN56" s="12"/>
      <c r="IWO56" s="12"/>
      <c r="IWP56" s="12"/>
      <c r="IWQ56" s="12"/>
      <c r="IWR56" s="12"/>
      <c r="IWS56" s="12"/>
      <c r="IWT56" s="12"/>
      <c r="IWU56" s="12"/>
      <c r="IWV56" s="12"/>
      <c r="IWW56" s="12"/>
      <c r="IWX56" s="12"/>
      <c r="IWY56" s="12"/>
      <c r="IWZ56" s="12"/>
      <c r="IXA56" s="12"/>
      <c r="IXB56" s="12"/>
      <c r="IXC56" s="12"/>
      <c r="IXD56" s="12"/>
      <c r="IXE56" s="12"/>
      <c r="IXF56" s="12"/>
      <c r="IXG56" s="12"/>
      <c r="IXH56" s="12"/>
      <c r="IXI56" s="12"/>
      <c r="IXJ56" s="12"/>
      <c r="IXK56" s="12"/>
      <c r="IXL56" s="12"/>
      <c r="IXM56" s="12"/>
      <c r="IXN56" s="12"/>
      <c r="IXO56" s="12"/>
      <c r="IXP56" s="12"/>
      <c r="IXQ56" s="12"/>
      <c r="IXR56" s="12"/>
      <c r="IXS56" s="12"/>
      <c r="IXT56" s="12"/>
      <c r="IXU56" s="12"/>
      <c r="IXV56" s="12"/>
      <c r="IXW56" s="12"/>
      <c r="IXX56" s="12"/>
      <c r="IXY56" s="12"/>
      <c r="IXZ56" s="12"/>
      <c r="IYA56" s="12"/>
      <c r="IYB56" s="12"/>
      <c r="IYC56" s="12"/>
      <c r="IYD56" s="12"/>
      <c r="IYE56" s="12"/>
      <c r="IYF56" s="12"/>
      <c r="IYG56" s="12"/>
      <c r="IYH56" s="12"/>
      <c r="IYI56" s="12"/>
      <c r="IYJ56" s="12"/>
      <c r="IYK56" s="12"/>
      <c r="IYL56" s="12"/>
      <c r="IYM56" s="12"/>
      <c r="IYN56" s="12"/>
      <c r="IYO56" s="12"/>
      <c r="IYP56" s="12"/>
      <c r="IYQ56" s="12"/>
      <c r="IYR56" s="12"/>
      <c r="IYS56" s="12"/>
      <c r="IYT56" s="12"/>
      <c r="IYU56" s="12"/>
      <c r="IYV56" s="12"/>
      <c r="IYW56" s="12"/>
      <c r="IYX56" s="12"/>
      <c r="IYY56" s="12"/>
      <c r="IYZ56" s="12"/>
      <c r="IZA56" s="12"/>
      <c r="IZB56" s="12"/>
      <c r="IZC56" s="12"/>
      <c r="IZD56" s="12"/>
      <c r="IZE56" s="12"/>
      <c r="IZF56" s="12"/>
      <c r="IZG56" s="12"/>
      <c r="IZH56" s="12"/>
      <c r="IZI56" s="12"/>
      <c r="IZJ56" s="12"/>
      <c r="IZK56" s="12"/>
      <c r="IZL56" s="12"/>
      <c r="IZM56" s="12"/>
      <c r="IZN56" s="12"/>
      <c r="IZO56" s="12"/>
      <c r="IZP56" s="12"/>
      <c r="IZQ56" s="12"/>
      <c r="IZR56" s="12"/>
      <c r="IZS56" s="12"/>
      <c r="IZT56" s="12"/>
      <c r="IZU56" s="12"/>
      <c r="IZV56" s="12"/>
      <c r="IZW56" s="12"/>
      <c r="IZX56" s="12"/>
      <c r="IZY56" s="12"/>
      <c r="IZZ56" s="12"/>
      <c r="JAA56" s="12"/>
      <c r="JAB56" s="12"/>
      <c r="JAC56" s="12"/>
      <c r="JAD56" s="12"/>
      <c r="JAE56" s="12"/>
      <c r="JAF56" s="12"/>
      <c r="JAG56" s="12"/>
      <c r="JAH56" s="12"/>
      <c r="JAI56" s="12"/>
      <c r="JAJ56" s="12"/>
      <c r="JAK56" s="12"/>
      <c r="JAL56" s="12"/>
      <c r="JAM56" s="12"/>
      <c r="JAN56" s="12"/>
      <c r="JAO56" s="12"/>
      <c r="JAP56" s="12"/>
      <c r="JAQ56" s="12"/>
      <c r="JAR56" s="12"/>
      <c r="JAS56" s="12"/>
      <c r="JAT56" s="12"/>
      <c r="JAU56" s="12"/>
      <c r="JAV56" s="12"/>
      <c r="JAW56" s="12"/>
      <c r="JAX56" s="12"/>
      <c r="JAY56" s="12"/>
      <c r="JAZ56" s="12"/>
      <c r="JBA56" s="12"/>
      <c r="JBB56" s="12"/>
      <c r="JBC56" s="12"/>
      <c r="JBD56" s="12"/>
      <c r="JBE56" s="12"/>
      <c r="JBF56" s="12"/>
      <c r="JBG56" s="12"/>
      <c r="JBH56" s="12"/>
      <c r="JBI56" s="12"/>
      <c r="JBJ56" s="12"/>
      <c r="JBK56" s="12"/>
      <c r="JBL56" s="12"/>
      <c r="JBM56" s="12"/>
      <c r="JBN56" s="12"/>
      <c r="JBO56" s="12"/>
      <c r="JBP56" s="12"/>
      <c r="JBQ56" s="12"/>
      <c r="JBR56" s="12"/>
      <c r="JBS56" s="12"/>
      <c r="JBT56" s="12"/>
      <c r="JBU56" s="12"/>
      <c r="JBV56" s="12"/>
      <c r="JBW56" s="12"/>
      <c r="JBX56" s="12"/>
      <c r="JBY56" s="12"/>
      <c r="JBZ56" s="12"/>
      <c r="JCA56" s="12"/>
      <c r="JCB56" s="12"/>
      <c r="JCC56" s="12"/>
      <c r="JCD56" s="12"/>
      <c r="JCE56" s="12"/>
      <c r="JCF56" s="12"/>
      <c r="JCG56" s="12"/>
      <c r="JCH56" s="12"/>
      <c r="JCI56" s="12"/>
      <c r="JCJ56" s="12"/>
      <c r="JCK56" s="12"/>
      <c r="JCL56" s="12"/>
      <c r="JCM56" s="12"/>
      <c r="JCN56" s="12"/>
      <c r="JCO56" s="12"/>
      <c r="JCP56" s="12"/>
      <c r="JCQ56" s="12"/>
      <c r="JCR56" s="12"/>
      <c r="JCS56" s="12"/>
      <c r="JCT56" s="12"/>
      <c r="JCU56" s="12"/>
      <c r="JCV56" s="12"/>
      <c r="JCW56" s="12"/>
      <c r="JCX56" s="12"/>
      <c r="JCY56" s="12"/>
      <c r="JCZ56" s="12"/>
      <c r="JDA56" s="12"/>
      <c r="JDB56" s="12"/>
      <c r="JDC56" s="12"/>
      <c r="JDD56" s="12"/>
      <c r="JDE56" s="12"/>
      <c r="JDF56" s="12"/>
      <c r="JDG56" s="12"/>
      <c r="JDH56" s="12"/>
      <c r="JDI56" s="12"/>
      <c r="JDJ56" s="12"/>
      <c r="JDK56" s="12"/>
      <c r="JDL56" s="12"/>
      <c r="JDM56" s="12"/>
      <c r="JDN56" s="12"/>
      <c r="JDO56" s="12"/>
      <c r="JDP56" s="12"/>
      <c r="JDQ56" s="12"/>
      <c r="JDR56" s="12"/>
      <c r="JDS56" s="12"/>
      <c r="JDT56" s="12"/>
      <c r="JDU56" s="12"/>
      <c r="JDV56" s="12"/>
      <c r="JDW56" s="12"/>
      <c r="JDX56" s="12"/>
      <c r="JDY56" s="12"/>
      <c r="JDZ56" s="12"/>
      <c r="JEA56" s="12"/>
      <c r="JEB56" s="12"/>
      <c r="JEC56" s="12"/>
      <c r="JED56" s="12"/>
      <c r="JEE56" s="12"/>
      <c r="JEF56" s="12"/>
      <c r="JEG56" s="12"/>
      <c r="JEH56" s="12"/>
      <c r="JEI56" s="12"/>
      <c r="JEJ56" s="12"/>
      <c r="JEK56" s="12"/>
      <c r="JEL56" s="12"/>
      <c r="JEM56" s="12"/>
      <c r="JEN56" s="12"/>
      <c r="JEO56" s="12"/>
      <c r="JEP56" s="12"/>
      <c r="JEQ56" s="12"/>
      <c r="JER56" s="12"/>
      <c r="JES56" s="12"/>
      <c r="JET56" s="12"/>
      <c r="JEU56" s="12"/>
      <c r="JEV56" s="12"/>
      <c r="JEW56" s="12"/>
      <c r="JEX56" s="12"/>
      <c r="JEY56" s="12"/>
      <c r="JEZ56" s="12"/>
      <c r="JFA56" s="12"/>
      <c r="JFB56" s="12"/>
      <c r="JFC56" s="12"/>
      <c r="JFD56" s="12"/>
      <c r="JFE56" s="12"/>
      <c r="JFF56" s="12"/>
      <c r="JFG56" s="12"/>
      <c r="JFH56" s="12"/>
      <c r="JFI56" s="12"/>
      <c r="JFJ56" s="12"/>
      <c r="JFK56" s="12"/>
      <c r="JFL56" s="12"/>
      <c r="JFM56" s="12"/>
      <c r="JFN56" s="12"/>
      <c r="JFO56" s="12"/>
      <c r="JFP56" s="12"/>
      <c r="JFQ56" s="12"/>
      <c r="JFR56" s="12"/>
      <c r="JFS56" s="12"/>
      <c r="JFT56" s="12"/>
      <c r="JFU56" s="12"/>
      <c r="JFV56" s="12"/>
      <c r="JFW56" s="12"/>
      <c r="JFX56" s="12"/>
      <c r="JFY56" s="12"/>
      <c r="JFZ56" s="12"/>
      <c r="JGA56" s="12"/>
      <c r="JGB56" s="12"/>
      <c r="JGC56" s="12"/>
      <c r="JGD56" s="12"/>
      <c r="JGE56" s="12"/>
      <c r="JGF56" s="12"/>
      <c r="JGG56" s="12"/>
      <c r="JGH56" s="12"/>
      <c r="JGI56" s="12"/>
      <c r="JGJ56" s="12"/>
      <c r="JGK56" s="12"/>
      <c r="JGL56" s="12"/>
      <c r="JGM56" s="12"/>
      <c r="JGN56" s="12"/>
      <c r="JGO56" s="12"/>
      <c r="JGP56" s="12"/>
      <c r="JGQ56" s="12"/>
      <c r="JGR56" s="12"/>
      <c r="JGS56" s="12"/>
      <c r="JGT56" s="12"/>
      <c r="JGU56" s="12"/>
      <c r="JGV56" s="12"/>
      <c r="JGW56" s="12"/>
      <c r="JGX56" s="12"/>
      <c r="JGY56" s="12"/>
      <c r="JGZ56" s="12"/>
      <c r="JHA56" s="12"/>
      <c r="JHB56" s="12"/>
      <c r="JHC56" s="12"/>
      <c r="JHD56" s="12"/>
      <c r="JHE56" s="12"/>
      <c r="JHF56" s="12"/>
      <c r="JHG56" s="12"/>
      <c r="JHH56" s="12"/>
      <c r="JHI56" s="12"/>
      <c r="JHJ56" s="12"/>
      <c r="JHK56" s="12"/>
      <c r="JHL56" s="12"/>
      <c r="JHM56" s="12"/>
      <c r="JHN56" s="12"/>
      <c r="JHO56" s="12"/>
      <c r="JHP56" s="12"/>
      <c r="JHQ56" s="12"/>
      <c r="JHR56" s="12"/>
      <c r="JHS56" s="12"/>
      <c r="JHT56" s="12"/>
      <c r="JHU56" s="12"/>
      <c r="JHV56" s="12"/>
      <c r="JHW56" s="12"/>
      <c r="JHX56" s="12"/>
      <c r="JHY56" s="12"/>
      <c r="JHZ56" s="12"/>
      <c r="JIA56" s="12"/>
      <c r="JIB56" s="12"/>
      <c r="JIC56" s="12"/>
      <c r="JID56" s="12"/>
      <c r="JIE56" s="12"/>
      <c r="JIF56" s="12"/>
      <c r="JIG56" s="12"/>
      <c r="JIH56" s="12"/>
      <c r="JII56" s="12"/>
      <c r="JIJ56" s="12"/>
      <c r="JIK56" s="12"/>
      <c r="JIL56" s="12"/>
      <c r="JIM56" s="12"/>
      <c r="JIN56" s="12"/>
      <c r="JIO56" s="12"/>
      <c r="JIP56" s="12"/>
      <c r="JIQ56" s="12"/>
      <c r="JIR56" s="12"/>
      <c r="JIS56" s="12"/>
      <c r="JIT56" s="12"/>
      <c r="JIU56" s="12"/>
      <c r="JIV56" s="12"/>
      <c r="JIW56" s="12"/>
      <c r="JIX56" s="12"/>
      <c r="JIY56" s="12"/>
      <c r="JIZ56" s="12"/>
      <c r="JJA56" s="12"/>
      <c r="JJB56" s="12"/>
      <c r="JJC56" s="12"/>
      <c r="JJD56" s="12"/>
      <c r="JJE56" s="12"/>
      <c r="JJF56" s="12"/>
      <c r="JJG56" s="12"/>
      <c r="JJH56" s="12"/>
      <c r="JJI56" s="12"/>
      <c r="JJJ56" s="12"/>
      <c r="JJK56" s="12"/>
      <c r="JJL56" s="12"/>
      <c r="JJM56" s="12"/>
      <c r="JJN56" s="12"/>
      <c r="JJO56" s="12"/>
      <c r="JJP56" s="12"/>
      <c r="JJQ56" s="12"/>
      <c r="JJR56" s="12"/>
      <c r="JJS56" s="12"/>
      <c r="JJT56" s="12"/>
      <c r="JJU56" s="12"/>
      <c r="JJV56" s="12"/>
      <c r="JJW56" s="12"/>
      <c r="JJX56" s="12"/>
      <c r="JJY56" s="12"/>
      <c r="JJZ56" s="12"/>
      <c r="JKA56" s="12"/>
      <c r="JKB56" s="12"/>
      <c r="JKC56" s="12"/>
      <c r="JKD56" s="12"/>
      <c r="JKE56" s="12"/>
      <c r="JKF56" s="12"/>
      <c r="JKG56" s="12"/>
      <c r="JKH56" s="12"/>
      <c r="JKI56" s="12"/>
      <c r="JKJ56" s="12"/>
      <c r="JKK56" s="12"/>
      <c r="JKL56" s="12"/>
      <c r="JKM56" s="12"/>
      <c r="JKN56" s="12"/>
      <c r="JKO56" s="12"/>
      <c r="JKP56" s="12"/>
      <c r="JKQ56" s="12"/>
      <c r="JKR56" s="12"/>
      <c r="JKS56" s="12"/>
      <c r="JKT56" s="12"/>
      <c r="JKU56" s="12"/>
      <c r="JKV56" s="12"/>
      <c r="JKW56" s="12"/>
      <c r="JKX56" s="12"/>
      <c r="JKY56" s="12"/>
      <c r="JKZ56" s="12"/>
      <c r="JLA56" s="12"/>
      <c r="JLB56" s="12"/>
      <c r="JLC56" s="12"/>
      <c r="JLD56" s="12"/>
      <c r="JLE56" s="12"/>
      <c r="JLF56" s="12"/>
      <c r="JLG56" s="12"/>
      <c r="JLH56" s="12"/>
      <c r="JLI56" s="12"/>
      <c r="JLJ56" s="12"/>
      <c r="JLK56" s="12"/>
      <c r="JLL56" s="12"/>
      <c r="JLM56" s="12"/>
      <c r="JLN56" s="12"/>
      <c r="JLO56" s="12"/>
      <c r="JLP56" s="12"/>
      <c r="JLQ56" s="12"/>
      <c r="JLR56" s="12"/>
      <c r="JLS56" s="12"/>
      <c r="JLT56" s="12"/>
      <c r="JLU56" s="12"/>
      <c r="JLV56" s="12"/>
      <c r="JLW56" s="12"/>
      <c r="JLX56" s="12"/>
      <c r="JLY56" s="12"/>
      <c r="JLZ56" s="12"/>
      <c r="JMA56" s="12"/>
      <c r="JMB56" s="12"/>
      <c r="JMC56" s="12"/>
      <c r="JMD56" s="12"/>
      <c r="JME56" s="12"/>
      <c r="JMF56" s="12"/>
      <c r="JMG56" s="12"/>
      <c r="JMH56" s="12"/>
      <c r="JMI56" s="12"/>
      <c r="JMJ56" s="12"/>
      <c r="JMK56" s="12"/>
      <c r="JML56" s="12"/>
      <c r="JMM56" s="12"/>
      <c r="JMN56" s="12"/>
      <c r="JMO56" s="12"/>
      <c r="JMP56" s="12"/>
      <c r="JMQ56" s="12"/>
      <c r="JMR56" s="12"/>
      <c r="JMS56" s="12"/>
      <c r="JMT56" s="12"/>
      <c r="JMU56" s="12"/>
      <c r="JMV56" s="12"/>
      <c r="JMW56" s="12"/>
      <c r="JMX56" s="12"/>
      <c r="JMY56" s="12"/>
      <c r="JMZ56" s="12"/>
      <c r="JNA56" s="12"/>
      <c r="JNB56" s="12"/>
      <c r="JNC56" s="12"/>
      <c r="JND56" s="12"/>
      <c r="JNE56" s="12"/>
      <c r="JNF56" s="12"/>
      <c r="JNG56" s="12"/>
      <c r="JNH56" s="12"/>
      <c r="JNI56" s="12"/>
      <c r="JNJ56" s="12"/>
      <c r="JNK56" s="12"/>
      <c r="JNL56" s="12"/>
      <c r="JNM56" s="12"/>
      <c r="JNN56" s="12"/>
      <c r="JNO56" s="12"/>
      <c r="JNP56" s="12"/>
      <c r="JNQ56" s="12"/>
      <c r="JNR56" s="12"/>
      <c r="JNS56" s="12"/>
      <c r="JNT56" s="12"/>
      <c r="JNU56" s="12"/>
      <c r="JNV56" s="12"/>
      <c r="JNW56" s="12"/>
      <c r="JNX56" s="12"/>
      <c r="JNY56" s="12"/>
      <c r="JNZ56" s="12"/>
      <c r="JOA56" s="12"/>
      <c r="JOB56" s="12"/>
      <c r="JOC56" s="12"/>
      <c r="JOD56" s="12"/>
      <c r="JOE56" s="12"/>
      <c r="JOF56" s="12"/>
      <c r="JOG56" s="12"/>
      <c r="JOH56" s="12"/>
      <c r="JOI56" s="12"/>
      <c r="JOJ56" s="12"/>
      <c r="JOK56" s="12"/>
      <c r="JOL56" s="12"/>
      <c r="JOM56" s="12"/>
      <c r="JON56" s="12"/>
      <c r="JOO56" s="12"/>
      <c r="JOP56" s="12"/>
      <c r="JOQ56" s="12"/>
      <c r="JOR56" s="12"/>
      <c r="JOS56" s="12"/>
      <c r="JOT56" s="12"/>
      <c r="JOU56" s="12"/>
      <c r="JOV56" s="12"/>
      <c r="JOW56" s="12"/>
      <c r="JOX56" s="12"/>
      <c r="JOY56" s="12"/>
      <c r="JOZ56" s="12"/>
      <c r="JPA56" s="12"/>
      <c r="JPB56" s="12"/>
      <c r="JPC56" s="12"/>
      <c r="JPD56" s="12"/>
      <c r="JPE56" s="12"/>
      <c r="JPF56" s="12"/>
      <c r="JPG56" s="12"/>
      <c r="JPH56" s="12"/>
      <c r="JPI56" s="12"/>
      <c r="JPJ56" s="12"/>
      <c r="JPK56" s="12"/>
      <c r="JPL56" s="12"/>
      <c r="JPM56" s="12"/>
      <c r="JPN56" s="12"/>
      <c r="JPO56" s="12"/>
      <c r="JPP56" s="12"/>
      <c r="JPQ56" s="12"/>
      <c r="JPR56" s="12"/>
      <c r="JPS56" s="12"/>
      <c r="JPT56" s="12"/>
      <c r="JPU56" s="12"/>
      <c r="JPV56" s="12"/>
      <c r="JPW56" s="12"/>
      <c r="JPX56" s="12"/>
      <c r="JPY56" s="12"/>
      <c r="JPZ56" s="12"/>
      <c r="JQA56" s="12"/>
      <c r="JQB56" s="12"/>
      <c r="JQC56" s="12"/>
      <c r="JQD56" s="12"/>
      <c r="JQE56" s="12"/>
      <c r="JQF56" s="12"/>
      <c r="JQG56" s="12"/>
      <c r="JQH56" s="12"/>
      <c r="JQI56" s="12"/>
      <c r="JQJ56" s="12"/>
      <c r="JQK56" s="12"/>
      <c r="JQL56" s="12"/>
      <c r="JQM56" s="12"/>
      <c r="JQN56" s="12"/>
      <c r="JQO56" s="12"/>
      <c r="JQP56" s="12"/>
      <c r="JQQ56" s="12"/>
      <c r="JQR56" s="12"/>
      <c r="JQS56" s="12"/>
      <c r="JQT56" s="12"/>
      <c r="JQU56" s="12"/>
      <c r="JQV56" s="12"/>
      <c r="JQW56" s="12"/>
      <c r="JQX56" s="12"/>
      <c r="JQY56" s="12"/>
      <c r="JQZ56" s="12"/>
      <c r="JRA56" s="12"/>
      <c r="JRB56" s="12"/>
      <c r="JRC56" s="12"/>
      <c r="JRD56" s="12"/>
      <c r="JRE56" s="12"/>
      <c r="JRF56" s="12"/>
      <c r="JRG56" s="12"/>
      <c r="JRH56" s="12"/>
      <c r="JRI56" s="12"/>
      <c r="JRJ56" s="12"/>
      <c r="JRK56" s="12"/>
      <c r="JRL56" s="12"/>
      <c r="JRM56" s="12"/>
      <c r="JRN56" s="12"/>
      <c r="JRO56" s="12"/>
      <c r="JRP56" s="12"/>
      <c r="JRQ56" s="12"/>
      <c r="JRR56" s="12"/>
      <c r="JRS56" s="12"/>
      <c r="JRT56" s="12"/>
      <c r="JRU56" s="12"/>
      <c r="JRV56" s="12"/>
      <c r="JRW56" s="12"/>
      <c r="JRX56" s="12"/>
      <c r="JRY56" s="12"/>
      <c r="JRZ56" s="12"/>
      <c r="JSA56" s="12"/>
      <c r="JSB56" s="12"/>
      <c r="JSC56" s="12"/>
      <c r="JSD56" s="12"/>
      <c r="JSE56" s="12"/>
      <c r="JSF56" s="12"/>
      <c r="JSG56" s="12"/>
      <c r="JSH56" s="12"/>
      <c r="JSI56" s="12"/>
      <c r="JSJ56" s="12"/>
      <c r="JSK56" s="12"/>
      <c r="JSL56" s="12"/>
      <c r="JSM56" s="12"/>
      <c r="JSN56" s="12"/>
      <c r="JSO56" s="12"/>
      <c r="JSP56" s="12"/>
      <c r="JSQ56" s="12"/>
      <c r="JSR56" s="12"/>
      <c r="JSS56" s="12"/>
      <c r="JST56" s="12"/>
      <c r="JSU56" s="12"/>
      <c r="JSV56" s="12"/>
      <c r="JSW56" s="12"/>
      <c r="JSX56" s="12"/>
      <c r="JSY56" s="12"/>
      <c r="JSZ56" s="12"/>
      <c r="JTA56" s="12"/>
      <c r="JTB56" s="12"/>
      <c r="JTC56" s="12"/>
      <c r="JTD56" s="12"/>
      <c r="JTE56" s="12"/>
      <c r="JTF56" s="12"/>
      <c r="JTG56" s="12"/>
      <c r="JTH56" s="12"/>
      <c r="JTI56" s="12"/>
      <c r="JTJ56" s="12"/>
      <c r="JTK56" s="12"/>
      <c r="JTL56" s="12"/>
      <c r="JTM56" s="12"/>
      <c r="JTN56" s="12"/>
      <c r="JTO56" s="12"/>
      <c r="JTP56" s="12"/>
      <c r="JTQ56" s="12"/>
      <c r="JTR56" s="12"/>
      <c r="JTS56" s="12"/>
      <c r="JTT56" s="12"/>
      <c r="JTU56" s="12"/>
      <c r="JTV56" s="12"/>
      <c r="JTW56" s="12"/>
      <c r="JTX56" s="12"/>
      <c r="JTY56" s="12"/>
      <c r="JTZ56" s="12"/>
      <c r="JUA56" s="12"/>
      <c r="JUB56" s="12"/>
      <c r="JUC56" s="12"/>
      <c r="JUD56" s="12"/>
      <c r="JUE56" s="12"/>
      <c r="JUF56" s="12"/>
      <c r="JUG56" s="12"/>
      <c r="JUH56" s="12"/>
      <c r="JUI56" s="12"/>
      <c r="JUJ56" s="12"/>
      <c r="JUK56" s="12"/>
      <c r="JUL56" s="12"/>
      <c r="JUM56" s="12"/>
      <c r="JUN56" s="12"/>
      <c r="JUO56" s="12"/>
      <c r="JUP56" s="12"/>
      <c r="JUQ56" s="12"/>
      <c r="JUR56" s="12"/>
      <c r="JUS56" s="12"/>
      <c r="JUT56" s="12"/>
      <c r="JUU56" s="12"/>
      <c r="JUV56" s="12"/>
      <c r="JUW56" s="12"/>
      <c r="JUX56" s="12"/>
      <c r="JUY56" s="12"/>
      <c r="JUZ56" s="12"/>
      <c r="JVA56" s="12"/>
      <c r="JVB56" s="12"/>
      <c r="JVC56" s="12"/>
      <c r="JVD56" s="12"/>
      <c r="JVE56" s="12"/>
      <c r="JVF56" s="12"/>
      <c r="JVG56" s="12"/>
      <c r="JVH56" s="12"/>
      <c r="JVI56" s="12"/>
      <c r="JVJ56" s="12"/>
      <c r="JVK56" s="12"/>
      <c r="JVL56" s="12"/>
      <c r="JVM56" s="12"/>
      <c r="JVN56" s="12"/>
      <c r="JVO56" s="12"/>
      <c r="JVP56" s="12"/>
      <c r="JVQ56" s="12"/>
      <c r="JVR56" s="12"/>
      <c r="JVS56" s="12"/>
      <c r="JVT56" s="12"/>
      <c r="JVU56" s="12"/>
      <c r="JVV56" s="12"/>
      <c r="JVW56" s="12"/>
      <c r="JVX56" s="12"/>
      <c r="JVY56" s="12"/>
      <c r="JVZ56" s="12"/>
      <c r="JWA56" s="12"/>
      <c r="JWB56" s="12"/>
      <c r="JWC56" s="12"/>
      <c r="JWD56" s="12"/>
      <c r="JWE56" s="12"/>
      <c r="JWF56" s="12"/>
      <c r="JWG56" s="12"/>
      <c r="JWH56" s="12"/>
      <c r="JWI56" s="12"/>
      <c r="JWJ56" s="12"/>
      <c r="JWK56" s="12"/>
      <c r="JWL56" s="12"/>
      <c r="JWM56" s="12"/>
      <c r="JWN56" s="12"/>
      <c r="JWO56" s="12"/>
      <c r="JWP56" s="12"/>
      <c r="JWQ56" s="12"/>
      <c r="JWR56" s="12"/>
      <c r="JWS56" s="12"/>
      <c r="JWT56" s="12"/>
      <c r="JWU56" s="12"/>
      <c r="JWV56" s="12"/>
      <c r="JWW56" s="12"/>
      <c r="JWX56" s="12"/>
      <c r="JWY56" s="12"/>
      <c r="JWZ56" s="12"/>
      <c r="JXA56" s="12"/>
      <c r="JXB56" s="12"/>
      <c r="JXC56" s="12"/>
      <c r="JXD56" s="12"/>
      <c r="JXE56" s="12"/>
      <c r="JXF56" s="12"/>
      <c r="JXG56" s="12"/>
      <c r="JXH56" s="12"/>
      <c r="JXI56" s="12"/>
      <c r="JXJ56" s="12"/>
      <c r="JXK56" s="12"/>
      <c r="JXL56" s="12"/>
      <c r="JXM56" s="12"/>
      <c r="JXN56" s="12"/>
      <c r="JXO56" s="12"/>
      <c r="JXP56" s="12"/>
      <c r="JXQ56" s="12"/>
      <c r="JXR56" s="12"/>
      <c r="JXS56" s="12"/>
      <c r="JXT56" s="12"/>
      <c r="JXU56" s="12"/>
      <c r="JXV56" s="12"/>
      <c r="JXW56" s="12"/>
      <c r="JXX56" s="12"/>
      <c r="JXY56" s="12"/>
      <c r="JXZ56" s="12"/>
      <c r="JYA56" s="12"/>
      <c r="JYB56" s="12"/>
      <c r="JYC56" s="12"/>
      <c r="JYD56" s="12"/>
      <c r="JYE56" s="12"/>
      <c r="JYF56" s="12"/>
      <c r="JYG56" s="12"/>
      <c r="JYH56" s="12"/>
      <c r="JYI56" s="12"/>
      <c r="JYJ56" s="12"/>
      <c r="JYK56" s="12"/>
      <c r="JYL56" s="12"/>
      <c r="JYM56" s="12"/>
      <c r="JYN56" s="12"/>
      <c r="JYO56" s="12"/>
      <c r="JYP56" s="12"/>
      <c r="JYQ56" s="12"/>
      <c r="JYR56" s="12"/>
      <c r="JYS56" s="12"/>
      <c r="JYT56" s="12"/>
      <c r="JYU56" s="12"/>
      <c r="JYV56" s="12"/>
      <c r="JYW56" s="12"/>
      <c r="JYX56" s="12"/>
      <c r="JYY56" s="12"/>
      <c r="JYZ56" s="12"/>
      <c r="JZA56" s="12"/>
      <c r="JZB56" s="12"/>
      <c r="JZC56" s="12"/>
      <c r="JZD56" s="12"/>
      <c r="JZE56" s="12"/>
      <c r="JZF56" s="12"/>
      <c r="JZG56" s="12"/>
      <c r="JZH56" s="12"/>
      <c r="JZI56" s="12"/>
      <c r="JZJ56" s="12"/>
      <c r="JZK56" s="12"/>
      <c r="JZL56" s="12"/>
      <c r="JZM56" s="12"/>
      <c r="JZN56" s="12"/>
      <c r="JZO56" s="12"/>
      <c r="JZP56" s="12"/>
      <c r="JZQ56" s="12"/>
      <c r="JZR56" s="12"/>
      <c r="JZS56" s="12"/>
      <c r="JZT56" s="12"/>
      <c r="JZU56" s="12"/>
      <c r="JZV56" s="12"/>
      <c r="JZW56" s="12"/>
      <c r="JZX56" s="12"/>
      <c r="JZY56" s="12"/>
      <c r="JZZ56" s="12"/>
      <c r="KAA56" s="12"/>
      <c r="KAB56" s="12"/>
      <c r="KAC56" s="12"/>
      <c r="KAD56" s="12"/>
      <c r="KAE56" s="12"/>
      <c r="KAF56" s="12"/>
      <c r="KAG56" s="12"/>
      <c r="KAH56" s="12"/>
      <c r="KAI56" s="12"/>
      <c r="KAJ56" s="12"/>
      <c r="KAK56" s="12"/>
      <c r="KAL56" s="12"/>
      <c r="KAM56" s="12"/>
      <c r="KAN56" s="12"/>
      <c r="KAO56" s="12"/>
      <c r="KAP56" s="12"/>
      <c r="KAQ56" s="12"/>
      <c r="KAR56" s="12"/>
      <c r="KAS56" s="12"/>
      <c r="KAT56" s="12"/>
      <c r="KAU56" s="12"/>
      <c r="KAV56" s="12"/>
      <c r="KAW56" s="12"/>
      <c r="KAX56" s="12"/>
      <c r="KAY56" s="12"/>
      <c r="KAZ56" s="12"/>
      <c r="KBA56" s="12"/>
      <c r="KBB56" s="12"/>
      <c r="KBC56" s="12"/>
      <c r="KBD56" s="12"/>
      <c r="KBE56" s="12"/>
      <c r="KBF56" s="12"/>
      <c r="KBG56" s="12"/>
      <c r="KBH56" s="12"/>
      <c r="KBI56" s="12"/>
      <c r="KBJ56" s="12"/>
      <c r="KBK56" s="12"/>
      <c r="KBL56" s="12"/>
      <c r="KBM56" s="12"/>
      <c r="KBN56" s="12"/>
      <c r="KBO56" s="12"/>
      <c r="KBP56" s="12"/>
      <c r="KBQ56" s="12"/>
      <c r="KBR56" s="12"/>
      <c r="KBS56" s="12"/>
      <c r="KBT56" s="12"/>
      <c r="KBU56" s="12"/>
      <c r="KBV56" s="12"/>
      <c r="KBW56" s="12"/>
      <c r="KBX56" s="12"/>
      <c r="KBY56" s="12"/>
      <c r="KBZ56" s="12"/>
      <c r="KCA56" s="12"/>
      <c r="KCB56" s="12"/>
      <c r="KCC56" s="12"/>
      <c r="KCD56" s="12"/>
      <c r="KCE56" s="12"/>
      <c r="KCF56" s="12"/>
      <c r="KCG56" s="12"/>
      <c r="KCH56" s="12"/>
      <c r="KCI56" s="12"/>
      <c r="KCJ56" s="12"/>
      <c r="KCK56" s="12"/>
      <c r="KCL56" s="12"/>
      <c r="KCM56" s="12"/>
      <c r="KCN56" s="12"/>
      <c r="KCO56" s="12"/>
      <c r="KCP56" s="12"/>
      <c r="KCQ56" s="12"/>
      <c r="KCR56" s="12"/>
      <c r="KCS56" s="12"/>
      <c r="KCT56" s="12"/>
      <c r="KCU56" s="12"/>
      <c r="KCV56" s="12"/>
      <c r="KCW56" s="12"/>
      <c r="KCX56" s="12"/>
      <c r="KCY56" s="12"/>
      <c r="KCZ56" s="12"/>
      <c r="KDA56" s="12"/>
      <c r="KDB56" s="12"/>
      <c r="KDC56" s="12"/>
      <c r="KDD56" s="12"/>
      <c r="KDE56" s="12"/>
      <c r="KDF56" s="12"/>
      <c r="KDG56" s="12"/>
      <c r="KDH56" s="12"/>
      <c r="KDI56" s="12"/>
      <c r="KDJ56" s="12"/>
      <c r="KDK56" s="12"/>
      <c r="KDL56" s="12"/>
      <c r="KDM56" s="12"/>
      <c r="KDN56" s="12"/>
      <c r="KDO56" s="12"/>
      <c r="KDP56" s="12"/>
      <c r="KDQ56" s="12"/>
      <c r="KDR56" s="12"/>
      <c r="KDS56" s="12"/>
      <c r="KDT56" s="12"/>
      <c r="KDU56" s="12"/>
      <c r="KDV56" s="12"/>
      <c r="KDW56" s="12"/>
      <c r="KDX56" s="12"/>
      <c r="KDY56" s="12"/>
      <c r="KDZ56" s="12"/>
      <c r="KEA56" s="12"/>
      <c r="KEB56" s="12"/>
      <c r="KEC56" s="12"/>
      <c r="KED56" s="12"/>
      <c r="KEE56" s="12"/>
      <c r="KEF56" s="12"/>
      <c r="KEG56" s="12"/>
      <c r="KEH56" s="12"/>
      <c r="KEI56" s="12"/>
      <c r="KEJ56" s="12"/>
      <c r="KEK56" s="12"/>
      <c r="KEL56" s="12"/>
      <c r="KEM56" s="12"/>
      <c r="KEN56" s="12"/>
      <c r="KEO56" s="12"/>
      <c r="KEP56" s="12"/>
      <c r="KEQ56" s="12"/>
      <c r="KER56" s="12"/>
      <c r="KES56" s="12"/>
      <c r="KET56" s="12"/>
      <c r="KEU56" s="12"/>
      <c r="KEV56" s="12"/>
      <c r="KEW56" s="12"/>
      <c r="KEX56" s="12"/>
      <c r="KEY56" s="12"/>
      <c r="KEZ56" s="12"/>
      <c r="KFA56" s="12"/>
      <c r="KFB56" s="12"/>
      <c r="KFC56" s="12"/>
      <c r="KFD56" s="12"/>
      <c r="KFE56" s="12"/>
      <c r="KFF56" s="12"/>
      <c r="KFG56" s="12"/>
      <c r="KFH56" s="12"/>
      <c r="KFI56" s="12"/>
      <c r="KFJ56" s="12"/>
      <c r="KFK56" s="12"/>
      <c r="KFL56" s="12"/>
      <c r="KFM56" s="12"/>
      <c r="KFN56" s="12"/>
      <c r="KFO56" s="12"/>
      <c r="KFP56" s="12"/>
      <c r="KFQ56" s="12"/>
      <c r="KFR56" s="12"/>
      <c r="KFS56" s="12"/>
      <c r="KFT56" s="12"/>
      <c r="KFU56" s="12"/>
      <c r="KFV56" s="12"/>
      <c r="KFW56" s="12"/>
      <c r="KFX56" s="12"/>
      <c r="KFY56" s="12"/>
      <c r="KFZ56" s="12"/>
      <c r="KGA56" s="12"/>
      <c r="KGB56" s="12"/>
      <c r="KGC56" s="12"/>
      <c r="KGD56" s="12"/>
      <c r="KGE56" s="12"/>
      <c r="KGF56" s="12"/>
      <c r="KGG56" s="12"/>
      <c r="KGH56" s="12"/>
      <c r="KGI56" s="12"/>
      <c r="KGJ56" s="12"/>
      <c r="KGK56" s="12"/>
      <c r="KGL56" s="12"/>
      <c r="KGM56" s="12"/>
      <c r="KGN56" s="12"/>
      <c r="KGO56" s="12"/>
      <c r="KGP56" s="12"/>
      <c r="KGQ56" s="12"/>
      <c r="KGR56" s="12"/>
      <c r="KGS56" s="12"/>
      <c r="KGT56" s="12"/>
      <c r="KGU56" s="12"/>
      <c r="KGV56" s="12"/>
      <c r="KGW56" s="12"/>
      <c r="KGX56" s="12"/>
      <c r="KGY56" s="12"/>
      <c r="KGZ56" s="12"/>
      <c r="KHA56" s="12"/>
      <c r="KHB56" s="12"/>
      <c r="KHC56" s="12"/>
      <c r="KHD56" s="12"/>
      <c r="KHE56" s="12"/>
      <c r="KHF56" s="12"/>
      <c r="KHG56" s="12"/>
      <c r="KHH56" s="12"/>
      <c r="KHI56" s="12"/>
      <c r="KHJ56" s="12"/>
      <c r="KHK56" s="12"/>
      <c r="KHL56" s="12"/>
      <c r="KHM56" s="12"/>
      <c r="KHN56" s="12"/>
      <c r="KHO56" s="12"/>
      <c r="KHP56" s="12"/>
      <c r="KHQ56" s="12"/>
      <c r="KHR56" s="12"/>
      <c r="KHS56" s="12"/>
      <c r="KHT56" s="12"/>
      <c r="KHU56" s="12"/>
      <c r="KHV56" s="12"/>
      <c r="KHW56" s="12"/>
      <c r="KHX56" s="12"/>
      <c r="KHY56" s="12"/>
      <c r="KHZ56" s="12"/>
      <c r="KIA56" s="12"/>
      <c r="KIB56" s="12"/>
      <c r="KIC56" s="12"/>
      <c r="KID56" s="12"/>
      <c r="KIE56" s="12"/>
      <c r="KIF56" s="12"/>
      <c r="KIG56" s="12"/>
      <c r="KIH56" s="12"/>
      <c r="KII56" s="12"/>
      <c r="KIJ56" s="12"/>
      <c r="KIK56" s="12"/>
      <c r="KIL56" s="12"/>
      <c r="KIM56" s="12"/>
      <c r="KIN56" s="12"/>
      <c r="KIO56" s="12"/>
      <c r="KIP56" s="12"/>
      <c r="KIQ56" s="12"/>
      <c r="KIR56" s="12"/>
      <c r="KIS56" s="12"/>
      <c r="KIT56" s="12"/>
      <c r="KIU56" s="12"/>
      <c r="KIV56" s="12"/>
      <c r="KIW56" s="12"/>
      <c r="KIX56" s="12"/>
      <c r="KIY56" s="12"/>
      <c r="KIZ56" s="12"/>
      <c r="KJA56" s="12"/>
      <c r="KJB56" s="12"/>
      <c r="KJC56" s="12"/>
      <c r="KJD56" s="12"/>
      <c r="KJE56" s="12"/>
      <c r="KJF56" s="12"/>
      <c r="KJG56" s="12"/>
      <c r="KJH56" s="12"/>
      <c r="KJI56" s="12"/>
      <c r="KJJ56" s="12"/>
      <c r="KJK56" s="12"/>
      <c r="KJL56" s="12"/>
      <c r="KJM56" s="12"/>
      <c r="KJN56" s="12"/>
      <c r="KJO56" s="12"/>
      <c r="KJP56" s="12"/>
      <c r="KJQ56" s="12"/>
      <c r="KJR56" s="12"/>
      <c r="KJS56" s="12"/>
      <c r="KJT56" s="12"/>
      <c r="KJU56" s="12"/>
      <c r="KJV56" s="12"/>
      <c r="KJW56" s="12"/>
      <c r="KJX56" s="12"/>
      <c r="KJY56" s="12"/>
      <c r="KJZ56" s="12"/>
      <c r="KKA56" s="12"/>
      <c r="KKB56" s="12"/>
      <c r="KKC56" s="12"/>
      <c r="KKD56" s="12"/>
      <c r="KKE56" s="12"/>
      <c r="KKF56" s="12"/>
      <c r="KKG56" s="12"/>
      <c r="KKH56" s="12"/>
      <c r="KKI56" s="12"/>
      <c r="KKJ56" s="12"/>
      <c r="KKK56" s="12"/>
      <c r="KKL56" s="12"/>
      <c r="KKM56" s="12"/>
      <c r="KKN56" s="12"/>
      <c r="KKO56" s="12"/>
      <c r="KKP56" s="12"/>
      <c r="KKQ56" s="12"/>
      <c r="KKR56" s="12"/>
      <c r="KKS56" s="12"/>
      <c r="KKT56" s="12"/>
      <c r="KKU56" s="12"/>
      <c r="KKV56" s="12"/>
      <c r="KKW56" s="12"/>
      <c r="KKX56" s="12"/>
      <c r="KKY56" s="12"/>
      <c r="KKZ56" s="12"/>
      <c r="KLA56" s="12"/>
      <c r="KLB56" s="12"/>
      <c r="KLC56" s="12"/>
      <c r="KLD56" s="12"/>
      <c r="KLE56" s="12"/>
      <c r="KLF56" s="12"/>
      <c r="KLG56" s="12"/>
      <c r="KLH56" s="12"/>
      <c r="KLI56" s="12"/>
      <c r="KLJ56" s="12"/>
      <c r="KLK56" s="12"/>
      <c r="KLL56" s="12"/>
      <c r="KLM56" s="12"/>
      <c r="KLN56" s="12"/>
      <c r="KLO56" s="12"/>
      <c r="KLP56" s="12"/>
      <c r="KLQ56" s="12"/>
      <c r="KLR56" s="12"/>
      <c r="KLS56" s="12"/>
      <c r="KLT56" s="12"/>
      <c r="KLU56" s="12"/>
      <c r="KLV56" s="12"/>
      <c r="KLW56" s="12"/>
      <c r="KLX56" s="12"/>
      <c r="KLY56" s="12"/>
      <c r="KLZ56" s="12"/>
      <c r="KMA56" s="12"/>
      <c r="KMB56" s="12"/>
      <c r="KMC56" s="12"/>
      <c r="KMD56" s="12"/>
      <c r="KME56" s="12"/>
      <c r="KMF56" s="12"/>
      <c r="KMG56" s="12"/>
      <c r="KMH56" s="12"/>
      <c r="KMI56" s="12"/>
      <c r="KMJ56" s="12"/>
      <c r="KMK56" s="12"/>
      <c r="KML56" s="12"/>
      <c r="KMM56" s="12"/>
      <c r="KMN56" s="12"/>
      <c r="KMO56" s="12"/>
      <c r="KMP56" s="12"/>
      <c r="KMQ56" s="12"/>
      <c r="KMR56" s="12"/>
      <c r="KMS56" s="12"/>
      <c r="KMT56" s="12"/>
      <c r="KMU56" s="12"/>
      <c r="KMV56" s="12"/>
      <c r="KMW56" s="12"/>
      <c r="KMX56" s="12"/>
      <c r="KMY56" s="12"/>
      <c r="KMZ56" s="12"/>
      <c r="KNA56" s="12"/>
      <c r="KNB56" s="12"/>
      <c r="KNC56" s="12"/>
      <c r="KND56" s="12"/>
      <c r="KNE56" s="12"/>
      <c r="KNF56" s="12"/>
      <c r="KNG56" s="12"/>
      <c r="KNH56" s="12"/>
      <c r="KNI56" s="12"/>
      <c r="KNJ56" s="12"/>
      <c r="KNK56" s="12"/>
      <c r="KNL56" s="12"/>
      <c r="KNM56" s="12"/>
      <c r="KNN56" s="12"/>
      <c r="KNO56" s="12"/>
      <c r="KNP56" s="12"/>
      <c r="KNQ56" s="12"/>
      <c r="KNR56" s="12"/>
      <c r="KNS56" s="12"/>
      <c r="KNT56" s="12"/>
      <c r="KNU56" s="12"/>
      <c r="KNV56" s="12"/>
      <c r="KNW56" s="12"/>
      <c r="KNX56" s="12"/>
      <c r="KNY56" s="12"/>
      <c r="KNZ56" s="12"/>
      <c r="KOA56" s="12"/>
      <c r="KOB56" s="12"/>
      <c r="KOC56" s="12"/>
      <c r="KOD56" s="12"/>
      <c r="KOE56" s="12"/>
      <c r="KOF56" s="12"/>
      <c r="KOG56" s="12"/>
      <c r="KOH56" s="12"/>
      <c r="KOI56" s="12"/>
      <c r="KOJ56" s="12"/>
      <c r="KOK56" s="12"/>
      <c r="KOL56" s="12"/>
      <c r="KOM56" s="12"/>
      <c r="KON56" s="12"/>
      <c r="KOO56" s="12"/>
      <c r="KOP56" s="12"/>
      <c r="KOQ56" s="12"/>
      <c r="KOR56" s="12"/>
      <c r="KOS56" s="12"/>
      <c r="KOT56" s="12"/>
      <c r="KOU56" s="12"/>
      <c r="KOV56" s="12"/>
      <c r="KOW56" s="12"/>
      <c r="KOX56" s="12"/>
      <c r="KOY56" s="12"/>
      <c r="KOZ56" s="12"/>
      <c r="KPA56" s="12"/>
      <c r="KPB56" s="12"/>
      <c r="KPC56" s="12"/>
      <c r="KPD56" s="12"/>
      <c r="KPE56" s="12"/>
      <c r="KPF56" s="12"/>
      <c r="KPG56" s="12"/>
      <c r="KPH56" s="12"/>
      <c r="KPI56" s="12"/>
      <c r="KPJ56" s="12"/>
      <c r="KPK56" s="12"/>
      <c r="KPL56" s="12"/>
      <c r="KPM56" s="12"/>
      <c r="KPN56" s="12"/>
      <c r="KPO56" s="12"/>
      <c r="KPP56" s="12"/>
      <c r="KPQ56" s="12"/>
      <c r="KPR56" s="12"/>
      <c r="KPS56" s="12"/>
      <c r="KPT56" s="12"/>
      <c r="KPU56" s="12"/>
      <c r="KPV56" s="12"/>
      <c r="KPW56" s="12"/>
      <c r="KPX56" s="12"/>
      <c r="KPY56" s="12"/>
      <c r="KPZ56" s="12"/>
      <c r="KQA56" s="12"/>
      <c r="KQB56" s="12"/>
      <c r="KQC56" s="12"/>
      <c r="KQD56" s="12"/>
      <c r="KQE56" s="12"/>
      <c r="KQF56" s="12"/>
      <c r="KQG56" s="12"/>
      <c r="KQH56" s="12"/>
      <c r="KQI56" s="12"/>
      <c r="KQJ56" s="12"/>
      <c r="KQK56" s="12"/>
      <c r="KQL56" s="12"/>
      <c r="KQM56" s="12"/>
      <c r="KQN56" s="12"/>
      <c r="KQO56" s="12"/>
      <c r="KQP56" s="12"/>
      <c r="KQQ56" s="12"/>
      <c r="KQR56" s="12"/>
      <c r="KQS56" s="12"/>
      <c r="KQT56" s="12"/>
      <c r="KQU56" s="12"/>
      <c r="KQV56" s="12"/>
      <c r="KQW56" s="12"/>
      <c r="KQX56" s="12"/>
      <c r="KQY56" s="12"/>
      <c r="KQZ56" s="12"/>
      <c r="KRA56" s="12"/>
      <c r="KRB56" s="12"/>
      <c r="KRC56" s="12"/>
      <c r="KRD56" s="12"/>
      <c r="KRE56" s="12"/>
      <c r="KRF56" s="12"/>
      <c r="KRG56" s="12"/>
      <c r="KRH56" s="12"/>
      <c r="KRI56" s="12"/>
      <c r="KRJ56" s="12"/>
      <c r="KRK56" s="12"/>
      <c r="KRL56" s="12"/>
      <c r="KRM56" s="12"/>
      <c r="KRN56" s="12"/>
      <c r="KRO56" s="12"/>
      <c r="KRP56" s="12"/>
      <c r="KRQ56" s="12"/>
      <c r="KRR56" s="12"/>
      <c r="KRS56" s="12"/>
      <c r="KRT56" s="12"/>
      <c r="KRU56" s="12"/>
      <c r="KRV56" s="12"/>
      <c r="KRW56" s="12"/>
      <c r="KRX56" s="12"/>
      <c r="KRY56" s="12"/>
      <c r="KRZ56" s="12"/>
      <c r="KSA56" s="12"/>
      <c r="KSB56" s="12"/>
      <c r="KSC56" s="12"/>
      <c r="KSD56" s="12"/>
      <c r="KSE56" s="12"/>
      <c r="KSF56" s="12"/>
      <c r="KSG56" s="12"/>
      <c r="KSH56" s="12"/>
      <c r="KSI56" s="12"/>
      <c r="KSJ56" s="12"/>
      <c r="KSK56" s="12"/>
      <c r="KSL56" s="12"/>
      <c r="KSM56" s="12"/>
      <c r="KSN56" s="12"/>
      <c r="KSO56" s="12"/>
      <c r="KSP56" s="12"/>
      <c r="KSQ56" s="12"/>
      <c r="KSR56" s="12"/>
      <c r="KSS56" s="12"/>
      <c r="KST56" s="12"/>
      <c r="KSU56" s="12"/>
      <c r="KSV56" s="12"/>
      <c r="KSW56" s="12"/>
      <c r="KSX56" s="12"/>
      <c r="KSY56" s="12"/>
      <c r="KSZ56" s="12"/>
      <c r="KTA56" s="12"/>
      <c r="KTB56" s="12"/>
      <c r="KTC56" s="12"/>
      <c r="KTD56" s="12"/>
      <c r="KTE56" s="12"/>
      <c r="KTF56" s="12"/>
      <c r="KTG56" s="12"/>
      <c r="KTH56" s="12"/>
      <c r="KTI56" s="12"/>
      <c r="KTJ56" s="12"/>
      <c r="KTK56" s="12"/>
      <c r="KTL56" s="12"/>
      <c r="KTM56" s="12"/>
      <c r="KTN56" s="12"/>
      <c r="KTO56" s="12"/>
      <c r="KTP56" s="12"/>
      <c r="KTQ56" s="12"/>
      <c r="KTR56" s="12"/>
      <c r="KTS56" s="12"/>
      <c r="KTT56" s="12"/>
      <c r="KTU56" s="12"/>
      <c r="KTV56" s="12"/>
      <c r="KTW56" s="12"/>
      <c r="KTX56" s="12"/>
      <c r="KTY56" s="12"/>
      <c r="KTZ56" s="12"/>
      <c r="KUA56" s="12"/>
      <c r="KUB56" s="12"/>
      <c r="KUC56" s="12"/>
      <c r="KUD56" s="12"/>
      <c r="KUE56" s="12"/>
      <c r="KUF56" s="12"/>
      <c r="KUG56" s="12"/>
      <c r="KUH56" s="12"/>
      <c r="KUI56" s="12"/>
      <c r="KUJ56" s="12"/>
      <c r="KUK56" s="12"/>
      <c r="KUL56" s="12"/>
      <c r="KUM56" s="12"/>
      <c r="KUN56" s="12"/>
      <c r="KUO56" s="12"/>
      <c r="KUP56" s="12"/>
      <c r="KUQ56" s="12"/>
      <c r="KUR56" s="12"/>
      <c r="KUS56" s="12"/>
      <c r="KUT56" s="12"/>
      <c r="KUU56" s="12"/>
      <c r="KUV56" s="12"/>
      <c r="KUW56" s="12"/>
      <c r="KUX56" s="12"/>
      <c r="KUY56" s="12"/>
      <c r="KUZ56" s="12"/>
      <c r="KVA56" s="12"/>
      <c r="KVB56" s="12"/>
      <c r="KVC56" s="12"/>
      <c r="KVD56" s="12"/>
      <c r="KVE56" s="12"/>
      <c r="KVF56" s="12"/>
      <c r="KVG56" s="12"/>
      <c r="KVH56" s="12"/>
      <c r="KVI56" s="12"/>
      <c r="KVJ56" s="12"/>
      <c r="KVK56" s="12"/>
      <c r="KVL56" s="12"/>
      <c r="KVM56" s="12"/>
      <c r="KVN56" s="12"/>
      <c r="KVO56" s="12"/>
      <c r="KVP56" s="12"/>
      <c r="KVQ56" s="12"/>
      <c r="KVR56" s="12"/>
      <c r="KVS56" s="12"/>
      <c r="KVT56" s="12"/>
      <c r="KVU56" s="12"/>
      <c r="KVV56" s="12"/>
      <c r="KVW56" s="12"/>
      <c r="KVX56" s="12"/>
      <c r="KVY56" s="12"/>
      <c r="KVZ56" s="12"/>
      <c r="KWA56" s="12"/>
      <c r="KWB56" s="12"/>
      <c r="KWC56" s="12"/>
      <c r="KWD56" s="12"/>
      <c r="KWE56" s="12"/>
      <c r="KWF56" s="12"/>
      <c r="KWG56" s="12"/>
      <c r="KWH56" s="12"/>
      <c r="KWI56" s="12"/>
      <c r="KWJ56" s="12"/>
      <c r="KWK56" s="12"/>
      <c r="KWL56" s="12"/>
      <c r="KWM56" s="12"/>
      <c r="KWN56" s="12"/>
      <c r="KWO56" s="12"/>
      <c r="KWP56" s="12"/>
      <c r="KWQ56" s="12"/>
      <c r="KWR56" s="12"/>
      <c r="KWS56" s="12"/>
      <c r="KWT56" s="12"/>
      <c r="KWU56" s="12"/>
      <c r="KWV56" s="12"/>
      <c r="KWW56" s="12"/>
      <c r="KWX56" s="12"/>
      <c r="KWY56" s="12"/>
      <c r="KWZ56" s="12"/>
      <c r="KXA56" s="12"/>
      <c r="KXB56" s="12"/>
      <c r="KXC56" s="12"/>
      <c r="KXD56" s="12"/>
      <c r="KXE56" s="12"/>
      <c r="KXF56" s="12"/>
      <c r="KXG56" s="12"/>
      <c r="KXH56" s="12"/>
      <c r="KXI56" s="12"/>
      <c r="KXJ56" s="12"/>
      <c r="KXK56" s="12"/>
      <c r="KXL56" s="12"/>
      <c r="KXM56" s="12"/>
      <c r="KXN56" s="12"/>
      <c r="KXO56" s="12"/>
      <c r="KXP56" s="12"/>
      <c r="KXQ56" s="12"/>
      <c r="KXR56" s="12"/>
      <c r="KXS56" s="12"/>
      <c r="KXT56" s="12"/>
      <c r="KXU56" s="12"/>
      <c r="KXV56" s="12"/>
      <c r="KXW56" s="12"/>
      <c r="KXX56" s="12"/>
      <c r="KXY56" s="12"/>
      <c r="KXZ56" s="12"/>
      <c r="KYA56" s="12"/>
      <c r="KYB56" s="12"/>
      <c r="KYC56" s="12"/>
      <c r="KYD56" s="12"/>
      <c r="KYE56" s="12"/>
      <c r="KYF56" s="12"/>
      <c r="KYG56" s="12"/>
      <c r="KYH56" s="12"/>
      <c r="KYI56" s="12"/>
      <c r="KYJ56" s="12"/>
      <c r="KYK56" s="12"/>
      <c r="KYL56" s="12"/>
      <c r="KYM56" s="12"/>
      <c r="KYN56" s="12"/>
      <c r="KYO56" s="12"/>
      <c r="KYP56" s="12"/>
      <c r="KYQ56" s="12"/>
      <c r="KYR56" s="12"/>
      <c r="KYS56" s="12"/>
      <c r="KYT56" s="12"/>
      <c r="KYU56" s="12"/>
      <c r="KYV56" s="12"/>
      <c r="KYW56" s="12"/>
      <c r="KYX56" s="12"/>
      <c r="KYY56" s="12"/>
      <c r="KYZ56" s="12"/>
      <c r="KZA56" s="12"/>
      <c r="KZB56" s="12"/>
      <c r="KZC56" s="12"/>
      <c r="KZD56" s="12"/>
      <c r="KZE56" s="12"/>
      <c r="KZF56" s="12"/>
      <c r="KZG56" s="12"/>
      <c r="KZH56" s="12"/>
      <c r="KZI56" s="12"/>
      <c r="KZJ56" s="12"/>
      <c r="KZK56" s="12"/>
      <c r="KZL56" s="12"/>
      <c r="KZM56" s="12"/>
      <c r="KZN56" s="12"/>
      <c r="KZO56" s="12"/>
      <c r="KZP56" s="12"/>
      <c r="KZQ56" s="12"/>
      <c r="KZR56" s="12"/>
      <c r="KZS56" s="12"/>
      <c r="KZT56" s="12"/>
      <c r="KZU56" s="12"/>
      <c r="KZV56" s="12"/>
      <c r="KZW56" s="12"/>
      <c r="KZX56" s="12"/>
      <c r="KZY56" s="12"/>
      <c r="KZZ56" s="12"/>
      <c r="LAA56" s="12"/>
      <c r="LAB56" s="12"/>
      <c r="LAC56" s="12"/>
      <c r="LAD56" s="12"/>
      <c r="LAE56" s="12"/>
      <c r="LAF56" s="12"/>
      <c r="LAG56" s="12"/>
      <c r="LAH56" s="12"/>
      <c r="LAI56" s="12"/>
      <c r="LAJ56" s="12"/>
      <c r="LAK56" s="12"/>
      <c r="LAL56" s="12"/>
      <c r="LAM56" s="12"/>
      <c r="LAN56" s="12"/>
      <c r="LAO56" s="12"/>
      <c r="LAP56" s="12"/>
      <c r="LAQ56" s="12"/>
      <c r="LAR56" s="12"/>
      <c r="LAS56" s="12"/>
      <c r="LAT56" s="12"/>
      <c r="LAU56" s="12"/>
      <c r="LAV56" s="12"/>
      <c r="LAW56" s="12"/>
      <c r="LAX56" s="12"/>
      <c r="LAY56" s="12"/>
      <c r="LAZ56" s="12"/>
      <c r="LBA56" s="12"/>
      <c r="LBB56" s="12"/>
      <c r="LBC56" s="12"/>
      <c r="LBD56" s="12"/>
      <c r="LBE56" s="12"/>
      <c r="LBF56" s="12"/>
      <c r="LBG56" s="12"/>
      <c r="LBH56" s="12"/>
      <c r="LBI56" s="12"/>
      <c r="LBJ56" s="12"/>
      <c r="LBK56" s="12"/>
      <c r="LBL56" s="12"/>
      <c r="LBM56" s="12"/>
      <c r="LBN56" s="12"/>
      <c r="LBO56" s="12"/>
      <c r="LBP56" s="12"/>
      <c r="LBQ56" s="12"/>
      <c r="LBR56" s="12"/>
      <c r="LBS56" s="12"/>
      <c r="LBT56" s="12"/>
      <c r="LBU56" s="12"/>
      <c r="LBV56" s="12"/>
      <c r="LBW56" s="12"/>
      <c r="LBX56" s="12"/>
      <c r="LBY56" s="12"/>
      <c r="LBZ56" s="12"/>
      <c r="LCA56" s="12"/>
      <c r="LCB56" s="12"/>
      <c r="LCC56" s="12"/>
      <c r="LCD56" s="12"/>
      <c r="LCE56" s="12"/>
      <c r="LCF56" s="12"/>
      <c r="LCG56" s="12"/>
      <c r="LCH56" s="12"/>
      <c r="LCI56" s="12"/>
      <c r="LCJ56" s="12"/>
      <c r="LCK56" s="12"/>
      <c r="LCL56" s="12"/>
      <c r="LCM56" s="12"/>
      <c r="LCN56" s="12"/>
      <c r="LCO56" s="12"/>
      <c r="LCP56" s="12"/>
      <c r="LCQ56" s="12"/>
      <c r="LCR56" s="12"/>
      <c r="LCS56" s="12"/>
      <c r="LCT56" s="12"/>
      <c r="LCU56" s="12"/>
      <c r="LCV56" s="12"/>
      <c r="LCW56" s="12"/>
      <c r="LCX56" s="12"/>
      <c r="LCY56" s="12"/>
      <c r="LCZ56" s="12"/>
      <c r="LDA56" s="12"/>
      <c r="LDB56" s="12"/>
      <c r="LDC56" s="12"/>
      <c r="LDD56" s="12"/>
      <c r="LDE56" s="12"/>
      <c r="LDF56" s="12"/>
      <c r="LDG56" s="12"/>
      <c r="LDH56" s="12"/>
      <c r="LDI56" s="12"/>
      <c r="LDJ56" s="12"/>
      <c r="LDK56" s="12"/>
      <c r="LDL56" s="12"/>
      <c r="LDM56" s="12"/>
      <c r="LDN56" s="12"/>
      <c r="LDO56" s="12"/>
      <c r="LDP56" s="12"/>
      <c r="LDQ56" s="12"/>
      <c r="LDR56" s="12"/>
      <c r="LDS56" s="12"/>
      <c r="LDT56" s="12"/>
      <c r="LDU56" s="12"/>
      <c r="LDV56" s="12"/>
      <c r="LDW56" s="12"/>
      <c r="LDX56" s="12"/>
      <c r="LDY56" s="12"/>
      <c r="LDZ56" s="12"/>
      <c r="LEA56" s="12"/>
      <c r="LEB56" s="12"/>
      <c r="LEC56" s="12"/>
      <c r="LED56" s="12"/>
      <c r="LEE56" s="12"/>
      <c r="LEF56" s="12"/>
      <c r="LEG56" s="12"/>
      <c r="LEH56" s="12"/>
      <c r="LEI56" s="12"/>
      <c r="LEJ56" s="12"/>
      <c r="LEK56" s="12"/>
      <c r="LEL56" s="12"/>
      <c r="LEM56" s="12"/>
      <c r="LEN56" s="12"/>
      <c r="LEO56" s="12"/>
      <c r="LEP56" s="12"/>
      <c r="LEQ56" s="12"/>
      <c r="LER56" s="12"/>
      <c r="LES56" s="12"/>
      <c r="LET56" s="12"/>
      <c r="LEU56" s="12"/>
      <c r="LEV56" s="12"/>
      <c r="LEW56" s="12"/>
      <c r="LEX56" s="12"/>
      <c r="LEY56" s="12"/>
      <c r="LEZ56" s="12"/>
      <c r="LFA56" s="12"/>
      <c r="LFB56" s="12"/>
      <c r="LFC56" s="12"/>
      <c r="LFD56" s="12"/>
      <c r="LFE56" s="12"/>
      <c r="LFF56" s="12"/>
      <c r="LFG56" s="12"/>
      <c r="LFH56" s="12"/>
      <c r="LFI56" s="12"/>
      <c r="LFJ56" s="12"/>
      <c r="LFK56" s="12"/>
      <c r="LFL56" s="12"/>
      <c r="LFM56" s="12"/>
      <c r="LFN56" s="12"/>
      <c r="LFO56" s="12"/>
      <c r="LFP56" s="12"/>
      <c r="LFQ56" s="12"/>
      <c r="LFR56" s="12"/>
      <c r="LFS56" s="12"/>
      <c r="LFT56" s="12"/>
      <c r="LFU56" s="12"/>
      <c r="LFV56" s="12"/>
      <c r="LFW56" s="12"/>
      <c r="LFX56" s="12"/>
      <c r="LFY56" s="12"/>
      <c r="LFZ56" s="12"/>
      <c r="LGA56" s="12"/>
      <c r="LGB56" s="12"/>
      <c r="LGC56" s="12"/>
      <c r="LGD56" s="12"/>
      <c r="LGE56" s="12"/>
      <c r="LGF56" s="12"/>
      <c r="LGG56" s="12"/>
      <c r="LGH56" s="12"/>
      <c r="LGI56" s="12"/>
      <c r="LGJ56" s="12"/>
      <c r="LGK56" s="12"/>
      <c r="LGL56" s="12"/>
      <c r="LGM56" s="12"/>
      <c r="LGN56" s="12"/>
      <c r="LGO56" s="12"/>
      <c r="LGP56" s="12"/>
      <c r="LGQ56" s="12"/>
      <c r="LGR56" s="12"/>
      <c r="LGS56" s="12"/>
      <c r="LGT56" s="12"/>
      <c r="LGU56" s="12"/>
      <c r="LGV56" s="12"/>
      <c r="LGW56" s="12"/>
      <c r="LGX56" s="12"/>
      <c r="LGY56" s="12"/>
      <c r="LGZ56" s="12"/>
      <c r="LHA56" s="12"/>
      <c r="LHB56" s="12"/>
      <c r="LHC56" s="12"/>
      <c r="LHD56" s="12"/>
      <c r="LHE56" s="12"/>
      <c r="LHF56" s="12"/>
      <c r="LHG56" s="12"/>
      <c r="LHH56" s="12"/>
      <c r="LHI56" s="12"/>
      <c r="LHJ56" s="12"/>
      <c r="LHK56" s="12"/>
      <c r="LHL56" s="12"/>
      <c r="LHM56" s="12"/>
      <c r="LHN56" s="12"/>
      <c r="LHO56" s="12"/>
      <c r="LHP56" s="12"/>
      <c r="LHQ56" s="12"/>
      <c r="LHR56" s="12"/>
      <c r="LHS56" s="12"/>
      <c r="LHT56" s="12"/>
      <c r="LHU56" s="12"/>
      <c r="LHV56" s="12"/>
      <c r="LHW56" s="12"/>
      <c r="LHX56" s="12"/>
      <c r="LHY56" s="12"/>
      <c r="LHZ56" s="12"/>
      <c r="LIA56" s="12"/>
      <c r="LIB56" s="12"/>
      <c r="LIC56" s="12"/>
      <c r="LID56" s="12"/>
      <c r="LIE56" s="12"/>
      <c r="LIF56" s="12"/>
      <c r="LIG56" s="12"/>
      <c r="LIH56" s="12"/>
      <c r="LII56" s="12"/>
      <c r="LIJ56" s="12"/>
      <c r="LIK56" s="12"/>
      <c r="LIL56" s="12"/>
      <c r="LIM56" s="12"/>
      <c r="LIN56" s="12"/>
      <c r="LIO56" s="12"/>
      <c r="LIP56" s="12"/>
      <c r="LIQ56" s="12"/>
      <c r="LIR56" s="12"/>
      <c r="LIS56" s="12"/>
      <c r="LIT56" s="12"/>
      <c r="LIU56" s="12"/>
      <c r="LIV56" s="12"/>
      <c r="LIW56" s="12"/>
      <c r="LIX56" s="12"/>
      <c r="LIY56" s="12"/>
      <c r="LIZ56" s="12"/>
      <c r="LJA56" s="12"/>
      <c r="LJB56" s="12"/>
      <c r="LJC56" s="12"/>
      <c r="LJD56" s="12"/>
      <c r="LJE56" s="12"/>
      <c r="LJF56" s="12"/>
      <c r="LJG56" s="12"/>
      <c r="LJH56" s="12"/>
      <c r="LJI56" s="12"/>
      <c r="LJJ56" s="12"/>
      <c r="LJK56" s="12"/>
      <c r="LJL56" s="12"/>
      <c r="LJM56" s="12"/>
      <c r="LJN56" s="12"/>
      <c r="LJO56" s="12"/>
      <c r="LJP56" s="12"/>
      <c r="LJQ56" s="12"/>
      <c r="LJR56" s="12"/>
      <c r="LJS56" s="12"/>
      <c r="LJT56" s="12"/>
      <c r="LJU56" s="12"/>
      <c r="LJV56" s="12"/>
      <c r="LJW56" s="12"/>
      <c r="LJX56" s="12"/>
      <c r="LJY56" s="12"/>
      <c r="LJZ56" s="12"/>
      <c r="LKA56" s="12"/>
      <c r="LKB56" s="12"/>
      <c r="LKC56" s="12"/>
      <c r="LKD56" s="12"/>
      <c r="LKE56" s="12"/>
      <c r="LKF56" s="12"/>
      <c r="LKG56" s="12"/>
      <c r="LKH56" s="12"/>
      <c r="LKI56" s="12"/>
      <c r="LKJ56" s="12"/>
      <c r="LKK56" s="12"/>
      <c r="LKL56" s="12"/>
      <c r="LKM56" s="12"/>
      <c r="LKN56" s="12"/>
      <c r="LKO56" s="12"/>
      <c r="LKP56" s="12"/>
      <c r="LKQ56" s="12"/>
      <c r="LKR56" s="12"/>
      <c r="LKS56" s="12"/>
      <c r="LKT56" s="12"/>
      <c r="LKU56" s="12"/>
      <c r="LKV56" s="12"/>
      <c r="LKW56" s="12"/>
      <c r="LKX56" s="12"/>
      <c r="LKY56" s="12"/>
      <c r="LKZ56" s="12"/>
      <c r="LLA56" s="12"/>
      <c r="LLB56" s="12"/>
      <c r="LLC56" s="12"/>
      <c r="LLD56" s="12"/>
      <c r="LLE56" s="12"/>
      <c r="LLF56" s="12"/>
      <c r="LLG56" s="12"/>
      <c r="LLH56" s="12"/>
      <c r="LLI56" s="12"/>
      <c r="LLJ56" s="12"/>
      <c r="LLK56" s="12"/>
      <c r="LLL56" s="12"/>
      <c r="LLM56" s="12"/>
      <c r="LLN56" s="12"/>
      <c r="LLO56" s="12"/>
      <c r="LLP56" s="12"/>
      <c r="LLQ56" s="12"/>
      <c r="LLR56" s="12"/>
      <c r="LLS56" s="12"/>
      <c r="LLT56" s="12"/>
      <c r="LLU56" s="12"/>
      <c r="LLV56" s="12"/>
      <c r="LLW56" s="12"/>
      <c r="LLX56" s="12"/>
      <c r="LLY56" s="12"/>
      <c r="LLZ56" s="12"/>
      <c r="LMA56" s="12"/>
      <c r="LMB56" s="12"/>
      <c r="LMC56" s="12"/>
      <c r="LMD56" s="12"/>
      <c r="LME56" s="12"/>
      <c r="LMF56" s="12"/>
      <c r="LMG56" s="12"/>
      <c r="LMH56" s="12"/>
      <c r="LMI56" s="12"/>
      <c r="LMJ56" s="12"/>
      <c r="LMK56" s="12"/>
      <c r="LML56" s="12"/>
      <c r="LMM56" s="12"/>
      <c r="LMN56" s="12"/>
      <c r="LMO56" s="12"/>
      <c r="LMP56" s="12"/>
      <c r="LMQ56" s="12"/>
      <c r="LMR56" s="12"/>
      <c r="LMS56" s="12"/>
      <c r="LMT56" s="12"/>
      <c r="LMU56" s="12"/>
      <c r="LMV56" s="12"/>
      <c r="LMW56" s="12"/>
      <c r="LMX56" s="12"/>
      <c r="LMY56" s="12"/>
      <c r="LMZ56" s="12"/>
      <c r="LNA56" s="12"/>
      <c r="LNB56" s="12"/>
      <c r="LNC56" s="12"/>
      <c r="LND56" s="12"/>
      <c r="LNE56" s="12"/>
      <c r="LNF56" s="12"/>
      <c r="LNG56" s="12"/>
      <c r="LNH56" s="12"/>
      <c r="LNI56" s="12"/>
      <c r="LNJ56" s="12"/>
      <c r="LNK56" s="12"/>
      <c r="LNL56" s="12"/>
      <c r="LNM56" s="12"/>
      <c r="LNN56" s="12"/>
      <c r="LNO56" s="12"/>
      <c r="LNP56" s="12"/>
      <c r="LNQ56" s="12"/>
      <c r="LNR56" s="12"/>
      <c r="LNS56" s="12"/>
      <c r="LNT56" s="12"/>
      <c r="LNU56" s="12"/>
      <c r="LNV56" s="12"/>
      <c r="LNW56" s="12"/>
      <c r="LNX56" s="12"/>
      <c r="LNY56" s="12"/>
      <c r="LNZ56" s="12"/>
      <c r="LOA56" s="12"/>
      <c r="LOB56" s="12"/>
      <c r="LOC56" s="12"/>
      <c r="LOD56" s="12"/>
      <c r="LOE56" s="12"/>
      <c r="LOF56" s="12"/>
      <c r="LOG56" s="12"/>
      <c r="LOH56" s="12"/>
      <c r="LOI56" s="12"/>
      <c r="LOJ56" s="12"/>
      <c r="LOK56" s="12"/>
      <c r="LOL56" s="12"/>
      <c r="LOM56" s="12"/>
      <c r="LON56" s="12"/>
      <c r="LOO56" s="12"/>
      <c r="LOP56" s="12"/>
      <c r="LOQ56" s="12"/>
      <c r="LOR56" s="12"/>
      <c r="LOS56" s="12"/>
      <c r="LOT56" s="12"/>
      <c r="LOU56" s="12"/>
      <c r="LOV56" s="12"/>
      <c r="LOW56" s="12"/>
      <c r="LOX56" s="12"/>
      <c r="LOY56" s="12"/>
      <c r="LOZ56" s="12"/>
      <c r="LPA56" s="12"/>
      <c r="LPB56" s="12"/>
      <c r="LPC56" s="12"/>
      <c r="LPD56" s="12"/>
      <c r="LPE56" s="12"/>
      <c r="LPF56" s="12"/>
      <c r="LPG56" s="12"/>
      <c r="LPH56" s="12"/>
      <c r="LPI56" s="12"/>
      <c r="LPJ56" s="12"/>
      <c r="LPK56" s="12"/>
      <c r="LPL56" s="12"/>
      <c r="LPM56" s="12"/>
      <c r="LPN56" s="12"/>
      <c r="LPO56" s="12"/>
      <c r="LPP56" s="12"/>
      <c r="LPQ56" s="12"/>
      <c r="LPR56" s="12"/>
      <c r="LPS56" s="12"/>
      <c r="LPT56" s="12"/>
      <c r="LPU56" s="12"/>
      <c r="LPV56" s="12"/>
      <c r="LPW56" s="12"/>
      <c r="LPX56" s="12"/>
      <c r="LPY56" s="12"/>
      <c r="LPZ56" s="12"/>
      <c r="LQA56" s="12"/>
      <c r="LQB56" s="12"/>
      <c r="LQC56" s="12"/>
      <c r="LQD56" s="12"/>
      <c r="LQE56" s="12"/>
      <c r="LQF56" s="12"/>
      <c r="LQG56" s="12"/>
      <c r="LQH56" s="12"/>
      <c r="LQI56" s="12"/>
      <c r="LQJ56" s="12"/>
      <c r="LQK56" s="12"/>
      <c r="LQL56" s="12"/>
      <c r="LQM56" s="12"/>
      <c r="LQN56" s="12"/>
      <c r="LQO56" s="12"/>
      <c r="LQP56" s="12"/>
      <c r="LQQ56" s="12"/>
      <c r="LQR56" s="12"/>
      <c r="LQS56" s="12"/>
      <c r="LQT56" s="12"/>
      <c r="LQU56" s="12"/>
      <c r="LQV56" s="12"/>
      <c r="LQW56" s="12"/>
      <c r="LQX56" s="12"/>
      <c r="LQY56" s="12"/>
      <c r="LQZ56" s="12"/>
      <c r="LRA56" s="12"/>
      <c r="LRB56" s="12"/>
      <c r="LRC56" s="12"/>
      <c r="LRD56" s="12"/>
      <c r="LRE56" s="12"/>
      <c r="LRF56" s="12"/>
      <c r="LRG56" s="12"/>
      <c r="LRH56" s="12"/>
      <c r="LRI56" s="12"/>
      <c r="LRJ56" s="12"/>
      <c r="LRK56" s="12"/>
      <c r="LRL56" s="12"/>
      <c r="LRM56" s="12"/>
      <c r="LRN56" s="12"/>
      <c r="LRO56" s="12"/>
      <c r="LRP56" s="12"/>
      <c r="LRQ56" s="12"/>
      <c r="LRR56" s="12"/>
      <c r="LRS56" s="12"/>
      <c r="LRT56" s="12"/>
      <c r="LRU56" s="12"/>
      <c r="LRV56" s="12"/>
      <c r="LRW56" s="12"/>
      <c r="LRX56" s="12"/>
      <c r="LRY56" s="12"/>
      <c r="LRZ56" s="12"/>
      <c r="LSA56" s="12"/>
      <c r="LSB56" s="12"/>
      <c r="LSC56" s="12"/>
      <c r="LSD56" s="12"/>
      <c r="LSE56" s="12"/>
      <c r="LSF56" s="12"/>
      <c r="LSG56" s="12"/>
      <c r="LSH56" s="12"/>
      <c r="LSI56" s="12"/>
      <c r="LSJ56" s="12"/>
      <c r="LSK56" s="12"/>
      <c r="LSL56" s="12"/>
      <c r="LSM56" s="12"/>
      <c r="LSN56" s="12"/>
      <c r="LSO56" s="12"/>
      <c r="LSP56" s="12"/>
      <c r="LSQ56" s="12"/>
      <c r="LSR56" s="12"/>
      <c r="LSS56" s="12"/>
      <c r="LST56" s="12"/>
      <c r="LSU56" s="12"/>
      <c r="LSV56" s="12"/>
      <c r="LSW56" s="12"/>
      <c r="LSX56" s="12"/>
      <c r="LSY56" s="12"/>
      <c r="LSZ56" s="12"/>
      <c r="LTA56" s="12"/>
      <c r="LTB56" s="12"/>
      <c r="LTC56" s="12"/>
      <c r="LTD56" s="12"/>
      <c r="LTE56" s="12"/>
      <c r="LTF56" s="12"/>
      <c r="LTG56" s="12"/>
      <c r="LTH56" s="12"/>
      <c r="LTI56" s="12"/>
      <c r="LTJ56" s="12"/>
      <c r="LTK56" s="12"/>
      <c r="LTL56" s="12"/>
      <c r="LTM56" s="12"/>
      <c r="LTN56" s="12"/>
      <c r="LTO56" s="12"/>
      <c r="LTP56" s="12"/>
      <c r="LTQ56" s="12"/>
      <c r="LTR56" s="12"/>
      <c r="LTS56" s="12"/>
      <c r="LTT56" s="12"/>
      <c r="LTU56" s="12"/>
      <c r="LTV56" s="12"/>
      <c r="LTW56" s="12"/>
      <c r="LTX56" s="12"/>
      <c r="LTY56" s="12"/>
      <c r="LTZ56" s="12"/>
      <c r="LUA56" s="12"/>
      <c r="LUB56" s="12"/>
      <c r="LUC56" s="12"/>
      <c r="LUD56" s="12"/>
      <c r="LUE56" s="12"/>
      <c r="LUF56" s="12"/>
      <c r="LUG56" s="12"/>
      <c r="LUH56" s="12"/>
      <c r="LUI56" s="12"/>
      <c r="LUJ56" s="12"/>
      <c r="LUK56" s="12"/>
      <c r="LUL56" s="12"/>
      <c r="LUM56" s="12"/>
      <c r="LUN56" s="12"/>
      <c r="LUO56" s="12"/>
      <c r="LUP56" s="12"/>
      <c r="LUQ56" s="12"/>
      <c r="LUR56" s="12"/>
      <c r="LUS56" s="12"/>
      <c r="LUT56" s="12"/>
      <c r="LUU56" s="12"/>
      <c r="LUV56" s="12"/>
      <c r="LUW56" s="12"/>
      <c r="LUX56" s="12"/>
      <c r="LUY56" s="12"/>
      <c r="LUZ56" s="12"/>
      <c r="LVA56" s="12"/>
      <c r="LVB56" s="12"/>
      <c r="LVC56" s="12"/>
      <c r="LVD56" s="12"/>
      <c r="LVE56" s="12"/>
      <c r="LVF56" s="12"/>
      <c r="LVG56" s="12"/>
      <c r="LVH56" s="12"/>
      <c r="LVI56" s="12"/>
      <c r="LVJ56" s="12"/>
      <c r="LVK56" s="12"/>
      <c r="LVL56" s="12"/>
      <c r="LVM56" s="12"/>
      <c r="LVN56" s="12"/>
      <c r="LVO56" s="12"/>
      <c r="LVP56" s="12"/>
      <c r="LVQ56" s="12"/>
      <c r="LVR56" s="12"/>
      <c r="LVS56" s="12"/>
      <c r="LVT56" s="12"/>
      <c r="LVU56" s="12"/>
      <c r="LVV56" s="12"/>
      <c r="LVW56" s="12"/>
      <c r="LVX56" s="12"/>
      <c r="LVY56" s="12"/>
      <c r="LVZ56" s="12"/>
      <c r="LWA56" s="12"/>
      <c r="LWB56" s="12"/>
      <c r="LWC56" s="12"/>
      <c r="LWD56" s="12"/>
      <c r="LWE56" s="12"/>
      <c r="LWF56" s="12"/>
      <c r="LWG56" s="12"/>
      <c r="LWH56" s="12"/>
      <c r="LWI56" s="12"/>
      <c r="LWJ56" s="12"/>
      <c r="LWK56" s="12"/>
      <c r="LWL56" s="12"/>
      <c r="LWM56" s="12"/>
      <c r="LWN56" s="12"/>
      <c r="LWO56" s="12"/>
      <c r="LWP56" s="12"/>
      <c r="LWQ56" s="12"/>
      <c r="LWR56" s="12"/>
      <c r="LWS56" s="12"/>
      <c r="LWT56" s="12"/>
      <c r="LWU56" s="12"/>
      <c r="LWV56" s="12"/>
      <c r="LWW56" s="12"/>
      <c r="LWX56" s="12"/>
      <c r="LWY56" s="12"/>
      <c r="LWZ56" s="12"/>
      <c r="LXA56" s="12"/>
      <c r="LXB56" s="12"/>
      <c r="LXC56" s="12"/>
      <c r="LXD56" s="12"/>
      <c r="LXE56" s="12"/>
      <c r="LXF56" s="12"/>
      <c r="LXG56" s="12"/>
      <c r="LXH56" s="12"/>
      <c r="LXI56" s="12"/>
      <c r="LXJ56" s="12"/>
      <c r="LXK56" s="12"/>
      <c r="LXL56" s="12"/>
      <c r="LXM56" s="12"/>
      <c r="LXN56" s="12"/>
      <c r="LXO56" s="12"/>
      <c r="LXP56" s="12"/>
      <c r="LXQ56" s="12"/>
      <c r="LXR56" s="12"/>
      <c r="LXS56" s="12"/>
      <c r="LXT56" s="12"/>
      <c r="LXU56" s="12"/>
      <c r="LXV56" s="12"/>
      <c r="LXW56" s="12"/>
      <c r="LXX56" s="12"/>
      <c r="LXY56" s="12"/>
      <c r="LXZ56" s="12"/>
      <c r="LYA56" s="12"/>
      <c r="LYB56" s="12"/>
      <c r="LYC56" s="12"/>
      <c r="LYD56" s="12"/>
      <c r="LYE56" s="12"/>
      <c r="LYF56" s="12"/>
      <c r="LYG56" s="12"/>
      <c r="LYH56" s="12"/>
      <c r="LYI56" s="12"/>
      <c r="LYJ56" s="12"/>
      <c r="LYK56" s="12"/>
      <c r="LYL56" s="12"/>
      <c r="LYM56" s="12"/>
      <c r="LYN56" s="12"/>
      <c r="LYO56" s="12"/>
      <c r="LYP56" s="12"/>
      <c r="LYQ56" s="12"/>
      <c r="LYR56" s="12"/>
      <c r="LYS56" s="12"/>
      <c r="LYT56" s="12"/>
      <c r="LYU56" s="12"/>
      <c r="LYV56" s="12"/>
      <c r="LYW56" s="12"/>
      <c r="LYX56" s="12"/>
      <c r="LYY56" s="12"/>
      <c r="LYZ56" s="12"/>
      <c r="LZA56" s="12"/>
      <c r="LZB56" s="12"/>
      <c r="LZC56" s="12"/>
      <c r="LZD56" s="12"/>
      <c r="LZE56" s="12"/>
      <c r="LZF56" s="12"/>
      <c r="LZG56" s="12"/>
      <c r="LZH56" s="12"/>
      <c r="LZI56" s="12"/>
      <c r="LZJ56" s="12"/>
      <c r="LZK56" s="12"/>
      <c r="LZL56" s="12"/>
      <c r="LZM56" s="12"/>
      <c r="LZN56" s="12"/>
      <c r="LZO56" s="12"/>
      <c r="LZP56" s="12"/>
      <c r="LZQ56" s="12"/>
      <c r="LZR56" s="12"/>
      <c r="LZS56" s="12"/>
      <c r="LZT56" s="12"/>
      <c r="LZU56" s="12"/>
      <c r="LZV56" s="12"/>
      <c r="LZW56" s="12"/>
      <c r="LZX56" s="12"/>
      <c r="LZY56" s="12"/>
      <c r="LZZ56" s="12"/>
      <c r="MAA56" s="12"/>
      <c r="MAB56" s="12"/>
      <c r="MAC56" s="12"/>
      <c r="MAD56" s="12"/>
      <c r="MAE56" s="12"/>
      <c r="MAF56" s="12"/>
      <c r="MAG56" s="12"/>
      <c r="MAH56" s="12"/>
      <c r="MAI56" s="12"/>
      <c r="MAJ56" s="12"/>
      <c r="MAK56" s="12"/>
      <c r="MAL56" s="12"/>
      <c r="MAM56" s="12"/>
      <c r="MAN56" s="12"/>
      <c r="MAO56" s="12"/>
      <c r="MAP56" s="12"/>
      <c r="MAQ56" s="12"/>
      <c r="MAR56" s="12"/>
      <c r="MAS56" s="12"/>
      <c r="MAT56" s="12"/>
      <c r="MAU56" s="12"/>
      <c r="MAV56" s="12"/>
      <c r="MAW56" s="12"/>
      <c r="MAX56" s="12"/>
      <c r="MAY56" s="12"/>
      <c r="MAZ56" s="12"/>
      <c r="MBA56" s="12"/>
      <c r="MBB56" s="12"/>
      <c r="MBC56" s="12"/>
      <c r="MBD56" s="12"/>
      <c r="MBE56" s="12"/>
      <c r="MBF56" s="12"/>
      <c r="MBG56" s="12"/>
      <c r="MBH56" s="12"/>
      <c r="MBI56" s="12"/>
      <c r="MBJ56" s="12"/>
      <c r="MBK56" s="12"/>
      <c r="MBL56" s="12"/>
      <c r="MBM56" s="12"/>
      <c r="MBN56" s="12"/>
      <c r="MBO56" s="12"/>
      <c r="MBP56" s="12"/>
      <c r="MBQ56" s="12"/>
      <c r="MBR56" s="12"/>
      <c r="MBS56" s="12"/>
      <c r="MBT56" s="12"/>
      <c r="MBU56" s="12"/>
      <c r="MBV56" s="12"/>
      <c r="MBW56" s="12"/>
      <c r="MBX56" s="12"/>
      <c r="MBY56" s="12"/>
      <c r="MBZ56" s="12"/>
      <c r="MCA56" s="12"/>
      <c r="MCB56" s="12"/>
      <c r="MCC56" s="12"/>
      <c r="MCD56" s="12"/>
      <c r="MCE56" s="12"/>
      <c r="MCF56" s="12"/>
      <c r="MCG56" s="12"/>
      <c r="MCH56" s="12"/>
      <c r="MCI56" s="12"/>
      <c r="MCJ56" s="12"/>
      <c r="MCK56" s="12"/>
      <c r="MCL56" s="12"/>
      <c r="MCM56" s="12"/>
      <c r="MCN56" s="12"/>
      <c r="MCO56" s="12"/>
      <c r="MCP56" s="12"/>
      <c r="MCQ56" s="12"/>
      <c r="MCR56" s="12"/>
      <c r="MCS56" s="12"/>
      <c r="MCT56" s="12"/>
      <c r="MCU56" s="12"/>
      <c r="MCV56" s="12"/>
      <c r="MCW56" s="12"/>
      <c r="MCX56" s="12"/>
      <c r="MCY56" s="12"/>
      <c r="MCZ56" s="12"/>
      <c r="MDA56" s="12"/>
      <c r="MDB56" s="12"/>
      <c r="MDC56" s="12"/>
      <c r="MDD56" s="12"/>
      <c r="MDE56" s="12"/>
      <c r="MDF56" s="12"/>
      <c r="MDG56" s="12"/>
      <c r="MDH56" s="12"/>
      <c r="MDI56" s="12"/>
      <c r="MDJ56" s="12"/>
      <c r="MDK56" s="12"/>
      <c r="MDL56" s="12"/>
      <c r="MDM56" s="12"/>
      <c r="MDN56" s="12"/>
      <c r="MDO56" s="12"/>
      <c r="MDP56" s="12"/>
      <c r="MDQ56" s="12"/>
      <c r="MDR56" s="12"/>
      <c r="MDS56" s="12"/>
      <c r="MDT56" s="12"/>
      <c r="MDU56" s="12"/>
      <c r="MDV56" s="12"/>
      <c r="MDW56" s="12"/>
      <c r="MDX56" s="12"/>
      <c r="MDY56" s="12"/>
      <c r="MDZ56" s="12"/>
      <c r="MEA56" s="12"/>
      <c r="MEB56" s="12"/>
      <c r="MEC56" s="12"/>
      <c r="MED56" s="12"/>
      <c r="MEE56" s="12"/>
      <c r="MEF56" s="12"/>
      <c r="MEG56" s="12"/>
      <c r="MEH56" s="12"/>
      <c r="MEI56" s="12"/>
      <c r="MEJ56" s="12"/>
      <c r="MEK56" s="12"/>
      <c r="MEL56" s="12"/>
      <c r="MEM56" s="12"/>
      <c r="MEN56" s="12"/>
      <c r="MEO56" s="12"/>
      <c r="MEP56" s="12"/>
      <c r="MEQ56" s="12"/>
      <c r="MER56" s="12"/>
      <c r="MES56" s="12"/>
      <c r="MET56" s="12"/>
      <c r="MEU56" s="12"/>
      <c r="MEV56" s="12"/>
      <c r="MEW56" s="12"/>
      <c r="MEX56" s="12"/>
      <c r="MEY56" s="12"/>
      <c r="MEZ56" s="12"/>
      <c r="MFA56" s="12"/>
      <c r="MFB56" s="12"/>
      <c r="MFC56" s="12"/>
      <c r="MFD56" s="12"/>
      <c r="MFE56" s="12"/>
      <c r="MFF56" s="12"/>
      <c r="MFG56" s="12"/>
      <c r="MFH56" s="12"/>
      <c r="MFI56" s="12"/>
      <c r="MFJ56" s="12"/>
      <c r="MFK56" s="12"/>
      <c r="MFL56" s="12"/>
      <c r="MFM56" s="12"/>
      <c r="MFN56" s="12"/>
      <c r="MFO56" s="12"/>
      <c r="MFP56" s="12"/>
      <c r="MFQ56" s="12"/>
      <c r="MFR56" s="12"/>
      <c r="MFS56" s="12"/>
      <c r="MFT56" s="12"/>
      <c r="MFU56" s="12"/>
      <c r="MFV56" s="12"/>
      <c r="MFW56" s="12"/>
      <c r="MFX56" s="12"/>
      <c r="MFY56" s="12"/>
      <c r="MFZ56" s="12"/>
      <c r="MGA56" s="12"/>
      <c r="MGB56" s="12"/>
      <c r="MGC56" s="12"/>
      <c r="MGD56" s="12"/>
      <c r="MGE56" s="12"/>
      <c r="MGF56" s="12"/>
      <c r="MGG56" s="12"/>
      <c r="MGH56" s="12"/>
      <c r="MGI56" s="12"/>
      <c r="MGJ56" s="12"/>
      <c r="MGK56" s="12"/>
      <c r="MGL56" s="12"/>
      <c r="MGM56" s="12"/>
      <c r="MGN56" s="12"/>
      <c r="MGO56" s="12"/>
      <c r="MGP56" s="12"/>
      <c r="MGQ56" s="12"/>
      <c r="MGR56" s="12"/>
      <c r="MGS56" s="12"/>
      <c r="MGT56" s="12"/>
      <c r="MGU56" s="12"/>
      <c r="MGV56" s="12"/>
      <c r="MGW56" s="12"/>
      <c r="MGX56" s="12"/>
      <c r="MGY56" s="12"/>
      <c r="MGZ56" s="12"/>
      <c r="MHA56" s="12"/>
      <c r="MHB56" s="12"/>
      <c r="MHC56" s="12"/>
      <c r="MHD56" s="12"/>
      <c r="MHE56" s="12"/>
      <c r="MHF56" s="12"/>
      <c r="MHG56" s="12"/>
      <c r="MHH56" s="12"/>
      <c r="MHI56" s="12"/>
      <c r="MHJ56" s="12"/>
      <c r="MHK56" s="12"/>
      <c r="MHL56" s="12"/>
      <c r="MHM56" s="12"/>
      <c r="MHN56" s="12"/>
      <c r="MHO56" s="12"/>
      <c r="MHP56" s="12"/>
      <c r="MHQ56" s="12"/>
      <c r="MHR56" s="12"/>
      <c r="MHS56" s="12"/>
      <c r="MHT56" s="12"/>
      <c r="MHU56" s="12"/>
      <c r="MHV56" s="12"/>
      <c r="MHW56" s="12"/>
      <c r="MHX56" s="12"/>
      <c r="MHY56" s="12"/>
      <c r="MHZ56" s="12"/>
      <c r="MIA56" s="12"/>
      <c r="MIB56" s="12"/>
      <c r="MIC56" s="12"/>
      <c r="MID56" s="12"/>
      <c r="MIE56" s="12"/>
      <c r="MIF56" s="12"/>
      <c r="MIG56" s="12"/>
      <c r="MIH56" s="12"/>
      <c r="MII56" s="12"/>
      <c r="MIJ56" s="12"/>
      <c r="MIK56" s="12"/>
      <c r="MIL56" s="12"/>
      <c r="MIM56" s="12"/>
      <c r="MIN56" s="12"/>
      <c r="MIO56" s="12"/>
      <c r="MIP56" s="12"/>
      <c r="MIQ56" s="12"/>
      <c r="MIR56" s="12"/>
      <c r="MIS56" s="12"/>
      <c r="MIT56" s="12"/>
      <c r="MIU56" s="12"/>
      <c r="MIV56" s="12"/>
      <c r="MIW56" s="12"/>
      <c r="MIX56" s="12"/>
      <c r="MIY56" s="12"/>
      <c r="MIZ56" s="12"/>
      <c r="MJA56" s="12"/>
      <c r="MJB56" s="12"/>
      <c r="MJC56" s="12"/>
      <c r="MJD56" s="12"/>
      <c r="MJE56" s="12"/>
      <c r="MJF56" s="12"/>
      <c r="MJG56" s="12"/>
      <c r="MJH56" s="12"/>
      <c r="MJI56" s="12"/>
      <c r="MJJ56" s="12"/>
      <c r="MJK56" s="12"/>
      <c r="MJL56" s="12"/>
      <c r="MJM56" s="12"/>
      <c r="MJN56" s="12"/>
      <c r="MJO56" s="12"/>
      <c r="MJP56" s="12"/>
      <c r="MJQ56" s="12"/>
      <c r="MJR56" s="12"/>
      <c r="MJS56" s="12"/>
      <c r="MJT56" s="12"/>
      <c r="MJU56" s="12"/>
      <c r="MJV56" s="12"/>
      <c r="MJW56" s="12"/>
      <c r="MJX56" s="12"/>
      <c r="MJY56" s="12"/>
      <c r="MJZ56" s="12"/>
      <c r="MKA56" s="12"/>
      <c r="MKB56" s="12"/>
      <c r="MKC56" s="12"/>
      <c r="MKD56" s="12"/>
      <c r="MKE56" s="12"/>
      <c r="MKF56" s="12"/>
      <c r="MKG56" s="12"/>
      <c r="MKH56" s="12"/>
      <c r="MKI56" s="12"/>
      <c r="MKJ56" s="12"/>
      <c r="MKK56" s="12"/>
      <c r="MKL56" s="12"/>
      <c r="MKM56" s="12"/>
      <c r="MKN56" s="12"/>
      <c r="MKO56" s="12"/>
      <c r="MKP56" s="12"/>
      <c r="MKQ56" s="12"/>
      <c r="MKR56" s="12"/>
      <c r="MKS56" s="12"/>
      <c r="MKT56" s="12"/>
      <c r="MKU56" s="12"/>
      <c r="MKV56" s="12"/>
      <c r="MKW56" s="12"/>
      <c r="MKX56" s="12"/>
      <c r="MKY56" s="12"/>
      <c r="MKZ56" s="12"/>
      <c r="MLA56" s="12"/>
      <c r="MLB56" s="12"/>
      <c r="MLC56" s="12"/>
      <c r="MLD56" s="12"/>
      <c r="MLE56" s="12"/>
      <c r="MLF56" s="12"/>
      <c r="MLG56" s="12"/>
      <c r="MLH56" s="12"/>
      <c r="MLI56" s="12"/>
      <c r="MLJ56" s="12"/>
      <c r="MLK56" s="12"/>
      <c r="MLL56" s="12"/>
      <c r="MLM56" s="12"/>
      <c r="MLN56" s="12"/>
      <c r="MLO56" s="12"/>
      <c r="MLP56" s="12"/>
      <c r="MLQ56" s="12"/>
      <c r="MLR56" s="12"/>
      <c r="MLS56" s="12"/>
      <c r="MLT56" s="12"/>
      <c r="MLU56" s="12"/>
      <c r="MLV56" s="12"/>
      <c r="MLW56" s="12"/>
      <c r="MLX56" s="12"/>
      <c r="MLY56" s="12"/>
      <c r="MLZ56" s="12"/>
      <c r="MMA56" s="12"/>
      <c r="MMB56" s="12"/>
      <c r="MMC56" s="12"/>
      <c r="MMD56" s="12"/>
      <c r="MME56" s="12"/>
      <c r="MMF56" s="12"/>
      <c r="MMG56" s="12"/>
      <c r="MMH56" s="12"/>
      <c r="MMI56" s="12"/>
      <c r="MMJ56" s="12"/>
      <c r="MMK56" s="12"/>
      <c r="MML56" s="12"/>
      <c r="MMM56" s="12"/>
      <c r="MMN56" s="12"/>
      <c r="MMO56" s="12"/>
      <c r="MMP56" s="12"/>
      <c r="MMQ56" s="12"/>
      <c r="MMR56" s="12"/>
      <c r="MMS56" s="12"/>
      <c r="MMT56" s="12"/>
      <c r="MMU56" s="12"/>
      <c r="MMV56" s="12"/>
      <c r="MMW56" s="12"/>
      <c r="MMX56" s="12"/>
      <c r="MMY56" s="12"/>
      <c r="MMZ56" s="12"/>
      <c r="MNA56" s="12"/>
      <c r="MNB56" s="12"/>
      <c r="MNC56" s="12"/>
      <c r="MND56" s="12"/>
      <c r="MNE56" s="12"/>
      <c r="MNF56" s="12"/>
      <c r="MNG56" s="12"/>
      <c r="MNH56" s="12"/>
      <c r="MNI56" s="12"/>
      <c r="MNJ56" s="12"/>
      <c r="MNK56" s="12"/>
      <c r="MNL56" s="12"/>
      <c r="MNM56" s="12"/>
      <c r="MNN56" s="12"/>
      <c r="MNO56" s="12"/>
      <c r="MNP56" s="12"/>
      <c r="MNQ56" s="12"/>
      <c r="MNR56" s="12"/>
      <c r="MNS56" s="12"/>
      <c r="MNT56" s="12"/>
      <c r="MNU56" s="12"/>
      <c r="MNV56" s="12"/>
      <c r="MNW56" s="12"/>
      <c r="MNX56" s="12"/>
      <c r="MNY56" s="12"/>
      <c r="MNZ56" s="12"/>
      <c r="MOA56" s="12"/>
      <c r="MOB56" s="12"/>
      <c r="MOC56" s="12"/>
      <c r="MOD56" s="12"/>
      <c r="MOE56" s="12"/>
      <c r="MOF56" s="12"/>
      <c r="MOG56" s="12"/>
      <c r="MOH56" s="12"/>
      <c r="MOI56" s="12"/>
      <c r="MOJ56" s="12"/>
      <c r="MOK56" s="12"/>
      <c r="MOL56" s="12"/>
      <c r="MOM56" s="12"/>
      <c r="MON56" s="12"/>
      <c r="MOO56" s="12"/>
      <c r="MOP56" s="12"/>
      <c r="MOQ56" s="12"/>
      <c r="MOR56" s="12"/>
      <c r="MOS56" s="12"/>
      <c r="MOT56" s="12"/>
      <c r="MOU56" s="12"/>
      <c r="MOV56" s="12"/>
      <c r="MOW56" s="12"/>
      <c r="MOX56" s="12"/>
      <c r="MOY56" s="12"/>
      <c r="MOZ56" s="12"/>
      <c r="MPA56" s="12"/>
      <c r="MPB56" s="12"/>
      <c r="MPC56" s="12"/>
      <c r="MPD56" s="12"/>
      <c r="MPE56" s="12"/>
      <c r="MPF56" s="12"/>
      <c r="MPG56" s="12"/>
      <c r="MPH56" s="12"/>
      <c r="MPI56" s="12"/>
      <c r="MPJ56" s="12"/>
      <c r="MPK56" s="12"/>
      <c r="MPL56" s="12"/>
      <c r="MPM56" s="12"/>
      <c r="MPN56" s="12"/>
      <c r="MPO56" s="12"/>
      <c r="MPP56" s="12"/>
      <c r="MPQ56" s="12"/>
      <c r="MPR56" s="12"/>
      <c r="MPS56" s="12"/>
      <c r="MPT56" s="12"/>
      <c r="MPU56" s="12"/>
      <c r="MPV56" s="12"/>
      <c r="MPW56" s="12"/>
      <c r="MPX56" s="12"/>
      <c r="MPY56" s="12"/>
      <c r="MPZ56" s="12"/>
      <c r="MQA56" s="12"/>
      <c r="MQB56" s="12"/>
      <c r="MQC56" s="12"/>
      <c r="MQD56" s="12"/>
      <c r="MQE56" s="12"/>
      <c r="MQF56" s="12"/>
      <c r="MQG56" s="12"/>
      <c r="MQH56" s="12"/>
      <c r="MQI56" s="12"/>
      <c r="MQJ56" s="12"/>
      <c r="MQK56" s="12"/>
      <c r="MQL56" s="12"/>
      <c r="MQM56" s="12"/>
      <c r="MQN56" s="12"/>
      <c r="MQO56" s="12"/>
      <c r="MQP56" s="12"/>
      <c r="MQQ56" s="12"/>
      <c r="MQR56" s="12"/>
      <c r="MQS56" s="12"/>
      <c r="MQT56" s="12"/>
      <c r="MQU56" s="12"/>
      <c r="MQV56" s="12"/>
      <c r="MQW56" s="12"/>
      <c r="MQX56" s="12"/>
      <c r="MQY56" s="12"/>
      <c r="MQZ56" s="12"/>
      <c r="MRA56" s="12"/>
      <c r="MRB56" s="12"/>
      <c r="MRC56" s="12"/>
      <c r="MRD56" s="12"/>
      <c r="MRE56" s="12"/>
      <c r="MRF56" s="12"/>
      <c r="MRG56" s="12"/>
      <c r="MRH56" s="12"/>
      <c r="MRI56" s="12"/>
      <c r="MRJ56" s="12"/>
      <c r="MRK56" s="12"/>
      <c r="MRL56" s="12"/>
      <c r="MRM56" s="12"/>
      <c r="MRN56" s="12"/>
      <c r="MRO56" s="12"/>
      <c r="MRP56" s="12"/>
      <c r="MRQ56" s="12"/>
      <c r="MRR56" s="12"/>
      <c r="MRS56" s="12"/>
      <c r="MRT56" s="12"/>
      <c r="MRU56" s="12"/>
      <c r="MRV56" s="12"/>
      <c r="MRW56" s="12"/>
      <c r="MRX56" s="12"/>
      <c r="MRY56" s="12"/>
      <c r="MRZ56" s="12"/>
      <c r="MSA56" s="12"/>
      <c r="MSB56" s="12"/>
      <c r="MSC56" s="12"/>
      <c r="MSD56" s="12"/>
      <c r="MSE56" s="12"/>
      <c r="MSF56" s="12"/>
      <c r="MSG56" s="12"/>
      <c r="MSH56" s="12"/>
      <c r="MSI56" s="12"/>
      <c r="MSJ56" s="12"/>
      <c r="MSK56" s="12"/>
      <c r="MSL56" s="12"/>
      <c r="MSM56" s="12"/>
      <c r="MSN56" s="12"/>
      <c r="MSO56" s="12"/>
      <c r="MSP56" s="12"/>
      <c r="MSQ56" s="12"/>
      <c r="MSR56" s="12"/>
      <c r="MSS56" s="12"/>
      <c r="MST56" s="12"/>
      <c r="MSU56" s="12"/>
      <c r="MSV56" s="12"/>
      <c r="MSW56" s="12"/>
      <c r="MSX56" s="12"/>
      <c r="MSY56" s="12"/>
      <c r="MSZ56" s="12"/>
      <c r="MTA56" s="12"/>
      <c r="MTB56" s="12"/>
      <c r="MTC56" s="12"/>
      <c r="MTD56" s="12"/>
      <c r="MTE56" s="12"/>
      <c r="MTF56" s="12"/>
      <c r="MTG56" s="12"/>
      <c r="MTH56" s="12"/>
      <c r="MTI56" s="12"/>
      <c r="MTJ56" s="12"/>
      <c r="MTK56" s="12"/>
      <c r="MTL56" s="12"/>
      <c r="MTM56" s="12"/>
      <c r="MTN56" s="12"/>
      <c r="MTO56" s="12"/>
      <c r="MTP56" s="12"/>
      <c r="MTQ56" s="12"/>
      <c r="MTR56" s="12"/>
      <c r="MTS56" s="12"/>
      <c r="MTT56" s="12"/>
      <c r="MTU56" s="12"/>
      <c r="MTV56" s="12"/>
      <c r="MTW56" s="12"/>
      <c r="MTX56" s="12"/>
      <c r="MTY56" s="12"/>
      <c r="MTZ56" s="12"/>
      <c r="MUA56" s="12"/>
      <c r="MUB56" s="12"/>
      <c r="MUC56" s="12"/>
      <c r="MUD56" s="12"/>
      <c r="MUE56" s="12"/>
      <c r="MUF56" s="12"/>
      <c r="MUG56" s="12"/>
      <c r="MUH56" s="12"/>
      <c r="MUI56" s="12"/>
      <c r="MUJ56" s="12"/>
      <c r="MUK56" s="12"/>
      <c r="MUL56" s="12"/>
      <c r="MUM56" s="12"/>
      <c r="MUN56" s="12"/>
      <c r="MUO56" s="12"/>
      <c r="MUP56" s="12"/>
      <c r="MUQ56" s="12"/>
      <c r="MUR56" s="12"/>
      <c r="MUS56" s="12"/>
      <c r="MUT56" s="12"/>
      <c r="MUU56" s="12"/>
      <c r="MUV56" s="12"/>
      <c r="MUW56" s="12"/>
      <c r="MUX56" s="12"/>
      <c r="MUY56" s="12"/>
      <c r="MUZ56" s="12"/>
      <c r="MVA56" s="12"/>
      <c r="MVB56" s="12"/>
      <c r="MVC56" s="12"/>
      <c r="MVD56" s="12"/>
      <c r="MVE56" s="12"/>
      <c r="MVF56" s="12"/>
      <c r="MVG56" s="12"/>
      <c r="MVH56" s="12"/>
      <c r="MVI56" s="12"/>
      <c r="MVJ56" s="12"/>
      <c r="MVK56" s="12"/>
      <c r="MVL56" s="12"/>
      <c r="MVM56" s="12"/>
      <c r="MVN56" s="12"/>
      <c r="MVO56" s="12"/>
      <c r="MVP56" s="12"/>
      <c r="MVQ56" s="12"/>
      <c r="MVR56" s="12"/>
      <c r="MVS56" s="12"/>
      <c r="MVT56" s="12"/>
      <c r="MVU56" s="12"/>
      <c r="MVV56" s="12"/>
      <c r="MVW56" s="12"/>
      <c r="MVX56" s="12"/>
      <c r="MVY56" s="12"/>
      <c r="MVZ56" s="12"/>
      <c r="MWA56" s="12"/>
      <c r="MWB56" s="12"/>
      <c r="MWC56" s="12"/>
      <c r="MWD56" s="12"/>
      <c r="MWE56" s="12"/>
      <c r="MWF56" s="12"/>
      <c r="MWG56" s="12"/>
      <c r="MWH56" s="12"/>
      <c r="MWI56" s="12"/>
      <c r="MWJ56" s="12"/>
      <c r="MWK56" s="12"/>
      <c r="MWL56" s="12"/>
      <c r="MWM56" s="12"/>
      <c r="MWN56" s="12"/>
      <c r="MWO56" s="12"/>
      <c r="MWP56" s="12"/>
      <c r="MWQ56" s="12"/>
      <c r="MWR56" s="12"/>
      <c r="MWS56" s="12"/>
      <c r="MWT56" s="12"/>
      <c r="MWU56" s="12"/>
      <c r="MWV56" s="12"/>
      <c r="MWW56" s="12"/>
      <c r="MWX56" s="12"/>
      <c r="MWY56" s="12"/>
      <c r="MWZ56" s="12"/>
      <c r="MXA56" s="12"/>
      <c r="MXB56" s="12"/>
      <c r="MXC56" s="12"/>
      <c r="MXD56" s="12"/>
      <c r="MXE56" s="12"/>
      <c r="MXF56" s="12"/>
      <c r="MXG56" s="12"/>
      <c r="MXH56" s="12"/>
      <c r="MXI56" s="12"/>
      <c r="MXJ56" s="12"/>
      <c r="MXK56" s="12"/>
      <c r="MXL56" s="12"/>
      <c r="MXM56" s="12"/>
      <c r="MXN56" s="12"/>
      <c r="MXO56" s="12"/>
      <c r="MXP56" s="12"/>
      <c r="MXQ56" s="12"/>
      <c r="MXR56" s="12"/>
      <c r="MXS56" s="12"/>
      <c r="MXT56" s="12"/>
      <c r="MXU56" s="12"/>
      <c r="MXV56" s="12"/>
      <c r="MXW56" s="12"/>
      <c r="MXX56" s="12"/>
      <c r="MXY56" s="12"/>
      <c r="MXZ56" s="12"/>
      <c r="MYA56" s="12"/>
      <c r="MYB56" s="12"/>
      <c r="MYC56" s="12"/>
      <c r="MYD56" s="12"/>
      <c r="MYE56" s="12"/>
      <c r="MYF56" s="12"/>
      <c r="MYG56" s="12"/>
      <c r="MYH56" s="12"/>
      <c r="MYI56" s="12"/>
      <c r="MYJ56" s="12"/>
      <c r="MYK56" s="12"/>
      <c r="MYL56" s="12"/>
      <c r="MYM56" s="12"/>
      <c r="MYN56" s="12"/>
      <c r="MYO56" s="12"/>
      <c r="MYP56" s="12"/>
      <c r="MYQ56" s="12"/>
      <c r="MYR56" s="12"/>
      <c r="MYS56" s="12"/>
      <c r="MYT56" s="12"/>
      <c r="MYU56" s="12"/>
      <c r="MYV56" s="12"/>
      <c r="MYW56" s="12"/>
      <c r="MYX56" s="12"/>
      <c r="MYY56" s="12"/>
      <c r="MYZ56" s="12"/>
      <c r="MZA56" s="12"/>
      <c r="MZB56" s="12"/>
      <c r="MZC56" s="12"/>
      <c r="MZD56" s="12"/>
      <c r="MZE56" s="12"/>
      <c r="MZF56" s="12"/>
      <c r="MZG56" s="12"/>
      <c r="MZH56" s="12"/>
      <c r="MZI56" s="12"/>
      <c r="MZJ56" s="12"/>
      <c r="MZK56" s="12"/>
      <c r="MZL56" s="12"/>
      <c r="MZM56" s="12"/>
      <c r="MZN56" s="12"/>
      <c r="MZO56" s="12"/>
      <c r="MZP56" s="12"/>
      <c r="MZQ56" s="12"/>
      <c r="MZR56" s="12"/>
      <c r="MZS56" s="12"/>
      <c r="MZT56" s="12"/>
      <c r="MZU56" s="12"/>
      <c r="MZV56" s="12"/>
      <c r="MZW56" s="12"/>
      <c r="MZX56" s="12"/>
      <c r="MZY56" s="12"/>
      <c r="MZZ56" s="12"/>
      <c r="NAA56" s="12"/>
      <c r="NAB56" s="12"/>
      <c r="NAC56" s="12"/>
      <c r="NAD56" s="12"/>
      <c r="NAE56" s="12"/>
      <c r="NAF56" s="12"/>
      <c r="NAG56" s="12"/>
      <c r="NAH56" s="12"/>
      <c r="NAI56" s="12"/>
      <c r="NAJ56" s="12"/>
      <c r="NAK56" s="12"/>
      <c r="NAL56" s="12"/>
      <c r="NAM56" s="12"/>
      <c r="NAN56" s="12"/>
      <c r="NAO56" s="12"/>
      <c r="NAP56" s="12"/>
      <c r="NAQ56" s="12"/>
      <c r="NAR56" s="12"/>
      <c r="NAS56" s="12"/>
      <c r="NAT56" s="12"/>
      <c r="NAU56" s="12"/>
      <c r="NAV56" s="12"/>
      <c r="NAW56" s="12"/>
      <c r="NAX56" s="12"/>
      <c r="NAY56" s="12"/>
      <c r="NAZ56" s="12"/>
      <c r="NBA56" s="12"/>
      <c r="NBB56" s="12"/>
      <c r="NBC56" s="12"/>
      <c r="NBD56" s="12"/>
      <c r="NBE56" s="12"/>
      <c r="NBF56" s="12"/>
      <c r="NBG56" s="12"/>
      <c r="NBH56" s="12"/>
      <c r="NBI56" s="12"/>
      <c r="NBJ56" s="12"/>
      <c r="NBK56" s="12"/>
      <c r="NBL56" s="12"/>
      <c r="NBM56" s="12"/>
      <c r="NBN56" s="12"/>
      <c r="NBO56" s="12"/>
      <c r="NBP56" s="12"/>
      <c r="NBQ56" s="12"/>
      <c r="NBR56" s="12"/>
      <c r="NBS56" s="12"/>
      <c r="NBT56" s="12"/>
      <c r="NBU56" s="12"/>
      <c r="NBV56" s="12"/>
      <c r="NBW56" s="12"/>
      <c r="NBX56" s="12"/>
      <c r="NBY56" s="12"/>
      <c r="NBZ56" s="12"/>
      <c r="NCA56" s="12"/>
      <c r="NCB56" s="12"/>
      <c r="NCC56" s="12"/>
      <c r="NCD56" s="12"/>
      <c r="NCE56" s="12"/>
      <c r="NCF56" s="12"/>
      <c r="NCG56" s="12"/>
      <c r="NCH56" s="12"/>
      <c r="NCI56" s="12"/>
      <c r="NCJ56" s="12"/>
      <c r="NCK56" s="12"/>
      <c r="NCL56" s="12"/>
      <c r="NCM56" s="12"/>
      <c r="NCN56" s="12"/>
      <c r="NCO56" s="12"/>
      <c r="NCP56" s="12"/>
      <c r="NCQ56" s="12"/>
      <c r="NCR56" s="12"/>
      <c r="NCS56" s="12"/>
      <c r="NCT56" s="12"/>
      <c r="NCU56" s="12"/>
      <c r="NCV56" s="12"/>
      <c r="NCW56" s="12"/>
      <c r="NCX56" s="12"/>
      <c r="NCY56" s="12"/>
      <c r="NCZ56" s="12"/>
      <c r="NDA56" s="12"/>
      <c r="NDB56" s="12"/>
      <c r="NDC56" s="12"/>
      <c r="NDD56" s="12"/>
      <c r="NDE56" s="12"/>
      <c r="NDF56" s="12"/>
      <c r="NDG56" s="12"/>
      <c r="NDH56" s="12"/>
      <c r="NDI56" s="12"/>
      <c r="NDJ56" s="12"/>
      <c r="NDK56" s="12"/>
      <c r="NDL56" s="12"/>
      <c r="NDM56" s="12"/>
      <c r="NDN56" s="12"/>
      <c r="NDO56" s="12"/>
      <c r="NDP56" s="12"/>
      <c r="NDQ56" s="12"/>
      <c r="NDR56" s="12"/>
      <c r="NDS56" s="12"/>
      <c r="NDT56" s="12"/>
      <c r="NDU56" s="12"/>
      <c r="NDV56" s="12"/>
      <c r="NDW56" s="12"/>
      <c r="NDX56" s="12"/>
      <c r="NDY56" s="12"/>
      <c r="NDZ56" s="12"/>
      <c r="NEA56" s="12"/>
      <c r="NEB56" s="12"/>
      <c r="NEC56" s="12"/>
      <c r="NED56" s="12"/>
      <c r="NEE56" s="12"/>
      <c r="NEF56" s="12"/>
      <c r="NEG56" s="12"/>
      <c r="NEH56" s="12"/>
      <c r="NEI56" s="12"/>
      <c r="NEJ56" s="12"/>
      <c r="NEK56" s="12"/>
      <c r="NEL56" s="12"/>
      <c r="NEM56" s="12"/>
      <c r="NEN56" s="12"/>
      <c r="NEO56" s="12"/>
      <c r="NEP56" s="12"/>
      <c r="NEQ56" s="12"/>
      <c r="NER56" s="12"/>
      <c r="NES56" s="12"/>
      <c r="NET56" s="12"/>
      <c r="NEU56" s="12"/>
      <c r="NEV56" s="12"/>
      <c r="NEW56" s="12"/>
      <c r="NEX56" s="12"/>
      <c r="NEY56" s="12"/>
      <c r="NEZ56" s="12"/>
      <c r="NFA56" s="12"/>
      <c r="NFB56" s="12"/>
      <c r="NFC56" s="12"/>
      <c r="NFD56" s="12"/>
      <c r="NFE56" s="12"/>
      <c r="NFF56" s="12"/>
      <c r="NFG56" s="12"/>
      <c r="NFH56" s="12"/>
      <c r="NFI56" s="12"/>
      <c r="NFJ56" s="12"/>
      <c r="NFK56" s="12"/>
      <c r="NFL56" s="12"/>
      <c r="NFM56" s="12"/>
      <c r="NFN56" s="12"/>
      <c r="NFO56" s="12"/>
      <c r="NFP56" s="12"/>
      <c r="NFQ56" s="12"/>
      <c r="NFR56" s="12"/>
      <c r="NFS56" s="12"/>
      <c r="NFT56" s="12"/>
      <c r="NFU56" s="12"/>
      <c r="NFV56" s="12"/>
      <c r="NFW56" s="12"/>
      <c r="NFX56" s="12"/>
      <c r="NFY56" s="12"/>
      <c r="NFZ56" s="12"/>
      <c r="NGA56" s="12"/>
      <c r="NGB56" s="12"/>
      <c r="NGC56" s="12"/>
      <c r="NGD56" s="12"/>
      <c r="NGE56" s="12"/>
      <c r="NGF56" s="12"/>
      <c r="NGG56" s="12"/>
      <c r="NGH56" s="12"/>
      <c r="NGI56" s="12"/>
      <c r="NGJ56" s="12"/>
      <c r="NGK56" s="12"/>
      <c r="NGL56" s="12"/>
      <c r="NGM56" s="12"/>
      <c r="NGN56" s="12"/>
      <c r="NGO56" s="12"/>
      <c r="NGP56" s="12"/>
      <c r="NGQ56" s="12"/>
      <c r="NGR56" s="12"/>
      <c r="NGS56" s="12"/>
      <c r="NGT56" s="12"/>
      <c r="NGU56" s="12"/>
      <c r="NGV56" s="12"/>
      <c r="NGW56" s="12"/>
      <c r="NGX56" s="12"/>
      <c r="NGY56" s="12"/>
      <c r="NGZ56" s="12"/>
      <c r="NHA56" s="12"/>
      <c r="NHB56" s="12"/>
      <c r="NHC56" s="12"/>
      <c r="NHD56" s="12"/>
      <c r="NHE56" s="12"/>
      <c r="NHF56" s="12"/>
      <c r="NHG56" s="12"/>
      <c r="NHH56" s="12"/>
      <c r="NHI56" s="12"/>
      <c r="NHJ56" s="12"/>
      <c r="NHK56" s="12"/>
      <c r="NHL56" s="12"/>
      <c r="NHM56" s="12"/>
      <c r="NHN56" s="12"/>
      <c r="NHO56" s="12"/>
      <c r="NHP56" s="12"/>
      <c r="NHQ56" s="12"/>
      <c r="NHR56" s="12"/>
      <c r="NHS56" s="12"/>
      <c r="NHT56" s="12"/>
      <c r="NHU56" s="12"/>
      <c r="NHV56" s="12"/>
      <c r="NHW56" s="12"/>
      <c r="NHX56" s="12"/>
      <c r="NHY56" s="12"/>
      <c r="NHZ56" s="12"/>
      <c r="NIA56" s="12"/>
      <c r="NIB56" s="12"/>
      <c r="NIC56" s="12"/>
      <c r="NID56" s="12"/>
      <c r="NIE56" s="12"/>
      <c r="NIF56" s="12"/>
      <c r="NIG56" s="12"/>
      <c r="NIH56" s="12"/>
      <c r="NII56" s="12"/>
      <c r="NIJ56" s="12"/>
      <c r="NIK56" s="12"/>
      <c r="NIL56" s="12"/>
      <c r="NIM56" s="12"/>
      <c r="NIN56" s="12"/>
      <c r="NIO56" s="12"/>
      <c r="NIP56" s="12"/>
      <c r="NIQ56" s="12"/>
      <c r="NIR56" s="12"/>
      <c r="NIS56" s="12"/>
      <c r="NIT56" s="12"/>
      <c r="NIU56" s="12"/>
      <c r="NIV56" s="12"/>
      <c r="NIW56" s="12"/>
      <c r="NIX56" s="12"/>
      <c r="NIY56" s="12"/>
      <c r="NIZ56" s="12"/>
      <c r="NJA56" s="12"/>
      <c r="NJB56" s="12"/>
      <c r="NJC56" s="12"/>
      <c r="NJD56" s="12"/>
      <c r="NJE56" s="12"/>
      <c r="NJF56" s="12"/>
      <c r="NJG56" s="12"/>
      <c r="NJH56" s="12"/>
      <c r="NJI56" s="12"/>
      <c r="NJJ56" s="12"/>
      <c r="NJK56" s="12"/>
      <c r="NJL56" s="12"/>
      <c r="NJM56" s="12"/>
      <c r="NJN56" s="12"/>
      <c r="NJO56" s="12"/>
      <c r="NJP56" s="12"/>
      <c r="NJQ56" s="12"/>
      <c r="NJR56" s="12"/>
      <c r="NJS56" s="12"/>
      <c r="NJT56" s="12"/>
      <c r="NJU56" s="12"/>
      <c r="NJV56" s="12"/>
      <c r="NJW56" s="12"/>
      <c r="NJX56" s="12"/>
      <c r="NJY56" s="12"/>
      <c r="NJZ56" s="12"/>
      <c r="NKA56" s="12"/>
      <c r="NKB56" s="12"/>
      <c r="NKC56" s="12"/>
      <c r="NKD56" s="12"/>
      <c r="NKE56" s="12"/>
      <c r="NKF56" s="12"/>
      <c r="NKG56" s="12"/>
      <c r="NKH56" s="12"/>
      <c r="NKI56" s="12"/>
      <c r="NKJ56" s="12"/>
      <c r="NKK56" s="12"/>
      <c r="NKL56" s="12"/>
      <c r="NKM56" s="12"/>
      <c r="NKN56" s="12"/>
      <c r="NKO56" s="12"/>
      <c r="NKP56" s="12"/>
      <c r="NKQ56" s="12"/>
      <c r="NKR56" s="12"/>
      <c r="NKS56" s="12"/>
      <c r="NKT56" s="12"/>
      <c r="NKU56" s="12"/>
      <c r="NKV56" s="12"/>
      <c r="NKW56" s="12"/>
      <c r="NKX56" s="12"/>
      <c r="NKY56" s="12"/>
      <c r="NKZ56" s="12"/>
      <c r="NLA56" s="12"/>
      <c r="NLB56" s="12"/>
      <c r="NLC56" s="12"/>
      <c r="NLD56" s="12"/>
      <c r="NLE56" s="12"/>
      <c r="NLF56" s="12"/>
      <c r="NLG56" s="12"/>
      <c r="NLH56" s="12"/>
      <c r="NLI56" s="12"/>
      <c r="NLJ56" s="12"/>
      <c r="NLK56" s="12"/>
      <c r="NLL56" s="12"/>
      <c r="NLM56" s="12"/>
      <c r="NLN56" s="12"/>
      <c r="NLO56" s="12"/>
      <c r="NLP56" s="12"/>
      <c r="NLQ56" s="12"/>
      <c r="NLR56" s="12"/>
      <c r="NLS56" s="12"/>
      <c r="NLT56" s="12"/>
      <c r="NLU56" s="12"/>
      <c r="NLV56" s="12"/>
      <c r="NLW56" s="12"/>
      <c r="NLX56" s="12"/>
      <c r="NLY56" s="12"/>
      <c r="NLZ56" s="12"/>
      <c r="NMA56" s="12"/>
      <c r="NMB56" s="12"/>
      <c r="NMC56" s="12"/>
      <c r="NMD56" s="12"/>
      <c r="NME56" s="12"/>
      <c r="NMF56" s="12"/>
      <c r="NMG56" s="12"/>
      <c r="NMH56" s="12"/>
      <c r="NMI56" s="12"/>
      <c r="NMJ56" s="12"/>
      <c r="NMK56" s="12"/>
      <c r="NML56" s="12"/>
      <c r="NMM56" s="12"/>
      <c r="NMN56" s="12"/>
      <c r="NMO56" s="12"/>
      <c r="NMP56" s="12"/>
      <c r="NMQ56" s="12"/>
      <c r="NMR56" s="12"/>
      <c r="NMS56" s="12"/>
      <c r="NMT56" s="12"/>
      <c r="NMU56" s="12"/>
      <c r="NMV56" s="12"/>
      <c r="NMW56" s="12"/>
      <c r="NMX56" s="12"/>
      <c r="NMY56" s="12"/>
      <c r="NMZ56" s="12"/>
      <c r="NNA56" s="12"/>
      <c r="NNB56" s="12"/>
      <c r="NNC56" s="12"/>
      <c r="NND56" s="12"/>
      <c r="NNE56" s="12"/>
      <c r="NNF56" s="12"/>
      <c r="NNG56" s="12"/>
      <c r="NNH56" s="12"/>
      <c r="NNI56" s="12"/>
      <c r="NNJ56" s="12"/>
      <c r="NNK56" s="12"/>
      <c r="NNL56" s="12"/>
      <c r="NNM56" s="12"/>
      <c r="NNN56" s="12"/>
      <c r="NNO56" s="12"/>
      <c r="NNP56" s="12"/>
      <c r="NNQ56" s="12"/>
      <c r="NNR56" s="12"/>
      <c r="NNS56" s="12"/>
      <c r="NNT56" s="12"/>
      <c r="NNU56" s="12"/>
      <c r="NNV56" s="12"/>
      <c r="NNW56" s="12"/>
      <c r="NNX56" s="12"/>
      <c r="NNY56" s="12"/>
      <c r="NNZ56" s="12"/>
      <c r="NOA56" s="12"/>
      <c r="NOB56" s="12"/>
      <c r="NOC56" s="12"/>
      <c r="NOD56" s="12"/>
      <c r="NOE56" s="12"/>
      <c r="NOF56" s="12"/>
      <c r="NOG56" s="12"/>
      <c r="NOH56" s="12"/>
      <c r="NOI56" s="12"/>
      <c r="NOJ56" s="12"/>
      <c r="NOK56" s="12"/>
      <c r="NOL56" s="12"/>
      <c r="NOM56" s="12"/>
      <c r="NON56" s="12"/>
      <c r="NOO56" s="12"/>
      <c r="NOP56" s="12"/>
      <c r="NOQ56" s="12"/>
      <c r="NOR56" s="12"/>
      <c r="NOS56" s="12"/>
      <c r="NOT56" s="12"/>
      <c r="NOU56" s="12"/>
      <c r="NOV56" s="12"/>
      <c r="NOW56" s="12"/>
      <c r="NOX56" s="12"/>
      <c r="NOY56" s="12"/>
      <c r="NOZ56" s="12"/>
      <c r="NPA56" s="12"/>
      <c r="NPB56" s="12"/>
      <c r="NPC56" s="12"/>
      <c r="NPD56" s="12"/>
      <c r="NPE56" s="12"/>
      <c r="NPF56" s="12"/>
      <c r="NPG56" s="12"/>
      <c r="NPH56" s="12"/>
      <c r="NPI56" s="12"/>
      <c r="NPJ56" s="12"/>
      <c r="NPK56" s="12"/>
      <c r="NPL56" s="12"/>
      <c r="NPM56" s="12"/>
      <c r="NPN56" s="12"/>
      <c r="NPO56" s="12"/>
      <c r="NPP56" s="12"/>
      <c r="NPQ56" s="12"/>
      <c r="NPR56" s="12"/>
      <c r="NPS56" s="12"/>
      <c r="NPT56" s="12"/>
      <c r="NPU56" s="12"/>
      <c r="NPV56" s="12"/>
      <c r="NPW56" s="12"/>
      <c r="NPX56" s="12"/>
      <c r="NPY56" s="12"/>
      <c r="NPZ56" s="12"/>
      <c r="NQA56" s="12"/>
      <c r="NQB56" s="12"/>
      <c r="NQC56" s="12"/>
      <c r="NQD56" s="12"/>
      <c r="NQE56" s="12"/>
      <c r="NQF56" s="12"/>
      <c r="NQG56" s="12"/>
      <c r="NQH56" s="12"/>
      <c r="NQI56" s="12"/>
      <c r="NQJ56" s="12"/>
      <c r="NQK56" s="12"/>
      <c r="NQL56" s="12"/>
      <c r="NQM56" s="12"/>
      <c r="NQN56" s="12"/>
      <c r="NQO56" s="12"/>
      <c r="NQP56" s="12"/>
      <c r="NQQ56" s="12"/>
      <c r="NQR56" s="12"/>
      <c r="NQS56" s="12"/>
      <c r="NQT56" s="12"/>
      <c r="NQU56" s="12"/>
      <c r="NQV56" s="12"/>
      <c r="NQW56" s="12"/>
      <c r="NQX56" s="12"/>
      <c r="NQY56" s="12"/>
      <c r="NQZ56" s="12"/>
      <c r="NRA56" s="12"/>
      <c r="NRB56" s="12"/>
      <c r="NRC56" s="12"/>
      <c r="NRD56" s="12"/>
      <c r="NRE56" s="12"/>
      <c r="NRF56" s="12"/>
      <c r="NRG56" s="12"/>
      <c r="NRH56" s="12"/>
      <c r="NRI56" s="12"/>
      <c r="NRJ56" s="12"/>
      <c r="NRK56" s="12"/>
      <c r="NRL56" s="12"/>
      <c r="NRM56" s="12"/>
      <c r="NRN56" s="12"/>
      <c r="NRO56" s="12"/>
      <c r="NRP56" s="12"/>
      <c r="NRQ56" s="12"/>
      <c r="NRR56" s="12"/>
      <c r="NRS56" s="12"/>
      <c r="NRT56" s="12"/>
      <c r="NRU56" s="12"/>
      <c r="NRV56" s="12"/>
      <c r="NRW56" s="12"/>
      <c r="NRX56" s="12"/>
      <c r="NRY56" s="12"/>
      <c r="NRZ56" s="12"/>
      <c r="NSA56" s="12"/>
      <c r="NSB56" s="12"/>
      <c r="NSC56" s="12"/>
      <c r="NSD56" s="12"/>
      <c r="NSE56" s="12"/>
      <c r="NSF56" s="12"/>
      <c r="NSG56" s="12"/>
      <c r="NSH56" s="12"/>
      <c r="NSI56" s="12"/>
      <c r="NSJ56" s="12"/>
      <c r="NSK56" s="12"/>
      <c r="NSL56" s="12"/>
      <c r="NSM56" s="12"/>
      <c r="NSN56" s="12"/>
      <c r="NSO56" s="12"/>
      <c r="NSP56" s="12"/>
      <c r="NSQ56" s="12"/>
      <c r="NSR56" s="12"/>
      <c r="NSS56" s="12"/>
      <c r="NST56" s="12"/>
      <c r="NSU56" s="12"/>
      <c r="NSV56" s="12"/>
      <c r="NSW56" s="12"/>
      <c r="NSX56" s="12"/>
      <c r="NSY56" s="12"/>
      <c r="NSZ56" s="12"/>
      <c r="NTA56" s="12"/>
      <c r="NTB56" s="12"/>
      <c r="NTC56" s="12"/>
      <c r="NTD56" s="12"/>
      <c r="NTE56" s="12"/>
      <c r="NTF56" s="12"/>
      <c r="NTG56" s="12"/>
      <c r="NTH56" s="12"/>
      <c r="NTI56" s="12"/>
      <c r="NTJ56" s="12"/>
      <c r="NTK56" s="12"/>
      <c r="NTL56" s="12"/>
      <c r="NTM56" s="12"/>
      <c r="NTN56" s="12"/>
      <c r="NTO56" s="12"/>
      <c r="NTP56" s="12"/>
      <c r="NTQ56" s="12"/>
      <c r="NTR56" s="12"/>
      <c r="NTS56" s="12"/>
      <c r="NTT56" s="12"/>
      <c r="NTU56" s="12"/>
      <c r="NTV56" s="12"/>
      <c r="NTW56" s="12"/>
      <c r="NTX56" s="12"/>
      <c r="NTY56" s="12"/>
      <c r="NTZ56" s="12"/>
      <c r="NUA56" s="12"/>
      <c r="NUB56" s="12"/>
      <c r="NUC56" s="12"/>
      <c r="NUD56" s="12"/>
      <c r="NUE56" s="12"/>
      <c r="NUF56" s="12"/>
      <c r="NUG56" s="12"/>
      <c r="NUH56" s="12"/>
      <c r="NUI56" s="12"/>
      <c r="NUJ56" s="12"/>
      <c r="NUK56" s="12"/>
      <c r="NUL56" s="12"/>
      <c r="NUM56" s="12"/>
      <c r="NUN56" s="12"/>
      <c r="NUO56" s="12"/>
      <c r="NUP56" s="12"/>
      <c r="NUQ56" s="12"/>
      <c r="NUR56" s="12"/>
      <c r="NUS56" s="12"/>
      <c r="NUT56" s="12"/>
      <c r="NUU56" s="12"/>
      <c r="NUV56" s="12"/>
      <c r="NUW56" s="12"/>
      <c r="NUX56" s="12"/>
      <c r="NUY56" s="12"/>
      <c r="NUZ56" s="12"/>
      <c r="NVA56" s="12"/>
      <c r="NVB56" s="12"/>
      <c r="NVC56" s="12"/>
      <c r="NVD56" s="12"/>
      <c r="NVE56" s="12"/>
      <c r="NVF56" s="12"/>
      <c r="NVG56" s="12"/>
      <c r="NVH56" s="12"/>
      <c r="NVI56" s="12"/>
      <c r="NVJ56" s="12"/>
      <c r="NVK56" s="12"/>
      <c r="NVL56" s="12"/>
      <c r="NVM56" s="12"/>
      <c r="NVN56" s="12"/>
      <c r="NVO56" s="12"/>
      <c r="NVP56" s="12"/>
      <c r="NVQ56" s="12"/>
      <c r="NVR56" s="12"/>
      <c r="NVS56" s="12"/>
      <c r="NVT56" s="12"/>
      <c r="NVU56" s="12"/>
      <c r="NVV56" s="12"/>
      <c r="NVW56" s="12"/>
      <c r="NVX56" s="12"/>
      <c r="NVY56" s="12"/>
      <c r="NVZ56" s="12"/>
      <c r="NWA56" s="12"/>
      <c r="NWB56" s="12"/>
      <c r="NWC56" s="12"/>
      <c r="NWD56" s="12"/>
      <c r="NWE56" s="12"/>
      <c r="NWF56" s="12"/>
      <c r="NWG56" s="12"/>
      <c r="NWH56" s="12"/>
      <c r="NWI56" s="12"/>
      <c r="NWJ56" s="12"/>
      <c r="NWK56" s="12"/>
      <c r="NWL56" s="12"/>
      <c r="NWM56" s="12"/>
      <c r="NWN56" s="12"/>
      <c r="NWO56" s="12"/>
      <c r="NWP56" s="12"/>
      <c r="NWQ56" s="12"/>
      <c r="NWR56" s="12"/>
      <c r="NWS56" s="12"/>
      <c r="NWT56" s="12"/>
      <c r="NWU56" s="12"/>
      <c r="NWV56" s="12"/>
      <c r="NWW56" s="12"/>
      <c r="NWX56" s="12"/>
      <c r="NWY56" s="12"/>
      <c r="NWZ56" s="12"/>
      <c r="NXA56" s="12"/>
      <c r="NXB56" s="12"/>
      <c r="NXC56" s="12"/>
      <c r="NXD56" s="12"/>
      <c r="NXE56" s="12"/>
      <c r="NXF56" s="12"/>
      <c r="NXG56" s="12"/>
      <c r="NXH56" s="12"/>
      <c r="NXI56" s="12"/>
      <c r="NXJ56" s="12"/>
      <c r="NXK56" s="12"/>
      <c r="NXL56" s="12"/>
      <c r="NXM56" s="12"/>
      <c r="NXN56" s="12"/>
      <c r="NXO56" s="12"/>
      <c r="NXP56" s="12"/>
      <c r="NXQ56" s="12"/>
      <c r="NXR56" s="12"/>
      <c r="NXS56" s="12"/>
      <c r="NXT56" s="12"/>
      <c r="NXU56" s="12"/>
      <c r="NXV56" s="12"/>
      <c r="NXW56" s="12"/>
      <c r="NXX56" s="12"/>
      <c r="NXY56" s="12"/>
      <c r="NXZ56" s="12"/>
      <c r="NYA56" s="12"/>
      <c r="NYB56" s="12"/>
      <c r="NYC56" s="12"/>
      <c r="NYD56" s="12"/>
      <c r="NYE56" s="12"/>
      <c r="NYF56" s="12"/>
      <c r="NYG56" s="12"/>
      <c r="NYH56" s="12"/>
      <c r="NYI56" s="12"/>
      <c r="NYJ56" s="12"/>
      <c r="NYK56" s="12"/>
      <c r="NYL56" s="12"/>
      <c r="NYM56" s="12"/>
      <c r="NYN56" s="12"/>
      <c r="NYO56" s="12"/>
      <c r="NYP56" s="12"/>
      <c r="NYQ56" s="12"/>
      <c r="NYR56" s="12"/>
      <c r="NYS56" s="12"/>
      <c r="NYT56" s="12"/>
      <c r="NYU56" s="12"/>
      <c r="NYV56" s="12"/>
      <c r="NYW56" s="12"/>
      <c r="NYX56" s="12"/>
      <c r="NYY56" s="12"/>
      <c r="NYZ56" s="12"/>
      <c r="NZA56" s="12"/>
      <c r="NZB56" s="12"/>
      <c r="NZC56" s="12"/>
      <c r="NZD56" s="12"/>
      <c r="NZE56" s="12"/>
      <c r="NZF56" s="12"/>
      <c r="NZG56" s="12"/>
      <c r="NZH56" s="12"/>
      <c r="NZI56" s="12"/>
      <c r="NZJ56" s="12"/>
      <c r="NZK56" s="12"/>
      <c r="NZL56" s="12"/>
      <c r="NZM56" s="12"/>
      <c r="NZN56" s="12"/>
      <c r="NZO56" s="12"/>
      <c r="NZP56" s="12"/>
      <c r="NZQ56" s="12"/>
      <c r="NZR56" s="12"/>
      <c r="NZS56" s="12"/>
      <c r="NZT56" s="12"/>
      <c r="NZU56" s="12"/>
      <c r="NZV56" s="12"/>
      <c r="NZW56" s="12"/>
      <c r="NZX56" s="12"/>
      <c r="NZY56" s="12"/>
      <c r="NZZ56" s="12"/>
      <c r="OAA56" s="12"/>
      <c r="OAB56" s="12"/>
      <c r="OAC56" s="12"/>
      <c r="OAD56" s="12"/>
      <c r="OAE56" s="12"/>
      <c r="OAF56" s="12"/>
      <c r="OAG56" s="12"/>
      <c r="OAH56" s="12"/>
      <c r="OAI56" s="12"/>
      <c r="OAJ56" s="12"/>
      <c r="OAK56" s="12"/>
      <c r="OAL56" s="12"/>
      <c r="OAM56" s="12"/>
      <c r="OAN56" s="12"/>
      <c r="OAO56" s="12"/>
      <c r="OAP56" s="12"/>
      <c r="OAQ56" s="12"/>
      <c r="OAR56" s="12"/>
      <c r="OAS56" s="12"/>
      <c r="OAT56" s="12"/>
      <c r="OAU56" s="12"/>
      <c r="OAV56" s="12"/>
      <c r="OAW56" s="12"/>
      <c r="OAX56" s="12"/>
      <c r="OAY56" s="12"/>
      <c r="OAZ56" s="12"/>
      <c r="OBA56" s="12"/>
      <c r="OBB56" s="12"/>
      <c r="OBC56" s="12"/>
      <c r="OBD56" s="12"/>
      <c r="OBE56" s="12"/>
      <c r="OBF56" s="12"/>
      <c r="OBG56" s="12"/>
      <c r="OBH56" s="12"/>
      <c r="OBI56" s="12"/>
      <c r="OBJ56" s="12"/>
      <c r="OBK56" s="12"/>
      <c r="OBL56" s="12"/>
      <c r="OBM56" s="12"/>
      <c r="OBN56" s="12"/>
      <c r="OBO56" s="12"/>
      <c r="OBP56" s="12"/>
      <c r="OBQ56" s="12"/>
      <c r="OBR56" s="12"/>
      <c r="OBS56" s="12"/>
      <c r="OBT56" s="12"/>
      <c r="OBU56" s="12"/>
      <c r="OBV56" s="12"/>
      <c r="OBW56" s="12"/>
      <c r="OBX56" s="12"/>
      <c r="OBY56" s="12"/>
      <c r="OBZ56" s="12"/>
      <c r="OCA56" s="12"/>
      <c r="OCB56" s="12"/>
      <c r="OCC56" s="12"/>
      <c r="OCD56" s="12"/>
      <c r="OCE56" s="12"/>
      <c r="OCF56" s="12"/>
      <c r="OCG56" s="12"/>
      <c r="OCH56" s="12"/>
      <c r="OCI56" s="12"/>
      <c r="OCJ56" s="12"/>
      <c r="OCK56" s="12"/>
      <c r="OCL56" s="12"/>
      <c r="OCM56" s="12"/>
      <c r="OCN56" s="12"/>
      <c r="OCO56" s="12"/>
      <c r="OCP56" s="12"/>
      <c r="OCQ56" s="12"/>
      <c r="OCR56" s="12"/>
      <c r="OCS56" s="12"/>
      <c r="OCT56" s="12"/>
      <c r="OCU56" s="12"/>
      <c r="OCV56" s="12"/>
      <c r="OCW56" s="12"/>
      <c r="OCX56" s="12"/>
      <c r="OCY56" s="12"/>
      <c r="OCZ56" s="12"/>
      <c r="ODA56" s="12"/>
      <c r="ODB56" s="12"/>
      <c r="ODC56" s="12"/>
      <c r="ODD56" s="12"/>
      <c r="ODE56" s="12"/>
      <c r="ODF56" s="12"/>
      <c r="ODG56" s="12"/>
      <c r="ODH56" s="12"/>
      <c r="ODI56" s="12"/>
      <c r="ODJ56" s="12"/>
      <c r="ODK56" s="12"/>
      <c r="ODL56" s="12"/>
      <c r="ODM56" s="12"/>
      <c r="ODN56" s="12"/>
      <c r="ODO56" s="12"/>
      <c r="ODP56" s="12"/>
      <c r="ODQ56" s="12"/>
      <c r="ODR56" s="12"/>
      <c r="ODS56" s="12"/>
      <c r="ODT56" s="12"/>
      <c r="ODU56" s="12"/>
      <c r="ODV56" s="12"/>
      <c r="ODW56" s="12"/>
      <c r="ODX56" s="12"/>
      <c r="ODY56" s="12"/>
      <c r="ODZ56" s="12"/>
      <c r="OEA56" s="12"/>
      <c r="OEB56" s="12"/>
      <c r="OEC56" s="12"/>
      <c r="OED56" s="12"/>
      <c r="OEE56" s="12"/>
      <c r="OEF56" s="12"/>
      <c r="OEG56" s="12"/>
      <c r="OEH56" s="12"/>
      <c r="OEI56" s="12"/>
      <c r="OEJ56" s="12"/>
      <c r="OEK56" s="12"/>
      <c r="OEL56" s="12"/>
      <c r="OEM56" s="12"/>
      <c r="OEN56" s="12"/>
      <c r="OEO56" s="12"/>
      <c r="OEP56" s="12"/>
      <c r="OEQ56" s="12"/>
      <c r="OER56" s="12"/>
      <c r="OES56" s="12"/>
      <c r="OET56" s="12"/>
      <c r="OEU56" s="12"/>
      <c r="OEV56" s="12"/>
      <c r="OEW56" s="12"/>
      <c r="OEX56" s="12"/>
      <c r="OEY56" s="12"/>
      <c r="OEZ56" s="12"/>
      <c r="OFA56" s="12"/>
      <c r="OFB56" s="12"/>
      <c r="OFC56" s="12"/>
      <c r="OFD56" s="12"/>
      <c r="OFE56" s="12"/>
      <c r="OFF56" s="12"/>
      <c r="OFG56" s="12"/>
      <c r="OFH56" s="12"/>
      <c r="OFI56" s="12"/>
      <c r="OFJ56" s="12"/>
      <c r="OFK56" s="12"/>
      <c r="OFL56" s="12"/>
      <c r="OFM56" s="12"/>
      <c r="OFN56" s="12"/>
      <c r="OFO56" s="12"/>
      <c r="OFP56" s="12"/>
      <c r="OFQ56" s="12"/>
      <c r="OFR56" s="12"/>
      <c r="OFS56" s="12"/>
      <c r="OFT56" s="12"/>
      <c r="OFU56" s="12"/>
      <c r="OFV56" s="12"/>
      <c r="OFW56" s="12"/>
      <c r="OFX56" s="12"/>
      <c r="OFY56" s="12"/>
      <c r="OFZ56" s="12"/>
      <c r="OGA56" s="12"/>
      <c r="OGB56" s="12"/>
      <c r="OGC56" s="12"/>
      <c r="OGD56" s="12"/>
      <c r="OGE56" s="12"/>
      <c r="OGF56" s="12"/>
      <c r="OGG56" s="12"/>
      <c r="OGH56" s="12"/>
      <c r="OGI56" s="12"/>
      <c r="OGJ56" s="12"/>
      <c r="OGK56" s="12"/>
      <c r="OGL56" s="12"/>
      <c r="OGM56" s="12"/>
      <c r="OGN56" s="12"/>
      <c r="OGO56" s="12"/>
      <c r="OGP56" s="12"/>
      <c r="OGQ56" s="12"/>
      <c r="OGR56" s="12"/>
      <c r="OGS56" s="12"/>
      <c r="OGT56" s="12"/>
      <c r="OGU56" s="12"/>
      <c r="OGV56" s="12"/>
      <c r="OGW56" s="12"/>
      <c r="OGX56" s="12"/>
      <c r="OGY56" s="12"/>
      <c r="OGZ56" s="12"/>
      <c r="OHA56" s="12"/>
      <c r="OHB56" s="12"/>
      <c r="OHC56" s="12"/>
      <c r="OHD56" s="12"/>
      <c r="OHE56" s="12"/>
      <c r="OHF56" s="12"/>
      <c r="OHG56" s="12"/>
      <c r="OHH56" s="12"/>
      <c r="OHI56" s="12"/>
      <c r="OHJ56" s="12"/>
      <c r="OHK56" s="12"/>
      <c r="OHL56" s="12"/>
      <c r="OHM56" s="12"/>
      <c r="OHN56" s="12"/>
      <c r="OHO56" s="12"/>
      <c r="OHP56" s="12"/>
      <c r="OHQ56" s="12"/>
      <c r="OHR56" s="12"/>
      <c r="OHS56" s="12"/>
      <c r="OHT56" s="12"/>
      <c r="OHU56" s="12"/>
      <c r="OHV56" s="12"/>
      <c r="OHW56" s="12"/>
      <c r="OHX56" s="12"/>
      <c r="OHY56" s="12"/>
      <c r="OHZ56" s="12"/>
      <c r="OIA56" s="12"/>
      <c r="OIB56" s="12"/>
      <c r="OIC56" s="12"/>
      <c r="OID56" s="12"/>
      <c r="OIE56" s="12"/>
      <c r="OIF56" s="12"/>
      <c r="OIG56" s="12"/>
      <c r="OIH56" s="12"/>
      <c r="OII56" s="12"/>
      <c r="OIJ56" s="12"/>
      <c r="OIK56" s="12"/>
      <c r="OIL56" s="12"/>
      <c r="OIM56" s="12"/>
      <c r="OIN56" s="12"/>
      <c r="OIO56" s="12"/>
      <c r="OIP56" s="12"/>
      <c r="OIQ56" s="12"/>
      <c r="OIR56" s="12"/>
      <c r="OIS56" s="12"/>
      <c r="OIT56" s="12"/>
      <c r="OIU56" s="12"/>
      <c r="OIV56" s="12"/>
      <c r="OIW56" s="12"/>
      <c r="OIX56" s="12"/>
      <c r="OIY56" s="12"/>
      <c r="OIZ56" s="12"/>
      <c r="OJA56" s="12"/>
      <c r="OJB56" s="12"/>
      <c r="OJC56" s="12"/>
      <c r="OJD56" s="12"/>
      <c r="OJE56" s="12"/>
      <c r="OJF56" s="12"/>
      <c r="OJG56" s="12"/>
      <c r="OJH56" s="12"/>
      <c r="OJI56" s="12"/>
      <c r="OJJ56" s="12"/>
      <c r="OJK56" s="12"/>
      <c r="OJL56" s="12"/>
      <c r="OJM56" s="12"/>
      <c r="OJN56" s="12"/>
      <c r="OJO56" s="12"/>
      <c r="OJP56" s="12"/>
      <c r="OJQ56" s="12"/>
      <c r="OJR56" s="12"/>
      <c r="OJS56" s="12"/>
      <c r="OJT56" s="12"/>
      <c r="OJU56" s="12"/>
      <c r="OJV56" s="12"/>
      <c r="OJW56" s="12"/>
      <c r="OJX56" s="12"/>
      <c r="OJY56" s="12"/>
      <c r="OJZ56" s="12"/>
      <c r="OKA56" s="12"/>
      <c r="OKB56" s="12"/>
      <c r="OKC56" s="12"/>
      <c r="OKD56" s="12"/>
      <c r="OKE56" s="12"/>
      <c r="OKF56" s="12"/>
      <c r="OKG56" s="12"/>
      <c r="OKH56" s="12"/>
      <c r="OKI56" s="12"/>
      <c r="OKJ56" s="12"/>
      <c r="OKK56" s="12"/>
      <c r="OKL56" s="12"/>
      <c r="OKM56" s="12"/>
      <c r="OKN56" s="12"/>
      <c r="OKO56" s="12"/>
      <c r="OKP56" s="12"/>
      <c r="OKQ56" s="12"/>
      <c r="OKR56" s="12"/>
      <c r="OKS56" s="12"/>
      <c r="OKT56" s="12"/>
      <c r="OKU56" s="12"/>
      <c r="OKV56" s="12"/>
      <c r="OKW56" s="12"/>
      <c r="OKX56" s="12"/>
      <c r="OKY56" s="12"/>
      <c r="OKZ56" s="12"/>
      <c r="OLA56" s="12"/>
      <c r="OLB56" s="12"/>
      <c r="OLC56" s="12"/>
      <c r="OLD56" s="12"/>
      <c r="OLE56" s="12"/>
      <c r="OLF56" s="12"/>
      <c r="OLG56" s="12"/>
      <c r="OLH56" s="12"/>
      <c r="OLI56" s="12"/>
      <c r="OLJ56" s="12"/>
      <c r="OLK56" s="12"/>
      <c r="OLL56" s="12"/>
      <c r="OLM56" s="12"/>
      <c r="OLN56" s="12"/>
      <c r="OLO56" s="12"/>
      <c r="OLP56" s="12"/>
      <c r="OLQ56" s="12"/>
      <c r="OLR56" s="12"/>
      <c r="OLS56" s="12"/>
      <c r="OLT56" s="12"/>
      <c r="OLU56" s="12"/>
      <c r="OLV56" s="12"/>
      <c r="OLW56" s="12"/>
      <c r="OLX56" s="12"/>
      <c r="OLY56" s="12"/>
      <c r="OLZ56" s="12"/>
      <c r="OMA56" s="12"/>
      <c r="OMB56" s="12"/>
      <c r="OMC56" s="12"/>
      <c r="OMD56" s="12"/>
      <c r="OME56" s="12"/>
      <c r="OMF56" s="12"/>
      <c r="OMG56" s="12"/>
      <c r="OMH56" s="12"/>
      <c r="OMI56" s="12"/>
      <c r="OMJ56" s="12"/>
      <c r="OMK56" s="12"/>
      <c r="OML56" s="12"/>
      <c r="OMM56" s="12"/>
      <c r="OMN56" s="12"/>
      <c r="OMO56" s="12"/>
      <c r="OMP56" s="12"/>
      <c r="OMQ56" s="12"/>
      <c r="OMR56" s="12"/>
      <c r="OMS56" s="12"/>
      <c r="OMT56" s="12"/>
      <c r="OMU56" s="12"/>
      <c r="OMV56" s="12"/>
      <c r="OMW56" s="12"/>
      <c r="OMX56" s="12"/>
      <c r="OMY56" s="12"/>
      <c r="OMZ56" s="12"/>
      <c r="ONA56" s="12"/>
      <c r="ONB56" s="12"/>
      <c r="ONC56" s="12"/>
      <c r="OND56" s="12"/>
      <c r="ONE56" s="12"/>
      <c r="ONF56" s="12"/>
      <c r="ONG56" s="12"/>
      <c r="ONH56" s="12"/>
      <c r="ONI56" s="12"/>
      <c r="ONJ56" s="12"/>
      <c r="ONK56" s="12"/>
      <c r="ONL56" s="12"/>
      <c r="ONM56" s="12"/>
      <c r="ONN56" s="12"/>
      <c r="ONO56" s="12"/>
      <c r="ONP56" s="12"/>
      <c r="ONQ56" s="12"/>
      <c r="ONR56" s="12"/>
      <c r="ONS56" s="12"/>
      <c r="ONT56" s="12"/>
      <c r="ONU56" s="12"/>
      <c r="ONV56" s="12"/>
      <c r="ONW56" s="12"/>
      <c r="ONX56" s="12"/>
      <c r="ONY56" s="12"/>
      <c r="ONZ56" s="12"/>
      <c r="OOA56" s="12"/>
      <c r="OOB56" s="12"/>
      <c r="OOC56" s="12"/>
      <c r="OOD56" s="12"/>
      <c r="OOE56" s="12"/>
      <c r="OOF56" s="12"/>
      <c r="OOG56" s="12"/>
      <c r="OOH56" s="12"/>
      <c r="OOI56" s="12"/>
      <c r="OOJ56" s="12"/>
      <c r="OOK56" s="12"/>
      <c r="OOL56" s="12"/>
      <c r="OOM56" s="12"/>
      <c r="OON56" s="12"/>
      <c r="OOO56" s="12"/>
      <c r="OOP56" s="12"/>
      <c r="OOQ56" s="12"/>
      <c r="OOR56" s="12"/>
      <c r="OOS56" s="12"/>
      <c r="OOT56" s="12"/>
      <c r="OOU56" s="12"/>
      <c r="OOV56" s="12"/>
      <c r="OOW56" s="12"/>
      <c r="OOX56" s="12"/>
      <c r="OOY56" s="12"/>
      <c r="OOZ56" s="12"/>
      <c r="OPA56" s="12"/>
      <c r="OPB56" s="12"/>
      <c r="OPC56" s="12"/>
      <c r="OPD56" s="12"/>
      <c r="OPE56" s="12"/>
      <c r="OPF56" s="12"/>
      <c r="OPG56" s="12"/>
      <c r="OPH56" s="12"/>
      <c r="OPI56" s="12"/>
      <c r="OPJ56" s="12"/>
      <c r="OPK56" s="12"/>
      <c r="OPL56" s="12"/>
      <c r="OPM56" s="12"/>
      <c r="OPN56" s="12"/>
      <c r="OPO56" s="12"/>
      <c r="OPP56" s="12"/>
      <c r="OPQ56" s="12"/>
      <c r="OPR56" s="12"/>
      <c r="OPS56" s="12"/>
      <c r="OPT56" s="12"/>
      <c r="OPU56" s="12"/>
      <c r="OPV56" s="12"/>
      <c r="OPW56" s="12"/>
      <c r="OPX56" s="12"/>
      <c r="OPY56" s="12"/>
      <c r="OPZ56" s="12"/>
      <c r="OQA56" s="12"/>
      <c r="OQB56" s="12"/>
      <c r="OQC56" s="12"/>
      <c r="OQD56" s="12"/>
      <c r="OQE56" s="12"/>
      <c r="OQF56" s="12"/>
      <c r="OQG56" s="12"/>
      <c r="OQH56" s="12"/>
      <c r="OQI56" s="12"/>
      <c r="OQJ56" s="12"/>
      <c r="OQK56" s="12"/>
      <c r="OQL56" s="12"/>
      <c r="OQM56" s="12"/>
      <c r="OQN56" s="12"/>
      <c r="OQO56" s="12"/>
      <c r="OQP56" s="12"/>
      <c r="OQQ56" s="12"/>
      <c r="OQR56" s="12"/>
      <c r="OQS56" s="12"/>
      <c r="OQT56" s="12"/>
      <c r="OQU56" s="12"/>
      <c r="OQV56" s="12"/>
      <c r="OQW56" s="12"/>
      <c r="OQX56" s="12"/>
      <c r="OQY56" s="12"/>
      <c r="OQZ56" s="12"/>
      <c r="ORA56" s="12"/>
      <c r="ORB56" s="12"/>
      <c r="ORC56" s="12"/>
      <c r="ORD56" s="12"/>
      <c r="ORE56" s="12"/>
      <c r="ORF56" s="12"/>
      <c r="ORG56" s="12"/>
      <c r="ORH56" s="12"/>
      <c r="ORI56" s="12"/>
      <c r="ORJ56" s="12"/>
      <c r="ORK56" s="12"/>
      <c r="ORL56" s="12"/>
      <c r="ORM56" s="12"/>
      <c r="ORN56" s="12"/>
      <c r="ORO56" s="12"/>
      <c r="ORP56" s="12"/>
      <c r="ORQ56" s="12"/>
      <c r="ORR56" s="12"/>
      <c r="ORS56" s="12"/>
      <c r="ORT56" s="12"/>
      <c r="ORU56" s="12"/>
      <c r="ORV56" s="12"/>
      <c r="ORW56" s="12"/>
      <c r="ORX56" s="12"/>
      <c r="ORY56" s="12"/>
      <c r="ORZ56" s="12"/>
      <c r="OSA56" s="12"/>
      <c r="OSB56" s="12"/>
      <c r="OSC56" s="12"/>
      <c r="OSD56" s="12"/>
      <c r="OSE56" s="12"/>
      <c r="OSF56" s="12"/>
      <c r="OSG56" s="12"/>
      <c r="OSH56" s="12"/>
      <c r="OSI56" s="12"/>
      <c r="OSJ56" s="12"/>
      <c r="OSK56" s="12"/>
      <c r="OSL56" s="12"/>
      <c r="OSM56" s="12"/>
      <c r="OSN56" s="12"/>
      <c r="OSO56" s="12"/>
      <c r="OSP56" s="12"/>
      <c r="OSQ56" s="12"/>
      <c r="OSR56" s="12"/>
      <c r="OSS56" s="12"/>
      <c r="OST56" s="12"/>
      <c r="OSU56" s="12"/>
      <c r="OSV56" s="12"/>
      <c r="OSW56" s="12"/>
      <c r="OSX56" s="12"/>
      <c r="OSY56" s="12"/>
      <c r="OSZ56" s="12"/>
      <c r="OTA56" s="12"/>
      <c r="OTB56" s="12"/>
      <c r="OTC56" s="12"/>
      <c r="OTD56" s="12"/>
      <c r="OTE56" s="12"/>
      <c r="OTF56" s="12"/>
      <c r="OTG56" s="12"/>
      <c r="OTH56" s="12"/>
      <c r="OTI56" s="12"/>
      <c r="OTJ56" s="12"/>
      <c r="OTK56" s="12"/>
      <c r="OTL56" s="12"/>
      <c r="OTM56" s="12"/>
      <c r="OTN56" s="12"/>
      <c r="OTO56" s="12"/>
      <c r="OTP56" s="12"/>
      <c r="OTQ56" s="12"/>
      <c r="OTR56" s="12"/>
      <c r="OTS56" s="12"/>
      <c r="OTT56" s="12"/>
      <c r="OTU56" s="12"/>
      <c r="OTV56" s="12"/>
      <c r="OTW56" s="12"/>
      <c r="OTX56" s="12"/>
      <c r="OTY56" s="12"/>
      <c r="OTZ56" s="12"/>
      <c r="OUA56" s="12"/>
      <c r="OUB56" s="12"/>
      <c r="OUC56" s="12"/>
      <c r="OUD56" s="12"/>
      <c r="OUE56" s="12"/>
      <c r="OUF56" s="12"/>
      <c r="OUG56" s="12"/>
      <c r="OUH56" s="12"/>
      <c r="OUI56" s="12"/>
      <c r="OUJ56" s="12"/>
      <c r="OUK56" s="12"/>
      <c r="OUL56" s="12"/>
      <c r="OUM56" s="12"/>
      <c r="OUN56" s="12"/>
      <c r="OUO56" s="12"/>
      <c r="OUP56" s="12"/>
      <c r="OUQ56" s="12"/>
      <c r="OUR56" s="12"/>
      <c r="OUS56" s="12"/>
      <c r="OUT56" s="12"/>
      <c r="OUU56" s="12"/>
      <c r="OUV56" s="12"/>
      <c r="OUW56" s="12"/>
      <c r="OUX56" s="12"/>
      <c r="OUY56" s="12"/>
      <c r="OUZ56" s="12"/>
      <c r="OVA56" s="12"/>
      <c r="OVB56" s="12"/>
      <c r="OVC56" s="12"/>
      <c r="OVD56" s="12"/>
      <c r="OVE56" s="12"/>
      <c r="OVF56" s="12"/>
      <c r="OVG56" s="12"/>
      <c r="OVH56" s="12"/>
      <c r="OVI56" s="12"/>
      <c r="OVJ56" s="12"/>
      <c r="OVK56" s="12"/>
      <c r="OVL56" s="12"/>
      <c r="OVM56" s="12"/>
      <c r="OVN56" s="12"/>
      <c r="OVO56" s="12"/>
      <c r="OVP56" s="12"/>
      <c r="OVQ56" s="12"/>
      <c r="OVR56" s="12"/>
      <c r="OVS56" s="12"/>
      <c r="OVT56" s="12"/>
      <c r="OVU56" s="12"/>
      <c r="OVV56" s="12"/>
      <c r="OVW56" s="12"/>
      <c r="OVX56" s="12"/>
      <c r="OVY56" s="12"/>
      <c r="OVZ56" s="12"/>
      <c r="OWA56" s="12"/>
      <c r="OWB56" s="12"/>
      <c r="OWC56" s="12"/>
      <c r="OWD56" s="12"/>
      <c r="OWE56" s="12"/>
      <c r="OWF56" s="12"/>
      <c r="OWG56" s="12"/>
      <c r="OWH56" s="12"/>
      <c r="OWI56" s="12"/>
      <c r="OWJ56" s="12"/>
      <c r="OWK56" s="12"/>
      <c r="OWL56" s="12"/>
      <c r="OWM56" s="12"/>
      <c r="OWN56" s="12"/>
      <c r="OWO56" s="12"/>
      <c r="OWP56" s="12"/>
      <c r="OWQ56" s="12"/>
      <c r="OWR56" s="12"/>
      <c r="OWS56" s="12"/>
      <c r="OWT56" s="12"/>
      <c r="OWU56" s="12"/>
      <c r="OWV56" s="12"/>
      <c r="OWW56" s="12"/>
      <c r="OWX56" s="12"/>
      <c r="OWY56" s="12"/>
      <c r="OWZ56" s="12"/>
      <c r="OXA56" s="12"/>
      <c r="OXB56" s="12"/>
      <c r="OXC56" s="12"/>
      <c r="OXD56" s="12"/>
      <c r="OXE56" s="12"/>
      <c r="OXF56" s="12"/>
      <c r="OXG56" s="12"/>
      <c r="OXH56" s="12"/>
      <c r="OXI56" s="12"/>
      <c r="OXJ56" s="12"/>
      <c r="OXK56" s="12"/>
      <c r="OXL56" s="12"/>
      <c r="OXM56" s="12"/>
      <c r="OXN56" s="12"/>
      <c r="OXO56" s="12"/>
      <c r="OXP56" s="12"/>
      <c r="OXQ56" s="12"/>
      <c r="OXR56" s="12"/>
      <c r="OXS56" s="12"/>
      <c r="OXT56" s="12"/>
      <c r="OXU56" s="12"/>
      <c r="OXV56" s="12"/>
      <c r="OXW56" s="12"/>
      <c r="OXX56" s="12"/>
      <c r="OXY56" s="12"/>
      <c r="OXZ56" s="12"/>
      <c r="OYA56" s="12"/>
      <c r="OYB56" s="12"/>
      <c r="OYC56" s="12"/>
      <c r="OYD56" s="12"/>
      <c r="OYE56" s="12"/>
      <c r="OYF56" s="12"/>
      <c r="OYG56" s="12"/>
      <c r="OYH56" s="12"/>
      <c r="OYI56" s="12"/>
      <c r="OYJ56" s="12"/>
      <c r="OYK56" s="12"/>
      <c r="OYL56" s="12"/>
      <c r="OYM56" s="12"/>
      <c r="OYN56" s="12"/>
      <c r="OYO56" s="12"/>
      <c r="OYP56" s="12"/>
      <c r="OYQ56" s="12"/>
      <c r="OYR56" s="12"/>
      <c r="OYS56" s="12"/>
      <c r="OYT56" s="12"/>
      <c r="OYU56" s="12"/>
      <c r="OYV56" s="12"/>
      <c r="OYW56" s="12"/>
      <c r="OYX56" s="12"/>
      <c r="OYY56" s="12"/>
      <c r="OYZ56" s="12"/>
      <c r="OZA56" s="12"/>
      <c r="OZB56" s="12"/>
      <c r="OZC56" s="12"/>
      <c r="OZD56" s="12"/>
      <c r="OZE56" s="12"/>
      <c r="OZF56" s="12"/>
      <c r="OZG56" s="12"/>
      <c r="OZH56" s="12"/>
      <c r="OZI56" s="12"/>
      <c r="OZJ56" s="12"/>
      <c r="OZK56" s="12"/>
      <c r="OZL56" s="12"/>
      <c r="OZM56" s="12"/>
      <c r="OZN56" s="12"/>
      <c r="OZO56" s="12"/>
      <c r="OZP56" s="12"/>
      <c r="OZQ56" s="12"/>
      <c r="OZR56" s="12"/>
      <c r="OZS56" s="12"/>
      <c r="OZT56" s="12"/>
      <c r="OZU56" s="12"/>
      <c r="OZV56" s="12"/>
      <c r="OZW56" s="12"/>
      <c r="OZX56" s="12"/>
      <c r="OZY56" s="12"/>
      <c r="OZZ56" s="12"/>
      <c r="PAA56" s="12"/>
      <c r="PAB56" s="12"/>
      <c r="PAC56" s="12"/>
      <c r="PAD56" s="12"/>
      <c r="PAE56" s="12"/>
      <c r="PAF56" s="12"/>
      <c r="PAG56" s="12"/>
      <c r="PAH56" s="12"/>
      <c r="PAI56" s="12"/>
      <c r="PAJ56" s="12"/>
      <c r="PAK56" s="12"/>
      <c r="PAL56" s="12"/>
      <c r="PAM56" s="12"/>
      <c r="PAN56" s="12"/>
      <c r="PAO56" s="12"/>
      <c r="PAP56" s="12"/>
      <c r="PAQ56" s="12"/>
      <c r="PAR56" s="12"/>
      <c r="PAS56" s="12"/>
      <c r="PAT56" s="12"/>
      <c r="PAU56" s="12"/>
      <c r="PAV56" s="12"/>
      <c r="PAW56" s="12"/>
      <c r="PAX56" s="12"/>
      <c r="PAY56" s="12"/>
      <c r="PAZ56" s="12"/>
      <c r="PBA56" s="12"/>
      <c r="PBB56" s="12"/>
      <c r="PBC56" s="12"/>
      <c r="PBD56" s="12"/>
      <c r="PBE56" s="12"/>
      <c r="PBF56" s="12"/>
      <c r="PBG56" s="12"/>
      <c r="PBH56" s="12"/>
      <c r="PBI56" s="12"/>
      <c r="PBJ56" s="12"/>
      <c r="PBK56" s="12"/>
      <c r="PBL56" s="12"/>
      <c r="PBM56" s="12"/>
      <c r="PBN56" s="12"/>
      <c r="PBO56" s="12"/>
      <c r="PBP56" s="12"/>
      <c r="PBQ56" s="12"/>
      <c r="PBR56" s="12"/>
      <c r="PBS56" s="12"/>
      <c r="PBT56" s="12"/>
      <c r="PBU56" s="12"/>
      <c r="PBV56" s="12"/>
      <c r="PBW56" s="12"/>
      <c r="PBX56" s="12"/>
      <c r="PBY56" s="12"/>
      <c r="PBZ56" s="12"/>
      <c r="PCA56" s="12"/>
      <c r="PCB56" s="12"/>
      <c r="PCC56" s="12"/>
      <c r="PCD56" s="12"/>
      <c r="PCE56" s="12"/>
      <c r="PCF56" s="12"/>
      <c r="PCG56" s="12"/>
      <c r="PCH56" s="12"/>
      <c r="PCI56" s="12"/>
      <c r="PCJ56" s="12"/>
      <c r="PCK56" s="12"/>
      <c r="PCL56" s="12"/>
      <c r="PCM56" s="12"/>
      <c r="PCN56" s="12"/>
      <c r="PCO56" s="12"/>
      <c r="PCP56" s="12"/>
      <c r="PCQ56" s="12"/>
      <c r="PCR56" s="12"/>
      <c r="PCS56" s="12"/>
      <c r="PCT56" s="12"/>
      <c r="PCU56" s="12"/>
      <c r="PCV56" s="12"/>
      <c r="PCW56" s="12"/>
      <c r="PCX56" s="12"/>
      <c r="PCY56" s="12"/>
      <c r="PCZ56" s="12"/>
      <c r="PDA56" s="12"/>
      <c r="PDB56" s="12"/>
      <c r="PDC56" s="12"/>
      <c r="PDD56" s="12"/>
      <c r="PDE56" s="12"/>
      <c r="PDF56" s="12"/>
      <c r="PDG56" s="12"/>
      <c r="PDH56" s="12"/>
      <c r="PDI56" s="12"/>
      <c r="PDJ56" s="12"/>
      <c r="PDK56" s="12"/>
      <c r="PDL56" s="12"/>
      <c r="PDM56" s="12"/>
      <c r="PDN56" s="12"/>
      <c r="PDO56" s="12"/>
      <c r="PDP56" s="12"/>
      <c r="PDQ56" s="12"/>
      <c r="PDR56" s="12"/>
      <c r="PDS56" s="12"/>
      <c r="PDT56" s="12"/>
      <c r="PDU56" s="12"/>
      <c r="PDV56" s="12"/>
      <c r="PDW56" s="12"/>
      <c r="PDX56" s="12"/>
      <c r="PDY56" s="12"/>
      <c r="PDZ56" s="12"/>
      <c r="PEA56" s="12"/>
      <c r="PEB56" s="12"/>
      <c r="PEC56" s="12"/>
      <c r="PED56" s="12"/>
      <c r="PEE56" s="12"/>
      <c r="PEF56" s="12"/>
      <c r="PEG56" s="12"/>
      <c r="PEH56" s="12"/>
      <c r="PEI56" s="12"/>
      <c r="PEJ56" s="12"/>
      <c r="PEK56" s="12"/>
      <c r="PEL56" s="12"/>
      <c r="PEM56" s="12"/>
      <c r="PEN56" s="12"/>
      <c r="PEO56" s="12"/>
      <c r="PEP56" s="12"/>
      <c r="PEQ56" s="12"/>
      <c r="PER56" s="12"/>
      <c r="PES56" s="12"/>
      <c r="PET56" s="12"/>
      <c r="PEU56" s="12"/>
      <c r="PEV56" s="12"/>
      <c r="PEW56" s="12"/>
      <c r="PEX56" s="12"/>
      <c r="PEY56" s="12"/>
      <c r="PEZ56" s="12"/>
      <c r="PFA56" s="12"/>
      <c r="PFB56" s="12"/>
      <c r="PFC56" s="12"/>
      <c r="PFD56" s="12"/>
      <c r="PFE56" s="12"/>
      <c r="PFF56" s="12"/>
      <c r="PFG56" s="12"/>
      <c r="PFH56" s="12"/>
      <c r="PFI56" s="12"/>
      <c r="PFJ56" s="12"/>
      <c r="PFK56" s="12"/>
      <c r="PFL56" s="12"/>
      <c r="PFM56" s="12"/>
      <c r="PFN56" s="12"/>
      <c r="PFO56" s="12"/>
      <c r="PFP56" s="12"/>
      <c r="PFQ56" s="12"/>
      <c r="PFR56" s="12"/>
      <c r="PFS56" s="12"/>
      <c r="PFT56" s="12"/>
      <c r="PFU56" s="12"/>
      <c r="PFV56" s="12"/>
      <c r="PFW56" s="12"/>
      <c r="PFX56" s="12"/>
      <c r="PFY56" s="12"/>
      <c r="PFZ56" s="12"/>
      <c r="PGA56" s="12"/>
      <c r="PGB56" s="12"/>
      <c r="PGC56" s="12"/>
      <c r="PGD56" s="12"/>
      <c r="PGE56" s="12"/>
      <c r="PGF56" s="12"/>
      <c r="PGG56" s="12"/>
      <c r="PGH56" s="12"/>
      <c r="PGI56" s="12"/>
      <c r="PGJ56" s="12"/>
      <c r="PGK56" s="12"/>
      <c r="PGL56" s="12"/>
      <c r="PGM56" s="12"/>
      <c r="PGN56" s="12"/>
      <c r="PGO56" s="12"/>
      <c r="PGP56" s="12"/>
      <c r="PGQ56" s="12"/>
      <c r="PGR56" s="12"/>
      <c r="PGS56" s="12"/>
      <c r="PGT56" s="12"/>
      <c r="PGU56" s="12"/>
      <c r="PGV56" s="12"/>
      <c r="PGW56" s="12"/>
      <c r="PGX56" s="12"/>
      <c r="PGY56" s="12"/>
      <c r="PGZ56" s="12"/>
      <c r="PHA56" s="12"/>
      <c r="PHB56" s="12"/>
      <c r="PHC56" s="12"/>
      <c r="PHD56" s="12"/>
      <c r="PHE56" s="12"/>
      <c r="PHF56" s="12"/>
      <c r="PHG56" s="12"/>
      <c r="PHH56" s="12"/>
      <c r="PHI56" s="12"/>
      <c r="PHJ56" s="12"/>
      <c r="PHK56" s="12"/>
      <c r="PHL56" s="12"/>
      <c r="PHM56" s="12"/>
      <c r="PHN56" s="12"/>
      <c r="PHO56" s="12"/>
      <c r="PHP56" s="12"/>
      <c r="PHQ56" s="12"/>
      <c r="PHR56" s="12"/>
      <c r="PHS56" s="12"/>
      <c r="PHT56" s="12"/>
      <c r="PHU56" s="12"/>
      <c r="PHV56" s="12"/>
      <c r="PHW56" s="12"/>
      <c r="PHX56" s="12"/>
      <c r="PHY56" s="12"/>
      <c r="PHZ56" s="12"/>
      <c r="PIA56" s="12"/>
      <c r="PIB56" s="12"/>
      <c r="PIC56" s="12"/>
      <c r="PID56" s="12"/>
      <c r="PIE56" s="12"/>
      <c r="PIF56" s="12"/>
      <c r="PIG56" s="12"/>
      <c r="PIH56" s="12"/>
      <c r="PII56" s="12"/>
      <c r="PIJ56" s="12"/>
      <c r="PIK56" s="12"/>
      <c r="PIL56" s="12"/>
      <c r="PIM56" s="12"/>
      <c r="PIN56" s="12"/>
      <c r="PIO56" s="12"/>
      <c r="PIP56" s="12"/>
      <c r="PIQ56" s="12"/>
      <c r="PIR56" s="12"/>
      <c r="PIS56" s="12"/>
      <c r="PIT56" s="12"/>
      <c r="PIU56" s="12"/>
      <c r="PIV56" s="12"/>
      <c r="PIW56" s="12"/>
      <c r="PIX56" s="12"/>
      <c r="PIY56" s="12"/>
      <c r="PIZ56" s="12"/>
      <c r="PJA56" s="12"/>
      <c r="PJB56" s="12"/>
      <c r="PJC56" s="12"/>
      <c r="PJD56" s="12"/>
      <c r="PJE56" s="12"/>
      <c r="PJF56" s="12"/>
      <c r="PJG56" s="12"/>
      <c r="PJH56" s="12"/>
      <c r="PJI56" s="12"/>
      <c r="PJJ56" s="12"/>
      <c r="PJK56" s="12"/>
      <c r="PJL56" s="12"/>
      <c r="PJM56" s="12"/>
      <c r="PJN56" s="12"/>
      <c r="PJO56" s="12"/>
      <c r="PJP56" s="12"/>
      <c r="PJQ56" s="12"/>
      <c r="PJR56" s="12"/>
      <c r="PJS56" s="12"/>
      <c r="PJT56" s="12"/>
      <c r="PJU56" s="12"/>
      <c r="PJV56" s="12"/>
      <c r="PJW56" s="12"/>
      <c r="PJX56" s="12"/>
      <c r="PJY56" s="12"/>
      <c r="PJZ56" s="12"/>
      <c r="PKA56" s="12"/>
      <c r="PKB56" s="12"/>
      <c r="PKC56" s="12"/>
      <c r="PKD56" s="12"/>
      <c r="PKE56" s="12"/>
      <c r="PKF56" s="12"/>
      <c r="PKG56" s="12"/>
      <c r="PKH56" s="12"/>
      <c r="PKI56" s="12"/>
      <c r="PKJ56" s="12"/>
      <c r="PKK56" s="12"/>
      <c r="PKL56" s="12"/>
      <c r="PKM56" s="12"/>
      <c r="PKN56" s="12"/>
      <c r="PKO56" s="12"/>
      <c r="PKP56" s="12"/>
      <c r="PKQ56" s="12"/>
      <c r="PKR56" s="12"/>
      <c r="PKS56" s="12"/>
      <c r="PKT56" s="12"/>
      <c r="PKU56" s="12"/>
      <c r="PKV56" s="12"/>
      <c r="PKW56" s="12"/>
      <c r="PKX56" s="12"/>
      <c r="PKY56" s="12"/>
      <c r="PKZ56" s="12"/>
      <c r="PLA56" s="12"/>
      <c r="PLB56" s="12"/>
      <c r="PLC56" s="12"/>
      <c r="PLD56" s="12"/>
      <c r="PLE56" s="12"/>
      <c r="PLF56" s="12"/>
      <c r="PLG56" s="12"/>
      <c r="PLH56" s="12"/>
      <c r="PLI56" s="12"/>
      <c r="PLJ56" s="12"/>
      <c r="PLK56" s="12"/>
      <c r="PLL56" s="12"/>
      <c r="PLM56" s="12"/>
      <c r="PLN56" s="12"/>
      <c r="PLO56" s="12"/>
      <c r="PLP56" s="12"/>
      <c r="PLQ56" s="12"/>
      <c r="PLR56" s="12"/>
      <c r="PLS56" s="12"/>
      <c r="PLT56" s="12"/>
      <c r="PLU56" s="12"/>
      <c r="PLV56" s="12"/>
      <c r="PLW56" s="12"/>
      <c r="PLX56" s="12"/>
      <c r="PLY56" s="12"/>
      <c r="PLZ56" s="12"/>
      <c r="PMA56" s="12"/>
      <c r="PMB56" s="12"/>
      <c r="PMC56" s="12"/>
      <c r="PMD56" s="12"/>
      <c r="PME56" s="12"/>
      <c r="PMF56" s="12"/>
      <c r="PMG56" s="12"/>
      <c r="PMH56" s="12"/>
      <c r="PMI56" s="12"/>
      <c r="PMJ56" s="12"/>
      <c r="PMK56" s="12"/>
      <c r="PML56" s="12"/>
      <c r="PMM56" s="12"/>
      <c r="PMN56" s="12"/>
      <c r="PMO56" s="12"/>
      <c r="PMP56" s="12"/>
      <c r="PMQ56" s="12"/>
      <c r="PMR56" s="12"/>
      <c r="PMS56" s="12"/>
      <c r="PMT56" s="12"/>
      <c r="PMU56" s="12"/>
      <c r="PMV56" s="12"/>
      <c r="PMW56" s="12"/>
      <c r="PMX56" s="12"/>
      <c r="PMY56" s="12"/>
      <c r="PMZ56" s="12"/>
      <c r="PNA56" s="12"/>
      <c r="PNB56" s="12"/>
      <c r="PNC56" s="12"/>
      <c r="PND56" s="12"/>
      <c r="PNE56" s="12"/>
      <c r="PNF56" s="12"/>
      <c r="PNG56" s="12"/>
      <c r="PNH56" s="12"/>
      <c r="PNI56" s="12"/>
      <c r="PNJ56" s="12"/>
      <c r="PNK56" s="12"/>
      <c r="PNL56" s="12"/>
      <c r="PNM56" s="12"/>
      <c r="PNN56" s="12"/>
      <c r="PNO56" s="12"/>
      <c r="PNP56" s="12"/>
      <c r="PNQ56" s="12"/>
      <c r="PNR56" s="12"/>
      <c r="PNS56" s="12"/>
      <c r="PNT56" s="12"/>
      <c r="PNU56" s="12"/>
      <c r="PNV56" s="12"/>
      <c r="PNW56" s="12"/>
      <c r="PNX56" s="12"/>
      <c r="PNY56" s="12"/>
      <c r="PNZ56" s="12"/>
      <c r="POA56" s="12"/>
      <c r="POB56" s="12"/>
      <c r="POC56" s="12"/>
      <c r="POD56" s="12"/>
      <c r="POE56" s="12"/>
      <c r="POF56" s="12"/>
      <c r="POG56" s="12"/>
      <c r="POH56" s="12"/>
      <c r="POI56" s="12"/>
      <c r="POJ56" s="12"/>
      <c r="POK56" s="12"/>
      <c r="POL56" s="12"/>
      <c r="POM56" s="12"/>
      <c r="PON56" s="12"/>
      <c r="POO56" s="12"/>
      <c r="POP56" s="12"/>
      <c r="POQ56" s="12"/>
      <c r="POR56" s="12"/>
      <c r="POS56" s="12"/>
      <c r="POT56" s="12"/>
      <c r="POU56" s="12"/>
      <c r="POV56" s="12"/>
      <c r="POW56" s="12"/>
      <c r="POX56" s="12"/>
      <c r="POY56" s="12"/>
      <c r="POZ56" s="12"/>
      <c r="PPA56" s="12"/>
      <c r="PPB56" s="12"/>
      <c r="PPC56" s="12"/>
      <c r="PPD56" s="12"/>
      <c r="PPE56" s="12"/>
      <c r="PPF56" s="12"/>
      <c r="PPG56" s="12"/>
      <c r="PPH56" s="12"/>
      <c r="PPI56" s="12"/>
      <c r="PPJ56" s="12"/>
      <c r="PPK56" s="12"/>
      <c r="PPL56" s="12"/>
      <c r="PPM56" s="12"/>
      <c r="PPN56" s="12"/>
      <c r="PPO56" s="12"/>
      <c r="PPP56" s="12"/>
      <c r="PPQ56" s="12"/>
      <c r="PPR56" s="12"/>
      <c r="PPS56" s="12"/>
      <c r="PPT56" s="12"/>
      <c r="PPU56" s="12"/>
      <c r="PPV56" s="12"/>
      <c r="PPW56" s="12"/>
      <c r="PPX56" s="12"/>
      <c r="PPY56" s="12"/>
      <c r="PPZ56" s="12"/>
      <c r="PQA56" s="12"/>
      <c r="PQB56" s="12"/>
      <c r="PQC56" s="12"/>
      <c r="PQD56" s="12"/>
      <c r="PQE56" s="12"/>
      <c r="PQF56" s="12"/>
      <c r="PQG56" s="12"/>
      <c r="PQH56" s="12"/>
      <c r="PQI56" s="12"/>
      <c r="PQJ56" s="12"/>
      <c r="PQK56" s="12"/>
      <c r="PQL56" s="12"/>
      <c r="PQM56" s="12"/>
      <c r="PQN56" s="12"/>
      <c r="PQO56" s="12"/>
      <c r="PQP56" s="12"/>
      <c r="PQQ56" s="12"/>
      <c r="PQR56" s="12"/>
      <c r="PQS56" s="12"/>
      <c r="PQT56" s="12"/>
      <c r="PQU56" s="12"/>
      <c r="PQV56" s="12"/>
      <c r="PQW56" s="12"/>
      <c r="PQX56" s="12"/>
      <c r="PQY56" s="12"/>
      <c r="PQZ56" s="12"/>
      <c r="PRA56" s="12"/>
      <c r="PRB56" s="12"/>
      <c r="PRC56" s="12"/>
      <c r="PRD56" s="12"/>
      <c r="PRE56" s="12"/>
      <c r="PRF56" s="12"/>
      <c r="PRG56" s="12"/>
      <c r="PRH56" s="12"/>
      <c r="PRI56" s="12"/>
      <c r="PRJ56" s="12"/>
      <c r="PRK56" s="12"/>
      <c r="PRL56" s="12"/>
      <c r="PRM56" s="12"/>
      <c r="PRN56" s="12"/>
      <c r="PRO56" s="12"/>
      <c r="PRP56" s="12"/>
      <c r="PRQ56" s="12"/>
      <c r="PRR56" s="12"/>
      <c r="PRS56" s="12"/>
      <c r="PRT56" s="12"/>
      <c r="PRU56" s="12"/>
      <c r="PRV56" s="12"/>
      <c r="PRW56" s="12"/>
      <c r="PRX56" s="12"/>
      <c r="PRY56" s="12"/>
      <c r="PRZ56" s="12"/>
      <c r="PSA56" s="12"/>
      <c r="PSB56" s="12"/>
      <c r="PSC56" s="12"/>
      <c r="PSD56" s="12"/>
      <c r="PSE56" s="12"/>
      <c r="PSF56" s="12"/>
      <c r="PSG56" s="12"/>
      <c r="PSH56" s="12"/>
      <c r="PSI56" s="12"/>
      <c r="PSJ56" s="12"/>
      <c r="PSK56" s="12"/>
      <c r="PSL56" s="12"/>
      <c r="PSM56" s="12"/>
      <c r="PSN56" s="12"/>
      <c r="PSO56" s="12"/>
      <c r="PSP56" s="12"/>
      <c r="PSQ56" s="12"/>
      <c r="PSR56" s="12"/>
      <c r="PSS56" s="12"/>
      <c r="PST56" s="12"/>
      <c r="PSU56" s="12"/>
      <c r="PSV56" s="12"/>
      <c r="PSW56" s="12"/>
      <c r="PSX56" s="12"/>
      <c r="PSY56" s="12"/>
      <c r="PSZ56" s="12"/>
      <c r="PTA56" s="12"/>
      <c r="PTB56" s="12"/>
      <c r="PTC56" s="12"/>
      <c r="PTD56" s="12"/>
      <c r="PTE56" s="12"/>
      <c r="PTF56" s="12"/>
      <c r="PTG56" s="12"/>
      <c r="PTH56" s="12"/>
      <c r="PTI56" s="12"/>
      <c r="PTJ56" s="12"/>
      <c r="PTK56" s="12"/>
      <c r="PTL56" s="12"/>
      <c r="PTM56" s="12"/>
      <c r="PTN56" s="12"/>
      <c r="PTO56" s="12"/>
      <c r="PTP56" s="12"/>
      <c r="PTQ56" s="12"/>
      <c r="PTR56" s="12"/>
      <c r="PTS56" s="12"/>
      <c r="PTT56" s="12"/>
      <c r="PTU56" s="12"/>
      <c r="PTV56" s="12"/>
      <c r="PTW56" s="12"/>
      <c r="PTX56" s="12"/>
      <c r="PTY56" s="12"/>
      <c r="PTZ56" s="12"/>
      <c r="PUA56" s="12"/>
      <c r="PUB56" s="12"/>
      <c r="PUC56" s="12"/>
      <c r="PUD56" s="12"/>
      <c r="PUE56" s="12"/>
      <c r="PUF56" s="12"/>
      <c r="PUG56" s="12"/>
      <c r="PUH56" s="12"/>
      <c r="PUI56" s="12"/>
      <c r="PUJ56" s="12"/>
      <c r="PUK56" s="12"/>
      <c r="PUL56" s="12"/>
      <c r="PUM56" s="12"/>
      <c r="PUN56" s="12"/>
      <c r="PUO56" s="12"/>
      <c r="PUP56" s="12"/>
      <c r="PUQ56" s="12"/>
      <c r="PUR56" s="12"/>
      <c r="PUS56" s="12"/>
      <c r="PUT56" s="12"/>
      <c r="PUU56" s="12"/>
      <c r="PUV56" s="12"/>
      <c r="PUW56" s="12"/>
      <c r="PUX56" s="12"/>
      <c r="PUY56" s="12"/>
      <c r="PUZ56" s="12"/>
      <c r="PVA56" s="12"/>
      <c r="PVB56" s="12"/>
      <c r="PVC56" s="12"/>
      <c r="PVD56" s="12"/>
      <c r="PVE56" s="12"/>
      <c r="PVF56" s="12"/>
      <c r="PVG56" s="12"/>
      <c r="PVH56" s="12"/>
      <c r="PVI56" s="12"/>
      <c r="PVJ56" s="12"/>
      <c r="PVK56" s="12"/>
      <c r="PVL56" s="12"/>
      <c r="PVM56" s="12"/>
      <c r="PVN56" s="12"/>
      <c r="PVO56" s="12"/>
      <c r="PVP56" s="12"/>
      <c r="PVQ56" s="12"/>
      <c r="PVR56" s="12"/>
      <c r="PVS56" s="12"/>
      <c r="PVT56" s="12"/>
      <c r="PVU56" s="12"/>
      <c r="PVV56" s="12"/>
      <c r="PVW56" s="12"/>
      <c r="PVX56" s="12"/>
      <c r="PVY56" s="12"/>
      <c r="PVZ56" s="12"/>
      <c r="PWA56" s="12"/>
      <c r="PWB56" s="12"/>
      <c r="PWC56" s="12"/>
      <c r="PWD56" s="12"/>
      <c r="PWE56" s="12"/>
      <c r="PWF56" s="12"/>
      <c r="PWG56" s="12"/>
      <c r="PWH56" s="12"/>
      <c r="PWI56" s="12"/>
      <c r="PWJ56" s="12"/>
      <c r="PWK56" s="12"/>
      <c r="PWL56" s="12"/>
      <c r="PWM56" s="12"/>
      <c r="PWN56" s="12"/>
      <c r="PWO56" s="12"/>
      <c r="PWP56" s="12"/>
      <c r="PWQ56" s="12"/>
      <c r="PWR56" s="12"/>
      <c r="PWS56" s="12"/>
      <c r="PWT56" s="12"/>
      <c r="PWU56" s="12"/>
      <c r="PWV56" s="12"/>
      <c r="PWW56" s="12"/>
      <c r="PWX56" s="12"/>
      <c r="PWY56" s="12"/>
      <c r="PWZ56" s="12"/>
      <c r="PXA56" s="12"/>
      <c r="PXB56" s="12"/>
      <c r="PXC56" s="12"/>
      <c r="PXD56" s="12"/>
      <c r="PXE56" s="12"/>
      <c r="PXF56" s="12"/>
      <c r="PXG56" s="12"/>
      <c r="PXH56" s="12"/>
      <c r="PXI56" s="12"/>
      <c r="PXJ56" s="12"/>
      <c r="PXK56" s="12"/>
      <c r="PXL56" s="12"/>
      <c r="PXM56" s="12"/>
      <c r="PXN56" s="12"/>
      <c r="PXO56" s="12"/>
      <c r="PXP56" s="12"/>
      <c r="PXQ56" s="12"/>
      <c r="PXR56" s="12"/>
      <c r="PXS56" s="12"/>
      <c r="PXT56" s="12"/>
      <c r="PXU56" s="12"/>
      <c r="PXV56" s="12"/>
      <c r="PXW56" s="12"/>
      <c r="PXX56" s="12"/>
      <c r="PXY56" s="12"/>
      <c r="PXZ56" s="12"/>
      <c r="PYA56" s="12"/>
      <c r="PYB56" s="12"/>
      <c r="PYC56" s="12"/>
      <c r="PYD56" s="12"/>
      <c r="PYE56" s="12"/>
      <c r="PYF56" s="12"/>
      <c r="PYG56" s="12"/>
      <c r="PYH56" s="12"/>
      <c r="PYI56" s="12"/>
      <c r="PYJ56" s="12"/>
      <c r="PYK56" s="12"/>
      <c r="PYL56" s="12"/>
      <c r="PYM56" s="12"/>
      <c r="PYN56" s="12"/>
      <c r="PYO56" s="12"/>
      <c r="PYP56" s="12"/>
      <c r="PYQ56" s="12"/>
      <c r="PYR56" s="12"/>
      <c r="PYS56" s="12"/>
      <c r="PYT56" s="12"/>
      <c r="PYU56" s="12"/>
      <c r="PYV56" s="12"/>
      <c r="PYW56" s="12"/>
      <c r="PYX56" s="12"/>
      <c r="PYY56" s="12"/>
      <c r="PYZ56" s="12"/>
      <c r="PZA56" s="12"/>
      <c r="PZB56" s="12"/>
      <c r="PZC56" s="12"/>
      <c r="PZD56" s="12"/>
      <c r="PZE56" s="12"/>
      <c r="PZF56" s="12"/>
      <c r="PZG56" s="12"/>
      <c r="PZH56" s="12"/>
      <c r="PZI56" s="12"/>
      <c r="PZJ56" s="12"/>
      <c r="PZK56" s="12"/>
      <c r="PZL56" s="12"/>
      <c r="PZM56" s="12"/>
      <c r="PZN56" s="12"/>
      <c r="PZO56" s="12"/>
      <c r="PZP56" s="12"/>
      <c r="PZQ56" s="12"/>
      <c r="PZR56" s="12"/>
      <c r="PZS56" s="12"/>
      <c r="PZT56" s="12"/>
      <c r="PZU56" s="12"/>
      <c r="PZV56" s="12"/>
      <c r="PZW56" s="12"/>
      <c r="PZX56" s="12"/>
      <c r="PZY56" s="12"/>
      <c r="PZZ56" s="12"/>
      <c r="QAA56" s="12"/>
      <c r="QAB56" s="12"/>
      <c r="QAC56" s="12"/>
      <c r="QAD56" s="12"/>
      <c r="QAE56" s="12"/>
      <c r="QAF56" s="12"/>
      <c r="QAG56" s="12"/>
      <c r="QAH56" s="12"/>
      <c r="QAI56" s="12"/>
      <c r="QAJ56" s="12"/>
      <c r="QAK56" s="12"/>
      <c r="QAL56" s="12"/>
      <c r="QAM56" s="12"/>
      <c r="QAN56" s="12"/>
      <c r="QAO56" s="12"/>
      <c r="QAP56" s="12"/>
      <c r="QAQ56" s="12"/>
      <c r="QAR56" s="12"/>
      <c r="QAS56" s="12"/>
      <c r="QAT56" s="12"/>
      <c r="QAU56" s="12"/>
      <c r="QAV56" s="12"/>
      <c r="QAW56" s="12"/>
      <c r="QAX56" s="12"/>
      <c r="QAY56" s="12"/>
      <c r="QAZ56" s="12"/>
      <c r="QBA56" s="12"/>
      <c r="QBB56" s="12"/>
      <c r="QBC56" s="12"/>
      <c r="QBD56" s="12"/>
      <c r="QBE56" s="12"/>
      <c r="QBF56" s="12"/>
      <c r="QBG56" s="12"/>
      <c r="QBH56" s="12"/>
      <c r="QBI56" s="12"/>
      <c r="QBJ56" s="12"/>
      <c r="QBK56" s="12"/>
      <c r="QBL56" s="12"/>
      <c r="QBM56" s="12"/>
      <c r="QBN56" s="12"/>
      <c r="QBO56" s="12"/>
      <c r="QBP56" s="12"/>
      <c r="QBQ56" s="12"/>
      <c r="QBR56" s="12"/>
      <c r="QBS56" s="12"/>
      <c r="QBT56" s="12"/>
      <c r="QBU56" s="12"/>
      <c r="QBV56" s="12"/>
      <c r="QBW56" s="12"/>
      <c r="QBX56" s="12"/>
      <c r="QBY56" s="12"/>
      <c r="QBZ56" s="12"/>
      <c r="QCA56" s="12"/>
      <c r="QCB56" s="12"/>
      <c r="QCC56" s="12"/>
      <c r="QCD56" s="12"/>
      <c r="QCE56" s="12"/>
      <c r="QCF56" s="12"/>
      <c r="QCG56" s="12"/>
      <c r="QCH56" s="12"/>
      <c r="QCI56" s="12"/>
      <c r="QCJ56" s="12"/>
      <c r="QCK56" s="12"/>
      <c r="QCL56" s="12"/>
      <c r="QCM56" s="12"/>
      <c r="QCN56" s="12"/>
      <c r="QCO56" s="12"/>
      <c r="QCP56" s="12"/>
      <c r="QCQ56" s="12"/>
      <c r="QCR56" s="12"/>
      <c r="QCS56" s="12"/>
      <c r="QCT56" s="12"/>
      <c r="QCU56" s="12"/>
      <c r="QCV56" s="12"/>
      <c r="QCW56" s="12"/>
      <c r="QCX56" s="12"/>
      <c r="QCY56" s="12"/>
      <c r="QCZ56" s="12"/>
      <c r="QDA56" s="12"/>
      <c r="QDB56" s="12"/>
      <c r="QDC56" s="12"/>
      <c r="QDD56" s="12"/>
      <c r="QDE56" s="12"/>
      <c r="QDF56" s="12"/>
      <c r="QDG56" s="12"/>
      <c r="QDH56" s="12"/>
      <c r="QDI56" s="12"/>
      <c r="QDJ56" s="12"/>
      <c r="QDK56" s="12"/>
      <c r="QDL56" s="12"/>
      <c r="QDM56" s="12"/>
      <c r="QDN56" s="12"/>
      <c r="QDO56" s="12"/>
      <c r="QDP56" s="12"/>
      <c r="QDQ56" s="12"/>
      <c r="QDR56" s="12"/>
      <c r="QDS56" s="12"/>
      <c r="QDT56" s="12"/>
      <c r="QDU56" s="12"/>
      <c r="QDV56" s="12"/>
      <c r="QDW56" s="12"/>
      <c r="QDX56" s="12"/>
      <c r="QDY56" s="12"/>
      <c r="QDZ56" s="12"/>
      <c r="QEA56" s="12"/>
      <c r="QEB56" s="12"/>
      <c r="QEC56" s="12"/>
      <c r="QED56" s="12"/>
      <c r="QEE56" s="12"/>
      <c r="QEF56" s="12"/>
      <c r="QEG56" s="12"/>
      <c r="QEH56" s="12"/>
      <c r="QEI56" s="12"/>
      <c r="QEJ56" s="12"/>
      <c r="QEK56" s="12"/>
      <c r="QEL56" s="12"/>
      <c r="QEM56" s="12"/>
      <c r="QEN56" s="12"/>
      <c r="QEO56" s="12"/>
      <c r="QEP56" s="12"/>
      <c r="QEQ56" s="12"/>
      <c r="QER56" s="12"/>
      <c r="QES56" s="12"/>
      <c r="QET56" s="12"/>
      <c r="QEU56" s="12"/>
      <c r="QEV56" s="12"/>
      <c r="QEW56" s="12"/>
      <c r="QEX56" s="12"/>
      <c r="QEY56" s="12"/>
      <c r="QEZ56" s="12"/>
      <c r="QFA56" s="12"/>
      <c r="QFB56" s="12"/>
      <c r="QFC56" s="12"/>
      <c r="QFD56" s="12"/>
      <c r="QFE56" s="12"/>
      <c r="QFF56" s="12"/>
      <c r="QFG56" s="12"/>
      <c r="QFH56" s="12"/>
      <c r="QFI56" s="12"/>
      <c r="QFJ56" s="12"/>
      <c r="QFK56" s="12"/>
      <c r="QFL56" s="12"/>
      <c r="QFM56" s="12"/>
      <c r="QFN56" s="12"/>
      <c r="QFO56" s="12"/>
      <c r="QFP56" s="12"/>
      <c r="QFQ56" s="12"/>
      <c r="QFR56" s="12"/>
      <c r="QFS56" s="12"/>
      <c r="QFT56" s="12"/>
      <c r="QFU56" s="12"/>
      <c r="QFV56" s="12"/>
      <c r="QFW56" s="12"/>
      <c r="QFX56" s="12"/>
      <c r="QFY56" s="12"/>
      <c r="QFZ56" s="12"/>
      <c r="QGA56" s="12"/>
      <c r="QGB56" s="12"/>
      <c r="QGC56" s="12"/>
      <c r="QGD56" s="12"/>
      <c r="QGE56" s="12"/>
      <c r="QGF56" s="12"/>
      <c r="QGG56" s="12"/>
      <c r="QGH56" s="12"/>
      <c r="QGI56" s="12"/>
      <c r="QGJ56" s="12"/>
      <c r="QGK56" s="12"/>
      <c r="QGL56" s="12"/>
      <c r="QGM56" s="12"/>
      <c r="QGN56" s="12"/>
      <c r="QGO56" s="12"/>
      <c r="QGP56" s="12"/>
      <c r="QGQ56" s="12"/>
      <c r="QGR56" s="12"/>
      <c r="QGS56" s="12"/>
      <c r="QGT56" s="12"/>
      <c r="QGU56" s="12"/>
      <c r="QGV56" s="12"/>
      <c r="QGW56" s="12"/>
      <c r="QGX56" s="12"/>
      <c r="QGY56" s="12"/>
      <c r="QGZ56" s="12"/>
      <c r="QHA56" s="12"/>
      <c r="QHB56" s="12"/>
      <c r="QHC56" s="12"/>
      <c r="QHD56" s="12"/>
      <c r="QHE56" s="12"/>
      <c r="QHF56" s="12"/>
      <c r="QHG56" s="12"/>
      <c r="QHH56" s="12"/>
      <c r="QHI56" s="12"/>
      <c r="QHJ56" s="12"/>
      <c r="QHK56" s="12"/>
      <c r="QHL56" s="12"/>
      <c r="QHM56" s="12"/>
      <c r="QHN56" s="12"/>
      <c r="QHO56" s="12"/>
      <c r="QHP56" s="12"/>
      <c r="QHQ56" s="12"/>
      <c r="QHR56" s="12"/>
      <c r="QHS56" s="12"/>
      <c r="QHT56" s="12"/>
      <c r="QHU56" s="12"/>
      <c r="QHV56" s="12"/>
      <c r="QHW56" s="12"/>
      <c r="QHX56" s="12"/>
      <c r="QHY56" s="12"/>
      <c r="QHZ56" s="12"/>
      <c r="QIA56" s="12"/>
      <c r="QIB56" s="12"/>
      <c r="QIC56" s="12"/>
      <c r="QID56" s="12"/>
      <c r="QIE56" s="12"/>
      <c r="QIF56" s="12"/>
      <c r="QIG56" s="12"/>
      <c r="QIH56" s="12"/>
      <c r="QII56" s="12"/>
      <c r="QIJ56" s="12"/>
      <c r="QIK56" s="12"/>
      <c r="QIL56" s="12"/>
      <c r="QIM56" s="12"/>
      <c r="QIN56" s="12"/>
      <c r="QIO56" s="12"/>
      <c r="QIP56" s="12"/>
      <c r="QIQ56" s="12"/>
      <c r="QIR56" s="12"/>
      <c r="QIS56" s="12"/>
      <c r="QIT56" s="12"/>
      <c r="QIU56" s="12"/>
      <c r="QIV56" s="12"/>
      <c r="QIW56" s="12"/>
      <c r="QIX56" s="12"/>
      <c r="QIY56" s="12"/>
      <c r="QIZ56" s="12"/>
      <c r="QJA56" s="12"/>
      <c r="QJB56" s="12"/>
      <c r="QJC56" s="12"/>
      <c r="QJD56" s="12"/>
      <c r="QJE56" s="12"/>
      <c r="QJF56" s="12"/>
      <c r="QJG56" s="12"/>
      <c r="QJH56" s="12"/>
      <c r="QJI56" s="12"/>
      <c r="QJJ56" s="12"/>
      <c r="QJK56" s="12"/>
      <c r="QJL56" s="12"/>
      <c r="QJM56" s="12"/>
      <c r="QJN56" s="12"/>
      <c r="QJO56" s="12"/>
      <c r="QJP56" s="12"/>
      <c r="QJQ56" s="12"/>
      <c r="QJR56" s="12"/>
      <c r="QJS56" s="12"/>
      <c r="QJT56" s="12"/>
      <c r="QJU56" s="12"/>
      <c r="QJV56" s="12"/>
      <c r="QJW56" s="12"/>
      <c r="QJX56" s="12"/>
      <c r="QJY56" s="12"/>
      <c r="QJZ56" s="12"/>
      <c r="QKA56" s="12"/>
      <c r="QKB56" s="12"/>
      <c r="QKC56" s="12"/>
      <c r="QKD56" s="12"/>
      <c r="QKE56" s="12"/>
      <c r="QKF56" s="12"/>
      <c r="QKG56" s="12"/>
      <c r="QKH56" s="12"/>
      <c r="QKI56" s="12"/>
      <c r="QKJ56" s="12"/>
      <c r="QKK56" s="12"/>
      <c r="QKL56" s="12"/>
      <c r="QKM56" s="12"/>
      <c r="QKN56" s="12"/>
      <c r="QKO56" s="12"/>
      <c r="QKP56" s="12"/>
      <c r="QKQ56" s="12"/>
      <c r="QKR56" s="12"/>
      <c r="QKS56" s="12"/>
      <c r="QKT56" s="12"/>
      <c r="QKU56" s="12"/>
      <c r="QKV56" s="12"/>
      <c r="QKW56" s="12"/>
      <c r="QKX56" s="12"/>
      <c r="QKY56" s="12"/>
      <c r="QKZ56" s="12"/>
      <c r="QLA56" s="12"/>
      <c r="QLB56" s="12"/>
      <c r="QLC56" s="12"/>
      <c r="QLD56" s="12"/>
      <c r="QLE56" s="12"/>
      <c r="QLF56" s="12"/>
      <c r="QLG56" s="12"/>
      <c r="QLH56" s="12"/>
      <c r="QLI56" s="12"/>
      <c r="QLJ56" s="12"/>
      <c r="QLK56" s="12"/>
      <c r="QLL56" s="12"/>
      <c r="QLM56" s="12"/>
      <c r="QLN56" s="12"/>
      <c r="QLO56" s="12"/>
      <c r="QLP56" s="12"/>
      <c r="QLQ56" s="12"/>
      <c r="QLR56" s="12"/>
      <c r="QLS56" s="12"/>
      <c r="QLT56" s="12"/>
      <c r="QLU56" s="12"/>
      <c r="QLV56" s="12"/>
      <c r="QLW56" s="12"/>
      <c r="QLX56" s="12"/>
      <c r="QLY56" s="12"/>
      <c r="QLZ56" s="12"/>
      <c r="QMA56" s="12"/>
      <c r="QMB56" s="12"/>
      <c r="QMC56" s="12"/>
      <c r="QMD56" s="12"/>
      <c r="QME56" s="12"/>
      <c r="QMF56" s="12"/>
      <c r="QMG56" s="12"/>
      <c r="QMH56" s="12"/>
      <c r="QMI56" s="12"/>
      <c r="QMJ56" s="12"/>
      <c r="QMK56" s="12"/>
      <c r="QML56" s="12"/>
      <c r="QMM56" s="12"/>
      <c r="QMN56" s="12"/>
      <c r="QMO56" s="12"/>
      <c r="QMP56" s="12"/>
      <c r="QMQ56" s="12"/>
      <c r="QMR56" s="12"/>
      <c r="QMS56" s="12"/>
      <c r="QMT56" s="12"/>
      <c r="QMU56" s="12"/>
      <c r="QMV56" s="12"/>
      <c r="QMW56" s="12"/>
      <c r="QMX56" s="12"/>
      <c r="QMY56" s="12"/>
      <c r="QMZ56" s="12"/>
      <c r="QNA56" s="12"/>
      <c r="QNB56" s="12"/>
      <c r="QNC56" s="12"/>
      <c r="QND56" s="12"/>
      <c r="QNE56" s="12"/>
      <c r="QNF56" s="12"/>
      <c r="QNG56" s="12"/>
      <c r="QNH56" s="12"/>
      <c r="QNI56" s="12"/>
      <c r="QNJ56" s="12"/>
      <c r="QNK56" s="12"/>
      <c r="QNL56" s="12"/>
      <c r="QNM56" s="12"/>
      <c r="QNN56" s="12"/>
      <c r="QNO56" s="12"/>
      <c r="QNP56" s="12"/>
      <c r="QNQ56" s="12"/>
      <c r="QNR56" s="12"/>
      <c r="QNS56" s="12"/>
      <c r="QNT56" s="12"/>
      <c r="QNU56" s="12"/>
      <c r="QNV56" s="12"/>
      <c r="QNW56" s="12"/>
      <c r="QNX56" s="12"/>
      <c r="QNY56" s="12"/>
      <c r="QNZ56" s="12"/>
      <c r="QOA56" s="12"/>
      <c r="QOB56" s="12"/>
      <c r="QOC56" s="12"/>
      <c r="QOD56" s="12"/>
      <c r="QOE56" s="12"/>
      <c r="QOF56" s="12"/>
      <c r="QOG56" s="12"/>
      <c r="QOH56" s="12"/>
      <c r="QOI56" s="12"/>
      <c r="QOJ56" s="12"/>
      <c r="QOK56" s="12"/>
      <c r="QOL56" s="12"/>
      <c r="QOM56" s="12"/>
      <c r="QON56" s="12"/>
      <c r="QOO56" s="12"/>
      <c r="QOP56" s="12"/>
      <c r="QOQ56" s="12"/>
      <c r="QOR56" s="12"/>
      <c r="QOS56" s="12"/>
      <c r="QOT56" s="12"/>
      <c r="QOU56" s="12"/>
      <c r="QOV56" s="12"/>
      <c r="QOW56" s="12"/>
      <c r="QOX56" s="12"/>
      <c r="QOY56" s="12"/>
      <c r="QOZ56" s="12"/>
      <c r="QPA56" s="12"/>
      <c r="QPB56" s="12"/>
      <c r="QPC56" s="12"/>
      <c r="QPD56" s="12"/>
      <c r="QPE56" s="12"/>
      <c r="QPF56" s="12"/>
      <c r="QPG56" s="12"/>
      <c r="QPH56" s="12"/>
      <c r="QPI56" s="12"/>
      <c r="QPJ56" s="12"/>
      <c r="QPK56" s="12"/>
      <c r="QPL56" s="12"/>
      <c r="QPM56" s="12"/>
      <c r="QPN56" s="12"/>
      <c r="QPO56" s="12"/>
      <c r="QPP56" s="12"/>
      <c r="QPQ56" s="12"/>
      <c r="QPR56" s="12"/>
      <c r="QPS56" s="12"/>
      <c r="QPT56" s="12"/>
      <c r="QPU56" s="12"/>
      <c r="QPV56" s="12"/>
      <c r="QPW56" s="12"/>
      <c r="QPX56" s="12"/>
      <c r="QPY56" s="12"/>
      <c r="QPZ56" s="12"/>
      <c r="QQA56" s="12"/>
      <c r="QQB56" s="12"/>
      <c r="QQC56" s="12"/>
      <c r="QQD56" s="12"/>
      <c r="QQE56" s="12"/>
      <c r="QQF56" s="12"/>
      <c r="QQG56" s="12"/>
      <c r="QQH56" s="12"/>
      <c r="QQI56" s="12"/>
      <c r="QQJ56" s="12"/>
      <c r="QQK56" s="12"/>
      <c r="QQL56" s="12"/>
      <c r="QQM56" s="12"/>
      <c r="QQN56" s="12"/>
      <c r="QQO56" s="12"/>
      <c r="QQP56" s="12"/>
      <c r="QQQ56" s="12"/>
      <c r="QQR56" s="12"/>
      <c r="QQS56" s="12"/>
      <c r="QQT56" s="12"/>
      <c r="QQU56" s="12"/>
      <c r="QQV56" s="12"/>
      <c r="QQW56" s="12"/>
      <c r="QQX56" s="12"/>
      <c r="QQY56" s="12"/>
      <c r="QQZ56" s="12"/>
      <c r="QRA56" s="12"/>
      <c r="QRB56" s="12"/>
      <c r="QRC56" s="12"/>
      <c r="QRD56" s="12"/>
      <c r="QRE56" s="12"/>
      <c r="QRF56" s="12"/>
      <c r="QRG56" s="12"/>
      <c r="QRH56" s="12"/>
      <c r="QRI56" s="12"/>
      <c r="QRJ56" s="12"/>
      <c r="QRK56" s="12"/>
      <c r="QRL56" s="12"/>
      <c r="QRM56" s="12"/>
      <c r="QRN56" s="12"/>
      <c r="QRO56" s="12"/>
      <c r="QRP56" s="12"/>
      <c r="QRQ56" s="12"/>
      <c r="QRR56" s="12"/>
      <c r="QRS56" s="12"/>
      <c r="QRT56" s="12"/>
      <c r="QRU56" s="12"/>
      <c r="QRV56" s="12"/>
      <c r="QRW56" s="12"/>
      <c r="QRX56" s="12"/>
      <c r="QRY56" s="12"/>
      <c r="QRZ56" s="12"/>
      <c r="QSA56" s="12"/>
      <c r="QSB56" s="12"/>
      <c r="QSC56" s="12"/>
      <c r="QSD56" s="12"/>
      <c r="QSE56" s="12"/>
      <c r="QSF56" s="12"/>
      <c r="QSG56" s="12"/>
      <c r="QSH56" s="12"/>
      <c r="QSI56" s="12"/>
      <c r="QSJ56" s="12"/>
      <c r="QSK56" s="12"/>
      <c r="QSL56" s="12"/>
      <c r="QSM56" s="12"/>
      <c r="QSN56" s="12"/>
      <c r="QSO56" s="12"/>
      <c r="QSP56" s="12"/>
      <c r="QSQ56" s="12"/>
      <c r="QSR56" s="12"/>
      <c r="QSS56" s="12"/>
      <c r="QST56" s="12"/>
      <c r="QSU56" s="12"/>
      <c r="QSV56" s="12"/>
      <c r="QSW56" s="12"/>
      <c r="QSX56" s="12"/>
      <c r="QSY56" s="12"/>
      <c r="QSZ56" s="12"/>
      <c r="QTA56" s="12"/>
      <c r="QTB56" s="12"/>
      <c r="QTC56" s="12"/>
      <c r="QTD56" s="12"/>
      <c r="QTE56" s="12"/>
      <c r="QTF56" s="12"/>
      <c r="QTG56" s="12"/>
      <c r="QTH56" s="12"/>
      <c r="QTI56" s="12"/>
      <c r="QTJ56" s="12"/>
      <c r="QTK56" s="12"/>
      <c r="QTL56" s="12"/>
      <c r="QTM56" s="12"/>
      <c r="QTN56" s="12"/>
      <c r="QTO56" s="12"/>
      <c r="QTP56" s="12"/>
      <c r="QTQ56" s="12"/>
      <c r="QTR56" s="12"/>
      <c r="QTS56" s="12"/>
      <c r="QTT56" s="12"/>
      <c r="QTU56" s="12"/>
      <c r="QTV56" s="12"/>
      <c r="QTW56" s="12"/>
      <c r="QTX56" s="12"/>
      <c r="QTY56" s="12"/>
      <c r="QTZ56" s="12"/>
      <c r="QUA56" s="12"/>
      <c r="QUB56" s="12"/>
      <c r="QUC56" s="12"/>
      <c r="QUD56" s="12"/>
      <c r="QUE56" s="12"/>
      <c r="QUF56" s="12"/>
      <c r="QUG56" s="12"/>
      <c r="QUH56" s="12"/>
      <c r="QUI56" s="12"/>
      <c r="QUJ56" s="12"/>
      <c r="QUK56" s="12"/>
      <c r="QUL56" s="12"/>
      <c r="QUM56" s="12"/>
      <c r="QUN56" s="12"/>
      <c r="QUO56" s="12"/>
      <c r="QUP56" s="12"/>
      <c r="QUQ56" s="12"/>
      <c r="QUR56" s="12"/>
      <c r="QUS56" s="12"/>
      <c r="QUT56" s="12"/>
      <c r="QUU56" s="12"/>
      <c r="QUV56" s="12"/>
      <c r="QUW56" s="12"/>
      <c r="QUX56" s="12"/>
      <c r="QUY56" s="12"/>
      <c r="QUZ56" s="12"/>
      <c r="QVA56" s="12"/>
      <c r="QVB56" s="12"/>
      <c r="QVC56" s="12"/>
      <c r="QVD56" s="12"/>
      <c r="QVE56" s="12"/>
      <c r="QVF56" s="12"/>
      <c r="QVG56" s="12"/>
      <c r="QVH56" s="12"/>
      <c r="QVI56" s="12"/>
      <c r="QVJ56" s="12"/>
      <c r="QVK56" s="12"/>
      <c r="QVL56" s="12"/>
      <c r="QVM56" s="12"/>
      <c r="QVN56" s="12"/>
      <c r="QVO56" s="12"/>
      <c r="QVP56" s="12"/>
      <c r="QVQ56" s="12"/>
      <c r="QVR56" s="12"/>
      <c r="QVS56" s="12"/>
      <c r="QVT56" s="12"/>
      <c r="QVU56" s="12"/>
      <c r="QVV56" s="12"/>
      <c r="QVW56" s="12"/>
      <c r="QVX56" s="12"/>
      <c r="QVY56" s="12"/>
      <c r="QVZ56" s="12"/>
      <c r="QWA56" s="12"/>
      <c r="QWB56" s="12"/>
      <c r="QWC56" s="12"/>
      <c r="QWD56" s="12"/>
      <c r="QWE56" s="12"/>
      <c r="QWF56" s="12"/>
      <c r="QWG56" s="12"/>
      <c r="QWH56" s="12"/>
      <c r="QWI56" s="12"/>
      <c r="QWJ56" s="12"/>
      <c r="QWK56" s="12"/>
      <c r="QWL56" s="12"/>
      <c r="QWM56" s="12"/>
      <c r="QWN56" s="12"/>
      <c r="QWO56" s="12"/>
      <c r="QWP56" s="12"/>
      <c r="QWQ56" s="12"/>
      <c r="QWR56" s="12"/>
      <c r="QWS56" s="12"/>
      <c r="QWT56" s="12"/>
      <c r="QWU56" s="12"/>
      <c r="QWV56" s="12"/>
      <c r="QWW56" s="12"/>
      <c r="QWX56" s="12"/>
      <c r="QWY56" s="12"/>
      <c r="QWZ56" s="12"/>
      <c r="QXA56" s="12"/>
      <c r="QXB56" s="12"/>
      <c r="QXC56" s="12"/>
      <c r="QXD56" s="12"/>
      <c r="QXE56" s="12"/>
      <c r="QXF56" s="12"/>
      <c r="QXG56" s="12"/>
      <c r="QXH56" s="12"/>
      <c r="QXI56" s="12"/>
      <c r="QXJ56" s="12"/>
      <c r="QXK56" s="12"/>
      <c r="QXL56" s="12"/>
      <c r="QXM56" s="12"/>
      <c r="QXN56" s="12"/>
      <c r="QXO56" s="12"/>
      <c r="QXP56" s="12"/>
      <c r="QXQ56" s="12"/>
      <c r="QXR56" s="12"/>
      <c r="QXS56" s="12"/>
      <c r="QXT56" s="12"/>
      <c r="QXU56" s="12"/>
      <c r="QXV56" s="12"/>
      <c r="QXW56" s="12"/>
      <c r="QXX56" s="12"/>
      <c r="QXY56" s="12"/>
      <c r="QXZ56" s="12"/>
      <c r="QYA56" s="12"/>
      <c r="QYB56" s="12"/>
      <c r="QYC56" s="12"/>
      <c r="QYD56" s="12"/>
      <c r="QYE56" s="12"/>
      <c r="QYF56" s="12"/>
      <c r="QYG56" s="12"/>
      <c r="QYH56" s="12"/>
      <c r="QYI56" s="12"/>
      <c r="QYJ56" s="12"/>
      <c r="QYK56" s="12"/>
      <c r="QYL56" s="12"/>
      <c r="QYM56" s="12"/>
      <c r="QYN56" s="12"/>
      <c r="QYO56" s="12"/>
      <c r="QYP56" s="12"/>
      <c r="QYQ56" s="12"/>
      <c r="QYR56" s="12"/>
      <c r="QYS56" s="12"/>
      <c r="QYT56" s="12"/>
      <c r="QYU56" s="12"/>
      <c r="QYV56" s="12"/>
      <c r="QYW56" s="12"/>
      <c r="QYX56" s="12"/>
      <c r="QYY56" s="12"/>
      <c r="QYZ56" s="12"/>
      <c r="QZA56" s="12"/>
      <c r="QZB56" s="12"/>
      <c r="QZC56" s="12"/>
      <c r="QZD56" s="12"/>
      <c r="QZE56" s="12"/>
      <c r="QZF56" s="12"/>
      <c r="QZG56" s="12"/>
      <c r="QZH56" s="12"/>
      <c r="QZI56" s="12"/>
      <c r="QZJ56" s="12"/>
      <c r="QZK56" s="12"/>
      <c r="QZL56" s="12"/>
      <c r="QZM56" s="12"/>
      <c r="QZN56" s="12"/>
      <c r="QZO56" s="12"/>
      <c r="QZP56" s="12"/>
      <c r="QZQ56" s="12"/>
      <c r="QZR56" s="12"/>
      <c r="QZS56" s="12"/>
      <c r="QZT56" s="12"/>
      <c r="QZU56" s="12"/>
      <c r="QZV56" s="12"/>
      <c r="QZW56" s="12"/>
      <c r="QZX56" s="12"/>
      <c r="QZY56" s="12"/>
      <c r="QZZ56" s="12"/>
      <c r="RAA56" s="12"/>
      <c r="RAB56" s="12"/>
      <c r="RAC56" s="12"/>
      <c r="RAD56" s="12"/>
      <c r="RAE56" s="12"/>
      <c r="RAF56" s="12"/>
      <c r="RAG56" s="12"/>
      <c r="RAH56" s="12"/>
      <c r="RAI56" s="12"/>
      <c r="RAJ56" s="12"/>
      <c r="RAK56" s="12"/>
      <c r="RAL56" s="12"/>
      <c r="RAM56" s="12"/>
      <c r="RAN56" s="12"/>
      <c r="RAO56" s="12"/>
      <c r="RAP56" s="12"/>
      <c r="RAQ56" s="12"/>
      <c r="RAR56" s="12"/>
      <c r="RAS56" s="12"/>
      <c r="RAT56" s="12"/>
      <c r="RAU56" s="12"/>
      <c r="RAV56" s="12"/>
      <c r="RAW56" s="12"/>
      <c r="RAX56" s="12"/>
      <c r="RAY56" s="12"/>
      <c r="RAZ56" s="12"/>
      <c r="RBA56" s="12"/>
      <c r="RBB56" s="12"/>
      <c r="RBC56" s="12"/>
      <c r="RBD56" s="12"/>
      <c r="RBE56" s="12"/>
      <c r="RBF56" s="12"/>
      <c r="RBG56" s="12"/>
      <c r="RBH56" s="12"/>
      <c r="RBI56" s="12"/>
      <c r="RBJ56" s="12"/>
      <c r="RBK56" s="12"/>
      <c r="RBL56" s="12"/>
      <c r="RBM56" s="12"/>
      <c r="RBN56" s="12"/>
      <c r="RBO56" s="12"/>
      <c r="RBP56" s="12"/>
      <c r="RBQ56" s="12"/>
      <c r="RBR56" s="12"/>
      <c r="RBS56" s="12"/>
      <c r="RBT56" s="12"/>
      <c r="RBU56" s="12"/>
      <c r="RBV56" s="12"/>
      <c r="RBW56" s="12"/>
      <c r="RBX56" s="12"/>
      <c r="RBY56" s="12"/>
      <c r="RBZ56" s="12"/>
      <c r="RCA56" s="12"/>
      <c r="RCB56" s="12"/>
      <c r="RCC56" s="12"/>
      <c r="RCD56" s="12"/>
      <c r="RCE56" s="12"/>
      <c r="RCF56" s="12"/>
      <c r="RCG56" s="12"/>
      <c r="RCH56" s="12"/>
      <c r="RCI56" s="12"/>
      <c r="RCJ56" s="12"/>
      <c r="RCK56" s="12"/>
      <c r="RCL56" s="12"/>
      <c r="RCM56" s="12"/>
      <c r="RCN56" s="12"/>
      <c r="RCO56" s="12"/>
      <c r="RCP56" s="12"/>
      <c r="RCQ56" s="12"/>
      <c r="RCR56" s="12"/>
      <c r="RCS56" s="12"/>
      <c r="RCT56" s="12"/>
      <c r="RCU56" s="12"/>
      <c r="RCV56" s="12"/>
      <c r="RCW56" s="12"/>
      <c r="RCX56" s="12"/>
      <c r="RCY56" s="12"/>
      <c r="RCZ56" s="12"/>
      <c r="RDA56" s="12"/>
      <c r="RDB56" s="12"/>
      <c r="RDC56" s="12"/>
      <c r="RDD56" s="12"/>
      <c r="RDE56" s="12"/>
      <c r="RDF56" s="12"/>
      <c r="RDG56" s="12"/>
      <c r="RDH56" s="12"/>
      <c r="RDI56" s="12"/>
      <c r="RDJ56" s="12"/>
      <c r="RDK56" s="12"/>
      <c r="RDL56" s="12"/>
      <c r="RDM56" s="12"/>
      <c r="RDN56" s="12"/>
      <c r="RDO56" s="12"/>
      <c r="RDP56" s="12"/>
      <c r="RDQ56" s="12"/>
      <c r="RDR56" s="12"/>
      <c r="RDS56" s="12"/>
      <c r="RDT56" s="12"/>
      <c r="RDU56" s="12"/>
      <c r="RDV56" s="12"/>
      <c r="RDW56" s="12"/>
      <c r="RDX56" s="12"/>
      <c r="RDY56" s="12"/>
      <c r="RDZ56" s="12"/>
      <c r="REA56" s="12"/>
      <c r="REB56" s="12"/>
      <c r="REC56" s="12"/>
      <c r="RED56" s="12"/>
      <c r="REE56" s="12"/>
      <c r="REF56" s="12"/>
      <c r="REG56" s="12"/>
      <c r="REH56" s="12"/>
      <c r="REI56" s="12"/>
      <c r="REJ56" s="12"/>
      <c r="REK56" s="12"/>
      <c r="REL56" s="12"/>
      <c r="REM56" s="12"/>
      <c r="REN56" s="12"/>
      <c r="REO56" s="12"/>
      <c r="REP56" s="12"/>
      <c r="REQ56" s="12"/>
      <c r="RER56" s="12"/>
      <c r="RES56" s="12"/>
      <c r="RET56" s="12"/>
      <c r="REU56" s="12"/>
      <c r="REV56" s="12"/>
      <c r="REW56" s="12"/>
      <c r="REX56" s="12"/>
      <c r="REY56" s="12"/>
      <c r="REZ56" s="12"/>
      <c r="RFA56" s="12"/>
      <c r="RFB56" s="12"/>
      <c r="RFC56" s="12"/>
      <c r="RFD56" s="12"/>
      <c r="RFE56" s="12"/>
      <c r="RFF56" s="12"/>
      <c r="RFG56" s="12"/>
      <c r="RFH56" s="12"/>
      <c r="RFI56" s="12"/>
      <c r="RFJ56" s="12"/>
      <c r="RFK56" s="12"/>
      <c r="RFL56" s="12"/>
      <c r="RFM56" s="12"/>
      <c r="RFN56" s="12"/>
      <c r="RFO56" s="12"/>
      <c r="RFP56" s="12"/>
      <c r="RFQ56" s="12"/>
      <c r="RFR56" s="12"/>
      <c r="RFS56" s="12"/>
      <c r="RFT56" s="12"/>
      <c r="RFU56" s="12"/>
      <c r="RFV56" s="12"/>
      <c r="RFW56" s="12"/>
      <c r="RFX56" s="12"/>
      <c r="RFY56" s="12"/>
      <c r="RFZ56" s="12"/>
      <c r="RGA56" s="12"/>
      <c r="RGB56" s="12"/>
      <c r="RGC56" s="12"/>
      <c r="RGD56" s="12"/>
      <c r="RGE56" s="12"/>
      <c r="RGF56" s="12"/>
      <c r="RGG56" s="12"/>
      <c r="RGH56" s="12"/>
      <c r="RGI56" s="12"/>
      <c r="RGJ56" s="12"/>
      <c r="RGK56" s="12"/>
      <c r="RGL56" s="12"/>
      <c r="RGM56" s="12"/>
      <c r="RGN56" s="12"/>
      <c r="RGO56" s="12"/>
      <c r="RGP56" s="12"/>
      <c r="RGQ56" s="12"/>
      <c r="RGR56" s="12"/>
      <c r="RGS56" s="12"/>
      <c r="RGT56" s="12"/>
      <c r="RGU56" s="12"/>
      <c r="RGV56" s="12"/>
      <c r="RGW56" s="12"/>
      <c r="RGX56" s="12"/>
      <c r="RGY56" s="12"/>
      <c r="RGZ56" s="12"/>
      <c r="RHA56" s="12"/>
      <c r="RHB56" s="12"/>
      <c r="RHC56" s="12"/>
      <c r="RHD56" s="12"/>
      <c r="RHE56" s="12"/>
      <c r="RHF56" s="12"/>
      <c r="RHG56" s="12"/>
      <c r="RHH56" s="12"/>
      <c r="RHI56" s="12"/>
      <c r="RHJ56" s="12"/>
      <c r="RHK56" s="12"/>
      <c r="RHL56" s="12"/>
      <c r="RHM56" s="12"/>
      <c r="RHN56" s="12"/>
      <c r="RHO56" s="12"/>
      <c r="RHP56" s="12"/>
      <c r="RHQ56" s="12"/>
      <c r="RHR56" s="12"/>
      <c r="RHS56" s="12"/>
      <c r="RHT56" s="12"/>
      <c r="RHU56" s="12"/>
      <c r="RHV56" s="12"/>
      <c r="RHW56" s="12"/>
      <c r="RHX56" s="12"/>
      <c r="RHY56" s="12"/>
      <c r="RHZ56" s="12"/>
      <c r="RIA56" s="12"/>
      <c r="RIB56" s="12"/>
      <c r="RIC56" s="12"/>
      <c r="RID56" s="12"/>
      <c r="RIE56" s="12"/>
      <c r="RIF56" s="12"/>
      <c r="RIG56" s="12"/>
      <c r="RIH56" s="12"/>
      <c r="RII56" s="12"/>
      <c r="RIJ56" s="12"/>
      <c r="RIK56" s="12"/>
      <c r="RIL56" s="12"/>
      <c r="RIM56" s="12"/>
      <c r="RIN56" s="12"/>
      <c r="RIO56" s="12"/>
      <c r="RIP56" s="12"/>
      <c r="RIQ56" s="12"/>
      <c r="RIR56" s="12"/>
      <c r="RIS56" s="12"/>
      <c r="RIT56" s="12"/>
      <c r="RIU56" s="12"/>
      <c r="RIV56" s="12"/>
      <c r="RIW56" s="12"/>
      <c r="RIX56" s="12"/>
      <c r="RIY56" s="12"/>
      <c r="RIZ56" s="12"/>
      <c r="RJA56" s="12"/>
      <c r="RJB56" s="12"/>
      <c r="RJC56" s="12"/>
      <c r="RJD56" s="12"/>
      <c r="RJE56" s="12"/>
      <c r="RJF56" s="12"/>
      <c r="RJG56" s="12"/>
      <c r="RJH56" s="12"/>
      <c r="RJI56" s="12"/>
      <c r="RJJ56" s="12"/>
      <c r="RJK56" s="12"/>
      <c r="RJL56" s="12"/>
      <c r="RJM56" s="12"/>
      <c r="RJN56" s="12"/>
      <c r="RJO56" s="12"/>
      <c r="RJP56" s="12"/>
      <c r="RJQ56" s="12"/>
      <c r="RJR56" s="12"/>
      <c r="RJS56" s="12"/>
      <c r="RJT56" s="12"/>
      <c r="RJU56" s="12"/>
      <c r="RJV56" s="12"/>
      <c r="RJW56" s="12"/>
      <c r="RJX56" s="12"/>
      <c r="RJY56" s="12"/>
      <c r="RJZ56" s="12"/>
      <c r="RKA56" s="12"/>
      <c r="RKB56" s="12"/>
      <c r="RKC56" s="12"/>
      <c r="RKD56" s="12"/>
      <c r="RKE56" s="12"/>
      <c r="RKF56" s="12"/>
      <c r="RKG56" s="12"/>
      <c r="RKH56" s="12"/>
      <c r="RKI56" s="12"/>
      <c r="RKJ56" s="12"/>
      <c r="RKK56" s="12"/>
      <c r="RKL56" s="12"/>
      <c r="RKM56" s="12"/>
      <c r="RKN56" s="12"/>
      <c r="RKO56" s="12"/>
      <c r="RKP56" s="12"/>
      <c r="RKQ56" s="12"/>
      <c r="RKR56" s="12"/>
      <c r="RKS56" s="12"/>
      <c r="RKT56" s="12"/>
      <c r="RKU56" s="12"/>
      <c r="RKV56" s="12"/>
      <c r="RKW56" s="12"/>
      <c r="RKX56" s="12"/>
      <c r="RKY56" s="12"/>
      <c r="RKZ56" s="12"/>
      <c r="RLA56" s="12"/>
      <c r="RLB56" s="12"/>
      <c r="RLC56" s="12"/>
      <c r="RLD56" s="12"/>
      <c r="RLE56" s="12"/>
      <c r="RLF56" s="12"/>
      <c r="RLG56" s="12"/>
      <c r="RLH56" s="12"/>
      <c r="RLI56" s="12"/>
      <c r="RLJ56" s="12"/>
      <c r="RLK56" s="12"/>
      <c r="RLL56" s="12"/>
      <c r="RLM56" s="12"/>
      <c r="RLN56" s="12"/>
      <c r="RLO56" s="12"/>
      <c r="RLP56" s="12"/>
      <c r="RLQ56" s="12"/>
      <c r="RLR56" s="12"/>
      <c r="RLS56" s="12"/>
      <c r="RLT56" s="12"/>
      <c r="RLU56" s="12"/>
      <c r="RLV56" s="12"/>
      <c r="RLW56" s="12"/>
      <c r="RLX56" s="12"/>
      <c r="RLY56" s="12"/>
      <c r="RLZ56" s="12"/>
      <c r="RMA56" s="12"/>
      <c r="RMB56" s="12"/>
      <c r="RMC56" s="12"/>
      <c r="RMD56" s="12"/>
      <c r="RME56" s="12"/>
      <c r="RMF56" s="12"/>
      <c r="RMG56" s="12"/>
      <c r="RMH56" s="12"/>
      <c r="RMI56" s="12"/>
      <c r="RMJ56" s="12"/>
      <c r="RMK56" s="12"/>
      <c r="RML56" s="12"/>
      <c r="RMM56" s="12"/>
      <c r="RMN56" s="12"/>
      <c r="RMO56" s="12"/>
      <c r="RMP56" s="12"/>
      <c r="RMQ56" s="12"/>
      <c r="RMR56" s="12"/>
      <c r="RMS56" s="12"/>
      <c r="RMT56" s="12"/>
      <c r="RMU56" s="12"/>
      <c r="RMV56" s="12"/>
      <c r="RMW56" s="12"/>
      <c r="RMX56" s="12"/>
      <c r="RMY56" s="12"/>
      <c r="RMZ56" s="12"/>
      <c r="RNA56" s="12"/>
      <c r="RNB56" s="12"/>
      <c r="RNC56" s="12"/>
      <c r="RND56" s="12"/>
      <c r="RNE56" s="12"/>
      <c r="RNF56" s="12"/>
      <c r="RNG56" s="12"/>
      <c r="RNH56" s="12"/>
      <c r="RNI56" s="12"/>
      <c r="RNJ56" s="12"/>
      <c r="RNK56" s="12"/>
      <c r="RNL56" s="12"/>
      <c r="RNM56" s="12"/>
      <c r="RNN56" s="12"/>
      <c r="RNO56" s="12"/>
      <c r="RNP56" s="12"/>
      <c r="RNQ56" s="12"/>
      <c r="RNR56" s="12"/>
      <c r="RNS56" s="12"/>
      <c r="RNT56" s="12"/>
      <c r="RNU56" s="12"/>
      <c r="RNV56" s="12"/>
      <c r="RNW56" s="12"/>
      <c r="RNX56" s="12"/>
      <c r="RNY56" s="12"/>
      <c r="RNZ56" s="12"/>
      <c r="ROA56" s="12"/>
      <c r="ROB56" s="12"/>
      <c r="ROC56" s="12"/>
      <c r="ROD56" s="12"/>
      <c r="ROE56" s="12"/>
      <c r="ROF56" s="12"/>
      <c r="ROG56" s="12"/>
      <c r="ROH56" s="12"/>
      <c r="ROI56" s="12"/>
      <c r="ROJ56" s="12"/>
      <c r="ROK56" s="12"/>
      <c r="ROL56" s="12"/>
      <c r="ROM56" s="12"/>
      <c r="RON56" s="12"/>
      <c r="ROO56" s="12"/>
      <c r="ROP56" s="12"/>
      <c r="ROQ56" s="12"/>
      <c r="ROR56" s="12"/>
      <c r="ROS56" s="12"/>
      <c r="ROT56" s="12"/>
      <c r="ROU56" s="12"/>
      <c r="ROV56" s="12"/>
      <c r="ROW56" s="12"/>
      <c r="ROX56" s="12"/>
      <c r="ROY56" s="12"/>
      <c r="ROZ56" s="12"/>
      <c r="RPA56" s="12"/>
      <c r="RPB56" s="12"/>
      <c r="RPC56" s="12"/>
      <c r="RPD56" s="12"/>
      <c r="RPE56" s="12"/>
      <c r="RPF56" s="12"/>
      <c r="RPG56" s="12"/>
      <c r="RPH56" s="12"/>
      <c r="RPI56" s="12"/>
      <c r="RPJ56" s="12"/>
      <c r="RPK56" s="12"/>
      <c r="RPL56" s="12"/>
      <c r="RPM56" s="12"/>
      <c r="RPN56" s="12"/>
      <c r="RPO56" s="12"/>
      <c r="RPP56" s="12"/>
      <c r="RPQ56" s="12"/>
      <c r="RPR56" s="12"/>
      <c r="RPS56" s="12"/>
      <c r="RPT56" s="12"/>
      <c r="RPU56" s="12"/>
      <c r="RPV56" s="12"/>
      <c r="RPW56" s="12"/>
      <c r="RPX56" s="12"/>
      <c r="RPY56" s="12"/>
      <c r="RPZ56" s="12"/>
      <c r="RQA56" s="12"/>
      <c r="RQB56" s="12"/>
      <c r="RQC56" s="12"/>
      <c r="RQD56" s="12"/>
      <c r="RQE56" s="12"/>
      <c r="RQF56" s="12"/>
      <c r="RQG56" s="12"/>
      <c r="RQH56" s="12"/>
      <c r="RQI56" s="12"/>
      <c r="RQJ56" s="12"/>
      <c r="RQK56" s="12"/>
      <c r="RQL56" s="12"/>
      <c r="RQM56" s="12"/>
      <c r="RQN56" s="12"/>
      <c r="RQO56" s="12"/>
      <c r="RQP56" s="12"/>
      <c r="RQQ56" s="12"/>
      <c r="RQR56" s="12"/>
      <c r="RQS56" s="12"/>
      <c r="RQT56" s="12"/>
      <c r="RQU56" s="12"/>
      <c r="RQV56" s="12"/>
      <c r="RQW56" s="12"/>
      <c r="RQX56" s="12"/>
      <c r="RQY56" s="12"/>
      <c r="RQZ56" s="12"/>
      <c r="RRA56" s="12"/>
      <c r="RRB56" s="12"/>
      <c r="RRC56" s="12"/>
      <c r="RRD56" s="12"/>
      <c r="RRE56" s="12"/>
      <c r="RRF56" s="12"/>
      <c r="RRG56" s="12"/>
      <c r="RRH56" s="12"/>
      <c r="RRI56" s="12"/>
      <c r="RRJ56" s="12"/>
      <c r="RRK56" s="12"/>
      <c r="RRL56" s="12"/>
      <c r="RRM56" s="12"/>
      <c r="RRN56" s="12"/>
      <c r="RRO56" s="12"/>
      <c r="RRP56" s="12"/>
      <c r="RRQ56" s="12"/>
      <c r="RRR56" s="12"/>
      <c r="RRS56" s="12"/>
      <c r="RRT56" s="12"/>
      <c r="RRU56" s="12"/>
      <c r="RRV56" s="12"/>
      <c r="RRW56" s="12"/>
      <c r="RRX56" s="12"/>
      <c r="RRY56" s="12"/>
      <c r="RRZ56" s="12"/>
      <c r="RSA56" s="12"/>
      <c r="RSB56" s="12"/>
      <c r="RSC56" s="12"/>
      <c r="RSD56" s="12"/>
      <c r="RSE56" s="12"/>
      <c r="RSF56" s="12"/>
      <c r="RSG56" s="12"/>
      <c r="RSH56" s="12"/>
      <c r="RSI56" s="12"/>
      <c r="RSJ56" s="12"/>
      <c r="RSK56" s="12"/>
      <c r="RSL56" s="12"/>
      <c r="RSM56" s="12"/>
      <c r="RSN56" s="12"/>
      <c r="RSO56" s="12"/>
      <c r="RSP56" s="12"/>
      <c r="RSQ56" s="12"/>
      <c r="RSR56" s="12"/>
      <c r="RSS56" s="12"/>
      <c r="RST56" s="12"/>
      <c r="RSU56" s="12"/>
      <c r="RSV56" s="12"/>
      <c r="RSW56" s="12"/>
      <c r="RSX56" s="12"/>
      <c r="RSY56" s="12"/>
      <c r="RSZ56" s="12"/>
      <c r="RTA56" s="12"/>
      <c r="RTB56" s="12"/>
      <c r="RTC56" s="12"/>
      <c r="RTD56" s="12"/>
      <c r="RTE56" s="12"/>
      <c r="RTF56" s="12"/>
      <c r="RTG56" s="12"/>
      <c r="RTH56" s="12"/>
      <c r="RTI56" s="12"/>
      <c r="RTJ56" s="12"/>
      <c r="RTK56" s="12"/>
      <c r="RTL56" s="12"/>
      <c r="RTM56" s="12"/>
      <c r="RTN56" s="12"/>
      <c r="RTO56" s="12"/>
      <c r="RTP56" s="12"/>
      <c r="RTQ56" s="12"/>
      <c r="RTR56" s="12"/>
      <c r="RTS56" s="12"/>
      <c r="RTT56" s="12"/>
      <c r="RTU56" s="12"/>
      <c r="RTV56" s="12"/>
      <c r="RTW56" s="12"/>
      <c r="RTX56" s="12"/>
      <c r="RTY56" s="12"/>
      <c r="RTZ56" s="12"/>
      <c r="RUA56" s="12"/>
      <c r="RUB56" s="12"/>
      <c r="RUC56" s="12"/>
      <c r="RUD56" s="12"/>
      <c r="RUE56" s="12"/>
      <c r="RUF56" s="12"/>
      <c r="RUG56" s="12"/>
      <c r="RUH56" s="12"/>
      <c r="RUI56" s="12"/>
      <c r="RUJ56" s="12"/>
      <c r="RUK56" s="12"/>
      <c r="RUL56" s="12"/>
      <c r="RUM56" s="12"/>
      <c r="RUN56" s="12"/>
      <c r="RUO56" s="12"/>
      <c r="RUP56" s="12"/>
      <c r="RUQ56" s="12"/>
      <c r="RUR56" s="12"/>
      <c r="RUS56" s="12"/>
      <c r="RUT56" s="12"/>
      <c r="RUU56" s="12"/>
      <c r="RUV56" s="12"/>
      <c r="RUW56" s="12"/>
      <c r="RUX56" s="12"/>
      <c r="RUY56" s="12"/>
      <c r="RUZ56" s="12"/>
      <c r="RVA56" s="12"/>
      <c r="RVB56" s="12"/>
      <c r="RVC56" s="12"/>
      <c r="RVD56" s="12"/>
      <c r="RVE56" s="12"/>
      <c r="RVF56" s="12"/>
      <c r="RVG56" s="12"/>
      <c r="RVH56" s="12"/>
      <c r="RVI56" s="12"/>
      <c r="RVJ56" s="12"/>
      <c r="RVK56" s="12"/>
      <c r="RVL56" s="12"/>
      <c r="RVM56" s="12"/>
      <c r="RVN56" s="12"/>
      <c r="RVO56" s="12"/>
      <c r="RVP56" s="12"/>
      <c r="RVQ56" s="12"/>
      <c r="RVR56" s="12"/>
      <c r="RVS56" s="12"/>
      <c r="RVT56" s="12"/>
      <c r="RVU56" s="12"/>
      <c r="RVV56" s="12"/>
      <c r="RVW56" s="12"/>
      <c r="RVX56" s="12"/>
      <c r="RVY56" s="12"/>
      <c r="RVZ56" s="12"/>
      <c r="RWA56" s="12"/>
      <c r="RWB56" s="12"/>
      <c r="RWC56" s="12"/>
      <c r="RWD56" s="12"/>
      <c r="RWE56" s="12"/>
      <c r="RWF56" s="12"/>
      <c r="RWG56" s="12"/>
      <c r="RWH56" s="12"/>
      <c r="RWI56" s="12"/>
      <c r="RWJ56" s="12"/>
      <c r="RWK56" s="12"/>
      <c r="RWL56" s="12"/>
      <c r="RWM56" s="12"/>
      <c r="RWN56" s="12"/>
      <c r="RWO56" s="12"/>
      <c r="RWP56" s="12"/>
      <c r="RWQ56" s="12"/>
      <c r="RWR56" s="12"/>
      <c r="RWS56" s="12"/>
      <c r="RWT56" s="12"/>
      <c r="RWU56" s="12"/>
      <c r="RWV56" s="12"/>
      <c r="RWW56" s="12"/>
      <c r="RWX56" s="12"/>
      <c r="RWY56" s="12"/>
      <c r="RWZ56" s="12"/>
      <c r="RXA56" s="12"/>
      <c r="RXB56" s="12"/>
      <c r="RXC56" s="12"/>
      <c r="RXD56" s="12"/>
      <c r="RXE56" s="12"/>
      <c r="RXF56" s="12"/>
      <c r="RXG56" s="12"/>
      <c r="RXH56" s="12"/>
      <c r="RXI56" s="12"/>
      <c r="RXJ56" s="12"/>
      <c r="RXK56" s="12"/>
      <c r="RXL56" s="12"/>
      <c r="RXM56" s="12"/>
      <c r="RXN56" s="12"/>
      <c r="RXO56" s="12"/>
      <c r="RXP56" s="12"/>
      <c r="RXQ56" s="12"/>
      <c r="RXR56" s="12"/>
      <c r="RXS56" s="12"/>
      <c r="RXT56" s="12"/>
      <c r="RXU56" s="12"/>
      <c r="RXV56" s="12"/>
      <c r="RXW56" s="12"/>
      <c r="RXX56" s="12"/>
      <c r="RXY56" s="12"/>
      <c r="RXZ56" s="12"/>
      <c r="RYA56" s="12"/>
      <c r="RYB56" s="12"/>
      <c r="RYC56" s="12"/>
      <c r="RYD56" s="12"/>
      <c r="RYE56" s="12"/>
      <c r="RYF56" s="12"/>
      <c r="RYG56" s="12"/>
      <c r="RYH56" s="12"/>
      <c r="RYI56" s="12"/>
      <c r="RYJ56" s="12"/>
      <c r="RYK56" s="12"/>
      <c r="RYL56" s="12"/>
      <c r="RYM56" s="12"/>
      <c r="RYN56" s="12"/>
      <c r="RYO56" s="12"/>
      <c r="RYP56" s="12"/>
      <c r="RYQ56" s="12"/>
      <c r="RYR56" s="12"/>
      <c r="RYS56" s="12"/>
      <c r="RYT56" s="12"/>
      <c r="RYU56" s="12"/>
      <c r="RYV56" s="12"/>
      <c r="RYW56" s="12"/>
      <c r="RYX56" s="12"/>
      <c r="RYY56" s="12"/>
      <c r="RYZ56" s="12"/>
      <c r="RZA56" s="12"/>
      <c r="RZB56" s="12"/>
      <c r="RZC56" s="12"/>
      <c r="RZD56" s="12"/>
      <c r="RZE56" s="12"/>
      <c r="RZF56" s="12"/>
      <c r="RZG56" s="12"/>
      <c r="RZH56" s="12"/>
      <c r="RZI56" s="12"/>
      <c r="RZJ56" s="12"/>
      <c r="RZK56" s="12"/>
      <c r="RZL56" s="12"/>
      <c r="RZM56" s="12"/>
      <c r="RZN56" s="12"/>
      <c r="RZO56" s="12"/>
      <c r="RZP56" s="12"/>
      <c r="RZQ56" s="12"/>
      <c r="RZR56" s="12"/>
      <c r="RZS56" s="12"/>
      <c r="RZT56" s="12"/>
      <c r="RZU56" s="12"/>
      <c r="RZV56" s="12"/>
      <c r="RZW56" s="12"/>
      <c r="RZX56" s="12"/>
      <c r="RZY56" s="12"/>
      <c r="RZZ56" s="12"/>
      <c r="SAA56" s="12"/>
      <c r="SAB56" s="12"/>
      <c r="SAC56" s="12"/>
      <c r="SAD56" s="12"/>
      <c r="SAE56" s="12"/>
      <c r="SAF56" s="12"/>
      <c r="SAG56" s="12"/>
      <c r="SAH56" s="12"/>
      <c r="SAI56" s="12"/>
      <c r="SAJ56" s="12"/>
      <c r="SAK56" s="12"/>
      <c r="SAL56" s="12"/>
      <c r="SAM56" s="12"/>
      <c r="SAN56" s="12"/>
      <c r="SAO56" s="12"/>
      <c r="SAP56" s="12"/>
      <c r="SAQ56" s="12"/>
      <c r="SAR56" s="12"/>
      <c r="SAS56" s="12"/>
      <c r="SAT56" s="12"/>
      <c r="SAU56" s="12"/>
      <c r="SAV56" s="12"/>
      <c r="SAW56" s="12"/>
      <c r="SAX56" s="12"/>
      <c r="SAY56" s="12"/>
      <c r="SAZ56" s="12"/>
      <c r="SBA56" s="12"/>
      <c r="SBB56" s="12"/>
      <c r="SBC56" s="12"/>
      <c r="SBD56" s="12"/>
      <c r="SBE56" s="12"/>
      <c r="SBF56" s="12"/>
      <c r="SBG56" s="12"/>
      <c r="SBH56" s="12"/>
      <c r="SBI56" s="12"/>
      <c r="SBJ56" s="12"/>
      <c r="SBK56" s="12"/>
      <c r="SBL56" s="12"/>
      <c r="SBM56" s="12"/>
      <c r="SBN56" s="12"/>
      <c r="SBO56" s="12"/>
      <c r="SBP56" s="12"/>
      <c r="SBQ56" s="12"/>
      <c r="SBR56" s="12"/>
      <c r="SBS56" s="12"/>
      <c r="SBT56" s="12"/>
      <c r="SBU56" s="12"/>
      <c r="SBV56" s="12"/>
      <c r="SBW56" s="12"/>
      <c r="SBX56" s="12"/>
      <c r="SBY56" s="12"/>
      <c r="SBZ56" s="12"/>
      <c r="SCA56" s="12"/>
      <c r="SCB56" s="12"/>
      <c r="SCC56" s="12"/>
      <c r="SCD56" s="12"/>
      <c r="SCE56" s="12"/>
      <c r="SCF56" s="12"/>
      <c r="SCG56" s="12"/>
      <c r="SCH56" s="12"/>
      <c r="SCI56" s="12"/>
      <c r="SCJ56" s="12"/>
      <c r="SCK56" s="12"/>
      <c r="SCL56" s="12"/>
      <c r="SCM56" s="12"/>
      <c r="SCN56" s="12"/>
      <c r="SCO56" s="12"/>
      <c r="SCP56" s="12"/>
      <c r="SCQ56" s="12"/>
      <c r="SCR56" s="12"/>
      <c r="SCS56" s="12"/>
      <c r="SCT56" s="12"/>
      <c r="SCU56" s="12"/>
      <c r="SCV56" s="12"/>
      <c r="SCW56" s="12"/>
      <c r="SCX56" s="12"/>
      <c r="SCY56" s="12"/>
      <c r="SCZ56" s="12"/>
      <c r="SDA56" s="12"/>
      <c r="SDB56" s="12"/>
      <c r="SDC56" s="12"/>
      <c r="SDD56" s="12"/>
      <c r="SDE56" s="12"/>
      <c r="SDF56" s="12"/>
      <c r="SDG56" s="12"/>
      <c r="SDH56" s="12"/>
      <c r="SDI56" s="12"/>
      <c r="SDJ56" s="12"/>
      <c r="SDK56" s="12"/>
      <c r="SDL56" s="12"/>
      <c r="SDM56" s="12"/>
      <c r="SDN56" s="12"/>
      <c r="SDO56" s="12"/>
      <c r="SDP56" s="12"/>
      <c r="SDQ56" s="12"/>
      <c r="SDR56" s="12"/>
      <c r="SDS56" s="12"/>
      <c r="SDT56" s="12"/>
      <c r="SDU56" s="12"/>
      <c r="SDV56" s="12"/>
      <c r="SDW56" s="12"/>
      <c r="SDX56" s="12"/>
      <c r="SDY56" s="12"/>
      <c r="SDZ56" s="12"/>
      <c r="SEA56" s="12"/>
      <c r="SEB56" s="12"/>
      <c r="SEC56" s="12"/>
      <c r="SED56" s="12"/>
      <c r="SEE56" s="12"/>
      <c r="SEF56" s="12"/>
      <c r="SEG56" s="12"/>
      <c r="SEH56" s="12"/>
      <c r="SEI56" s="12"/>
      <c r="SEJ56" s="12"/>
      <c r="SEK56" s="12"/>
      <c r="SEL56" s="12"/>
      <c r="SEM56" s="12"/>
      <c r="SEN56" s="12"/>
      <c r="SEO56" s="12"/>
      <c r="SEP56" s="12"/>
      <c r="SEQ56" s="12"/>
      <c r="SER56" s="12"/>
      <c r="SES56" s="12"/>
      <c r="SET56" s="12"/>
      <c r="SEU56" s="12"/>
      <c r="SEV56" s="12"/>
      <c r="SEW56" s="12"/>
      <c r="SEX56" s="12"/>
      <c r="SEY56" s="12"/>
      <c r="SEZ56" s="12"/>
      <c r="SFA56" s="12"/>
      <c r="SFB56" s="12"/>
      <c r="SFC56" s="12"/>
      <c r="SFD56" s="12"/>
      <c r="SFE56" s="12"/>
      <c r="SFF56" s="12"/>
      <c r="SFG56" s="12"/>
      <c r="SFH56" s="12"/>
      <c r="SFI56" s="12"/>
      <c r="SFJ56" s="12"/>
      <c r="SFK56" s="12"/>
      <c r="SFL56" s="12"/>
      <c r="SFM56" s="12"/>
      <c r="SFN56" s="12"/>
      <c r="SFO56" s="12"/>
      <c r="SFP56" s="12"/>
      <c r="SFQ56" s="12"/>
      <c r="SFR56" s="12"/>
      <c r="SFS56" s="12"/>
      <c r="SFT56" s="12"/>
      <c r="SFU56" s="12"/>
      <c r="SFV56" s="12"/>
      <c r="SFW56" s="12"/>
      <c r="SFX56" s="12"/>
      <c r="SFY56" s="12"/>
      <c r="SFZ56" s="12"/>
      <c r="SGA56" s="12"/>
      <c r="SGB56" s="12"/>
      <c r="SGC56" s="12"/>
      <c r="SGD56" s="12"/>
      <c r="SGE56" s="12"/>
      <c r="SGF56" s="12"/>
      <c r="SGG56" s="12"/>
      <c r="SGH56" s="12"/>
      <c r="SGI56" s="12"/>
      <c r="SGJ56" s="12"/>
      <c r="SGK56" s="12"/>
      <c r="SGL56" s="12"/>
      <c r="SGM56" s="12"/>
      <c r="SGN56" s="12"/>
      <c r="SGO56" s="12"/>
      <c r="SGP56" s="12"/>
      <c r="SGQ56" s="12"/>
      <c r="SGR56" s="12"/>
      <c r="SGS56" s="12"/>
      <c r="SGT56" s="12"/>
      <c r="SGU56" s="12"/>
      <c r="SGV56" s="12"/>
      <c r="SGW56" s="12"/>
      <c r="SGX56" s="12"/>
      <c r="SGY56" s="12"/>
      <c r="SGZ56" s="12"/>
      <c r="SHA56" s="12"/>
      <c r="SHB56" s="12"/>
      <c r="SHC56" s="12"/>
      <c r="SHD56" s="12"/>
      <c r="SHE56" s="12"/>
      <c r="SHF56" s="12"/>
      <c r="SHG56" s="12"/>
      <c r="SHH56" s="12"/>
      <c r="SHI56" s="12"/>
      <c r="SHJ56" s="12"/>
      <c r="SHK56" s="12"/>
      <c r="SHL56" s="12"/>
      <c r="SHM56" s="12"/>
      <c r="SHN56" s="12"/>
      <c r="SHO56" s="12"/>
      <c r="SHP56" s="12"/>
      <c r="SHQ56" s="12"/>
      <c r="SHR56" s="12"/>
      <c r="SHS56" s="12"/>
      <c r="SHT56" s="12"/>
      <c r="SHU56" s="12"/>
      <c r="SHV56" s="12"/>
      <c r="SHW56" s="12"/>
      <c r="SHX56" s="12"/>
      <c r="SHY56" s="12"/>
      <c r="SHZ56" s="12"/>
      <c r="SIA56" s="12"/>
      <c r="SIB56" s="12"/>
      <c r="SIC56" s="12"/>
      <c r="SID56" s="12"/>
      <c r="SIE56" s="12"/>
      <c r="SIF56" s="12"/>
      <c r="SIG56" s="12"/>
      <c r="SIH56" s="12"/>
      <c r="SII56" s="12"/>
      <c r="SIJ56" s="12"/>
      <c r="SIK56" s="12"/>
      <c r="SIL56" s="12"/>
      <c r="SIM56" s="12"/>
      <c r="SIN56" s="12"/>
      <c r="SIO56" s="12"/>
      <c r="SIP56" s="12"/>
      <c r="SIQ56" s="12"/>
      <c r="SIR56" s="12"/>
      <c r="SIS56" s="12"/>
      <c r="SIT56" s="12"/>
      <c r="SIU56" s="12"/>
      <c r="SIV56" s="12"/>
      <c r="SIW56" s="12"/>
      <c r="SIX56" s="12"/>
      <c r="SIY56" s="12"/>
      <c r="SIZ56" s="12"/>
      <c r="SJA56" s="12"/>
      <c r="SJB56" s="12"/>
      <c r="SJC56" s="12"/>
      <c r="SJD56" s="12"/>
      <c r="SJE56" s="12"/>
      <c r="SJF56" s="12"/>
      <c r="SJG56" s="12"/>
      <c r="SJH56" s="12"/>
      <c r="SJI56" s="12"/>
      <c r="SJJ56" s="12"/>
      <c r="SJK56" s="12"/>
      <c r="SJL56" s="12"/>
      <c r="SJM56" s="12"/>
      <c r="SJN56" s="12"/>
      <c r="SJO56" s="12"/>
      <c r="SJP56" s="12"/>
      <c r="SJQ56" s="12"/>
      <c r="SJR56" s="12"/>
      <c r="SJS56" s="12"/>
      <c r="SJT56" s="12"/>
      <c r="SJU56" s="12"/>
      <c r="SJV56" s="12"/>
      <c r="SJW56" s="12"/>
      <c r="SJX56" s="12"/>
      <c r="SJY56" s="12"/>
      <c r="SJZ56" s="12"/>
      <c r="SKA56" s="12"/>
      <c r="SKB56" s="12"/>
      <c r="SKC56" s="12"/>
      <c r="SKD56" s="12"/>
      <c r="SKE56" s="12"/>
      <c r="SKF56" s="12"/>
      <c r="SKG56" s="12"/>
      <c r="SKH56" s="12"/>
      <c r="SKI56" s="12"/>
      <c r="SKJ56" s="12"/>
      <c r="SKK56" s="12"/>
      <c r="SKL56" s="12"/>
      <c r="SKM56" s="12"/>
      <c r="SKN56" s="12"/>
      <c r="SKO56" s="12"/>
      <c r="SKP56" s="12"/>
      <c r="SKQ56" s="12"/>
      <c r="SKR56" s="12"/>
      <c r="SKS56" s="12"/>
      <c r="SKT56" s="12"/>
      <c r="SKU56" s="12"/>
      <c r="SKV56" s="12"/>
      <c r="SKW56" s="12"/>
      <c r="SKX56" s="12"/>
      <c r="SKY56" s="12"/>
      <c r="SKZ56" s="12"/>
      <c r="SLA56" s="12"/>
      <c r="SLB56" s="12"/>
      <c r="SLC56" s="12"/>
      <c r="SLD56" s="12"/>
      <c r="SLE56" s="12"/>
      <c r="SLF56" s="12"/>
      <c r="SLG56" s="12"/>
      <c r="SLH56" s="12"/>
      <c r="SLI56" s="12"/>
      <c r="SLJ56" s="12"/>
      <c r="SLK56" s="12"/>
      <c r="SLL56" s="12"/>
      <c r="SLM56" s="12"/>
      <c r="SLN56" s="12"/>
      <c r="SLO56" s="12"/>
      <c r="SLP56" s="12"/>
      <c r="SLQ56" s="12"/>
      <c r="SLR56" s="12"/>
      <c r="SLS56" s="12"/>
      <c r="SLT56" s="12"/>
      <c r="SLU56" s="12"/>
      <c r="SLV56" s="12"/>
      <c r="SLW56" s="12"/>
      <c r="SLX56" s="12"/>
      <c r="SLY56" s="12"/>
      <c r="SLZ56" s="12"/>
      <c r="SMA56" s="12"/>
      <c r="SMB56" s="12"/>
      <c r="SMC56" s="12"/>
      <c r="SMD56" s="12"/>
      <c r="SME56" s="12"/>
      <c r="SMF56" s="12"/>
      <c r="SMG56" s="12"/>
      <c r="SMH56" s="12"/>
      <c r="SMI56" s="12"/>
      <c r="SMJ56" s="12"/>
      <c r="SMK56" s="12"/>
      <c r="SML56" s="12"/>
      <c r="SMM56" s="12"/>
      <c r="SMN56" s="12"/>
      <c r="SMO56" s="12"/>
      <c r="SMP56" s="12"/>
      <c r="SMQ56" s="12"/>
      <c r="SMR56" s="12"/>
      <c r="SMS56" s="12"/>
      <c r="SMT56" s="12"/>
      <c r="SMU56" s="12"/>
      <c r="SMV56" s="12"/>
      <c r="SMW56" s="12"/>
      <c r="SMX56" s="12"/>
      <c r="SMY56" s="12"/>
      <c r="SMZ56" s="12"/>
      <c r="SNA56" s="12"/>
      <c r="SNB56" s="12"/>
      <c r="SNC56" s="12"/>
      <c r="SND56" s="12"/>
      <c r="SNE56" s="12"/>
      <c r="SNF56" s="12"/>
      <c r="SNG56" s="12"/>
      <c r="SNH56" s="12"/>
      <c r="SNI56" s="12"/>
      <c r="SNJ56" s="12"/>
      <c r="SNK56" s="12"/>
      <c r="SNL56" s="12"/>
      <c r="SNM56" s="12"/>
      <c r="SNN56" s="12"/>
      <c r="SNO56" s="12"/>
      <c r="SNP56" s="12"/>
      <c r="SNQ56" s="12"/>
      <c r="SNR56" s="12"/>
      <c r="SNS56" s="12"/>
      <c r="SNT56" s="12"/>
      <c r="SNU56" s="12"/>
      <c r="SNV56" s="12"/>
      <c r="SNW56" s="12"/>
      <c r="SNX56" s="12"/>
      <c r="SNY56" s="12"/>
      <c r="SNZ56" s="12"/>
      <c r="SOA56" s="12"/>
      <c r="SOB56" s="12"/>
      <c r="SOC56" s="12"/>
      <c r="SOD56" s="12"/>
      <c r="SOE56" s="12"/>
      <c r="SOF56" s="12"/>
      <c r="SOG56" s="12"/>
      <c r="SOH56" s="12"/>
      <c r="SOI56" s="12"/>
      <c r="SOJ56" s="12"/>
      <c r="SOK56" s="12"/>
      <c r="SOL56" s="12"/>
      <c r="SOM56" s="12"/>
      <c r="SON56" s="12"/>
      <c r="SOO56" s="12"/>
      <c r="SOP56" s="12"/>
      <c r="SOQ56" s="12"/>
      <c r="SOR56" s="12"/>
      <c r="SOS56" s="12"/>
      <c r="SOT56" s="12"/>
      <c r="SOU56" s="12"/>
      <c r="SOV56" s="12"/>
      <c r="SOW56" s="12"/>
      <c r="SOX56" s="12"/>
      <c r="SOY56" s="12"/>
      <c r="SOZ56" s="12"/>
      <c r="SPA56" s="12"/>
      <c r="SPB56" s="12"/>
      <c r="SPC56" s="12"/>
      <c r="SPD56" s="12"/>
      <c r="SPE56" s="12"/>
      <c r="SPF56" s="12"/>
      <c r="SPG56" s="12"/>
      <c r="SPH56" s="12"/>
      <c r="SPI56" s="12"/>
      <c r="SPJ56" s="12"/>
      <c r="SPK56" s="12"/>
      <c r="SPL56" s="12"/>
      <c r="SPM56" s="12"/>
      <c r="SPN56" s="12"/>
      <c r="SPO56" s="12"/>
      <c r="SPP56" s="12"/>
      <c r="SPQ56" s="12"/>
      <c r="SPR56" s="12"/>
      <c r="SPS56" s="12"/>
      <c r="SPT56" s="12"/>
      <c r="SPU56" s="12"/>
      <c r="SPV56" s="12"/>
      <c r="SPW56" s="12"/>
      <c r="SPX56" s="12"/>
      <c r="SPY56" s="12"/>
      <c r="SPZ56" s="12"/>
      <c r="SQA56" s="12"/>
      <c r="SQB56" s="12"/>
      <c r="SQC56" s="12"/>
      <c r="SQD56" s="12"/>
      <c r="SQE56" s="12"/>
      <c r="SQF56" s="12"/>
      <c r="SQG56" s="12"/>
      <c r="SQH56" s="12"/>
      <c r="SQI56" s="12"/>
      <c r="SQJ56" s="12"/>
      <c r="SQK56" s="12"/>
      <c r="SQL56" s="12"/>
      <c r="SQM56" s="12"/>
      <c r="SQN56" s="12"/>
      <c r="SQO56" s="12"/>
      <c r="SQP56" s="12"/>
      <c r="SQQ56" s="12"/>
      <c r="SQR56" s="12"/>
      <c r="SQS56" s="12"/>
      <c r="SQT56" s="12"/>
      <c r="SQU56" s="12"/>
      <c r="SQV56" s="12"/>
      <c r="SQW56" s="12"/>
      <c r="SQX56" s="12"/>
      <c r="SQY56" s="12"/>
      <c r="SQZ56" s="12"/>
      <c r="SRA56" s="12"/>
      <c r="SRB56" s="12"/>
      <c r="SRC56" s="12"/>
      <c r="SRD56" s="12"/>
      <c r="SRE56" s="12"/>
      <c r="SRF56" s="12"/>
      <c r="SRG56" s="12"/>
      <c r="SRH56" s="12"/>
      <c r="SRI56" s="12"/>
      <c r="SRJ56" s="12"/>
      <c r="SRK56" s="12"/>
      <c r="SRL56" s="12"/>
      <c r="SRM56" s="12"/>
      <c r="SRN56" s="12"/>
      <c r="SRO56" s="12"/>
      <c r="SRP56" s="12"/>
      <c r="SRQ56" s="12"/>
      <c r="SRR56" s="12"/>
      <c r="SRS56" s="12"/>
      <c r="SRT56" s="12"/>
      <c r="SRU56" s="12"/>
      <c r="SRV56" s="12"/>
      <c r="SRW56" s="12"/>
      <c r="SRX56" s="12"/>
      <c r="SRY56" s="12"/>
      <c r="SRZ56" s="12"/>
      <c r="SSA56" s="12"/>
      <c r="SSB56" s="12"/>
      <c r="SSC56" s="12"/>
      <c r="SSD56" s="12"/>
      <c r="SSE56" s="12"/>
      <c r="SSF56" s="12"/>
      <c r="SSG56" s="12"/>
      <c r="SSH56" s="12"/>
      <c r="SSI56" s="12"/>
      <c r="SSJ56" s="12"/>
      <c r="SSK56" s="12"/>
      <c r="SSL56" s="12"/>
      <c r="SSM56" s="12"/>
      <c r="SSN56" s="12"/>
      <c r="SSO56" s="12"/>
      <c r="SSP56" s="12"/>
      <c r="SSQ56" s="12"/>
      <c r="SSR56" s="12"/>
      <c r="SSS56" s="12"/>
      <c r="SST56" s="12"/>
      <c r="SSU56" s="12"/>
      <c r="SSV56" s="12"/>
      <c r="SSW56" s="12"/>
      <c r="SSX56" s="12"/>
      <c r="SSY56" s="12"/>
      <c r="SSZ56" s="12"/>
      <c r="STA56" s="12"/>
      <c r="STB56" s="12"/>
      <c r="STC56" s="12"/>
      <c r="STD56" s="12"/>
      <c r="STE56" s="12"/>
      <c r="STF56" s="12"/>
      <c r="STG56" s="12"/>
      <c r="STH56" s="12"/>
      <c r="STI56" s="12"/>
      <c r="STJ56" s="12"/>
      <c r="STK56" s="12"/>
      <c r="STL56" s="12"/>
      <c r="STM56" s="12"/>
      <c r="STN56" s="12"/>
      <c r="STO56" s="12"/>
      <c r="STP56" s="12"/>
      <c r="STQ56" s="12"/>
      <c r="STR56" s="12"/>
      <c r="STS56" s="12"/>
      <c r="STT56" s="12"/>
      <c r="STU56" s="12"/>
      <c r="STV56" s="12"/>
      <c r="STW56" s="12"/>
      <c r="STX56" s="12"/>
      <c r="STY56" s="12"/>
      <c r="STZ56" s="12"/>
      <c r="SUA56" s="12"/>
      <c r="SUB56" s="12"/>
      <c r="SUC56" s="12"/>
      <c r="SUD56" s="12"/>
      <c r="SUE56" s="12"/>
      <c r="SUF56" s="12"/>
      <c r="SUG56" s="12"/>
      <c r="SUH56" s="12"/>
      <c r="SUI56" s="12"/>
      <c r="SUJ56" s="12"/>
      <c r="SUK56" s="12"/>
      <c r="SUL56" s="12"/>
      <c r="SUM56" s="12"/>
      <c r="SUN56" s="12"/>
      <c r="SUO56" s="12"/>
      <c r="SUP56" s="12"/>
      <c r="SUQ56" s="12"/>
      <c r="SUR56" s="12"/>
      <c r="SUS56" s="12"/>
      <c r="SUT56" s="12"/>
      <c r="SUU56" s="12"/>
      <c r="SUV56" s="12"/>
      <c r="SUW56" s="12"/>
      <c r="SUX56" s="12"/>
      <c r="SUY56" s="12"/>
      <c r="SUZ56" s="12"/>
      <c r="SVA56" s="12"/>
      <c r="SVB56" s="12"/>
      <c r="SVC56" s="12"/>
      <c r="SVD56" s="12"/>
      <c r="SVE56" s="12"/>
      <c r="SVF56" s="12"/>
      <c r="SVG56" s="12"/>
      <c r="SVH56" s="12"/>
      <c r="SVI56" s="12"/>
      <c r="SVJ56" s="12"/>
      <c r="SVK56" s="12"/>
      <c r="SVL56" s="12"/>
      <c r="SVM56" s="12"/>
      <c r="SVN56" s="12"/>
      <c r="SVO56" s="12"/>
      <c r="SVP56" s="12"/>
      <c r="SVQ56" s="12"/>
      <c r="SVR56" s="12"/>
      <c r="SVS56" s="12"/>
      <c r="SVT56" s="12"/>
      <c r="SVU56" s="12"/>
      <c r="SVV56" s="12"/>
      <c r="SVW56" s="12"/>
      <c r="SVX56" s="12"/>
      <c r="SVY56" s="12"/>
      <c r="SVZ56" s="12"/>
      <c r="SWA56" s="12"/>
      <c r="SWB56" s="12"/>
      <c r="SWC56" s="12"/>
      <c r="SWD56" s="12"/>
      <c r="SWE56" s="12"/>
      <c r="SWF56" s="12"/>
      <c r="SWG56" s="12"/>
      <c r="SWH56" s="12"/>
      <c r="SWI56" s="12"/>
      <c r="SWJ56" s="12"/>
      <c r="SWK56" s="12"/>
      <c r="SWL56" s="12"/>
      <c r="SWM56" s="12"/>
      <c r="SWN56" s="12"/>
      <c r="SWO56" s="12"/>
      <c r="SWP56" s="12"/>
      <c r="SWQ56" s="12"/>
      <c r="SWR56" s="12"/>
      <c r="SWS56" s="12"/>
      <c r="SWT56" s="12"/>
      <c r="SWU56" s="12"/>
      <c r="SWV56" s="12"/>
      <c r="SWW56" s="12"/>
      <c r="SWX56" s="12"/>
      <c r="SWY56" s="12"/>
      <c r="SWZ56" s="12"/>
      <c r="SXA56" s="12"/>
      <c r="SXB56" s="12"/>
      <c r="SXC56" s="12"/>
      <c r="SXD56" s="12"/>
      <c r="SXE56" s="12"/>
      <c r="SXF56" s="12"/>
      <c r="SXG56" s="12"/>
      <c r="SXH56" s="12"/>
      <c r="SXI56" s="12"/>
      <c r="SXJ56" s="12"/>
      <c r="SXK56" s="12"/>
      <c r="SXL56" s="12"/>
      <c r="SXM56" s="12"/>
      <c r="SXN56" s="12"/>
      <c r="SXO56" s="12"/>
      <c r="SXP56" s="12"/>
      <c r="SXQ56" s="12"/>
      <c r="SXR56" s="12"/>
      <c r="SXS56" s="12"/>
      <c r="SXT56" s="12"/>
      <c r="SXU56" s="12"/>
      <c r="SXV56" s="12"/>
      <c r="SXW56" s="12"/>
      <c r="SXX56" s="12"/>
      <c r="SXY56" s="12"/>
      <c r="SXZ56" s="12"/>
      <c r="SYA56" s="12"/>
      <c r="SYB56" s="12"/>
      <c r="SYC56" s="12"/>
      <c r="SYD56" s="12"/>
      <c r="SYE56" s="12"/>
      <c r="SYF56" s="12"/>
      <c r="SYG56" s="12"/>
      <c r="SYH56" s="12"/>
      <c r="SYI56" s="12"/>
      <c r="SYJ56" s="12"/>
      <c r="SYK56" s="12"/>
      <c r="SYL56" s="12"/>
      <c r="SYM56" s="12"/>
      <c r="SYN56" s="12"/>
      <c r="SYO56" s="12"/>
      <c r="SYP56" s="12"/>
      <c r="SYQ56" s="12"/>
      <c r="SYR56" s="12"/>
      <c r="SYS56" s="12"/>
      <c r="SYT56" s="12"/>
      <c r="SYU56" s="12"/>
      <c r="SYV56" s="12"/>
      <c r="SYW56" s="12"/>
      <c r="SYX56" s="12"/>
      <c r="SYY56" s="12"/>
      <c r="SYZ56" s="12"/>
      <c r="SZA56" s="12"/>
      <c r="SZB56" s="12"/>
      <c r="SZC56" s="12"/>
      <c r="SZD56" s="12"/>
      <c r="SZE56" s="12"/>
      <c r="SZF56" s="12"/>
      <c r="SZG56" s="12"/>
      <c r="SZH56" s="12"/>
      <c r="SZI56" s="12"/>
      <c r="SZJ56" s="12"/>
      <c r="SZK56" s="12"/>
      <c r="SZL56" s="12"/>
      <c r="SZM56" s="12"/>
      <c r="SZN56" s="12"/>
      <c r="SZO56" s="12"/>
      <c r="SZP56" s="12"/>
      <c r="SZQ56" s="12"/>
      <c r="SZR56" s="12"/>
      <c r="SZS56" s="12"/>
      <c r="SZT56" s="12"/>
      <c r="SZU56" s="12"/>
      <c r="SZV56" s="12"/>
      <c r="SZW56" s="12"/>
      <c r="SZX56" s="12"/>
      <c r="SZY56" s="12"/>
      <c r="SZZ56" s="12"/>
      <c r="TAA56" s="12"/>
      <c r="TAB56" s="12"/>
      <c r="TAC56" s="12"/>
      <c r="TAD56" s="12"/>
      <c r="TAE56" s="12"/>
      <c r="TAF56" s="12"/>
      <c r="TAG56" s="12"/>
      <c r="TAH56" s="12"/>
      <c r="TAI56" s="12"/>
      <c r="TAJ56" s="12"/>
      <c r="TAK56" s="12"/>
      <c r="TAL56" s="12"/>
      <c r="TAM56" s="12"/>
      <c r="TAN56" s="12"/>
      <c r="TAO56" s="12"/>
      <c r="TAP56" s="12"/>
      <c r="TAQ56" s="12"/>
      <c r="TAR56" s="12"/>
      <c r="TAS56" s="12"/>
      <c r="TAT56" s="12"/>
      <c r="TAU56" s="12"/>
      <c r="TAV56" s="12"/>
      <c r="TAW56" s="12"/>
      <c r="TAX56" s="12"/>
      <c r="TAY56" s="12"/>
      <c r="TAZ56" s="12"/>
      <c r="TBA56" s="12"/>
      <c r="TBB56" s="12"/>
      <c r="TBC56" s="12"/>
      <c r="TBD56" s="12"/>
      <c r="TBE56" s="12"/>
      <c r="TBF56" s="12"/>
      <c r="TBG56" s="12"/>
      <c r="TBH56" s="12"/>
      <c r="TBI56" s="12"/>
      <c r="TBJ56" s="12"/>
      <c r="TBK56" s="12"/>
      <c r="TBL56" s="12"/>
      <c r="TBM56" s="12"/>
      <c r="TBN56" s="12"/>
      <c r="TBO56" s="12"/>
      <c r="TBP56" s="12"/>
      <c r="TBQ56" s="12"/>
      <c r="TBR56" s="12"/>
      <c r="TBS56" s="12"/>
      <c r="TBT56" s="12"/>
      <c r="TBU56" s="12"/>
      <c r="TBV56" s="12"/>
      <c r="TBW56" s="12"/>
      <c r="TBX56" s="12"/>
      <c r="TBY56" s="12"/>
      <c r="TBZ56" s="12"/>
      <c r="TCA56" s="12"/>
      <c r="TCB56" s="12"/>
      <c r="TCC56" s="12"/>
      <c r="TCD56" s="12"/>
      <c r="TCE56" s="12"/>
      <c r="TCF56" s="12"/>
      <c r="TCG56" s="12"/>
      <c r="TCH56" s="12"/>
      <c r="TCI56" s="12"/>
      <c r="TCJ56" s="12"/>
      <c r="TCK56" s="12"/>
      <c r="TCL56" s="12"/>
      <c r="TCM56" s="12"/>
      <c r="TCN56" s="12"/>
      <c r="TCO56" s="12"/>
      <c r="TCP56" s="12"/>
      <c r="TCQ56" s="12"/>
      <c r="TCR56" s="12"/>
      <c r="TCS56" s="12"/>
      <c r="TCT56" s="12"/>
      <c r="TCU56" s="12"/>
      <c r="TCV56" s="12"/>
      <c r="TCW56" s="12"/>
      <c r="TCX56" s="12"/>
      <c r="TCY56" s="12"/>
      <c r="TCZ56" s="12"/>
      <c r="TDA56" s="12"/>
      <c r="TDB56" s="12"/>
      <c r="TDC56" s="12"/>
      <c r="TDD56" s="12"/>
      <c r="TDE56" s="12"/>
      <c r="TDF56" s="12"/>
      <c r="TDG56" s="12"/>
      <c r="TDH56" s="12"/>
      <c r="TDI56" s="12"/>
      <c r="TDJ56" s="12"/>
      <c r="TDK56" s="12"/>
      <c r="TDL56" s="12"/>
      <c r="TDM56" s="12"/>
      <c r="TDN56" s="12"/>
      <c r="TDO56" s="12"/>
      <c r="TDP56" s="12"/>
      <c r="TDQ56" s="12"/>
      <c r="TDR56" s="12"/>
      <c r="TDS56" s="12"/>
      <c r="TDT56" s="12"/>
      <c r="TDU56" s="12"/>
      <c r="TDV56" s="12"/>
      <c r="TDW56" s="12"/>
      <c r="TDX56" s="12"/>
      <c r="TDY56" s="12"/>
      <c r="TDZ56" s="12"/>
      <c r="TEA56" s="12"/>
      <c r="TEB56" s="12"/>
      <c r="TEC56" s="12"/>
      <c r="TED56" s="12"/>
      <c r="TEE56" s="12"/>
      <c r="TEF56" s="12"/>
      <c r="TEG56" s="12"/>
      <c r="TEH56" s="12"/>
      <c r="TEI56" s="12"/>
      <c r="TEJ56" s="12"/>
      <c r="TEK56" s="12"/>
      <c r="TEL56" s="12"/>
      <c r="TEM56" s="12"/>
      <c r="TEN56" s="12"/>
      <c r="TEO56" s="12"/>
      <c r="TEP56" s="12"/>
      <c r="TEQ56" s="12"/>
      <c r="TER56" s="12"/>
      <c r="TES56" s="12"/>
      <c r="TET56" s="12"/>
      <c r="TEU56" s="12"/>
      <c r="TEV56" s="12"/>
      <c r="TEW56" s="12"/>
      <c r="TEX56" s="12"/>
      <c r="TEY56" s="12"/>
      <c r="TEZ56" s="12"/>
      <c r="TFA56" s="12"/>
      <c r="TFB56" s="12"/>
      <c r="TFC56" s="12"/>
      <c r="TFD56" s="12"/>
      <c r="TFE56" s="12"/>
      <c r="TFF56" s="12"/>
      <c r="TFG56" s="12"/>
      <c r="TFH56" s="12"/>
      <c r="TFI56" s="12"/>
      <c r="TFJ56" s="12"/>
      <c r="TFK56" s="12"/>
      <c r="TFL56" s="12"/>
      <c r="TFM56" s="12"/>
      <c r="TFN56" s="12"/>
      <c r="TFO56" s="12"/>
      <c r="TFP56" s="12"/>
      <c r="TFQ56" s="12"/>
      <c r="TFR56" s="12"/>
      <c r="TFS56" s="12"/>
      <c r="TFT56" s="12"/>
      <c r="TFU56" s="12"/>
      <c r="TFV56" s="12"/>
      <c r="TFW56" s="12"/>
      <c r="TFX56" s="12"/>
      <c r="TFY56" s="12"/>
      <c r="TFZ56" s="12"/>
      <c r="TGA56" s="12"/>
      <c r="TGB56" s="12"/>
      <c r="TGC56" s="12"/>
      <c r="TGD56" s="12"/>
      <c r="TGE56" s="12"/>
      <c r="TGF56" s="12"/>
      <c r="TGG56" s="12"/>
      <c r="TGH56" s="12"/>
      <c r="TGI56" s="12"/>
      <c r="TGJ56" s="12"/>
      <c r="TGK56" s="12"/>
      <c r="TGL56" s="12"/>
      <c r="TGM56" s="12"/>
      <c r="TGN56" s="12"/>
      <c r="TGO56" s="12"/>
      <c r="TGP56" s="12"/>
      <c r="TGQ56" s="12"/>
      <c r="TGR56" s="12"/>
      <c r="TGS56" s="12"/>
      <c r="TGT56" s="12"/>
      <c r="TGU56" s="12"/>
      <c r="TGV56" s="12"/>
      <c r="TGW56" s="12"/>
      <c r="TGX56" s="12"/>
      <c r="TGY56" s="12"/>
      <c r="TGZ56" s="12"/>
      <c r="THA56" s="12"/>
      <c r="THB56" s="12"/>
      <c r="THC56" s="12"/>
      <c r="THD56" s="12"/>
      <c r="THE56" s="12"/>
      <c r="THF56" s="12"/>
      <c r="THG56" s="12"/>
      <c r="THH56" s="12"/>
      <c r="THI56" s="12"/>
      <c r="THJ56" s="12"/>
      <c r="THK56" s="12"/>
      <c r="THL56" s="12"/>
      <c r="THM56" s="12"/>
      <c r="THN56" s="12"/>
      <c r="THO56" s="12"/>
      <c r="THP56" s="12"/>
      <c r="THQ56" s="12"/>
      <c r="THR56" s="12"/>
      <c r="THS56" s="12"/>
      <c r="THT56" s="12"/>
      <c r="THU56" s="12"/>
      <c r="THV56" s="12"/>
      <c r="THW56" s="12"/>
      <c r="THX56" s="12"/>
      <c r="THY56" s="12"/>
      <c r="THZ56" s="12"/>
      <c r="TIA56" s="12"/>
      <c r="TIB56" s="12"/>
      <c r="TIC56" s="12"/>
      <c r="TID56" s="12"/>
      <c r="TIE56" s="12"/>
      <c r="TIF56" s="12"/>
      <c r="TIG56" s="12"/>
      <c r="TIH56" s="12"/>
      <c r="TII56" s="12"/>
      <c r="TIJ56" s="12"/>
      <c r="TIK56" s="12"/>
      <c r="TIL56" s="12"/>
      <c r="TIM56" s="12"/>
      <c r="TIN56" s="12"/>
      <c r="TIO56" s="12"/>
      <c r="TIP56" s="12"/>
      <c r="TIQ56" s="12"/>
      <c r="TIR56" s="12"/>
      <c r="TIS56" s="12"/>
      <c r="TIT56" s="12"/>
      <c r="TIU56" s="12"/>
      <c r="TIV56" s="12"/>
      <c r="TIW56" s="12"/>
      <c r="TIX56" s="12"/>
      <c r="TIY56" s="12"/>
      <c r="TIZ56" s="12"/>
      <c r="TJA56" s="12"/>
      <c r="TJB56" s="12"/>
      <c r="TJC56" s="12"/>
      <c r="TJD56" s="12"/>
      <c r="TJE56" s="12"/>
      <c r="TJF56" s="12"/>
      <c r="TJG56" s="12"/>
      <c r="TJH56" s="12"/>
      <c r="TJI56" s="12"/>
      <c r="TJJ56" s="12"/>
      <c r="TJK56" s="12"/>
      <c r="TJL56" s="12"/>
      <c r="TJM56" s="12"/>
      <c r="TJN56" s="12"/>
      <c r="TJO56" s="12"/>
      <c r="TJP56" s="12"/>
      <c r="TJQ56" s="12"/>
      <c r="TJR56" s="12"/>
      <c r="TJS56" s="12"/>
      <c r="TJT56" s="12"/>
      <c r="TJU56" s="12"/>
      <c r="TJV56" s="12"/>
      <c r="TJW56" s="12"/>
      <c r="TJX56" s="12"/>
      <c r="TJY56" s="12"/>
      <c r="TJZ56" s="12"/>
      <c r="TKA56" s="12"/>
      <c r="TKB56" s="12"/>
      <c r="TKC56" s="12"/>
      <c r="TKD56" s="12"/>
      <c r="TKE56" s="12"/>
      <c r="TKF56" s="12"/>
      <c r="TKG56" s="12"/>
      <c r="TKH56" s="12"/>
      <c r="TKI56" s="12"/>
      <c r="TKJ56" s="12"/>
      <c r="TKK56" s="12"/>
      <c r="TKL56" s="12"/>
      <c r="TKM56" s="12"/>
      <c r="TKN56" s="12"/>
      <c r="TKO56" s="12"/>
      <c r="TKP56" s="12"/>
      <c r="TKQ56" s="12"/>
      <c r="TKR56" s="12"/>
      <c r="TKS56" s="12"/>
      <c r="TKT56" s="12"/>
      <c r="TKU56" s="12"/>
      <c r="TKV56" s="12"/>
      <c r="TKW56" s="12"/>
      <c r="TKX56" s="12"/>
      <c r="TKY56" s="12"/>
      <c r="TKZ56" s="12"/>
      <c r="TLA56" s="12"/>
      <c r="TLB56" s="12"/>
      <c r="TLC56" s="12"/>
      <c r="TLD56" s="12"/>
      <c r="TLE56" s="12"/>
      <c r="TLF56" s="12"/>
      <c r="TLG56" s="12"/>
      <c r="TLH56" s="12"/>
      <c r="TLI56" s="12"/>
      <c r="TLJ56" s="12"/>
      <c r="TLK56" s="12"/>
      <c r="TLL56" s="12"/>
      <c r="TLM56" s="12"/>
      <c r="TLN56" s="12"/>
      <c r="TLO56" s="12"/>
      <c r="TLP56" s="12"/>
      <c r="TLQ56" s="12"/>
      <c r="TLR56" s="12"/>
      <c r="TLS56" s="12"/>
      <c r="TLT56" s="12"/>
      <c r="TLU56" s="12"/>
      <c r="TLV56" s="12"/>
      <c r="TLW56" s="12"/>
      <c r="TLX56" s="12"/>
      <c r="TLY56" s="12"/>
      <c r="TLZ56" s="12"/>
      <c r="TMA56" s="12"/>
      <c r="TMB56" s="12"/>
      <c r="TMC56" s="12"/>
      <c r="TMD56" s="12"/>
      <c r="TME56" s="12"/>
      <c r="TMF56" s="12"/>
      <c r="TMG56" s="12"/>
      <c r="TMH56" s="12"/>
      <c r="TMI56" s="12"/>
      <c r="TMJ56" s="12"/>
      <c r="TMK56" s="12"/>
      <c r="TML56" s="12"/>
      <c r="TMM56" s="12"/>
      <c r="TMN56" s="12"/>
      <c r="TMO56" s="12"/>
      <c r="TMP56" s="12"/>
      <c r="TMQ56" s="12"/>
      <c r="TMR56" s="12"/>
      <c r="TMS56" s="12"/>
      <c r="TMT56" s="12"/>
      <c r="TMU56" s="12"/>
      <c r="TMV56" s="12"/>
      <c r="TMW56" s="12"/>
      <c r="TMX56" s="12"/>
      <c r="TMY56" s="12"/>
      <c r="TMZ56" s="12"/>
      <c r="TNA56" s="12"/>
      <c r="TNB56" s="12"/>
      <c r="TNC56" s="12"/>
      <c r="TND56" s="12"/>
      <c r="TNE56" s="12"/>
      <c r="TNF56" s="12"/>
      <c r="TNG56" s="12"/>
      <c r="TNH56" s="12"/>
      <c r="TNI56" s="12"/>
      <c r="TNJ56" s="12"/>
      <c r="TNK56" s="12"/>
      <c r="TNL56" s="12"/>
      <c r="TNM56" s="12"/>
      <c r="TNN56" s="12"/>
      <c r="TNO56" s="12"/>
      <c r="TNP56" s="12"/>
      <c r="TNQ56" s="12"/>
      <c r="TNR56" s="12"/>
      <c r="TNS56" s="12"/>
      <c r="TNT56" s="12"/>
      <c r="TNU56" s="12"/>
      <c r="TNV56" s="12"/>
      <c r="TNW56" s="12"/>
      <c r="TNX56" s="12"/>
      <c r="TNY56" s="12"/>
      <c r="TNZ56" s="12"/>
      <c r="TOA56" s="12"/>
      <c r="TOB56" s="12"/>
      <c r="TOC56" s="12"/>
      <c r="TOD56" s="12"/>
      <c r="TOE56" s="12"/>
      <c r="TOF56" s="12"/>
      <c r="TOG56" s="12"/>
      <c r="TOH56" s="12"/>
      <c r="TOI56" s="12"/>
      <c r="TOJ56" s="12"/>
      <c r="TOK56" s="12"/>
      <c r="TOL56" s="12"/>
      <c r="TOM56" s="12"/>
      <c r="TON56" s="12"/>
      <c r="TOO56" s="12"/>
      <c r="TOP56" s="12"/>
      <c r="TOQ56" s="12"/>
      <c r="TOR56" s="12"/>
      <c r="TOS56" s="12"/>
      <c r="TOT56" s="12"/>
      <c r="TOU56" s="12"/>
      <c r="TOV56" s="12"/>
      <c r="TOW56" s="12"/>
      <c r="TOX56" s="12"/>
      <c r="TOY56" s="12"/>
      <c r="TOZ56" s="12"/>
      <c r="TPA56" s="12"/>
      <c r="TPB56" s="12"/>
      <c r="TPC56" s="12"/>
      <c r="TPD56" s="12"/>
      <c r="TPE56" s="12"/>
      <c r="TPF56" s="12"/>
      <c r="TPG56" s="12"/>
      <c r="TPH56" s="12"/>
      <c r="TPI56" s="12"/>
      <c r="TPJ56" s="12"/>
      <c r="TPK56" s="12"/>
      <c r="TPL56" s="12"/>
      <c r="TPM56" s="12"/>
      <c r="TPN56" s="12"/>
      <c r="TPO56" s="12"/>
      <c r="TPP56" s="12"/>
      <c r="TPQ56" s="12"/>
      <c r="TPR56" s="12"/>
      <c r="TPS56" s="12"/>
      <c r="TPT56" s="12"/>
      <c r="TPU56" s="12"/>
      <c r="TPV56" s="12"/>
      <c r="TPW56" s="12"/>
      <c r="TPX56" s="12"/>
      <c r="TPY56" s="12"/>
      <c r="TPZ56" s="12"/>
      <c r="TQA56" s="12"/>
      <c r="TQB56" s="12"/>
      <c r="TQC56" s="12"/>
      <c r="TQD56" s="12"/>
      <c r="TQE56" s="12"/>
      <c r="TQF56" s="12"/>
      <c r="TQG56" s="12"/>
      <c r="TQH56" s="12"/>
      <c r="TQI56" s="12"/>
      <c r="TQJ56" s="12"/>
      <c r="TQK56" s="12"/>
      <c r="TQL56" s="12"/>
      <c r="TQM56" s="12"/>
      <c r="TQN56" s="12"/>
      <c r="TQO56" s="12"/>
      <c r="TQP56" s="12"/>
      <c r="TQQ56" s="12"/>
      <c r="TQR56" s="12"/>
      <c r="TQS56" s="12"/>
      <c r="TQT56" s="12"/>
      <c r="TQU56" s="12"/>
      <c r="TQV56" s="12"/>
      <c r="TQW56" s="12"/>
      <c r="TQX56" s="12"/>
      <c r="TQY56" s="12"/>
      <c r="TQZ56" s="12"/>
      <c r="TRA56" s="12"/>
      <c r="TRB56" s="12"/>
      <c r="TRC56" s="12"/>
      <c r="TRD56" s="12"/>
      <c r="TRE56" s="12"/>
      <c r="TRF56" s="12"/>
      <c r="TRG56" s="12"/>
      <c r="TRH56" s="12"/>
      <c r="TRI56" s="12"/>
      <c r="TRJ56" s="12"/>
      <c r="TRK56" s="12"/>
      <c r="TRL56" s="12"/>
      <c r="TRM56" s="12"/>
      <c r="TRN56" s="12"/>
      <c r="TRO56" s="12"/>
      <c r="TRP56" s="12"/>
      <c r="TRQ56" s="12"/>
      <c r="TRR56" s="12"/>
      <c r="TRS56" s="12"/>
      <c r="TRT56" s="12"/>
      <c r="TRU56" s="12"/>
      <c r="TRV56" s="12"/>
      <c r="TRW56" s="12"/>
      <c r="TRX56" s="12"/>
      <c r="TRY56" s="12"/>
      <c r="TRZ56" s="12"/>
      <c r="TSA56" s="12"/>
      <c r="TSB56" s="12"/>
      <c r="TSC56" s="12"/>
      <c r="TSD56" s="12"/>
      <c r="TSE56" s="12"/>
      <c r="TSF56" s="12"/>
      <c r="TSG56" s="12"/>
      <c r="TSH56" s="12"/>
      <c r="TSI56" s="12"/>
      <c r="TSJ56" s="12"/>
      <c r="TSK56" s="12"/>
      <c r="TSL56" s="12"/>
      <c r="TSM56" s="12"/>
      <c r="TSN56" s="12"/>
      <c r="TSO56" s="12"/>
      <c r="TSP56" s="12"/>
      <c r="TSQ56" s="12"/>
      <c r="TSR56" s="12"/>
      <c r="TSS56" s="12"/>
      <c r="TST56" s="12"/>
      <c r="TSU56" s="12"/>
      <c r="TSV56" s="12"/>
      <c r="TSW56" s="12"/>
      <c r="TSX56" s="12"/>
      <c r="TSY56" s="12"/>
      <c r="TSZ56" s="12"/>
      <c r="TTA56" s="12"/>
      <c r="TTB56" s="12"/>
      <c r="TTC56" s="12"/>
      <c r="TTD56" s="12"/>
      <c r="TTE56" s="12"/>
      <c r="TTF56" s="12"/>
      <c r="TTG56" s="12"/>
      <c r="TTH56" s="12"/>
      <c r="TTI56" s="12"/>
      <c r="TTJ56" s="12"/>
      <c r="TTK56" s="12"/>
      <c r="TTL56" s="12"/>
      <c r="TTM56" s="12"/>
      <c r="TTN56" s="12"/>
      <c r="TTO56" s="12"/>
      <c r="TTP56" s="12"/>
      <c r="TTQ56" s="12"/>
      <c r="TTR56" s="12"/>
      <c r="TTS56" s="12"/>
      <c r="TTT56" s="12"/>
      <c r="TTU56" s="12"/>
      <c r="TTV56" s="12"/>
      <c r="TTW56" s="12"/>
      <c r="TTX56" s="12"/>
      <c r="TTY56" s="12"/>
      <c r="TTZ56" s="12"/>
      <c r="TUA56" s="12"/>
      <c r="TUB56" s="12"/>
      <c r="TUC56" s="12"/>
      <c r="TUD56" s="12"/>
      <c r="TUE56" s="12"/>
      <c r="TUF56" s="12"/>
      <c r="TUG56" s="12"/>
      <c r="TUH56" s="12"/>
      <c r="TUI56" s="12"/>
      <c r="TUJ56" s="12"/>
      <c r="TUK56" s="12"/>
      <c r="TUL56" s="12"/>
      <c r="TUM56" s="12"/>
      <c r="TUN56" s="12"/>
      <c r="TUO56" s="12"/>
      <c r="TUP56" s="12"/>
      <c r="TUQ56" s="12"/>
      <c r="TUR56" s="12"/>
      <c r="TUS56" s="12"/>
      <c r="TUT56" s="12"/>
      <c r="TUU56" s="12"/>
      <c r="TUV56" s="12"/>
      <c r="TUW56" s="12"/>
      <c r="TUX56" s="12"/>
      <c r="TUY56" s="12"/>
      <c r="TUZ56" s="12"/>
      <c r="TVA56" s="12"/>
      <c r="TVB56" s="12"/>
      <c r="TVC56" s="12"/>
      <c r="TVD56" s="12"/>
      <c r="TVE56" s="12"/>
      <c r="TVF56" s="12"/>
      <c r="TVG56" s="12"/>
      <c r="TVH56" s="12"/>
      <c r="TVI56" s="12"/>
      <c r="TVJ56" s="12"/>
      <c r="TVK56" s="12"/>
      <c r="TVL56" s="12"/>
      <c r="TVM56" s="12"/>
      <c r="TVN56" s="12"/>
      <c r="TVO56" s="12"/>
      <c r="TVP56" s="12"/>
      <c r="TVQ56" s="12"/>
      <c r="TVR56" s="12"/>
      <c r="TVS56" s="12"/>
      <c r="TVT56" s="12"/>
      <c r="TVU56" s="12"/>
      <c r="TVV56" s="12"/>
      <c r="TVW56" s="12"/>
      <c r="TVX56" s="12"/>
      <c r="TVY56" s="12"/>
      <c r="TVZ56" s="12"/>
      <c r="TWA56" s="12"/>
      <c r="TWB56" s="12"/>
      <c r="TWC56" s="12"/>
      <c r="TWD56" s="12"/>
      <c r="TWE56" s="12"/>
      <c r="TWF56" s="12"/>
      <c r="TWG56" s="12"/>
      <c r="TWH56" s="12"/>
      <c r="TWI56" s="12"/>
      <c r="TWJ56" s="12"/>
      <c r="TWK56" s="12"/>
      <c r="TWL56" s="12"/>
      <c r="TWM56" s="12"/>
      <c r="TWN56" s="12"/>
      <c r="TWO56" s="12"/>
      <c r="TWP56" s="12"/>
      <c r="TWQ56" s="12"/>
      <c r="TWR56" s="12"/>
      <c r="TWS56" s="12"/>
      <c r="TWT56" s="12"/>
      <c r="TWU56" s="12"/>
      <c r="TWV56" s="12"/>
      <c r="TWW56" s="12"/>
      <c r="TWX56" s="12"/>
      <c r="TWY56" s="12"/>
      <c r="TWZ56" s="12"/>
      <c r="TXA56" s="12"/>
      <c r="TXB56" s="12"/>
      <c r="TXC56" s="12"/>
      <c r="TXD56" s="12"/>
      <c r="TXE56" s="12"/>
      <c r="TXF56" s="12"/>
      <c r="TXG56" s="12"/>
      <c r="TXH56" s="12"/>
      <c r="TXI56" s="12"/>
      <c r="TXJ56" s="12"/>
      <c r="TXK56" s="12"/>
      <c r="TXL56" s="12"/>
      <c r="TXM56" s="12"/>
      <c r="TXN56" s="12"/>
      <c r="TXO56" s="12"/>
      <c r="TXP56" s="12"/>
      <c r="TXQ56" s="12"/>
      <c r="TXR56" s="12"/>
      <c r="TXS56" s="12"/>
      <c r="TXT56" s="12"/>
      <c r="TXU56" s="12"/>
      <c r="TXV56" s="12"/>
      <c r="TXW56" s="12"/>
      <c r="TXX56" s="12"/>
      <c r="TXY56" s="12"/>
      <c r="TXZ56" s="12"/>
      <c r="TYA56" s="12"/>
      <c r="TYB56" s="12"/>
      <c r="TYC56" s="12"/>
      <c r="TYD56" s="12"/>
      <c r="TYE56" s="12"/>
      <c r="TYF56" s="12"/>
      <c r="TYG56" s="12"/>
      <c r="TYH56" s="12"/>
      <c r="TYI56" s="12"/>
      <c r="TYJ56" s="12"/>
      <c r="TYK56" s="12"/>
      <c r="TYL56" s="12"/>
      <c r="TYM56" s="12"/>
      <c r="TYN56" s="12"/>
      <c r="TYO56" s="12"/>
      <c r="TYP56" s="12"/>
      <c r="TYQ56" s="12"/>
      <c r="TYR56" s="12"/>
      <c r="TYS56" s="12"/>
      <c r="TYT56" s="12"/>
      <c r="TYU56" s="12"/>
      <c r="TYV56" s="12"/>
      <c r="TYW56" s="12"/>
      <c r="TYX56" s="12"/>
      <c r="TYY56" s="12"/>
      <c r="TYZ56" s="12"/>
      <c r="TZA56" s="12"/>
      <c r="TZB56" s="12"/>
      <c r="TZC56" s="12"/>
      <c r="TZD56" s="12"/>
      <c r="TZE56" s="12"/>
      <c r="TZF56" s="12"/>
      <c r="TZG56" s="12"/>
      <c r="TZH56" s="12"/>
      <c r="TZI56" s="12"/>
      <c r="TZJ56" s="12"/>
      <c r="TZK56" s="12"/>
      <c r="TZL56" s="12"/>
      <c r="TZM56" s="12"/>
      <c r="TZN56" s="12"/>
      <c r="TZO56" s="12"/>
      <c r="TZP56" s="12"/>
      <c r="TZQ56" s="12"/>
      <c r="TZR56" s="12"/>
      <c r="TZS56" s="12"/>
      <c r="TZT56" s="12"/>
      <c r="TZU56" s="12"/>
      <c r="TZV56" s="12"/>
      <c r="TZW56" s="12"/>
      <c r="TZX56" s="12"/>
      <c r="TZY56" s="12"/>
      <c r="TZZ56" s="12"/>
      <c r="UAA56" s="12"/>
      <c r="UAB56" s="12"/>
      <c r="UAC56" s="12"/>
      <c r="UAD56" s="12"/>
      <c r="UAE56" s="12"/>
      <c r="UAF56" s="12"/>
      <c r="UAG56" s="12"/>
      <c r="UAH56" s="12"/>
      <c r="UAI56" s="12"/>
      <c r="UAJ56" s="12"/>
      <c r="UAK56" s="12"/>
      <c r="UAL56" s="12"/>
      <c r="UAM56" s="12"/>
      <c r="UAN56" s="12"/>
      <c r="UAO56" s="12"/>
      <c r="UAP56" s="12"/>
      <c r="UAQ56" s="12"/>
      <c r="UAR56" s="12"/>
      <c r="UAS56" s="12"/>
      <c r="UAT56" s="12"/>
      <c r="UAU56" s="12"/>
      <c r="UAV56" s="12"/>
      <c r="UAW56" s="12"/>
      <c r="UAX56" s="12"/>
      <c r="UAY56" s="12"/>
      <c r="UAZ56" s="12"/>
      <c r="UBA56" s="12"/>
      <c r="UBB56" s="12"/>
      <c r="UBC56" s="12"/>
      <c r="UBD56" s="12"/>
      <c r="UBE56" s="12"/>
      <c r="UBF56" s="12"/>
      <c r="UBG56" s="12"/>
      <c r="UBH56" s="12"/>
      <c r="UBI56" s="12"/>
      <c r="UBJ56" s="12"/>
      <c r="UBK56" s="12"/>
      <c r="UBL56" s="12"/>
      <c r="UBM56" s="12"/>
      <c r="UBN56" s="12"/>
      <c r="UBO56" s="12"/>
      <c r="UBP56" s="12"/>
      <c r="UBQ56" s="12"/>
      <c r="UBR56" s="12"/>
      <c r="UBS56" s="12"/>
      <c r="UBT56" s="12"/>
      <c r="UBU56" s="12"/>
      <c r="UBV56" s="12"/>
      <c r="UBW56" s="12"/>
      <c r="UBX56" s="12"/>
      <c r="UBY56" s="12"/>
      <c r="UBZ56" s="12"/>
      <c r="UCA56" s="12"/>
      <c r="UCB56" s="12"/>
      <c r="UCC56" s="12"/>
      <c r="UCD56" s="12"/>
      <c r="UCE56" s="12"/>
      <c r="UCF56" s="12"/>
      <c r="UCG56" s="12"/>
      <c r="UCH56" s="12"/>
      <c r="UCI56" s="12"/>
      <c r="UCJ56" s="12"/>
      <c r="UCK56" s="12"/>
      <c r="UCL56" s="12"/>
      <c r="UCM56" s="12"/>
      <c r="UCN56" s="12"/>
      <c r="UCO56" s="12"/>
      <c r="UCP56" s="12"/>
      <c r="UCQ56" s="12"/>
      <c r="UCR56" s="12"/>
      <c r="UCS56" s="12"/>
      <c r="UCT56" s="12"/>
      <c r="UCU56" s="12"/>
      <c r="UCV56" s="12"/>
      <c r="UCW56" s="12"/>
      <c r="UCX56" s="12"/>
      <c r="UCY56" s="12"/>
      <c r="UCZ56" s="12"/>
      <c r="UDA56" s="12"/>
      <c r="UDB56" s="12"/>
      <c r="UDC56" s="12"/>
      <c r="UDD56" s="12"/>
      <c r="UDE56" s="12"/>
      <c r="UDF56" s="12"/>
      <c r="UDG56" s="12"/>
      <c r="UDH56" s="12"/>
      <c r="UDI56" s="12"/>
      <c r="UDJ56" s="12"/>
      <c r="UDK56" s="12"/>
      <c r="UDL56" s="12"/>
      <c r="UDM56" s="12"/>
      <c r="UDN56" s="12"/>
      <c r="UDO56" s="12"/>
      <c r="UDP56" s="12"/>
      <c r="UDQ56" s="12"/>
      <c r="UDR56" s="12"/>
      <c r="UDS56" s="12"/>
      <c r="UDT56" s="12"/>
      <c r="UDU56" s="12"/>
      <c r="UDV56" s="12"/>
      <c r="UDW56" s="12"/>
      <c r="UDX56" s="12"/>
      <c r="UDY56" s="12"/>
      <c r="UDZ56" s="12"/>
      <c r="UEA56" s="12"/>
      <c r="UEB56" s="12"/>
      <c r="UEC56" s="12"/>
      <c r="UED56" s="12"/>
      <c r="UEE56" s="12"/>
      <c r="UEF56" s="12"/>
      <c r="UEG56" s="12"/>
      <c r="UEH56" s="12"/>
      <c r="UEI56" s="12"/>
      <c r="UEJ56" s="12"/>
      <c r="UEK56" s="12"/>
      <c r="UEL56" s="12"/>
      <c r="UEM56" s="12"/>
      <c r="UEN56" s="12"/>
      <c r="UEO56" s="12"/>
      <c r="UEP56" s="12"/>
      <c r="UEQ56" s="12"/>
      <c r="UER56" s="12"/>
      <c r="UES56" s="12"/>
      <c r="UET56" s="12"/>
      <c r="UEU56" s="12"/>
      <c r="UEV56" s="12"/>
      <c r="UEW56" s="12"/>
      <c r="UEX56" s="12"/>
      <c r="UEY56" s="12"/>
      <c r="UEZ56" s="12"/>
      <c r="UFA56" s="12"/>
      <c r="UFB56" s="12"/>
      <c r="UFC56" s="12"/>
      <c r="UFD56" s="12"/>
      <c r="UFE56" s="12"/>
      <c r="UFF56" s="12"/>
      <c r="UFG56" s="12"/>
      <c r="UFH56" s="12"/>
      <c r="UFI56" s="12"/>
      <c r="UFJ56" s="12"/>
      <c r="UFK56" s="12"/>
      <c r="UFL56" s="12"/>
      <c r="UFM56" s="12"/>
      <c r="UFN56" s="12"/>
      <c r="UFO56" s="12"/>
      <c r="UFP56" s="12"/>
      <c r="UFQ56" s="12"/>
      <c r="UFR56" s="12"/>
      <c r="UFS56" s="12"/>
      <c r="UFT56" s="12"/>
      <c r="UFU56" s="12"/>
      <c r="UFV56" s="12"/>
      <c r="UFW56" s="12"/>
      <c r="UFX56" s="12"/>
      <c r="UFY56" s="12"/>
      <c r="UFZ56" s="12"/>
      <c r="UGA56" s="12"/>
      <c r="UGB56" s="12"/>
      <c r="UGC56" s="12"/>
      <c r="UGD56" s="12"/>
      <c r="UGE56" s="12"/>
      <c r="UGF56" s="12"/>
      <c r="UGG56" s="12"/>
      <c r="UGH56" s="12"/>
      <c r="UGI56" s="12"/>
      <c r="UGJ56" s="12"/>
      <c r="UGK56" s="12"/>
      <c r="UGL56" s="12"/>
      <c r="UGM56" s="12"/>
      <c r="UGN56" s="12"/>
      <c r="UGO56" s="12"/>
      <c r="UGP56" s="12"/>
      <c r="UGQ56" s="12"/>
      <c r="UGR56" s="12"/>
      <c r="UGS56" s="12"/>
      <c r="UGT56" s="12"/>
      <c r="UGU56" s="12"/>
      <c r="UGV56" s="12"/>
      <c r="UGW56" s="12"/>
      <c r="UGX56" s="12"/>
      <c r="UGY56" s="12"/>
      <c r="UGZ56" s="12"/>
      <c r="UHA56" s="12"/>
      <c r="UHB56" s="12"/>
      <c r="UHC56" s="12"/>
      <c r="UHD56" s="12"/>
      <c r="UHE56" s="12"/>
      <c r="UHF56" s="12"/>
      <c r="UHG56" s="12"/>
      <c r="UHH56" s="12"/>
      <c r="UHI56" s="12"/>
      <c r="UHJ56" s="12"/>
      <c r="UHK56" s="12"/>
      <c r="UHL56" s="12"/>
      <c r="UHM56" s="12"/>
      <c r="UHN56" s="12"/>
      <c r="UHO56" s="12"/>
      <c r="UHP56" s="12"/>
      <c r="UHQ56" s="12"/>
      <c r="UHR56" s="12"/>
      <c r="UHS56" s="12"/>
      <c r="UHT56" s="12"/>
      <c r="UHU56" s="12"/>
      <c r="UHV56" s="12"/>
      <c r="UHW56" s="12"/>
      <c r="UHX56" s="12"/>
      <c r="UHY56" s="12"/>
      <c r="UHZ56" s="12"/>
      <c r="UIA56" s="12"/>
      <c r="UIB56" s="12"/>
      <c r="UIC56" s="12"/>
      <c r="UID56" s="12"/>
      <c r="UIE56" s="12"/>
      <c r="UIF56" s="12"/>
      <c r="UIG56" s="12"/>
      <c r="UIH56" s="12"/>
      <c r="UII56" s="12"/>
      <c r="UIJ56" s="12"/>
      <c r="UIK56" s="12"/>
      <c r="UIL56" s="12"/>
      <c r="UIM56" s="12"/>
      <c r="UIN56" s="12"/>
      <c r="UIO56" s="12"/>
      <c r="UIP56" s="12"/>
      <c r="UIQ56" s="12"/>
      <c r="UIR56" s="12"/>
      <c r="UIS56" s="12"/>
      <c r="UIT56" s="12"/>
      <c r="UIU56" s="12"/>
      <c r="UIV56" s="12"/>
      <c r="UIW56" s="12"/>
      <c r="UIX56" s="12"/>
      <c r="UIY56" s="12"/>
      <c r="UIZ56" s="12"/>
      <c r="UJA56" s="12"/>
      <c r="UJB56" s="12"/>
      <c r="UJC56" s="12"/>
      <c r="UJD56" s="12"/>
      <c r="UJE56" s="12"/>
      <c r="UJF56" s="12"/>
      <c r="UJG56" s="12"/>
      <c r="UJH56" s="12"/>
      <c r="UJI56" s="12"/>
      <c r="UJJ56" s="12"/>
      <c r="UJK56" s="12"/>
      <c r="UJL56" s="12"/>
      <c r="UJM56" s="12"/>
      <c r="UJN56" s="12"/>
      <c r="UJO56" s="12"/>
      <c r="UJP56" s="12"/>
      <c r="UJQ56" s="12"/>
      <c r="UJR56" s="12"/>
      <c r="UJS56" s="12"/>
      <c r="UJT56" s="12"/>
      <c r="UJU56" s="12"/>
      <c r="UJV56" s="12"/>
      <c r="UJW56" s="12"/>
      <c r="UJX56" s="12"/>
      <c r="UJY56" s="12"/>
      <c r="UJZ56" s="12"/>
      <c r="UKA56" s="12"/>
      <c r="UKB56" s="12"/>
      <c r="UKC56" s="12"/>
      <c r="UKD56" s="12"/>
      <c r="UKE56" s="12"/>
      <c r="UKF56" s="12"/>
      <c r="UKG56" s="12"/>
      <c r="UKH56" s="12"/>
      <c r="UKI56" s="12"/>
      <c r="UKJ56" s="12"/>
      <c r="UKK56" s="12"/>
      <c r="UKL56" s="12"/>
      <c r="UKM56" s="12"/>
      <c r="UKN56" s="12"/>
      <c r="UKO56" s="12"/>
      <c r="UKP56" s="12"/>
      <c r="UKQ56" s="12"/>
      <c r="UKR56" s="12"/>
      <c r="UKS56" s="12"/>
      <c r="UKT56" s="12"/>
      <c r="UKU56" s="12"/>
      <c r="UKV56" s="12"/>
      <c r="UKW56" s="12"/>
      <c r="UKX56" s="12"/>
      <c r="UKY56" s="12"/>
      <c r="UKZ56" s="12"/>
      <c r="ULA56" s="12"/>
      <c r="ULB56" s="12"/>
      <c r="ULC56" s="12"/>
      <c r="ULD56" s="12"/>
      <c r="ULE56" s="12"/>
      <c r="ULF56" s="12"/>
      <c r="ULG56" s="12"/>
      <c r="ULH56" s="12"/>
      <c r="ULI56" s="12"/>
      <c r="ULJ56" s="12"/>
      <c r="ULK56" s="12"/>
      <c r="ULL56" s="12"/>
      <c r="ULM56" s="12"/>
      <c r="ULN56" s="12"/>
      <c r="ULO56" s="12"/>
      <c r="ULP56" s="12"/>
      <c r="ULQ56" s="12"/>
      <c r="ULR56" s="12"/>
      <c r="ULS56" s="12"/>
      <c r="ULT56" s="12"/>
      <c r="ULU56" s="12"/>
      <c r="ULV56" s="12"/>
      <c r="ULW56" s="12"/>
      <c r="ULX56" s="12"/>
      <c r="ULY56" s="12"/>
      <c r="ULZ56" s="12"/>
      <c r="UMA56" s="12"/>
      <c r="UMB56" s="12"/>
      <c r="UMC56" s="12"/>
      <c r="UMD56" s="12"/>
      <c r="UME56" s="12"/>
      <c r="UMF56" s="12"/>
      <c r="UMG56" s="12"/>
      <c r="UMH56" s="12"/>
      <c r="UMI56" s="12"/>
      <c r="UMJ56" s="12"/>
      <c r="UMK56" s="12"/>
      <c r="UML56" s="12"/>
      <c r="UMM56" s="12"/>
      <c r="UMN56" s="12"/>
      <c r="UMO56" s="12"/>
      <c r="UMP56" s="12"/>
      <c r="UMQ56" s="12"/>
      <c r="UMR56" s="12"/>
      <c r="UMS56" s="12"/>
      <c r="UMT56" s="12"/>
      <c r="UMU56" s="12"/>
      <c r="UMV56" s="12"/>
      <c r="UMW56" s="12"/>
      <c r="UMX56" s="12"/>
      <c r="UMY56" s="12"/>
      <c r="UMZ56" s="12"/>
      <c r="UNA56" s="12"/>
      <c r="UNB56" s="12"/>
      <c r="UNC56" s="12"/>
      <c r="UND56" s="12"/>
      <c r="UNE56" s="12"/>
      <c r="UNF56" s="12"/>
      <c r="UNG56" s="12"/>
      <c r="UNH56" s="12"/>
      <c r="UNI56" s="12"/>
      <c r="UNJ56" s="12"/>
      <c r="UNK56" s="12"/>
      <c r="UNL56" s="12"/>
      <c r="UNM56" s="12"/>
      <c r="UNN56" s="12"/>
      <c r="UNO56" s="12"/>
      <c r="UNP56" s="12"/>
      <c r="UNQ56" s="12"/>
      <c r="UNR56" s="12"/>
      <c r="UNS56" s="12"/>
      <c r="UNT56" s="12"/>
      <c r="UNU56" s="12"/>
      <c r="UNV56" s="12"/>
      <c r="UNW56" s="12"/>
      <c r="UNX56" s="12"/>
      <c r="UNY56" s="12"/>
      <c r="UNZ56" s="12"/>
      <c r="UOA56" s="12"/>
      <c r="UOB56" s="12"/>
      <c r="UOC56" s="12"/>
      <c r="UOD56" s="12"/>
      <c r="UOE56" s="12"/>
      <c r="UOF56" s="12"/>
      <c r="UOG56" s="12"/>
      <c r="UOH56" s="12"/>
      <c r="UOI56" s="12"/>
      <c r="UOJ56" s="12"/>
      <c r="UOK56" s="12"/>
      <c r="UOL56" s="12"/>
      <c r="UOM56" s="12"/>
      <c r="UON56" s="12"/>
      <c r="UOO56" s="12"/>
      <c r="UOP56" s="12"/>
      <c r="UOQ56" s="12"/>
      <c r="UOR56" s="12"/>
      <c r="UOS56" s="12"/>
      <c r="UOT56" s="12"/>
      <c r="UOU56" s="12"/>
      <c r="UOV56" s="12"/>
      <c r="UOW56" s="12"/>
      <c r="UOX56" s="12"/>
      <c r="UOY56" s="12"/>
      <c r="UOZ56" s="12"/>
      <c r="UPA56" s="12"/>
      <c r="UPB56" s="12"/>
      <c r="UPC56" s="12"/>
      <c r="UPD56" s="12"/>
      <c r="UPE56" s="12"/>
      <c r="UPF56" s="12"/>
      <c r="UPG56" s="12"/>
      <c r="UPH56" s="12"/>
      <c r="UPI56" s="12"/>
      <c r="UPJ56" s="12"/>
      <c r="UPK56" s="12"/>
      <c r="UPL56" s="12"/>
      <c r="UPM56" s="12"/>
      <c r="UPN56" s="12"/>
      <c r="UPO56" s="12"/>
      <c r="UPP56" s="12"/>
      <c r="UPQ56" s="12"/>
      <c r="UPR56" s="12"/>
      <c r="UPS56" s="12"/>
      <c r="UPT56" s="12"/>
      <c r="UPU56" s="12"/>
      <c r="UPV56" s="12"/>
      <c r="UPW56" s="12"/>
      <c r="UPX56" s="12"/>
      <c r="UPY56" s="12"/>
      <c r="UPZ56" s="12"/>
      <c r="UQA56" s="12"/>
      <c r="UQB56" s="12"/>
      <c r="UQC56" s="12"/>
      <c r="UQD56" s="12"/>
      <c r="UQE56" s="12"/>
      <c r="UQF56" s="12"/>
      <c r="UQG56" s="12"/>
      <c r="UQH56" s="12"/>
      <c r="UQI56" s="12"/>
      <c r="UQJ56" s="12"/>
      <c r="UQK56" s="12"/>
      <c r="UQL56" s="12"/>
      <c r="UQM56" s="12"/>
      <c r="UQN56" s="12"/>
      <c r="UQO56" s="12"/>
      <c r="UQP56" s="12"/>
      <c r="UQQ56" s="12"/>
      <c r="UQR56" s="12"/>
      <c r="UQS56" s="12"/>
      <c r="UQT56" s="12"/>
      <c r="UQU56" s="12"/>
      <c r="UQV56" s="12"/>
      <c r="UQW56" s="12"/>
      <c r="UQX56" s="12"/>
      <c r="UQY56" s="12"/>
      <c r="UQZ56" s="12"/>
      <c r="URA56" s="12"/>
      <c r="URB56" s="12"/>
      <c r="URC56" s="12"/>
      <c r="URD56" s="12"/>
      <c r="URE56" s="12"/>
      <c r="URF56" s="12"/>
      <c r="URG56" s="12"/>
      <c r="URH56" s="12"/>
      <c r="URI56" s="12"/>
      <c r="URJ56" s="12"/>
      <c r="URK56" s="12"/>
      <c r="URL56" s="12"/>
      <c r="URM56" s="12"/>
      <c r="URN56" s="12"/>
      <c r="URO56" s="12"/>
      <c r="URP56" s="12"/>
      <c r="URQ56" s="12"/>
      <c r="URR56" s="12"/>
      <c r="URS56" s="12"/>
      <c r="URT56" s="12"/>
      <c r="URU56" s="12"/>
      <c r="URV56" s="12"/>
      <c r="URW56" s="12"/>
      <c r="URX56" s="12"/>
      <c r="URY56" s="12"/>
      <c r="URZ56" s="12"/>
      <c r="USA56" s="12"/>
      <c r="USB56" s="12"/>
      <c r="USC56" s="12"/>
      <c r="USD56" s="12"/>
      <c r="USE56" s="12"/>
      <c r="USF56" s="12"/>
      <c r="USG56" s="12"/>
      <c r="USH56" s="12"/>
      <c r="USI56" s="12"/>
      <c r="USJ56" s="12"/>
      <c r="USK56" s="12"/>
      <c r="USL56" s="12"/>
      <c r="USM56" s="12"/>
      <c r="USN56" s="12"/>
      <c r="USO56" s="12"/>
      <c r="USP56" s="12"/>
      <c r="USQ56" s="12"/>
      <c r="USR56" s="12"/>
      <c r="USS56" s="12"/>
      <c r="UST56" s="12"/>
      <c r="USU56" s="12"/>
      <c r="USV56" s="12"/>
      <c r="USW56" s="12"/>
      <c r="USX56" s="12"/>
      <c r="USY56" s="12"/>
      <c r="USZ56" s="12"/>
      <c r="UTA56" s="12"/>
      <c r="UTB56" s="12"/>
      <c r="UTC56" s="12"/>
      <c r="UTD56" s="12"/>
      <c r="UTE56" s="12"/>
      <c r="UTF56" s="12"/>
      <c r="UTG56" s="12"/>
      <c r="UTH56" s="12"/>
      <c r="UTI56" s="12"/>
      <c r="UTJ56" s="12"/>
      <c r="UTK56" s="12"/>
      <c r="UTL56" s="12"/>
      <c r="UTM56" s="12"/>
      <c r="UTN56" s="12"/>
      <c r="UTO56" s="12"/>
      <c r="UTP56" s="12"/>
      <c r="UTQ56" s="12"/>
      <c r="UTR56" s="12"/>
      <c r="UTS56" s="12"/>
      <c r="UTT56" s="12"/>
      <c r="UTU56" s="12"/>
      <c r="UTV56" s="12"/>
      <c r="UTW56" s="12"/>
      <c r="UTX56" s="12"/>
      <c r="UTY56" s="12"/>
      <c r="UTZ56" s="12"/>
      <c r="UUA56" s="12"/>
      <c r="UUB56" s="12"/>
      <c r="UUC56" s="12"/>
      <c r="UUD56" s="12"/>
      <c r="UUE56" s="12"/>
      <c r="UUF56" s="12"/>
      <c r="UUG56" s="12"/>
      <c r="UUH56" s="12"/>
      <c r="UUI56" s="12"/>
      <c r="UUJ56" s="12"/>
      <c r="UUK56" s="12"/>
      <c r="UUL56" s="12"/>
      <c r="UUM56" s="12"/>
      <c r="UUN56" s="12"/>
      <c r="UUO56" s="12"/>
      <c r="UUP56" s="12"/>
      <c r="UUQ56" s="12"/>
      <c r="UUR56" s="12"/>
      <c r="UUS56" s="12"/>
      <c r="UUT56" s="12"/>
      <c r="UUU56" s="12"/>
      <c r="UUV56" s="12"/>
      <c r="UUW56" s="12"/>
      <c r="UUX56" s="12"/>
      <c r="UUY56" s="12"/>
      <c r="UUZ56" s="12"/>
      <c r="UVA56" s="12"/>
      <c r="UVB56" s="12"/>
      <c r="UVC56" s="12"/>
      <c r="UVD56" s="12"/>
      <c r="UVE56" s="12"/>
      <c r="UVF56" s="12"/>
      <c r="UVG56" s="12"/>
      <c r="UVH56" s="12"/>
      <c r="UVI56" s="12"/>
      <c r="UVJ56" s="12"/>
      <c r="UVK56" s="12"/>
      <c r="UVL56" s="12"/>
      <c r="UVM56" s="12"/>
      <c r="UVN56" s="12"/>
      <c r="UVO56" s="12"/>
      <c r="UVP56" s="12"/>
      <c r="UVQ56" s="12"/>
      <c r="UVR56" s="12"/>
      <c r="UVS56" s="12"/>
      <c r="UVT56" s="12"/>
      <c r="UVU56" s="12"/>
      <c r="UVV56" s="12"/>
      <c r="UVW56" s="12"/>
      <c r="UVX56" s="12"/>
      <c r="UVY56" s="12"/>
      <c r="UVZ56" s="12"/>
      <c r="UWA56" s="12"/>
      <c r="UWB56" s="12"/>
      <c r="UWC56" s="12"/>
      <c r="UWD56" s="12"/>
      <c r="UWE56" s="12"/>
      <c r="UWF56" s="12"/>
      <c r="UWG56" s="12"/>
      <c r="UWH56" s="12"/>
      <c r="UWI56" s="12"/>
      <c r="UWJ56" s="12"/>
      <c r="UWK56" s="12"/>
      <c r="UWL56" s="12"/>
      <c r="UWM56" s="12"/>
      <c r="UWN56" s="12"/>
      <c r="UWO56" s="12"/>
      <c r="UWP56" s="12"/>
      <c r="UWQ56" s="12"/>
      <c r="UWR56" s="12"/>
      <c r="UWS56" s="12"/>
      <c r="UWT56" s="12"/>
      <c r="UWU56" s="12"/>
      <c r="UWV56" s="12"/>
      <c r="UWW56" s="12"/>
      <c r="UWX56" s="12"/>
      <c r="UWY56" s="12"/>
      <c r="UWZ56" s="12"/>
      <c r="UXA56" s="12"/>
      <c r="UXB56" s="12"/>
      <c r="UXC56" s="12"/>
      <c r="UXD56" s="12"/>
      <c r="UXE56" s="12"/>
      <c r="UXF56" s="12"/>
      <c r="UXG56" s="12"/>
      <c r="UXH56" s="12"/>
      <c r="UXI56" s="12"/>
      <c r="UXJ56" s="12"/>
      <c r="UXK56" s="12"/>
      <c r="UXL56" s="12"/>
      <c r="UXM56" s="12"/>
      <c r="UXN56" s="12"/>
      <c r="UXO56" s="12"/>
      <c r="UXP56" s="12"/>
      <c r="UXQ56" s="12"/>
      <c r="UXR56" s="12"/>
      <c r="UXS56" s="12"/>
      <c r="UXT56" s="12"/>
      <c r="UXU56" s="12"/>
      <c r="UXV56" s="12"/>
      <c r="UXW56" s="12"/>
      <c r="UXX56" s="12"/>
      <c r="UXY56" s="12"/>
      <c r="UXZ56" s="12"/>
      <c r="UYA56" s="12"/>
      <c r="UYB56" s="12"/>
      <c r="UYC56" s="12"/>
      <c r="UYD56" s="12"/>
      <c r="UYE56" s="12"/>
      <c r="UYF56" s="12"/>
      <c r="UYG56" s="12"/>
      <c r="UYH56" s="12"/>
      <c r="UYI56" s="12"/>
      <c r="UYJ56" s="12"/>
      <c r="UYK56" s="12"/>
      <c r="UYL56" s="12"/>
      <c r="UYM56" s="12"/>
      <c r="UYN56" s="12"/>
      <c r="UYO56" s="12"/>
      <c r="UYP56" s="12"/>
      <c r="UYQ56" s="12"/>
      <c r="UYR56" s="12"/>
      <c r="UYS56" s="12"/>
      <c r="UYT56" s="12"/>
      <c r="UYU56" s="12"/>
      <c r="UYV56" s="12"/>
      <c r="UYW56" s="12"/>
      <c r="UYX56" s="12"/>
      <c r="UYY56" s="12"/>
      <c r="UYZ56" s="12"/>
      <c r="UZA56" s="12"/>
      <c r="UZB56" s="12"/>
      <c r="UZC56" s="12"/>
      <c r="UZD56" s="12"/>
      <c r="UZE56" s="12"/>
      <c r="UZF56" s="12"/>
      <c r="UZG56" s="12"/>
      <c r="UZH56" s="12"/>
      <c r="UZI56" s="12"/>
      <c r="UZJ56" s="12"/>
      <c r="UZK56" s="12"/>
      <c r="UZL56" s="12"/>
      <c r="UZM56" s="12"/>
      <c r="UZN56" s="12"/>
      <c r="UZO56" s="12"/>
      <c r="UZP56" s="12"/>
      <c r="UZQ56" s="12"/>
      <c r="UZR56" s="12"/>
      <c r="UZS56" s="12"/>
      <c r="UZT56" s="12"/>
      <c r="UZU56" s="12"/>
      <c r="UZV56" s="12"/>
      <c r="UZW56" s="12"/>
      <c r="UZX56" s="12"/>
      <c r="UZY56" s="12"/>
      <c r="UZZ56" s="12"/>
      <c r="VAA56" s="12"/>
      <c r="VAB56" s="12"/>
      <c r="VAC56" s="12"/>
      <c r="VAD56" s="12"/>
      <c r="VAE56" s="12"/>
      <c r="VAF56" s="12"/>
      <c r="VAG56" s="12"/>
      <c r="VAH56" s="12"/>
      <c r="VAI56" s="12"/>
      <c r="VAJ56" s="12"/>
      <c r="VAK56" s="12"/>
      <c r="VAL56" s="12"/>
      <c r="VAM56" s="12"/>
      <c r="VAN56" s="12"/>
      <c r="VAO56" s="12"/>
      <c r="VAP56" s="12"/>
      <c r="VAQ56" s="12"/>
      <c r="VAR56" s="12"/>
      <c r="VAS56" s="12"/>
      <c r="VAT56" s="12"/>
      <c r="VAU56" s="12"/>
      <c r="VAV56" s="12"/>
      <c r="VAW56" s="12"/>
      <c r="VAX56" s="12"/>
      <c r="VAY56" s="12"/>
      <c r="VAZ56" s="12"/>
      <c r="VBA56" s="12"/>
      <c r="VBB56" s="12"/>
      <c r="VBC56" s="12"/>
      <c r="VBD56" s="12"/>
      <c r="VBE56" s="12"/>
      <c r="VBF56" s="12"/>
      <c r="VBG56" s="12"/>
      <c r="VBH56" s="12"/>
      <c r="VBI56" s="12"/>
      <c r="VBJ56" s="12"/>
      <c r="VBK56" s="12"/>
      <c r="VBL56" s="12"/>
      <c r="VBM56" s="12"/>
      <c r="VBN56" s="12"/>
      <c r="VBO56" s="12"/>
      <c r="VBP56" s="12"/>
      <c r="VBQ56" s="12"/>
      <c r="VBR56" s="12"/>
      <c r="VBS56" s="12"/>
      <c r="VBT56" s="12"/>
      <c r="VBU56" s="12"/>
      <c r="VBV56" s="12"/>
      <c r="VBW56" s="12"/>
      <c r="VBX56" s="12"/>
      <c r="VBY56" s="12"/>
      <c r="VBZ56" s="12"/>
      <c r="VCA56" s="12"/>
      <c r="VCB56" s="12"/>
      <c r="VCC56" s="12"/>
      <c r="VCD56" s="12"/>
      <c r="VCE56" s="12"/>
      <c r="VCF56" s="12"/>
      <c r="VCG56" s="12"/>
      <c r="VCH56" s="12"/>
      <c r="VCI56" s="12"/>
      <c r="VCJ56" s="12"/>
      <c r="VCK56" s="12"/>
      <c r="VCL56" s="12"/>
      <c r="VCM56" s="12"/>
      <c r="VCN56" s="12"/>
      <c r="VCO56" s="12"/>
      <c r="VCP56" s="12"/>
      <c r="VCQ56" s="12"/>
      <c r="VCR56" s="12"/>
      <c r="VCS56" s="12"/>
      <c r="VCT56" s="12"/>
      <c r="VCU56" s="12"/>
      <c r="VCV56" s="12"/>
      <c r="VCW56" s="12"/>
      <c r="VCX56" s="12"/>
      <c r="VCY56" s="12"/>
      <c r="VCZ56" s="12"/>
      <c r="VDA56" s="12"/>
      <c r="VDB56" s="12"/>
      <c r="VDC56" s="12"/>
      <c r="VDD56" s="12"/>
      <c r="VDE56" s="12"/>
      <c r="VDF56" s="12"/>
      <c r="VDG56" s="12"/>
      <c r="VDH56" s="12"/>
      <c r="VDI56" s="12"/>
      <c r="VDJ56" s="12"/>
      <c r="VDK56" s="12"/>
      <c r="VDL56" s="12"/>
      <c r="VDM56" s="12"/>
      <c r="VDN56" s="12"/>
      <c r="VDO56" s="12"/>
      <c r="VDP56" s="12"/>
      <c r="VDQ56" s="12"/>
      <c r="VDR56" s="12"/>
      <c r="VDS56" s="12"/>
      <c r="VDT56" s="12"/>
      <c r="VDU56" s="12"/>
      <c r="VDV56" s="12"/>
      <c r="VDW56" s="12"/>
      <c r="VDX56" s="12"/>
      <c r="VDY56" s="12"/>
      <c r="VDZ56" s="12"/>
      <c r="VEA56" s="12"/>
      <c r="VEB56" s="12"/>
      <c r="VEC56" s="12"/>
      <c r="VED56" s="12"/>
      <c r="VEE56" s="12"/>
      <c r="VEF56" s="12"/>
      <c r="VEG56" s="12"/>
      <c r="VEH56" s="12"/>
      <c r="VEI56" s="12"/>
      <c r="VEJ56" s="12"/>
      <c r="VEK56" s="12"/>
      <c r="VEL56" s="12"/>
      <c r="VEM56" s="12"/>
      <c r="VEN56" s="12"/>
      <c r="VEO56" s="12"/>
      <c r="VEP56" s="12"/>
      <c r="VEQ56" s="12"/>
      <c r="VER56" s="12"/>
      <c r="VES56" s="12"/>
      <c r="VET56" s="12"/>
      <c r="VEU56" s="12"/>
      <c r="VEV56" s="12"/>
      <c r="VEW56" s="12"/>
      <c r="VEX56" s="12"/>
      <c r="VEY56" s="12"/>
      <c r="VEZ56" s="12"/>
      <c r="VFA56" s="12"/>
      <c r="VFB56" s="12"/>
      <c r="VFC56" s="12"/>
      <c r="VFD56" s="12"/>
      <c r="VFE56" s="12"/>
      <c r="VFF56" s="12"/>
      <c r="VFG56" s="12"/>
      <c r="VFH56" s="12"/>
      <c r="VFI56" s="12"/>
      <c r="VFJ56" s="12"/>
      <c r="VFK56" s="12"/>
      <c r="VFL56" s="12"/>
      <c r="VFM56" s="12"/>
      <c r="VFN56" s="12"/>
      <c r="VFO56" s="12"/>
      <c r="VFP56" s="12"/>
      <c r="VFQ56" s="12"/>
      <c r="VFR56" s="12"/>
      <c r="VFS56" s="12"/>
      <c r="VFT56" s="12"/>
      <c r="VFU56" s="12"/>
      <c r="VFV56" s="12"/>
      <c r="VFW56" s="12"/>
      <c r="VFX56" s="12"/>
      <c r="VFY56" s="12"/>
      <c r="VFZ56" s="12"/>
      <c r="VGA56" s="12"/>
      <c r="VGB56" s="12"/>
      <c r="VGC56" s="12"/>
      <c r="VGD56" s="12"/>
      <c r="VGE56" s="12"/>
      <c r="VGF56" s="12"/>
      <c r="VGG56" s="12"/>
      <c r="VGH56" s="12"/>
      <c r="VGI56" s="12"/>
      <c r="VGJ56" s="12"/>
      <c r="VGK56" s="12"/>
      <c r="VGL56" s="12"/>
      <c r="VGM56" s="12"/>
      <c r="VGN56" s="12"/>
      <c r="VGO56" s="12"/>
      <c r="VGP56" s="12"/>
      <c r="VGQ56" s="12"/>
      <c r="VGR56" s="12"/>
      <c r="VGS56" s="12"/>
      <c r="VGT56" s="12"/>
      <c r="VGU56" s="12"/>
      <c r="VGV56" s="12"/>
      <c r="VGW56" s="12"/>
      <c r="VGX56" s="12"/>
      <c r="VGY56" s="12"/>
      <c r="VGZ56" s="12"/>
      <c r="VHA56" s="12"/>
      <c r="VHB56" s="12"/>
      <c r="VHC56" s="12"/>
      <c r="VHD56" s="12"/>
      <c r="VHE56" s="12"/>
      <c r="VHF56" s="12"/>
      <c r="VHG56" s="12"/>
      <c r="VHH56" s="12"/>
      <c r="VHI56" s="12"/>
      <c r="VHJ56" s="12"/>
      <c r="VHK56" s="12"/>
      <c r="VHL56" s="12"/>
      <c r="VHM56" s="12"/>
      <c r="VHN56" s="12"/>
      <c r="VHO56" s="12"/>
      <c r="VHP56" s="12"/>
      <c r="VHQ56" s="12"/>
      <c r="VHR56" s="12"/>
      <c r="VHS56" s="12"/>
      <c r="VHT56" s="12"/>
      <c r="VHU56" s="12"/>
      <c r="VHV56" s="12"/>
      <c r="VHW56" s="12"/>
      <c r="VHX56" s="12"/>
      <c r="VHY56" s="12"/>
      <c r="VHZ56" s="12"/>
      <c r="VIA56" s="12"/>
      <c r="VIB56" s="12"/>
      <c r="VIC56" s="12"/>
      <c r="VID56" s="12"/>
      <c r="VIE56" s="12"/>
      <c r="VIF56" s="12"/>
      <c r="VIG56" s="12"/>
      <c r="VIH56" s="12"/>
      <c r="VII56" s="12"/>
      <c r="VIJ56" s="12"/>
      <c r="VIK56" s="12"/>
      <c r="VIL56" s="12"/>
      <c r="VIM56" s="12"/>
      <c r="VIN56" s="12"/>
      <c r="VIO56" s="12"/>
      <c r="VIP56" s="12"/>
      <c r="VIQ56" s="12"/>
      <c r="VIR56" s="12"/>
      <c r="VIS56" s="12"/>
      <c r="VIT56" s="12"/>
      <c r="VIU56" s="12"/>
      <c r="VIV56" s="12"/>
      <c r="VIW56" s="12"/>
      <c r="VIX56" s="12"/>
      <c r="VIY56" s="12"/>
      <c r="VIZ56" s="12"/>
      <c r="VJA56" s="12"/>
      <c r="VJB56" s="12"/>
      <c r="VJC56" s="12"/>
      <c r="VJD56" s="12"/>
      <c r="VJE56" s="12"/>
      <c r="VJF56" s="12"/>
      <c r="VJG56" s="12"/>
      <c r="VJH56" s="12"/>
      <c r="VJI56" s="12"/>
      <c r="VJJ56" s="12"/>
      <c r="VJK56" s="12"/>
      <c r="VJL56" s="12"/>
      <c r="VJM56" s="12"/>
      <c r="VJN56" s="12"/>
      <c r="VJO56" s="12"/>
      <c r="VJP56" s="12"/>
      <c r="VJQ56" s="12"/>
      <c r="VJR56" s="12"/>
      <c r="VJS56" s="12"/>
      <c r="VJT56" s="12"/>
      <c r="VJU56" s="12"/>
      <c r="VJV56" s="12"/>
      <c r="VJW56" s="12"/>
      <c r="VJX56" s="12"/>
      <c r="VJY56" s="12"/>
      <c r="VJZ56" s="12"/>
      <c r="VKA56" s="12"/>
      <c r="VKB56" s="12"/>
      <c r="VKC56" s="12"/>
      <c r="VKD56" s="12"/>
      <c r="VKE56" s="12"/>
      <c r="VKF56" s="12"/>
      <c r="VKG56" s="12"/>
      <c r="VKH56" s="12"/>
      <c r="VKI56" s="12"/>
      <c r="VKJ56" s="12"/>
      <c r="VKK56" s="12"/>
      <c r="VKL56" s="12"/>
      <c r="VKM56" s="12"/>
      <c r="VKN56" s="12"/>
      <c r="VKO56" s="12"/>
      <c r="VKP56" s="12"/>
      <c r="VKQ56" s="12"/>
      <c r="VKR56" s="12"/>
      <c r="VKS56" s="12"/>
      <c r="VKT56" s="12"/>
      <c r="VKU56" s="12"/>
      <c r="VKV56" s="12"/>
      <c r="VKW56" s="12"/>
      <c r="VKX56" s="12"/>
      <c r="VKY56" s="12"/>
      <c r="VKZ56" s="12"/>
      <c r="VLA56" s="12"/>
      <c r="VLB56" s="12"/>
      <c r="VLC56" s="12"/>
      <c r="VLD56" s="12"/>
      <c r="VLE56" s="12"/>
      <c r="VLF56" s="12"/>
      <c r="VLG56" s="12"/>
      <c r="VLH56" s="12"/>
      <c r="VLI56" s="12"/>
      <c r="VLJ56" s="12"/>
      <c r="VLK56" s="12"/>
      <c r="VLL56" s="12"/>
      <c r="VLM56" s="12"/>
      <c r="VLN56" s="12"/>
      <c r="VLO56" s="12"/>
      <c r="VLP56" s="12"/>
      <c r="VLQ56" s="12"/>
      <c r="VLR56" s="12"/>
      <c r="VLS56" s="12"/>
      <c r="VLT56" s="12"/>
      <c r="VLU56" s="12"/>
      <c r="VLV56" s="12"/>
      <c r="VLW56" s="12"/>
      <c r="VLX56" s="12"/>
      <c r="VLY56" s="12"/>
      <c r="VLZ56" s="12"/>
      <c r="VMA56" s="12"/>
      <c r="VMB56" s="12"/>
      <c r="VMC56" s="12"/>
      <c r="VMD56" s="12"/>
      <c r="VME56" s="12"/>
      <c r="VMF56" s="12"/>
      <c r="VMG56" s="12"/>
      <c r="VMH56" s="12"/>
      <c r="VMI56" s="12"/>
      <c r="VMJ56" s="12"/>
      <c r="VMK56" s="12"/>
      <c r="VML56" s="12"/>
      <c r="VMM56" s="12"/>
      <c r="VMN56" s="12"/>
      <c r="VMO56" s="12"/>
      <c r="VMP56" s="12"/>
      <c r="VMQ56" s="12"/>
      <c r="VMR56" s="12"/>
      <c r="VMS56" s="12"/>
      <c r="VMT56" s="12"/>
      <c r="VMU56" s="12"/>
      <c r="VMV56" s="12"/>
      <c r="VMW56" s="12"/>
      <c r="VMX56" s="12"/>
      <c r="VMY56" s="12"/>
      <c r="VMZ56" s="12"/>
      <c r="VNA56" s="12"/>
      <c r="VNB56" s="12"/>
      <c r="VNC56" s="12"/>
      <c r="VND56" s="12"/>
      <c r="VNE56" s="12"/>
      <c r="VNF56" s="12"/>
      <c r="VNG56" s="12"/>
      <c r="VNH56" s="12"/>
      <c r="VNI56" s="12"/>
      <c r="VNJ56" s="12"/>
      <c r="VNK56" s="12"/>
      <c r="VNL56" s="12"/>
      <c r="VNM56" s="12"/>
      <c r="VNN56" s="12"/>
      <c r="VNO56" s="12"/>
      <c r="VNP56" s="12"/>
      <c r="VNQ56" s="12"/>
      <c r="VNR56" s="12"/>
      <c r="VNS56" s="12"/>
      <c r="VNT56" s="12"/>
      <c r="VNU56" s="12"/>
      <c r="VNV56" s="12"/>
      <c r="VNW56" s="12"/>
      <c r="VNX56" s="12"/>
      <c r="VNY56" s="12"/>
      <c r="VNZ56" s="12"/>
      <c r="VOA56" s="12"/>
      <c r="VOB56" s="12"/>
      <c r="VOC56" s="12"/>
      <c r="VOD56" s="12"/>
      <c r="VOE56" s="12"/>
      <c r="VOF56" s="12"/>
      <c r="VOG56" s="12"/>
      <c r="VOH56" s="12"/>
      <c r="VOI56" s="12"/>
      <c r="VOJ56" s="12"/>
      <c r="VOK56" s="12"/>
      <c r="VOL56" s="12"/>
      <c r="VOM56" s="12"/>
      <c r="VON56" s="12"/>
      <c r="VOO56" s="12"/>
      <c r="VOP56" s="12"/>
      <c r="VOQ56" s="12"/>
      <c r="VOR56" s="12"/>
      <c r="VOS56" s="12"/>
      <c r="VOT56" s="12"/>
      <c r="VOU56" s="12"/>
      <c r="VOV56" s="12"/>
      <c r="VOW56" s="12"/>
      <c r="VOX56" s="12"/>
      <c r="VOY56" s="12"/>
      <c r="VOZ56" s="12"/>
      <c r="VPA56" s="12"/>
      <c r="VPB56" s="12"/>
      <c r="VPC56" s="12"/>
      <c r="VPD56" s="12"/>
      <c r="VPE56" s="12"/>
      <c r="VPF56" s="12"/>
      <c r="VPG56" s="12"/>
      <c r="VPH56" s="12"/>
      <c r="VPI56" s="12"/>
      <c r="VPJ56" s="12"/>
      <c r="VPK56" s="12"/>
      <c r="VPL56" s="12"/>
      <c r="VPM56" s="12"/>
      <c r="VPN56" s="12"/>
      <c r="VPO56" s="12"/>
      <c r="VPP56" s="12"/>
      <c r="VPQ56" s="12"/>
      <c r="VPR56" s="12"/>
      <c r="VPS56" s="12"/>
      <c r="VPT56" s="12"/>
      <c r="VPU56" s="12"/>
      <c r="VPV56" s="12"/>
      <c r="VPW56" s="12"/>
      <c r="VPX56" s="12"/>
      <c r="VPY56" s="12"/>
      <c r="VPZ56" s="12"/>
      <c r="VQA56" s="12"/>
      <c r="VQB56" s="12"/>
      <c r="VQC56" s="12"/>
      <c r="VQD56" s="12"/>
      <c r="VQE56" s="12"/>
      <c r="VQF56" s="12"/>
      <c r="VQG56" s="12"/>
      <c r="VQH56" s="12"/>
      <c r="VQI56" s="12"/>
      <c r="VQJ56" s="12"/>
      <c r="VQK56" s="12"/>
      <c r="VQL56" s="12"/>
      <c r="VQM56" s="12"/>
      <c r="VQN56" s="12"/>
      <c r="VQO56" s="12"/>
      <c r="VQP56" s="12"/>
      <c r="VQQ56" s="12"/>
      <c r="VQR56" s="12"/>
      <c r="VQS56" s="12"/>
      <c r="VQT56" s="12"/>
      <c r="VQU56" s="12"/>
      <c r="VQV56" s="12"/>
      <c r="VQW56" s="12"/>
      <c r="VQX56" s="12"/>
      <c r="VQY56" s="12"/>
      <c r="VQZ56" s="12"/>
      <c r="VRA56" s="12"/>
      <c r="VRB56" s="12"/>
      <c r="VRC56" s="12"/>
      <c r="VRD56" s="12"/>
      <c r="VRE56" s="12"/>
      <c r="VRF56" s="12"/>
      <c r="VRG56" s="12"/>
      <c r="VRH56" s="12"/>
      <c r="VRI56" s="12"/>
      <c r="VRJ56" s="12"/>
      <c r="VRK56" s="12"/>
      <c r="VRL56" s="12"/>
      <c r="VRM56" s="12"/>
      <c r="VRN56" s="12"/>
      <c r="VRO56" s="12"/>
      <c r="VRP56" s="12"/>
      <c r="VRQ56" s="12"/>
      <c r="VRR56" s="12"/>
      <c r="VRS56" s="12"/>
      <c r="VRT56" s="12"/>
      <c r="VRU56" s="12"/>
      <c r="VRV56" s="12"/>
      <c r="VRW56" s="12"/>
      <c r="VRX56" s="12"/>
      <c r="VRY56" s="12"/>
      <c r="VRZ56" s="12"/>
      <c r="VSA56" s="12"/>
      <c r="VSB56" s="12"/>
      <c r="VSC56" s="12"/>
      <c r="VSD56" s="12"/>
      <c r="VSE56" s="12"/>
      <c r="VSF56" s="12"/>
      <c r="VSG56" s="12"/>
      <c r="VSH56" s="12"/>
      <c r="VSI56" s="12"/>
      <c r="VSJ56" s="12"/>
      <c r="VSK56" s="12"/>
      <c r="VSL56" s="12"/>
      <c r="VSM56" s="12"/>
      <c r="VSN56" s="12"/>
      <c r="VSO56" s="12"/>
      <c r="VSP56" s="12"/>
      <c r="VSQ56" s="12"/>
      <c r="VSR56" s="12"/>
      <c r="VSS56" s="12"/>
      <c r="VST56" s="12"/>
      <c r="VSU56" s="12"/>
      <c r="VSV56" s="12"/>
      <c r="VSW56" s="12"/>
      <c r="VSX56" s="12"/>
      <c r="VSY56" s="12"/>
      <c r="VSZ56" s="12"/>
      <c r="VTA56" s="12"/>
      <c r="VTB56" s="12"/>
      <c r="VTC56" s="12"/>
      <c r="VTD56" s="12"/>
      <c r="VTE56" s="12"/>
      <c r="VTF56" s="12"/>
      <c r="VTG56" s="12"/>
      <c r="VTH56" s="12"/>
      <c r="VTI56" s="12"/>
      <c r="VTJ56" s="12"/>
      <c r="VTK56" s="12"/>
      <c r="VTL56" s="12"/>
      <c r="VTM56" s="12"/>
      <c r="VTN56" s="12"/>
      <c r="VTO56" s="12"/>
      <c r="VTP56" s="12"/>
      <c r="VTQ56" s="12"/>
      <c r="VTR56" s="12"/>
      <c r="VTS56" s="12"/>
      <c r="VTT56" s="12"/>
      <c r="VTU56" s="12"/>
      <c r="VTV56" s="12"/>
      <c r="VTW56" s="12"/>
      <c r="VTX56" s="12"/>
      <c r="VTY56" s="12"/>
      <c r="VTZ56" s="12"/>
      <c r="VUA56" s="12"/>
      <c r="VUB56" s="12"/>
      <c r="VUC56" s="12"/>
      <c r="VUD56" s="12"/>
      <c r="VUE56" s="12"/>
      <c r="VUF56" s="12"/>
      <c r="VUG56" s="12"/>
      <c r="VUH56" s="12"/>
      <c r="VUI56" s="12"/>
      <c r="VUJ56" s="12"/>
      <c r="VUK56" s="12"/>
      <c r="VUL56" s="12"/>
      <c r="VUM56" s="12"/>
      <c r="VUN56" s="12"/>
      <c r="VUO56" s="12"/>
      <c r="VUP56" s="12"/>
      <c r="VUQ56" s="12"/>
      <c r="VUR56" s="12"/>
      <c r="VUS56" s="12"/>
      <c r="VUT56" s="12"/>
      <c r="VUU56" s="12"/>
      <c r="VUV56" s="12"/>
      <c r="VUW56" s="12"/>
      <c r="VUX56" s="12"/>
      <c r="VUY56" s="12"/>
      <c r="VUZ56" s="12"/>
      <c r="VVA56" s="12"/>
      <c r="VVB56" s="12"/>
      <c r="VVC56" s="12"/>
      <c r="VVD56" s="12"/>
      <c r="VVE56" s="12"/>
      <c r="VVF56" s="12"/>
      <c r="VVG56" s="12"/>
      <c r="VVH56" s="12"/>
      <c r="VVI56" s="12"/>
      <c r="VVJ56" s="12"/>
      <c r="VVK56" s="12"/>
      <c r="VVL56" s="12"/>
      <c r="VVM56" s="12"/>
      <c r="VVN56" s="12"/>
      <c r="VVO56" s="12"/>
      <c r="VVP56" s="12"/>
      <c r="VVQ56" s="12"/>
      <c r="VVR56" s="12"/>
      <c r="VVS56" s="12"/>
      <c r="VVT56" s="12"/>
      <c r="VVU56" s="12"/>
      <c r="VVV56" s="12"/>
      <c r="VVW56" s="12"/>
      <c r="VVX56" s="12"/>
      <c r="VVY56" s="12"/>
      <c r="VVZ56" s="12"/>
      <c r="VWA56" s="12"/>
      <c r="VWB56" s="12"/>
      <c r="VWC56" s="12"/>
      <c r="VWD56" s="12"/>
      <c r="VWE56" s="12"/>
      <c r="VWF56" s="12"/>
      <c r="VWG56" s="12"/>
      <c r="VWH56" s="12"/>
      <c r="VWI56" s="12"/>
      <c r="VWJ56" s="12"/>
      <c r="VWK56" s="12"/>
      <c r="VWL56" s="12"/>
      <c r="VWM56" s="12"/>
      <c r="VWN56" s="12"/>
      <c r="VWO56" s="12"/>
      <c r="VWP56" s="12"/>
      <c r="VWQ56" s="12"/>
      <c r="VWR56" s="12"/>
      <c r="VWS56" s="12"/>
      <c r="VWT56" s="12"/>
      <c r="VWU56" s="12"/>
      <c r="VWV56" s="12"/>
      <c r="VWW56" s="12"/>
      <c r="VWX56" s="12"/>
      <c r="VWY56" s="12"/>
      <c r="VWZ56" s="12"/>
      <c r="VXA56" s="12"/>
      <c r="VXB56" s="12"/>
      <c r="VXC56" s="12"/>
      <c r="VXD56" s="12"/>
      <c r="VXE56" s="12"/>
      <c r="VXF56" s="12"/>
      <c r="VXG56" s="12"/>
      <c r="VXH56" s="12"/>
      <c r="VXI56" s="12"/>
      <c r="VXJ56" s="12"/>
      <c r="VXK56" s="12"/>
      <c r="VXL56" s="12"/>
      <c r="VXM56" s="12"/>
      <c r="VXN56" s="12"/>
      <c r="VXO56" s="12"/>
      <c r="VXP56" s="12"/>
      <c r="VXQ56" s="12"/>
      <c r="VXR56" s="12"/>
      <c r="VXS56" s="12"/>
      <c r="VXT56" s="12"/>
      <c r="VXU56" s="12"/>
      <c r="VXV56" s="12"/>
      <c r="VXW56" s="12"/>
      <c r="VXX56" s="12"/>
      <c r="VXY56" s="12"/>
      <c r="VXZ56" s="12"/>
      <c r="VYA56" s="12"/>
      <c r="VYB56" s="12"/>
      <c r="VYC56" s="12"/>
      <c r="VYD56" s="12"/>
      <c r="VYE56" s="12"/>
      <c r="VYF56" s="12"/>
      <c r="VYG56" s="12"/>
      <c r="VYH56" s="12"/>
      <c r="VYI56" s="12"/>
      <c r="VYJ56" s="12"/>
      <c r="VYK56" s="12"/>
      <c r="VYL56" s="12"/>
      <c r="VYM56" s="12"/>
      <c r="VYN56" s="12"/>
      <c r="VYO56" s="12"/>
      <c r="VYP56" s="12"/>
      <c r="VYQ56" s="12"/>
      <c r="VYR56" s="12"/>
      <c r="VYS56" s="12"/>
      <c r="VYT56" s="12"/>
      <c r="VYU56" s="12"/>
      <c r="VYV56" s="12"/>
      <c r="VYW56" s="12"/>
      <c r="VYX56" s="12"/>
      <c r="VYY56" s="12"/>
      <c r="VYZ56" s="12"/>
      <c r="VZA56" s="12"/>
      <c r="VZB56" s="12"/>
      <c r="VZC56" s="12"/>
      <c r="VZD56" s="12"/>
      <c r="VZE56" s="12"/>
      <c r="VZF56" s="12"/>
      <c r="VZG56" s="12"/>
      <c r="VZH56" s="12"/>
      <c r="VZI56" s="12"/>
      <c r="VZJ56" s="12"/>
      <c r="VZK56" s="12"/>
      <c r="VZL56" s="12"/>
      <c r="VZM56" s="12"/>
      <c r="VZN56" s="12"/>
      <c r="VZO56" s="12"/>
      <c r="VZP56" s="12"/>
      <c r="VZQ56" s="12"/>
      <c r="VZR56" s="12"/>
      <c r="VZS56" s="12"/>
      <c r="VZT56" s="12"/>
      <c r="VZU56" s="12"/>
      <c r="VZV56" s="12"/>
      <c r="VZW56" s="12"/>
      <c r="VZX56" s="12"/>
      <c r="VZY56" s="12"/>
      <c r="VZZ56" s="12"/>
      <c r="WAA56" s="12"/>
      <c r="WAB56" s="12"/>
      <c r="WAC56" s="12"/>
      <c r="WAD56" s="12"/>
      <c r="WAE56" s="12"/>
      <c r="WAF56" s="12"/>
      <c r="WAG56" s="12"/>
      <c r="WAH56" s="12"/>
      <c r="WAI56" s="12"/>
      <c r="WAJ56" s="12"/>
      <c r="WAK56" s="12"/>
      <c r="WAL56" s="12"/>
      <c r="WAM56" s="12"/>
      <c r="WAN56" s="12"/>
      <c r="WAO56" s="12"/>
      <c r="WAP56" s="12"/>
      <c r="WAQ56" s="12"/>
      <c r="WAR56" s="12"/>
      <c r="WAS56" s="12"/>
      <c r="WAT56" s="12"/>
      <c r="WAU56" s="12"/>
      <c r="WAV56" s="12"/>
      <c r="WAW56" s="12"/>
      <c r="WAX56" s="12"/>
      <c r="WAY56" s="12"/>
      <c r="WAZ56" s="12"/>
      <c r="WBA56" s="12"/>
      <c r="WBB56" s="12"/>
      <c r="WBC56" s="12"/>
      <c r="WBD56" s="12"/>
      <c r="WBE56" s="12"/>
      <c r="WBF56" s="12"/>
      <c r="WBG56" s="12"/>
      <c r="WBH56" s="12"/>
      <c r="WBI56" s="12"/>
      <c r="WBJ56" s="12"/>
      <c r="WBK56" s="12"/>
      <c r="WBL56" s="12"/>
      <c r="WBM56" s="12"/>
      <c r="WBN56" s="12"/>
      <c r="WBO56" s="12"/>
      <c r="WBP56" s="12"/>
      <c r="WBQ56" s="12"/>
      <c r="WBR56" s="12"/>
      <c r="WBS56" s="12"/>
      <c r="WBT56" s="12"/>
      <c r="WBU56" s="12"/>
      <c r="WBV56" s="12"/>
      <c r="WBW56" s="12"/>
      <c r="WBX56" s="12"/>
      <c r="WBY56" s="12"/>
      <c r="WBZ56" s="12"/>
      <c r="WCA56" s="12"/>
      <c r="WCB56" s="12"/>
      <c r="WCC56" s="12"/>
      <c r="WCD56" s="12"/>
      <c r="WCE56" s="12"/>
      <c r="WCF56" s="12"/>
      <c r="WCG56" s="12"/>
      <c r="WCH56" s="12"/>
      <c r="WCI56" s="12"/>
      <c r="WCJ56" s="12"/>
      <c r="WCK56" s="12"/>
      <c r="WCL56" s="12"/>
      <c r="WCM56" s="12"/>
      <c r="WCN56" s="12"/>
      <c r="WCO56" s="12"/>
      <c r="WCP56" s="12"/>
      <c r="WCQ56" s="12"/>
      <c r="WCR56" s="12"/>
      <c r="WCS56" s="12"/>
      <c r="WCT56" s="12"/>
      <c r="WCU56" s="12"/>
      <c r="WCV56" s="12"/>
      <c r="WCW56" s="12"/>
      <c r="WCX56" s="12"/>
      <c r="WCY56" s="12"/>
      <c r="WCZ56" s="12"/>
      <c r="WDA56" s="12"/>
      <c r="WDB56" s="12"/>
      <c r="WDC56" s="12"/>
      <c r="WDD56" s="12"/>
      <c r="WDE56" s="12"/>
      <c r="WDF56" s="12"/>
      <c r="WDG56" s="12"/>
      <c r="WDH56" s="12"/>
      <c r="WDI56" s="12"/>
      <c r="WDJ56" s="12"/>
      <c r="WDK56" s="12"/>
      <c r="WDL56" s="12"/>
      <c r="WDM56" s="12"/>
      <c r="WDN56" s="12"/>
      <c r="WDO56" s="12"/>
      <c r="WDP56" s="12"/>
      <c r="WDQ56" s="12"/>
      <c r="WDR56" s="12"/>
      <c r="WDS56" s="12"/>
      <c r="WDT56" s="12"/>
      <c r="WDU56" s="12"/>
      <c r="WDV56" s="12"/>
      <c r="WDW56" s="12"/>
      <c r="WDX56" s="12"/>
      <c r="WDY56" s="12"/>
      <c r="WDZ56" s="12"/>
      <c r="WEA56" s="12"/>
      <c r="WEB56" s="12"/>
      <c r="WEC56" s="12"/>
      <c r="WED56" s="12"/>
      <c r="WEE56" s="12"/>
      <c r="WEF56" s="12"/>
      <c r="WEG56" s="12"/>
      <c r="WEH56" s="12"/>
      <c r="WEI56" s="12"/>
      <c r="WEJ56" s="12"/>
      <c r="WEK56" s="12"/>
      <c r="WEL56" s="12"/>
      <c r="WEM56" s="12"/>
      <c r="WEN56" s="12"/>
      <c r="WEO56" s="12"/>
      <c r="WEP56" s="12"/>
      <c r="WEQ56" s="12"/>
      <c r="WER56" s="12"/>
      <c r="WES56" s="12"/>
      <c r="WET56" s="12"/>
      <c r="WEU56" s="12"/>
      <c r="WEV56" s="12"/>
      <c r="WEW56" s="12"/>
      <c r="WEX56" s="12"/>
      <c r="WEY56" s="12"/>
      <c r="WEZ56" s="12"/>
      <c r="WFA56" s="12"/>
      <c r="WFB56" s="12"/>
      <c r="WFC56" s="12"/>
      <c r="WFD56" s="12"/>
      <c r="WFE56" s="12"/>
      <c r="WFF56" s="12"/>
      <c r="WFG56" s="12"/>
      <c r="WFH56" s="12"/>
      <c r="WFI56" s="12"/>
      <c r="WFJ56" s="12"/>
      <c r="WFK56" s="12"/>
      <c r="WFL56" s="12"/>
      <c r="WFM56" s="12"/>
      <c r="WFN56" s="12"/>
      <c r="WFO56" s="12"/>
      <c r="WFP56" s="12"/>
      <c r="WFQ56" s="12"/>
      <c r="WFR56" s="12"/>
      <c r="WFS56" s="12"/>
      <c r="WFT56" s="12"/>
      <c r="WFU56" s="12"/>
      <c r="WFV56" s="12"/>
      <c r="WFW56" s="12"/>
      <c r="WFX56" s="12"/>
      <c r="WFY56" s="12"/>
      <c r="WFZ56" s="12"/>
      <c r="WGA56" s="12"/>
      <c r="WGB56" s="12"/>
      <c r="WGC56" s="12"/>
      <c r="WGD56" s="12"/>
      <c r="WGE56" s="12"/>
      <c r="WGF56" s="12"/>
      <c r="WGG56" s="12"/>
      <c r="WGH56" s="12"/>
      <c r="WGI56" s="12"/>
      <c r="WGJ56" s="12"/>
      <c r="WGK56" s="12"/>
      <c r="WGL56" s="12"/>
      <c r="WGM56" s="12"/>
      <c r="WGN56" s="12"/>
      <c r="WGO56" s="12"/>
      <c r="WGP56" s="12"/>
      <c r="WGQ56" s="12"/>
      <c r="WGR56" s="12"/>
      <c r="WGS56" s="12"/>
      <c r="WGT56" s="12"/>
      <c r="WGU56" s="12"/>
      <c r="WGV56" s="12"/>
      <c r="WGW56" s="12"/>
      <c r="WGX56" s="12"/>
      <c r="WGY56" s="12"/>
      <c r="WGZ56" s="12"/>
      <c r="WHA56" s="12"/>
      <c r="WHB56" s="12"/>
      <c r="WHC56" s="12"/>
      <c r="WHD56" s="12"/>
      <c r="WHE56" s="12"/>
      <c r="WHF56" s="12"/>
      <c r="WHG56" s="12"/>
      <c r="WHH56" s="12"/>
      <c r="WHI56" s="12"/>
      <c r="WHJ56" s="12"/>
      <c r="WHK56" s="12"/>
      <c r="WHL56" s="12"/>
      <c r="WHM56" s="12"/>
      <c r="WHN56" s="12"/>
      <c r="WHO56" s="12"/>
      <c r="WHP56" s="12"/>
      <c r="WHQ56" s="12"/>
      <c r="WHR56" s="12"/>
      <c r="WHS56" s="12"/>
      <c r="WHT56" s="12"/>
      <c r="WHU56" s="12"/>
      <c r="WHV56" s="12"/>
      <c r="WHW56" s="12"/>
      <c r="WHX56" s="12"/>
      <c r="WHY56" s="12"/>
      <c r="WHZ56" s="12"/>
      <c r="WIA56" s="12"/>
      <c r="WIB56" s="12"/>
      <c r="WIC56" s="12"/>
      <c r="WID56" s="12"/>
      <c r="WIE56" s="12"/>
      <c r="WIF56" s="12"/>
      <c r="WIG56" s="12"/>
      <c r="WIH56" s="12"/>
      <c r="WII56" s="12"/>
      <c r="WIJ56" s="12"/>
      <c r="WIK56" s="12"/>
      <c r="WIL56" s="12"/>
      <c r="WIM56" s="12"/>
      <c r="WIN56" s="12"/>
      <c r="WIO56" s="12"/>
      <c r="WIP56" s="12"/>
      <c r="WIQ56" s="12"/>
      <c r="WIR56" s="12"/>
      <c r="WIS56" s="12"/>
      <c r="WIT56" s="12"/>
      <c r="WIU56" s="12"/>
      <c r="WIV56" s="12"/>
      <c r="WIW56" s="12"/>
      <c r="WIX56" s="12"/>
      <c r="WIY56" s="12"/>
      <c r="WIZ56" s="12"/>
      <c r="WJA56" s="12"/>
      <c r="WJB56" s="12"/>
      <c r="WJC56" s="12"/>
      <c r="WJD56" s="12"/>
      <c r="WJE56" s="12"/>
      <c r="WJF56" s="12"/>
      <c r="WJG56" s="12"/>
      <c r="WJH56" s="12"/>
      <c r="WJI56" s="12"/>
      <c r="WJJ56" s="12"/>
      <c r="WJK56" s="12"/>
      <c r="WJL56" s="12"/>
      <c r="WJM56" s="12"/>
      <c r="WJN56" s="12"/>
      <c r="WJO56" s="12"/>
      <c r="WJP56" s="12"/>
      <c r="WJQ56" s="12"/>
      <c r="WJR56" s="12"/>
      <c r="WJS56" s="12"/>
      <c r="WJT56" s="12"/>
      <c r="WJU56" s="12"/>
      <c r="WJV56" s="12"/>
      <c r="WJW56" s="12"/>
      <c r="WJX56" s="12"/>
      <c r="WJY56" s="12"/>
      <c r="WJZ56" s="12"/>
      <c r="WKA56" s="12"/>
      <c r="WKB56" s="12"/>
      <c r="WKC56" s="12"/>
      <c r="WKD56" s="12"/>
      <c r="WKE56" s="12"/>
      <c r="WKF56" s="12"/>
      <c r="WKG56" s="12"/>
      <c r="WKH56" s="12"/>
      <c r="WKI56" s="12"/>
      <c r="WKJ56" s="12"/>
      <c r="WKK56" s="12"/>
      <c r="WKL56" s="12"/>
      <c r="WKM56" s="12"/>
      <c r="WKN56" s="12"/>
      <c r="WKO56" s="12"/>
      <c r="WKP56" s="12"/>
      <c r="WKQ56" s="12"/>
      <c r="WKR56" s="12"/>
      <c r="WKS56" s="12"/>
      <c r="WKT56" s="12"/>
      <c r="WKU56" s="12"/>
      <c r="WKV56" s="12"/>
      <c r="WKW56" s="12"/>
      <c r="WKX56" s="12"/>
      <c r="WKY56" s="12"/>
      <c r="WKZ56" s="12"/>
      <c r="WLA56" s="12"/>
      <c r="WLB56" s="12"/>
      <c r="WLC56" s="12"/>
      <c r="WLD56" s="12"/>
      <c r="WLE56" s="12"/>
      <c r="WLF56" s="12"/>
      <c r="WLG56" s="12"/>
      <c r="WLH56" s="12"/>
      <c r="WLI56" s="12"/>
      <c r="WLJ56" s="12"/>
      <c r="WLK56" s="12"/>
      <c r="WLL56" s="12"/>
      <c r="WLM56" s="12"/>
      <c r="WLN56" s="12"/>
      <c r="WLO56" s="12"/>
      <c r="WLP56" s="12"/>
      <c r="WLQ56" s="12"/>
      <c r="WLR56" s="12"/>
      <c r="WLS56" s="12"/>
      <c r="WLT56" s="12"/>
      <c r="WLU56" s="12"/>
      <c r="WLV56" s="12"/>
      <c r="WLW56" s="12"/>
      <c r="WLX56" s="12"/>
      <c r="WLY56" s="12"/>
      <c r="WLZ56" s="12"/>
      <c r="WMA56" s="12"/>
      <c r="WMB56" s="12"/>
      <c r="WMC56" s="12"/>
      <c r="WMD56" s="12"/>
      <c r="WME56" s="12"/>
      <c r="WMF56" s="12"/>
      <c r="WMG56" s="12"/>
      <c r="WMH56" s="12"/>
      <c r="WMI56" s="12"/>
      <c r="WMJ56" s="12"/>
      <c r="WMK56" s="12"/>
      <c r="WML56" s="12"/>
      <c r="WMM56" s="12"/>
      <c r="WMN56" s="12"/>
      <c r="WMO56" s="12"/>
      <c r="WMP56" s="12"/>
      <c r="WMQ56" s="12"/>
      <c r="WMR56" s="12"/>
      <c r="WMS56" s="12"/>
      <c r="WMT56" s="12"/>
      <c r="WMU56" s="12"/>
      <c r="WMV56" s="12"/>
      <c r="WMW56" s="12"/>
      <c r="WMX56" s="12"/>
      <c r="WMY56" s="12"/>
      <c r="WMZ56" s="12"/>
      <c r="WNA56" s="12"/>
      <c r="WNB56" s="12"/>
      <c r="WNC56" s="12"/>
      <c r="WND56" s="12"/>
      <c r="WNE56" s="12"/>
      <c r="WNF56" s="12"/>
      <c r="WNG56" s="12"/>
      <c r="WNH56" s="12"/>
      <c r="WNI56" s="12"/>
      <c r="WNJ56" s="12"/>
      <c r="WNK56" s="12"/>
      <c r="WNL56" s="12"/>
      <c r="WNM56" s="12"/>
      <c r="WNN56" s="12"/>
      <c r="WNO56" s="12"/>
      <c r="WNP56" s="12"/>
      <c r="WNQ56" s="12"/>
      <c r="WNR56" s="12"/>
      <c r="WNS56" s="12"/>
      <c r="WNT56" s="12"/>
      <c r="WNU56" s="12"/>
      <c r="WNV56" s="12"/>
      <c r="WNW56" s="12"/>
      <c r="WNX56" s="12"/>
      <c r="WNY56" s="12"/>
      <c r="WNZ56" s="12"/>
      <c r="WOA56" s="12"/>
      <c r="WOB56" s="12"/>
      <c r="WOC56" s="12"/>
      <c r="WOD56" s="12"/>
      <c r="WOE56" s="12"/>
      <c r="WOF56" s="12"/>
      <c r="WOG56" s="12"/>
      <c r="WOH56" s="12"/>
      <c r="WOI56" s="12"/>
      <c r="WOJ56" s="12"/>
      <c r="WOK56" s="12"/>
      <c r="WOL56" s="12"/>
      <c r="WOM56" s="12"/>
      <c r="WON56" s="12"/>
      <c r="WOO56" s="12"/>
      <c r="WOP56" s="12"/>
      <c r="WOQ56" s="12"/>
      <c r="WOR56" s="12"/>
      <c r="WOS56" s="12"/>
      <c r="WOT56" s="12"/>
      <c r="WOU56" s="12"/>
      <c r="WOV56" s="12"/>
      <c r="WOW56" s="12"/>
      <c r="WOX56" s="12"/>
      <c r="WOY56" s="12"/>
      <c r="WOZ56" s="12"/>
      <c r="WPA56" s="12"/>
      <c r="WPB56" s="12"/>
      <c r="WPC56" s="12"/>
      <c r="WPD56" s="12"/>
      <c r="WPE56" s="12"/>
      <c r="WPF56" s="12"/>
      <c r="WPG56" s="12"/>
      <c r="WPH56" s="12"/>
      <c r="WPI56" s="12"/>
      <c r="WPJ56" s="12"/>
      <c r="WPK56" s="12"/>
      <c r="WPL56" s="12"/>
      <c r="WPM56" s="12"/>
      <c r="WPN56" s="12"/>
      <c r="WPO56" s="12"/>
      <c r="WPP56" s="12"/>
      <c r="WPQ56" s="12"/>
      <c r="WPR56" s="12"/>
      <c r="WPS56" s="12"/>
      <c r="WPT56" s="12"/>
      <c r="WPU56" s="12"/>
      <c r="WPV56" s="12"/>
      <c r="WPW56" s="12"/>
      <c r="WPX56" s="12"/>
      <c r="WPY56" s="12"/>
      <c r="WPZ56" s="12"/>
      <c r="WQA56" s="12"/>
      <c r="WQB56" s="12"/>
      <c r="WQC56" s="12"/>
      <c r="WQD56" s="12"/>
      <c r="WQE56" s="12"/>
      <c r="WQF56" s="12"/>
      <c r="WQG56" s="12"/>
      <c r="WQH56" s="12"/>
      <c r="WQI56" s="12"/>
      <c r="WQJ56" s="12"/>
      <c r="WQK56" s="12"/>
      <c r="WQL56" s="12"/>
      <c r="WQM56" s="12"/>
      <c r="WQN56" s="12"/>
      <c r="WQO56" s="12"/>
      <c r="WQP56" s="12"/>
      <c r="WQQ56" s="12"/>
      <c r="WQR56" s="12"/>
      <c r="WQS56" s="12"/>
      <c r="WQT56" s="12"/>
      <c r="WQU56" s="12"/>
      <c r="WQV56" s="12"/>
      <c r="WQW56" s="12"/>
      <c r="WQX56" s="12"/>
      <c r="WQY56" s="12"/>
      <c r="WQZ56" s="12"/>
      <c r="WRA56" s="12"/>
      <c r="WRB56" s="12"/>
      <c r="WRC56" s="12"/>
      <c r="WRD56" s="12"/>
      <c r="WRE56" s="12"/>
      <c r="WRF56" s="12"/>
      <c r="WRG56" s="12"/>
      <c r="WRH56" s="12"/>
      <c r="WRI56" s="12"/>
      <c r="WRJ56" s="12"/>
      <c r="WRK56" s="12"/>
      <c r="WRL56" s="12"/>
      <c r="WRM56" s="12"/>
      <c r="WRN56" s="12"/>
      <c r="WRO56" s="12"/>
      <c r="WRP56" s="12"/>
      <c r="WRQ56" s="12"/>
      <c r="WRR56" s="12"/>
      <c r="WRS56" s="12"/>
      <c r="WRT56" s="12"/>
      <c r="WRU56" s="12"/>
      <c r="WRV56" s="12"/>
      <c r="WRW56" s="12"/>
      <c r="WRX56" s="12"/>
      <c r="WRY56" s="12"/>
      <c r="WRZ56" s="12"/>
      <c r="WSA56" s="12"/>
      <c r="WSB56" s="12"/>
      <c r="WSC56" s="12"/>
      <c r="WSD56" s="12"/>
      <c r="WSE56" s="12"/>
      <c r="WSF56" s="12"/>
      <c r="WSG56" s="12"/>
      <c r="WSH56" s="12"/>
      <c r="WSI56" s="12"/>
      <c r="WSJ56" s="12"/>
      <c r="WSK56" s="12"/>
      <c r="WSL56" s="12"/>
      <c r="WSM56" s="12"/>
      <c r="WSN56" s="12"/>
      <c r="WSO56" s="12"/>
      <c r="WSP56" s="12"/>
      <c r="WSQ56" s="12"/>
      <c r="WSR56" s="12"/>
      <c r="WSS56" s="12"/>
      <c r="WST56" s="12"/>
      <c r="WSU56" s="12"/>
      <c r="WSV56" s="12"/>
      <c r="WSW56" s="12"/>
      <c r="WSX56" s="12"/>
      <c r="WSY56" s="12"/>
      <c r="WSZ56" s="12"/>
      <c r="WTA56" s="12"/>
      <c r="WTB56" s="12"/>
      <c r="WTC56" s="12"/>
      <c r="WTD56" s="12"/>
      <c r="WTE56" s="12"/>
      <c r="WTF56" s="12"/>
      <c r="WTG56" s="12"/>
      <c r="WTH56" s="12"/>
      <c r="WTI56" s="12"/>
      <c r="WTJ56" s="12"/>
      <c r="WTK56" s="12"/>
      <c r="WTL56" s="12"/>
      <c r="WTM56" s="12"/>
      <c r="WTN56" s="12"/>
      <c r="WTO56" s="12"/>
      <c r="WTP56" s="12"/>
      <c r="WTQ56" s="12"/>
      <c r="WTR56" s="12"/>
      <c r="WTS56" s="12"/>
      <c r="WTT56" s="12"/>
      <c r="WTU56" s="12"/>
      <c r="WTV56" s="12"/>
      <c r="WTW56" s="12"/>
      <c r="WTX56" s="12"/>
      <c r="WTY56" s="12"/>
      <c r="WTZ56" s="12"/>
      <c r="WUA56" s="12"/>
      <c r="WUB56" s="12"/>
      <c r="WUC56" s="12"/>
      <c r="WUD56" s="12"/>
      <c r="WUE56" s="12"/>
      <c r="WUF56" s="12"/>
      <c r="WUG56" s="12"/>
      <c r="WUH56" s="12"/>
      <c r="WUI56" s="12"/>
      <c r="WUJ56" s="12"/>
      <c r="WUK56" s="12"/>
      <c r="WUL56" s="12"/>
      <c r="WUM56" s="12"/>
      <c r="WUN56" s="12"/>
      <c r="WUO56" s="12"/>
      <c r="WUP56" s="12"/>
      <c r="WUQ56" s="12"/>
      <c r="WUR56" s="12"/>
      <c r="WUS56" s="12"/>
      <c r="WUT56" s="12"/>
      <c r="WUU56" s="12"/>
      <c r="WUV56" s="12"/>
      <c r="WUW56" s="12"/>
      <c r="WUX56" s="12"/>
      <c r="WUY56" s="12"/>
      <c r="WUZ56" s="12"/>
      <c r="WVA56" s="12"/>
      <c r="WVB56" s="12"/>
      <c r="WVC56" s="12"/>
      <c r="WVD56" s="12"/>
      <c r="WVE56" s="12"/>
      <c r="WVF56" s="12"/>
      <c r="WVG56" s="12"/>
      <c r="WVH56" s="12"/>
      <c r="WVI56" s="12"/>
      <c r="WVJ56" s="12"/>
      <c r="WVK56" s="12"/>
      <c r="WVL56" s="12"/>
      <c r="WVM56" s="12"/>
      <c r="WVN56" s="12"/>
      <c r="WVO56" s="12"/>
      <c r="WVP56" s="12"/>
      <c r="WVQ56" s="12"/>
      <c r="WVR56" s="12"/>
      <c r="WVS56" s="12"/>
      <c r="WVT56" s="12"/>
      <c r="WVU56" s="12"/>
      <c r="WVV56" s="12"/>
      <c r="WVW56" s="12"/>
      <c r="WVX56" s="12"/>
      <c r="WVY56" s="12"/>
      <c r="WVZ56" s="12"/>
      <c r="WWA56" s="12"/>
      <c r="WWB56" s="12"/>
      <c r="WWC56" s="12"/>
      <c r="WWD56" s="12"/>
      <c r="WWE56" s="12"/>
      <c r="WWF56" s="12"/>
      <c r="WWG56" s="12"/>
      <c r="WWH56" s="12"/>
      <c r="WWI56" s="12"/>
      <c r="WWJ56" s="12"/>
      <c r="WWK56" s="12"/>
      <c r="WWL56" s="12"/>
      <c r="WWM56" s="12"/>
      <c r="WWN56" s="12"/>
      <c r="WWO56" s="12"/>
      <c r="WWP56" s="12"/>
      <c r="WWQ56" s="12"/>
      <c r="WWR56" s="12"/>
      <c r="WWS56" s="12"/>
      <c r="WWT56" s="12"/>
      <c r="WWU56" s="12"/>
      <c r="WWV56" s="12"/>
      <c r="WWW56" s="12"/>
      <c r="WWX56" s="12"/>
      <c r="WWY56" s="12"/>
      <c r="WWZ56" s="12"/>
      <c r="WXA56" s="12"/>
      <c r="WXB56" s="12"/>
      <c r="WXC56" s="12"/>
      <c r="WXD56" s="12"/>
      <c r="WXE56" s="12"/>
      <c r="WXF56" s="12"/>
      <c r="WXG56" s="12"/>
      <c r="WXH56" s="12"/>
      <c r="WXI56" s="12"/>
      <c r="WXJ56" s="12"/>
      <c r="WXK56" s="12"/>
      <c r="WXL56" s="12"/>
      <c r="WXM56" s="12"/>
      <c r="WXN56" s="12"/>
      <c r="WXO56" s="12"/>
      <c r="WXP56" s="12"/>
      <c r="WXQ56" s="12"/>
      <c r="WXR56" s="12"/>
      <c r="WXS56" s="12"/>
      <c r="WXT56" s="12"/>
      <c r="WXU56" s="12"/>
      <c r="WXV56" s="12"/>
      <c r="WXW56" s="12"/>
      <c r="WXX56" s="12"/>
      <c r="WXY56" s="12"/>
      <c r="WXZ56" s="12"/>
      <c r="WYA56" s="12"/>
      <c r="WYB56" s="12"/>
      <c r="WYC56" s="12"/>
      <c r="WYD56" s="12"/>
      <c r="WYE56" s="12"/>
      <c r="WYF56" s="12"/>
      <c r="WYG56" s="12"/>
      <c r="WYH56" s="12"/>
      <c r="WYI56" s="12"/>
      <c r="WYJ56" s="12"/>
      <c r="WYK56" s="12"/>
      <c r="WYL56" s="12"/>
      <c r="WYM56" s="12"/>
      <c r="WYN56" s="12"/>
      <c r="WYO56" s="12"/>
      <c r="WYP56" s="12"/>
      <c r="WYQ56" s="12"/>
      <c r="WYR56" s="12"/>
      <c r="WYS56" s="12"/>
      <c r="WYT56" s="12"/>
      <c r="WYU56" s="12"/>
      <c r="WYV56" s="12"/>
      <c r="WYW56" s="12"/>
      <c r="WYX56" s="12"/>
      <c r="WYY56" s="12"/>
      <c r="WYZ56" s="12"/>
      <c r="WZA56" s="12"/>
      <c r="WZB56" s="12"/>
      <c r="WZC56" s="12"/>
      <c r="WZD56" s="12"/>
      <c r="WZE56" s="12"/>
      <c r="WZF56" s="12"/>
      <c r="WZG56" s="12"/>
      <c r="WZH56" s="12"/>
      <c r="WZI56" s="12"/>
      <c r="WZJ56" s="12"/>
      <c r="WZK56" s="12"/>
      <c r="WZL56" s="12"/>
      <c r="WZM56" s="12"/>
      <c r="WZN56" s="12"/>
      <c r="WZO56" s="12"/>
      <c r="WZP56" s="12"/>
      <c r="WZQ56" s="12"/>
      <c r="WZR56" s="12"/>
      <c r="WZS56" s="12"/>
      <c r="WZT56" s="12"/>
      <c r="WZU56" s="12"/>
      <c r="WZV56" s="12"/>
      <c r="WZW56" s="12"/>
      <c r="WZX56" s="12"/>
      <c r="WZY56" s="12"/>
      <c r="WZZ56" s="12"/>
      <c r="XAA56" s="12"/>
      <c r="XAB56" s="12"/>
      <c r="XAC56" s="12"/>
      <c r="XAD56" s="12"/>
      <c r="XAE56" s="12"/>
      <c r="XAF56" s="12"/>
      <c r="XAG56" s="12"/>
      <c r="XAH56" s="12"/>
      <c r="XAI56" s="12"/>
      <c r="XAJ56" s="12"/>
      <c r="XAK56" s="12"/>
      <c r="XAL56" s="12"/>
      <c r="XAM56" s="12"/>
      <c r="XAN56" s="12"/>
      <c r="XAO56" s="12"/>
      <c r="XAP56" s="12"/>
      <c r="XAQ56" s="12"/>
      <c r="XAR56" s="12"/>
      <c r="XAS56" s="12"/>
      <c r="XAT56" s="12"/>
      <c r="XAU56" s="12"/>
      <c r="XAV56" s="12"/>
      <c r="XAW56" s="12"/>
      <c r="XAX56" s="12"/>
      <c r="XAY56" s="12"/>
      <c r="XAZ56" s="12"/>
      <c r="XBA56" s="12"/>
      <c r="XBB56" s="12"/>
      <c r="XBC56" s="12"/>
      <c r="XBD56" s="12"/>
      <c r="XBE56" s="12"/>
      <c r="XBF56" s="12"/>
      <c r="XBG56" s="12"/>
      <c r="XBH56" s="12"/>
      <c r="XBI56" s="12"/>
      <c r="XBJ56" s="12"/>
      <c r="XBK56" s="12"/>
      <c r="XBL56" s="12"/>
      <c r="XBM56" s="12"/>
      <c r="XBN56" s="12"/>
      <c r="XBO56" s="12"/>
      <c r="XBP56" s="12"/>
      <c r="XBQ56" s="12"/>
      <c r="XBR56" s="12"/>
      <c r="XBS56" s="12"/>
      <c r="XBT56" s="12"/>
      <c r="XBU56" s="12"/>
      <c r="XBV56" s="12"/>
      <c r="XBW56" s="12"/>
      <c r="XBX56" s="12"/>
      <c r="XBY56" s="12"/>
      <c r="XBZ56" s="12"/>
      <c r="XCA56" s="12"/>
      <c r="XCB56" s="12"/>
      <c r="XCC56" s="12"/>
      <c r="XCD56" s="12"/>
      <c r="XCE56" s="12"/>
      <c r="XCF56" s="12"/>
      <c r="XCG56" s="12"/>
      <c r="XCH56" s="12"/>
    </row>
    <row r="57" spans="1:16310" s="115" customFormat="1" ht="10.199999999999999" x14ac:dyDescent="0.2">
      <c r="A57" s="122">
        <v>1</v>
      </c>
      <c r="C57" s="123"/>
      <c r="D57" s="116" t="str">
        <f>IF(ISERROR(VLOOKUP('Оценка трудоемкости'!$C57,Справочники!S:V,3,0))=TRUE,"",VLOOKUP('Оценка трудоемкости'!$C57,Справочники!S:V,3,0))</f>
        <v/>
      </c>
      <c r="E57" s="116">
        <f>IF(ISERROR(VLOOKUP('Оценка трудоемкости'!$C57,Справочники!S:V,4,0))=TRUE,0,VLOOKUP('Оценка трудоемкости'!$C57,Справочники!S:V,4,0))</f>
        <v>0</v>
      </c>
      <c r="F57" s="127"/>
      <c r="G57" s="116">
        <f t="shared" si="207"/>
        <v>0</v>
      </c>
      <c r="H57" s="12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16">
        <f t="shared" si="208"/>
        <v>0</v>
      </c>
      <c r="V57" s="12"/>
      <c r="W57" s="124"/>
      <c r="X57" s="124"/>
      <c r="Y57" s="124"/>
      <c r="Z57" s="124"/>
      <c r="AA57" s="124"/>
      <c r="AB57" s="124"/>
      <c r="AC57" s="124"/>
      <c r="AD57" s="124"/>
      <c r="AE57" s="124"/>
      <c r="AF57" s="124"/>
      <c r="AG57" s="124"/>
      <c r="AH57" s="124"/>
      <c r="AI57" s="116">
        <f t="shared" si="209"/>
        <v>0</v>
      </c>
      <c r="AJ57" s="12"/>
      <c r="AK57" s="124"/>
      <c r="AL57" s="124"/>
      <c r="AM57" s="124"/>
      <c r="AN57" s="124"/>
      <c r="AO57" s="124"/>
      <c r="AP57" s="124"/>
      <c r="AQ57" s="124"/>
      <c r="AR57" s="124"/>
      <c r="AS57" s="124"/>
      <c r="AT57" s="124"/>
      <c r="AU57" s="124"/>
      <c r="AV57" s="124"/>
      <c r="AW57" s="116">
        <f t="shared" si="210"/>
        <v>0</v>
      </c>
      <c r="AX57" s="12"/>
      <c r="AY57" s="124"/>
      <c r="AZ57" s="124"/>
      <c r="BA57" s="124"/>
      <c r="BB57" s="124"/>
      <c r="BC57" s="124"/>
      <c r="BD57" s="124"/>
      <c r="BE57" s="124"/>
      <c r="BF57" s="124"/>
      <c r="BG57" s="124"/>
      <c r="BH57" s="124"/>
      <c r="BI57" s="124"/>
      <c r="BJ57" s="124"/>
      <c r="BK57" s="116">
        <f t="shared" si="211"/>
        <v>0</v>
      </c>
      <c r="BL57" s="12"/>
      <c r="BM57" s="124"/>
      <c r="BN57" s="124"/>
      <c r="BO57" s="124"/>
      <c r="BP57" s="124"/>
      <c r="BQ57" s="124"/>
      <c r="BR57" s="124"/>
      <c r="BS57" s="124"/>
      <c r="BT57" s="124"/>
      <c r="BU57" s="124"/>
      <c r="BV57" s="124"/>
      <c r="BW57" s="124"/>
      <c r="BX57" s="124"/>
      <c r="BY57" s="116">
        <f t="shared" si="212"/>
        <v>0</v>
      </c>
      <c r="BZ57" s="12"/>
      <c r="CA57" s="200">
        <f t="shared" si="213"/>
        <v>0</v>
      </c>
      <c r="CB57" s="12"/>
      <c r="CC57" s="118">
        <f t="shared" si="147"/>
        <v>0</v>
      </c>
      <c r="CD57" s="118">
        <f t="shared" si="148"/>
        <v>0</v>
      </c>
      <c r="CE57" s="118">
        <f t="shared" si="149"/>
        <v>0</v>
      </c>
      <c r="CF57" s="118">
        <f t="shared" si="150"/>
        <v>0</v>
      </c>
      <c r="CG57" s="118">
        <f t="shared" si="151"/>
        <v>0</v>
      </c>
      <c r="CH57" s="118">
        <f t="shared" si="152"/>
        <v>0</v>
      </c>
      <c r="CI57" s="118">
        <f t="shared" si="153"/>
        <v>0</v>
      </c>
      <c r="CJ57" s="118">
        <f t="shared" si="154"/>
        <v>0</v>
      </c>
      <c r="CK57" s="118">
        <f t="shared" si="155"/>
        <v>0</v>
      </c>
      <c r="CL57" s="118">
        <f t="shared" si="156"/>
        <v>0</v>
      </c>
      <c r="CM57" s="118">
        <f t="shared" si="157"/>
        <v>0</v>
      </c>
      <c r="CN57" s="118">
        <f t="shared" si="158"/>
        <v>0</v>
      </c>
      <c r="CO57" s="41">
        <f t="shared" si="219"/>
        <v>0</v>
      </c>
      <c r="CP57" s="12"/>
      <c r="CQ57" s="118">
        <f t="shared" si="159"/>
        <v>0</v>
      </c>
      <c r="CR57" s="118">
        <f t="shared" si="160"/>
        <v>0</v>
      </c>
      <c r="CS57" s="118">
        <f t="shared" si="161"/>
        <v>0</v>
      </c>
      <c r="CT57" s="118">
        <f t="shared" si="162"/>
        <v>0</v>
      </c>
      <c r="CU57" s="118">
        <f t="shared" si="163"/>
        <v>0</v>
      </c>
      <c r="CV57" s="118">
        <f t="shared" si="164"/>
        <v>0</v>
      </c>
      <c r="CW57" s="118">
        <f t="shared" si="165"/>
        <v>0</v>
      </c>
      <c r="CX57" s="118">
        <f t="shared" si="166"/>
        <v>0</v>
      </c>
      <c r="CY57" s="118">
        <f t="shared" si="167"/>
        <v>0</v>
      </c>
      <c r="CZ57" s="118">
        <f t="shared" si="168"/>
        <v>0</v>
      </c>
      <c r="DA57" s="118">
        <f t="shared" si="169"/>
        <v>0</v>
      </c>
      <c r="DB57" s="118">
        <f t="shared" si="170"/>
        <v>0</v>
      </c>
      <c r="DC57" s="41">
        <f t="shared" si="220"/>
        <v>0</v>
      </c>
      <c r="DD57" s="12"/>
      <c r="DE57" s="118">
        <f t="shared" si="171"/>
        <v>0</v>
      </c>
      <c r="DF57" s="118">
        <f t="shared" si="172"/>
        <v>0</v>
      </c>
      <c r="DG57" s="118">
        <f t="shared" si="173"/>
        <v>0</v>
      </c>
      <c r="DH57" s="118">
        <f t="shared" si="174"/>
        <v>0</v>
      </c>
      <c r="DI57" s="118">
        <f t="shared" si="175"/>
        <v>0</v>
      </c>
      <c r="DJ57" s="118">
        <f t="shared" si="176"/>
        <v>0</v>
      </c>
      <c r="DK57" s="118">
        <f t="shared" si="177"/>
        <v>0</v>
      </c>
      <c r="DL57" s="118">
        <f t="shared" si="178"/>
        <v>0</v>
      </c>
      <c r="DM57" s="118">
        <f t="shared" si="179"/>
        <v>0</v>
      </c>
      <c r="DN57" s="118">
        <f t="shared" si="180"/>
        <v>0</v>
      </c>
      <c r="DO57" s="118">
        <f t="shared" si="181"/>
        <v>0</v>
      </c>
      <c r="DP57" s="118">
        <f t="shared" si="182"/>
        <v>0</v>
      </c>
      <c r="DQ57" s="41">
        <f t="shared" si="221"/>
        <v>0</v>
      </c>
      <c r="DR57" s="12"/>
      <c r="DS57" s="118">
        <f t="shared" si="183"/>
        <v>0</v>
      </c>
      <c r="DT57" s="118">
        <f t="shared" si="184"/>
        <v>0</v>
      </c>
      <c r="DU57" s="118">
        <f t="shared" si="185"/>
        <v>0</v>
      </c>
      <c r="DV57" s="118">
        <f t="shared" si="186"/>
        <v>0</v>
      </c>
      <c r="DW57" s="118">
        <f t="shared" si="187"/>
        <v>0</v>
      </c>
      <c r="DX57" s="118">
        <f t="shared" si="188"/>
        <v>0</v>
      </c>
      <c r="DY57" s="118">
        <f t="shared" si="189"/>
        <v>0</v>
      </c>
      <c r="DZ57" s="118">
        <f t="shared" si="190"/>
        <v>0</v>
      </c>
      <c r="EA57" s="118">
        <f t="shared" si="191"/>
        <v>0</v>
      </c>
      <c r="EB57" s="118">
        <f t="shared" si="192"/>
        <v>0</v>
      </c>
      <c r="EC57" s="118">
        <f t="shared" si="193"/>
        <v>0</v>
      </c>
      <c r="ED57" s="118">
        <f t="shared" si="194"/>
        <v>0</v>
      </c>
      <c r="EE57" s="41">
        <f t="shared" si="222"/>
        <v>0</v>
      </c>
      <c r="EF57" s="12"/>
      <c r="EG57" s="118">
        <f t="shared" si="195"/>
        <v>0</v>
      </c>
      <c r="EH57" s="118">
        <f t="shared" si="196"/>
        <v>0</v>
      </c>
      <c r="EI57" s="118">
        <f t="shared" si="197"/>
        <v>0</v>
      </c>
      <c r="EJ57" s="118">
        <f t="shared" si="198"/>
        <v>0</v>
      </c>
      <c r="EK57" s="118">
        <f t="shared" si="199"/>
        <v>0</v>
      </c>
      <c r="EL57" s="118">
        <f t="shared" si="200"/>
        <v>0</v>
      </c>
      <c r="EM57" s="118">
        <f t="shared" si="201"/>
        <v>0</v>
      </c>
      <c r="EN57" s="118">
        <f t="shared" si="202"/>
        <v>0</v>
      </c>
      <c r="EO57" s="118">
        <f t="shared" si="203"/>
        <v>0</v>
      </c>
      <c r="EP57" s="118">
        <f t="shared" si="204"/>
        <v>0</v>
      </c>
      <c r="EQ57" s="118">
        <f t="shared" si="205"/>
        <v>0</v>
      </c>
      <c r="ER57" s="118">
        <f t="shared" si="206"/>
        <v>0</v>
      </c>
      <c r="ES57" s="41">
        <f t="shared" si="223"/>
        <v>0</v>
      </c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12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12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12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12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12"/>
      <c r="JX57" s="12"/>
      <c r="JY57" s="12"/>
      <c r="JZ57" s="12"/>
      <c r="KA57" s="12"/>
      <c r="KB57" s="12"/>
      <c r="KC57" s="12"/>
      <c r="KD57" s="12"/>
      <c r="KE57" s="12"/>
      <c r="KF57" s="12"/>
      <c r="KG57" s="12"/>
      <c r="KH57" s="12"/>
      <c r="KI57" s="12"/>
      <c r="KJ57" s="12"/>
      <c r="KK57" s="12"/>
      <c r="KL57" s="12"/>
      <c r="KM57" s="12"/>
      <c r="KN57" s="12"/>
      <c r="KO57" s="12"/>
      <c r="KP57" s="12"/>
      <c r="KQ57" s="12"/>
      <c r="KR57" s="12"/>
      <c r="KS57" s="12"/>
      <c r="KT57" s="12"/>
      <c r="KU57" s="12"/>
      <c r="KV57" s="12"/>
      <c r="KW57" s="12"/>
      <c r="KX57" s="12"/>
      <c r="KY57" s="12"/>
      <c r="KZ57" s="12"/>
      <c r="LA57" s="12"/>
      <c r="LB57" s="12"/>
      <c r="LC57" s="12"/>
      <c r="LD57" s="12"/>
      <c r="LE57" s="12"/>
      <c r="LF57" s="12"/>
      <c r="LG57" s="12"/>
      <c r="LH57" s="12"/>
      <c r="LI57" s="12"/>
      <c r="LJ57" s="12"/>
      <c r="LK57" s="12"/>
      <c r="LL57" s="12"/>
      <c r="LM57" s="12"/>
      <c r="LN57" s="12"/>
      <c r="LO57" s="12"/>
      <c r="LP57" s="12"/>
      <c r="LQ57" s="12"/>
      <c r="LR57" s="12"/>
      <c r="LS57" s="12"/>
      <c r="LT57" s="12"/>
      <c r="LU57" s="12"/>
      <c r="LV57" s="12"/>
      <c r="LW57" s="12"/>
      <c r="LX57" s="12"/>
      <c r="LY57" s="12"/>
      <c r="LZ57" s="12"/>
      <c r="MA57" s="12"/>
      <c r="MB57" s="12"/>
      <c r="MC57" s="12"/>
      <c r="MD57" s="12"/>
      <c r="ME57" s="12"/>
      <c r="MF57" s="12"/>
      <c r="MG57" s="12"/>
      <c r="MH57" s="12"/>
      <c r="MI57" s="12"/>
      <c r="MJ57" s="12"/>
      <c r="MK57" s="12"/>
      <c r="ML57" s="12"/>
      <c r="MM57" s="12"/>
      <c r="MN57" s="12"/>
      <c r="MO57" s="12"/>
      <c r="MP57" s="12"/>
      <c r="MQ57" s="12"/>
      <c r="MR57" s="12"/>
      <c r="MS57" s="12"/>
      <c r="MT57" s="12"/>
      <c r="MU57" s="12"/>
      <c r="MV57" s="12"/>
      <c r="MW57" s="12"/>
      <c r="MX57" s="12"/>
      <c r="MY57" s="12"/>
      <c r="MZ57" s="12"/>
      <c r="NA57" s="12"/>
      <c r="NB57" s="12"/>
      <c r="NC57" s="12"/>
      <c r="ND57" s="12"/>
      <c r="NE57" s="12"/>
      <c r="NF57" s="12"/>
      <c r="NG57" s="12"/>
      <c r="NH57" s="12"/>
      <c r="NI57" s="12"/>
      <c r="NJ57" s="12"/>
      <c r="NK57" s="12"/>
      <c r="NL57" s="12"/>
      <c r="NM57" s="12"/>
      <c r="NN57" s="12"/>
      <c r="NO57" s="12"/>
      <c r="NP57" s="12"/>
      <c r="NQ57" s="12"/>
      <c r="NR57" s="12"/>
      <c r="NS57" s="12"/>
      <c r="NT57" s="12"/>
      <c r="NU57" s="12"/>
      <c r="NV57" s="12"/>
      <c r="NW57" s="12"/>
      <c r="NX57" s="12"/>
      <c r="NY57" s="12"/>
      <c r="NZ57" s="12"/>
      <c r="OA57" s="12"/>
      <c r="OB57" s="12"/>
      <c r="OC57" s="12"/>
      <c r="OD57" s="12"/>
      <c r="OE57" s="12"/>
      <c r="OF57" s="12"/>
      <c r="OG57" s="12"/>
      <c r="OH57" s="12"/>
      <c r="OI57" s="12"/>
      <c r="OJ57" s="12"/>
      <c r="OK57" s="12"/>
      <c r="OL57" s="12"/>
      <c r="OM57" s="12"/>
      <c r="ON57" s="12"/>
      <c r="OO57" s="12"/>
      <c r="OP57" s="12"/>
      <c r="OQ57" s="12"/>
      <c r="OR57" s="12"/>
      <c r="OS57" s="12"/>
      <c r="OT57" s="12"/>
      <c r="OU57" s="12"/>
      <c r="OV57" s="12"/>
      <c r="OW57" s="12"/>
      <c r="OX57" s="12"/>
      <c r="OY57" s="12"/>
      <c r="OZ57" s="12"/>
      <c r="PA57" s="12"/>
      <c r="PB57" s="12"/>
      <c r="PC57" s="12"/>
      <c r="PD57" s="12"/>
      <c r="PE57" s="12"/>
      <c r="PF57" s="12"/>
      <c r="PG57" s="12"/>
      <c r="PH57" s="12"/>
      <c r="PI57" s="12"/>
      <c r="PJ57" s="12"/>
      <c r="PK57" s="12"/>
      <c r="PL57" s="12"/>
      <c r="PM57" s="12"/>
      <c r="PN57" s="12"/>
      <c r="PO57" s="12"/>
      <c r="PP57" s="12"/>
      <c r="PQ57" s="12"/>
      <c r="PR57" s="12"/>
      <c r="PS57" s="12"/>
      <c r="PT57" s="12"/>
      <c r="PU57" s="12"/>
      <c r="PV57" s="12"/>
      <c r="PW57" s="12"/>
      <c r="PX57" s="12"/>
      <c r="PY57" s="12"/>
      <c r="PZ57" s="12"/>
      <c r="QA57" s="12"/>
      <c r="QB57" s="12"/>
      <c r="QC57" s="12"/>
      <c r="QD57" s="12"/>
      <c r="QE57" s="12"/>
      <c r="QF57" s="12"/>
      <c r="QG57" s="12"/>
      <c r="QH57" s="12"/>
      <c r="QI57" s="12"/>
      <c r="QJ57" s="12"/>
      <c r="QK57" s="12"/>
      <c r="QL57" s="12"/>
      <c r="QM57" s="12"/>
      <c r="QN57" s="12"/>
      <c r="QO57" s="12"/>
      <c r="QP57" s="12"/>
      <c r="QQ57" s="12"/>
      <c r="QR57" s="12"/>
      <c r="QS57" s="12"/>
      <c r="QT57" s="12"/>
      <c r="QU57" s="12"/>
      <c r="QV57" s="12"/>
      <c r="QW57" s="12"/>
      <c r="QX57" s="12"/>
      <c r="QY57" s="12"/>
      <c r="QZ57" s="12"/>
      <c r="RA57" s="12"/>
      <c r="RB57" s="12"/>
      <c r="RC57" s="12"/>
      <c r="RD57" s="12"/>
      <c r="RE57" s="12"/>
      <c r="RF57" s="12"/>
      <c r="RG57" s="12"/>
      <c r="RH57" s="12"/>
      <c r="RI57" s="12"/>
      <c r="RJ57" s="12"/>
      <c r="RK57" s="12"/>
      <c r="RL57" s="12"/>
      <c r="RM57" s="12"/>
      <c r="RN57" s="12"/>
      <c r="RO57" s="12"/>
      <c r="RP57" s="12"/>
      <c r="RQ57" s="12"/>
      <c r="RR57" s="12"/>
      <c r="RS57" s="12"/>
      <c r="RT57" s="12"/>
      <c r="RU57" s="12"/>
      <c r="RV57" s="12"/>
      <c r="RW57" s="12"/>
      <c r="RX57" s="12"/>
      <c r="RY57" s="12"/>
      <c r="RZ57" s="12"/>
      <c r="SA57" s="12"/>
      <c r="SB57" s="12"/>
      <c r="SC57" s="12"/>
      <c r="SD57" s="12"/>
      <c r="SE57" s="12"/>
      <c r="SF57" s="12"/>
      <c r="SG57" s="12"/>
      <c r="SH57" s="12"/>
      <c r="SI57" s="12"/>
      <c r="SJ57" s="12"/>
      <c r="SK57" s="12"/>
      <c r="SL57" s="12"/>
      <c r="SM57" s="12"/>
      <c r="SN57" s="12"/>
      <c r="SO57" s="12"/>
      <c r="SP57" s="12"/>
      <c r="SQ57" s="12"/>
      <c r="SR57" s="12"/>
      <c r="SS57" s="12"/>
      <c r="ST57" s="12"/>
      <c r="SU57" s="12"/>
      <c r="SV57" s="12"/>
      <c r="SW57" s="12"/>
      <c r="SX57" s="12"/>
      <c r="SY57" s="12"/>
      <c r="SZ57" s="12"/>
      <c r="TA57" s="12"/>
      <c r="TB57" s="12"/>
      <c r="TC57" s="12"/>
      <c r="TD57" s="12"/>
      <c r="TE57" s="12"/>
      <c r="TF57" s="12"/>
      <c r="TG57" s="12"/>
      <c r="TH57" s="12"/>
      <c r="TI57" s="12"/>
      <c r="TJ57" s="12"/>
      <c r="TK57" s="12"/>
      <c r="TL57" s="12"/>
      <c r="TM57" s="12"/>
      <c r="TN57" s="12"/>
      <c r="TO57" s="12"/>
      <c r="TP57" s="12"/>
      <c r="TQ57" s="12"/>
      <c r="TR57" s="12"/>
      <c r="TS57" s="12"/>
      <c r="TT57" s="12"/>
      <c r="TU57" s="12"/>
      <c r="TV57" s="12"/>
      <c r="TW57" s="12"/>
      <c r="TX57" s="12"/>
      <c r="TY57" s="12"/>
      <c r="TZ57" s="12"/>
      <c r="UA57" s="12"/>
      <c r="UB57" s="12"/>
      <c r="UC57" s="12"/>
      <c r="UD57" s="12"/>
      <c r="UE57" s="12"/>
      <c r="UF57" s="12"/>
      <c r="UG57" s="12"/>
      <c r="UH57" s="12"/>
      <c r="UI57" s="12"/>
      <c r="UJ57" s="12"/>
      <c r="UK57" s="12"/>
      <c r="UL57" s="12"/>
      <c r="UM57" s="12"/>
      <c r="UN57" s="12"/>
      <c r="UO57" s="12"/>
      <c r="UP57" s="12"/>
      <c r="UQ57" s="12"/>
      <c r="UR57" s="12"/>
      <c r="US57" s="12"/>
      <c r="UT57" s="12"/>
      <c r="UU57" s="12"/>
      <c r="UV57" s="12"/>
      <c r="UW57" s="12"/>
      <c r="UX57" s="12"/>
      <c r="UY57" s="12"/>
      <c r="UZ57" s="12"/>
      <c r="VA57" s="12"/>
      <c r="VB57" s="12"/>
      <c r="VC57" s="12"/>
      <c r="VD57" s="12"/>
      <c r="VE57" s="12"/>
      <c r="VF57" s="12"/>
      <c r="VG57" s="12"/>
      <c r="VH57" s="12"/>
      <c r="VI57" s="12"/>
      <c r="VJ57" s="12"/>
      <c r="VK57" s="12"/>
      <c r="VL57" s="12"/>
      <c r="VM57" s="12"/>
      <c r="VN57" s="12"/>
      <c r="VO57" s="12"/>
      <c r="VP57" s="12"/>
      <c r="VQ57" s="12"/>
      <c r="VR57" s="12"/>
      <c r="VS57" s="12"/>
      <c r="VT57" s="12"/>
      <c r="VU57" s="12"/>
      <c r="VV57" s="12"/>
      <c r="VW57" s="12"/>
      <c r="VX57" s="12"/>
      <c r="VY57" s="12"/>
      <c r="VZ57" s="12"/>
      <c r="WA57" s="12"/>
      <c r="WB57" s="12"/>
      <c r="WC57" s="12"/>
      <c r="WD57" s="12"/>
      <c r="WE57" s="12"/>
      <c r="WF57" s="12"/>
      <c r="WG57" s="12"/>
      <c r="WH57" s="12"/>
      <c r="WI57" s="12"/>
      <c r="WJ57" s="12"/>
      <c r="WK57" s="12"/>
      <c r="WL57" s="12"/>
      <c r="WM57" s="12"/>
      <c r="WN57" s="12"/>
      <c r="WO57" s="12"/>
      <c r="WP57" s="12"/>
      <c r="WQ57" s="12"/>
      <c r="WR57" s="12"/>
      <c r="WS57" s="12"/>
      <c r="WT57" s="12"/>
      <c r="WU57" s="12"/>
      <c r="WV57" s="12"/>
      <c r="WW57" s="12"/>
      <c r="WX57" s="12"/>
      <c r="WY57" s="12"/>
      <c r="WZ57" s="12"/>
      <c r="XA57" s="12"/>
      <c r="XB57" s="12"/>
      <c r="XC57" s="12"/>
      <c r="XD57" s="12"/>
      <c r="XE57" s="12"/>
      <c r="XF57" s="12"/>
      <c r="XG57" s="12"/>
      <c r="XH57" s="12"/>
      <c r="XI57" s="12"/>
      <c r="XJ57" s="12"/>
      <c r="XK57" s="12"/>
      <c r="XL57" s="12"/>
      <c r="XM57" s="12"/>
      <c r="XN57" s="12"/>
      <c r="XO57" s="12"/>
      <c r="XP57" s="12"/>
      <c r="XQ57" s="12"/>
      <c r="XR57" s="12"/>
      <c r="XS57" s="12"/>
      <c r="XT57" s="12"/>
      <c r="XU57" s="12"/>
      <c r="XV57" s="12"/>
      <c r="XW57" s="12"/>
      <c r="XX57" s="12"/>
      <c r="XY57" s="12"/>
      <c r="XZ57" s="12"/>
      <c r="YA57" s="12"/>
      <c r="YB57" s="12"/>
      <c r="YC57" s="12"/>
      <c r="YD57" s="12"/>
      <c r="YE57" s="12"/>
      <c r="YF57" s="12"/>
      <c r="YG57" s="12"/>
      <c r="YH57" s="12"/>
      <c r="YI57" s="12"/>
      <c r="YJ57" s="12"/>
      <c r="YK57" s="12"/>
      <c r="YL57" s="12"/>
      <c r="YM57" s="12"/>
      <c r="YN57" s="12"/>
      <c r="YO57" s="12"/>
      <c r="YP57" s="12"/>
      <c r="YQ57" s="12"/>
      <c r="YR57" s="12"/>
      <c r="YS57" s="12"/>
      <c r="YT57" s="12"/>
      <c r="YU57" s="12"/>
      <c r="YV57" s="12"/>
      <c r="YW57" s="12"/>
      <c r="YX57" s="12"/>
      <c r="YY57" s="12"/>
      <c r="YZ57" s="12"/>
      <c r="ZA57" s="12"/>
      <c r="ZB57" s="12"/>
      <c r="ZC57" s="12"/>
      <c r="ZD57" s="12"/>
      <c r="ZE57" s="12"/>
      <c r="ZF57" s="12"/>
      <c r="ZG57" s="12"/>
      <c r="ZH57" s="12"/>
      <c r="ZI57" s="12"/>
      <c r="ZJ57" s="12"/>
      <c r="ZK57" s="12"/>
      <c r="ZL57" s="12"/>
      <c r="ZM57" s="12"/>
      <c r="ZN57" s="12"/>
      <c r="ZO57" s="12"/>
      <c r="ZP57" s="12"/>
      <c r="ZQ57" s="12"/>
      <c r="ZR57" s="12"/>
      <c r="ZS57" s="12"/>
      <c r="ZT57" s="12"/>
      <c r="ZU57" s="12"/>
      <c r="ZV57" s="12"/>
      <c r="ZW57" s="12"/>
      <c r="ZX57" s="12"/>
      <c r="ZY57" s="12"/>
      <c r="ZZ57" s="12"/>
      <c r="AAA57" s="12"/>
      <c r="AAB57" s="12"/>
      <c r="AAC57" s="12"/>
      <c r="AAD57" s="12"/>
      <c r="AAE57" s="12"/>
      <c r="AAF57" s="12"/>
      <c r="AAG57" s="12"/>
      <c r="AAH57" s="12"/>
      <c r="AAI57" s="12"/>
      <c r="AAJ57" s="12"/>
      <c r="AAK57" s="12"/>
      <c r="AAL57" s="12"/>
      <c r="AAM57" s="12"/>
      <c r="AAN57" s="12"/>
      <c r="AAO57" s="12"/>
      <c r="AAP57" s="12"/>
      <c r="AAQ57" s="12"/>
      <c r="AAR57" s="12"/>
      <c r="AAS57" s="12"/>
      <c r="AAT57" s="12"/>
      <c r="AAU57" s="12"/>
      <c r="AAV57" s="12"/>
      <c r="AAW57" s="12"/>
      <c r="AAX57" s="12"/>
      <c r="AAY57" s="12"/>
      <c r="AAZ57" s="12"/>
      <c r="ABA57" s="12"/>
      <c r="ABB57" s="12"/>
      <c r="ABC57" s="12"/>
      <c r="ABD57" s="12"/>
      <c r="ABE57" s="12"/>
      <c r="ABF57" s="12"/>
      <c r="ABG57" s="12"/>
      <c r="ABH57" s="12"/>
      <c r="ABI57" s="12"/>
      <c r="ABJ57" s="12"/>
      <c r="ABK57" s="12"/>
      <c r="ABL57" s="12"/>
      <c r="ABM57" s="12"/>
      <c r="ABN57" s="12"/>
      <c r="ABO57" s="12"/>
      <c r="ABP57" s="12"/>
      <c r="ABQ57" s="12"/>
      <c r="ABR57" s="12"/>
      <c r="ABS57" s="12"/>
      <c r="ABT57" s="12"/>
      <c r="ABU57" s="12"/>
      <c r="ABV57" s="12"/>
      <c r="ABW57" s="12"/>
      <c r="ABX57" s="12"/>
      <c r="ABY57" s="12"/>
      <c r="ABZ57" s="12"/>
      <c r="ACA57" s="12"/>
      <c r="ACB57" s="12"/>
      <c r="ACC57" s="12"/>
      <c r="ACD57" s="12"/>
      <c r="ACE57" s="12"/>
      <c r="ACF57" s="12"/>
      <c r="ACG57" s="12"/>
      <c r="ACH57" s="12"/>
      <c r="ACI57" s="12"/>
      <c r="ACJ57" s="12"/>
      <c r="ACK57" s="12"/>
      <c r="ACL57" s="12"/>
      <c r="ACM57" s="12"/>
      <c r="ACN57" s="12"/>
      <c r="ACO57" s="12"/>
      <c r="ACP57" s="12"/>
      <c r="ACQ57" s="12"/>
      <c r="ACR57" s="12"/>
      <c r="ACS57" s="12"/>
      <c r="ACT57" s="12"/>
      <c r="ACU57" s="12"/>
      <c r="ACV57" s="12"/>
      <c r="ACW57" s="12"/>
      <c r="ACX57" s="12"/>
      <c r="ACY57" s="12"/>
      <c r="ACZ57" s="12"/>
      <c r="ADA57" s="12"/>
      <c r="ADB57" s="12"/>
      <c r="ADC57" s="12"/>
      <c r="ADD57" s="12"/>
      <c r="ADE57" s="12"/>
      <c r="ADF57" s="12"/>
      <c r="ADG57" s="12"/>
      <c r="ADH57" s="12"/>
      <c r="ADI57" s="12"/>
      <c r="ADJ57" s="12"/>
      <c r="ADK57" s="12"/>
      <c r="ADL57" s="12"/>
      <c r="ADM57" s="12"/>
      <c r="ADN57" s="12"/>
      <c r="ADO57" s="12"/>
      <c r="ADP57" s="12"/>
      <c r="ADQ57" s="12"/>
      <c r="ADR57" s="12"/>
      <c r="ADS57" s="12"/>
      <c r="ADT57" s="12"/>
      <c r="ADU57" s="12"/>
      <c r="ADV57" s="12"/>
      <c r="ADW57" s="12"/>
      <c r="ADX57" s="12"/>
      <c r="ADY57" s="12"/>
      <c r="ADZ57" s="12"/>
      <c r="AEA57" s="12"/>
      <c r="AEB57" s="12"/>
      <c r="AEC57" s="12"/>
      <c r="AED57" s="12"/>
      <c r="AEE57" s="12"/>
      <c r="AEF57" s="12"/>
      <c r="AEG57" s="12"/>
      <c r="AEH57" s="12"/>
      <c r="AEI57" s="12"/>
      <c r="AEJ57" s="12"/>
      <c r="AEK57" s="12"/>
      <c r="AEL57" s="12"/>
      <c r="AEM57" s="12"/>
      <c r="AEN57" s="12"/>
      <c r="AEO57" s="12"/>
      <c r="AEP57" s="12"/>
      <c r="AEQ57" s="12"/>
      <c r="AER57" s="12"/>
      <c r="AES57" s="12"/>
      <c r="AET57" s="12"/>
      <c r="AEU57" s="12"/>
      <c r="AEV57" s="12"/>
      <c r="AEW57" s="12"/>
      <c r="AEX57" s="12"/>
      <c r="AEY57" s="12"/>
      <c r="AEZ57" s="12"/>
      <c r="AFA57" s="12"/>
      <c r="AFB57" s="12"/>
      <c r="AFC57" s="12"/>
      <c r="AFD57" s="12"/>
      <c r="AFE57" s="12"/>
      <c r="AFF57" s="12"/>
      <c r="AFG57" s="12"/>
      <c r="AFH57" s="12"/>
      <c r="AFI57" s="12"/>
      <c r="AFJ57" s="12"/>
      <c r="AFK57" s="12"/>
      <c r="AFL57" s="12"/>
      <c r="AFM57" s="12"/>
      <c r="AFN57" s="12"/>
      <c r="AFO57" s="12"/>
      <c r="AFP57" s="12"/>
      <c r="AFQ57" s="12"/>
      <c r="AFR57" s="12"/>
      <c r="AFS57" s="12"/>
      <c r="AFT57" s="12"/>
      <c r="AFU57" s="12"/>
      <c r="AFV57" s="12"/>
      <c r="AFW57" s="12"/>
      <c r="AFX57" s="12"/>
      <c r="AFY57" s="12"/>
      <c r="AFZ57" s="12"/>
      <c r="AGA57" s="12"/>
      <c r="AGB57" s="12"/>
      <c r="AGC57" s="12"/>
      <c r="AGD57" s="12"/>
      <c r="AGE57" s="12"/>
      <c r="AGF57" s="12"/>
      <c r="AGG57" s="12"/>
      <c r="AGH57" s="12"/>
      <c r="AGI57" s="12"/>
      <c r="AGJ57" s="12"/>
      <c r="AGK57" s="12"/>
      <c r="AGL57" s="12"/>
      <c r="AGM57" s="12"/>
      <c r="AGN57" s="12"/>
      <c r="AGO57" s="12"/>
      <c r="AGP57" s="12"/>
      <c r="AGQ57" s="12"/>
      <c r="AGR57" s="12"/>
      <c r="AGS57" s="12"/>
      <c r="AGT57" s="12"/>
      <c r="AGU57" s="12"/>
      <c r="AGV57" s="12"/>
      <c r="AGW57" s="12"/>
      <c r="AGX57" s="12"/>
      <c r="AGY57" s="12"/>
      <c r="AGZ57" s="12"/>
      <c r="AHA57" s="12"/>
      <c r="AHB57" s="12"/>
      <c r="AHC57" s="12"/>
      <c r="AHD57" s="12"/>
      <c r="AHE57" s="12"/>
      <c r="AHF57" s="12"/>
      <c r="AHG57" s="12"/>
      <c r="AHH57" s="12"/>
      <c r="AHI57" s="12"/>
      <c r="AHJ57" s="12"/>
      <c r="AHK57" s="12"/>
      <c r="AHL57" s="12"/>
      <c r="AHM57" s="12"/>
      <c r="AHN57" s="12"/>
      <c r="AHO57" s="12"/>
      <c r="AHP57" s="12"/>
      <c r="AHQ57" s="12"/>
      <c r="AHR57" s="12"/>
      <c r="AHS57" s="12"/>
      <c r="AHT57" s="12"/>
      <c r="AHU57" s="12"/>
      <c r="AHV57" s="12"/>
      <c r="AHW57" s="12"/>
      <c r="AHX57" s="12"/>
      <c r="AHY57" s="12"/>
      <c r="AHZ57" s="12"/>
      <c r="AIA57" s="12"/>
      <c r="AIB57" s="12"/>
      <c r="AIC57" s="12"/>
      <c r="AID57" s="12"/>
      <c r="AIE57" s="12"/>
      <c r="AIF57" s="12"/>
      <c r="AIG57" s="12"/>
      <c r="AIH57" s="12"/>
      <c r="AII57" s="12"/>
      <c r="AIJ57" s="12"/>
      <c r="AIK57" s="12"/>
      <c r="AIL57" s="12"/>
      <c r="AIM57" s="12"/>
      <c r="AIN57" s="12"/>
      <c r="AIO57" s="12"/>
      <c r="AIP57" s="12"/>
      <c r="AIQ57" s="12"/>
      <c r="AIR57" s="12"/>
      <c r="AIS57" s="12"/>
      <c r="AIT57" s="12"/>
      <c r="AIU57" s="12"/>
      <c r="AIV57" s="12"/>
      <c r="AIW57" s="12"/>
      <c r="AIX57" s="12"/>
      <c r="AIY57" s="12"/>
      <c r="AIZ57" s="12"/>
      <c r="AJA57" s="12"/>
      <c r="AJB57" s="12"/>
      <c r="AJC57" s="12"/>
      <c r="AJD57" s="12"/>
      <c r="AJE57" s="12"/>
      <c r="AJF57" s="12"/>
      <c r="AJG57" s="12"/>
      <c r="AJH57" s="12"/>
      <c r="AJI57" s="12"/>
      <c r="AJJ57" s="12"/>
      <c r="AJK57" s="12"/>
      <c r="AJL57" s="12"/>
      <c r="AJM57" s="12"/>
      <c r="AJN57" s="12"/>
      <c r="AJO57" s="12"/>
      <c r="AJP57" s="12"/>
      <c r="AJQ57" s="12"/>
      <c r="AJR57" s="12"/>
      <c r="AJS57" s="12"/>
      <c r="AJT57" s="12"/>
      <c r="AJU57" s="12"/>
      <c r="AJV57" s="12"/>
      <c r="AJW57" s="12"/>
      <c r="AJX57" s="12"/>
      <c r="AJY57" s="12"/>
      <c r="AJZ57" s="12"/>
      <c r="AKA57" s="12"/>
      <c r="AKB57" s="12"/>
      <c r="AKC57" s="12"/>
      <c r="AKD57" s="12"/>
      <c r="AKE57" s="12"/>
      <c r="AKF57" s="12"/>
      <c r="AKG57" s="12"/>
      <c r="AKH57" s="12"/>
      <c r="AKI57" s="12"/>
      <c r="AKJ57" s="12"/>
      <c r="AKK57" s="12"/>
      <c r="AKL57" s="12"/>
      <c r="AKM57" s="12"/>
      <c r="AKN57" s="12"/>
      <c r="AKO57" s="12"/>
      <c r="AKP57" s="12"/>
      <c r="AKQ57" s="12"/>
      <c r="AKR57" s="12"/>
      <c r="AKS57" s="12"/>
      <c r="AKT57" s="12"/>
      <c r="AKU57" s="12"/>
      <c r="AKV57" s="12"/>
      <c r="AKW57" s="12"/>
      <c r="AKX57" s="12"/>
      <c r="AKY57" s="12"/>
      <c r="AKZ57" s="12"/>
      <c r="ALA57" s="12"/>
      <c r="ALB57" s="12"/>
      <c r="ALC57" s="12"/>
      <c r="ALD57" s="12"/>
      <c r="ALE57" s="12"/>
      <c r="ALF57" s="12"/>
      <c r="ALG57" s="12"/>
      <c r="ALH57" s="12"/>
      <c r="ALI57" s="12"/>
      <c r="ALJ57" s="12"/>
      <c r="ALK57" s="12"/>
      <c r="ALL57" s="12"/>
      <c r="ALM57" s="12"/>
      <c r="ALN57" s="12"/>
      <c r="ALO57" s="12"/>
      <c r="ALP57" s="12"/>
      <c r="ALQ57" s="12"/>
      <c r="ALR57" s="12"/>
      <c r="ALS57" s="12"/>
      <c r="ALT57" s="12"/>
      <c r="ALU57" s="12"/>
      <c r="ALV57" s="12"/>
      <c r="ALW57" s="12"/>
      <c r="ALX57" s="12"/>
      <c r="ALY57" s="12"/>
      <c r="ALZ57" s="12"/>
      <c r="AMA57" s="12"/>
      <c r="AMB57" s="12"/>
      <c r="AMC57" s="12"/>
      <c r="AMD57" s="12"/>
      <c r="AME57" s="12"/>
      <c r="AMF57" s="12"/>
      <c r="AMG57" s="12"/>
      <c r="AMH57" s="12"/>
      <c r="AMI57" s="12"/>
      <c r="AMJ57" s="12"/>
      <c r="AMK57" s="12"/>
      <c r="AML57" s="12"/>
      <c r="AMM57" s="12"/>
      <c r="AMN57" s="12"/>
      <c r="AMO57" s="12"/>
      <c r="AMP57" s="12"/>
      <c r="AMQ57" s="12"/>
      <c r="AMR57" s="12"/>
      <c r="AMS57" s="12"/>
      <c r="AMT57" s="12"/>
      <c r="AMU57" s="12"/>
      <c r="AMV57" s="12"/>
      <c r="AMW57" s="12"/>
      <c r="AMX57" s="12"/>
      <c r="AMY57" s="12"/>
      <c r="AMZ57" s="12"/>
      <c r="ANA57" s="12"/>
      <c r="ANB57" s="12"/>
      <c r="ANC57" s="12"/>
      <c r="AND57" s="12"/>
      <c r="ANE57" s="12"/>
      <c r="ANF57" s="12"/>
      <c r="ANG57" s="12"/>
      <c r="ANH57" s="12"/>
      <c r="ANI57" s="12"/>
      <c r="ANJ57" s="12"/>
      <c r="ANK57" s="12"/>
      <c r="ANL57" s="12"/>
      <c r="ANM57" s="12"/>
      <c r="ANN57" s="12"/>
      <c r="ANO57" s="12"/>
      <c r="ANP57" s="12"/>
      <c r="ANQ57" s="12"/>
      <c r="ANR57" s="12"/>
      <c r="ANS57" s="12"/>
      <c r="ANT57" s="12"/>
      <c r="ANU57" s="12"/>
      <c r="ANV57" s="12"/>
      <c r="ANW57" s="12"/>
      <c r="ANX57" s="12"/>
      <c r="ANY57" s="12"/>
      <c r="ANZ57" s="12"/>
      <c r="AOA57" s="12"/>
      <c r="AOB57" s="12"/>
      <c r="AOC57" s="12"/>
      <c r="AOD57" s="12"/>
      <c r="AOE57" s="12"/>
      <c r="AOF57" s="12"/>
      <c r="AOG57" s="12"/>
      <c r="AOH57" s="12"/>
      <c r="AOI57" s="12"/>
      <c r="AOJ57" s="12"/>
      <c r="AOK57" s="12"/>
      <c r="AOL57" s="12"/>
      <c r="AOM57" s="12"/>
      <c r="AON57" s="12"/>
      <c r="AOO57" s="12"/>
      <c r="AOP57" s="12"/>
      <c r="AOQ57" s="12"/>
      <c r="AOR57" s="12"/>
      <c r="AOS57" s="12"/>
      <c r="AOT57" s="12"/>
      <c r="AOU57" s="12"/>
      <c r="AOV57" s="12"/>
      <c r="AOW57" s="12"/>
      <c r="AOX57" s="12"/>
      <c r="AOY57" s="12"/>
      <c r="AOZ57" s="12"/>
      <c r="APA57" s="12"/>
      <c r="APB57" s="12"/>
      <c r="APC57" s="12"/>
      <c r="APD57" s="12"/>
      <c r="APE57" s="12"/>
      <c r="APF57" s="12"/>
      <c r="APG57" s="12"/>
      <c r="APH57" s="12"/>
      <c r="API57" s="12"/>
      <c r="APJ57" s="12"/>
      <c r="APK57" s="12"/>
      <c r="APL57" s="12"/>
      <c r="APM57" s="12"/>
      <c r="APN57" s="12"/>
      <c r="APO57" s="12"/>
      <c r="APP57" s="12"/>
      <c r="APQ57" s="12"/>
      <c r="APR57" s="12"/>
      <c r="APS57" s="12"/>
      <c r="APT57" s="12"/>
      <c r="APU57" s="12"/>
      <c r="APV57" s="12"/>
      <c r="APW57" s="12"/>
      <c r="APX57" s="12"/>
      <c r="APY57" s="12"/>
      <c r="APZ57" s="12"/>
      <c r="AQA57" s="12"/>
      <c r="AQB57" s="12"/>
      <c r="AQC57" s="12"/>
      <c r="AQD57" s="12"/>
      <c r="AQE57" s="12"/>
      <c r="AQF57" s="12"/>
      <c r="AQG57" s="12"/>
      <c r="AQH57" s="12"/>
      <c r="AQI57" s="12"/>
      <c r="AQJ57" s="12"/>
      <c r="AQK57" s="12"/>
      <c r="AQL57" s="12"/>
      <c r="AQM57" s="12"/>
      <c r="AQN57" s="12"/>
      <c r="AQO57" s="12"/>
      <c r="AQP57" s="12"/>
      <c r="AQQ57" s="12"/>
      <c r="AQR57" s="12"/>
      <c r="AQS57" s="12"/>
      <c r="AQT57" s="12"/>
      <c r="AQU57" s="12"/>
      <c r="AQV57" s="12"/>
      <c r="AQW57" s="12"/>
      <c r="AQX57" s="12"/>
      <c r="AQY57" s="12"/>
      <c r="AQZ57" s="12"/>
      <c r="ARA57" s="12"/>
      <c r="ARB57" s="12"/>
      <c r="ARC57" s="12"/>
      <c r="ARD57" s="12"/>
      <c r="ARE57" s="12"/>
      <c r="ARF57" s="12"/>
      <c r="ARG57" s="12"/>
      <c r="ARH57" s="12"/>
      <c r="ARI57" s="12"/>
      <c r="ARJ57" s="12"/>
      <c r="ARK57" s="12"/>
      <c r="ARL57" s="12"/>
      <c r="ARM57" s="12"/>
      <c r="ARN57" s="12"/>
      <c r="ARO57" s="12"/>
      <c r="ARP57" s="12"/>
      <c r="ARQ57" s="12"/>
      <c r="ARR57" s="12"/>
      <c r="ARS57" s="12"/>
      <c r="ART57" s="12"/>
      <c r="ARU57" s="12"/>
      <c r="ARV57" s="12"/>
      <c r="ARW57" s="12"/>
      <c r="ARX57" s="12"/>
      <c r="ARY57" s="12"/>
      <c r="ARZ57" s="12"/>
      <c r="ASA57" s="12"/>
      <c r="ASB57" s="12"/>
      <c r="ASC57" s="12"/>
      <c r="ASD57" s="12"/>
      <c r="ASE57" s="12"/>
      <c r="ASF57" s="12"/>
      <c r="ASG57" s="12"/>
      <c r="ASH57" s="12"/>
      <c r="ASI57" s="12"/>
      <c r="ASJ57" s="12"/>
      <c r="ASK57" s="12"/>
      <c r="ASL57" s="12"/>
      <c r="ASM57" s="12"/>
      <c r="ASN57" s="12"/>
      <c r="ASO57" s="12"/>
      <c r="ASP57" s="12"/>
      <c r="ASQ57" s="12"/>
      <c r="ASR57" s="12"/>
      <c r="ASS57" s="12"/>
      <c r="AST57" s="12"/>
      <c r="ASU57" s="12"/>
      <c r="ASV57" s="12"/>
      <c r="ASW57" s="12"/>
      <c r="ASX57" s="12"/>
      <c r="ASY57" s="12"/>
      <c r="ASZ57" s="12"/>
      <c r="ATA57" s="12"/>
      <c r="ATB57" s="12"/>
      <c r="ATC57" s="12"/>
      <c r="ATD57" s="12"/>
      <c r="ATE57" s="12"/>
      <c r="ATF57" s="12"/>
      <c r="ATG57" s="12"/>
      <c r="ATH57" s="12"/>
      <c r="ATI57" s="12"/>
      <c r="ATJ57" s="12"/>
      <c r="ATK57" s="12"/>
      <c r="ATL57" s="12"/>
      <c r="ATM57" s="12"/>
      <c r="ATN57" s="12"/>
      <c r="ATO57" s="12"/>
      <c r="ATP57" s="12"/>
      <c r="ATQ57" s="12"/>
      <c r="ATR57" s="12"/>
      <c r="ATS57" s="12"/>
      <c r="ATT57" s="12"/>
      <c r="ATU57" s="12"/>
      <c r="ATV57" s="12"/>
      <c r="ATW57" s="12"/>
      <c r="ATX57" s="12"/>
      <c r="ATY57" s="12"/>
      <c r="ATZ57" s="12"/>
      <c r="AUA57" s="12"/>
      <c r="AUB57" s="12"/>
      <c r="AUC57" s="12"/>
      <c r="AUD57" s="12"/>
      <c r="AUE57" s="12"/>
      <c r="AUF57" s="12"/>
      <c r="AUG57" s="12"/>
      <c r="AUH57" s="12"/>
      <c r="AUI57" s="12"/>
      <c r="AUJ57" s="12"/>
      <c r="AUK57" s="12"/>
      <c r="AUL57" s="12"/>
      <c r="AUM57" s="12"/>
      <c r="AUN57" s="12"/>
      <c r="AUO57" s="12"/>
      <c r="AUP57" s="12"/>
      <c r="AUQ57" s="12"/>
      <c r="AUR57" s="12"/>
      <c r="AUS57" s="12"/>
      <c r="AUT57" s="12"/>
      <c r="AUU57" s="12"/>
      <c r="AUV57" s="12"/>
      <c r="AUW57" s="12"/>
      <c r="AUX57" s="12"/>
      <c r="AUY57" s="12"/>
      <c r="AUZ57" s="12"/>
      <c r="AVA57" s="12"/>
      <c r="AVB57" s="12"/>
      <c r="AVC57" s="12"/>
      <c r="AVD57" s="12"/>
      <c r="AVE57" s="12"/>
      <c r="AVF57" s="12"/>
      <c r="AVG57" s="12"/>
      <c r="AVH57" s="12"/>
      <c r="AVI57" s="12"/>
      <c r="AVJ57" s="12"/>
      <c r="AVK57" s="12"/>
      <c r="AVL57" s="12"/>
      <c r="AVM57" s="12"/>
      <c r="AVN57" s="12"/>
      <c r="AVO57" s="12"/>
      <c r="AVP57" s="12"/>
      <c r="AVQ57" s="12"/>
      <c r="AVR57" s="12"/>
      <c r="AVS57" s="12"/>
      <c r="AVT57" s="12"/>
      <c r="AVU57" s="12"/>
      <c r="AVV57" s="12"/>
      <c r="AVW57" s="12"/>
      <c r="AVX57" s="12"/>
      <c r="AVY57" s="12"/>
      <c r="AVZ57" s="12"/>
      <c r="AWA57" s="12"/>
      <c r="AWB57" s="12"/>
      <c r="AWC57" s="12"/>
      <c r="AWD57" s="12"/>
      <c r="AWE57" s="12"/>
      <c r="AWF57" s="12"/>
      <c r="AWG57" s="12"/>
      <c r="AWH57" s="12"/>
      <c r="AWI57" s="12"/>
      <c r="AWJ57" s="12"/>
      <c r="AWK57" s="12"/>
      <c r="AWL57" s="12"/>
      <c r="AWM57" s="12"/>
      <c r="AWN57" s="12"/>
      <c r="AWO57" s="12"/>
      <c r="AWP57" s="12"/>
      <c r="AWQ57" s="12"/>
      <c r="AWR57" s="12"/>
      <c r="AWS57" s="12"/>
      <c r="AWT57" s="12"/>
      <c r="AWU57" s="12"/>
      <c r="AWV57" s="12"/>
      <c r="AWW57" s="12"/>
      <c r="AWX57" s="12"/>
      <c r="AWY57" s="12"/>
      <c r="AWZ57" s="12"/>
      <c r="AXA57" s="12"/>
      <c r="AXB57" s="12"/>
      <c r="AXC57" s="12"/>
      <c r="AXD57" s="12"/>
      <c r="AXE57" s="12"/>
      <c r="AXF57" s="12"/>
      <c r="AXG57" s="12"/>
      <c r="AXH57" s="12"/>
      <c r="AXI57" s="12"/>
      <c r="AXJ57" s="12"/>
      <c r="AXK57" s="12"/>
      <c r="AXL57" s="12"/>
      <c r="AXM57" s="12"/>
      <c r="AXN57" s="12"/>
      <c r="AXO57" s="12"/>
      <c r="AXP57" s="12"/>
      <c r="AXQ57" s="12"/>
      <c r="AXR57" s="12"/>
      <c r="AXS57" s="12"/>
      <c r="AXT57" s="12"/>
      <c r="AXU57" s="12"/>
      <c r="AXV57" s="12"/>
      <c r="AXW57" s="12"/>
      <c r="AXX57" s="12"/>
      <c r="AXY57" s="12"/>
      <c r="AXZ57" s="12"/>
      <c r="AYA57" s="12"/>
      <c r="AYB57" s="12"/>
      <c r="AYC57" s="12"/>
      <c r="AYD57" s="12"/>
      <c r="AYE57" s="12"/>
      <c r="AYF57" s="12"/>
      <c r="AYG57" s="12"/>
      <c r="AYH57" s="12"/>
      <c r="AYI57" s="12"/>
      <c r="AYJ57" s="12"/>
      <c r="AYK57" s="12"/>
      <c r="AYL57" s="12"/>
      <c r="AYM57" s="12"/>
      <c r="AYN57" s="12"/>
      <c r="AYO57" s="12"/>
      <c r="AYP57" s="12"/>
      <c r="AYQ57" s="12"/>
      <c r="AYR57" s="12"/>
      <c r="AYS57" s="12"/>
      <c r="AYT57" s="12"/>
      <c r="AYU57" s="12"/>
      <c r="AYV57" s="12"/>
      <c r="AYW57" s="12"/>
      <c r="AYX57" s="12"/>
      <c r="AYY57" s="12"/>
      <c r="AYZ57" s="12"/>
      <c r="AZA57" s="12"/>
      <c r="AZB57" s="12"/>
      <c r="AZC57" s="12"/>
      <c r="AZD57" s="12"/>
      <c r="AZE57" s="12"/>
      <c r="AZF57" s="12"/>
      <c r="AZG57" s="12"/>
      <c r="AZH57" s="12"/>
      <c r="AZI57" s="12"/>
      <c r="AZJ57" s="12"/>
      <c r="AZK57" s="12"/>
      <c r="AZL57" s="12"/>
      <c r="AZM57" s="12"/>
      <c r="AZN57" s="12"/>
      <c r="AZO57" s="12"/>
      <c r="AZP57" s="12"/>
      <c r="AZQ57" s="12"/>
      <c r="AZR57" s="12"/>
      <c r="AZS57" s="12"/>
      <c r="AZT57" s="12"/>
      <c r="AZU57" s="12"/>
      <c r="AZV57" s="12"/>
      <c r="AZW57" s="12"/>
      <c r="AZX57" s="12"/>
      <c r="AZY57" s="12"/>
      <c r="AZZ57" s="12"/>
      <c r="BAA57" s="12"/>
      <c r="BAB57" s="12"/>
      <c r="BAC57" s="12"/>
      <c r="BAD57" s="12"/>
      <c r="BAE57" s="12"/>
      <c r="BAF57" s="12"/>
      <c r="BAG57" s="12"/>
      <c r="BAH57" s="12"/>
      <c r="BAI57" s="12"/>
      <c r="BAJ57" s="12"/>
      <c r="BAK57" s="12"/>
      <c r="BAL57" s="12"/>
      <c r="BAM57" s="12"/>
      <c r="BAN57" s="12"/>
      <c r="BAO57" s="12"/>
      <c r="BAP57" s="12"/>
      <c r="BAQ57" s="12"/>
      <c r="BAR57" s="12"/>
      <c r="BAS57" s="12"/>
      <c r="BAT57" s="12"/>
      <c r="BAU57" s="12"/>
      <c r="BAV57" s="12"/>
      <c r="BAW57" s="12"/>
      <c r="BAX57" s="12"/>
      <c r="BAY57" s="12"/>
      <c r="BAZ57" s="12"/>
      <c r="BBA57" s="12"/>
      <c r="BBB57" s="12"/>
      <c r="BBC57" s="12"/>
      <c r="BBD57" s="12"/>
      <c r="BBE57" s="12"/>
      <c r="BBF57" s="12"/>
      <c r="BBG57" s="12"/>
      <c r="BBH57" s="12"/>
      <c r="BBI57" s="12"/>
      <c r="BBJ57" s="12"/>
      <c r="BBK57" s="12"/>
      <c r="BBL57" s="12"/>
      <c r="BBM57" s="12"/>
      <c r="BBN57" s="12"/>
      <c r="BBO57" s="12"/>
      <c r="BBP57" s="12"/>
      <c r="BBQ57" s="12"/>
      <c r="BBR57" s="12"/>
      <c r="BBS57" s="12"/>
      <c r="BBT57" s="12"/>
      <c r="BBU57" s="12"/>
      <c r="BBV57" s="12"/>
      <c r="BBW57" s="12"/>
      <c r="BBX57" s="12"/>
      <c r="BBY57" s="12"/>
      <c r="BBZ57" s="12"/>
      <c r="BCA57" s="12"/>
      <c r="BCB57" s="12"/>
      <c r="BCC57" s="12"/>
      <c r="BCD57" s="12"/>
      <c r="BCE57" s="12"/>
      <c r="BCF57" s="12"/>
      <c r="BCG57" s="12"/>
      <c r="BCH57" s="12"/>
      <c r="BCI57" s="12"/>
      <c r="BCJ57" s="12"/>
      <c r="BCK57" s="12"/>
      <c r="BCL57" s="12"/>
      <c r="BCM57" s="12"/>
      <c r="BCN57" s="12"/>
      <c r="BCO57" s="12"/>
      <c r="BCP57" s="12"/>
      <c r="BCQ57" s="12"/>
      <c r="BCR57" s="12"/>
      <c r="BCS57" s="12"/>
      <c r="BCT57" s="12"/>
      <c r="BCU57" s="12"/>
      <c r="BCV57" s="12"/>
      <c r="BCW57" s="12"/>
      <c r="BCX57" s="12"/>
      <c r="BCY57" s="12"/>
      <c r="BCZ57" s="12"/>
      <c r="BDA57" s="12"/>
      <c r="BDB57" s="12"/>
      <c r="BDC57" s="12"/>
      <c r="BDD57" s="12"/>
      <c r="BDE57" s="12"/>
      <c r="BDF57" s="12"/>
      <c r="BDG57" s="12"/>
      <c r="BDH57" s="12"/>
      <c r="BDI57" s="12"/>
      <c r="BDJ57" s="12"/>
      <c r="BDK57" s="12"/>
      <c r="BDL57" s="12"/>
      <c r="BDM57" s="12"/>
      <c r="BDN57" s="12"/>
      <c r="BDO57" s="12"/>
      <c r="BDP57" s="12"/>
      <c r="BDQ57" s="12"/>
      <c r="BDR57" s="12"/>
      <c r="BDS57" s="12"/>
      <c r="BDT57" s="12"/>
      <c r="BDU57" s="12"/>
      <c r="BDV57" s="12"/>
      <c r="BDW57" s="12"/>
      <c r="BDX57" s="12"/>
      <c r="BDY57" s="12"/>
      <c r="BDZ57" s="12"/>
      <c r="BEA57" s="12"/>
      <c r="BEB57" s="12"/>
      <c r="BEC57" s="12"/>
      <c r="BED57" s="12"/>
      <c r="BEE57" s="12"/>
      <c r="BEF57" s="12"/>
      <c r="BEG57" s="12"/>
      <c r="BEH57" s="12"/>
      <c r="BEI57" s="12"/>
      <c r="BEJ57" s="12"/>
      <c r="BEK57" s="12"/>
      <c r="BEL57" s="12"/>
      <c r="BEM57" s="12"/>
      <c r="BEN57" s="12"/>
      <c r="BEO57" s="12"/>
      <c r="BEP57" s="12"/>
      <c r="BEQ57" s="12"/>
      <c r="BER57" s="12"/>
      <c r="BES57" s="12"/>
      <c r="BET57" s="12"/>
      <c r="BEU57" s="12"/>
      <c r="BEV57" s="12"/>
      <c r="BEW57" s="12"/>
      <c r="BEX57" s="12"/>
      <c r="BEY57" s="12"/>
      <c r="BEZ57" s="12"/>
      <c r="BFA57" s="12"/>
      <c r="BFB57" s="12"/>
      <c r="BFC57" s="12"/>
      <c r="BFD57" s="12"/>
      <c r="BFE57" s="12"/>
      <c r="BFF57" s="12"/>
      <c r="BFG57" s="12"/>
      <c r="BFH57" s="12"/>
      <c r="BFI57" s="12"/>
      <c r="BFJ57" s="12"/>
      <c r="BFK57" s="12"/>
      <c r="BFL57" s="12"/>
      <c r="BFM57" s="12"/>
      <c r="BFN57" s="12"/>
      <c r="BFO57" s="12"/>
      <c r="BFP57" s="12"/>
      <c r="BFQ57" s="12"/>
      <c r="BFR57" s="12"/>
      <c r="BFS57" s="12"/>
      <c r="BFT57" s="12"/>
      <c r="BFU57" s="12"/>
      <c r="BFV57" s="12"/>
      <c r="BFW57" s="12"/>
      <c r="BFX57" s="12"/>
      <c r="BFY57" s="12"/>
      <c r="BFZ57" s="12"/>
      <c r="BGA57" s="12"/>
      <c r="BGB57" s="12"/>
      <c r="BGC57" s="12"/>
      <c r="BGD57" s="12"/>
      <c r="BGE57" s="12"/>
      <c r="BGF57" s="12"/>
      <c r="BGG57" s="12"/>
      <c r="BGH57" s="12"/>
      <c r="BGI57" s="12"/>
      <c r="BGJ57" s="12"/>
      <c r="BGK57" s="12"/>
      <c r="BGL57" s="12"/>
      <c r="BGM57" s="12"/>
      <c r="BGN57" s="12"/>
      <c r="BGO57" s="12"/>
      <c r="BGP57" s="12"/>
      <c r="BGQ57" s="12"/>
      <c r="BGR57" s="12"/>
      <c r="BGS57" s="12"/>
      <c r="BGT57" s="12"/>
      <c r="BGU57" s="12"/>
      <c r="BGV57" s="12"/>
      <c r="BGW57" s="12"/>
      <c r="BGX57" s="12"/>
      <c r="BGY57" s="12"/>
      <c r="BGZ57" s="12"/>
      <c r="BHA57" s="12"/>
      <c r="BHB57" s="12"/>
      <c r="BHC57" s="12"/>
      <c r="BHD57" s="12"/>
      <c r="BHE57" s="12"/>
      <c r="BHF57" s="12"/>
      <c r="BHG57" s="12"/>
      <c r="BHH57" s="12"/>
      <c r="BHI57" s="12"/>
      <c r="BHJ57" s="12"/>
      <c r="BHK57" s="12"/>
      <c r="BHL57" s="12"/>
      <c r="BHM57" s="12"/>
      <c r="BHN57" s="12"/>
      <c r="BHO57" s="12"/>
      <c r="BHP57" s="12"/>
      <c r="BHQ57" s="12"/>
      <c r="BHR57" s="12"/>
      <c r="BHS57" s="12"/>
      <c r="BHT57" s="12"/>
      <c r="BHU57" s="12"/>
      <c r="BHV57" s="12"/>
      <c r="BHW57" s="12"/>
      <c r="BHX57" s="12"/>
      <c r="BHY57" s="12"/>
      <c r="BHZ57" s="12"/>
      <c r="BIA57" s="12"/>
      <c r="BIB57" s="12"/>
      <c r="BIC57" s="12"/>
      <c r="BID57" s="12"/>
      <c r="BIE57" s="12"/>
      <c r="BIF57" s="12"/>
      <c r="BIG57" s="12"/>
      <c r="BIH57" s="12"/>
      <c r="BII57" s="12"/>
      <c r="BIJ57" s="12"/>
      <c r="BIK57" s="12"/>
      <c r="BIL57" s="12"/>
      <c r="BIM57" s="12"/>
      <c r="BIN57" s="12"/>
      <c r="BIO57" s="12"/>
      <c r="BIP57" s="12"/>
      <c r="BIQ57" s="12"/>
      <c r="BIR57" s="12"/>
      <c r="BIS57" s="12"/>
      <c r="BIT57" s="12"/>
      <c r="BIU57" s="12"/>
      <c r="BIV57" s="12"/>
      <c r="BIW57" s="12"/>
      <c r="BIX57" s="12"/>
      <c r="BIY57" s="12"/>
      <c r="BIZ57" s="12"/>
      <c r="BJA57" s="12"/>
      <c r="BJB57" s="12"/>
      <c r="BJC57" s="12"/>
      <c r="BJD57" s="12"/>
      <c r="BJE57" s="12"/>
      <c r="BJF57" s="12"/>
      <c r="BJG57" s="12"/>
      <c r="BJH57" s="12"/>
      <c r="BJI57" s="12"/>
      <c r="BJJ57" s="12"/>
      <c r="BJK57" s="12"/>
      <c r="BJL57" s="12"/>
      <c r="BJM57" s="12"/>
      <c r="BJN57" s="12"/>
      <c r="BJO57" s="12"/>
      <c r="BJP57" s="12"/>
      <c r="BJQ57" s="12"/>
      <c r="BJR57" s="12"/>
      <c r="BJS57" s="12"/>
      <c r="BJT57" s="12"/>
      <c r="BJU57" s="12"/>
      <c r="BJV57" s="12"/>
      <c r="BJW57" s="12"/>
      <c r="BJX57" s="12"/>
      <c r="BJY57" s="12"/>
      <c r="BJZ57" s="12"/>
      <c r="BKA57" s="12"/>
      <c r="BKB57" s="12"/>
      <c r="BKC57" s="12"/>
      <c r="BKD57" s="12"/>
      <c r="BKE57" s="12"/>
      <c r="BKF57" s="12"/>
      <c r="BKG57" s="12"/>
      <c r="BKH57" s="12"/>
      <c r="BKI57" s="12"/>
      <c r="BKJ57" s="12"/>
      <c r="BKK57" s="12"/>
      <c r="BKL57" s="12"/>
      <c r="BKM57" s="12"/>
      <c r="BKN57" s="12"/>
      <c r="BKO57" s="12"/>
      <c r="BKP57" s="12"/>
      <c r="BKQ57" s="12"/>
      <c r="BKR57" s="12"/>
      <c r="BKS57" s="12"/>
      <c r="BKT57" s="12"/>
      <c r="BKU57" s="12"/>
      <c r="BKV57" s="12"/>
      <c r="BKW57" s="12"/>
      <c r="BKX57" s="12"/>
      <c r="BKY57" s="12"/>
      <c r="BKZ57" s="12"/>
      <c r="BLA57" s="12"/>
      <c r="BLB57" s="12"/>
      <c r="BLC57" s="12"/>
      <c r="BLD57" s="12"/>
      <c r="BLE57" s="12"/>
      <c r="BLF57" s="12"/>
      <c r="BLG57" s="12"/>
      <c r="BLH57" s="12"/>
      <c r="BLI57" s="12"/>
      <c r="BLJ57" s="12"/>
      <c r="BLK57" s="12"/>
      <c r="BLL57" s="12"/>
      <c r="BLM57" s="12"/>
      <c r="BLN57" s="12"/>
      <c r="BLO57" s="12"/>
      <c r="BLP57" s="12"/>
      <c r="BLQ57" s="12"/>
      <c r="BLR57" s="12"/>
      <c r="BLS57" s="12"/>
      <c r="BLT57" s="12"/>
      <c r="BLU57" s="12"/>
      <c r="BLV57" s="12"/>
      <c r="BLW57" s="12"/>
      <c r="BLX57" s="12"/>
      <c r="BLY57" s="12"/>
      <c r="BLZ57" s="12"/>
      <c r="BMA57" s="12"/>
      <c r="BMB57" s="12"/>
      <c r="BMC57" s="12"/>
      <c r="BMD57" s="12"/>
      <c r="BME57" s="12"/>
      <c r="BMF57" s="12"/>
      <c r="BMG57" s="12"/>
      <c r="BMH57" s="12"/>
      <c r="BMI57" s="12"/>
      <c r="BMJ57" s="12"/>
      <c r="BMK57" s="12"/>
      <c r="BML57" s="12"/>
      <c r="BMM57" s="12"/>
      <c r="BMN57" s="12"/>
      <c r="BMO57" s="12"/>
      <c r="BMP57" s="12"/>
      <c r="BMQ57" s="12"/>
      <c r="BMR57" s="12"/>
      <c r="BMS57" s="12"/>
      <c r="BMT57" s="12"/>
      <c r="BMU57" s="12"/>
      <c r="BMV57" s="12"/>
      <c r="BMW57" s="12"/>
      <c r="BMX57" s="12"/>
      <c r="BMY57" s="12"/>
      <c r="BMZ57" s="12"/>
      <c r="BNA57" s="12"/>
      <c r="BNB57" s="12"/>
      <c r="BNC57" s="12"/>
      <c r="BND57" s="12"/>
      <c r="BNE57" s="12"/>
      <c r="BNF57" s="12"/>
      <c r="BNG57" s="12"/>
      <c r="BNH57" s="12"/>
      <c r="BNI57" s="12"/>
      <c r="BNJ57" s="12"/>
      <c r="BNK57" s="12"/>
      <c r="BNL57" s="12"/>
      <c r="BNM57" s="12"/>
      <c r="BNN57" s="12"/>
      <c r="BNO57" s="12"/>
      <c r="BNP57" s="12"/>
      <c r="BNQ57" s="12"/>
      <c r="BNR57" s="12"/>
      <c r="BNS57" s="12"/>
      <c r="BNT57" s="12"/>
      <c r="BNU57" s="12"/>
      <c r="BNV57" s="12"/>
      <c r="BNW57" s="12"/>
      <c r="BNX57" s="12"/>
      <c r="BNY57" s="12"/>
      <c r="BNZ57" s="12"/>
      <c r="BOA57" s="12"/>
      <c r="BOB57" s="12"/>
      <c r="BOC57" s="12"/>
      <c r="BOD57" s="12"/>
      <c r="BOE57" s="12"/>
      <c r="BOF57" s="12"/>
      <c r="BOG57" s="12"/>
      <c r="BOH57" s="12"/>
      <c r="BOI57" s="12"/>
      <c r="BOJ57" s="12"/>
      <c r="BOK57" s="12"/>
      <c r="BOL57" s="12"/>
      <c r="BOM57" s="12"/>
      <c r="BON57" s="12"/>
      <c r="BOO57" s="12"/>
      <c r="BOP57" s="12"/>
      <c r="BOQ57" s="12"/>
      <c r="BOR57" s="12"/>
      <c r="BOS57" s="12"/>
      <c r="BOT57" s="12"/>
      <c r="BOU57" s="12"/>
      <c r="BOV57" s="12"/>
      <c r="BOW57" s="12"/>
      <c r="BOX57" s="12"/>
      <c r="BOY57" s="12"/>
      <c r="BOZ57" s="12"/>
      <c r="BPA57" s="12"/>
      <c r="BPB57" s="12"/>
      <c r="BPC57" s="12"/>
      <c r="BPD57" s="12"/>
      <c r="BPE57" s="12"/>
      <c r="BPF57" s="12"/>
      <c r="BPG57" s="12"/>
      <c r="BPH57" s="12"/>
      <c r="BPI57" s="12"/>
      <c r="BPJ57" s="12"/>
      <c r="BPK57" s="12"/>
      <c r="BPL57" s="12"/>
      <c r="BPM57" s="12"/>
      <c r="BPN57" s="12"/>
      <c r="BPO57" s="12"/>
      <c r="BPP57" s="12"/>
      <c r="BPQ57" s="12"/>
      <c r="BPR57" s="12"/>
      <c r="BPS57" s="12"/>
      <c r="BPT57" s="12"/>
      <c r="BPU57" s="12"/>
      <c r="BPV57" s="12"/>
      <c r="BPW57" s="12"/>
      <c r="BPX57" s="12"/>
      <c r="BPY57" s="12"/>
      <c r="BPZ57" s="12"/>
      <c r="BQA57" s="12"/>
      <c r="BQB57" s="12"/>
      <c r="BQC57" s="12"/>
      <c r="BQD57" s="12"/>
      <c r="BQE57" s="12"/>
      <c r="BQF57" s="12"/>
      <c r="BQG57" s="12"/>
      <c r="BQH57" s="12"/>
      <c r="BQI57" s="12"/>
      <c r="BQJ57" s="12"/>
      <c r="BQK57" s="12"/>
      <c r="BQL57" s="12"/>
      <c r="BQM57" s="12"/>
      <c r="BQN57" s="12"/>
      <c r="BQO57" s="12"/>
      <c r="BQP57" s="12"/>
      <c r="BQQ57" s="12"/>
      <c r="BQR57" s="12"/>
      <c r="BQS57" s="12"/>
      <c r="BQT57" s="12"/>
      <c r="BQU57" s="12"/>
      <c r="BQV57" s="12"/>
      <c r="BQW57" s="12"/>
      <c r="BQX57" s="12"/>
      <c r="BQY57" s="12"/>
      <c r="BQZ57" s="12"/>
      <c r="BRA57" s="12"/>
      <c r="BRB57" s="12"/>
      <c r="BRC57" s="12"/>
      <c r="BRD57" s="12"/>
      <c r="BRE57" s="12"/>
      <c r="BRF57" s="12"/>
      <c r="BRG57" s="12"/>
      <c r="BRH57" s="12"/>
      <c r="BRI57" s="12"/>
      <c r="BRJ57" s="12"/>
      <c r="BRK57" s="12"/>
      <c r="BRL57" s="12"/>
      <c r="BRM57" s="12"/>
      <c r="BRN57" s="12"/>
      <c r="BRO57" s="12"/>
      <c r="BRP57" s="12"/>
      <c r="BRQ57" s="12"/>
      <c r="BRR57" s="12"/>
      <c r="BRS57" s="12"/>
      <c r="BRT57" s="12"/>
      <c r="BRU57" s="12"/>
      <c r="BRV57" s="12"/>
      <c r="BRW57" s="12"/>
      <c r="BRX57" s="12"/>
      <c r="BRY57" s="12"/>
      <c r="BRZ57" s="12"/>
      <c r="BSA57" s="12"/>
      <c r="BSB57" s="12"/>
      <c r="BSC57" s="12"/>
      <c r="BSD57" s="12"/>
      <c r="BSE57" s="12"/>
      <c r="BSF57" s="12"/>
      <c r="BSG57" s="12"/>
      <c r="BSH57" s="12"/>
      <c r="BSI57" s="12"/>
      <c r="BSJ57" s="12"/>
      <c r="BSK57" s="12"/>
      <c r="BSL57" s="12"/>
      <c r="BSM57" s="12"/>
      <c r="BSN57" s="12"/>
      <c r="BSO57" s="12"/>
      <c r="BSP57" s="12"/>
      <c r="BSQ57" s="12"/>
      <c r="BSR57" s="12"/>
      <c r="BSS57" s="12"/>
      <c r="BST57" s="12"/>
      <c r="BSU57" s="12"/>
      <c r="BSV57" s="12"/>
      <c r="BSW57" s="12"/>
      <c r="BSX57" s="12"/>
      <c r="BSY57" s="12"/>
      <c r="BSZ57" s="12"/>
      <c r="BTA57" s="12"/>
      <c r="BTB57" s="12"/>
      <c r="BTC57" s="12"/>
      <c r="BTD57" s="12"/>
      <c r="BTE57" s="12"/>
      <c r="BTF57" s="12"/>
      <c r="BTG57" s="12"/>
      <c r="BTH57" s="12"/>
      <c r="BTI57" s="12"/>
      <c r="BTJ57" s="12"/>
      <c r="BTK57" s="12"/>
      <c r="BTL57" s="12"/>
      <c r="BTM57" s="12"/>
      <c r="BTN57" s="12"/>
      <c r="BTO57" s="12"/>
      <c r="BTP57" s="12"/>
      <c r="BTQ57" s="12"/>
      <c r="BTR57" s="12"/>
      <c r="BTS57" s="12"/>
      <c r="BTT57" s="12"/>
      <c r="BTU57" s="12"/>
      <c r="BTV57" s="12"/>
      <c r="BTW57" s="12"/>
      <c r="BTX57" s="12"/>
      <c r="BTY57" s="12"/>
      <c r="BTZ57" s="12"/>
      <c r="BUA57" s="12"/>
      <c r="BUB57" s="12"/>
      <c r="BUC57" s="12"/>
      <c r="BUD57" s="12"/>
      <c r="BUE57" s="12"/>
      <c r="BUF57" s="12"/>
      <c r="BUG57" s="12"/>
      <c r="BUH57" s="12"/>
      <c r="BUI57" s="12"/>
      <c r="BUJ57" s="12"/>
      <c r="BUK57" s="12"/>
      <c r="BUL57" s="12"/>
      <c r="BUM57" s="12"/>
      <c r="BUN57" s="12"/>
      <c r="BUO57" s="12"/>
      <c r="BUP57" s="12"/>
      <c r="BUQ57" s="12"/>
      <c r="BUR57" s="12"/>
      <c r="BUS57" s="12"/>
      <c r="BUT57" s="12"/>
      <c r="BUU57" s="12"/>
      <c r="BUV57" s="12"/>
      <c r="BUW57" s="12"/>
      <c r="BUX57" s="12"/>
      <c r="BUY57" s="12"/>
      <c r="BUZ57" s="12"/>
      <c r="BVA57" s="12"/>
      <c r="BVB57" s="12"/>
      <c r="BVC57" s="12"/>
      <c r="BVD57" s="12"/>
      <c r="BVE57" s="12"/>
      <c r="BVF57" s="12"/>
      <c r="BVG57" s="12"/>
      <c r="BVH57" s="12"/>
      <c r="BVI57" s="12"/>
      <c r="BVJ57" s="12"/>
      <c r="BVK57" s="12"/>
      <c r="BVL57" s="12"/>
      <c r="BVM57" s="12"/>
      <c r="BVN57" s="12"/>
      <c r="BVO57" s="12"/>
      <c r="BVP57" s="12"/>
      <c r="BVQ57" s="12"/>
      <c r="BVR57" s="12"/>
      <c r="BVS57" s="12"/>
      <c r="BVT57" s="12"/>
      <c r="BVU57" s="12"/>
      <c r="BVV57" s="12"/>
      <c r="BVW57" s="12"/>
      <c r="BVX57" s="12"/>
      <c r="BVY57" s="12"/>
      <c r="BVZ57" s="12"/>
      <c r="BWA57" s="12"/>
      <c r="BWB57" s="12"/>
      <c r="BWC57" s="12"/>
      <c r="BWD57" s="12"/>
      <c r="BWE57" s="12"/>
      <c r="BWF57" s="12"/>
      <c r="BWG57" s="12"/>
      <c r="BWH57" s="12"/>
      <c r="BWI57" s="12"/>
      <c r="BWJ57" s="12"/>
      <c r="BWK57" s="12"/>
      <c r="BWL57" s="12"/>
      <c r="BWM57" s="12"/>
      <c r="BWN57" s="12"/>
      <c r="BWO57" s="12"/>
      <c r="BWP57" s="12"/>
      <c r="BWQ57" s="12"/>
      <c r="BWR57" s="12"/>
      <c r="BWS57" s="12"/>
      <c r="BWT57" s="12"/>
      <c r="BWU57" s="12"/>
      <c r="BWV57" s="12"/>
      <c r="BWW57" s="12"/>
      <c r="BWX57" s="12"/>
      <c r="BWY57" s="12"/>
      <c r="BWZ57" s="12"/>
      <c r="BXA57" s="12"/>
      <c r="BXB57" s="12"/>
      <c r="BXC57" s="12"/>
      <c r="BXD57" s="12"/>
      <c r="BXE57" s="12"/>
      <c r="BXF57" s="12"/>
      <c r="BXG57" s="12"/>
      <c r="BXH57" s="12"/>
      <c r="BXI57" s="12"/>
      <c r="BXJ57" s="12"/>
      <c r="BXK57" s="12"/>
      <c r="BXL57" s="12"/>
      <c r="BXM57" s="12"/>
      <c r="BXN57" s="12"/>
      <c r="BXO57" s="12"/>
      <c r="BXP57" s="12"/>
      <c r="BXQ57" s="12"/>
      <c r="BXR57" s="12"/>
      <c r="BXS57" s="12"/>
      <c r="BXT57" s="12"/>
      <c r="BXU57" s="12"/>
      <c r="BXV57" s="12"/>
      <c r="BXW57" s="12"/>
      <c r="BXX57" s="12"/>
      <c r="BXY57" s="12"/>
      <c r="BXZ57" s="12"/>
      <c r="BYA57" s="12"/>
      <c r="BYB57" s="12"/>
      <c r="BYC57" s="12"/>
      <c r="BYD57" s="12"/>
      <c r="BYE57" s="12"/>
      <c r="BYF57" s="12"/>
      <c r="BYG57" s="12"/>
      <c r="BYH57" s="12"/>
      <c r="BYI57" s="12"/>
      <c r="BYJ57" s="12"/>
      <c r="BYK57" s="12"/>
      <c r="BYL57" s="12"/>
      <c r="BYM57" s="12"/>
      <c r="BYN57" s="12"/>
      <c r="BYO57" s="12"/>
      <c r="BYP57" s="12"/>
      <c r="BYQ57" s="12"/>
      <c r="BYR57" s="12"/>
      <c r="BYS57" s="12"/>
      <c r="BYT57" s="12"/>
      <c r="BYU57" s="12"/>
      <c r="BYV57" s="12"/>
      <c r="BYW57" s="12"/>
      <c r="BYX57" s="12"/>
      <c r="BYY57" s="12"/>
      <c r="BYZ57" s="12"/>
      <c r="BZA57" s="12"/>
      <c r="BZB57" s="12"/>
      <c r="BZC57" s="12"/>
      <c r="BZD57" s="12"/>
      <c r="BZE57" s="12"/>
      <c r="BZF57" s="12"/>
      <c r="BZG57" s="12"/>
      <c r="BZH57" s="12"/>
      <c r="BZI57" s="12"/>
      <c r="BZJ57" s="12"/>
      <c r="BZK57" s="12"/>
      <c r="BZL57" s="12"/>
      <c r="BZM57" s="12"/>
      <c r="BZN57" s="12"/>
      <c r="BZO57" s="12"/>
      <c r="BZP57" s="12"/>
      <c r="BZQ57" s="12"/>
      <c r="BZR57" s="12"/>
      <c r="BZS57" s="12"/>
      <c r="BZT57" s="12"/>
      <c r="BZU57" s="12"/>
      <c r="BZV57" s="12"/>
      <c r="BZW57" s="12"/>
      <c r="BZX57" s="12"/>
      <c r="BZY57" s="12"/>
      <c r="BZZ57" s="12"/>
      <c r="CAA57" s="12"/>
      <c r="CAB57" s="12"/>
      <c r="CAC57" s="12"/>
      <c r="CAD57" s="12"/>
      <c r="CAE57" s="12"/>
      <c r="CAF57" s="12"/>
      <c r="CAG57" s="12"/>
      <c r="CAH57" s="12"/>
      <c r="CAI57" s="12"/>
      <c r="CAJ57" s="12"/>
      <c r="CAK57" s="12"/>
      <c r="CAL57" s="12"/>
      <c r="CAM57" s="12"/>
      <c r="CAN57" s="12"/>
      <c r="CAO57" s="12"/>
      <c r="CAP57" s="12"/>
      <c r="CAQ57" s="12"/>
      <c r="CAR57" s="12"/>
      <c r="CAS57" s="12"/>
      <c r="CAT57" s="12"/>
      <c r="CAU57" s="12"/>
      <c r="CAV57" s="12"/>
      <c r="CAW57" s="12"/>
      <c r="CAX57" s="12"/>
      <c r="CAY57" s="12"/>
      <c r="CAZ57" s="12"/>
      <c r="CBA57" s="12"/>
      <c r="CBB57" s="12"/>
      <c r="CBC57" s="12"/>
      <c r="CBD57" s="12"/>
      <c r="CBE57" s="12"/>
      <c r="CBF57" s="12"/>
      <c r="CBG57" s="12"/>
      <c r="CBH57" s="12"/>
      <c r="CBI57" s="12"/>
      <c r="CBJ57" s="12"/>
      <c r="CBK57" s="12"/>
      <c r="CBL57" s="12"/>
      <c r="CBM57" s="12"/>
      <c r="CBN57" s="12"/>
      <c r="CBO57" s="12"/>
      <c r="CBP57" s="12"/>
      <c r="CBQ57" s="12"/>
      <c r="CBR57" s="12"/>
      <c r="CBS57" s="12"/>
      <c r="CBT57" s="12"/>
      <c r="CBU57" s="12"/>
      <c r="CBV57" s="12"/>
      <c r="CBW57" s="12"/>
      <c r="CBX57" s="12"/>
      <c r="CBY57" s="12"/>
      <c r="CBZ57" s="12"/>
      <c r="CCA57" s="12"/>
      <c r="CCB57" s="12"/>
      <c r="CCC57" s="12"/>
      <c r="CCD57" s="12"/>
      <c r="CCE57" s="12"/>
      <c r="CCF57" s="12"/>
      <c r="CCG57" s="12"/>
      <c r="CCH57" s="12"/>
      <c r="CCI57" s="12"/>
      <c r="CCJ57" s="12"/>
      <c r="CCK57" s="12"/>
      <c r="CCL57" s="12"/>
      <c r="CCM57" s="12"/>
      <c r="CCN57" s="12"/>
      <c r="CCO57" s="12"/>
      <c r="CCP57" s="12"/>
      <c r="CCQ57" s="12"/>
      <c r="CCR57" s="12"/>
      <c r="CCS57" s="12"/>
      <c r="CCT57" s="12"/>
      <c r="CCU57" s="12"/>
      <c r="CCV57" s="12"/>
      <c r="CCW57" s="12"/>
      <c r="CCX57" s="12"/>
      <c r="CCY57" s="12"/>
      <c r="CCZ57" s="12"/>
      <c r="CDA57" s="12"/>
      <c r="CDB57" s="12"/>
      <c r="CDC57" s="12"/>
      <c r="CDD57" s="12"/>
      <c r="CDE57" s="12"/>
      <c r="CDF57" s="12"/>
      <c r="CDG57" s="12"/>
      <c r="CDH57" s="12"/>
      <c r="CDI57" s="12"/>
      <c r="CDJ57" s="12"/>
      <c r="CDK57" s="12"/>
      <c r="CDL57" s="12"/>
      <c r="CDM57" s="12"/>
      <c r="CDN57" s="12"/>
      <c r="CDO57" s="12"/>
      <c r="CDP57" s="12"/>
      <c r="CDQ57" s="12"/>
      <c r="CDR57" s="12"/>
      <c r="CDS57" s="12"/>
      <c r="CDT57" s="12"/>
      <c r="CDU57" s="12"/>
      <c r="CDV57" s="12"/>
      <c r="CDW57" s="12"/>
      <c r="CDX57" s="12"/>
      <c r="CDY57" s="12"/>
      <c r="CDZ57" s="12"/>
      <c r="CEA57" s="12"/>
      <c r="CEB57" s="12"/>
      <c r="CEC57" s="12"/>
      <c r="CED57" s="12"/>
      <c r="CEE57" s="12"/>
      <c r="CEF57" s="12"/>
      <c r="CEG57" s="12"/>
      <c r="CEH57" s="12"/>
      <c r="CEI57" s="12"/>
      <c r="CEJ57" s="12"/>
      <c r="CEK57" s="12"/>
      <c r="CEL57" s="12"/>
      <c r="CEM57" s="12"/>
      <c r="CEN57" s="12"/>
      <c r="CEO57" s="12"/>
      <c r="CEP57" s="12"/>
      <c r="CEQ57" s="12"/>
      <c r="CER57" s="12"/>
      <c r="CES57" s="12"/>
      <c r="CET57" s="12"/>
      <c r="CEU57" s="12"/>
      <c r="CEV57" s="12"/>
      <c r="CEW57" s="12"/>
      <c r="CEX57" s="12"/>
      <c r="CEY57" s="12"/>
      <c r="CEZ57" s="12"/>
      <c r="CFA57" s="12"/>
      <c r="CFB57" s="12"/>
      <c r="CFC57" s="12"/>
      <c r="CFD57" s="12"/>
      <c r="CFE57" s="12"/>
      <c r="CFF57" s="12"/>
      <c r="CFG57" s="12"/>
      <c r="CFH57" s="12"/>
      <c r="CFI57" s="12"/>
      <c r="CFJ57" s="12"/>
      <c r="CFK57" s="12"/>
      <c r="CFL57" s="12"/>
      <c r="CFM57" s="12"/>
      <c r="CFN57" s="12"/>
      <c r="CFO57" s="12"/>
      <c r="CFP57" s="12"/>
      <c r="CFQ57" s="12"/>
      <c r="CFR57" s="12"/>
      <c r="CFS57" s="12"/>
      <c r="CFT57" s="12"/>
      <c r="CFU57" s="12"/>
      <c r="CFV57" s="12"/>
      <c r="CFW57" s="12"/>
      <c r="CFX57" s="12"/>
      <c r="CFY57" s="12"/>
      <c r="CFZ57" s="12"/>
      <c r="CGA57" s="12"/>
      <c r="CGB57" s="12"/>
      <c r="CGC57" s="12"/>
      <c r="CGD57" s="12"/>
      <c r="CGE57" s="12"/>
      <c r="CGF57" s="12"/>
      <c r="CGG57" s="12"/>
      <c r="CGH57" s="12"/>
      <c r="CGI57" s="12"/>
      <c r="CGJ57" s="12"/>
      <c r="CGK57" s="12"/>
      <c r="CGL57" s="12"/>
      <c r="CGM57" s="12"/>
      <c r="CGN57" s="12"/>
      <c r="CGO57" s="12"/>
      <c r="CGP57" s="12"/>
      <c r="CGQ57" s="12"/>
      <c r="CGR57" s="12"/>
      <c r="CGS57" s="12"/>
      <c r="CGT57" s="12"/>
      <c r="CGU57" s="12"/>
      <c r="CGV57" s="12"/>
      <c r="CGW57" s="12"/>
      <c r="CGX57" s="12"/>
      <c r="CGY57" s="12"/>
      <c r="CGZ57" s="12"/>
      <c r="CHA57" s="12"/>
      <c r="CHB57" s="12"/>
      <c r="CHC57" s="12"/>
      <c r="CHD57" s="12"/>
      <c r="CHE57" s="12"/>
      <c r="CHF57" s="12"/>
      <c r="CHG57" s="12"/>
      <c r="CHH57" s="12"/>
      <c r="CHI57" s="12"/>
      <c r="CHJ57" s="12"/>
      <c r="CHK57" s="12"/>
      <c r="CHL57" s="12"/>
      <c r="CHM57" s="12"/>
      <c r="CHN57" s="12"/>
      <c r="CHO57" s="12"/>
      <c r="CHP57" s="12"/>
      <c r="CHQ57" s="12"/>
      <c r="CHR57" s="12"/>
      <c r="CHS57" s="12"/>
      <c r="CHT57" s="12"/>
      <c r="CHU57" s="12"/>
      <c r="CHV57" s="12"/>
      <c r="CHW57" s="12"/>
      <c r="CHX57" s="12"/>
      <c r="CHY57" s="12"/>
      <c r="CHZ57" s="12"/>
      <c r="CIA57" s="12"/>
      <c r="CIB57" s="12"/>
      <c r="CIC57" s="12"/>
      <c r="CID57" s="12"/>
      <c r="CIE57" s="12"/>
      <c r="CIF57" s="12"/>
      <c r="CIG57" s="12"/>
      <c r="CIH57" s="12"/>
      <c r="CII57" s="12"/>
      <c r="CIJ57" s="12"/>
      <c r="CIK57" s="12"/>
      <c r="CIL57" s="12"/>
      <c r="CIM57" s="12"/>
      <c r="CIN57" s="12"/>
      <c r="CIO57" s="12"/>
      <c r="CIP57" s="12"/>
      <c r="CIQ57" s="12"/>
      <c r="CIR57" s="12"/>
      <c r="CIS57" s="12"/>
      <c r="CIT57" s="12"/>
      <c r="CIU57" s="12"/>
      <c r="CIV57" s="12"/>
      <c r="CIW57" s="12"/>
      <c r="CIX57" s="12"/>
      <c r="CIY57" s="12"/>
      <c r="CIZ57" s="12"/>
      <c r="CJA57" s="12"/>
      <c r="CJB57" s="12"/>
      <c r="CJC57" s="12"/>
      <c r="CJD57" s="12"/>
      <c r="CJE57" s="12"/>
      <c r="CJF57" s="12"/>
      <c r="CJG57" s="12"/>
      <c r="CJH57" s="12"/>
      <c r="CJI57" s="12"/>
      <c r="CJJ57" s="12"/>
      <c r="CJK57" s="12"/>
      <c r="CJL57" s="12"/>
      <c r="CJM57" s="12"/>
      <c r="CJN57" s="12"/>
      <c r="CJO57" s="12"/>
      <c r="CJP57" s="12"/>
      <c r="CJQ57" s="12"/>
      <c r="CJR57" s="12"/>
      <c r="CJS57" s="12"/>
      <c r="CJT57" s="12"/>
      <c r="CJU57" s="12"/>
      <c r="CJV57" s="12"/>
      <c r="CJW57" s="12"/>
      <c r="CJX57" s="12"/>
      <c r="CJY57" s="12"/>
      <c r="CJZ57" s="12"/>
      <c r="CKA57" s="12"/>
      <c r="CKB57" s="12"/>
      <c r="CKC57" s="12"/>
      <c r="CKD57" s="12"/>
      <c r="CKE57" s="12"/>
      <c r="CKF57" s="12"/>
      <c r="CKG57" s="12"/>
      <c r="CKH57" s="12"/>
      <c r="CKI57" s="12"/>
      <c r="CKJ57" s="12"/>
      <c r="CKK57" s="12"/>
      <c r="CKL57" s="12"/>
      <c r="CKM57" s="12"/>
      <c r="CKN57" s="12"/>
      <c r="CKO57" s="12"/>
      <c r="CKP57" s="12"/>
      <c r="CKQ57" s="12"/>
      <c r="CKR57" s="12"/>
      <c r="CKS57" s="12"/>
      <c r="CKT57" s="12"/>
      <c r="CKU57" s="12"/>
      <c r="CKV57" s="12"/>
      <c r="CKW57" s="12"/>
      <c r="CKX57" s="12"/>
      <c r="CKY57" s="12"/>
      <c r="CKZ57" s="12"/>
      <c r="CLA57" s="12"/>
      <c r="CLB57" s="12"/>
      <c r="CLC57" s="12"/>
      <c r="CLD57" s="12"/>
      <c r="CLE57" s="12"/>
      <c r="CLF57" s="12"/>
      <c r="CLG57" s="12"/>
      <c r="CLH57" s="12"/>
      <c r="CLI57" s="12"/>
      <c r="CLJ57" s="12"/>
      <c r="CLK57" s="12"/>
      <c r="CLL57" s="12"/>
      <c r="CLM57" s="12"/>
      <c r="CLN57" s="12"/>
      <c r="CLO57" s="12"/>
      <c r="CLP57" s="12"/>
      <c r="CLQ57" s="12"/>
      <c r="CLR57" s="12"/>
      <c r="CLS57" s="12"/>
      <c r="CLT57" s="12"/>
      <c r="CLU57" s="12"/>
      <c r="CLV57" s="12"/>
      <c r="CLW57" s="12"/>
      <c r="CLX57" s="12"/>
      <c r="CLY57" s="12"/>
      <c r="CLZ57" s="12"/>
      <c r="CMA57" s="12"/>
      <c r="CMB57" s="12"/>
      <c r="CMC57" s="12"/>
      <c r="CMD57" s="12"/>
      <c r="CME57" s="12"/>
      <c r="CMF57" s="12"/>
      <c r="CMG57" s="12"/>
      <c r="CMH57" s="12"/>
      <c r="CMI57" s="12"/>
      <c r="CMJ57" s="12"/>
      <c r="CMK57" s="12"/>
      <c r="CML57" s="12"/>
      <c r="CMM57" s="12"/>
      <c r="CMN57" s="12"/>
      <c r="CMO57" s="12"/>
      <c r="CMP57" s="12"/>
      <c r="CMQ57" s="12"/>
      <c r="CMR57" s="12"/>
      <c r="CMS57" s="12"/>
      <c r="CMT57" s="12"/>
      <c r="CMU57" s="12"/>
      <c r="CMV57" s="12"/>
      <c r="CMW57" s="12"/>
      <c r="CMX57" s="12"/>
      <c r="CMY57" s="12"/>
      <c r="CMZ57" s="12"/>
      <c r="CNA57" s="12"/>
      <c r="CNB57" s="12"/>
      <c r="CNC57" s="12"/>
      <c r="CND57" s="12"/>
      <c r="CNE57" s="12"/>
      <c r="CNF57" s="12"/>
      <c r="CNG57" s="12"/>
      <c r="CNH57" s="12"/>
      <c r="CNI57" s="12"/>
      <c r="CNJ57" s="12"/>
      <c r="CNK57" s="12"/>
      <c r="CNL57" s="12"/>
      <c r="CNM57" s="12"/>
      <c r="CNN57" s="12"/>
      <c r="CNO57" s="12"/>
      <c r="CNP57" s="12"/>
      <c r="CNQ57" s="12"/>
      <c r="CNR57" s="12"/>
      <c r="CNS57" s="12"/>
      <c r="CNT57" s="12"/>
      <c r="CNU57" s="12"/>
      <c r="CNV57" s="12"/>
      <c r="CNW57" s="12"/>
      <c r="CNX57" s="12"/>
      <c r="CNY57" s="12"/>
      <c r="CNZ57" s="12"/>
      <c r="COA57" s="12"/>
      <c r="COB57" s="12"/>
      <c r="COC57" s="12"/>
      <c r="COD57" s="12"/>
      <c r="COE57" s="12"/>
      <c r="COF57" s="12"/>
      <c r="COG57" s="12"/>
      <c r="COH57" s="12"/>
      <c r="COI57" s="12"/>
      <c r="COJ57" s="12"/>
      <c r="COK57" s="12"/>
      <c r="COL57" s="12"/>
      <c r="COM57" s="12"/>
      <c r="CON57" s="12"/>
      <c r="COO57" s="12"/>
      <c r="COP57" s="12"/>
      <c r="COQ57" s="12"/>
      <c r="COR57" s="12"/>
      <c r="COS57" s="12"/>
      <c r="COT57" s="12"/>
      <c r="COU57" s="12"/>
      <c r="COV57" s="12"/>
      <c r="COW57" s="12"/>
      <c r="COX57" s="12"/>
      <c r="COY57" s="12"/>
      <c r="COZ57" s="12"/>
      <c r="CPA57" s="12"/>
      <c r="CPB57" s="12"/>
      <c r="CPC57" s="12"/>
      <c r="CPD57" s="12"/>
      <c r="CPE57" s="12"/>
      <c r="CPF57" s="12"/>
      <c r="CPG57" s="12"/>
      <c r="CPH57" s="12"/>
      <c r="CPI57" s="12"/>
      <c r="CPJ57" s="12"/>
      <c r="CPK57" s="12"/>
      <c r="CPL57" s="12"/>
      <c r="CPM57" s="12"/>
      <c r="CPN57" s="12"/>
      <c r="CPO57" s="12"/>
      <c r="CPP57" s="12"/>
      <c r="CPQ57" s="12"/>
      <c r="CPR57" s="12"/>
      <c r="CPS57" s="12"/>
      <c r="CPT57" s="12"/>
      <c r="CPU57" s="12"/>
      <c r="CPV57" s="12"/>
      <c r="CPW57" s="12"/>
      <c r="CPX57" s="12"/>
      <c r="CPY57" s="12"/>
      <c r="CPZ57" s="12"/>
      <c r="CQA57" s="12"/>
      <c r="CQB57" s="12"/>
      <c r="CQC57" s="12"/>
      <c r="CQD57" s="12"/>
      <c r="CQE57" s="12"/>
      <c r="CQF57" s="12"/>
      <c r="CQG57" s="12"/>
      <c r="CQH57" s="12"/>
      <c r="CQI57" s="12"/>
      <c r="CQJ57" s="12"/>
      <c r="CQK57" s="12"/>
      <c r="CQL57" s="12"/>
      <c r="CQM57" s="12"/>
      <c r="CQN57" s="12"/>
      <c r="CQO57" s="12"/>
      <c r="CQP57" s="12"/>
      <c r="CQQ57" s="12"/>
      <c r="CQR57" s="12"/>
      <c r="CQS57" s="12"/>
      <c r="CQT57" s="12"/>
      <c r="CQU57" s="12"/>
      <c r="CQV57" s="12"/>
      <c r="CQW57" s="12"/>
      <c r="CQX57" s="12"/>
      <c r="CQY57" s="12"/>
      <c r="CQZ57" s="12"/>
      <c r="CRA57" s="12"/>
      <c r="CRB57" s="12"/>
      <c r="CRC57" s="12"/>
      <c r="CRD57" s="12"/>
      <c r="CRE57" s="12"/>
      <c r="CRF57" s="12"/>
      <c r="CRG57" s="12"/>
      <c r="CRH57" s="12"/>
      <c r="CRI57" s="12"/>
      <c r="CRJ57" s="12"/>
      <c r="CRK57" s="12"/>
      <c r="CRL57" s="12"/>
      <c r="CRM57" s="12"/>
      <c r="CRN57" s="12"/>
      <c r="CRO57" s="12"/>
      <c r="CRP57" s="12"/>
      <c r="CRQ57" s="12"/>
      <c r="CRR57" s="12"/>
      <c r="CRS57" s="12"/>
      <c r="CRT57" s="12"/>
      <c r="CRU57" s="12"/>
      <c r="CRV57" s="12"/>
      <c r="CRW57" s="12"/>
      <c r="CRX57" s="12"/>
      <c r="CRY57" s="12"/>
      <c r="CRZ57" s="12"/>
      <c r="CSA57" s="12"/>
      <c r="CSB57" s="12"/>
      <c r="CSC57" s="12"/>
      <c r="CSD57" s="12"/>
      <c r="CSE57" s="12"/>
      <c r="CSF57" s="12"/>
      <c r="CSG57" s="12"/>
      <c r="CSH57" s="12"/>
      <c r="CSI57" s="12"/>
      <c r="CSJ57" s="12"/>
      <c r="CSK57" s="12"/>
      <c r="CSL57" s="12"/>
      <c r="CSM57" s="12"/>
      <c r="CSN57" s="12"/>
      <c r="CSO57" s="12"/>
      <c r="CSP57" s="12"/>
      <c r="CSQ57" s="12"/>
      <c r="CSR57" s="12"/>
      <c r="CSS57" s="12"/>
      <c r="CST57" s="12"/>
      <c r="CSU57" s="12"/>
      <c r="CSV57" s="12"/>
      <c r="CSW57" s="12"/>
      <c r="CSX57" s="12"/>
      <c r="CSY57" s="12"/>
      <c r="CSZ57" s="12"/>
      <c r="CTA57" s="12"/>
      <c r="CTB57" s="12"/>
      <c r="CTC57" s="12"/>
      <c r="CTD57" s="12"/>
      <c r="CTE57" s="12"/>
      <c r="CTF57" s="12"/>
      <c r="CTG57" s="12"/>
      <c r="CTH57" s="12"/>
      <c r="CTI57" s="12"/>
      <c r="CTJ57" s="12"/>
      <c r="CTK57" s="12"/>
      <c r="CTL57" s="12"/>
      <c r="CTM57" s="12"/>
      <c r="CTN57" s="12"/>
      <c r="CTO57" s="12"/>
      <c r="CTP57" s="12"/>
      <c r="CTQ57" s="12"/>
      <c r="CTR57" s="12"/>
      <c r="CTS57" s="12"/>
      <c r="CTT57" s="12"/>
      <c r="CTU57" s="12"/>
      <c r="CTV57" s="12"/>
      <c r="CTW57" s="12"/>
      <c r="CTX57" s="12"/>
      <c r="CTY57" s="12"/>
      <c r="CTZ57" s="12"/>
      <c r="CUA57" s="12"/>
      <c r="CUB57" s="12"/>
      <c r="CUC57" s="12"/>
      <c r="CUD57" s="12"/>
      <c r="CUE57" s="12"/>
      <c r="CUF57" s="12"/>
      <c r="CUG57" s="12"/>
      <c r="CUH57" s="12"/>
      <c r="CUI57" s="12"/>
      <c r="CUJ57" s="12"/>
      <c r="CUK57" s="12"/>
      <c r="CUL57" s="12"/>
      <c r="CUM57" s="12"/>
      <c r="CUN57" s="12"/>
      <c r="CUO57" s="12"/>
      <c r="CUP57" s="12"/>
      <c r="CUQ57" s="12"/>
      <c r="CUR57" s="12"/>
      <c r="CUS57" s="12"/>
      <c r="CUT57" s="12"/>
      <c r="CUU57" s="12"/>
      <c r="CUV57" s="12"/>
      <c r="CUW57" s="12"/>
      <c r="CUX57" s="12"/>
      <c r="CUY57" s="12"/>
      <c r="CUZ57" s="12"/>
      <c r="CVA57" s="12"/>
      <c r="CVB57" s="12"/>
      <c r="CVC57" s="12"/>
      <c r="CVD57" s="12"/>
      <c r="CVE57" s="12"/>
      <c r="CVF57" s="12"/>
      <c r="CVG57" s="12"/>
      <c r="CVH57" s="12"/>
      <c r="CVI57" s="12"/>
      <c r="CVJ57" s="12"/>
      <c r="CVK57" s="12"/>
      <c r="CVL57" s="12"/>
      <c r="CVM57" s="12"/>
      <c r="CVN57" s="12"/>
      <c r="CVO57" s="12"/>
      <c r="CVP57" s="12"/>
      <c r="CVQ57" s="12"/>
      <c r="CVR57" s="12"/>
      <c r="CVS57" s="12"/>
      <c r="CVT57" s="12"/>
      <c r="CVU57" s="12"/>
      <c r="CVV57" s="12"/>
      <c r="CVW57" s="12"/>
      <c r="CVX57" s="12"/>
      <c r="CVY57" s="12"/>
      <c r="CVZ57" s="12"/>
      <c r="CWA57" s="12"/>
      <c r="CWB57" s="12"/>
      <c r="CWC57" s="12"/>
      <c r="CWD57" s="12"/>
      <c r="CWE57" s="12"/>
      <c r="CWF57" s="12"/>
      <c r="CWG57" s="12"/>
      <c r="CWH57" s="12"/>
      <c r="CWI57" s="12"/>
      <c r="CWJ57" s="12"/>
      <c r="CWK57" s="12"/>
      <c r="CWL57" s="12"/>
      <c r="CWM57" s="12"/>
      <c r="CWN57" s="12"/>
      <c r="CWO57" s="12"/>
      <c r="CWP57" s="12"/>
      <c r="CWQ57" s="12"/>
      <c r="CWR57" s="12"/>
      <c r="CWS57" s="12"/>
      <c r="CWT57" s="12"/>
      <c r="CWU57" s="12"/>
      <c r="CWV57" s="12"/>
      <c r="CWW57" s="12"/>
      <c r="CWX57" s="12"/>
      <c r="CWY57" s="12"/>
      <c r="CWZ57" s="12"/>
      <c r="CXA57" s="12"/>
      <c r="CXB57" s="12"/>
      <c r="CXC57" s="12"/>
      <c r="CXD57" s="12"/>
      <c r="CXE57" s="12"/>
      <c r="CXF57" s="12"/>
      <c r="CXG57" s="12"/>
      <c r="CXH57" s="12"/>
      <c r="CXI57" s="12"/>
      <c r="CXJ57" s="12"/>
      <c r="CXK57" s="12"/>
      <c r="CXL57" s="12"/>
      <c r="CXM57" s="12"/>
      <c r="CXN57" s="12"/>
      <c r="CXO57" s="12"/>
      <c r="CXP57" s="12"/>
      <c r="CXQ57" s="12"/>
      <c r="CXR57" s="12"/>
      <c r="CXS57" s="12"/>
      <c r="CXT57" s="12"/>
      <c r="CXU57" s="12"/>
      <c r="CXV57" s="12"/>
      <c r="CXW57" s="12"/>
      <c r="CXX57" s="12"/>
      <c r="CXY57" s="12"/>
      <c r="CXZ57" s="12"/>
      <c r="CYA57" s="12"/>
      <c r="CYB57" s="12"/>
      <c r="CYC57" s="12"/>
      <c r="CYD57" s="12"/>
      <c r="CYE57" s="12"/>
      <c r="CYF57" s="12"/>
      <c r="CYG57" s="12"/>
      <c r="CYH57" s="12"/>
      <c r="CYI57" s="12"/>
      <c r="CYJ57" s="12"/>
      <c r="CYK57" s="12"/>
      <c r="CYL57" s="12"/>
      <c r="CYM57" s="12"/>
      <c r="CYN57" s="12"/>
      <c r="CYO57" s="12"/>
      <c r="CYP57" s="12"/>
      <c r="CYQ57" s="12"/>
      <c r="CYR57" s="12"/>
      <c r="CYS57" s="12"/>
      <c r="CYT57" s="12"/>
      <c r="CYU57" s="12"/>
      <c r="CYV57" s="12"/>
      <c r="CYW57" s="12"/>
      <c r="CYX57" s="12"/>
      <c r="CYY57" s="12"/>
      <c r="CYZ57" s="12"/>
      <c r="CZA57" s="12"/>
      <c r="CZB57" s="12"/>
      <c r="CZC57" s="12"/>
      <c r="CZD57" s="12"/>
      <c r="CZE57" s="12"/>
      <c r="CZF57" s="12"/>
      <c r="CZG57" s="12"/>
      <c r="CZH57" s="12"/>
      <c r="CZI57" s="12"/>
      <c r="CZJ57" s="12"/>
      <c r="CZK57" s="12"/>
      <c r="CZL57" s="12"/>
      <c r="CZM57" s="12"/>
      <c r="CZN57" s="12"/>
      <c r="CZO57" s="12"/>
      <c r="CZP57" s="12"/>
      <c r="CZQ57" s="12"/>
      <c r="CZR57" s="12"/>
      <c r="CZS57" s="12"/>
      <c r="CZT57" s="12"/>
      <c r="CZU57" s="12"/>
      <c r="CZV57" s="12"/>
      <c r="CZW57" s="12"/>
      <c r="CZX57" s="12"/>
      <c r="CZY57" s="12"/>
      <c r="CZZ57" s="12"/>
      <c r="DAA57" s="12"/>
      <c r="DAB57" s="12"/>
      <c r="DAC57" s="12"/>
      <c r="DAD57" s="12"/>
      <c r="DAE57" s="12"/>
      <c r="DAF57" s="12"/>
      <c r="DAG57" s="12"/>
      <c r="DAH57" s="12"/>
      <c r="DAI57" s="12"/>
      <c r="DAJ57" s="12"/>
      <c r="DAK57" s="12"/>
      <c r="DAL57" s="12"/>
      <c r="DAM57" s="12"/>
      <c r="DAN57" s="12"/>
      <c r="DAO57" s="12"/>
      <c r="DAP57" s="12"/>
      <c r="DAQ57" s="12"/>
      <c r="DAR57" s="12"/>
      <c r="DAS57" s="12"/>
      <c r="DAT57" s="12"/>
      <c r="DAU57" s="12"/>
      <c r="DAV57" s="12"/>
      <c r="DAW57" s="12"/>
      <c r="DAX57" s="12"/>
      <c r="DAY57" s="12"/>
      <c r="DAZ57" s="12"/>
      <c r="DBA57" s="12"/>
      <c r="DBB57" s="12"/>
      <c r="DBC57" s="12"/>
      <c r="DBD57" s="12"/>
      <c r="DBE57" s="12"/>
      <c r="DBF57" s="12"/>
      <c r="DBG57" s="12"/>
      <c r="DBH57" s="12"/>
      <c r="DBI57" s="12"/>
      <c r="DBJ57" s="12"/>
      <c r="DBK57" s="12"/>
      <c r="DBL57" s="12"/>
      <c r="DBM57" s="12"/>
      <c r="DBN57" s="12"/>
      <c r="DBO57" s="12"/>
      <c r="DBP57" s="12"/>
      <c r="DBQ57" s="12"/>
      <c r="DBR57" s="12"/>
      <c r="DBS57" s="12"/>
      <c r="DBT57" s="12"/>
      <c r="DBU57" s="12"/>
      <c r="DBV57" s="12"/>
      <c r="DBW57" s="12"/>
      <c r="DBX57" s="12"/>
      <c r="DBY57" s="12"/>
      <c r="DBZ57" s="12"/>
      <c r="DCA57" s="12"/>
      <c r="DCB57" s="12"/>
      <c r="DCC57" s="12"/>
      <c r="DCD57" s="12"/>
      <c r="DCE57" s="12"/>
      <c r="DCF57" s="12"/>
      <c r="DCG57" s="12"/>
      <c r="DCH57" s="12"/>
      <c r="DCI57" s="12"/>
      <c r="DCJ57" s="12"/>
      <c r="DCK57" s="12"/>
      <c r="DCL57" s="12"/>
      <c r="DCM57" s="12"/>
      <c r="DCN57" s="12"/>
      <c r="DCO57" s="12"/>
      <c r="DCP57" s="12"/>
      <c r="DCQ57" s="12"/>
      <c r="DCR57" s="12"/>
      <c r="DCS57" s="12"/>
      <c r="DCT57" s="12"/>
      <c r="DCU57" s="12"/>
      <c r="DCV57" s="12"/>
      <c r="DCW57" s="12"/>
      <c r="DCX57" s="12"/>
      <c r="DCY57" s="12"/>
      <c r="DCZ57" s="12"/>
      <c r="DDA57" s="12"/>
      <c r="DDB57" s="12"/>
      <c r="DDC57" s="12"/>
      <c r="DDD57" s="12"/>
      <c r="DDE57" s="12"/>
      <c r="DDF57" s="12"/>
      <c r="DDG57" s="12"/>
      <c r="DDH57" s="12"/>
      <c r="DDI57" s="12"/>
      <c r="DDJ57" s="12"/>
      <c r="DDK57" s="12"/>
      <c r="DDL57" s="12"/>
      <c r="DDM57" s="12"/>
      <c r="DDN57" s="12"/>
      <c r="DDO57" s="12"/>
      <c r="DDP57" s="12"/>
      <c r="DDQ57" s="12"/>
      <c r="DDR57" s="12"/>
      <c r="DDS57" s="12"/>
      <c r="DDT57" s="12"/>
      <c r="DDU57" s="12"/>
      <c r="DDV57" s="12"/>
      <c r="DDW57" s="12"/>
      <c r="DDX57" s="12"/>
      <c r="DDY57" s="12"/>
      <c r="DDZ57" s="12"/>
      <c r="DEA57" s="12"/>
      <c r="DEB57" s="12"/>
      <c r="DEC57" s="12"/>
      <c r="DED57" s="12"/>
      <c r="DEE57" s="12"/>
      <c r="DEF57" s="12"/>
      <c r="DEG57" s="12"/>
      <c r="DEH57" s="12"/>
      <c r="DEI57" s="12"/>
      <c r="DEJ57" s="12"/>
      <c r="DEK57" s="12"/>
      <c r="DEL57" s="12"/>
      <c r="DEM57" s="12"/>
      <c r="DEN57" s="12"/>
      <c r="DEO57" s="12"/>
      <c r="DEP57" s="12"/>
      <c r="DEQ57" s="12"/>
      <c r="DER57" s="12"/>
      <c r="DES57" s="12"/>
      <c r="DET57" s="12"/>
      <c r="DEU57" s="12"/>
      <c r="DEV57" s="12"/>
      <c r="DEW57" s="12"/>
      <c r="DEX57" s="12"/>
      <c r="DEY57" s="12"/>
      <c r="DEZ57" s="12"/>
      <c r="DFA57" s="12"/>
      <c r="DFB57" s="12"/>
      <c r="DFC57" s="12"/>
      <c r="DFD57" s="12"/>
      <c r="DFE57" s="12"/>
      <c r="DFF57" s="12"/>
      <c r="DFG57" s="12"/>
      <c r="DFH57" s="12"/>
      <c r="DFI57" s="12"/>
      <c r="DFJ57" s="12"/>
      <c r="DFK57" s="12"/>
      <c r="DFL57" s="12"/>
      <c r="DFM57" s="12"/>
      <c r="DFN57" s="12"/>
      <c r="DFO57" s="12"/>
      <c r="DFP57" s="12"/>
      <c r="DFQ57" s="12"/>
      <c r="DFR57" s="12"/>
      <c r="DFS57" s="12"/>
      <c r="DFT57" s="12"/>
      <c r="DFU57" s="12"/>
      <c r="DFV57" s="12"/>
      <c r="DFW57" s="12"/>
      <c r="DFX57" s="12"/>
      <c r="DFY57" s="12"/>
      <c r="DFZ57" s="12"/>
      <c r="DGA57" s="12"/>
      <c r="DGB57" s="12"/>
      <c r="DGC57" s="12"/>
      <c r="DGD57" s="12"/>
      <c r="DGE57" s="12"/>
      <c r="DGF57" s="12"/>
      <c r="DGG57" s="12"/>
      <c r="DGH57" s="12"/>
      <c r="DGI57" s="12"/>
      <c r="DGJ57" s="12"/>
      <c r="DGK57" s="12"/>
      <c r="DGL57" s="12"/>
      <c r="DGM57" s="12"/>
      <c r="DGN57" s="12"/>
      <c r="DGO57" s="12"/>
      <c r="DGP57" s="12"/>
      <c r="DGQ57" s="12"/>
      <c r="DGR57" s="12"/>
      <c r="DGS57" s="12"/>
      <c r="DGT57" s="12"/>
      <c r="DGU57" s="12"/>
      <c r="DGV57" s="12"/>
      <c r="DGW57" s="12"/>
      <c r="DGX57" s="12"/>
      <c r="DGY57" s="12"/>
      <c r="DGZ57" s="12"/>
      <c r="DHA57" s="12"/>
      <c r="DHB57" s="12"/>
      <c r="DHC57" s="12"/>
      <c r="DHD57" s="12"/>
      <c r="DHE57" s="12"/>
      <c r="DHF57" s="12"/>
      <c r="DHG57" s="12"/>
      <c r="DHH57" s="12"/>
      <c r="DHI57" s="12"/>
      <c r="DHJ57" s="12"/>
      <c r="DHK57" s="12"/>
      <c r="DHL57" s="12"/>
      <c r="DHM57" s="12"/>
      <c r="DHN57" s="12"/>
      <c r="DHO57" s="12"/>
      <c r="DHP57" s="12"/>
      <c r="DHQ57" s="12"/>
      <c r="DHR57" s="12"/>
      <c r="DHS57" s="12"/>
      <c r="DHT57" s="12"/>
      <c r="DHU57" s="12"/>
      <c r="DHV57" s="12"/>
      <c r="DHW57" s="12"/>
      <c r="DHX57" s="12"/>
      <c r="DHY57" s="12"/>
      <c r="DHZ57" s="12"/>
      <c r="DIA57" s="12"/>
      <c r="DIB57" s="12"/>
      <c r="DIC57" s="12"/>
      <c r="DID57" s="12"/>
      <c r="DIE57" s="12"/>
      <c r="DIF57" s="12"/>
      <c r="DIG57" s="12"/>
      <c r="DIH57" s="12"/>
      <c r="DII57" s="12"/>
      <c r="DIJ57" s="12"/>
      <c r="DIK57" s="12"/>
      <c r="DIL57" s="12"/>
      <c r="DIM57" s="12"/>
      <c r="DIN57" s="12"/>
      <c r="DIO57" s="12"/>
      <c r="DIP57" s="12"/>
      <c r="DIQ57" s="12"/>
      <c r="DIR57" s="12"/>
      <c r="DIS57" s="12"/>
      <c r="DIT57" s="12"/>
      <c r="DIU57" s="12"/>
      <c r="DIV57" s="12"/>
      <c r="DIW57" s="12"/>
      <c r="DIX57" s="12"/>
      <c r="DIY57" s="12"/>
      <c r="DIZ57" s="12"/>
      <c r="DJA57" s="12"/>
      <c r="DJB57" s="12"/>
      <c r="DJC57" s="12"/>
      <c r="DJD57" s="12"/>
      <c r="DJE57" s="12"/>
      <c r="DJF57" s="12"/>
      <c r="DJG57" s="12"/>
      <c r="DJH57" s="12"/>
      <c r="DJI57" s="12"/>
      <c r="DJJ57" s="12"/>
      <c r="DJK57" s="12"/>
      <c r="DJL57" s="12"/>
      <c r="DJM57" s="12"/>
      <c r="DJN57" s="12"/>
      <c r="DJO57" s="12"/>
      <c r="DJP57" s="12"/>
      <c r="DJQ57" s="12"/>
      <c r="DJR57" s="12"/>
      <c r="DJS57" s="12"/>
      <c r="DJT57" s="12"/>
      <c r="DJU57" s="12"/>
      <c r="DJV57" s="12"/>
      <c r="DJW57" s="12"/>
      <c r="DJX57" s="12"/>
      <c r="DJY57" s="12"/>
      <c r="DJZ57" s="12"/>
      <c r="DKA57" s="12"/>
      <c r="DKB57" s="12"/>
      <c r="DKC57" s="12"/>
      <c r="DKD57" s="12"/>
      <c r="DKE57" s="12"/>
      <c r="DKF57" s="12"/>
      <c r="DKG57" s="12"/>
      <c r="DKH57" s="12"/>
      <c r="DKI57" s="12"/>
      <c r="DKJ57" s="12"/>
      <c r="DKK57" s="12"/>
      <c r="DKL57" s="12"/>
      <c r="DKM57" s="12"/>
      <c r="DKN57" s="12"/>
      <c r="DKO57" s="12"/>
      <c r="DKP57" s="12"/>
      <c r="DKQ57" s="12"/>
      <c r="DKR57" s="12"/>
      <c r="DKS57" s="12"/>
      <c r="DKT57" s="12"/>
      <c r="DKU57" s="12"/>
      <c r="DKV57" s="12"/>
      <c r="DKW57" s="12"/>
      <c r="DKX57" s="12"/>
      <c r="DKY57" s="12"/>
      <c r="DKZ57" s="12"/>
      <c r="DLA57" s="12"/>
      <c r="DLB57" s="12"/>
      <c r="DLC57" s="12"/>
      <c r="DLD57" s="12"/>
      <c r="DLE57" s="12"/>
      <c r="DLF57" s="12"/>
      <c r="DLG57" s="12"/>
      <c r="DLH57" s="12"/>
      <c r="DLI57" s="12"/>
      <c r="DLJ57" s="12"/>
      <c r="DLK57" s="12"/>
      <c r="DLL57" s="12"/>
      <c r="DLM57" s="12"/>
      <c r="DLN57" s="12"/>
      <c r="DLO57" s="12"/>
      <c r="DLP57" s="12"/>
      <c r="DLQ57" s="12"/>
      <c r="DLR57" s="12"/>
      <c r="DLS57" s="12"/>
      <c r="DLT57" s="12"/>
      <c r="DLU57" s="12"/>
      <c r="DLV57" s="12"/>
      <c r="DLW57" s="12"/>
      <c r="DLX57" s="12"/>
      <c r="DLY57" s="12"/>
      <c r="DLZ57" s="12"/>
      <c r="DMA57" s="12"/>
      <c r="DMB57" s="12"/>
      <c r="DMC57" s="12"/>
      <c r="DMD57" s="12"/>
      <c r="DME57" s="12"/>
      <c r="DMF57" s="12"/>
      <c r="DMG57" s="12"/>
      <c r="DMH57" s="12"/>
      <c r="DMI57" s="12"/>
      <c r="DMJ57" s="12"/>
      <c r="DMK57" s="12"/>
      <c r="DML57" s="12"/>
      <c r="DMM57" s="12"/>
      <c r="DMN57" s="12"/>
      <c r="DMO57" s="12"/>
      <c r="DMP57" s="12"/>
      <c r="DMQ57" s="12"/>
      <c r="DMR57" s="12"/>
      <c r="DMS57" s="12"/>
      <c r="DMT57" s="12"/>
      <c r="DMU57" s="12"/>
      <c r="DMV57" s="12"/>
      <c r="DMW57" s="12"/>
      <c r="DMX57" s="12"/>
      <c r="DMY57" s="12"/>
      <c r="DMZ57" s="12"/>
      <c r="DNA57" s="12"/>
      <c r="DNB57" s="12"/>
      <c r="DNC57" s="12"/>
      <c r="DND57" s="12"/>
      <c r="DNE57" s="12"/>
      <c r="DNF57" s="12"/>
      <c r="DNG57" s="12"/>
      <c r="DNH57" s="12"/>
      <c r="DNI57" s="12"/>
      <c r="DNJ57" s="12"/>
      <c r="DNK57" s="12"/>
      <c r="DNL57" s="12"/>
      <c r="DNM57" s="12"/>
      <c r="DNN57" s="12"/>
      <c r="DNO57" s="12"/>
      <c r="DNP57" s="12"/>
      <c r="DNQ57" s="12"/>
      <c r="DNR57" s="12"/>
      <c r="DNS57" s="12"/>
      <c r="DNT57" s="12"/>
      <c r="DNU57" s="12"/>
      <c r="DNV57" s="12"/>
      <c r="DNW57" s="12"/>
      <c r="DNX57" s="12"/>
      <c r="DNY57" s="12"/>
      <c r="DNZ57" s="12"/>
      <c r="DOA57" s="12"/>
      <c r="DOB57" s="12"/>
      <c r="DOC57" s="12"/>
      <c r="DOD57" s="12"/>
      <c r="DOE57" s="12"/>
      <c r="DOF57" s="12"/>
      <c r="DOG57" s="12"/>
      <c r="DOH57" s="12"/>
      <c r="DOI57" s="12"/>
      <c r="DOJ57" s="12"/>
      <c r="DOK57" s="12"/>
      <c r="DOL57" s="12"/>
      <c r="DOM57" s="12"/>
      <c r="DON57" s="12"/>
      <c r="DOO57" s="12"/>
      <c r="DOP57" s="12"/>
      <c r="DOQ57" s="12"/>
      <c r="DOR57" s="12"/>
      <c r="DOS57" s="12"/>
      <c r="DOT57" s="12"/>
      <c r="DOU57" s="12"/>
      <c r="DOV57" s="12"/>
      <c r="DOW57" s="12"/>
      <c r="DOX57" s="12"/>
      <c r="DOY57" s="12"/>
      <c r="DOZ57" s="12"/>
      <c r="DPA57" s="12"/>
      <c r="DPB57" s="12"/>
      <c r="DPC57" s="12"/>
      <c r="DPD57" s="12"/>
      <c r="DPE57" s="12"/>
      <c r="DPF57" s="12"/>
      <c r="DPG57" s="12"/>
      <c r="DPH57" s="12"/>
      <c r="DPI57" s="12"/>
      <c r="DPJ57" s="12"/>
      <c r="DPK57" s="12"/>
      <c r="DPL57" s="12"/>
      <c r="DPM57" s="12"/>
      <c r="DPN57" s="12"/>
      <c r="DPO57" s="12"/>
      <c r="DPP57" s="12"/>
      <c r="DPQ57" s="12"/>
      <c r="DPR57" s="12"/>
      <c r="DPS57" s="12"/>
      <c r="DPT57" s="12"/>
      <c r="DPU57" s="12"/>
      <c r="DPV57" s="12"/>
      <c r="DPW57" s="12"/>
      <c r="DPX57" s="12"/>
      <c r="DPY57" s="12"/>
      <c r="DPZ57" s="12"/>
      <c r="DQA57" s="12"/>
      <c r="DQB57" s="12"/>
      <c r="DQC57" s="12"/>
      <c r="DQD57" s="12"/>
      <c r="DQE57" s="12"/>
      <c r="DQF57" s="12"/>
      <c r="DQG57" s="12"/>
      <c r="DQH57" s="12"/>
      <c r="DQI57" s="12"/>
      <c r="DQJ57" s="12"/>
      <c r="DQK57" s="12"/>
      <c r="DQL57" s="12"/>
      <c r="DQM57" s="12"/>
      <c r="DQN57" s="12"/>
      <c r="DQO57" s="12"/>
      <c r="DQP57" s="12"/>
      <c r="DQQ57" s="12"/>
      <c r="DQR57" s="12"/>
      <c r="DQS57" s="12"/>
      <c r="DQT57" s="12"/>
      <c r="DQU57" s="12"/>
      <c r="DQV57" s="12"/>
      <c r="DQW57" s="12"/>
      <c r="DQX57" s="12"/>
      <c r="DQY57" s="12"/>
      <c r="DQZ57" s="12"/>
      <c r="DRA57" s="12"/>
      <c r="DRB57" s="12"/>
      <c r="DRC57" s="12"/>
      <c r="DRD57" s="12"/>
      <c r="DRE57" s="12"/>
      <c r="DRF57" s="12"/>
      <c r="DRG57" s="12"/>
      <c r="DRH57" s="12"/>
      <c r="DRI57" s="12"/>
      <c r="DRJ57" s="12"/>
      <c r="DRK57" s="12"/>
      <c r="DRL57" s="12"/>
      <c r="DRM57" s="12"/>
      <c r="DRN57" s="12"/>
      <c r="DRO57" s="12"/>
      <c r="DRP57" s="12"/>
      <c r="DRQ57" s="12"/>
      <c r="DRR57" s="12"/>
      <c r="DRS57" s="12"/>
      <c r="DRT57" s="12"/>
      <c r="DRU57" s="12"/>
      <c r="DRV57" s="12"/>
      <c r="DRW57" s="12"/>
      <c r="DRX57" s="12"/>
      <c r="DRY57" s="12"/>
      <c r="DRZ57" s="12"/>
      <c r="DSA57" s="12"/>
      <c r="DSB57" s="12"/>
      <c r="DSC57" s="12"/>
      <c r="DSD57" s="12"/>
      <c r="DSE57" s="12"/>
      <c r="DSF57" s="12"/>
      <c r="DSG57" s="12"/>
      <c r="DSH57" s="12"/>
      <c r="DSI57" s="12"/>
      <c r="DSJ57" s="12"/>
      <c r="DSK57" s="12"/>
      <c r="DSL57" s="12"/>
      <c r="DSM57" s="12"/>
      <c r="DSN57" s="12"/>
      <c r="DSO57" s="12"/>
      <c r="DSP57" s="12"/>
      <c r="DSQ57" s="12"/>
      <c r="DSR57" s="12"/>
      <c r="DSS57" s="12"/>
      <c r="DST57" s="12"/>
      <c r="DSU57" s="12"/>
      <c r="DSV57" s="12"/>
      <c r="DSW57" s="12"/>
      <c r="DSX57" s="12"/>
      <c r="DSY57" s="12"/>
      <c r="DSZ57" s="12"/>
      <c r="DTA57" s="12"/>
      <c r="DTB57" s="12"/>
      <c r="DTC57" s="12"/>
      <c r="DTD57" s="12"/>
      <c r="DTE57" s="12"/>
      <c r="DTF57" s="12"/>
      <c r="DTG57" s="12"/>
      <c r="DTH57" s="12"/>
      <c r="DTI57" s="12"/>
      <c r="DTJ57" s="12"/>
      <c r="DTK57" s="12"/>
      <c r="DTL57" s="12"/>
      <c r="DTM57" s="12"/>
      <c r="DTN57" s="12"/>
      <c r="DTO57" s="12"/>
      <c r="DTP57" s="12"/>
      <c r="DTQ57" s="12"/>
      <c r="DTR57" s="12"/>
      <c r="DTS57" s="12"/>
      <c r="DTT57" s="12"/>
      <c r="DTU57" s="12"/>
      <c r="DTV57" s="12"/>
      <c r="DTW57" s="12"/>
      <c r="DTX57" s="12"/>
      <c r="DTY57" s="12"/>
      <c r="DTZ57" s="12"/>
      <c r="DUA57" s="12"/>
      <c r="DUB57" s="12"/>
      <c r="DUC57" s="12"/>
      <c r="DUD57" s="12"/>
      <c r="DUE57" s="12"/>
      <c r="DUF57" s="12"/>
      <c r="DUG57" s="12"/>
      <c r="DUH57" s="12"/>
      <c r="DUI57" s="12"/>
      <c r="DUJ57" s="12"/>
      <c r="DUK57" s="12"/>
      <c r="DUL57" s="12"/>
      <c r="DUM57" s="12"/>
      <c r="DUN57" s="12"/>
      <c r="DUO57" s="12"/>
      <c r="DUP57" s="12"/>
      <c r="DUQ57" s="12"/>
      <c r="DUR57" s="12"/>
      <c r="DUS57" s="12"/>
      <c r="DUT57" s="12"/>
      <c r="DUU57" s="12"/>
      <c r="DUV57" s="12"/>
      <c r="DUW57" s="12"/>
      <c r="DUX57" s="12"/>
      <c r="DUY57" s="12"/>
      <c r="DUZ57" s="12"/>
      <c r="DVA57" s="12"/>
      <c r="DVB57" s="12"/>
      <c r="DVC57" s="12"/>
      <c r="DVD57" s="12"/>
      <c r="DVE57" s="12"/>
      <c r="DVF57" s="12"/>
      <c r="DVG57" s="12"/>
      <c r="DVH57" s="12"/>
      <c r="DVI57" s="12"/>
      <c r="DVJ57" s="12"/>
      <c r="DVK57" s="12"/>
      <c r="DVL57" s="12"/>
      <c r="DVM57" s="12"/>
      <c r="DVN57" s="12"/>
      <c r="DVO57" s="12"/>
      <c r="DVP57" s="12"/>
      <c r="DVQ57" s="12"/>
      <c r="DVR57" s="12"/>
      <c r="DVS57" s="12"/>
      <c r="DVT57" s="12"/>
      <c r="DVU57" s="12"/>
      <c r="DVV57" s="12"/>
      <c r="DVW57" s="12"/>
      <c r="DVX57" s="12"/>
      <c r="DVY57" s="12"/>
      <c r="DVZ57" s="12"/>
      <c r="DWA57" s="12"/>
      <c r="DWB57" s="12"/>
      <c r="DWC57" s="12"/>
      <c r="DWD57" s="12"/>
      <c r="DWE57" s="12"/>
      <c r="DWF57" s="12"/>
      <c r="DWG57" s="12"/>
      <c r="DWH57" s="12"/>
      <c r="DWI57" s="12"/>
      <c r="DWJ57" s="12"/>
      <c r="DWK57" s="12"/>
      <c r="DWL57" s="12"/>
      <c r="DWM57" s="12"/>
      <c r="DWN57" s="12"/>
      <c r="DWO57" s="12"/>
      <c r="DWP57" s="12"/>
      <c r="DWQ57" s="12"/>
      <c r="DWR57" s="12"/>
      <c r="DWS57" s="12"/>
      <c r="DWT57" s="12"/>
      <c r="DWU57" s="12"/>
      <c r="DWV57" s="12"/>
      <c r="DWW57" s="12"/>
      <c r="DWX57" s="12"/>
      <c r="DWY57" s="12"/>
      <c r="DWZ57" s="12"/>
      <c r="DXA57" s="12"/>
      <c r="DXB57" s="12"/>
      <c r="DXC57" s="12"/>
      <c r="DXD57" s="12"/>
      <c r="DXE57" s="12"/>
      <c r="DXF57" s="12"/>
      <c r="DXG57" s="12"/>
      <c r="DXH57" s="12"/>
      <c r="DXI57" s="12"/>
      <c r="DXJ57" s="12"/>
      <c r="DXK57" s="12"/>
      <c r="DXL57" s="12"/>
      <c r="DXM57" s="12"/>
      <c r="DXN57" s="12"/>
      <c r="DXO57" s="12"/>
      <c r="DXP57" s="12"/>
      <c r="DXQ57" s="12"/>
      <c r="DXR57" s="12"/>
      <c r="DXS57" s="12"/>
      <c r="DXT57" s="12"/>
      <c r="DXU57" s="12"/>
      <c r="DXV57" s="12"/>
      <c r="DXW57" s="12"/>
      <c r="DXX57" s="12"/>
      <c r="DXY57" s="12"/>
      <c r="DXZ57" s="12"/>
      <c r="DYA57" s="12"/>
      <c r="DYB57" s="12"/>
      <c r="DYC57" s="12"/>
      <c r="DYD57" s="12"/>
      <c r="DYE57" s="12"/>
      <c r="DYF57" s="12"/>
      <c r="DYG57" s="12"/>
      <c r="DYH57" s="12"/>
      <c r="DYI57" s="12"/>
      <c r="DYJ57" s="12"/>
      <c r="DYK57" s="12"/>
      <c r="DYL57" s="12"/>
      <c r="DYM57" s="12"/>
      <c r="DYN57" s="12"/>
      <c r="DYO57" s="12"/>
      <c r="DYP57" s="12"/>
      <c r="DYQ57" s="12"/>
      <c r="DYR57" s="12"/>
      <c r="DYS57" s="12"/>
      <c r="DYT57" s="12"/>
      <c r="DYU57" s="12"/>
      <c r="DYV57" s="12"/>
      <c r="DYW57" s="12"/>
      <c r="DYX57" s="12"/>
      <c r="DYY57" s="12"/>
      <c r="DYZ57" s="12"/>
      <c r="DZA57" s="12"/>
      <c r="DZB57" s="12"/>
      <c r="DZC57" s="12"/>
      <c r="DZD57" s="12"/>
      <c r="DZE57" s="12"/>
      <c r="DZF57" s="12"/>
      <c r="DZG57" s="12"/>
      <c r="DZH57" s="12"/>
      <c r="DZI57" s="12"/>
      <c r="DZJ57" s="12"/>
      <c r="DZK57" s="12"/>
      <c r="DZL57" s="12"/>
      <c r="DZM57" s="12"/>
      <c r="DZN57" s="12"/>
      <c r="DZO57" s="12"/>
      <c r="DZP57" s="12"/>
      <c r="DZQ57" s="12"/>
      <c r="DZR57" s="12"/>
      <c r="DZS57" s="12"/>
      <c r="DZT57" s="12"/>
      <c r="DZU57" s="12"/>
      <c r="DZV57" s="12"/>
      <c r="DZW57" s="12"/>
      <c r="DZX57" s="12"/>
      <c r="DZY57" s="12"/>
      <c r="DZZ57" s="12"/>
      <c r="EAA57" s="12"/>
      <c r="EAB57" s="12"/>
      <c r="EAC57" s="12"/>
      <c r="EAD57" s="12"/>
      <c r="EAE57" s="12"/>
      <c r="EAF57" s="12"/>
      <c r="EAG57" s="12"/>
      <c r="EAH57" s="12"/>
      <c r="EAI57" s="12"/>
      <c r="EAJ57" s="12"/>
      <c r="EAK57" s="12"/>
      <c r="EAL57" s="12"/>
      <c r="EAM57" s="12"/>
      <c r="EAN57" s="12"/>
      <c r="EAO57" s="12"/>
      <c r="EAP57" s="12"/>
      <c r="EAQ57" s="12"/>
      <c r="EAR57" s="12"/>
      <c r="EAS57" s="12"/>
      <c r="EAT57" s="12"/>
      <c r="EAU57" s="12"/>
      <c r="EAV57" s="12"/>
      <c r="EAW57" s="12"/>
      <c r="EAX57" s="12"/>
      <c r="EAY57" s="12"/>
      <c r="EAZ57" s="12"/>
      <c r="EBA57" s="12"/>
      <c r="EBB57" s="12"/>
      <c r="EBC57" s="12"/>
      <c r="EBD57" s="12"/>
      <c r="EBE57" s="12"/>
      <c r="EBF57" s="12"/>
      <c r="EBG57" s="12"/>
      <c r="EBH57" s="12"/>
      <c r="EBI57" s="12"/>
      <c r="EBJ57" s="12"/>
      <c r="EBK57" s="12"/>
      <c r="EBL57" s="12"/>
      <c r="EBM57" s="12"/>
      <c r="EBN57" s="12"/>
      <c r="EBO57" s="12"/>
      <c r="EBP57" s="12"/>
      <c r="EBQ57" s="12"/>
      <c r="EBR57" s="12"/>
      <c r="EBS57" s="12"/>
      <c r="EBT57" s="12"/>
      <c r="EBU57" s="12"/>
      <c r="EBV57" s="12"/>
      <c r="EBW57" s="12"/>
      <c r="EBX57" s="12"/>
      <c r="EBY57" s="12"/>
      <c r="EBZ57" s="12"/>
      <c r="ECA57" s="12"/>
      <c r="ECB57" s="12"/>
      <c r="ECC57" s="12"/>
      <c r="ECD57" s="12"/>
      <c r="ECE57" s="12"/>
      <c r="ECF57" s="12"/>
      <c r="ECG57" s="12"/>
      <c r="ECH57" s="12"/>
      <c r="ECI57" s="12"/>
      <c r="ECJ57" s="12"/>
      <c r="ECK57" s="12"/>
      <c r="ECL57" s="12"/>
      <c r="ECM57" s="12"/>
      <c r="ECN57" s="12"/>
      <c r="ECO57" s="12"/>
      <c r="ECP57" s="12"/>
      <c r="ECQ57" s="12"/>
      <c r="ECR57" s="12"/>
      <c r="ECS57" s="12"/>
      <c r="ECT57" s="12"/>
      <c r="ECU57" s="12"/>
      <c r="ECV57" s="12"/>
      <c r="ECW57" s="12"/>
      <c r="ECX57" s="12"/>
      <c r="ECY57" s="12"/>
      <c r="ECZ57" s="12"/>
      <c r="EDA57" s="12"/>
      <c r="EDB57" s="12"/>
      <c r="EDC57" s="12"/>
      <c r="EDD57" s="12"/>
      <c r="EDE57" s="12"/>
      <c r="EDF57" s="12"/>
      <c r="EDG57" s="12"/>
      <c r="EDH57" s="12"/>
      <c r="EDI57" s="12"/>
      <c r="EDJ57" s="12"/>
      <c r="EDK57" s="12"/>
      <c r="EDL57" s="12"/>
      <c r="EDM57" s="12"/>
      <c r="EDN57" s="12"/>
      <c r="EDO57" s="12"/>
      <c r="EDP57" s="12"/>
      <c r="EDQ57" s="12"/>
      <c r="EDR57" s="12"/>
      <c r="EDS57" s="12"/>
      <c r="EDT57" s="12"/>
      <c r="EDU57" s="12"/>
      <c r="EDV57" s="12"/>
      <c r="EDW57" s="12"/>
      <c r="EDX57" s="12"/>
      <c r="EDY57" s="12"/>
      <c r="EDZ57" s="12"/>
      <c r="EEA57" s="12"/>
      <c r="EEB57" s="12"/>
      <c r="EEC57" s="12"/>
      <c r="EED57" s="12"/>
      <c r="EEE57" s="12"/>
      <c r="EEF57" s="12"/>
      <c r="EEG57" s="12"/>
      <c r="EEH57" s="12"/>
      <c r="EEI57" s="12"/>
      <c r="EEJ57" s="12"/>
      <c r="EEK57" s="12"/>
      <c r="EEL57" s="12"/>
      <c r="EEM57" s="12"/>
      <c r="EEN57" s="12"/>
      <c r="EEO57" s="12"/>
      <c r="EEP57" s="12"/>
      <c r="EEQ57" s="12"/>
      <c r="EER57" s="12"/>
      <c r="EES57" s="12"/>
      <c r="EET57" s="12"/>
      <c r="EEU57" s="12"/>
      <c r="EEV57" s="12"/>
      <c r="EEW57" s="12"/>
      <c r="EEX57" s="12"/>
      <c r="EEY57" s="12"/>
      <c r="EEZ57" s="12"/>
      <c r="EFA57" s="12"/>
      <c r="EFB57" s="12"/>
      <c r="EFC57" s="12"/>
      <c r="EFD57" s="12"/>
      <c r="EFE57" s="12"/>
      <c r="EFF57" s="12"/>
      <c r="EFG57" s="12"/>
      <c r="EFH57" s="12"/>
      <c r="EFI57" s="12"/>
      <c r="EFJ57" s="12"/>
      <c r="EFK57" s="12"/>
      <c r="EFL57" s="12"/>
      <c r="EFM57" s="12"/>
      <c r="EFN57" s="12"/>
      <c r="EFO57" s="12"/>
      <c r="EFP57" s="12"/>
      <c r="EFQ57" s="12"/>
      <c r="EFR57" s="12"/>
      <c r="EFS57" s="12"/>
      <c r="EFT57" s="12"/>
      <c r="EFU57" s="12"/>
      <c r="EFV57" s="12"/>
      <c r="EFW57" s="12"/>
      <c r="EFX57" s="12"/>
      <c r="EFY57" s="12"/>
      <c r="EFZ57" s="12"/>
      <c r="EGA57" s="12"/>
      <c r="EGB57" s="12"/>
      <c r="EGC57" s="12"/>
      <c r="EGD57" s="12"/>
      <c r="EGE57" s="12"/>
      <c r="EGF57" s="12"/>
      <c r="EGG57" s="12"/>
      <c r="EGH57" s="12"/>
      <c r="EGI57" s="12"/>
      <c r="EGJ57" s="12"/>
      <c r="EGK57" s="12"/>
      <c r="EGL57" s="12"/>
      <c r="EGM57" s="12"/>
      <c r="EGN57" s="12"/>
      <c r="EGO57" s="12"/>
      <c r="EGP57" s="12"/>
      <c r="EGQ57" s="12"/>
      <c r="EGR57" s="12"/>
      <c r="EGS57" s="12"/>
      <c r="EGT57" s="12"/>
      <c r="EGU57" s="12"/>
      <c r="EGV57" s="12"/>
      <c r="EGW57" s="12"/>
      <c r="EGX57" s="12"/>
      <c r="EGY57" s="12"/>
      <c r="EGZ57" s="12"/>
      <c r="EHA57" s="12"/>
      <c r="EHB57" s="12"/>
      <c r="EHC57" s="12"/>
      <c r="EHD57" s="12"/>
      <c r="EHE57" s="12"/>
      <c r="EHF57" s="12"/>
      <c r="EHG57" s="12"/>
      <c r="EHH57" s="12"/>
      <c r="EHI57" s="12"/>
      <c r="EHJ57" s="12"/>
      <c r="EHK57" s="12"/>
      <c r="EHL57" s="12"/>
      <c r="EHM57" s="12"/>
      <c r="EHN57" s="12"/>
      <c r="EHO57" s="12"/>
      <c r="EHP57" s="12"/>
      <c r="EHQ57" s="12"/>
      <c r="EHR57" s="12"/>
      <c r="EHS57" s="12"/>
      <c r="EHT57" s="12"/>
      <c r="EHU57" s="12"/>
      <c r="EHV57" s="12"/>
      <c r="EHW57" s="12"/>
      <c r="EHX57" s="12"/>
      <c r="EHY57" s="12"/>
      <c r="EHZ57" s="12"/>
      <c r="EIA57" s="12"/>
      <c r="EIB57" s="12"/>
      <c r="EIC57" s="12"/>
      <c r="EID57" s="12"/>
      <c r="EIE57" s="12"/>
      <c r="EIF57" s="12"/>
      <c r="EIG57" s="12"/>
      <c r="EIH57" s="12"/>
      <c r="EII57" s="12"/>
      <c r="EIJ57" s="12"/>
      <c r="EIK57" s="12"/>
      <c r="EIL57" s="12"/>
      <c r="EIM57" s="12"/>
      <c r="EIN57" s="12"/>
      <c r="EIO57" s="12"/>
      <c r="EIP57" s="12"/>
      <c r="EIQ57" s="12"/>
      <c r="EIR57" s="12"/>
      <c r="EIS57" s="12"/>
      <c r="EIT57" s="12"/>
      <c r="EIU57" s="12"/>
      <c r="EIV57" s="12"/>
      <c r="EIW57" s="12"/>
      <c r="EIX57" s="12"/>
      <c r="EIY57" s="12"/>
      <c r="EIZ57" s="12"/>
      <c r="EJA57" s="12"/>
      <c r="EJB57" s="12"/>
      <c r="EJC57" s="12"/>
      <c r="EJD57" s="12"/>
      <c r="EJE57" s="12"/>
      <c r="EJF57" s="12"/>
      <c r="EJG57" s="12"/>
      <c r="EJH57" s="12"/>
      <c r="EJI57" s="12"/>
      <c r="EJJ57" s="12"/>
      <c r="EJK57" s="12"/>
      <c r="EJL57" s="12"/>
      <c r="EJM57" s="12"/>
      <c r="EJN57" s="12"/>
      <c r="EJO57" s="12"/>
      <c r="EJP57" s="12"/>
      <c r="EJQ57" s="12"/>
      <c r="EJR57" s="12"/>
      <c r="EJS57" s="12"/>
      <c r="EJT57" s="12"/>
      <c r="EJU57" s="12"/>
      <c r="EJV57" s="12"/>
      <c r="EJW57" s="12"/>
      <c r="EJX57" s="12"/>
      <c r="EJY57" s="12"/>
      <c r="EJZ57" s="12"/>
      <c r="EKA57" s="12"/>
      <c r="EKB57" s="12"/>
      <c r="EKC57" s="12"/>
      <c r="EKD57" s="12"/>
      <c r="EKE57" s="12"/>
      <c r="EKF57" s="12"/>
      <c r="EKG57" s="12"/>
      <c r="EKH57" s="12"/>
      <c r="EKI57" s="12"/>
      <c r="EKJ57" s="12"/>
      <c r="EKK57" s="12"/>
      <c r="EKL57" s="12"/>
      <c r="EKM57" s="12"/>
      <c r="EKN57" s="12"/>
      <c r="EKO57" s="12"/>
      <c r="EKP57" s="12"/>
      <c r="EKQ57" s="12"/>
      <c r="EKR57" s="12"/>
      <c r="EKS57" s="12"/>
      <c r="EKT57" s="12"/>
      <c r="EKU57" s="12"/>
      <c r="EKV57" s="12"/>
      <c r="EKW57" s="12"/>
      <c r="EKX57" s="12"/>
      <c r="EKY57" s="12"/>
      <c r="EKZ57" s="12"/>
      <c r="ELA57" s="12"/>
      <c r="ELB57" s="12"/>
      <c r="ELC57" s="12"/>
      <c r="ELD57" s="12"/>
      <c r="ELE57" s="12"/>
      <c r="ELF57" s="12"/>
      <c r="ELG57" s="12"/>
      <c r="ELH57" s="12"/>
      <c r="ELI57" s="12"/>
      <c r="ELJ57" s="12"/>
      <c r="ELK57" s="12"/>
      <c r="ELL57" s="12"/>
      <c r="ELM57" s="12"/>
      <c r="ELN57" s="12"/>
      <c r="ELO57" s="12"/>
      <c r="ELP57" s="12"/>
      <c r="ELQ57" s="12"/>
      <c r="ELR57" s="12"/>
      <c r="ELS57" s="12"/>
      <c r="ELT57" s="12"/>
      <c r="ELU57" s="12"/>
      <c r="ELV57" s="12"/>
      <c r="ELW57" s="12"/>
      <c r="ELX57" s="12"/>
      <c r="ELY57" s="12"/>
      <c r="ELZ57" s="12"/>
      <c r="EMA57" s="12"/>
      <c r="EMB57" s="12"/>
      <c r="EMC57" s="12"/>
      <c r="EMD57" s="12"/>
      <c r="EME57" s="12"/>
      <c r="EMF57" s="12"/>
      <c r="EMG57" s="12"/>
      <c r="EMH57" s="12"/>
      <c r="EMI57" s="12"/>
      <c r="EMJ57" s="12"/>
      <c r="EMK57" s="12"/>
      <c r="EML57" s="12"/>
      <c r="EMM57" s="12"/>
      <c r="EMN57" s="12"/>
      <c r="EMO57" s="12"/>
      <c r="EMP57" s="12"/>
      <c r="EMQ57" s="12"/>
      <c r="EMR57" s="12"/>
      <c r="EMS57" s="12"/>
      <c r="EMT57" s="12"/>
      <c r="EMU57" s="12"/>
      <c r="EMV57" s="12"/>
      <c r="EMW57" s="12"/>
      <c r="EMX57" s="12"/>
      <c r="EMY57" s="12"/>
      <c r="EMZ57" s="12"/>
      <c r="ENA57" s="12"/>
      <c r="ENB57" s="12"/>
      <c r="ENC57" s="12"/>
      <c r="END57" s="12"/>
      <c r="ENE57" s="12"/>
      <c r="ENF57" s="12"/>
      <c r="ENG57" s="12"/>
      <c r="ENH57" s="12"/>
      <c r="ENI57" s="12"/>
      <c r="ENJ57" s="12"/>
      <c r="ENK57" s="12"/>
      <c r="ENL57" s="12"/>
      <c r="ENM57" s="12"/>
      <c r="ENN57" s="12"/>
      <c r="ENO57" s="12"/>
      <c r="ENP57" s="12"/>
      <c r="ENQ57" s="12"/>
      <c r="ENR57" s="12"/>
      <c r="ENS57" s="12"/>
      <c r="ENT57" s="12"/>
      <c r="ENU57" s="12"/>
      <c r="ENV57" s="12"/>
      <c r="ENW57" s="12"/>
      <c r="ENX57" s="12"/>
      <c r="ENY57" s="12"/>
      <c r="ENZ57" s="12"/>
      <c r="EOA57" s="12"/>
      <c r="EOB57" s="12"/>
      <c r="EOC57" s="12"/>
      <c r="EOD57" s="12"/>
      <c r="EOE57" s="12"/>
      <c r="EOF57" s="12"/>
      <c r="EOG57" s="12"/>
      <c r="EOH57" s="12"/>
      <c r="EOI57" s="12"/>
      <c r="EOJ57" s="12"/>
      <c r="EOK57" s="12"/>
      <c r="EOL57" s="12"/>
      <c r="EOM57" s="12"/>
      <c r="EON57" s="12"/>
      <c r="EOO57" s="12"/>
      <c r="EOP57" s="12"/>
      <c r="EOQ57" s="12"/>
      <c r="EOR57" s="12"/>
      <c r="EOS57" s="12"/>
      <c r="EOT57" s="12"/>
      <c r="EOU57" s="12"/>
      <c r="EOV57" s="12"/>
      <c r="EOW57" s="12"/>
      <c r="EOX57" s="12"/>
      <c r="EOY57" s="12"/>
      <c r="EOZ57" s="12"/>
      <c r="EPA57" s="12"/>
      <c r="EPB57" s="12"/>
      <c r="EPC57" s="12"/>
      <c r="EPD57" s="12"/>
      <c r="EPE57" s="12"/>
      <c r="EPF57" s="12"/>
      <c r="EPG57" s="12"/>
      <c r="EPH57" s="12"/>
      <c r="EPI57" s="12"/>
      <c r="EPJ57" s="12"/>
      <c r="EPK57" s="12"/>
      <c r="EPL57" s="12"/>
      <c r="EPM57" s="12"/>
      <c r="EPN57" s="12"/>
      <c r="EPO57" s="12"/>
      <c r="EPP57" s="12"/>
      <c r="EPQ57" s="12"/>
      <c r="EPR57" s="12"/>
      <c r="EPS57" s="12"/>
      <c r="EPT57" s="12"/>
      <c r="EPU57" s="12"/>
      <c r="EPV57" s="12"/>
      <c r="EPW57" s="12"/>
      <c r="EPX57" s="12"/>
      <c r="EPY57" s="12"/>
      <c r="EPZ57" s="12"/>
      <c r="EQA57" s="12"/>
      <c r="EQB57" s="12"/>
      <c r="EQC57" s="12"/>
      <c r="EQD57" s="12"/>
      <c r="EQE57" s="12"/>
      <c r="EQF57" s="12"/>
      <c r="EQG57" s="12"/>
      <c r="EQH57" s="12"/>
      <c r="EQI57" s="12"/>
      <c r="EQJ57" s="12"/>
      <c r="EQK57" s="12"/>
      <c r="EQL57" s="12"/>
      <c r="EQM57" s="12"/>
      <c r="EQN57" s="12"/>
      <c r="EQO57" s="12"/>
      <c r="EQP57" s="12"/>
      <c r="EQQ57" s="12"/>
      <c r="EQR57" s="12"/>
      <c r="EQS57" s="12"/>
      <c r="EQT57" s="12"/>
      <c r="EQU57" s="12"/>
      <c r="EQV57" s="12"/>
      <c r="EQW57" s="12"/>
      <c r="EQX57" s="12"/>
      <c r="EQY57" s="12"/>
      <c r="EQZ57" s="12"/>
      <c r="ERA57" s="12"/>
      <c r="ERB57" s="12"/>
      <c r="ERC57" s="12"/>
      <c r="ERD57" s="12"/>
      <c r="ERE57" s="12"/>
      <c r="ERF57" s="12"/>
      <c r="ERG57" s="12"/>
      <c r="ERH57" s="12"/>
      <c r="ERI57" s="12"/>
      <c r="ERJ57" s="12"/>
      <c r="ERK57" s="12"/>
      <c r="ERL57" s="12"/>
      <c r="ERM57" s="12"/>
      <c r="ERN57" s="12"/>
      <c r="ERO57" s="12"/>
      <c r="ERP57" s="12"/>
      <c r="ERQ57" s="12"/>
      <c r="ERR57" s="12"/>
      <c r="ERS57" s="12"/>
      <c r="ERT57" s="12"/>
      <c r="ERU57" s="12"/>
      <c r="ERV57" s="12"/>
      <c r="ERW57" s="12"/>
      <c r="ERX57" s="12"/>
      <c r="ERY57" s="12"/>
      <c r="ERZ57" s="12"/>
      <c r="ESA57" s="12"/>
      <c r="ESB57" s="12"/>
      <c r="ESC57" s="12"/>
      <c r="ESD57" s="12"/>
      <c r="ESE57" s="12"/>
      <c r="ESF57" s="12"/>
      <c r="ESG57" s="12"/>
      <c r="ESH57" s="12"/>
      <c r="ESI57" s="12"/>
      <c r="ESJ57" s="12"/>
      <c r="ESK57" s="12"/>
      <c r="ESL57" s="12"/>
      <c r="ESM57" s="12"/>
      <c r="ESN57" s="12"/>
      <c r="ESO57" s="12"/>
      <c r="ESP57" s="12"/>
      <c r="ESQ57" s="12"/>
      <c r="ESR57" s="12"/>
      <c r="ESS57" s="12"/>
      <c r="EST57" s="12"/>
      <c r="ESU57" s="12"/>
      <c r="ESV57" s="12"/>
      <c r="ESW57" s="12"/>
      <c r="ESX57" s="12"/>
      <c r="ESY57" s="12"/>
      <c r="ESZ57" s="12"/>
      <c r="ETA57" s="12"/>
      <c r="ETB57" s="12"/>
      <c r="ETC57" s="12"/>
      <c r="ETD57" s="12"/>
      <c r="ETE57" s="12"/>
      <c r="ETF57" s="12"/>
      <c r="ETG57" s="12"/>
      <c r="ETH57" s="12"/>
      <c r="ETI57" s="12"/>
      <c r="ETJ57" s="12"/>
      <c r="ETK57" s="12"/>
      <c r="ETL57" s="12"/>
      <c r="ETM57" s="12"/>
      <c r="ETN57" s="12"/>
      <c r="ETO57" s="12"/>
      <c r="ETP57" s="12"/>
      <c r="ETQ57" s="12"/>
      <c r="ETR57" s="12"/>
      <c r="ETS57" s="12"/>
      <c r="ETT57" s="12"/>
      <c r="ETU57" s="12"/>
      <c r="ETV57" s="12"/>
      <c r="ETW57" s="12"/>
      <c r="ETX57" s="12"/>
      <c r="ETY57" s="12"/>
      <c r="ETZ57" s="12"/>
      <c r="EUA57" s="12"/>
      <c r="EUB57" s="12"/>
      <c r="EUC57" s="12"/>
      <c r="EUD57" s="12"/>
      <c r="EUE57" s="12"/>
      <c r="EUF57" s="12"/>
      <c r="EUG57" s="12"/>
      <c r="EUH57" s="12"/>
      <c r="EUI57" s="12"/>
      <c r="EUJ57" s="12"/>
      <c r="EUK57" s="12"/>
      <c r="EUL57" s="12"/>
      <c r="EUM57" s="12"/>
      <c r="EUN57" s="12"/>
      <c r="EUO57" s="12"/>
      <c r="EUP57" s="12"/>
      <c r="EUQ57" s="12"/>
      <c r="EUR57" s="12"/>
      <c r="EUS57" s="12"/>
      <c r="EUT57" s="12"/>
      <c r="EUU57" s="12"/>
      <c r="EUV57" s="12"/>
      <c r="EUW57" s="12"/>
      <c r="EUX57" s="12"/>
      <c r="EUY57" s="12"/>
      <c r="EUZ57" s="12"/>
      <c r="EVA57" s="12"/>
      <c r="EVB57" s="12"/>
      <c r="EVC57" s="12"/>
      <c r="EVD57" s="12"/>
      <c r="EVE57" s="12"/>
      <c r="EVF57" s="12"/>
      <c r="EVG57" s="12"/>
      <c r="EVH57" s="12"/>
      <c r="EVI57" s="12"/>
      <c r="EVJ57" s="12"/>
      <c r="EVK57" s="12"/>
      <c r="EVL57" s="12"/>
      <c r="EVM57" s="12"/>
      <c r="EVN57" s="12"/>
      <c r="EVO57" s="12"/>
      <c r="EVP57" s="12"/>
      <c r="EVQ57" s="12"/>
      <c r="EVR57" s="12"/>
      <c r="EVS57" s="12"/>
      <c r="EVT57" s="12"/>
      <c r="EVU57" s="12"/>
      <c r="EVV57" s="12"/>
      <c r="EVW57" s="12"/>
      <c r="EVX57" s="12"/>
      <c r="EVY57" s="12"/>
      <c r="EVZ57" s="12"/>
      <c r="EWA57" s="12"/>
      <c r="EWB57" s="12"/>
      <c r="EWC57" s="12"/>
      <c r="EWD57" s="12"/>
      <c r="EWE57" s="12"/>
      <c r="EWF57" s="12"/>
      <c r="EWG57" s="12"/>
      <c r="EWH57" s="12"/>
      <c r="EWI57" s="12"/>
      <c r="EWJ57" s="12"/>
      <c r="EWK57" s="12"/>
      <c r="EWL57" s="12"/>
      <c r="EWM57" s="12"/>
      <c r="EWN57" s="12"/>
      <c r="EWO57" s="12"/>
      <c r="EWP57" s="12"/>
      <c r="EWQ57" s="12"/>
      <c r="EWR57" s="12"/>
      <c r="EWS57" s="12"/>
      <c r="EWT57" s="12"/>
      <c r="EWU57" s="12"/>
      <c r="EWV57" s="12"/>
      <c r="EWW57" s="12"/>
      <c r="EWX57" s="12"/>
      <c r="EWY57" s="12"/>
      <c r="EWZ57" s="12"/>
      <c r="EXA57" s="12"/>
      <c r="EXB57" s="12"/>
      <c r="EXC57" s="12"/>
      <c r="EXD57" s="12"/>
      <c r="EXE57" s="12"/>
      <c r="EXF57" s="12"/>
      <c r="EXG57" s="12"/>
      <c r="EXH57" s="12"/>
      <c r="EXI57" s="12"/>
      <c r="EXJ57" s="12"/>
      <c r="EXK57" s="12"/>
      <c r="EXL57" s="12"/>
      <c r="EXM57" s="12"/>
      <c r="EXN57" s="12"/>
      <c r="EXO57" s="12"/>
      <c r="EXP57" s="12"/>
      <c r="EXQ57" s="12"/>
      <c r="EXR57" s="12"/>
      <c r="EXS57" s="12"/>
      <c r="EXT57" s="12"/>
      <c r="EXU57" s="12"/>
      <c r="EXV57" s="12"/>
      <c r="EXW57" s="12"/>
      <c r="EXX57" s="12"/>
      <c r="EXY57" s="12"/>
      <c r="EXZ57" s="12"/>
      <c r="EYA57" s="12"/>
      <c r="EYB57" s="12"/>
      <c r="EYC57" s="12"/>
      <c r="EYD57" s="12"/>
      <c r="EYE57" s="12"/>
      <c r="EYF57" s="12"/>
      <c r="EYG57" s="12"/>
      <c r="EYH57" s="12"/>
      <c r="EYI57" s="12"/>
      <c r="EYJ57" s="12"/>
      <c r="EYK57" s="12"/>
      <c r="EYL57" s="12"/>
      <c r="EYM57" s="12"/>
      <c r="EYN57" s="12"/>
      <c r="EYO57" s="12"/>
      <c r="EYP57" s="12"/>
      <c r="EYQ57" s="12"/>
      <c r="EYR57" s="12"/>
      <c r="EYS57" s="12"/>
      <c r="EYT57" s="12"/>
      <c r="EYU57" s="12"/>
      <c r="EYV57" s="12"/>
      <c r="EYW57" s="12"/>
      <c r="EYX57" s="12"/>
      <c r="EYY57" s="12"/>
      <c r="EYZ57" s="12"/>
      <c r="EZA57" s="12"/>
      <c r="EZB57" s="12"/>
      <c r="EZC57" s="12"/>
      <c r="EZD57" s="12"/>
      <c r="EZE57" s="12"/>
      <c r="EZF57" s="12"/>
      <c r="EZG57" s="12"/>
      <c r="EZH57" s="12"/>
      <c r="EZI57" s="12"/>
      <c r="EZJ57" s="12"/>
      <c r="EZK57" s="12"/>
      <c r="EZL57" s="12"/>
      <c r="EZM57" s="12"/>
      <c r="EZN57" s="12"/>
      <c r="EZO57" s="12"/>
      <c r="EZP57" s="12"/>
      <c r="EZQ57" s="12"/>
      <c r="EZR57" s="12"/>
      <c r="EZS57" s="12"/>
      <c r="EZT57" s="12"/>
      <c r="EZU57" s="12"/>
      <c r="EZV57" s="12"/>
      <c r="EZW57" s="12"/>
      <c r="EZX57" s="12"/>
      <c r="EZY57" s="12"/>
      <c r="EZZ57" s="12"/>
      <c r="FAA57" s="12"/>
      <c r="FAB57" s="12"/>
      <c r="FAC57" s="12"/>
      <c r="FAD57" s="12"/>
      <c r="FAE57" s="12"/>
      <c r="FAF57" s="12"/>
      <c r="FAG57" s="12"/>
      <c r="FAH57" s="12"/>
      <c r="FAI57" s="12"/>
      <c r="FAJ57" s="12"/>
      <c r="FAK57" s="12"/>
      <c r="FAL57" s="12"/>
      <c r="FAM57" s="12"/>
      <c r="FAN57" s="12"/>
      <c r="FAO57" s="12"/>
      <c r="FAP57" s="12"/>
      <c r="FAQ57" s="12"/>
      <c r="FAR57" s="12"/>
      <c r="FAS57" s="12"/>
      <c r="FAT57" s="12"/>
      <c r="FAU57" s="12"/>
      <c r="FAV57" s="12"/>
      <c r="FAW57" s="12"/>
      <c r="FAX57" s="12"/>
      <c r="FAY57" s="12"/>
      <c r="FAZ57" s="12"/>
      <c r="FBA57" s="12"/>
      <c r="FBB57" s="12"/>
      <c r="FBC57" s="12"/>
      <c r="FBD57" s="12"/>
      <c r="FBE57" s="12"/>
      <c r="FBF57" s="12"/>
      <c r="FBG57" s="12"/>
      <c r="FBH57" s="12"/>
      <c r="FBI57" s="12"/>
      <c r="FBJ57" s="12"/>
      <c r="FBK57" s="12"/>
      <c r="FBL57" s="12"/>
      <c r="FBM57" s="12"/>
      <c r="FBN57" s="12"/>
      <c r="FBO57" s="12"/>
      <c r="FBP57" s="12"/>
      <c r="FBQ57" s="12"/>
      <c r="FBR57" s="12"/>
      <c r="FBS57" s="12"/>
      <c r="FBT57" s="12"/>
      <c r="FBU57" s="12"/>
      <c r="FBV57" s="12"/>
      <c r="FBW57" s="12"/>
      <c r="FBX57" s="12"/>
      <c r="FBY57" s="12"/>
      <c r="FBZ57" s="12"/>
      <c r="FCA57" s="12"/>
      <c r="FCB57" s="12"/>
      <c r="FCC57" s="12"/>
      <c r="FCD57" s="12"/>
      <c r="FCE57" s="12"/>
      <c r="FCF57" s="12"/>
      <c r="FCG57" s="12"/>
      <c r="FCH57" s="12"/>
      <c r="FCI57" s="12"/>
      <c r="FCJ57" s="12"/>
      <c r="FCK57" s="12"/>
      <c r="FCL57" s="12"/>
      <c r="FCM57" s="12"/>
      <c r="FCN57" s="12"/>
      <c r="FCO57" s="12"/>
      <c r="FCP57" s="12"/>
      <c r="FCQ57" s="12"/>
      <c r="FCR57" s="12"/>
      <c r="FCS57" s="12"/>
      <c r="FCT57" s="12"/>
      <c r="FCU57" s="12"/>
      <c r="FCV57" s="12"/>
      <c r="FCW57" s="12"/>
      <c r="FCX57" s="12"/>
      <c r="FCY57" s="12"/>
      <c r="FCZ57" s="12"/>
      <c r="FDA57" s="12"/>
      <c r="FDB57" s="12"/>
      <c r="FDC57" s="12"/>
      <c r="FDD57" s="12"/>
      <c r="FDE57" s="12"/>
      <c r="FDF57" s="12"/>
      <c r="FDG57" s="12"/>
      <c r="FDH57" s="12"/>
      <c r="FDI57" s="12"/>
      <c r="FDJ57" s="12"/>
      <c r="FDK57" s="12"/>
      <c r="FDL57" s="12"/>
      <c r="FDM57" s="12"/>
      <c r="FDN57" s="12"/>
      <c r="FDO57" s="12"/>
      <c r="FDP57" s="12"/>
      <c r="FDQ57" s="12"/>
      <c r="FDR57" s="12"/>
      <c r="FDS57" s="12"/>
      <c r="FDT57" s="12"/>
      <c r="FDU57" s="12"/>
      <c r="FDV57" s="12"/>
      <c r="FDW57" s="12"/>
      <c r="FDX57" s="12"/>
      <c r="FDY57" s="12"/>
      <c r="FDZ57" s="12"/>
      <c r="FEA57" s="12"/>
      <c r="FEB57" s="12"/>
      <c r="FEC57" s="12"/>
      <c r="FED57" s="12"/>
      <c r="FEE57" s="12"/>
      <c r="FEF57" s="12"/>
      <c r="FEG57" s="12"/>
      <c r="FEH57" s="12"/>
      <c r="FEI57" s="12"/>
      <c r="FEJ57" s="12"/>
      <c r="FEK57" s="12"/>
      <c r="FEL57" s="12"/>
      <c r="FEM57" s="12"/>
      <c r="FEN57" s="12"/>
      <c r="FEO57" s="12"/>
      <c r="FEP57" s="12"/>
      <c r="FEQ57" s="12"/>
      <c r="FER57" s="12"/>
      <c r="FES57" s="12"/>
      <c r="FET57" s="12"/>
      <c r="FEU57" s="12"/>
      <c r="FEV57" s="12"/>
      <c r="FEW57" s="12"/>
      <c r="FEX57" s="12"/>
      <c r="FEY57" s="12"/>
      <c r="FEZ57" s="12"/>
      <c r="FFA57" s="12"/>
      <c r="FFB57" s="12"/>
      <c r="FFC57" s="12"/>
      <c r="FFD57" s="12"/>
      <c r="FFE57" s="12"/>
      <c r="FFF57" s="12"/>
      <c r="FFG57" s="12"/>
      <c r="FFH57" s="12"/>
      <c r="FFI57" s="12"/>
      <c r="FFJ57" s="12"/>
      <c r="FFK57" s="12"/>
      <c r="FFL57" s="12"/>
      <c r="FFM57" s="12"/>
      <c r="FFN57" s="12"/>
      <c r="FFO57" s="12"/>
      <c r="FFP57" s="12"/>
      <c r="FFQ57" s="12"/>
      <c r="FFR57" s="12"/>
      <c r="FFS57" s="12"/>
      <c r="FFT57" s="12"/>
      <c r="FFU57" s="12"/>
      <c r="FFV57" s="12"/>
      <c r="FFW57" s="12"/>
      <c r="FFX57" s="12"/>
      <c r="FFY57" s="12"/>
      <c r="FFZ57" s="12"/>
      <c r="FGA57" s="12"/>
      <c r="FGB57" s="12"/>
      <c r="FGC57" s="12"/>
      <c r="FGD57" s="12"/>
      <c r="FGE57" s="12"/>
      <c r="FGF57" s="12"/>
      <c r="FGG57" s="12"/>
      <c r="FGH57" s="12"/>
      <c r="FGI57" s="12"/>
      <c r="FGJ57" s="12"/>
      <c r="FGK57" s="12"/>
      <c r="FGL57" s="12"/>
      <c r="FGM57" s="12"/>
      <c r="FGN57" s="12"/>
      <c r="FGO57" s="12"/>
      <c r="FGP57" s="12"/>
      <c r="FGQ57" s="12"/>
      <c r="FGR57" s="12"/>
      <c r="FGS57" s="12"/>
      <c r="FGT57" s="12"/>
      <c r="FGU57" s="12"/>
      <c r="FGV57" s="12"/>
      <c r="FGW57" s="12"/>
      <c r="FGX57" s="12"/>
      <c r="FGY57" s="12"/>
      <c r="FGZ57" s="12"/>
      <c r="FHA57" s="12"/>
      <c r="FHB57" s="12"/>
      <c r="FHC57" s="12"/>
      <c r="FHD57" s="12"/>
      <c r="FHE57" s="12"/>
      <c r="FHF57" s="12"/>
      <c r="FHG57" s="12"/>
      <c r="FHH57" s="12"/>
      <c r="FHI57" s="12"/>
      <c r="FHJ57" s="12"/>
      <c r="FHK57" s="12"/>
      <c r="FHL57" s="12"/>
      <c r="FHM57" s="12"/>
      <c r="FHN57" s="12"/>
      <c r="FHO57" s="12"/>
      <c r="FHP57" s="12"/>
      <c r="FHQ57" s="12"/>
      <c r="FHR57" s="12"/>
      <c r="FHS57" s="12"/>
      <c r="FHT57" s="12"/>
      <c r="FHU57" s="12"/>
      <c r="FHV57" s="12"/>
      <c r="FHW57" s="12"/>
      <c r="FHX57" s="12"/>
      <c r="FHY57" s="12"/>
      <c r="FHZ57" s="12"/>
      <c r="FIA57" s="12"/>
      <c r="FIB57" s="12"/>
      <c r="FIC57" s="12"/>
      <c r="FID57" s="12"/>
      <c r="FIE57" s="12"/>
      <c r="FIF57" s="12"/>
      <c r="FIG57" s="12"/>
      <c r="FIH57" s="12"/>
      <c r="FII57" s="12"/>
      <c r="FIJ57" s="12"/>
      <c r="FIK57" s="12"/>
      <c r="FIL57" s="12"/>
      <c r="FIM57" s="12"/>
      <c r="FIN57" s="12"/>
      <c r="FIO57" s="12"/>
      <c r="FIP57" s="12"/>
      <c r="FIQ57" s="12"/>
      <c r="FIR57" s="12"/>
      <c r="FIS57" s="12"/>
      <c r="FIT57" s="12"/>
      <c r="FIU57" s="12"/>
      <c r="FIV57" s="12"/>
      <c r="FIW57" s="12"/>
      <c r="FIX57" s="12"/>
      <c r="FIY57" s="12"/>
      <c r="FIZ57" s="12"/>
      <c r="FJA57" s="12"/>
      <c r="FJB57" s="12"/>
      <c r="FJC57" s="12"/>
      <c r="FJD57" s="12"/>
      <c r="FJE57" s="12"/>
      <c r="FJF57" s="12"/>
      <c r="FJG57" s="12"/>
      <c r="FJH57" s="12"/>
      <c r="FJI57" s="12"/>
      <c r="FJJ57" s="12"/>
      <c r="FJK57" s="12"/>
      <c r="FJL57" s="12"/>
      <c r="FJM57" s="12"/>
      <c r="FJN57" s="12"/>
      <c r="FJO57" s="12"/>
      <c r="FJP57" s="12"/>
      <c r="FJQ57" s="12"/>
      <c r="FJR57" s="12"/>
      <c r="FJS57" s="12"/>
      <c r="FJT57" s="12"/>
      <c r="FJU57" s="12"/>
      <c r="FJV57" s="12"/>
      <c r="FJW57" s="12"/>
      <c r="FJX57" s="12"/>
      <c r="FJY57" s="12"/>
      <c r="FJZ57" s="12"/>
      <c r="FKA57" s="12"/>
      <c r="FKB57" s="12"/>
      <c r="FKC57" s="12"/>
      <c r="FKD57" s="12"/>
      <c r="FKE57" s="12"/>
      <c r="FKF57" s="12"/>
      <c r="FKG57" s="12"/>
      <c r="FKH57" s="12"/>
      <c r="FKI57" s="12"/>
      <c r="FKJ57" s="12"/>
      <c r="FKK57" s="12"/>
      <c r="FKL57" s="12"/>
      <c r="FKM57" s="12"/>
      <c r="FKN57" s="12"/>
      <c r="FKO57" s="12"/>
      <c r="FKP57" s="12"/>
      <c r="FKQ57" s="12"/>
      <c r="FKR57" s="12"/>
      <c r="FKS57" s="12"/>
      <c r="FKT57" s="12"/>
      <c r="FKU57" s="12"/>
      <c r="FKV57" s="12"/>
      <c r="FKW57" s="12"/>
      <c r="FKX57" s="12"/>
      <c r="FKY57" s="12"/>
      <c r="FKZ57" s="12"/>
      <c r="FLA57" s="12"/>
      <c r="FLB57" s="12"/>
      <c r="FLC57" s="12"/>
      <c r="FLD57" s="12"/>
      <c r="FLE57" s="12"/>
      <c r="FLF57" s="12"/>
      <c r="FLG57" s="12"/>
      <c r="FLH57" s="12"/>
      <c r="FLI57" s="12"/>
      <c r="FLJ57" s="12"/>
      <c r="FLK57" s="12"/>
      <c r="FLL57" s="12"/>
      <c r="FLM57" s="12"/>
      <c r="FLN57" s="12"/>
      <c r="FLO57" s="12"/>
      <c r="FLP57" s="12"/>
      <c r="FLQ57" s="12"/>
      <c r="FLR57" s="12"/>
      <c r="FLS57" s="12"/>
      <c r="FLT57" s="12"/>
      <c r="FLU57" s="12"/>
      <c r="FLV57" s="12"/>
      <c r="FLW57" s="12"/>
      <c r="FLX57" s="12"/>
      <c r="FLY57" s="12"/>
      <c r="FLZ57" s="12"/>
      <c r="FMA57" s="12"/>
      <c r="FMB57" s="12"/>
      <c r="FMC57" s="12"/>
      <c r="FMD57" s="12"/>
      <c r="FME57" s="12"/>
      <c r="FMF57" s="12"/>
      <c r="FMG57" s="12"/>
      <c r="FMH57" s="12"/>
      <c r="FMI57" s="12"/>
      <c r="FMJ57" s="12"/>
      <c r="FMK57" s="12"/>
      <c r="FML57" s="12"/>
      <c r="FMM57" s="12"/>
      <c r="FMN57" s="12"/>
      <c r="FMO57" s="12"/>
      <c r="FMP57" s="12"/>
      <c r="FMQ57" s="12"/>
      <c r="FMR57" s="12"/>
      <c r="FMS57" s="12"/>
      <c r="FMT57" s="12"/>
      <c r="FMU57" s="12"/>
      <c r="FMV57" s="12"/>
      <c r="FMW57" s="12"/>
      <c r="FMX57" s="12"/>
      <c r="FMY57" s="12"/>
      <c r="FMZ57" s="12"/>
      <c r="FNA57" s="12"/>
      <c r="FNB57" s="12"/>
      <c r="FNC57" s="12"/>
      <c r="FND57" s="12"/>
      <c r="FNE57" s="12"/>
      <c r="FNF57" s="12"/>
      <c r="FNG57" s="12"/>
      <c r="FNH57" s="12"/>
      <c r="FNI57" s="12"/>
      <c r="FNJ57" s="12"/>
      <c r="FNK57" s="12"/>
      <c r="FNL57" s="12"/>
      <c r="FNM57" s="12"/>
      <c r="FNN57" s="12"/>
      <c r="FNO57" s="12"/>
      <c r="FNP57" s="12"/>
      <c r="FNQ57" s="12"/>
      <c r="FNR57" s="12"/>
      <c r="FNS57" s="12"/>
      <c r="FNT57" s="12"/>
      <c r="FNU57" s="12"/>
      <c r="FNV57" s="12"/>
      <c r="FNW57" s="12"/>
      <c r="FNX57" s="12"/>
      <c r="FNY57" s="12"/>
      <c r="FNZ57" s="12"/>
      <c r="FOA57" s="12"/>
      <c r="FOB57" s="12"/>
      <c r="FOC57" s="12"/>
      <c r="FOD57" s="12"/>
      <c r="FOE57" s="12"/>
      <c r="FOF57" s="12"/>
      <c r="FOG57" s="12"/>
      <c r="FOH57" s="12"/>
      <c r="FOI57" s="12"/>
      <c r="FOJ57" s="12"/>
      <c r="FOK57" s="12"/>
      <c r="FOL57" s="12"/>
      <c r="FOM57" s="12"/>
      <c r="FON57" s="12"/>
      <c r="FOO57" s="12"/>
      <c r="FOP57" s="12"/>
      <c r="FOQ57" s="12"/>
      <c r="FOR57" s="12"/>
      <c r="FOS57" s="12"/>
      <c r="FOT57" s="12"/>
      <c r="FOU57" s="12"/>
      <c r="FOV57" s="12"/>
      <c r="FOW57" s="12"/>
      <c r="FOX57" s="12"/>
      <c r="FOY57" s="12"/>
      <c r="FOZ57" s="12"/>
      <c r="FPA57" s="12"/>
      <c r="FPB57" s="12"/>
      <c r="FPC57" s="12"/>
      <c r="FPD57" s="12"/>
      <c r="FPE57" s="12"/>
      <c r="FPF57" s="12"/>
      <c r="FPG57" s="12"/>
      <c r="FPH57" s="12"/>
      <c r="FPI57" s="12"/>
      <c r="FPJ57" s="12"/>
      <c r="FPK57" s="12"/>
      <c r="FPL57" s="12"/>
      <c r="FPM57" s="12"/>
      <c r="FPN57" s="12"/>
      <c r="FPO57" s="12"/>
      <c r="FPP57" s="12"/>
      <c r="FPQ57" s="12"/>
      <c r="FPR57" s="12"/>
      <c r="FPS57" s="12"/>
      <c r="FPT57" s="12"/>
      <c r="FPU57" s="12"/>
      <c r="FPV57" s="12"/>
      <c r="FPW57" s="12"/>
      <c r="FPX57" s="12"/>
      <c r="FPY57" s="12"/>
      <c r="FPZ57" s="12"/>
      <c r="FQA57" s="12"/>
      <c r="FQB57" s="12"/>
      <c r="FQC57" s="12"/>
      <c r="FQD57" s="12"/>
      <c r="FQE57" s="12"/>
      <c r="FQF57" s="12"/>
      <c r="FQG57" s="12"/>
      <c r="FQH57" s="12"/>
      <c r="FQI57" s="12"/>
      <c r="FQJ57" s="12"/>
      <c r="FQK57" s="12"/>
      <c r="FQL57" s="12"/>
      <c r="FQM57" s="12"/>
      <c r="FQN57" s="12"/>
      <c r="FQO57" s="12"/>
      <c r="FQP57" s="12"/>
      <c r="FQQ57" s="12"/>
      <c r="FQR57" s="12"/>
      <c r="FQS57" s="12"/>
      <c r="FQT57" s="12"/>
      <c r="FQU57" s="12"/>
      <c r="FQV57" s="12"/>
      <c r="FQW57" s="12"/>
      <c r="FQX57" s="12"/>
      <c r="FQY57" s="12"/>
      <c r="FQZ57" s="12"/>
      <c r="FRA57" s="12"/>
      <c r="FRB57" s="12"/>
      <c r="FRC57" s="12"/>
      <c r="FRD57" s="12"/>
      <c r="FRE57" s="12"/>
      <c r="FRF57" s="12"/>
      <c r="FRG57" s="12"/>
      <c r="FRH57" s="12"/>
      <c r="FRI57" s="12"/>
      <c r="FRJ57" s="12"/>
      <c r="FRK57" s="12"/>
      <c r="FRL57" s="12"/>
      <c r="FRM57" s="12"/>
      <c r="FRN57" s="12"/>
      <c r="FRO57" s="12"/>
      <c r="FRP57" s="12"/>
      <c r="FRQ57" s="12"/>
      <c r="FRR57" s="12"/>
      <c r="FRS57" s="12"/>
      <c r="FRT57" s="12"/>
      <c r="FRU57" s="12"/>
      <c r="FRV57" s="12"/>
      <c r="FRW57" s="12"/>
      <c r="FRX57" s="12"/>
      <c r="FRY57" s="12"/>
      <c r="FRZ57" s="12"/>
      <c r="FSA57" s="12"/>
      <c r="FSB57" s="12"/>
      <c r="FSC57" s="12"/>
      <c r="FSD57" s="12"/>
      <c r="FSE57" s="12"/>
      <c r="FSF57" s="12"/>
      <c r="FSG57" s="12"/>
      <c r="FSH57" s="12"/>
      <c r="FSI57" s="12"/>
      <c r="FSJ57" s="12"/>
      <c r="FSK57" s="12"/>
      <c r="FSL57" s="12"/>
      <c r="FSM57" s="12"/>
      <c r="FSN57" s="12"/>
      <c r="FSO57" s="12"/>
      <c r="FSP57" s="12"/>
      <c r="FSQ57" s="12"/>
      <c r="FSR57" s="12"/>
      <c r="FSS57" s="12"/>
      <c r="FST57" s="12"/>
      <c r="FSU57" s="12"/>
      <c r="FSV57" s="12"/>
      <c r="FSW57" s="12"/>
      <c r="FSX57" s="12"/>
      <c r="FSY57" s="12"/>
      <c r="FSZ57" s="12"/>
      <c r="FTA57" s="12"/>
      <c r="FTB57" s="12"/>
      <c r="FTC57" s="12"/>
      <c r="FTD57" s="12"/>
      <c r="FTE57" s="12"/>
      <c r="FTF57" s="12"/>
      <c r="FTG57" s="12"/>
      <c r="FTH57" s="12"/>
      <c r="FTI57" s="12"/>
      <c r="FTJ57" s="12"/>
      <c r="FTK57" s="12"/>
      <c r="FTL57" s="12"/>
      <c r="FTM57" s="12"/>
      <c r="FTN57" s="12"/>
      <c r="FTO57" s="12"/>
      <c r="FTP57" s="12"/>
      <c r="FTQ57" s="12"/>
      <c r="FTR57" s="12"/>
      <c r="FTS57" s="12"/>
      <c r="FTT57" s="12"/>
      <c r="FTU57" s="12"/>
      <c r="FTV57" s="12"/>
      <c r="FTW57" s="12"/>
      <c r="FTX57" s="12"/>
      <c r="FTY57" s="12"/>
      <c r="FTZ57" s="12"/>
      <c r="FUA57" s="12"/>
      <c r="FUB57" s="12"/>
      <c r="FUC57" s="12"/>
      <c r="FUD57" s="12"/>
      <c r="FUE57" s="12"/>
      <c r="FUF57" s="12"/>
      <c r="FUG57" s="12"/>
      <c r="FUH57" s="12"/>
      <c r="FUI57" s="12"/>
      <c r="FUJ57" s="12"/>
      <c r="FUK57" s="12"/>
      <c r="FUL57" s="12"/>
      <c r="FUM57" s="12"/>
      <c r="FUN57" s="12"/>
      <c r="FUO57" s="12"/>
      <c r="FUP57" s="12"/>
      <c r="FUQ57" s="12"/>
      <c r="FUR57" s="12"/>
      <c r="FUS57" s="12"/>
      <c r="FUT57" s="12"/>
      <c r="FUU57" s="12"/>
      <c r="FUV57" s="12"/>
      <c r="FUW57" s="12"/>
      <c r="FUX57" s="12"/>
      <c r="FUY57" s="12"/>
      <c r="FUZ57" s="12"/>
      <c r="FVA57" s="12"/>
      <c r="FVB57" s="12"/>
      <c r="FVC57" s="12"/>
      <c r="FVD57" s="12"/>
      <c r="FVE57" s="12"/>
      <c r="FVF57" s="12"/>
      <c r="FVG57" s="12"/>
      <c r="FVH57" s="12"/>
      <c r="FVI57" s="12"/>
      <c r="FVJ57" s="12"/>
      <c r="FVK57" s="12"/>
      <c r="FVL57" s="12"/>
      <c r="FVM57" s="12"/>
      <c r="FVN57" s="12"/>
      <c r="FVO57" s="12"/>
      <c r="FVP57" s="12"/>
      <c r="FVQ57" s="12"/>
      <c r="FVR57" s="12"/>
      <c r="FVS57" s="12"/>
      <c r="FVT57" s="12"/>
      <c r="FVU57" s="12"/>
      <c r="FVV57" s="12"/>
      <c r="FVW57" s="12"/>
      <c r="FVX57" s="12"/>
      <c r="FVY57" s="12"/>
      <c r="FVZ57" s="12"/>
      <c r="FWA57" s="12"/>
      <c r="FWB57" s="12"/>
      <c r="FWC57" s="12"/>
      <c r="FWD57" s="12"/>
      <c r="FWE57" s="12"/>
      <c r="FWF57" s="12"/>
      <c r="FWG57" s="12"/>
      <c r="FWH57" s="12"/>
      <c r="FWI57" s="12"/>
      <c r="FWJ57" s="12"/>
      <c r="FWK57" s="12"/>
      <c r="FWL57" s="12"/>
      <c r="FWM57" s="12"/>
      <c r="FWN57" s="12"/>
      <c r="FWO57" s="12"/>
      <c r="FWP57" s="12"/>
      <c r="FWQ57" s="12"/>
      <c r="FWR57" s="12"/>
      <c r="FWS57" s="12"/>
      <c r="FWT57" s="12"/>
      <c r="FWU57" s="12"/>
      <c r="FWV57" s="12"/>
      <c r="FWW57" s="12"/>
      <c r="FWX57" s="12"/>
      <c r="FWY57" s="12"/>
      <c r="FWZ57" s="12"/>
      <c r="FXA57" s="12"/>
      <c r="FXB57" s="12"/>
      <c r="FXC57" s="12"/>
      <c r="FXD57" s="12"/>
      <c r="FXE57" s="12"/>
      <c r="FXF57" s="12"/>
      <c r="FXG57" s="12"/>
      <c r="FXH57" s="12"/>
      <c r="FXI57" s="12"/>
      <c r="FXJ57" s="12"/>
      <c r="FXK57" s="12"/>
      <c r="FXL57" s="12"/>
      <c r="FXM57" s="12"/>
      <c r="FXN57" s="12"/>
      <c r="FXO57" s="12"/>
      <c r="FXP57" s="12"/>
      <c r="FXQ57" s="12"/>
      <c r="FXR57" s="12"/>
      <c r="FXS57" s="12"/>
      <c r="FXT57" s="12"/>
      <c r="FXU57" s="12"/>
      <c r="FXV57" s="12"/>
      <c r="FXW57" s="12"/>
      <c r="FXX57" s="12"/>
      <c r="FXY57" s="12"/>
      <c r="FXZ57" s="12"/>
      <c r="FYA57" s="12"/>
      <c r="FYB57" s="12"/>
      <c r="FYC57" s="12"/>
      <c r="FYD57" s="12"/>
      <c r="FYE57" s="12"/>
      <c r="FYF57" s="12"/>
      <c r="FYG57" s="12"/>
      <c r="FYH57" s="12"/>
      <c r="FYI57" s="12"/>
      <c r="FYJ57" s="12"/>
      <c r="FYK57" s="12"/>
      <c r="FYL57" s="12"/>
      <c r="FYM57" s="12"/>
      <c r="FYN57" s="12"/>
      <c r="FYO57" s="12"/>
      <c r="FYP57" s="12"/>
      <c r="FYQ57" s="12"/>
      <c r="FYR57" s="12"/>
      <c r="FYS57" s="12"/>
      <c r="FYT57" s="12"/>
      <c r="FYU57" s="12"/>
      <c r="FYV57" s="12"/>
      <c r="FYW57" s="12"/>
      <c r="FYX57" s="12"/>
      <c r="FYY57" s="12"/>
      <c r="FYZ57" s="12"/>
      <c r="FZA57" s="12"/>
      <c r="FZB57" s="12"/>
      <c r="FZC57" s="12"/>
      <c r="FZD57" s="12"/>
      <c r="FZE57" s="12"/>
      <c r="FZF57" s="12"/>
      <c r="FZG57" s="12"/>
      <c r="FZH57" s="12"/>
      <c r="FZI57" s="12"/>
      <c r="FZJ57" s="12"/>
      <c r="FZK57" s="12"/>
      <c r="FZL57" s="12"/>
      <c r="FZM57" s="12"/>
      <c r="FZN57" s="12"/>
      <c r="FZO57" s="12"/>
      <c r="FZP57" s="12"/>
      <c r="FZQ57" s="12"/>
      <c r="FZR57" s="12"/>
      <c r="FZS57" s="12"/>
      <c r="FZT57" s="12"/>
      <c r="FZU57" s="12"/>
      <c r="FZV57" s="12"/>
      <c r="FZW57" s="12"/>
      <c r="FZX57" s="12"/>
      <c r="FZY57" s="12"/>
      <c r="FZZ57" s="12"/>
      <c r="GAA57" s="12"/>
      <c r="GAB57" s="12"/>
      <c r="GAC57" s="12"/>
      <c r="GAD57" s="12"/>
      <c r="GAE57" s="12"/>
      <c r="GAF57" s="12"/>
      <c r="GAG57" s="12"/>
      <c r="GAH57" s="12"/>
      <c r="GAI57" s="12"/>
      <c r="GAJ57" s="12"/>
      <c r="GAK57" s="12"/>
      <c r="GAL57" s="12"/>
      <c r="GAM57" s="12"/>
      <c r="GAN57" s="12"/>
      <c r="GAO57" s="12"/>
      <c r="GAP57" s="12"/>
      <c r="GAQ57" s="12"/>
      <c r="GAR57" s="12"/>
      <c r="GAS57" s="12"/>
      <c r="GAT57" s="12"/>
      <c r="GAU57" s="12"/>
      <c r="GAV57" s="12"/>
      <c r="GAW57" s="12"/>
      <c r="GAX57" s="12"/>
      <c r="GAY57" s="12"/>
      <c r="GAZ57" s="12"/>
      <c r="GBA57" s="12"/>
      <c r="GBB57" s="12"/>
      <c r="GBC57" s="12"/>
      <c r="GBD57" s="12"/>
      <c r="GBE57" s="12"/>
      <c r="GBF57" s="12"/>
      <c r="GBG57" s="12"/>
      <c r="GBH57" s="12"/>
      <c r="GBI57" s="12"/>
      <c r="GBJ57" s="12"/>
      <c r="GBK57" s="12"/>
      <c r="GBL57" s="12"/>
      <c r="GBM57" s="12"/>
      <c r="GBN57" s="12"/>
      <c r="GBO57" s="12"/>
      <c r="GBP57" s="12"/>
      <c r="GBQ57" s="12"/>
      <c r="GBR57" s="12"/>
      <c r="GBS57" s="12"/>
      <c r="GBT57" s="12"/>
      <c r="GBU57" s="12"/>
      <c r="GBV57" s="12"/>
      <c r="GBW57" s="12"/>
      <c r="GBX57" s="12"/>
      <c r="GBY57" s="12"/>
      <c r="GBZ57" s="12"/>
      <c r="GCA57" s="12"/>
      <c r="GCB57" s="12"/>
      <c r="GCC57" s="12"/>
      <c r="GCD57" s="12"/>
      <c r="GCE57" s="12"/>
      <c r="GCF57" s="12"/>
      <c r="GCG57" s="12"/>
      <c r="GCH57" s="12"/>
      <c r="GCI57" s="12"/>
      <c r="GCJ57" s="12"/>
      <c r="GCK57" s="12"/>
      <c r="GCL57" s="12"/>
      <c r="GCM57" s="12"/>
      <c r="GCN57" s="12"/>
      <c r="GCO57" s="12"/>
      <c r="GCP57" s="12"/>
      <c r="GCQ57" s="12"/>
      <c r="GCR57" s="12"/>
      <c r="GCS57" s="12"/>
      <c r="GCT57" s="12"/>
      <c r="GCU57" s="12"/>
      <c r="GCV57" s="12"/>
      <c r="GCW57" s="12"/>
      <c r="GCX57" s="12"/>
      <c r="GCY57" s="12"/>
      <c r="GCZ57" s="12"/>
      <c r="GDA57" s="12"/>
      <c r="GDB57" s="12"/>
      <c r="GDC57" s="12"/>
      <c r="GDD57" s="12"/>
      <c r="GDE57" s="12"/>
      <c r="GDF57" s="12"/>
      <c r="GDG57" s="12"/>
      <c r="GDH57" s="12"/>
      <c r="GDI57" s="12"/>
      <c r="GDJ57" s="12"/>
      <c r="GDK57" s="12"/>
      <c r="GDL57" s="12"/>
      <c r="GDM57" s="12"/>
      <c r="GDN57" s="12"/>
      <c r="GDO57" s="12"/>
      <c r="GDP57" s="12"/>
      <c r="GDQ57" s="12"/>
      <c r="GDR57" s="12"/>
      <c r="GDS57" s="12"/>
      <c r="GDT57" s="12"/>
      <c r="GDU57" s="12"/>
      <c r="GDV57" s="12"/>
      <c r="GDW57" s="12"/>
      <c r="GDX57" s="12"/>
      <c r="GDY57" s="12"/>
      <c r="GDZ57" s="12"/>
      <c r="GEA57" s="12"/>
      <c r="GEB57" s="12"/>
      <c r="GEC57" s="12"/>
      <c r="GED57" s="12"/>
      <c r="GEE57" s="12"/>
      <c r="GEF57" s="12"/>
      <c r="GEG57" s="12"/>
      <c r="GEH57" s="12"/>
      <c r="GEI57" s="12"/>
      <c r="GEJ57" s="12"/>
      <c r="GEK57" s="12"/>
      <c r="GEL57" s="12"/>
      <c r="GEM57" s="12"/>
      <c r="GEN57" s="12"/>
      <c r="GEO57" s="12"/>
      <c r="GEP57" s="12"/>
      <c r="GEQ57" s="12"/>
      <c r="GER57" s="12"/>
      <c r="GES57" s="12"/>
      <c r="GET57" s="12"/>
      <c r="GEU57" s="12"/>
      <c r="GEV57" s="12"/>
      <c r="GEW57" s="12"/>
      <c r="GEX57" s="12"/>
      <c r="GEY57" s="12"/>
      <c r="GEZ57" s="12"/>
      <c r="GFA57" s="12"/>
      <c r="GFB57" s="12"/>
      <c r="GFC57" s="12"/>
      <c r="GFD57" s="12"/>
      <c r="GFE57" s="12"/>
      <c r="GFF57" s="12"/>
      <c r="GFG57" s="12"/>
      <c r="GFH57" s="12"/>
      <c r="GFI57" s="12"/>
      <c r="GFJ57" s="12"/>
      <c r="GFK57" s="12"/>
      <c r="GFL57" s="12"/>
      <c r="GFM57" s="12"/>
      <c r="GFN57" s="12"/>
      <c r="GFO57" s="12"/>
      <c r="GFP57" s="12"/>
      <c r="GFQ57" s="12"/>
      <c r="GFR57" s="12"/>
      <c r="GFS57" s="12"/>
      <c r="GFT57" s="12"/>
      <c r="GFU57" s="12"/>
      <c r="GFV57" s="12"/>
      <c r="GFW57" s="12"/>
      <c r="GFX57" s="12"/>
      <c r="GFY57" s="12"/>
      <c r="GFZ57" s="12"/>
      <c r="GGA57" s="12"/>
      <c r="GGB57" s="12"/>
      <c r="GGC57" s="12"/>
      <c r="GGD57" s="12"/>
      <c r="GGE57" s="12"/>
      <c r="GGF57" s="12"/>
      <c r="GGG57" s="12"/>
      <c r="GGH57" s="12"/>
      <c r="GGI57" s="12"/>
      <c r="GGJ57" s="12"/>
      <c r="GGK57" s="12"/>
      <c r="GGL57" s="12"/>
      <c r="GGM57" s="12"/>
      <c r="GGN57" s="12"/>
      <c r="GGO57" s="12"/>
      <c r="GGP57" s="12"/>
      <c r="GGQ57" s="12"/>
      <c r="GGR57" s="12"/>
      <c r="GGS57" s="12"/>
      <c r="GGT57" s="12"/>
      <c r="GGU57" s="12"/>
      <c r="GGV57" s="12"/>
      <c r="GGW57" s="12"/>
      <c r="GGX57" s="12"/>
      <c r="GGY57" s="12"/>
      <c r="GGZ57" s="12"/>
      <c r="GHA57" s="12"/>
      <c r="GHB57" s="12"/>
      <c r="GHC57" s="12"/>
      <c r="GHD57" s="12"/>
      <c r="GHE57" s="12"/>
      <c r="GHF57" s="12"/>
      <c r="GHG57" s="12"/>
      <c r="GHH57" s="12"/>
      <c r="GHI57" s="12"/>
      <c r="GHJ57" s="12"/>
      <c r="GHK57" s="12"/>
      <c r="GHL57" s="12"/>
      <c r="GHM57" s="12"/>
      <c r="GHN57" s="12"/>
      <c r="GHO57" s="12"/>
      <c r="GHP57" s="12"/>
      <c r="GHQ57" s="12"/>
      <c r="GHR57" s="12"/>
      <c r="GHS57" s="12"/>
      <c r="GHT57" s="12"/>
      <c r="GHU57" s="12"/>
      <c r="GHV57" s="12"/>
      <c r="GHW57" s="12"/>
      <c r="GHX57" s="12"/>
      <c r="GHY57" s="12"/>
      <c r="GHZ57" s="12"/>
      <c r="GIA57" s="12"/>
      <c r="GIB57" s="12"/>
      <c r="GIC57" s="12"/>
      <c r="GID57" s="12"/>
      <c r="GIE57" s="12"/>
      <c r="GIF57" s="12"/>
      <c r="GIG57" s="12"/>
      <c r="GIH57" s="12"/>
      <c r="GII57" s="12"/>
      <c r="GIJ57" s="12"/>
      <c r="GIK57" s="12"/>
      <c r="GIL57" s="12"/>
      <c r="GIM57" s="12"/>
      <c r="GIN57" s="12"/>
      <c r="GIO57" s="12"/>
      <c r="GIP57" s="12"/>
      <c r="GIQ57" s="12"/>
      <c r="GIR57" s="12"/>
      <c r="GIS57" s="12"/>
      <c r="GIT57" s="12"/>
      <c r="GIU57" s="12"/>
      <c r="GIV57" s="12"/>
      <c r="GIW57" s="12"/>
      <c r="GIX57" s="12"/>
      <c r="GIY57" s="12"/>
      <c r="GIZ57" s="12"/>
      <c r="GJA57" s="12"/>
      <c r="GJB57" s="12"/>
      <c r="GJC57" s="12"/>
      <c r="GJD57" s="12"/>
      <c r="GJE57" s="12"/>
      <c r="GJF57" s="12"/>
      <c r="GJG57" s="12"/>
      <c r="GJH57" s="12"/>
      <c r="GJI57" s="12"/>
      <c r="GJJ57" s="12"/>
      <c r="GJK57" s="12"/>
      <c r="GJL57" s="12"/>
      <c r="GJM57" s="12"/>
      <c r="GJN57" s="12"/>
      <c r="GJO57" s="12"/>
      <c r="GJP57" s="12"/>
      <c r="GJQ57" s="12"/>
      <c r="GJR57" s="12"/>
      <c r="GJS57" s="12"/>
      <c r="GJT57" s="12"/>
      <c r="GJU57" s="12"/>
      <c r="GJV57" s="12"/>
      <c r="GJW57" s="12"/>
      <c r="GJX57" s="12"/>
      <c r="GJY57" s="12"/>
      <c r="GJZ57" s="12"/>
      <c r="GKA57" s="12"/>
      <c r="GKB57" s="12"/>
      <c r="GKC57" s="12"/>
      <c r="GKD57" s="12"/>
      <c r="GKE57" s="12"/>
      <c r="GKF57" s="12"/>
      <c r="GKG57" s="12"/>
      <c r="GKH57" s="12"/>
      <c r="GKI57" s="12"/>
      <c r="GKJ57" s="12"/>
      <c r="GKK57" s="12"/>
      <c r="GKL57" s="12"/>
      <c r="GKM57" s="12"/>
      <c r="GKN57" s="12"/>
      <c r="GKO57" s="12"/>
      <c r="GKP57" s="12"/>
      <c r="GKQ57" s="12"/>
      <c r="GKR57" s="12"/>
      <c r="GKS57" s="12"/>
      <c r="GKT57" s="12"/>
      <c r="GKU57" s="12"/>
      <c r="GKV57" s="12"/>
      <c r="GKW57" s="12"/>
      <c r="GKX57" s="12"/>
      <c r="GKY57" s="12"/>
      <c r="GKZ57" s="12"/>
      <c r="GLA57" s="12"/>
      <c r="GLB57" s="12"/>
      <c r="GLC57" s="12"/>
      <c r="GLD57" s="12"/>
      <c r="GLE57" s="12"/>
      <c r="GLF57" s="12"/>
      <c r="GLG57" s="12"/>
      <c r="GLH57" s="12"/>
      <c r="GLI57" s="12"/>
      <c r="GLJ57" s="12"/>
      <c r="GLK57" s="12"/>
      <c r="GLL57" s="12"/>
      <c r="GLM57" s="12"/>
      <c r="GLN57" s="12"/>
      <c r="GLO57" s="12"/>
      <c r="GLP57" s="12"/>
      <c r="GLQ57" s="12"/>
      <c r="GLR57" s="12"/>
      <c r="GLS57" s="12"/>
      <c r="GLT57" s="12"/>
      <c r="GLU57" s="12"/>
      <c r="GLV57" s="12"/>
      <c r="GLW57" s="12"/>
      <c r="GLX57" s="12"/>
      <c r="GLY57" s="12"/>
      <c r="GLZ57" s="12"/>
      <c r="GMA57" s="12"/>
      <c r="GMB57" s="12"/>
      <c r="GMC57" s="12"/>
      <c r="GMD57" s="12"/>
      <c r="GME57" s="12"/>
      <c r="GMF57" s="12"/>
      <c r="GMG57" s="12"/>
      <c r="GMH57" s="12"/>
      <c r="GMI57" s="12"/>
      <c r="GMJ57" s="12"/>
      <c r="GMK57" s="12"/>
      <c r="GML57" s="12"/>
      <c r="GMM57" s="12"/>
      <c r="GMN57" s="12"/>
      <c r="GMO57" s="12"/>
      <c r="GMP57" s="12"/>
      <c r="GMQ57" s="12"/>
      <c r="GMR57" s="12"/>
      <c r="GMS57" s="12"/>
      <c r="GMT57" s="12"/>
      <c r="GMU57" s="12"/>
      <c r="GMV57" s="12"/>
      <c r="GMW57" s="12"/>
      <c r="GMX57" s="12"/>
      <c r="GMY57" s="12"/>
      <c r="GMZ57" s="12"/>
      <c r="GNA57" s="12"/>
      <c r="GNB57" s="12"/>
      <c r="GNC57" s="12"/>
      <c r="GND57" s="12"/>
      <c r="GNE57" s="12"/>
      <c r="GNF57" s="12"/>
      <c r="GNG57" s="12"/>
      <c r="GNH57" s="12"/>
      <c r="GNI57" s="12"/>
      <c r="GNJ57" s="12"/>
      <c r="GNK57" s="12"/>
      <c r="GNL57" s="12"/>
      <c r="GNM57" s="12"/>
      <c r="GNN57" s="12"/>
      <c r="GNO57" s="12"/>
      <c r="GNP57" s="12"/>
      <c r="GNQ57" s="12"/>
      <c r="GNR57" s="12"/>
      <c r="GNS57" s="12"/>
      <c r="GNT57" s="12"/>
      <c r="GNU57" s="12"/>
      <c r="GNV57" s="12"/>
      <c r="GNW57" s="12"/>
      <c r="GNX57" s="12"/>
      <c r="GNY57" s="12"/>
      <c r="GNZ57" s="12"/>
      <c r="GOA57" s="12"/>
      <c r="GOB57" s="12"/>
      <c r="GOC57" s="12"/>
      <c r="GOD57" s="12"/>
      <c r="GOE57" s="12"/>
      <c r="GOF57" s="12"/>
      <c r="GOG57" s="12"/>
      <c r="GOH57" s="12"/>
      <c r="GOI57" s="12"/>
      <c r="GOJ57" s="12"/>
      <c r="GOK57" s="12"/>
      <c r="GOL57" s="12"/>
      <c r="GOM57" s="12"/>
      <c r="GON57" s="12"/>
      <c r="GOO57" s="12"/>
      <c r="GOP57" s="12"/>
      <c r="GOQ57" s="12"/>
      <c r="GOR57" s="12"/>
      <c r="GOS57" s="12"/>
      <c r="GOT57" s="12"/>
      <c r="GOU57" s="12"/>
      <c r="GOV57" s="12"/>
      <c r="GOW57" s="12"/>
      <c r="GOX57" s="12"/>
      <c r="GOY57" s="12"/>
      <c r="GOZ57" s="12"/>
      <c r="GPA57" s="12"/>
      <c r="GPB57" s="12"/>
      <c r="GPC57" s="12"/>
      <c r="GPD57" s="12"/>
      <c r="GPE57" s="12"/>
      <c r="GPF57" s="12"/>
      <c r="GPG57" s="12"/>
      <c r="GPH57" s="12"/>
      <c r="GPI57" s="12"/>
      <c r="GPJ57" s="12"/>
      <c r="GPK57" s="12"/>
      <c r="GPL57" s="12"/>
      <c r="GPM57" s="12"/>
      <c r="GPN57" s="12"/>
      <c r="GPO57" s="12"/>
      <c r="GPP57" s="12"/>
      <c r="GPQ57" s="12"/>
      <c r="GPR57" s="12"/>
      <c r="GPS57" s="12"/>
      <c r="GPT57" s="12"/>
      <c r="GPU57" s="12"/>
      <c r="GPV57" s="12"/>
      <c r="GPW57" s="12"/>
      <c r="GPX57" s="12"/>
      <c r="GPY57" s="12"/>
      <c r="GPZ57" s="12"/>
      <c r="GQA57" s="12"/>
      <c r="GQB57" s="12"/>
      <c r="GQC57" s="12"/>
      <c r="GQD57" s="12"/>
      <c r="GQE57" s="12"/>
      <c r="GQF57" s="12"/>
      <c r="GQG57" s="12"/>
      <c r="GQH57" s="12"/>
      <c r="GQI57" s="12"/>
      <c r="GQJ57" s="12"/>
      <c r="GQK57" s="12"/>
      <c r="GQL57" s="12"/>
      <c r="GQM57" s="12"/>
      <c r="GQN57" s="12"/>
      <c r="GQO57" s="12"/>
      <c r="GQP57" s="12"/>
      <c r="GQQ57" s="12"/>
      <c r="GQR57" s="12"/>
      <c r="GQS57" s="12"/>
      <c r="GQT57" s="12"/>
      <c r="GQU57" s="12"/>
      <c r="GQV57" s="12"/>
      <c r="GQW57" s="12"/>
      <c r="GQX57" s="12"/>
      <c r="GQY57" s="12"/>
      <c r="GQZ57" s="12"/>
      <c r="GRA57" s="12"/>
      <c r="GRB57" s="12"/>
      <c r="GRC57" s="12"/>
      <c r="GRD57" s="12"/>
      <c r="GRE57" s="12"/>
      <c r="GRF57" s="12"/>
      <c r="GRG57" s="12"/>
      <c r="GRH57" s="12"/>
      <c r="GRI57" s="12"/>
      <c r="GRJ57" s="12"/>
      <c r="GRK57" s="12"/>
      <c r="GRL57" s="12"/>
      <c r="GRM57" s="12"/>
      <c r="GRN57" s="12"/>
      <c r="GRO57" s="12"/>
      <c r="GRP57" s="12"/>
      <c r="GRQ57" s="12"/>
      <c r="GRR57" s="12"/>
      <c r="GRS57" s="12"/>
      <c r="GRT57" s="12"/>
      <c r="GRU57" s="12"/>
      <c r="GRV57" s="12"/>
      <c r="GRW57" s="12"/>
      <c r="GRX57" s="12"/>
      <c r="GRY57" s="12"/>
      <c r="GRZ57" s="12"/>
      <c r="GSA57" s="12"/>
      <c r="GSB57" s="12"/>
      <c r="GSC57" s="12"/>
      <c r="GSD57" s="12"/>
      <c r="GSE57" s="12"/>
      <c r="GSF57" s="12"/>
      <c r="GSG57" s="12"/>
      <c r="GSH57" s="12"/>
      <c r="GSI57" s="12"/>
      <c r="GSJ57" s="12"/>
      <c r="GSK57" s="12"/>
      <c r="GSL57" s="12"/>
      <c r="GSM57" s="12"/>
      <c r="GSN57" s="12"/>
      <c r="GSO57" s="12"/>
      <c r="GSP57" s="12"/>
      <c r="GSQ57" s="12"/>
      <c r="GSR57" s="12"/>
      <c r="GSS57" s="12"/>
      <c r="GST57" s="12"/>
      <c r="GSU57" s="12"/>
      <c r="GSV57" s="12"/>
      <c r="GSW57" s="12"/>
      <c r="GSX57" s="12"/>
      <c r="GSY57" s="12"/>
      <c r="GSZ57" s="12"/>
      <c r="GTA57" s="12"/>
      <c r="GTB57" s="12"/>
      <c r="GTC57" s="12"/>
      <c r="GTD57" s="12"/>
      <c r="GTE57" s="12"/>
      <c r="GTF57" s="12"/>
      <c r="GTG57" s="12"/>
      <c r="GTH57" s="12"/>
      <c r="GTI57" s="12"/>
      <c r="GTJ57" s="12"/>
      <c r="GTK57" s="12"/>
      <c r="GTL57" s="12"/>
      <c r="GTM57" s="12"/>
      <c r="GTN57" s="12"/>
      <c r="GTO57" s="12"/>
      <c r="GTP57" s="12"/>
      <c r="GTQ57" s="12"/>
      <c r="GTR57" s="12"/>
      <c r="GTS57" s="12"/>
      <c r="GTT57" s="12"/>
      <c r="GTU57" s="12"/>
      <c r="GTV57" s="12"/>
      <c r="GTW57" s="12"/>
      <c r="GTX57" s="12"/>
      <c r="GTY57" s="12"/>
      <c r="GTZ57" s="12"/>
      <c r="GUA57" s="12"/>
      <c r="GUB57" s="12"/>
      <c r="GUC57" s="12"/>
      <c r="GUD57" s="12"/>
      <c r="GUE57" s="12"/>
      <c r="GUF57" s="12"/>
      <c r="GUG57" s="12"/>
      <c r="GUH57" s="12"/>
      <c r="GUI57" s="12"/>
      <c r="GUJ57" s="12"/>
      <c r="GUK57" s="12"/>
      <c r="GUL57" s="12"/>
      <c r="GUM57" s="12"/>
      <c r="GUN57" s="12"/>
      <c r="GUO57" s="12"/>
      <c r="GUP57" s="12"/>
      <c r="GUQ57" s="12"/>
      <c r="GUR57" s="12"/>
      <c r="GUS57" s="12"/>
      <c r="GUT57" s="12"/>
      <c r="GUU57" s="12"/>
      <c r="GUV57" s="12"/>
      <c r="GUW57" s="12"/>
      <c r="GUX57" s="12"/>
      <c r="GUY57" s="12"/>
      <c r="GUZ57" s="12"/>
      <c r="GVA57" s="12"/>
      <c r="GVB57" s="12"/>
      <c r="GVC57" s="12"/>
      <c r="GVD57" s="12"/>
      <c r="GVE57" s="12"/>
      <c r="GVF57" s="12"/>
      <c r="GVG57" s="12"/>
      <c r="GVH57" s="12"/>
      <c r="GVI57" s="12"/>
      <c r="GVJ57" s="12"/>
      <c r="GVK57" s="12"/>
      <c r="GVL57" s="12"/>
      <c r="GVM57" s="12"/>
      <c r="GVN57" s="12"/>
      <c r="GVO57" s="12"/>
      <c r="GVP57" s="12"/>
      <c r="GVQ57" s="12"/>
      <c r="GVR57" s="12"/>
      <c r="GVS57" s="12"/>
      <c r="GVT57" s="12"/>
      <c r="GVU57" s="12"/>
      <c r="GVV57" s="12"/>
      <c r="GVW57" s="12"/>
      <c r="GVX57" s="12"/>
      <c r="GVY57" s="12"/>
      <c r="GVZ57" s="12"/>
      <c r="GWA57" s="12"/>
      <c r="GWB57" s="12"/>
      <c r="GWC57" s="12"/>
      <c r="GWD57" s="12"/>
      <c r="GWE57" s="12"/>
      <c r="GWF57" s="12"/>
      <c r="GWG57" s="12"/>
      <c r="GWH57" s="12"/>
      <c r="GWI57" s="12"/>
      <c r="GWJ57" s="12"/>
      <c r="GWK57" s="12"/>
      <c r="GWL57" s="12"/>
      <c r="GWM57" s="12"/>
      <c r="GWN57" s="12"/>
      <c r="GWO57" s="12"/>
      <c r="GWP57" s="12"/>
      <c r="GWQ57" s="12"/>
      <c r="GWR57" s="12"/>
      <c r="GWS57" s="12"/>
      <c r="GWT57" s="12"/>
      <c r="GWU57" s="12"/>
      <c r="GWV57" s="12"/>
      <c r="GWW57" s="12"/>
      <c r="GWX57" s="12"/>
      <c r="GWY57" s="12"/>
      <c r="GWZ57" s="12"/>
      <c r="GXA57" s="12"/>
      <c r="GXB57" s="12"/>
      <c r="GXC57" s="12"/>
      <c r="GXD57" s="12"/>
      <c r="GXE57" s="12"/>
      <c r="GXF57" s="12"/>
      <c r="GXG57" s="12"/>
      <c r="GXH57" s="12"/>
      <c r="GXI57" s="12"/>
      <c r="GXJ57" s="12"/>
      <c r="GXK57" s="12"/>
      <c r="GXL57" s="12"/>
      <c r="GXM57" s="12"/>
      <c r="GXN57" s="12"/>
      <c r="GXO57" s="12"/>
      <c r="GXP57" s="12"/>
      <c r="GXQ57" s="12"/>
      <c r="GXR57" s="12"/>
      <c r="GXS57" s="12"/>
      <c r="GXT57" s="12"/>
      <c r="GXU57" s="12"/>
      <c r="GXV57" s="12"/>
      <c r="GXW57" s="12"/>
      <c r="GXX57" s="12"/>
      <c r="GXY57" s="12"/>
      <c r="GXZ57" s="12"/>
      <c r="GYA57" s="12"/>
      <c r="GYB57" s="12"/>
      <c r="GYC57" s="12"/>
      <c r="GYD57" s="12"/>
      <c r="GYE57" s="12"/>
      <c r="GYF57" s="12"/>
      <c r="GYG57" s="12"/>
      <c r="GYH57" s="12"/>
      <c r="GYI57" s="12"/>
      <c r="GYJ57" s="12"/>
      <c r="GYK57" s="12"/>
      <c r="GYL57" s="12"/>
      <c r="GYM57" s="12"/>
      <c r="GYN57" s="12"/>
      <c r="GYO57" s="12"/>
      <c r="GYP57" s="12"/>
      <c r="GYQ57" s="12"/>
      <c r="GYR57" s="12"/>
      <c r="GYS57" s="12"/>
      <c r="GYT57" s="12"/>
      <c r="GYU57" s="12"/>
      <c r="GYV57" s="12"/>
      <c r="GYW57" s="12"/>
      <c r="GYX57" s="12"/>
      <c r="GYY57" s="12"/>
      <c r="GYZ57" s="12"/>
      <c r="GZA57" s="12"/>
      <c r="GZB57" s="12"/>
      <c r="GZC57" s="12"/>
      <c r="GZD57" s="12"/>
      <c r="GZE57" s="12"/>
      <c r="GZF57" s="12"/>
      <c r="GZG57" s="12"/>
      <c r="GZH57" s="12"/>
      <c r="GZI57" s="12"/>
      <c r="GZJ57" s="12"/>
      <c r="GZK57" s="12"/>
      <c r="GZL57" s="12"/>
      <c r="GZM57" s="12"/>
      <c r="GZN57" s="12"/>
      <c r="GZO57" s="12"/>
      <c r="GZP57" s="12"/>
      <c r="GZQ57" s="12"/>
      <c r="GZR57" s="12"/>
      <c r="GZS57" s="12"/>
      <c r="GZT57" s="12"/>
      <c r="GZU57" s="12"/>
      <c r="GZV57" s="12"/>
      <c r="GZW57" s="12"/>
      <c r="GZX57" s="12"/>
      <c r="GZY57" s="12"/>
      <c r="GZZ57" s="12"/>
      <c r="HAA57" s="12"/>
      <c r="HAB57" s="12"/>
      <c r="HAC57" s="12"/>
      <c r="HAD57" s="12"/>
      <c r="HAE57" s="12"/>
      <c r="HAF57" s="12"/>
      <c r="HAG57" s="12"/>
      <c r="HAH57" s="12"/>
      <c r="HAI57" s="12"/>
      <c r="HAJ57" s="12"/>
      <c r="HAK57" s="12"/>
      <c r="HAL57" s="12"/>
      <c r="HAM57" s="12"/>
      <c r="HAN57" s="12"/>
      <c r="HAO57" s="12"/>
      <c r="HAP57" s="12"/>
      <c r="HAQ57" s="12"/>
      <c r="HAR57" s="12"/>
      <c r="HAS57" s="12"/>
      <c r="HAT57" s="12"/>
      <c r="HAU57" s="12"/>
      <c r="HAV57" s="12"/>
      <c r="HAW57" s="12"/>
      <c r="HAX57" s="12"/>
      <c r="HAY57" s="12"/>
      <c r="HAZ57" s="12"/>
      <c r="HBA57" s="12"/>
      <c r="HBB57" s="12"/>
      <c r="HBC57" s="12"/>
      <c r="HBD57" s="12"/>
      <c r="HBE57" s="12"/>
      <c r="HBF57" s="12"/>
      <c r="HBG57" s="12"/>
      <c r="HBH57" s="12"/>
      <c r="HBI57" s="12"/>
      <c r="HBJ57" s="12"/>
      <c r="HBK57" s="12"/>
      <c r="HBL57" s="12"/>
      <c r="HBM57" s="12"/>
      <c r="HBN57" s="12"/>
      <c r="HBO57" s="12"/>
      <c r="HBP57" s="12"/>
      <c r="HBQ57" s="12"/>
      <c r="HBR57" s="12"/>
      <c r="HBS57" s="12"/>
      <c r="HBT57" s="12"/>
      <c r="HBU57" s="12"/>
      <c r="HBV57" s="12"/>
      <c r="HBW57" s="12"/>
      <c r="HBX57" s="12"/>
      <c r="HBY57" s="12"/>
      <c r="HBZ57" s="12"/>
      <c r="HCA57" s="12"/>
      <c r="HCB57" s="12"/>
      <c r="HCC57" s="12"/>
      <c r="HCD57" s="12"/>
      <c r="HCE57" s="12"/>
      <c r="HCF57" s="12"/>
      <c r="HCG57" s="12"/>
      <c r="HCH57" s="12"/>
      <c r="HCI57" s="12"/>
      <c r="HCJ57" s="12"/>
      <c r="HCK57" s="12"/>
      <c r="HCL57" s="12"/>
      <c r="HCM57" s="12"/>
      <c r="HCN57" s="12"/>
      <c r="HCO57" s="12"/>
      <c r="HCP57" s="12"/>
      <c r="HCQ57" s="12"/>
      <c r="HCR57" s="12"/>
      <c r="HCS57" s="12"/>
      <c r="HCT57" s="12"/>
      <c r="HCU57" s="12"/>
      <c r="HCV57" s="12"/>
      <c r="HCW57" s="12"/>
      <c r="HCX57" s="12"/>
      <c r="HCY57" s="12"/>
      <c r="HCZ57" s="12"/>
      <c r="HDA57" s="12"/>
      <c r="HDB57" s="12"/>
      <c r="HDC57" s="12"/>
      <c r="HDD57" s="12"/>
      <c r="HDE57" s="12"/>
      <c r="HDF57" s="12"/>
      <c r="HDG57" s="12"/>
      <c r="HDH57" s="12"/>
      <c r="HDI57" s="12"/>
      <c r="HDJ57" s="12"/>
      <c r="HDK57" s="12"/>
      <c r="HDL57" s="12"/>
      <c r="HDM57" s="12"/>
      <c r="HDN57" s="12"/>
      <c r="HDO57" s="12"/>
      <c r="HDP57" s="12"/>
      <c r="HDQ57" s="12"/>
      <c r="HDR57" s="12"/>
      <c r="HDS57" s="12"/>
      <c r="HDT57" s="12"/>
      <c r="HDU57" s="12"/>
      <c r="HDV57" s="12"/>
      <c r="HDW57" s="12"/>
      <c r="HDX57" s="12"/>
      <c r="HDY57" s="12"/>
      <c r="HDZ57" s="12"/>
      <c r="HEA57" s="12"/>
      <c r="HEB57" s="12"/>
      <c r="HEC57" s="12"/>
      <c r="HED57" s="12"/>
      <c r="HEE57" s="12"/>
      <c r="HEF57" s="12"/>
      <c r="HEG57" s="12"/>
      <c r="HEH57" s="12"/>
      <c r="HEI57" s="12"/>
      <c r="HEJ57" s="12"/>
      <c r="HEK57" s="12"/>
      <c r="HEL57" s="12"/>
      <c r="HEM57" s="12"/>
      <c r="HEN57" s="12"/>
      <c r="HEO57" s="12"/>
      <c r="HEP57" s="12"/>
      <c r="HEQ57" s="12"/>
      <c r="HER57" s="12"/>
      <c r="HES57" s="12"/>
      <c r="HET57" s="12"/>
      <c r="HEU57" s="12"/>
      <c r="HEV57" s="12"/>
      <c r="HEW57" s="12"/>
      <c r="HEX57" s="12"/>
      <c r="HEY57" s="12"/>
      <c r="HEZ57" s="12"/>
      <c r="HFA57" s="12"/>
      <c r="HFB57" s="12"/>
      <c r="HFC57" s="12"/>
      <c r="HFD57" s="12"/>
      <c r="HFE57" s="12"/>
      <c r="HFF57" s="12"/>
      <c r="HFG57" s="12"/>
      <c r="HFH57" s="12"/>
      <c r="HFI57" s="12"/>
      <c r="HFJ57" s="12"/>
      <c r="HFK57" s="12"/>
      <c r="HFL57" s="12"/>
      <c r="HFM57" s="12"/>
      <c r="HFN57" s="12"/>
      <c r="HFO57" s="12"/>
      <c r="HFP57" s="12"/>
      <c r="HFQ57" s="12"/>
      <c r="HFR57" s="12"/>
      <c r="HFS57" s="12"/>
      <c r="HFT57" s="12"/>
      <c r="HFU57" s="12"/>
      <c r="HFV57" s="12"/>
      <c r="HFW57" s="12"/>
      <c r="HFX57" s="12"/>
      <c r="HFY57" s="12"/>
      <c r="HFZ57" s="12"/>
      <c r="HGA57" s="12"/>
      <c r="HGB57" s="12"/>
      <c r="HGC57" s="12"/>
      <c r="HGD57" s="12"/>
      <c r="HGE57" s="12"/>
      <c r="HGF57" s="12"/>
      <c r="HGG57" s="12"/>
      <c r="HGH57" s="12"/>
      <c r="HGI57" s="12"/>
      <c r="HGJ57" s="12"/>
      <c r="HGK57" s="12"/>
      <c r="HGL57" s="12"/>
      <c r="HGM57" s="12"/>
      <c r="HGN57" s="12"/>
      <c r="HGO57" s="12"/>
      <c r="HGP57" s="12"/>
      <c r="HGQ57" s="12"/>
      <c r="HGR57" s="12"/>
      <c r="HGS57" s="12"/>
      <c r="HGT57" s="12"/>
      <c r="HGU57" s="12"/>
      <c r="HGV57" s="12"/>
      <c r="HGW57" s="12"/>
      <c r="HGX57" s="12"/>
      <c r="HGY57" s="12"/>
      <c r="HGZ57" s="12"/>
      <c r="HHA57" s="12"/>
      <c r="HHB57" s="12"/>
      <c r="HHC57" s="12"/>
      <c r="HHD57" s="12"/>
      <c r="HHE57" s="12"/>
      <c r="HHF57" s="12"/>
      <c r="HHG57" s="12"/>
      <c r="HHH57" s="12"/>
      <c r="HHI57" s="12"/>
      <c r="HHJ57" s="12"/>
      <c r="HHK57" s="12"/>
      <c r="HHL57" s="12"/>
      <c r="HHM57" s="12"/>
      <c r="HHN57" s="12"/>
      <c r="HHO57" s="12"/>
      <c r="HHP57" s="12"/>
      <c r="HHQ57" s="12"/>
      <c r="HHR57" s="12"/>
      <c r="HHS57" s="12"/>
      <c r="HHT57" s="12"/>
      <c r="HHU57" s="12"/>
      <c r="HHV57" s="12"/>
      <c r="HHW57" s="12"/>
      <c r="HHX57" s="12"/>
      <c r="HHY57" s="12"/>
      <c r="HHZ57" s="12"/>
      <c r="HIA57" s="12"/>
      <c r="HIB57" s="12"/>
      <c r="HIC57" s="12"/>
      <c r="HID57" s="12"/>
      <c r="HIE57" s="12"/>
      <c r="HIF57" s="12"/>
      <c r="HIG57" s="12"/>
      <c r="HIH57" s="12"/>
      <c r="HII57" s="12"/>
      <c r="HIJ57" s="12"/>
      <c r="HIK57" s="12"/>
      <c r="HIL57" s="12"/>
      <c r="HIM57" s="12"/>
      <c r="HIN57" s="12"/>
      <c r="HIO57" s="12"/>
      <c r="HIP57" s="12"/>
      <c r="HIQ57" s="12"/>
      <c r="HIR57" s="12"/>
      <c r="HIS57" s="12"/>
      <c r="HIT57" s="12"/>
      <c r="HIU57" s="12"/>
      <c r="HIV57" s="12"/>
      <c r="HIW57" s="12"/>
      <c r="HIX57" s="12"/>
      <c r="HIY57" s="12"/>
      <c r="HIZ57" s="12"/>
      <c r="HJA57" s="12"/>
      <c r="HJB57" s="12"/>
      <c r="HJC57" s="12"/>
      <c r="HJD57" s="12"/>
      <c r="HJE57" s="12"/>
      <c r="HJF57" s="12"/>
      <c r="HJG57" s="12"/>
      <c r="HJH57" s="12"/>
      <c r="HJI57" s="12"/>
      <c r="HJJ57" s="12"/>
      <c r="HJK57" s="12"/>
      <c r="HJL57" s="12"/>
      <c r="HJM57" s="12"/>
      <c r="HJN57" s="12"/>
      <c r="HJO57" s="12"/>
      <c r="HJP57" s="12"/>
      <c r="HJQ57" s="12"/>
      <c r="HJR57" s="12"/>
      <c r="HJS57" s="12"/>
      <c r="HJT57" s="12"/>
      <c r="HJU57" s="12"/>
      <c r="HJV57" s="12"/>
      <c r="HJW57" s="12"/>
      <c r="HJX57" s="12"/>
      <c r="HJY57" s="12"/>
      <c r="HJZ57" s="12"/>
      <c r="HKA57" s="12"/>
      <c r="HKB57" s="12"/>
      <c r="HKC57" s="12"/>
      <c r="HKD57" s="12"/>
      <c r="HKE57" s="12"/>
      <c r="HKF57" s="12"/>
      <c r="HKG57" s="12"/>
      <c r="HKH57" s="12"/>
      <c r="HKI57" s="12"/>
      <c r="HKJ57" s="12"/>
      <c r="HKK57" s="12"/>
      <c r="HKL57" s="12"/>
      <c r="HKM57" s="12"/>
      <c r="HKN57" s="12"/>
      <c r="HKO57" s="12"/>
      <c r="HKP57" s="12"/>
      <c r="HKQ57" s="12"/>
      <c r="HKR57" s="12"/>
      <c r="HKS57" s="12"/>
      <c r="HKT57" s="12"/>
      <c r="HKU57" s="12"/>
      <c r="HKV57" s="12"/>
      <c r="HKW57" s="12"/>
      <c r="HKX57" s="12"/>
      <c r="HKY57" s="12"/>
      <c r="HKZ57" s="12"/>
      <c r="HLA57" s="12"/>
      <c r="HLB57" s="12"/>
      <c r="HLC57" s="12"/>
      <c r="HLD57" s="12"/>
      <c r="HLE57" s="12"/>
      <c r="HLF57" s="12"/>
      <c r="HLG57" s="12"/>
      <c r="HLH57" s="12"/>
      <c r="HLI57" s="12"/>
      <c r="HLJ57" s="12"/>
      <c r="HLK57" s="12"/>
      <c r="HLL57" s="12"/>
      <c r="HLM57" s="12"/>
      <c r="HLN57" s="12"/>
      <c r="HLO57" s="12"/>
      <c r="HLP57" s="12"/>
      <c r="HLQ57" s="12"/>
      <c r="HLR57" s="12"/>
      <c r="HLS57" s="12"/>
      <c r="HLT57" s="12"/>
      <c r="HLU57" s="12"/>
      <c r="HLV57" s="12"/>
      <c r="HLW57" s="12"/>
      <c r="HLX57" s="12"/>
      <c r="HLY57" s="12"/>
      <c r="HLZ57" s="12"/>
      <c r="HMA57" s="12"/>
      <c r="HMB57" s="12"/>
      <c r="HMC57" s="12"/>
      <c r="HMD57" s="12"/>
      <c r="HME57" s="12"/>
      <c r="HMF57" s="12"/>
      <c r="HMG57" s="12"/>
      <c r="HMH57" s="12"/>
      <c r="HMI57" s="12"/>
      <c r="HMJ57" s="12"/>
      <c r="HMK57" s="12"/>
      <c r="HML57" s="12"/>
      <c r="HMM57" s="12"/>
      <c r="HMN57" s="12"/>
      <c r="HMO57" s="12"/>
      <c r="HMP57" s="12"/>
      <c r="HMQ57" s="12"/>
      <c r="HMR57" s="12"/>
      <c r="HMS57" s="12"/>
      <c r="HMT57" s="12"/>
      <c r="HMU57" s="12"/>
      <c r="HMV57" s="12"/>
      <c r="HMW57" s="12"/>
      <c r="HMX57" s="12"/>
      <c r="HMY57" s="12"/>
      <c r="HMZ57" s="12"/>
      <c r="HNA57" s="12"/>
      <c r="HNB57" s="12"/>
      <c r="HNC57" s="12"/>
      <c r="HND57" s="12"/>
      <c r="HNE57" s="12"/>
      <c r="HNF57" s="12"/>
      <c r="HNG57" s="12"/>
      <c r="HNH57" s="12"/>
      <c r="HNI57" s="12"/>
      <c r="HNJ57" s="12"/>
      <c r="HNK57" s="12"/>
      <c r="HNL57" s="12"/>
      <c r="HNM57" s="12"/>
      <c r="HNN57" s="12"/>
      <c r="HNO57" s="12"/>
      <c r="HNP57" s="12"/>
      <c r="HNQ57" s="12"/>
      <c r="HNR57" s="12"/>
      <c r="HNS57" s="12"/>
      <c r="HNT57" s="12"/>
      <c r="HNU57" s="12"/>
      <c r="HNV57" s="12"/>
      <c r="HNW57" s="12"/>
      <c r="HNX57" s="12"/>
      <c r="HNY57" s="12"/>
      <c r="HNZ57" s="12"/>
      <c r="HOA57" s="12"/>
      <c r="HOB57" s="12"/>
      <c r="HOC57" s="12"/>
      <c r="HOD57" s="12"/>
      <c r="HOE57" s="12"/>
      <c r="HOF57" s="12"/>
      <c r="HOG57" s="12"/>
      <c r="HOH57" s="12"/>
      <c r="HOI57" s="12"/>
      <c r="HOJ57" s="12"/>
      <c r="HOK57" s="12"/>
      <c r="HOL57" s="12"/>
      <c r="HOM57" s="12"/>
      <c r="HON57" s="12"/>
      <c r="HOO57" s="12"/>
      <c r="HOP57" s="12"/>
      <c r="HOQ57" s="12"/>
      <c r="HOR57" s="12"/>
      <c r="HOS57" s="12"/>
      <c r="HOT57" s="12"/>
      <c r="HOU57" s="12"/>
      <c r="HOV57" s="12"/>
      <c r="HOW57" s="12"/>
      <c r="HOX57" s="12"/>
      <c r="HOY57" s="12"/>
      <c r="HOZ57" s="12"/>
      <c r="HPA57" s="12"/>
      <c r="HPB57" s="12"/>
      <c r="HPC57" s="12"/>
      <c r="HPD57" s="12"/>
      <c r="HPE57" s="12"/>
      <c r="HPF57" s="12"/>
      <c r="HPG57" s="12"/>
      <c r="HPH57" s="12"/>
      <c r="HPI57" s="12"/>
      <c r="HPJ57" s="12"/>
      <c r="HPK57" s="12"/>
      <c r="HPL57" s="12"/>
      <c r="HPM57" s="12"/>
      <c r="HPN57" s="12"/>
      <c r="HPO57" s="12"/>
      <c r="HPP57" s="12"/>
      <c r="HPQ57" s="12"/>
      <c r="HPR57" s="12"/>
      <c r="HPS57" s="12"/>
      <c r="HPT57" s="12"/>
      <c r="HPU57" s="12"/>
      <c r="HPV57" s="12"/>
      <c r="HPW57" s="12"/>
      <c r="HPX57" s="12"/>
      <c r="HPY57" s="12"/>
      <c r="HPZ57" s="12"/>
      <c r="HQA57" s="12"/>
      <c r="HQB57" s="12"/>
      <c r="HQC57" s="12"/>
      <c r="HQD57" s="12"/>
      <c r="HQE57" s="12"/>
      <c r="HQF57" s="12"/>
      <c r="HQG57" s="12"/>
      <c r="HQH57" s="12"/>
      <c r="HQI57" s="12"/>
      <c r="HQJ57" s="12"/>
      <c r="HQK57" s="12"/>
      <c r="HQL57" s="12"/>
      <c r="HQM57" s="12"/>
      <c r="HQN57" s="12"/>
      <c r="HQO57" s="12"/>
      <c r="HQP57" s="12"/>
      <c r="HQQ57" s="12"/>
      <c r="HQR57" s="12"/>
      <c r="HQS57" s="12"/>
      <c r="HQT57" s="12"/>
      <c r="HQU57" s="12"/>
      <c r="HQV57" s="12"/>
      <c r="HQW57" s="12"/>
      <c r="HQX57" s="12"/>
      <c r="HQY57" s="12"/>
      <c r="HQZ57" s="12"/>
      <c r="HRA57" s="12"/>
      <c r="HRB57" s="12"/>
      <c r="HRC57" s="12"/>
      <c r="HRD57" s="12"/>
      <c r="HRE57" s="12"/>
      <c r="HRF57" s="12"/>
      <c r="HRG57" s="12"/>
      <c r="HRH57" s="12"/>
      <c r="HRI57" s="12"/>
      <c r="HRJ57" s="12"/>
      <c r="HRK57" s="12"/>
      <c r="HRL57" s="12"/>
      <c r="HRM57" s="12"/>
      <c r="HRN57" s="12"/>
      <c r="HRO57" s="12"/>
      <c r="HRP57" s="12"/>
      <c r="HRQ57" s="12"/>
      <c r="HRR57" s="12"/>
      <c r="HRS57" s="12"/>
      <c r="HRT57" s="12"/>
      <c r="HRU57" s="12"/>
      <c r="HRV57" s="12"/>
      <c r="HRW57" s="12"/>
      <c r="HRX57" s="12"/>
      <c r="HRY57" s="12"/>
      <c r="HRZ57" s="12"/>
      <c r="HSA57" s="12"/>
      <c r="HSB57" s="12"/>
      <c r="HSC57" s="12"/>
      <c r="HSD57" s="12"/>
      <c r="HSE57" s="12"/>
      <c r="HSF57" s="12"/>
      <c r="HSG57" s="12"/>
      <c r="HSH57" s="12"/>
      <c r="HSI57" s="12"/>
      <c r="HSJ57" s="12"/>
      <c r="HSK57" s="12"/>
      <c r="HSL57" s="12"/>
      <c r="HSM57" s="12"/>
      <c r="HSN57" s="12"/>
      <c r="HSO57" s="12"/>
      <c r="HSP57" s="12"/>
      <c r="HSQ57" s="12"/>
      <c r="HSR57" s="12"/>
      <c r="HSS57" s="12"/>
      <c r="HST57" s="12"/>
      <c r="HSU57" s="12"/>
      <c r="HSV57" s="12"/>
      <c r="HSW57" s="12"/>
      <c r="HSX57" s="12"/>
      <c r="HSY57" s="12"/>
      <c r="HSZ57" s="12"/>
      <c r="HTA57" s="12"/>
      <c r="HTB57" s="12"/>
      <c r="HTC57" s="12"/>
      <c r="HTD57" s="12"/>
      <c r="HTE57" s="12"/>
      <c r="HTF57" s="12"/>
      <c r="HTG57" s="12"/>
      <c r="HTH57" s="12"/>
      <c r="HTI57" s="12"/>
      <c r="HTJ57" s="12"/>
      <c r="HTK57" s="12"/>
      <c r="HTL57" s="12"/>
      <c r="HTM57" s="12"/>
      <c r="HTN57" s="12"/>
      <c r="HTO57" s="12"/>
      <c r="HTP57" s="12"/>
      <c r="HTQ57" s="12"/>
      <c r="HTR57" s="12"/>
      <c r="HTS57" s="12"/>
      <c r="HTT57" s="12"/>
      <c r="HTU57" s="12"/>
      <c r="HTV57" s="12"/>
      <c r="HTW57" s="12"/>
      <c r="HTX57" s="12"/>
      <c r="HTY57" s="12"/>
      <c r="HTZ57" s="12"/>
      <c r="HUA57" s="12"/>
      <c r="HUB57" s="12"/>
      <c r="HUC57" s="12"/>
      <c r="HUD57" s="12"/>
      <c r="HUE57" s="12"/>
      <c r="HUF57" s="12"/>
      <c r="HUG57" s="12"/>
      <c r="HUH57" s="12"/>
      <c r="HUI57" s="12"/>
      <c r="HUJ57" s="12"/>
      <c r="HUK57" s="12"/>
      <c r="HUL57" s="12"/>
      <c r="HUM57" s="12"/>
      <c r="HUN57" s="12"/>
      <c r="HUO57" s="12"/>
      <c r="HUP57" s="12"/>
      <c r="HUQ57" s="12"/>
      <c r="HUR57" s="12"/>
      <c r="HUS57" s="12"/>
      <c r="HUT57" s="12"/>
      <c r="HUU57" s="12"/>
      <c r="HUV57" s="12"/>
      <c r="HUW57" s="12"/>
      <c r="HUX57" s="12"/>
      <c r="HUY57" s="12"/>
      <c r="HUZ57" s="12"/>
      <c r="HVA57" s="12"/>
      <c r="HVB57" s="12"/>
      <c r="HVC57" s="12"/>
      <c r="HVD57" s="12"/>
      <c r="HVE57" s="12"/>
      <c r="HVF57" s="12"/>
      <c r="HVG57" s="12"/>
      <c r="HVH57" s="12"/>
      <c r="HVI57" s="12"/>
      <c r="HVJ57" s="12"/>
      <c r="HVK57" s="12"/>
      <c r="HVL57" s="12"/>
      <c r="HVM57" s="12"/>
      <c r="HVN57" s="12"/>
      <c r="HVO57" s="12"/>
      <c r="HVP57" s="12"/>
      <c r="HVQ57" s="12"/>
      <c r="HVR57" s="12"/>
      <c r="HVS57" s="12"/>
      <c r="HVT57" s="12"/>
      <c r="HVU57" s="12"/>
      <c r="HVV57" s="12"/>
      <c r="HVW57" s="12"/>
      <c r="HVX57" s="12"/>
      <c r="HVY57" s="12"/>
      <c r="HVZ57" s="12"/>
      <c r="HWA57" s="12"/>
      <c r="HWB57" s="12"/>
      <c r="HWC57" s="12"/>
      <c r="HWD57" s="12"/>
      <c r="HWE57" s="12"/>
      <c r="HWF57" s="12"/>
      <c r="HWG57" s="12"/>
      <c r="HWH57" s="12"/>
      <c r="HWI57" s="12"/>
      <c r="HWJ57" s="12"/>
      <c r="HWK57" s="12"/>
      <c r="HWL57" s="12"/>
      <c r="HWM57" s="12"/>
      <c r="HWN57" s="12"/>
      <c r="HWO57" s="12"/>
      <c r="HWP57" s="12"/>
      <c r="HWQ57" s="12"/>
      <c r="HWR57" s="12"/>
      <c r="HWS57" s="12"/>
      <c r="HWT57" s="12"/>
      <c r="HWU57" s="12"/>
      <c r="HWV57" s="12"/>
      <c r="HWW57" s="12"/>
      <c r="HWX57" s="12"/>
      <c r="HWY57" s="12"/>
      <c r="HWZ57" s="12"/>
      <c r="HXA57" s="12"/>
      <c r="HXB57" s="12"/>
      <c r="HXC57" s="12"/>
      <c r="HXD57" s="12"/>
      <c r="HXE57" s="12"/>
      <c r="HXF57" s="12"/>
      <c r="HXG57" s="12"/>
      <c r="HXH57" s="12"/>
      <c r="HXI57" s="12"/>
      <c r="HXJ57" s="12"/>
      <c r="HXK57" s="12"/>
      <c r="HXL57" s="12"/>
      <c r="HXM57" s="12"/>
      <c r="HXN57" s="12"/>
      <c r="HXO57" s="12"/>
      <c r="HXP57" s="12"/>
      <c r="HXQ57" s="12"/>
      <c r="HXR57" s="12"/>
      <c r="HXS57" s="12"/>
      <c r="HXT57" s="12"/>
      <c r="HXU57" s="12"/>
      <c r="HXV57" s="12"/>
      <c r="HXW57" s="12"/>
      <c r="HXX57" s="12"/>
      <c r="HXY57" s="12"/>
      <c r="HXZ57" s="12"/>
      <c r="HYA57" s="12"/>
      <c r="HYB57" s="12"/>
      <c r="HYC57" s="12"/>
      <c r="HYD57" s="12"/>
      <c r="HYE57" s="12"/>
      <c r="HYF57" s="12"/>
      <c r="HYG57" s="12"/>
      <c r="HYH57" s="12"/>
      <c r="HYI57" s="12"/>
      <c r="HYJ57" s="12"/>
      <c r="HYK57" s="12"/>
      <c r="HYL57" s="12"/>
      <c r="HYM57" s="12"/>
      <c r="HYN57" s="12"/>
      <c r="HYO57" s="12"/>
      <c r="HYP57" s="12"/>
      <c r="HYQ57" s="12"/>
      <c r="HYR57" s="12"/>
      <c r="HYS57" s="12"/>
      <c r="HYT57" s="12"/>
      <c r="HYU57" s="12"/>
      <c r="HYV57" s="12"/>
      <c r="HYW57" s="12"/>
      <c r="HYX57" s="12"/>
      <c r="HYY57" s="12"/>
      <c r="HYZ57" s="12"/>
      <c r="HZA57" s="12"/>
      <c r="HZB57" s="12"/>
      <c r="HZC57" s="12"/>
      <c r="HZD57" s="12"/>
      <c r="HZE57" s="12"/>
      <c r="HZF57" s="12"/>
      <c r="HZG57" s="12"/>
      <c r="HZH57" s="12"/>
      <c r="HZI57" s="12"/>
      <c r="HZJ57" s="12"/>
      <c r="HZK57" s="12"/>
      <c r="HZL57" s="12"/>
      <c r="HZM57" s="12"/>
      <c r="HZN57" s="12"/>
      <c r="HZO57" s="12"/>
      <c r="HZP57" s="12"/>
      <c r="HZQ57" s="12"/>
      <c r="HZR57" s="12"/>
      <c r="HZS57" s="12"/>
      <c r="HZT57" s="12"/>
      <c r="HZU57" s="12"/>
      <c r="HZV57" s="12"/>
      <c r="HZW57" s="12"/>
      <c r="HZX57" s="12"/>
      <c r="HZY57" s="12"/>
      <c r="HZZ57" s="12"/>
      <c r="IAA57" s="12"/>
      <c r="IAB57" s="12"/>
      <c r="IAC57" s="12"/>
      <c r="IAD57" s="12"/>
      <c r="IAE57" s="12"/>
      <c r="IAF57" s="12"/>
      <c r="IAG57" s="12"/>
      <c r="IAH57" s="12"/>
      <c r="IAI57" s="12"/>
      <c r="IAJ57" s="12"/>
      <c r="IAK57" s="12"/>
      <c r="IAL57" s="12"/>
      <c r="IAM57" s="12"/>
      <c r="IAN57" s="12"/>
      <c r="IAO57" s="12"/>
      <c r="IAP57" s="12"/>
      <c r="IAQ57" s="12"/>
      <c r="IAR57" s="12"/>
      <c r="IAS57" s="12"/>
      <c r="IAT57" s="12"/>
      <c r="IAU57" s="12"/>
      <c r="IAV57" s="12"/>
      <c r="IAW57" s="12"/>
      <c r="IAX57" s="12"/>
      <c r="IAY57" s="12"/>
      <c r="IAZ57" s="12"/>
      <c r="IBA57" s="12"/>
      <c r="IBB57" s="12"/>
      <c r="IBC57" s="12"/>
      <c r="IBD57" s="12"/>
      <c r="IBE57" s="12"/>
      <c r="IBF57" s="12"/>
      <c r="IBG57" s="12"/>
      <c r="IBH57" s="12"/>
      <c r="IBI57" s="12"/>
      <c r="IBJ57" s="12"/>
      <c r="IBK57" s="12"/>
      <c r="IBL57" s="12"/>
      <c r="IBM57" s="12"/>
      <c r="IBN57" s="12"/>
      <c r="IBO57" s="12"/>
      <c r="IBP57" s="12"/>
      <c r="IBQ57" s="12"/>
      <c r="IBR57" s="12"/>
      <c r="IBS57" s="12"/>
      <c r="IBT57" s="12"/>
      <c r="IBU57" s="12"/>
      <c r="IBV57" s="12"/>
      <c r="IBW57" s="12"/>
      <c r="IBX57" s="12"/>
      <c r="IBY57" s="12"/>
      <c r="IBZ57" s="12"/>
      <c r="ICA57" s="12"/>
      <c r="ICB57" s="12"/>
      <c r="ICC57" s="12"/>
      <c r="ICD57" s="12"/>
      <c r="ICE57" s="12"/>
      <c r="ICF57" s="12"/>
      <c r="ICG57" s="12"/>
      <c r="ICH57" s="12"/>
      <c r="ICI57" s="12"/>
      <c r="ICJ57" s="12"/>
      <c r="ICK57" s="12"/>
      <c r="ICL57" s="12"/>
      <c r="ICM57" s="12"/>
      <c r="ICN57" s="12"/>
      <c r="ICO57" s="12"/>
      <c r="ICP57" s="12"/>
      <c r="ICQ57" s="12"/>
      <c r="ICR57" s="12"/>
      <c r="ICS57" s="12"/>
      <c r="ICT57" s="12"/>
      <c r="ICU57" s="12"/>
      <c r="ICV57" s="12"/>
      <c r="ICW57" s="12"/>
      <c r="ICX57" s="12"/>
      <c r="ICY57" s="12"/>
      <c r="ICZ57" s="12"/>
      <c r="IDA57" s="12"/>
      <c r="IDB57" s="12"/>
      <c r="IDC57" s="12"/>
      <c r="IDD57" s="12"/>
      <c r="IDE57" s="12"/>
      <c r="IDF57" s="12"/>
      <c r="IDG57" s="12"/>
      <c r="IDH57" s="12"/>
      <c r="IDI57" s="12"/>
      <c r="IDJ57" s="12"/>
      <c r="IDK57" s="12"/>
      <c r="IDL57" s="12"/>
      <c r="IDM57" s="12"/>
      <c r="IDN57" s="12"/>
      <c r="IDO57" s="12"/>
      <c r="IDP57" s="12"/>
      <c r="IDQ57" s="12"/>
      <c r="IDR57" s="12"/>
      <c r="IDS57" s="12"/>
      <c r="IDT57" s="12"/>
      <c r="IDU57" s="12"/>
      <c r="IDV57" s="12"/>
      <c r="IDW57" s="12"/>
      <c r="IDX57" s="12"/>
      <c r="IDY57" s="12"/>
      <c r="IDZ57" s="12"/>
      <c r="IEA57" s="12"/>
      <c r="IEB57" s="12"/>
      <c r="IEC57" s="12"/>
      <c r="IED57" s="12"/>
      <c r="IEE57" s="12"/>
      <c r="IEF57" s="12"/>
      <c r="IEG57" s="12"/>
      <c r="IEH57" s="12"/>
      <c r="IEI57" s="12"/>
      <c r="IEJ57" s="12"/>
      <c r="IEK57" s="12"/>
      <c r="IEL57" s="12"/>
      <c r="IEM57" s="12"/>
      <c r="IEN57" s="12"/>
      <c r="IEO57" s="12"/>
      <c r="IEP57" s="12"/>
      <c r="IEQ57" s="12"/>
      <c r="IER57" s="12"/>
      <c r="IES57" s="12"/>
      <c r="IET57" s="12"/>
      <c r="IEU57" s="12"/>
      <c r="IEV57" s="12"/>
      <c r="IEW57" s="12"/>
      <c r="IEX57" s="12"/>
      <c r="IEY57" s="12"/>
      <c r="IEZ57" s="12"/>
      <c r="IFA57" s="12"/>
      <c r="IFB57" s="12"/>
      <c r="IFC57" s="12"/>
      <c r="IFD57" s="12"/>
      <c r="IFE57" s="12"/>
      <c r="IFF57" s="12"/>
      <c r="IFG57" s="12"/>
      <c r="IFH57" s="12"/>
      <c r="IFI57" s="12"/>
      <c r="IFJ57" s="12"/>
      <c r="IFK57" s="12"/>
      <c r="IFL57" s="12"/>
      <c r="IFM57" s="12"/>
      <c r="IFN57" s="12"/>
      <c r="IFO57" s="12"/>
      <c r="IFP57" s="12"/>
      <c r="IFQ57" s="12"/>
      <c r="IFR57" s="12"/>
      <c r="IFS57" s="12"/>
      <c r="IFT57" s="12"/>
      <c r="IFU57" s="12"/>
      <c r="IFV57" s="12"/>
      <c r="IFW57" s="12"/>
      <c r="IFX57" s="12"/>
      <c r="IFY57" s="12"/>
      <c r="IFZ57" s="12"/>
      <c r="IGA57" s="12"/>
      <c r="IGB57" s="12"/>
      <c r="IGC57" s="12"/>
      <c r="IGD57" s="12"/>
      <c r="IGE57" s="12"/>
      <c r="IGF57" s="12"/>
      <c r="IGG57" s="12"/>
      <c r="IGH57" s="12"/>
      <c r="IGI57" s="12"/>
      <c r="IGJ57" s="12"/>
      <c r="IGK57" s="12"/>
      <c r="IGL57" s="12"/>
      <c r="IGM57" s="12"/>
      <c r="IGN57" s="12"/>
      <c r="IGO57" s="12"/>
      <c r="IGP57" s="12"/>
      <c r="IGQ57" s="12"/>
      <c r="IGR57" s="12"/>
      <c r="IGS57" s="12"/>
      <c r="IGT57" s="12"/>
      <c r="IGU57" s="12"/>
      <c r="IGV57" s="12"/>
      <c r="IGW57" s="12"/>
      <c r="IGX57" s="12"/>
      <c r="IGY57" s="12"/>
      <c r="IGZ57" s="12"/>
      <c r="IHA57" s="12"/>
      <c r="IHB57" s="12"/>
      <c r="IHC57" s="12"/>
      <c r="IHD57" s="12"/>
      <c r="IHE57" s="12"/>
      <c r="IHF57" s="12"/>
      <c r="IHG57" s="12"/>
      <c r="IHH57" s="12"/>
      <c r="IHI57" s="12"/>
      <c r="IHJ57" s="12"/>
      <c r="IHK57" s="12"/>
      <c r="IHL57" s="12"/>
      <c r="IHM57" s="12"/>
      <c r="IHN57" s="12"/>
      <c r="IHO57" s="12"/>
      <c r="IHP57" s="12"/>
      <c r="IHQ57" s="12"/>
      <c r="IHR57" s="12"/>
      <c r="IHS57" s="12"/>
      <c r="IHT57" s="12"/>
      <c r="IHU57" s="12"/>
      <c r="IHV57" s="12"/>
      <c r="IHW57" s="12"/>
      <c r="IHX57" s="12"/>
      <c r="IHY57" s="12"/>
      <c r="IHZ57" s="12"/>
      <c r="IIA57" s="12"/>
      <c r="IIB57" s="12"/>
      <c r="IIC57" s="12"/>
      <c r="IID57" s="12"/>
      <c r="IIE57" s="12"/>
      <c r="IIF57" s="12"/>
      <c r="IIG57" s="12"/>
      <c r="IIH57" s="12"/>
      <c r="III57" s="12"/>
      <c r="IIJ57" s="12"/>
      <c r="IIK57" s="12"/>
      <c r="IIL57" s="12"/>
      <c r="IIM57" s="12"/>
      <c r="IIN57" s="12"/>
      <c r="IIO57" s="12"/>
      <c r="IIP57" s="12"/>
      <c r="IIQ57" s="12"/>
      <c r="IIR57" s="12"/>
      <c r="IIS57" s="12"/>
      <c r="IIT57" s="12"/>
      <c r="IIU57" s="12"/>
      <c r="IIV57" s="12"/>
      <c r="IIW57" s="12"/>
      <c r="IIX57" s="12"/>
      <c r="IIY57" s="12"/>
      <c r="IIZ57" s="12"/>
      <c r="IJA57" s="12"/>
      <c r="IJB57" s="12"/>
      <c r="IJC57" s="12"/>
      <c r="IJD57" s="12"/>
      <c r="IJE57" s="12"/>
      <c r="IJF57" s="12"/>
      <c r="IJG57" s="12"/>
      <c r="IJH57" s="12"/>
      <c r="IJI57" s="12"/>
      <c r="IJJ57" s="12"/>
      <c r="IJK57" s="12"/>
      <c r="IJL57" s="12"/>
      <c r="IJM57" s="12"/>
      <c r="IJN57" s="12"/>
      <c r="IJO57" s="12"/>
      <c r="IJP57" s="12"/>
      <c r="IJQ57" s="12"/>
      <c r="IJR57" s="12"/>
      <c r="IJS57" s="12"/>
      <c r="IJT57" s="12"/>
      <c r="IJU57" s="12"/>
      <c r="IJV57" s="12"/>
      <c r="IJW57" s="12"/>
      <c r="IJX57" s="12"/>
      <c r="IJY57" s="12"/>
      <c r="IJZ57" s="12"/>
      <c r="IKA57" s="12"/>
      <c r="IKB57" s="12"/>
      <c r="IKC57" s="12"/>
      <c r="IKD57" s="12"/>
      <c r="IKE57" s="12"/>
      <c r="IKF57" s="12"/>
      <c r="IKG57" s="12"/>
      <c r="IKH57" s="12"/>
      <c r="IKI57" s="12"/>
      <c r="IKJ57" s="12"/>
      <c r="IKK57" s="12"/>
      <c r="IKL57" s="12"/>
      <c r="IKM57" s="12"/>
      <c r="IKN57" s="12"/>
      <c r="IKO57" s="12"/>
      <c r="IKP57" s="12"/>
      <c r="IKQ57" s="12"/>
      <c r="IKR57" s="12"/>
      <c r="IKS57" s="12"/>
      <c r="IKT57" s="12"/>
      <c r="IKU57" s="12"/>
      <c r="IKV57" s="12"/>
      <c r="IKW57" s="12"/>
      <c r="IKX57" s="12"/>
      <c r="IKY57" s="12"/>
      <c r="IKZ57" s="12"/>
      <c r="ILA57" s="12"/>
      <c r="ILB57" s="12"/>
      <c r="ILC57" s="12"/>
      <c r="ILD57" s="12"/>
      <c r="ILE57" s="12"/>
      <c r="ILF57" s="12"/>
      <c r="ILG57" s="12"/>
      <c r="ILH57" s="12"/>
      <c r="ILI57" s="12"/>
      <c r="ILJ57" s="12"/>
      <c r="ILK57" s="12"/>
      <c r="ILL57" s="12"/>
      <c r="ILM57" s="12"/>
      <c r="ILN57" s="12"/>
      <c r="ILO57" s="12"/>
      <c r="ILP57" s="12"/>
      <c r="ILQ57" s="12"/>
      <c r="ILR57" s="12"/>
      <c r="ILS57" s="12"/>
      <c r="ILT57" s="12"/>
      <c r="ILU57" s="12"/>
      <c r="ILV57" s="12"/>
      <c r="ILW57" s="12"/>
      <c r="ILX57" s="12"/>
      <c r="ILY57" s="12"/>
      <c r="ILZ57" s="12"/>
      <c r="IMA57" s="12"/>
      <c r="IMB57" s="12"/>
      <c r="IMC57" s="12"/>
      <c r="IMD57" s="12"/>
      <c r="IME57" s="12"/>
      <c r="IMF57" s="12"/>
      <c r="IMG57" s="12"/>
      <c r="IMH57" s="12"/>
      <c r="IMI57" s="12"/>
      <c r="IMJ57" s="12"/>
      <c r="IMK57" s="12"/>
      <c r="IML57" s="12"/>
      <c r="IMM57" s="12"/>
      <c r="IMN57" s="12"/>
      <c r="IMO57" s="12"/>
      <c r="IMP57" s="12"/>
      <c r="IMQ57" s="12"/>
      <c r="IMR57" s="12"/>
      <c r="IMS57" s="12"/>
      <c r="IMT57" s="12"/>
      <c r="IMU57" s="12"/>
      <c r="IMV57" s="12"/>
      <c r="IMW57" s="12"/>
      <c r="IMX57" s="12"/>
      <c r="IMY57" s="12"/>
      <c r="IMZ57" s="12"/>
      <c r="INA57" s="12"/>
      <c r="INB57" s="12"/>
      <c r="INC57" s="12"/>
      <c r="IND57" s="12"/>
      <c r="INE57" s="12"/>
      <c r="INF57" s="12"/>
      <c r="ING57" s="12"/>
      <c r="INH57" s="12"/>
      <c r="INI57" s="12"/>
      <c r="INJ57" s="12"/>
      <c r="INK57" s="12"/>
      <c r="INL57" s="12"/>
      <c r="INM57" s="12"/>
      <c r="INN57" s="12"/>
      <c r="INO57" s="12"/>
      <c r="INP57" s="12"/>
      <c r="INQ57" s="12"/>
      <c r="INR57" s="12"/>
      <c r="INS57" s="12"/>
      <c r="INT57" s="12"/>
      <c r="INU57" s="12"/>
      <c r="INV57" s="12"/>
      <c r="INW57" s="12"/>
      <c r="INX57" s="12"/>
      <c r="INY57" s="12"/>
      <c r="INZ57" s="12"/>
      <c r="IOA57" s="12"/>
      <c r="IOB57" s="12"/>
      <c r="IOC57" s="12"/>
      <c r="IOD57" s="12"/>
      <c r="IOE57" s="12"/>
      <c r="IOF57" s="12"/>
      <c r="IOG57" s="12"/>
      <c r="IOH57" s="12"/>
      <c r="IOI57" s="12"/>
      <c r="IOJ57" s="12"/>
      <c r="IOK57" s="12"/>
      <c r="IOL57" s="12"/>
      <c r="IOM57" s="12"/>
      <c r="ION57" s="12"/>
      <c r="IOO57" s="12"/>
      <c r="IOP57" s="12"/>
      <c r="IOQ57" s="12"/>
      <c r="IOR57" s="12"/>
      <c r="IOS57" s="12"/>
      <c r="IOT57" s="12"/>
      <c r="IOU57" s="12"/>
      <c r="IOV57" s="12"/>
      <c r="IOW57" s="12"/>
      <c r="IOX57" s="12"/>
      <c r="IOY57" s="12"/>
      <c r="IOZ57" s="12"/>
      <c r="IPA57" s="12"/>
      <c r="IPB57" s="12"/>
      <c r="IPC57" s="12"/>
      <c r="IPD57" s="12"/>
      <c r="IPE57" s="12"/>
      <c r="IPF57" s="12"/>
      <c r="IPG57" s="12"/>
      <c r="IPH57" s="12"/>
      <c r="IPI57" s="12"/>
      <c r="IPJ57" s="12"/>
      <c r="IPK57" s="12"/>
      <c r="IPL57" s="12"/>
      <c r="IPM57" s="12"/>
      <c r="IPN57" s="12"/>
      <c r="IPO57" s="12"/>
      <c r="IPP57" s="12"/>
      <c r="IPQ57" s="12"/>
      <c r="IPR57" s="12"/>
      <c r="IPS57" s="12"/>
      <c r="IPT57" s="12"/>
      <c r="IPU57" s="12"/>
      <c r="IPV57" s="12"/>
      <c r="IPW57" s="12"/>
      <c r="IPX57" s="12"/>
      <c r="IPY57" s="12"/>
      <c r="IPZ57" s="12"/>
      <c r="IQA57" s="12"/>
      <c r="IQB57" s="12"/>
      <c r="IQC57" s="12"/>
      <c r="IQD57" s="12"/>
      <c r="IQE57" s="12"/>
      <c r="IQF57" s="12"/>
      <c r="IQG57" s="12"/>
      <c r="IQH57" s="12"/>
      <c r="IQI57" s="12"/>
      <c r="IQJ57" s="12"/>
      <c r="IQK57" s="12"/>
      <c r="IQL57" s="12"/>
      <c r="IQM57" s="12"/>
      <c r="IQN57" s="12"/>
      <c r="IQO57" s="12"/>
      <c r="IQP57" s="12"/>
      <c r="IQQ57" s="12"/>
      <c r="IQR57" s="12"/>
      <c r="IQS57" s="12"/>
      <c r="IQT57" s="12"/>
      <c r="IQU57" s="12"/>
      <c r="IQV57" s="12"/>
      <c r="IQW57" s="12"/>
      <c r="IQX57" s="12"/>
      <c r="IQY57" s="12"/>
      <c r="IQZ57" s="12"/>
      <c r="IRA57" s="12"/>
      <c r="IRB57" s="12"/>
      <c r="IRC57" s="12"/>
      <c r="IRD57" s="12"/>
      <c r="IRE57" s="12"/>
      <c r="IRF57" s="12"/>
      <c r="IRG57" s="12"/>
      <c r="IRH57" s="12"/>
      <c r="IRI57" s="12"/>
      <c r="IRJ57" s="12"/>
      <c r="IRK57" s="12"/>
      <c r="IRL57" s="12"/>
      <c r="IRM57" s="12"/>
      <c r="IRN57" s="12"/>
      <c r="IRO57" s="12"/>
      <c r="IRP57" s="12"/>
      <c r="IRQ57" s="12"/>
      <c r="IRR57" s="12"/>
      <c r="IRS57" s="12"/>
      <c r="IRT57" s="12"/>
      <c r="IRU57" s="12"/>
      <c r="IRV57" s="12"/>
      <c r="IRW57" s="12"/>
      <c r="IRX57" s="12"/>
      <c r="IRY57" s="12"/>
      <c r="IRZ57" s="12"/>
      <c r="ISA57" s="12"/>
      <c r="ISB57" s="12"/>
      <c r="ISC57" s="12"/>
      <c r="ISD57" s="12"/>
      <c r="ISE57" s="12"/>
      <c r="ISF57" s="12"/>
      <c r="ISG57" s="12"/>
      <c r="ISH57" s="12"/>
      <c r="ISI57" s="12"/>
      <c r="ISJ57" s="12"/>
      <c r="ISK57" s="12"/>
      <c r="ISL57" s="12"/>
      <c r="ISM57" s="12"/>
      <c r="ISN57" s="12"/>
      <c r="ISO57" s="12"/>
      <c r="ISP57" s="12"/>
      <c r="ISQ57" s="12"/>
      <c r="ISR57" s="12"/>
      <c r="ISS57" s="12"/>
      <c r="IST57" s="12"/>
      <c r="ISU57" s="12"/>
      <c r="ISV57" s="12"/>
      <c r="ISW57" s="12"/>
      <c r="ISX57" s="12"/>
      <c r="ISY57" s="12"/>
      <c r="ISZ57" s="12"/>
      <c r="ITA57" s="12"/>
      <c r="ITB57" s="12"/>
      <c r="ITC57" s="12"/>
      <c r="ITD57" s="12"/>
      <c r="ITE57" s="12"/>
      <c r="ITF57" s="12"/>
      <c r="ITG57" s="12"/>
      <c r="ITH57" s="12"/>
      <c r="ITI57" s="12"/>
      <c r="ITJ57" s="12"/>
      <c r="ITK57" s="12"/>
      <c r="ITL57" s="12"/>
      <c r="ITM57" s="12"/>
      <c r="ITN57" s="12"/>
      <c r="ITO57" s="12"/>
      <c r="ITP57" s="12"/>
      <c r="ITQ57" s="12"/>
      <c r="ITR57" s="12"/>
      <c r="ITS57" s="12"/>
      <c r="ITT57" s="12"/>
      <c r="ITU57" s="12"/>
      <c r="ITV57" s="12"/>
      <c r="ITW57" s="12"/>
      <c r="ITX57" s="12"/>
      <c r="ITY57" s="12"/>
      <c r="ITZ57" s="12"/>
      <c r="IUA57" s="12"/>
      <c r="IUB57" s="12"/>
      <c r="IUC57" s="12"/>
      <c r="IUD57" s="12"/>
      <c r="IUE57" s="12"/>
      <c r="IUF57" s="12"/>
      <c r="IUG57" s="12"/>
      <c r="IUH57" s="12"/>
      <c r="IUI57" s="12"/>
      <c r="IUJ57" s="12"/>
      <c r="IUK57" s="12"/>
      <c r="IUL57" s="12"/>
      <c r="IUM57" s="12"/>
      <c r="IUN57" s="12"/>
      <c r="IUO57" s="12"/>
      <c r="IUP57" s="12"/>
      <c r="IUQ57" s="12"/>
      <c r="IUR57" s="12"/>
      <c r="IUS57" s="12"/>
      <c r="IUT57" s="12"/>
      <c r="IUU57" s="12"/>
      <c r="IUV57" s="12"/>
      <c r="IUW57" s="12"/>
      <c r="IUX57" s="12"/>
      <c r="IUY57" s="12"/>
      <c r="IUZ57" s="12"/>
      <c r="IVA57" s="12"/>
      <c r="IVB57" s="12"/>
      <c r="IVC57" s="12"/>
      <c r="IVD57" s="12"/>
      <c r="IVE57" s="12"/>
      <c r="IVF57" s="12"/>
      <c r="IVG57" s="12"/>
      <c r="IVH57" s="12"/>
      <c r="IVI57" s="12"/>
      <c r="IVJ57" s="12"/>
      <c r="IVK57" s="12"/>
      <c r="IVL57" s="12"/>
      <c r="IVM57" s="12"/>
      <c r="IVN57" s="12"/>
      <c r="IVO57" s="12"/>
      <c r="IVP57" s="12"/>
      <c r="IVQ57" s="12"/>
      <c r="IVR57" s="12"/>
      <c r="IVS57" s="12"/>
      <c r="IVT57" s="12"/>
      <c r="IVU57" s="12"/>
      <c r="IVV57" s="12"/>
      <c r="IVW57" s="12"/>
      <c r="IVX57" s="12"/>
      <c r="IVY57" s="12"/>
      <c r="IVZ57" s="12"/>
      <c r="IWA57" s="12"/>
      <c r="IWB57" s="12"/>
      <c r="IWC57" s="12"/>
      <c r="IWD57" s="12"/>
      <c r="IWE57" s="12"/>
      <c r="IWF57" s="12"/>
      <c r="IWG57" s="12"/>
      <c r="IWH57" s="12"/>
      <c r="IWI57" s="12"/>
      <c r="IWJ57" s="12"/>
      <c r="IWK57" s="12"/>
      <c r="IWL57" s="12"/>
      <c r="IWM57" s="12"/>
      <c r="IWN57" s="12"/>
      <c r="IWO57" s="12"/>
      <c r="IWP57" s="12"/>
      <c r="IWQ57" s="12"/>
      <c r="IWR57" s="12"/>
      <c r="IWS57" s="12"/>
      <c r="IWT57" s="12"/>
      <c r="IWU57" s="12"/>
      <c r="IWV57" s="12"/>
      <c r="IWW57" s="12"/>
      <c r="IWX57" s="12"/>
      <c r="IWY57" s="12"/>
      <c r="IWZ57" s="12"/>
      <c r="IXA57" s="12"/>
      <c r="IXB57" s="12"/>
      <c r="IXC57" s="12"/>
      <c r="IXD57" s="12"/>
      <c r="IXE57" s="12"/>
      <c r="IXF57" s="12"/>
      <c r="IXG57" s="12"/>
      <c r="IXH57" s="12"/>
      <c r="IXI57" s="12"/>
      <c r="IXJ57" s="12"/>
      <c r="IXK57" s="12"/>
      <c r="IXL57" s="12"/>
      <c r="IXM57" s="12"/>
      <c r="IXN57" s="12"/>
      <c r="IXO57" s="12"/>
      <c r="IXP57" s="12"/>
      <c r="IXQ57" s="12"/>
      <c r="IXR57" s="12"/>
      <c r="IXS57" s="12"/>
      <c r="IXT57" s="12"/>
      <c r="IXU57" s="12"/>
      <c r="IXV57" s="12"/>
      <c r="IXW57" s="12"/>
      <c r="IXX57" s="12"/>
      <c r="IXY57" s="12"/>
      <c r="IXZ57" s="12"/>
      <c r="IYA57" s="12"/>
      <c r="IYB57" s="12"/>
      <c r="IYC57" s="12"/>
      <c r="IYD57" s="12"/>
      <c r="IYE57" s="12"/>
      <c r="IYF57" s="12"/>
      <c r="IYG57" s="12"/>
      <c r="IYH57" s="12"/>
      <c r="IYI57" s="12"/>
      <c r="IYJ57" s="12"/>
      <c r="IYK57" s="12"/>
      <c r="IYL57" s="12"/>
      <c r="IYM57" s="12"/>
      <c r="IYN57" s="12"/>
      <c r="IYO57" s="12"/>
      <c r="IYP57" s="12"/>
      <c r="IYQ57" s="12"/>
      <c r="IYR57" s="12"/>
      <c r="IYS57" s="12"/>
      <c r="IYT57" s="12"/>
      <c r="IYU57" s="12"/>
      <c r="IYV57" s="12"/>
      <c r="IYW57" s="12"/>
      <c r="IYX57" s="12"/>
      <c r="IYY57" s="12"/>
      <c r="IYZ57" s="12"/>
      <c r="IZA57" s="12"/>
      <c r="IZB57" s="12"/>
      <c r="IZC57" s="12"/>
      <c r="IZD57" s="12"/>
      <c r="IZE57" s="12"/>
      <c r="IZF57" s="12"/>
      <c r="IZG57" s="12"/>
      <c r="IZH57" s="12"/>
      <c r="IZI57" s="12"/>
      <c r="IZJ57" s="12"/>
      <c r="IZK57" s="12"/>
      <c r="IZL57" s="12"/>
      <c r="IZM57" s="12"/>
      <c r="IZN57" s="12"/>
      <c r="IZO57" s="12"/>
      <c r="IZP57" s="12"/>
      <c r="IZQ57" s="12"/>
      <c r="IZR57" s="12"/>
      <c r="IZS57" s="12"/>
      <c r="IZT57" s="12"/>
      <c r="IZU57" s="12"/>
      <c r="IZV57" s="12"/>
      <c r="IZW57" s="12"/>
      <c r="IZX57" s="12"/>
      <c r="IZY57" s="12"/>
      <c r="IZZ57" s="12"/>
      <c r="JAA57" s="12"/>
      <c r="JAB57" s="12"/>
      <c r="JAC57" s="12"/>
      <c r="JAD57" s="12"/>
      <c r="JAE57" s="12"/>
      <c r="JAF57" s="12"/>
      <c r="JAG57" s="12"/>
      <c r="JAH57" s="12"/>
      <c r="JAI57" s="12"/>
      <c r="JAJ57" s="12"/>
      <c r="JAK57" s="12"/>
      <c r="JAL57" s="12"/>
      <c r="JAM57" s="12"/>
      <c r="JAN57" s="12"/>
      <c r="JAO57" s="12"/>
      <c r="JAP57" s="12"/>
      <c r="JAQ57" s="12"/>
      <c r="JAR57" s="12"/>
      <c r="JAS57" s="12"/>
      <c r="JAT57" s="12"/>
      <c r="JAU57" s="12"/>
      <c r="JAV57" s="12"/>
      <c r="JAW57" s="12"/>
      <c r="JAX57" s="12"/>
      <c r="JAY57" s="12"/>
      <c r="JAZ57" s="12"/>
      <c r="JBA57" s="12"/>
      <c r="JBB57" s="12"/>
      <c r="JBC57" s="12"/>
      <c r="JBD57" s="12"/>
      <c r="JBE57" s="12"/>
      <c r="JBF57" s="12"/>
      <c r="JBG57" s="12"/>
      <c r="JBH57" s="12"/>
      <c r="JBI57" s="12"/>
      <c r="JBJ57" s="12"/>
      <c r="JBK57" s="12"/>
      <c r="JBL57" s="12"/>
      <c r="JBM57" s="12"/>
      <c r="JBN57" s="12"/>
      <c r="JBO57" s="12"/>
      <c r="JBP57" s="12"/>
      <c r="JBQ57" s="12"/>
      <c r="JBR57" s="12"/>
      <c r="JBS57" s="12"/>
      <c r="JBT57" s="12"/>
      <c r="JBU57" s="12"/>
      <c r="JBV57" s="12"/>
      <c r="JBW57" s="12"/>
      <c r="JBX57" s="12"/>
      <c r="JBY57" s="12"/>
      <c r="JBZ57" s="12"/>
      <c r="JCA57" s="12"/>
      <c r="JCB57" s="12"/>
      <c r="JCC57" s="12"/>
      <c r="JCD57" s="12"/>
      <c r="JCE57" s="12"/>
      <c r="JCF57" s="12"/>
      <c r="JCG57" s="12"/>
      <c r="JCH57" s="12"/>
      <c r="JCI57" s="12"/>
      <c r="JCJ57" s="12"/>
      <c r="JCK57" s="12"/>
      <c r="JCL57" s="12"/>
      <c r="JCM57" s="12"/>
      <c r="JCN57" s="12"/>
      <c r="JCO57" s="12"/>
      <c r="JCP57" s="12"/>
      <c r="JCQ57" s="12"/>
      <c r="JCR57" s="12"/>
      <c r="JCS57" s="12"/>
      <c r="JCT57" s="12"/>
      <c r="JCU57" s="12"/>
      <c r="JCV57" s="12"/>
      <c r="JCW57" s="12"/>
      <c r="JCX57" s="12"/>
      <c r="JCY57" s="12"/>
      <c r="JCZ57" s="12"/>
      <c r="JDA57" s="12"/>
      <c r="JDB57" s="12"/>
      <c r="JDC57" s="12"/>
      <c r="JDD57" s="12"/>
      <c r="JDE57" s="12"/>
      <c r="JDF57" s="12"/>
      <c r="JDG57" s="12"/>
      <c r="JDH57" s="12"/>
      <c r="JDI57" s="12"/>
      <c r="JDJ57" s="12"/>
      <c r="JDK57" s="12"/>
      <c r="JDL57" s="12"/>
      <c r="JDM57" s="12"/>
      <c r="JDN57" s="12"/>
      <c r="JDO57" s="12"/>
      <c r="JDP57" s="12"/>
      <c r="JDQ57" s="12"/>
      <c r="JDR57" s="12"/>
      <c r="JDS57" s="12"/>
      <c r="JDT57" s="12"/>
      <c r="JDU57" s="12"/>
      <c r="JDV57" s="12"/>
      <c r="JDW57" s="12"/>
      <c r="JDX57" s="12"/>
      <c r="JDY57" s="12"/>
      <c r="JDZ57" s="12"/>
      <c r="JEA57" s="12"/>
      <c r="JEB57" s="12"/>
      <c r="JEC57" s="12"/>
      <c r="JED57" s="12"/>
      <c r="JEE57" s="12"/>
      <c r="JEF57" s="12"/>
      <c r="JEG57" s="12"/>
      <c r="JEH57" s="12"/>
      <c r="JEI57" s="12"/>
      <c r="JEJ57" s="12"/>
      <c r="JEK57" s="12"/>
      <c r="JEL57" s="12"/>
      <c r="JEM57" s="12"/>
      <c r="JEN57" s="12"/>
      <c r="JEO57" s="12"/>
      <c r="JEP57" s="12"/>
      <c r="JEQ57" s="12"/>
      <c r="JER57" s="12"/>
      <c r="JES57" s="12"/>
      <c r="JET57" s="12"/>
      <c r="JEU57" s="12"/>
      <c r="JEV57" s="12"/>
      <c r="JEW57" s="12"/>
      <c r="JEX57" s="12"/>
      <c r="JEY57" s="12"/>
      <c r="JEZ57" s="12"/>
      <c r="JFA57" s="12"/>
      <c r="JFB57" s="12"/>
      <c r="JFC57" s="12"/>
      <c r="JFD57" s="12"/>
      <c r="JFE57" s="12"/>
      <c r="JFF57" s="12"/>
      <c r="JFG57" s="12"/>
      <c r="JFH57" s="12"/>
      <c r="JFI57" s="12"/>
      <c r="JFJ57" s="12"/>
      <c r="JFK57" s="12"/>
      <c r="JFL57" s="12"/>
      <c r="JFM57" s="12"/>
      <c r="JFN57" s="12"/>
      <c r="JFO57" s="12"/>
      <c r="JFP57" s="12"/>
      <c r="JFQ57" s="12"/>
      <c r="JFR57" s="12"/>
      <c r="JFS57" s="12"/>
      <c r="JFT57" s="12"/>
      <c r="JFU57" s="12"/>
      <c r="JFV57" s="12"/>
      <c r="JFW57" s="12"/>
      <c r="JFX57" s="12"/>
      <c r="JFY57" s="12"/>
      <c r="JFZ57" s="12"/>
      <c r="JGA57" s="12"/>
      <c r="JGB57" s="12"/>
      <c r="JGC57" s="12"/>
      <c r="JGD57" s="12"/>
      <c r="JGE57" s="12"/>
      <c r="JGF57" s="12"/>
      <c r="JGG57" s="12"/>
      <c r="JGH57" s="12"/>
      <c r="JGI57" s="12"/>
      <c r="JGJ57" s="12"/>
      <c r="JGK57" s="12"/>
      <c r="JGL57" s="12"/>
      <c r="JGM57" s="12"/>
      <c r="JGN57" s="12"/>
      <c r="JGO57" s="12"/>
      <c r="JGP57" s="12"/>
      <c r="JGQ57" s="12"/>
      <c r="JGR57" s="12"/>
      <c r="JGS57" s="12"/>
      <c r="JGT57" s="12"/>
      <c r="JGU57" s="12"/>
      <c r="JGV57" s="12"/>
      <c r="JGW57" s="12"/>
      <c r="JGX57" s="12"/>
      <c r="JGY57" s="12"/>
      <c r="JGZ57" s="12"/>
      <c r="JHA57" s="12"/>
      <c r="JHB57" s="12"/>
      <c r="JHC57" s="12"/>
      <c r="JHD57" s="12"/>
      <c r="JHE57" s="12"/>
      <c r="JHF57" s="12"/>
      <c r="JHG57" s="12"/>
      <c r="JHH57" s="12"/>
      <c r="JHI57" s="12"/>
      <c r="JHJ57" s="12"/>
      <c r="JHK57" s="12"/>
      <c r="JHL57" s="12"/>
      <c r="JHM57" s="12"/>
      <c r="JHN57" s="12"/>
      <c r="JHO57" s="12"/>
      <c r="JHP57" s="12"/>
      <c r="JHQ57" s="12"/>
      <c r="JHR57" s="12"/>
      <c r="JHS57" s="12"/>
      <c r="JHT57" s="12"/>
      <c r="JHU57" s="12"/>
      <c r="JHV57" s="12"/>
      <c r="JHW57" s="12"/>
      <c r="JHX57" s="12"/>
      <c r="JHY57" s="12"/>
      <c r="JHZ57" s="12"/>
      <c r="JIA57" s="12"/>
      <c r="JIB57" s="12"/>
      <c r="JIC57" s="12"/>
      <c r="JID57" s="12"/>
      <c r="JIE57" s="12"/>
      <c r="JIF57" s="12"/>
      <c r="JIG57" s="12"/>
      <c r="JIH57" s="12"/>
      <c r="JII57" s="12"/>
      <c r="JIJ57" s="12"/>
      <c r="JIK57" s="12"/>
      <c r="JIL57" s="12"/>
      <c r="JIM57" s="12"/>
      <c r="JIN57" s="12"/>
      <c r="JIO57" s="12"/>
      <c r="JIP57" s="12"/>
      <c r="JIQ57" s="12"/>
      <c r="JIR57" s="12"/>
      <c r="JIS57" s="12"/>
      <c r="JIT57" s="12"/>
      <c r="JIU57" s="12"/>
      <c r="JIV57" s="12"/>
      <c r="JIW57" s="12"/>
      <c r="JIX57" s="12"/>
      <c r="JIY57" s="12"/>
      <c r="JIZ57" s="12"/>
      <c r="JJA57" s="12"/>
      <c r="JJB57" s="12"/>
      <c r="JJC57" s="12"/>
      <c r="JJD57" s="12"/>
      <c r="JJE57" s="12"/>
      <c r="JJF57" s="12"/>
      <c r="JJG57" s="12"/>
      <c r="JJH57" s="12"/>
      <c r="JJI57" s="12"/>
      <c r="JJJ57" s="12"/>
      <c r="JJK57" s="12"/>
      <c r="JJL57" s="12"/>
      <c r="JJM57" s="12"/>
      <c r="JJN57" s="12"/>
      <c r="JJO57" s="12"/>
      <c r="JJP57" s="12"/>
      <c r="JJQ57" s="12"/>
      <c r="JJR57" s="12"/>
      <c r="JJS57" s="12"/>
      <c r="JJT57" s="12"/>
      <c r="JJU57" s="12"/>
      <c r="JJV57" s="12"/>
      <c r="JJW57" s="12"/>
      <c r="JJX57" s="12"/>
      <c r="JJY57" s="12"/>
      <c r="JJZ57" s="12"/>
      <c r="JKA57" s="12"/>
      <c r="JKB57" s="12"/>
      <c r="JKC57" s="12"/>
      <c r="JKD57" s="12"/>
      <c r="JKE57" s="12"/>
      <c r="JKF57" s="12"/>
      <c r="JKG57" s="12"/>
      <c r="JKH57" s="12"/>
      <c r="JKI57" s="12"/>
      <c r="JKJ57" s="12"/>
      <c r="JKK57" s="12"/>
      <c r="JKL57" s="12"/>
      <c r="JKM57" s="12"/>
      <c r="JKN57" s="12"/>
      <c r="JKO57" s="12"/>
      <c r="JKP57" s="12"/>
      <c r="JKQ57" s="12"/>
      <c r="JKR57" s="12"/>
      <c r="JKS57" s="12"/>
      <c r="JKT57" s="12"/>
      <c r="JKU57" s="12"/>
      <c r="JKV57" s="12"/>
      <c r="JKW57" s="12"/>
      <c r="JKX57" s="12"/>
      <c r="JKY57" s="12"/>
      <c r="JKZ57" s="12"/>
      <c r="JLA57" s="12"/>
      <c r="JLB57" s="12"/>
      <c r="JLC57" s="12"/>
      <c r="JLD57" s="12"/>
      <c r="JLE57" s="12"/>
      <c r="JLF57" s="12"/>
      <c r="JLG57" s="12"/>
      <c r="JLH57" s="12"/>
      <c r="JLI57" s="12"/>
      <c r="JLJ57" s="12"/>
      <c r="JLK57" s="12"/>
      <c r="JLL57" s="12"/>
      <c r="JLM57" s="12"/>
      <c r="JLN57" s="12"/>
      <c r="JLO57" s="12"/>
      <c r="JLP57" s="12"/>
      <c r="JLQ57" s="12"/>
      <c r="JLR57" s="12"/>
      <c r="JLS57" s="12"/>
      <c r="JLT57" s="12"/>
      <c r="JLU57" s="12"/>
      <c r="JLV57" s="12"/>
      <c r="JLW57" s="12"/>
      <c r="JLX57" s="12"/>
      <c r="JLY57" s="12"/>
      <c r="JLZ57" s="12"/>
      <c r="JMA57" s="12"/>
      <c r="JMB57" s="12"/>
      <c r="JMC57" s="12"/>
      <c r="JMD57" s="12"/>
      <c r="JME57" s="12"/>
      <c r="JMF57" s="12"/>
      <c r="JMG57" s="12"/>
      <c r="JMH57" s="12"/>
      <c r="JMI57" s="12"/>
      <c r="JMJ57" s="12"/>
      <c r="JMK57" s="12"/>
      <c r="JML57" s="12"/>
      <c r="JMM57" s="12"/>
      <c r="JMN57" s="12"/>
      <c r="JMO57" s="12"/>
      <c r="JMP57" s="12"/>
      <c r="JMQ57" s="12"/>
      <c r="JMR57" s="12"/>
      <c r="JMS57" s="12"/>
      <c r="JMT57" s="12"/>
      <c r="JMU57" s="12"/>
      <c r="JMV57" s="12"/>
      <c r="JMW57" s="12"/>
      <c r="JMX57" s="12"/>
      <c r="JMY57" s="12"/>
      <c r="JMZ57" s="12"/>
      <c r="JNA57" s="12"/>
      <c r="JNB57" s="12"/>
      <c r="JNC57" s="12"/>
      <c r="JND57" s="12"/>
      <c r="JNE57" s="12"/>
      <c r="JNF57" s="12"/>
      <c r="JNG57" s="12"/>
      <c r="JNH57" s="12"/>
      <c r="JNI57" s="12"/>
      <c r="JNJ57" s="12"/>
      <c r="JNK57" s="12"/>
      <c r="JNL57" s="12"/>
      <c r="JNM57" s="12"/>
      <c r="JNN57" s="12"/>
      <c r="JNO57" s="12"/>
      <c r="JNP57" s="12"/>
      <c r="JNQ57" s="12"/>
      <c r="JNR57" s="12"/>
      <c r="JNS57" s="12"/>
      <c r="JNT57" s="12"/>
      <c r="JNU57" s="12"/>
      <c r="JNV57" s="12"/>
      <c r="JNW57" s="12"/>
      <c r="JNX57" s="12"/>
      <c r="JNY57" s="12"/>
      <c r="JNZ57" s="12"/>
      <c r="JOA57" s="12"/>
      <c r="JOB57" s="12"/>
      <c r="JOC57" s="12"/>
      <c r="JOD57" s="12"/>
      <c r="JOE57" s="12"/>
      <c r="JOF57" s="12"/>
      <c r="JOG57" s="12"/>
      <c r="JOH57" s="12"/>
      <c r="JOI57" s="12"/>
      <c r="JOJ57" s="12"/>
      <c r="JOK57" s="12"/>
      <c r="JOL57" s="12"/>
      <c r="JOM57" s="12"/>
      <c r="JON57" s="12"/>
      <c r="JOO57" s="12"/>
      <c r="JOP57" s="12"/>
      <c r="JOQ57" s="12"/>
      <c r="JOR57" s="12"/>
      <c r="JOS57" s="12"/>
      <c r="JOT57" s="12"/>
      <c r="JOU57" s="12"/>
      <c r="JOV57" s="12"/>
      <c r="JOW57" s="12"/>
      <c r="JOX57" s="12"/>
      <c r="JOY57" s="12"/>
      <c r="JOZ57" s="12"/>
      <c r="JPA57" s="12"/>
      <c r="JPB57" s="12"/>
      <c r="JPC57" s="12"/>
      <c r="JPD57" s="12"/>
      <c r="JPE57" s="12"/>
      <c r="JPF57" s="12"/>
      <c r="JPG57" s="12"/>
      <c r="JPH57" s="12"/>
      <c r="JPI57" s="12"/>
      <c r="JPJ57" s="12"/>
      <c r="JPK57" s="12"/>
      <c r="JPL57" s="12"/>
      <c r="JPM57" s="12"/>
      <c r="JPN57" s="12"/>
      <c r="JPO57" s="12"/>
      <c r="JPP57" s="12"/>
      <c r="JPQ57" s="12"/>
      <c r="JPR57" s="12"/>
      <c r="JPS57" s="12"/>
      <c r="JPT57" s="12"/>
      <c r="JPU57" s="12"/>
      <c r="JPV57" s="12"/>
      <c r="JPW57" s="12"/>
      <c r="JPX57" s="12"/>
      <c r="JPY57" s="12"/>
      <c r="JPZ57" s="12"/>
      <c r="JQA57" s="12"/>
      <c r="JQB57" s="12"/>
      <c r="JQC57" s="12"/>
      <c r="JQD57" s="12"/>
      <c r="JQE57" s="12"/>
      <c r="JQF57" s="12"/>
      <c r="JQG57" s="12"/>
      <c r="JQH57" s="12"/>
      <c r="JQI57" s="12"/>
      <c r="JQJ57" s="12"/>
      <c r="JQK57" s="12"/>
      <c r="JQL57" s="12"/>
      <c r="JQM57" s="12"/>
      <c r="JQN57" s="12"/>
      <c r="JQO57" s="12"/>
      <c r="JQP57" s="12"/>
      <c r="JQQ57" s="12"/>
      <c r="JQR57" s="12"/>
      <c r="JQS57" s="12"/>
      <c r="JQT57" s="12"/>
      <c r="JQU57" s="12"/>
      <c r="JQV57" s="12"/>
      <c r="JQW57" s="12"/>
      <c r="JQX57" s="12"/>
      <c r="JQY57" s="12"/>
      <c r="JQZ57" s="12"/>
      <c r="JRA57" s="12"/>
      <c r="JRB57" s="12"/>
      <c r="JRC57" s="12"/>
      <c r="JRD57" s="12"/>
      <c r="JRE57" s="12"/>
      <c r="JRF57" s="12"/>
      <c r="JRG57" s="12"/>
      <c r="JRH57" s="12"/>
      <c r="JRI57" s="12"/>
      <c r="JRJ57" s="12"/>
      <c r="JRK57" s="12"/>
      <c r="JRL57" s="12"/>
      <c r="JRM57" s="12"/>
      <c r="JRN57" s="12"/>
      <c r="JRO57" s="12"/>
      <c r="JRP57" s="12"/>
      <c r="JRQ57" s="12"/>
      <c r="JRR57" s="12"/>
      <c r="JRS57" s="12"/>
      <c r="JRT57" s="12"/>
      <c r="JRU57" s="12"/>
      <c r="JRV57" s="12"/>
      <c r="JRW57" s="12"/>
      <c r="JRX57" s="12"/>
      <c r="JRY57" s="12"/>
      <c r="JRZ57" s="12"/>
      <c r="JSA57" s="12"/>
      <c r="JSB57" s="12"/>
      <c r="JSC57" s="12"/>
      <c r="JSD57" s="12"/>
      <c r="JSE57" s="12"/>
      <c r="JSF57" s="12"/>
      <c r="JSG57" s="12"/>
      <c r="JSH57" s="12"/>
      <c r="JSI57" s="12"/>
      <c r="JSJ57" s="12"/>
      <c r="JSK57" s="12"/>
      <c r="JSL57" s="12"/>
      <c r="JSM57" s="12"/>
      <c r="JSN57" s="12"/>
      <c r="JSO57" s="12"/>
      <c r="JSP57" s="12"/>
      <c r="JSQ57" s="12"/>
      <c r="JSR57" s="12"/>
      <c r="JSS57" s="12"/>
      <c r="JST57" s="12"/>
      <c r="JSU57" s="12"/>
      <c r="JSV57" s="12"/>
      <c r="JSW57" s="12"/>
      <c r="JSX57" s="12"/>
      <c r="JSY57" s="12"/>
      <c r="JSZ57" s="12"/>
      <c r="JTA57" s="12"/>
      <c r="JTB57" s="12"/>
      <c r="JTC57" s="12"/>
      <c r="JTD57" s="12"/>
      <c r="JTE57" s="12"/>
      <c r="JTF57" s="12"/>
      <c r="JTG57" s="12"/>
      <c r="JTH57" s="12"/>
      <c r="JTI57" s="12"/>
      <c r="JTJ57" s="12"/>
      <c r="JTK57" s="12"/>
      <c r="JTL57" s="12"/>
      <c r="JTM57" s="12"/>
      <c r="JTN57" s="12"/>
      <c r="JTO57" s="12"/>
      <c r="JTP57" s="12"/>
      <c r="JTQ57" s="12"/>
      <c r="JTR57" s="12"/>
      <c r="JTS57" s="12"/>
      <c r="JTT57" s="12"/>
      <c r="JTU57" s="12"/>
      <c r="JTV57" s="12"/>
      <c r="JTW57" s="12"/>
      <c r="JTX57" s="12"/>
      <c r="JTY57" s="12"/>
      <c r="JTZ57" s="12"/>
      <c r="JUA57" s="12"/>
      <c r="JUB57" s="12"/>
      <c r="JUC57" s="12"/>
      <c r="JUD57" s="12"/>
      <c r="JUE57" s="12"/>
      <c r="JUF57" s="12"/>
      <c r="JUG57" s="12"/>
      <c r="JUH57" s="12"/>
      <c r="JUI57" s="12"/>
      <c r="JUJ57" s="12"/>
      <c r="JUK57" s="12"/>
      <c r="JUL57" s="12"/>
      <c r="JUM57" s="12"/>
      <c r="JUN57" s="12"/>
      <c r="JUO57" s="12"/>
      <c r="JUP57" s="12"/>
      <c r="JUQ57" s="12"/>
      <c r="JUR57" s="12"/>
      <c r="JUS57" s="12"/>
      <c r="JUT57" s="12"/>
      <c r="JUU57" s="12"/>
      <c r="JUV57" s="12"/>
      <c r="JUW57" s="12"/>
      <c r="JUX57" s="12"/>
      <c r="JUY57" s="12"/>
      <c r="JUZ57" s="12"/>
      <c r="JVA57" s="12"/>
      <c r="JVB57" s="12"/>
      <c r="JVC57" s="12"/>
      <c r="JVD57" s="12"/>
      <c r="JVE57" s="12"/>
      <c r="JVF57" s="12"/>
      <c r="JVG57" s="12"/>
      <c r="JVH57" s="12"/>
      <c r="JVI57" s="12"/>
      <c r="JVJ57" s="12"/>
      <c r="JVK57" s="12"/>
      <c r="JVL57" s="12"/>
      <c r="JVM57" s="12"/>
      <c r="JVN57" s="12"/>
      <c r="JVO57" s="12"/>
      <c r="JVP57" s="12"/>
      <c r="JVQ57" s="12"/>
      <c r="JVR57" s="12"/>
      <c r="JVS57" s="12"/>
      <c r="JVT57" s="12"/>
      <c r="JVU57" s="12"/>
      <c r="JVV57" s="12"/>
      <c r="JVW57" s="12"/>
      <c r="JVX57" s="12"/>
      <c r="JVY57" s="12"/>
      <c r="JVZ57" s="12"/>
      <c r="JWA57" s="12"/>
      <c r="JWB57" s="12"/>
      <c r="JWC57" s="12"/>
      <c r="JWD57" s="12"/>
      <c r="JWE57" s="12"/>
      <c r="JWF57" s="12"/>
      <c r="JWG57" s="12"/>
      <c r="JWH57" s="12"/>
      <c r="JWI57" s="12"/>
      <c r="JWJ57" s="12"/>
      <c r="JWK57" s="12"/>
      <c r="JWL57" s="12"/>
      <c r="JWM57" s="12"/>
      <c r="JWN57" s="12"/>
      <c r="JWO57" s="12"/>
      <c r="JWP57" s="12"/>
      <c r="JWQ57" s="12"/>
      <c r="JWR57" s="12"/>
      <c r="JWS57" s="12"/>
      <c r="JWT57" s="12"/>
      <c r="JWU57" s="12"/>
      <c r="JWV57" s="12"/>
      <c r="JWW57" s="12"/>
      <c r="JWX57" s="12"/>
      <c r="JWY57" s="12"/>
      <c r="JWZ57" s="12"/>
      <c r="JXA57" s="12"/>
      <c r="JXB57" s="12"/>
      <c r="JXC57" s="12"/>
      <c r="JXD57" s="12"/>
      <c r="JXE57" s="12"/>
      <c r="JXF57" s="12"/>
      <c r="JXG57" s="12"/>
      <c r="JXH57" s="12"/>
      <c r="JXI57" s="12"/>
      <c r="JXJ57" s="12"/>
      <c r="JXK57" s="12"/>
      <c r="JXL57" s="12"/>
      <c r="JXM57" s="12"/>
      <c r="JXN57" s="12"/>
      <c r="JXO57" s="12"/>
      <c r="JXP57" s="12"/>
      <c r="JXQ57" s="12"/>
      <c r="JXR57" s="12"/>
      <c r="JXS57" s="12"/>
      <c r="JXT57" s="12"/>
      <c r="JXU57" s="12"/>
      <c r="JXV57" s="12"/>
      <c r="JXW57" s="12"/>
      <c r="JXX57" s="12"/>
      <c r="JXY57" s="12"/>
      <c r="JXZ57" s="12"/>
      <c r="JYA57" s="12"/>
      <c r="JYB57" s="12"/>
      <c r="JYC57" s="12"/>
      <c r="JYD57" s="12"/>
      <c r="JYE57" s="12"/>
      <c r="JYF57" s="12"/>
      <c r="JYG57" s="12"/>
      <c r="JYH57" s="12"/>
      <c r="JYI57" s="12"/>
      <c r="JYJ57" s="12"/>
      <c r="JYK57" s="12"/>
      <c r="JYL57" s="12"/>
      <c r="JYM57" s="12"/>
      <c r="JYN57" s="12"/>
      <c r="JYO57" s="12"/>
      <c r="JYP57" s="12"/>
      <c r="JYQ57" s="12"/>
      <c r="JYR57" s="12"/>
      <c r="JYS57" s="12"/>
      <c r="JYT57" s="12"/>
      <c r="JYU57" s="12"/>
      <c r="JYV57" s="12"/>
      <c r="JYW57" s="12"/>
      <c r="JYX57" s="12"/>
      <c r="JYY57" s="12"/>
      <c r="JYZ57" s="12"/>
      <c r="JZA57" s="12"/>
      <c r="JZB57" s="12"/>
      <c r="JZC57" s="12"/>
      <c r="JZD57" s="12"/>
      <c r="JZE57" s="12"/>
      <c r="JZF57" s="12"/>
      <c r="JZG57" s="12"/>
      <c r="JZH57" s="12"/>
      <c r="JZI57" s="12"/>
      <c r="JZJ57" s="12"/>
      <c r="JZK57" s="12"/>
      <c r="JZL57" s="12"/>
      <c r="JZM57" s="12"/>
      <c r="JZN57" s="12"/>
      <c r="JZO57" s="12"/>
      <c r="JZP57" s="12"/>
      <c r="JZQ57" s="12"/>
      <c r="JZR57" s="12"/>
      <c r="JZS57" s="12"/>
      <c r="JZT57" s="12"/>
      <c r="JZU57" s="12"/>
      <c r="JZV57" s="12"/>
      <c r="JZW57" s="12"/>
      <c r="JZX57" s="12"/>
      <c r="JZY57" s="12"/>
      <c r="JZZ57" s="12"/>
      <c r="KAA57" s="12"/>
      <c r="KAB57" s="12"/>
      <c r="KAC57" s="12"/>
      <c r="KAD57" s="12"/>
      <c r="KAE57" s="12"/>
      <c r="KAF57" s="12"/>
      <c r="KAG57" s="12"/>
      <c r="KAH57" s="12"/>
      <c r="KAI57" s="12"/>
      <c r="KAJ57" s="12"/>
      <c r="KAK57" s="12"/>
      <c r="KAL57" s="12"/>
      <c r="KAM57" s="12"/>
      <c r="KAN57" s="12"/>
      <c r="KAO57" s="12"/>
      <c r="KAP57" s="12"/>
      <c r="KAQ57" s="12"/>
      <c r="KAR57" s="12"/>
      <c r="KAS57" s="12"/>
      <c r="KAT57" s="12"/>
      <c r="KAU57" s="12"/>
      <c r="KAV57" s="12"/>
      <c r="KAW57" s="12"/>
      <c r="KAX57" s="12"/>
      <c r="KAY57" s="12"/>
      <c r="KAZ57" s="12"/>
      <c r="KBA57" s="12"/>
      <c r="KBB57" s="12"/>
      <c r="KBC57" s="12"/>
      <c r="KBD57" s="12"/>
      <c r="KBE57" s="12"/>
      <c r="KBF57" s="12"/>
      <c r="KBG57" s="12"/>
      <c r="KBH57" s="12"/>
      <c r="KBI57" s="12"/>
      <c r="KBJ57" s="12"/>
      <c r="KBK57" s="12"/>
      <c r="KBL57" s="12"/>
      <c r="KBM57" s="12"/>
      <c r="KBN57" s="12"/>
      <c r="KBO57" s="12"/>
      <c r="KBP57" s="12"/>
      <c r="KBQ57" s="12"/>
      <c r="KBR57" s="12"/>
      <c r="KBS57" s="12"/>
      <c r="KBT57" s="12"/>
      <c r="KBU57" s="12"/>
      <c r="KBV57" s="12"/>
      <c r="KBW57" s="12"/>
      <c r="KBX57" s="12"/>
      <c r="KBY57" s="12"/>
      <c r="KBZ57" s="12"/>
      <c r="KCA57" s="12"/>
      <c r="KCB57" s="12"/>
      <c r="KCC57" s="12"/>
      <c r="KCD57" s="12"/>
      <c r="KCE57" s="12"/>
      <c r="KCF57" s="12"/>
      <c r="KCG57" s="12"/>
      <c r="KCH57" s="12"/>
      <c r="KCI57" s="12"/>
      <c r="KCJ57" s="12"/>
      <c r="KCK57" s="12"/>
      <c r="KCL57" s="12"/>
      <c r="KCM57" s="12"/>
      <c r="KCN57" s="12"/>
      <c r="KCO57" s="12"/>
      <c r="KCP57" s="12"/>
      <c r="KCQ57" s="12"/>
      <c r="KCR57" s="12"/>
      <c r="KCS57" s="12"/>
      <c r="KCT57" s="12"/>
      <c r="KCU57" s="12"/>
      <c r="KCV57" s="12"/>
      <c r="KCW57" s="12"/>
      <c r="KCX57" s="12"/>
      <c r="KCY57" s="12"/>
      <c r="KCZ57" s="12"/>
      <c r="KDA57" s="12"/>
      <c r="KDB57" s="12"/>
      <c r="KDC57" s="12"/>
      <c r="KDD57" s="12"/>
      <c r="KDE57" s="12"/>
      <c r="KDF57" s="12"/>
      <c r="KDG57" s="12"/>
      <c r="KDH57" s="12"/>
      <c r="KDI57" s="12"/>
      <c r="KDJ57" s="12"/>
      <c r="KDK57" s="12"/>
      <c r="KDL57" s="12"/>
      <c r="KDM57" s="12"/>
      <c r="KDN57" s="12"/>
      <c r="KDO57" s="12"/>
      <c r="KDP57" s="12"/>
      <c r="KDQ57" s="12"/>
      <c r="KDR57" s="12"/>
      <c r="KDS57" s="12"/>
      <c r="KDT57" s="12"/>
      <c r="KDU57" s="12"/>
      <c r="KDV57" s="12"/>
      <c r="KDW57" s="12"/>
      <c r="KDX57" s="12"/>
      <c r="KDY57" s="12"/>
      <c r="KDZ57" s="12"/>
      <c r="KEA57" s="12"/>
      <c r="KEB57" s="12"/>
      <c r="KEC57" s="12"/>
      <c r="KED57" s="12"/>
      <c r="KEE57" s="12"/>
      <c r="KEF57" s="12"/>
      <c r="KEG57" s="12"/>
      <c r="KEH57" s="12"/>
      <c r="KEI57" s="12"/>
      <c r="KEJ57" s="12"/>
      <c r="KEK57" s="12"/>
      <c r="KEL57" s="12"/>
      <c r="KEM57" s="12"/>
      <c r="KEN57" s="12"/>
      <c r="KEO57" s="12"/>
      <c r="KEP57" s="12"/>
      <c r="KEQ57" s="12"/>
      <c r="KER57" s="12"/>
      <c r="KES57" s="12"/>
      <c r="KET57" s="12"/>
      <c r="KEU57" s="12"/>
      <c r="KEV57" s="12"/>
      <c r="KEW57" s="12"/>
      <c r="KEX57" s="12"/>
      <c r="KEY57" s="12"/>
      <c r="KEZ57" s="12"/>
      <c r="KFA57" s="12"/>
      <c r="KFB57" s="12"/>
      <c r="KFC57" s="12"/>
      <c r="KFD57" s="12"/>
      <c r="KFE57" s="12"/>
      <c r="KFF57" s="12"/>
      <c r="KFG57" s="12"/>
      <c r="KFH57" s="12"/>
      <c r="KFI57" s="12"/>
      <c r="KFJ57" s="12"/>
      <c r="KFK57" s="12"/>
      <c r="KFL57" s="12"/>
      <c r="KFM57" s="12"/>
      <c r="KFN57" s="12"/>
      <c r="KFO57" s="12"/>
      <c r="KFP57" s="12"/>
      <c r="KFQ57" s="12"/>
      <c r="KFR57" s="12"/>
      <c r="KFS57" s="12"/>
      <c r="KFT57" s="12"/>
      <c r="KFU57" s="12"/>
      <c r="KFV57" s="12"/>
      <c r="KFW57" s="12"/>
      <c r="KFX57" s="12"/>
      <c r="KFY57" s="12"/>
      <c r="KFZ57" s="12"/>
      <c r="KGA57" s="12"/>
      <c r="KGB57" s="12"/>
      <c r="KGC57" s="12"/>
      <c r="KGD57" s="12"/>
      <c r="KGE57" s="12"/>
      <c r="KGF57" s="12"/>
      <c r="KGG57" s="12"/>
      <c r="KGH57" s="12"/>
      <c r="KGI57" s="12"/>
      <c r="KGJ57" s="12"/>
      <c r="KGK57" s="12"/>
      <c r="KGL57" s="12"/>
      <c r="KGM57" s="12"/>
      <c r="KGN57" s="12"/>
      <c r="KGO57" s="12"/>
      <c r="KGP57" s="12"/>
      <c r="KGQ57" s="12"/>
      <c r="KGR57" s="12"/>
      <c r="KGS57" s="12"/>
      <c r="KGT57" s="12"/>
      <c r="KGU57" s="12"/>
      <c r="KGV57" s="12"/>
      <c r="KGW57" s="12"/>
      <c r="KGX57" s="12"/>
      <c r="KGY57" s="12"/>
      <c r="KGZ57" s="12"/>
      <c r="KHA57" s="12"/>
      <c r="KHB57" s="12"/>
      <c r="KHC57" s="12"/>
      <c r="KHD57" s="12"/>
      <c r="KHE57" s="12"/>
      <c r="KHF57" s="12"/>
      <c r="KHG57" s="12"/>
      <c r="KHH57" s="12"/>
      <c r="KHI57" s="12"/>
      <c r="KHJ57" s="12"/>
      <c r="KHK57" s="12"/>
      <c r="KHL57" s="12"/>
      <c r="KHM57" s="12"/>
      <c r="KHN57" s="12"/>
      <c r="KHO57" s="12"/>
      <c r="KHP57" s="12"/>
      <c r="KHQ57" s="12"/>
      <c r="KHR57" s="12"/>
      <c r="KHS57" s="12"/>
      <c r="KHT57" s="12"/>
      <c r="KHU57" s="12"/>
      <c r="KHV57" s="12"/>
      <c r="KHW57" s="12"/>
      <c r="KHX57" s="12"/>
      <c r="KHY57" s="12"/>
      <c r="KHZ57" s="12"/>
      <c r="KIA57" s="12"/>
      <c r="KIB57" s="12"/>
      <c r="KIC57" s="12"/>
      <c r="KID57" s="12"/>
      <c r="KIE57" s="12"/>
      <c r="KIF57" s="12"/>
      <c r="KIG57" s="12"/>
      <c r="KIH57" s="12"/>
      <c r="KII57" s="12"/>
      <c r="KIJ57" s="12"/>
      <c r="KIK57" s="12"/>
      <c r="KIL57" s="12"/>
      <c r="KIM57" s="12"/>
      <c r="KIN57" s="12"/>
      <c r="KIO57" s="12"/>
      <c r="KIP57" s="12"/>
      <c r="KIQ57" s="12"/>
      <c r="KIR57" s="12"/>
      <c r="KIS57" s="12"/>
      <c r="KIT57" s="12"/>
      <c r="KIU57" s="12"/>
      <c r="KIV57" s="12"/>
      <c r="KIW57" s="12"/>
      <c r="KIX57" s="12"/>
      <c r="KIY57" s="12"/>
      <c r="KIZ57" s="12"/>
      <c r="KJA57" s="12"/>
      <c r="KJB57" s="12"/>
      <c r="KJC57" s="12"/>
      <c r="KJD57" s="12"/>
      <c r="KJE57" s="12"/>
      <c r="KJF57" s="12"/>
      <c r="KJG57" s="12"/>
      <c r="KJH57" s="12"/>
      <c r="KJI57" s="12"/>
      <c r="KJJ57" s="12"/>
      <c r="KJK57" s="12"/>
      <c r="KJL57" s="12"/>
      <c r="KJM57" s="12"/>
      <c r="KJN57" s="12"/>
      <c r="KJO57" s="12"/>
      <c r="KJP57" s="12"/>
      <c r="KJQ57" s="12"/>
      <c r="KJR57" s="12"/>
      <c r="KJS57" s="12"/>
      <c r="KJT57" s="12"/>
      <c r="KJU57" s="12"/>
      <c r="KJV57" s="12"/>
      <c r="KJW57" s="12"/>
      <c r="KJX57" s="12"/>
      <c r="KJY57" s="12"/>
      <c r="KJZ57" s="12"/>
      <c r="KKA57" s="12"/>
      <c r="KKB57" s="12"/>
      <c r="KKC57" s="12"/>
      <c r="KKD57" s="12"/>
      <c r="KKE57" s="12"/>
      <c r="KKF57" s="12"/>
      <c r="KKG57" s="12"/>
      <c r="KKH57" s="12"/>
      <c r="KKI57" s="12"/>
      <c r="KKJ57" s="12"/>
      <c r="KKK57" s="12"/>
      <c r="KKL57" s="12"/>
      <c r="KKM57" s="12"/>
      <c r="KKN57" s="12"/>
      <c r="KKO57" s="12"/>
      <c r="KKP57" s="12"/>
      <c r="KKQ57" s="12"/>
      <c r="KKR57" s="12"/>
      <c r="KKS57" s="12"/>
      <c r="KKT57" s="12"/>
      <c r="KKU57" s="12"/>
      <c r="KKV57" s="12"/>
      <c r="KKW57" s="12"/>
      <c r="KKX57" s="12"/>
      <c r="KKY57" s="12"/>
      <c r="KKZ57" s="12"/>
      <c r="KLA57" s="12"/>
      <c r="KLB57" s="12"/>
      <c r="KLC57" s="12"/>
      <c r="KLD57" s="12"/>
      <c r="KLE57" s="12"/>
      <c r="KLF57" s="12"/>
      <c r="KLG57" s="12"/>
      <c r="KLH57" s="12"/>
      <c r="KLI57" s="12"/>
      <c r="KLJ57" s="12"/>
      <c r="KLK57" s="12"/>
      <c r="KLL57" s="12"/>
      <c r="KLM57" s="12"/>
      <c r="KLN57" s="12"/>
      <c r="KLO57" s="12"/>
      <c r="KLP57" s="12"/>
      <c r="KLQ57" s="12"/>
      <c r="KLR57" s="12"/>
      <c r="KLS57" s="12"/>
      <c r="KLT57" s="12"/>
      <c r="KLU57" s="12"/>
      <c r="KLV57" s="12"/>
      <c r="KLW57" s="12"/>
      <c r="KLX57" s="12"/>
      <c r="KLY57" s="12"/>
      <c r="KLZ57" s="12"/>
      <c r="KMA57" s="12"/>
      <c r="KMB57" s="12"/>
      <c r="KMC57" s="12"/>
      <c r="KMD57" s="12"/>
      <c r="KME57" s="12"/>
      <c r="KMF57" s="12"/>
      <c r="KMG57" s="12"/>
      <c r="KMH57" s="12"/>
      <c r="KMI57" s="12"/>
      <c r="KMJ57" s="12"/>
      <c r="KMK57" s="12"/>
      <c r="KML57" s="12"/>
      <c r="KMM57" s="12"/>
      <c r="KMN57" s="12"/>
      <c r="KMO57" s="12"/>
      <c r="KMP57" s="12"/>
      <c r="KMQ57" s="12"/>
      <c r="KMR57" s="12"/>
      <c r="KMS57" s="12"/>
      <c r="KMT57" s="12"/>
      <c r="KMU57" s="12"/>
      <c r="KMV57" s="12"/>
      <c r="KMW57" s="12"/>
      <c r="KMX57" s="12"/>
      <c r="KMY57" s="12"/>
      <c r="KMZ57" s="12"/>
      <c r="KNA57" s="12"/>
      <c r="KNB57" s="12"/>
      <c r="KNC57" s="12"/>
      <c r="KND57" s="12"/>
      <c r="KNE57" s="12"/>
      <c r="KNF57" s="12"/>
      <c r="KNG57" s="12"/>
      <c r="KNH57" s="12"/>
      <c r="KNI57" s="12"/>
      <c r="KNJ57" s="12"/>
      <c r="KNK57" s="12"/>
      <c r="KNL57" s="12"/>
      <c r="KNM57" s="12"/>
      <c r="KNN57" s="12"/>
      <c r="KNO57" s="12"/>
      <c r="KNP57" s="12"/>
      <c r="KNQ57" s="12"/>
      <c r="KNR57" s="12"/>
      <c r="KNS57" s="12"/>
      <c r="KNT57" s="12"/>
      <c r="KNU57" s="12"/>
      <c r="KNV57" s="12"/>
      <c r="KNW57" s="12"/>
      <c r="KNX57" s="12"/>
      <c r="KNY57" s="12"/>
      <c r="KNZ57" s="12"/>
      <c r="KOA57" s="12"/>
      <c r="KOB57" s="12"/>
      <c r="KOC57" s="12"/>
      <c r="KOD57" s="12"/>
      <c r="KOE57" s="12"/>
      <c r="KOF57" s="12"/>
      <c r="KOG57" s="12"/>
      <c r="KOH57" s="12"/>
      <c r="KOI57" s="12"/>
      <c r="KOJ57" s="12"/>
      <c r="KOK57" s="12"/>
      <c r="KOL57" s="12"/>
      <c r="KOM57" s="12"/>
      <c r="KON57" s="12"/>
      <c r="KOO57" s="12"/>
      <c r="KOP57" s="12"/>
      <c r="KOQ57" s="12"/>
      <c r="KOR57" s="12"/>
      <c r="KOS57" s="12"/>
      <c r="KOT57" s="12"/>
      <c r="KOU57" s="12"/>
      <c r="KOV57" s="12"/>
      <c r="KOW57" s="12"/>
      <c r="KOX57" s="12"/>
      <c r="KOY57" s="12"/>
      <c r="KOZ57" s="12"/>
      <c r="KPA57" s="12"/>
      <c r="KPB57" s="12"/>
      <c r="KPC57" s="12"/>
      <c r="KPD57" s="12"/>
      <c r="KPE57" s="12"/>
      <c r="KPF57" s="12"/>
      <c r="KPG57" s="12"/>
      <c r="KPH57" s="12"/>
      <c r="KPI57" s="12"/>
      <c r="KPJ57" s="12"/>
      <c r="KPK57" s="12"/>
      <c r="KPL57" s="12"/>
      <c r="KPM57" s="12"/>
      <c r="KPN57" s="12"/>
      <c r="KPO57" s="12"/>
      <c r="KPP57" s="12"/>
      <c r="KPQ57" s="12"/>
      <c r="KPR57" s="12"/>
      <c r="KPS57" s="12"/>
      <c r="KPT57" s="12"/>
      <c r="KPU57" s="12"/>
      <c r="KPV57" s="12"/>
      <c r="KPW57" s="12"/>
      <c r="KPX57" s="12"/>
      <c r="KPY57" s="12"/>
      <c r="KPZ57" s="12"/>
      <c r="KQA57" s="12"/>
      <c r="KQB57" s="12"/>
      <c r="KQC57" s="12"/>
      <c r="KQD57" s="12"/>
      <c r="KQE57" s="12"/>
      <c r="KQF57" s="12"/>
      <c r="KQG57" s="12"/>
      <c r="KQH57" s="12"/>
      <c r="KQI57" s="12"/>
      <c r="KQJ57" s="12"/>
      <c r="KQK57" s="12"/>
      <c r="KQL57" s="12"/>
      <c r="KQM57" s="12"/>
      <c r="KQN57" s="12"/>
      <c r="KQO57" s="12"/>
      <c r="KQP57" s="12"/>
      <c r="KQQ57" s="12"/>
      <c r="KQR57" s="12"/>
      <c r="KQS57" s="12"/>
      <c r="KQT57" s="12"/>
      <c r="KQU57" s="12"/>
      <c r="KQV57" s="12"/>
      <c r="KQW57" s="12"/>
      <c r="KQX57" s="12"/>
      <c r="KQY57" s="12"/>
      <c r="KQZ57" s="12"/>
      <c r="KRA57" s="12"/>
      <c r="KRB57" s="12"/>
      <c r="KRC57" s="12"/>
      <c r="KRD57" s="12"/>
      <c r="KRE57" s="12"/>
      <c r="KRF57" s="12"/>
      <c r="KRG57" s="12"/>
      <c r="KRH57" s="12"/>
      <c r="KRI57" s="12"/>
      <c r="KRJ57" s="12"/>
      <c r="KRK57" s="12"/>
      <c r="KRL57" s="12"/>
      <c r="KRM57" s="12"/>
      <c r="KRN57" s="12"/>
      <c r="KRO57" s="12"/>
      <c r="KRP57" s="12"/>
      <c r="KRQ57" s="12"/>
      <c r="KRR57" s="12"/>
      <c r="KRS57" s="12"/>
      <c r="KRT57" s="12"/>
      <c r="KRU57" s="12"/>
      <c r="KRV57" s="12"/>
      <c r="KRW57" s="12"/>
      <c r="KRX57" s="12"/>
      <c r="KRY57" s="12"/>
      <c r="KRZ57" s="12"/>
      <c r="KSA57" s="12"/>
      <c r="KSB57" s="12"/>
      <c r="KSC57" s="12"/>
      <c r="KSD57" s="12"/>
      <c r="KSE57" s="12"/>
      <c r="KSF57" s="12"/>
      <c r="KSG57" s="12"/>
      <c r="KSH57" s="12"/>
      <c r="KSI57" s="12"/>
      <c r="KSJ57" s="12"/>
      <c r="KSK57" s="12"/>
      <c r="KSL57" s="12"/>
      <c r="KSM57" s="12"/>
      <c r="KSN57" s="12"/>
      <c r="KSO57" s="12"/>
      <c r="KSP57" s="12"/>
      <c r="KSQ57" s="12"/>
      <c r="KSR57" s="12"/>
      <c r="KSS57" s="12"/>
      <c r="KST57" s="12"/>
      <c r="KSU57" s="12"/>
      <c r="KSV57" s="12"/>
      <c r="KSW57" s="12"/>
      <c r="KSX57" s="12"/>
      <c r="KSY57" s="12"/>
      <c r="KSZ57" s="12"/>
      <c r="KTA57" s="12"/>
      <c r="KTB57" s="12"/>
      <c r="KTC57" s="12"/>
      <c r="KTD57" s="12"/>
      <c r="KTE57" s="12"/>
      <c r="KTF57" s="12"/>
      <c r="KTG57" s="12"/>
      <c r="KTH57" s="12"/>
      <c r="KTI57" s="12"/>
      <c r="KTJ57" s="12"/>
      <c r="KTK57" s="12"/>
      <c r="KTL57" s="12"/>
      <c r="KTM57" s="12"/>
      <c r="KTN57" s="12"/>
      <c r="KTO57" s="12"/>
      <c r="KTP57" s="12"/>
      <c r="KTQ57" s="12"/>
      <c r="KTR57" s="12"/>
      <c r="KTS57" s="12"/>
      <c r="KTT57" s="12"/>
      <c r="KTU57" s="12"/>
      <c r="KTV57" s="12"/>
      <c r="KTW57" s="12"/>
      <c r="KTX57" s="12"/>
      <c r="KTY57" s="12"/>
      <c r="KTZ57" s="12"/>
      <c r="KUA57" s="12"/>
      <c r="KUB57" s="12"/>
      <c r="KUC57" s="12"/>
      <c r="KUD57" s="12"/>
      <c r="KUE57" s="12"/>
      <c r="KUF57" s="12"/>
      <c r="KUG57" s="12"/>
      <c r="KUH57" s="12"/>
      <c r="KUI57" s="12"/>
      <c r="KUJ57" s="12"/>
      <c r="KUK57" s="12"/>
      <c r="KUL57" s="12"/>
      <c r="KUM57" s="12"/>
      <c r="KUN57" s="12"/>
      <c r="KUO57" s="12"/>
      <c r="KUP57" s="12"/>
      <c r="KUQ57" s="12"/>
      <c r="KUR57" s="12"/>
      <c r="KUS57" s="12"/>
      <c r="KUT57" s="12"/>
      <c r="KUU57" s="12"/>
      <c r="KUV57" s="12"/>
      <c r="KUW57" s="12"/>
      <c r="KUX57" s="12"/>
      <c r="KUY57" s="12"/>
      <c r="KUZ57" s="12"/>
      <c r="KVA57" s="12"/>
      <c r="KVB57" s="12"/>
      <c r="KVC57" s="12"/>
      <c r="KVD57" s="12"/>
      <c r="KVE57" s="12"/>
      <c r="KVF57" s="12"/>
      <c r="KVG57" s="12"/>
      <c r="KVH57" s="12"/>
      <c r="KVI57" s="12"/>
      <c r="KVJ57" s="12"/>
      <c r="KVK57" s="12"/>
      <c r="KVL57" s="12"/>
      <c r="KVM57" s="12"/>
      <c r="KVN57" s="12"/>
      <c r="KVO57" s="12"/>
      <c r="KVP57" s="12"/>
      <c r="KVQ57" s="12"/>
      <c r="KVR57" s="12"/>
      <c r="KVS57" s="12"/>
      <c r="KVT57" s="12"/>
      <c r="KVU57" s="12"/>
      <c r="KVV57" s="12"/>
      <c r="KVW57" s="12"/>
      <c r="KVX57" s="12"/>
      <c r="KVY57" s="12"/>
      <c r="KVZ57" s="12"/>
      <c r="KWA57" s="12"/>
      <c r="KWB57" s="12"/>
      <c r="KWC57" s="12"/>
      <c r="KWD57" s="12"/>
      <c r="KWE57" s="12"/>
      <c r="KWF57" s="12"/>
      <c r="KWG57" s="12"/>
      <c r="KWH57" s="12"/>
      <c r="KWI57" s="12"/>
      <c r="KWJ57" s="12"/>
      <c r="KWK57" s="12"/>
      <c r="KWL57" s="12"/>
      <c r="KWM57" s="12"/>
      <c r="KWN57" s="12"/>
      <c r="KWO57" s="12"/>
      <c r="KWP57" s="12"/>
      <c r="KWQ57" s="12"/>
      <c r="KWR57" s="12"/>
      <c r="KWS57" s="12"/>
      <c r="KWT57" s="12"/>
      <c r="KWU57" s="12"/>
      <c r="KWV57" s="12"/>
      <c r="KWW57" s="12"/>
      <c r="KWX57" s="12"/>
      <c r="KWY57" s="12"/>
      <c r="KWZ57" s="12"/>
      <c r="KXA57" s="12"/>
      <c r="KXB57" s="12"/>
      <c r="KXC57" s="12"/>
      <c r="KXD57" s="12"/>
      <c r="KXE57" s="12"/>
      <c r="KXF57" s="12"/>
      <c r="KXG57" s="12"/>
      <c r="KXH57" s="12"/>
      <c r="KXI57" s="12"/>
      <c r="KXJ57" s="12"/>
      <c r="KXK57" s="12"/>
      <c r="KXL57" s="12"/>
      <c r="KXM57" s="12"/>
      <c r="KXN57" s="12"/>
      <c r="KXO57" s="12"/>
      <c r="KXP57" s="12"/>
      <c r="KXQ57" s="12"/>
      <c r="KXR57" s="12"/>
      <c r="KXS57" s="12"/>
      <c r="KXT57" s="12"/>
      <c r="KXU57" s="12"/>
      <c r="KXV57" s="12"/>
      <c r="KXW57" s="12"/>
      <c r="KXX57" s="12"/>
      <c r="KXY57" s="12"/>
      <c r="KXZ57" s="12"/>
      <c r="KYA57" s="12"/>
      <c r="KYB57" s="12"/>
      <c r="KYC57" s="12"/>
      <c r="KYD57" s="12"/>
      <c r="KYE57" s="12"/>
      <c r="KYF57" s="12"/>
      <c r="KYG57" s="12"/>
      <c r="KYH57" s="12"/>
      <c r="KYI57" s="12"/>
      <c r="KYJ57" s="12"/>
      <c r="KYK57" s="12"/>
      <c r="KYL57" s="12"/>
      <c r="KYM57" s="12"/>
      <c r="KYN57" s="12"/>
      <c r="KYO57" s="12"/>
      <c r="KYP57" s="12"/>
      <c r="KYQ57" s="12"/>
      <c r="KYR57" s="12"/>
      <c r="KYS57" s="12"/>
      <c r="KYT57" s="12"/>
      <c r="KYU57" s="12"/>
      <c r="KYV57" s="12"/>
      <c r="KYW57" s="12"/>
      <c r="KYX57" s="12"/>
      <c r="KYY57" s="12"/>
      <c r="KYZ57" s="12"/>
      <c r="KZA57" s="12"/>
      <c r="KZB57" s="12"/>
      <c r="KZC57" s="12"/>
      <c r="KZD57" s="12"/>
      <c r="KZE57" s="12"/>
      <c r="KZF57" s="12"/>
      <c r="KZG57" s="12"/>
      <c r="KZH57" s="12"/>
      <c r="KZI57" s="12"/>
      <c r="KZJ57" s="12"/>
      <c r="KZK57" s="12"/>
      <c r="KZL57" s="12"/>
      <c r="KZM57" s="12"/>
      <c r="KZN57" s="12"/>
      <c r="KZO57" s="12"/>
      <c r="KZP57" s="12"/>
      <c r="KZQ57" s="12"/>
      <c r="KZR57" s="12"/>
      <c r="KZS57" s="12"/>
      <c r="KZT57" s="12"/>
      <c r="KZU57" s="12"/>
      <c r="KZV57" s="12"/>
      <c r="KZW57" s="12"/>
      <c r="KZX57" s="12"/>
      <c r="KZY57" s="12"/>
      <c r="KZZ57" s="12"/>
      <c r="LAA57" s="12"/>
      <c r="LAB57" s="12"/>
      <c r="LAC57" s="12"/>
      <c r="LAD57" s="12"/>
      <c r="LAE57" s="12"/>
      <c r="LAF57" s="12"/>
      <c r="LAG57" s="12"/>
      <c r="LAH57" s="12"/>
      <c r="LAI57" s="12"/>
      <c r="LAJ57" s="12"/>
      <c r="LAK57" s="12"/>
      <c r="LAL57" s="12"/>
      <c r="LAM57" s="12"/>
      <c r="LAN57" s="12"/>
      <c r="LAO57" s="12"/>
      <c r="LAP57" s="12"/>
      <c r="LAQ57" s="12"/>
      <c r="LAR57" s="12"/>
      <c r="LAS57" s="12"/>
      <c r="LAT57" s="12"/>
      <c r="LAU57" s="12"/>
      <c r="LAV57" s="12"/>
      <c r="LAW57" s="12"/>
      <c r="LAX57" s="12"/>
      <c r="LAY57" s="12"/>
      <c r="LAZ57" s="12"/>
      <c r="LBA57" s="12"/>
      <c r="LBB57" s="12"/>
      <c r="LBC57" s="12"/>
      <c r="LBD57" s="12"/>
      <c r="LBE57" s="12"/>
      <c r="LBF57" s="12"/>
      <c r="LBG57" s="12"/>
      <c r="LBH57" s="12"/>
      <c r="LBI57" s="12"/>
      <c r="LBJ57" s="12"/>
      <c r="LBK57" s="12"/>
      <c r="LBL57" s="12"/>
      <c r="LBM57" s="12"/>
      <c r="LBN57" s="12"/>
      <c r="LBO57" s="12"/>
      <c r="LBP57" s="12"/>
      <c r="LBQ57" s="12"/>
      <c r="LBR57" s="12"/>
      <c r="LBS57" s="12"/>
      <c r="LBT57" s="12"/>
      <c r="LBU57" s="12"/>
      <c r="LBV57" s="12"/>
      <c r="LBW57" s="12"/>
      <c r="LBX57" s="12"/>
      <c r="LBY57" s="12"/>
      <c r="LBZ57" s="12"/>
      <c r="LCA57" s="12"/>
      <c r="LCB57" s="12"/>
      <c r="LCC57" s="12"/>
      <c r="LCD57" s="12"/>
      <c r="LCE57" s="12"/>
      <c r="LCF57" s="12"/>
      <c r="LCG57" s="12"/>
      <c r="LCH57" s="12"/>
      <c r="LCI57" s="12"/>
      <c r="LCJ57" s="12"/>
      <c r="LCK57" s="12"/>
      <c r="LCL57" s="12"/>
      <c r="LCM57" s="12"/>
      <c r="LCN57" s="12"/>
      <c r="LCO57" s="12"/>
      <c r="LCP57" s="12"/>
      <c r="LCQ57" s="12"/>
      <c r="LCR57" s="12"/>
      <c r="LCS57" s="12"/>
      <c r="LCT57" s="12"/>
      <c r="LCU57" s="12"/>
      <c r="LCV57" s="12"/>
      <c r="LCW57" s="12"/>
      <c r="LCX57" s="12"/>
      <c r="LCY57" s="12"/>
      <c r="LCZ57" s="12"/>
      <c r="LDA57" s="12"/>
      <c r="LDB57" s="12"/>
      <c r="LDC57" s="12"/>
      <c r="LDD57" s="12"/>
      <c r="LDE57" s="12"/>
      <c r="LDF57" s="12"/>
      <c r="LDG57" s="12"/>
      <c r="LDH57" s="12"/>
      <c r="LDI57" s="12"/>
      <c r="LDJ57" s="12"/>
      <c r="LDK57" s="12"/>
      <c r="LDL57" s="12"/>
      <c r="LDM57" s="12"/>
      <c r="LDN57" s="12"/>
      <c r="LDO57" s="12"/>
      <c r="LDP57" s="12"/>
      <c r="LDQ57" s="12"/>
      <c r="LDR57" s="12"/>
      <c r="LDS57" s="12"/>
      <c r="LDT57" s="12"/>
      <c r="LDU57" s="12"/>
      <c r="LDV57" s="12"/>
      <c r="LDW57" s="12"/>
      <c r="LDX57" s="12"/>
      <c r="LDY57" s="12"/>
      <c r="LDZ57" s="12"/>
      <c r="LEA57" s="12"/>
      <c r="LEB57" s="12"/>
      <c r="LEC57" s="12"/>
      <c r="LED57" s="12"/>
      <c r="LEE57" s="12"/>
      <c r="LEF57" s="12"/>
      <c r="LEG57" s="12"/>
      <c r="LEH57" s="12"/>
      <c r="LEI57" s="12"/>
      <c r="LEJ57" s="12"/>
      <c r="LEK57" s="12"/>
      <c r="LEL57" s="12"/>
      <c r="LEM57" s="12"/>
      <c r="LEN57" s="12"/>
      <c r="LEO57" s="12"/>
      <c r="LEP57" s="12"/>
      <c r="LEQ57" s="12"/>
      <c r="LER57" s="12"/>
      <c r="LES57" s="12"/>
      <c r="LET57" s="12"/>
      <c r="LEU57" s="12"/>
      <c r="LEV57" s="12"/>
      <c r="LEW57" s="12"/>
      <c r="LEX57" s="12"/>
      <c r="LEY57" s="12"/>
      <c r="LEZ57" s="12"/>
      <c r="LFA57" s="12"/>
      <c r="LFB57" s="12"/>
      <c r="LFC57" s="12"/>
      <c r="LFD57" s="12"/>
      <c r="LFE57" s="12"/>
      <c r="LFF57" s="12"/>
      <c r="LFG57" s="12"/>
      <c r="LFH57" s="12"/>
      <c r="LFI57" s="12"/>
      <c r="LFJ57" s="12"/>
      <c r="LFK57" s="12"/>
      <c r="LFL57" s="12"/>
      <c r="LFM57" s="12"/>
      <c r="LFN57" s="12"/>
      <c r="LFO57" s="12"/>
      <c r="LFP57" s="12"/>
      <c r="LFQ57" s="12"/>
      <c r="LFR57" s="12"/>
      <c r="LFS57" s="12"/>
      <c r="LFT57" s="12"/>
      <c r="LFU57" s="12"/>
      <c r="LFV57" s="12"/>
      <c r="LFW57" s="12"/>
      <c r="LFX57" s="12"/>
      <c r="LFY57" s="12"/>
      <c r="LFZ57" s="12"/>
      <c r="LGA57" s="12"/>
      <c r="LGB57" s="12"/>
      <c r="LGC57" s="12"/>
      <c r="LGD57" s="12"/>
      <c r="LGE57" s="12"/>
      <c r="LGF57" s="12"/>
      <c r="LGG57" s="12"/>
      <c r="LGH57" s="12"/>
      <c r="LGI57" s="12"/>
      <c r="LGJ57" s="12"/>
      <c r="LGK57" s="12"/>
      <c r="LGL57" s="12"/>
      <c r="LGM57" s="12"/>
      <c r="LGN57" s="12"/>
      <c r="LGO57" s="12"/>
      <c r="LGP57" s="12"/>
      <c r="LGQ57" s="12"/>
      <c r="LGR57" s="12"/>
      <c r="LGS57" s="12"/>
      <c r="LGT57" s="12"/>
      <c r="LGU57" s="12"/>
      <c r="LGV57" s="12"/>
      <c r="LGW57" s="12"/>
      <c r="LGX57" s="12"/>
      <c r="LGY57" s="12"/>
      <c r="LGZ57" s="12"/>
      <c r="LHA57" s="12"/>
      <c r="LHB57" s="12"/>
      <c r="LHC57" s="12"/>
      <c r="LHD57" s="12"/>
      <c r="LHE57" s="12"/>
      <c r="LHF57" s="12"/>
      <c r="LHG57" s="12"/>
      <c r="LHH57" s="12"/>
      <c r="LHI57" s="12"/>
      <c r="LHJ57" s="12"/>
      <c r="LHK57" s="12"/>
      <c r="LHL57" s="12"/>
      <c r="LHM57" s="12"/>
      <c r="LHN57" s="12"/>
      <c r="LHO57" s="12"/>
      <c r="LHP57" s="12"/>
      <c r="LHQ57" s="12"/>
      <c r="LHR57" s="12"/>
      <c r="LHS57" s="12"/>
      <c r="LHT57" s="12"/>
      <c r="LHU57" s="12"/>
      <c r="LHV57" s="12"/>
      <c r="LHW57" s="12"/>
      <c r="LHX57" s="12"/>
      <c r="LHY57" s="12"/>
      <c r="LHZ57" s="12"/>
      <c r="LIA57" s="12"/>
      <c r="LIB57" s="12"/>
      <c r="LIC57" s="12"/>
      <c r="LID57" s="12"/>
      <c r="LIE57" s="12"/>
      <c r="LIF57" s="12"/>
      <c r="LIG57" s="12"/>
      <c r="LIH57" s="12"/>
      <c r="LII57" s="12"/>
      <c r="LIJ57" s="12"/>
      <c r="LIK57" s="12"/>
      <c r="LIL57" s="12"/>
      <c r="LIM57" s="12"/>
      <c r="LIN57" s="12"/>
      <c r="LIO57" s="12"/>
      <c r="LIP57" s="12"/>
      <c r="LIQ57" s="12"/>
      <c r="LIR57" s="12"/>
      <c r="LIS57" s="12"/>
      <c r="LIT57" s="12"/>
      <c r="LIU57" s="12"/>
      <c r="LIV57" s="12"/>
      <c r="LIW57" s="12"/>
      <c r="LIX57" s="12"/>
      <c r="LIY57" s="12"/>
      <c r="LIZ57" s="12"/>
      <c r="LJA57" s="12"/>
      <c r="LJB57" s="12"/>
      <c r="LJC57" s="12"/>
      <c r="LJD57" s="12"/>
      <c r="LJE57" s="12"/>
      <c r="LJF57" s="12"/>
      <c r="LJG57" s="12"/>
      <c r="LJH57" s="12"/>
      <c r="LJI57" s="12"/>
      <c r="LJJ57" s="12"/>
      <c r="LJK57" s="12"/>
      <c r="LJL57" s="12"/>
      <c r="LJM57" s="12"/>
      <c r="LJN57" s="12"/>
      <c r="LJO57" s="12"/>
      <c r="LJP57" s="12"/>
      <c r="LJQ57" s="12"/>
      <c r="LJR57" s="12"/>
      <c r="LJS57" s="12"/>
      <c r="LJT57" s="12"/>
      <c r="LJU57" s="12"/>
      <c r="LJV57" s="12"/>
      <c r="LJW57" s="12"/>
      <c r="LJX57" s="12"/>
      <c r="LJY57" s="12"/>
      <c r="LJZ57" s="12"/>
      <c r="LKA57" s="12"/>
      <c r="LKB57" s="12"/>
      <c r="LKC57" s="12"/>
      <c r="LKD57" s="12"/>
      <c r="LKE57" s="12"/>
      <c r="LKF57" s="12"/>
      <c r="LKG57" s="12"/>
      <c r="LKH57" s="12"/>
      <c r="LKI57" s="12"/>
      <c r="LKJ57" s="12"/>
      <c r="LKK57" s="12"/>
      <c r="LKL57" s="12"/>
      <c r="LKM57" s="12"/>
      <c r="LKN57" s="12"/>
      <c r="LKO57" s="12"/>
      <c r="LKP57" s="12"/>
      <c r="LKQ57" s="12"/>
      <c r="LKR57" s="12"/>
      <c r="LKS57" s="12"/>
      <c r="LKT57" s="12"/>
      <c r="LKU57" s="12"/>
      <c r="LKV57" s="12"/>
      <c r="LKW57" s="12"/>
      <c r="LKX57" s="12"/>
      <c r="LKY57" s="12"/>
      <c r="LKZ57" s="12"/>
      <c r="LLA57" s="12"/>
      <c r="LLB57" s="12"/>
      <c r="LLC57" s="12"/>
      <c r="LLD57" s="12"/>
      <c r="LLE57" s="12"/>
      <c r="LLF57" s="12"/>
      <c r="LLG57" s="12"/>
      <c r="LLH57" s="12"/>
      <c r="LLI57" s="12"/>
      <c r="LLJ57" s="12"/>
      <c r="LLK57" s="12"/>
      <c r="LLL57" s="12"/>
      <c r="LLM57" s="12"/>
      <c r="LLN57" s="12"/>
      <c r="LLO57" s="12"/>
      <c r="LLP57" s="12"/>
      <c r="LLQ57" s="12"/>
      <c r="LLR57" s="12"/>
      <c r="LLS57" s="12"/>
      <c r="LLT57" s="12"/>
      <c r="LLU57" s="12"/>
      <c r="LLV57" s="12"/>
      <c r="LLW57" s="12"/>
      <c r="LLX57" s="12"/>
      <c r="LLY57" s="12"/>
      <c r="LLZ57" s="12"/>
      <c r="LMA57" s="12"/>
      <c r="LMB57" s="12"/>
      <c r="LMC57" s="12"/>
      <c r="LMD57" s="12"/>
      <c r="LME57" s="12"/>
      <c r="LMF57" s="12"/>
      <c r="LMG57" s="12"/>
      <c r="LMH57" s="12"/>
      <c r="LMI57" s="12"/>
      <c r="LMJ57" s="12"/>
      <c r="LMK57" s="12"/>
      <c r="LML57" s="12"/>
      <c r="LMM57" s="12"/>
      <c r="LMN57" s="12"/>
      <c r="LMO57" s="12"/>
      <c r="LMP57" s="12"/>
      <c r="LMQ57" s="12"/>
      <c r="LMR57" s="12"/>
      <c r="LMS57" s="12"/>
      <c r="LMT57" s="12"/>
      <c r="LMU57" s="12"/>
      <c r="LMV57" s="12"/>
      <c r="LMW57" s="12"/>
      <c r="LMX57" s="12"/>
      <c r="LMY57" s="12"/>
      <c r="LMZ57" s="12"/>
      <c r="LNA57" s="12"/>
      <c r="LNB57" s="12"/>
      <c r="LNC57" s="12"/>
      <c r="LND57" s="12"/>
      <c r="LNE57" s="12"/>
      <c r="LNF57" s="12"/>
      <c r="LNG57" s="12"/>
      <c r="LNH57" s="12"/>
      <c r="LNI57" s="12"/>
      <c r="LNJ57" s="12"/>
      <c r="LNK57" s="12"/>
      <c r="LNL57" s="12"/>
      <c r="LNM57" s="12"/>
      <c r="LNN57" s="12"/>
      <c r="LNO57" s="12"/>
      <c r="LNP57" s="12"/>
      <c r="LNQ57" s="12"/>
      <c r="LNR57" s="12"/>
      <c r="LNS57" s="12"/>
      <c r="LNT57" s="12"/>
      <c r="LNU57" s="12"/>
      <c r="LNV57" s="12"/>
      <c r="LNW57" s="12"/>
      <c r="LNX57" s="12"/>
      <c r="LNY57" s="12"/>
      <c r="LNZ57" s="12"/>
      <c r="LOA57" s="12"/>
      <c r="LOB57" s="12"/>
      <c r="LOC57" s="12"/>
      <c r="LOD57" s="12"/>
      <c r="LOE57" s="12"/>
      <c r="LOF57" s="12"/>
      <c r="LOG57" s="12"/>
      <c r="LOH57" s="12"/>
      <c r="LOI57" s="12"/>
      <c r="LOJ57" s="12"/>
      <c r="LOK57" s="12"/>
      <c r="LOL57" s="12"/>
      <c r="LOM57" s="12"/>
      <c r="LON57" s="12"/>
      <c r="LOO57" s="12"/>
      <c r="LOP57" s="12"/>
      <c r="LOQ57" s="12"/>
      <c r="LOR57" s="12"/>
      <c r="LOS57" s="12"/>
      <c r="LOT57" s="12"/>
      <c r="LOU57" s="12"/>
      <c r="LOV57" s="12"/>
      <c r="LOW57" s="12"/>
      <c r="LOX57" s="12"/>
      <c r="LOY57" s="12"/>
      <c r="LOZ57" s="12"/>
      <c r="LPA57" s="12"/>
      <c r="LPB57" s="12"/>
      <c r="LPC57" s="12"/>
      <c r="LPD57" s="12"/>
      <c r="LPE57" s="12"/>
      <c r="LPF57" s="12"/>
      <c r="LPG57" s="12"/>
      <c r="LPH57" s="12"/>
      <c r="LPI57" s="12"/>
      <c r="LPJ57" s="12"/>
      <c r="LPK57" s="12"/>
      <c r="LPL57" s="12"/>
      <c r="LPM57" s="12"/>
      <c r="LPN57" s="12"/>
      <c r="LPO57" s="12"/>
      <c r="LPP57" s="12"/>
      <c r="LPQ57" s="12"/>
      <c r="LPR57" s="12"/>
      <c r="LPS57" s="12"/>
      <c r="LPT57" s="12"/>
      <c r="LPU57" s="12"/>
      <c r="LPV57" s="12"/>
      <c r="LPW57" s="12"/>
      <c r="LPX57" s="12"/>
      <c r="LPY57" s="12"/>
      <c r="LPZ57" s="12"/>
      <c r="LQA57" s="12"/>
      <c r="LQB57" s="12"/>
      <c r="LQC57" s="12"/>
      <c r="LQD57" s="12"/>
      <c r="LQE57" s="12"/>
      <c r="LQF57" s="12"/>
      <c r="LQG57" s="12"/>
      <c r="LQH57" s="12"/>
      <c r="LQI57" s="12"/>
      <c r="LQJ57" s="12"/>
      <c r="LQK57" s="12"/>
      <c r="LQL57" s="12"/>
      <c r="LQM57" s="12"/>
      <c r="LQN57" s="12"/>
      <c r="LQO57" s="12"/>
      <c r="LQP57" s="12"/>
      <c r="LQQ57" s="12"/>
      <c r="LQR57" s="12"/>
      <c r="LQS57" s="12"/>
      <c r="LQT57" s="12"/>
      <c r="LQU57" s="12"/>
      <c r="LQV57" s="12"/>
      <c r="LQW57" s="12"/>
      <c r="LQX57" s="12"/>
      <c r="LQY57" s="12"/>
      <c r="LQZ57" s="12"/>
      <c r="LRA57" s="12"/>
      <c r="LRB57" s="12"/>
      <c r="LRC57" s="12"/>
      <c r="LRD57" s="12"/>
      <c r="LRE57" s="12"/>
      <c r="LRF57" s="12"/>
      <c r="LRG57" s="12"/>
      <c r="LRH57" s="12"/>
      <c r="LRI57" s="12"/>
      <c r="LRJ57" s="12"/>
      <c r="LRK57" s="12"/>
      <c r="LRL57" s="12"/>
      <c r="LRM57" s="12"/>
      <c r="LRN57" s="12"/>
      <c r="LRO57" s="12"/>
      <c r="LRP57" s="12"/>
      <c r="LRQ57" s="12"/>
      <c r="LRR57" s="12"/>
      <c r="LRS57" s="12"/>
      <c r="LRT57" s="12"/>
      <c r="LRU57" s="12"/>
      <c r="LRV57" s="12"/>
      <c r="LRW57" s="12"/>
      <c r="LRX57" s="12"/>
      <c r="LRY57" s="12"/>
      <c r="LRZ57" s="12"/>
      <c r="LSA57" s="12"/>
      <c r="LSB57" s="12"/>
      <c r="LSC57" s="12"/>
      <c r="LSD57" s="12"/>
      <c r="LSE57" s="12"/>
      <c r="LSF57" s="12"/>
      <c r="LSG57" s="12"/>
      <c r="LSH57" s="12"/>
      <c r="LSI57" s="12"/>
      <c r="LSJ57" s="12"/>
      <c r="LSK57" s="12"/>
      <c r="LSL57" s="12"/>
      <c r="LSM57" s="12"/>
      <c r="LSN57" s="12"/>
      <c r="LSO57" s="12"/>
      <c r="LSP57" s="12"/>
      <c r="LSQ57" s="12"/>
      <c r="LSR57" s="12"/>
      <c r="LSS57" s="12"/>
      <c r="LST57" s="12"/>
      <c r="LSU57" s="12"/>
      <c r="LSV57" s="12"/>
      <c r="LSW57" s="12"/>
      <c r="LSX57" s="12"/>
      <c r="LSY57" s="12"/>
      <c r="LSZ57" s="12"/>
      <c r="LTA57" s="12"/>
      <c r="LTB57" s="12"/>
      <c r="LTC57" s="12"/>
      <c r="LTD57" s="12"/>
      <c r="LTE57" s="12"/>
      <c r="LTF57" s="12"/>
      <c r="LTG57" s="12"/>
      <c r="LTH57" s="12"/>
      <c r="LTI57" s="12"/>
      <c r="LTJ57" s="12"/>
      <c r="LTK57" s="12"/>
      <c r="LTL57" s="12"/>
      <c r="LTM57" s="12"/>
      <c r="LTN57" s="12"/>
      <c r="LTO57" s="12"/>
      <c r="LTP57" s="12"/>
      <c r="LTQ57" s="12"/>
      <c r="LTR57" s="12"/>
      <c r="LTS57" s="12"/>
      <c r="LTT57" s="12"/>
      <c r="LTU57" s="12"/>
      <c r="LTV57" s="12"/>
      <c r="LTW57" s="12"/>
      <c r="LTX57" s="12"/>
      <c r="LTY57" s="12"/>
      <c r="LTZ57" s="12"/>
      <c r="LUA57" s="12"/>
      <c r="LUB57" s="12"/>
      <c r="LUC57" s="12"/>
      <c r="LUD57" s="12"/>
      <c r="LUE57" s="12"/>
      <c r="LUF57" s="12"/>
      <c r="LUG57" s="12"/>
      <c r="LUH57" s="12"/>
      <c r="LUI57" s="12"/>
      <c r="LUJ57" s="12"/>
      <c r="LUK57" s="12"/>
      <c r="LUL57" s="12"/>
      <c r="LUM57" s="12"/>
      <c r="LUN57" s="12"/>
      <c r="LUO57" s="12"/>
      <c r="LUP57" s="12"/>
      <c r="LUQ57" s="12"/>
      <c r="LUR57" s="12"/>
      <c r="LUS57" s="12"/>
      <c r="LUT57" s="12"/>
      <c r="LUU57" s="12"/>
      <c r="LUV57" s="12"/>
      <c r="LUW57" s="12"/>
      <c r="LUX57" s="12"/>
      <c r="LUY57" s="12"/>
      <c r="LUZ57" s="12"/>
      <c r="LVA57" s="12"/>
      <c r="LVB57" s="12"/>
      <c r="LVC57" s="12"/>
      <c r="LVD57" s="12"/>
      <c r="LVE57" s="12"/>
      <c r="LVF57" s="12"/>
      <c r="LVG57" s="12"/>
      <c r="LVH57" s="12"/>
      <c r="LVI57" s="12"/>
      <c r="LVJ57" s="12"/>
      <c r="LVK57" s="12"/>
      <c r="LVL57" s="12"/>
      <c r="LVM57" s="12"/>
      <c r="LVN57" s="12"/>
      <c r="LVO57" s="12"/>
      <c r="LVP57" s="12"/>
      <c r="LVQ57" s="12"/>
      <c r="LVR57" s="12"/>
      <c r="LVS57" s="12"/>
      <c r="LVT57" s="12"/>
      <c r="LVU57" s="12"/>
      <c r="LVV57" s="12"/>
      <c r="LVW57" s="12"/>
      <c r="LVX57" s="12"/>
      <c r="LVY57" s="12"/>
      <c r="LVZ57" s="12"/>
      <c r="LWA57" s="12"/>
      <c r="LWB57" s="12"/>
      <c r="LWC57" s="12"/>
      <c r="LWD57" s="12"/>
      <c r="LWE57" s="12"/>
      <c r="LWF57" s="12"/>
      <c r="LWG57" s="12"/>
      <c r="LWH57" s="12"/>
      <c r="LWI57" s="12"/>
      <c r="LWJ57" s="12"/>
      <c r="LWK57" s="12"/>
      <c r="LWL57" s="12"/>
      <c r="LWM57" s="12"/>
      <c r="LWN57" s="12"/>
      <c r="LWO57" s="12"/>
      <c r="LWP57" s="12"/>
      <c r="LWQ57" s="12"/>
      <c r="LWR57" s="12"/>
      <c r="LWS57" s="12"/>
      <c r="LWT57" s="12"/>
      <c r="LWU57" s="12"/>
      <c r="LWV57" s="12"/>
      <c r="LWW57" s="12"/>
      <c r="LWX57" s="12"/>
      <c r="LWY57" s="12"/>
      <c r="LWZ57" s="12"/>
      <c r="LXA57" s="12"/>
      <c r="LXB57" s="12"/>
      <c r="LXC57" s="12"/>
      <c r="LXD57" s="12"/>
      <c r="LXE57" s="12"/>
      <c r="LXF57" s="12"/>
      <c r="LXG57" s="12"/>
      <c r="LXH57" s="12"/>
      <c r="LXI57" s="12"/>
      <c r="LXJ57" s="12"/>
      <c r="LXK57" s="12"/>
      <c r="LXL57" s="12"/>
      <c r="LXM57" s="12"/>
      <c r="LXN57" s="12"/>
      <c r="LXO57" s="12"/>
      <c r="LXP57" s="12"/>
      <c r="LXQ57" s="12"/>
      <c r="LXR57" s="12"/>
      <c r="LXS57" s="12"/>
      <c r="LXT57" s="12"/>
      <c r="LXU57" s="12"/>
      <c r="LXV57" s="12"/>
      <c r="LXW57" s="12"/>
      <c r="LXX57" s="12"/>
      <c r="LXY57" s="12"/>
      <c r="LXZ57" s="12"/>
      <c r="LYA57" s="12"/>
      <c r="LYB57" s="12"/>
      <c r="LYC57" s="12"/>
      <c r="LYD57" s="12"/>
      <c r="LYE57" s="12"/>
      <c r="LYF57" s="12"/>
      <c r="LYG57" s="12"/>
      <c r="LYH57" s="12"/>
      <c r="LYI57" s="12"/>
      <c r="LYJ57" s="12"/>
      <c r="LYK57" s="12"/>
      <c r="LYL57" s="12"/>
      <c r="LYM57" s="12"/>
      <c r="LYN57" s="12"/>
      <c r="LYO57" s="12"/>
      <c r="LYP57" s="12"/>
      <c r="LYQ57" s="12"/>
      <c r="LYR57" s="12"/>
      <c r="LYS57" s="12"/>
      <c r="LYT57" s="12"/>
      <c r="LYU57" s="12"/>
      <c r="LYV57" s="12"/>
      <c r="LYW57" s="12"/>
      <c r="LYX57" s="12"/>
      <c r="LYY57" s="12"/>
      <c r="LYZ57" s="12"/>
      <c r="LZA57" s="12"/>
      <c r="LZB57" s="12"/>
      <c r="LZC57" s="12"/>
      <c r="LZD57" s="12"/>
      <c r="LZE57" s="12"/>
      <c r="LZF57" s="12"/>
      <c r="LZG57" s="12"/>
      <c r="LZH57" s="12"/>
      <c r="LZI57" s="12"/>
      <c r="LZJ57" s="12"/>
      <c r="LZK57" s="12"/>
      <c r="LZL57" s="12"/>
      <c r="LZM57" s="12"/>
      <c r="LZN57" s="12"/>
      <c r="LZO57" s="12"/>
      <c r="LZP57" s="12"/>
      <c r="LZQ57" s="12"/>
      <c r="LZR57" s="12"/>
      <c r="LZS57" s="12"/>
      <c r="LZT57" s="12"/>
      <c r="LZU57" s="12"/>
      <c r="LZV57" s="12"/>
      <c r="LZW57" s="12"/>
      <c r="LZX57" s="12"/>
      <c r="LZY57" s="12"/>
      <c r="LZZ57" s="12"/>
      <c r="MAA57" s="12"/>
      <c r="MAB57" s="12"/>
      <c r="MAC57" s="12"/>
      <c r="MAD57" s="12"/>
      <c r="MAE57" s="12"/>
      <c r="MAF57" s="12"/>
      <c r="MAG57" s="12"/>
      <c r="MAH57" s="12"/>
      <c r="MAI57" s="12"/>
      <c r="MAJ57" s="12"/>
      <c r="MAK57" s="12"/>
      <c r="MAL57" s="12"/>
      <c r="MAM57" s="12"/>
      <c r="MAN57" s="12"/>
      <c r="MAO57" s="12"/>
      <c r="MAP57" s="12"/>
      <c r="MAQ57" s="12"/>
      <c r="MAR57" s="12"/>
      <c r="MAS57" s="12"/>
      <c r="MAT57" s="12"/>
      <c r="MAU57" s="12"/>
      <c r="MAV57" s="12"/>
      <c r="MAW57" s="12"/>
      <c r="MAX57" s="12"/>
      <c r="MAY57" s="12"/>
      <c r="MAZ57" s="12"/>
      <c r="MBA57" s="12"/>
      <c r="MBB57" s="12"/>
      <c r="MBC57" s="12"/>
      <c r="MBD57" s="12"/>
      <c r="MBE57" s="12"/>
      <c r="MBF57" s="12"/>
      <c r="MBG57" s="12"/>
      <c r="MBH57" s="12"/>
      <c r="MBI57" s="12"/>
      <c r="MBJ57" s="12"/>
      <c r="MBK57" s="12"/>
      <c r="MBL57" s="12"/>
      <c r="MBM57" s="12"/>
      <c r="MBN57" s="12"/>
      <c r="MBO57" s="12"/>
      <c r="MBP57" s="12"/>
      <c r="MBQ57" s="12"/>
      <c r="MBR57" s="12"/>
      <c r="MBS57" s="12"/>
      <c r="MBT57" s="12"/>
      <c r="MBU57" s="12"/>
      <c r="MBV57" s="12"/>
      <c r="MBW57" s="12"/>
      <c r="MBX57" s="12"/>
      <c r="MBY57" s="12"/>
      <c r="MBZ57" s="12"/>
      <c r="MCA57" s="12"/>
      <c r="MCB57" s="12"/>
      <c r="MCC57" s="12"/>
      <c r="MCD57" s="12"/>
      <c r="MCE57" s="12"/>
      <c r="MCF57" s="12"/>
      <c r="MCG57" s="12"/>
      <c r="MCH57" s="12"/>
      <c r="MCI57" s="12"/>
      <c r="MCJ57" s="12"/>
      <c r="MCK57" s="12"/>
      <c r="MCL57" s="12"/>
      <c r="MCM57" s="12"/>
      <c r="MCN57" s="12"/>
      <c r="MCO57" s="12"/>
      <c r="MCP57" s="12"/>
      <c r="MCQ57" s="12"/>
      <c r="MCR57" s="12"/>
      <c r="MCS57" s="12"/>
      <c r="MCT57" s="12"/>
      <c r="MCU57" s="12"/>
      <c r="MCV57" s="12"/>
      <c r="MCW57" s="12"/>
      <c r="MCX57" s="12"/>
      <c r="MCY57" s="12"/>
      <c r="MCZ57" s="12"/>
      <c r="MDA57" s="12"/>
      <c r="MDB57" s="12"/>
      <c r="MDC57" s="12"/>
      <c r="MDD57" s="12"/>
      <c r="MDE57" s="12"/>
      <c r="MDF57" s="12"/>
      <c r="MDG57" s="12"/>
      <c r="MDH57" s="12"/>
      <c r="MDI57" s="12"/>
      <c r="MDJ57" s="12"/>
      <c r="MDK57" s="12"/>
      <c r="MDL57" s="12"/>
      <c r="MDM57" s="12"/>
      <c r="MDN57" s="12"/>
      <c r="MDO57" s="12"/>
      <c r="MDP57" s="12"/>
      <c r="MDQ57" s="12"/>
      <c r="MDR57" s="12"/>
      <c r="MDS57" s="12"/>
      <c r="MDT57" s="12"/>
      <c r="MDU57" s="12"/>
      <c r="MDV57" s="12"/>
      <c r="MDW57" s="12"/>
      <c r="MDX57" s="12"/>
      <c r="MDY57" s="12"/>
      <c r="MDZ57" s="12"/>
      <c r="MEA57" s="12"/>
      <c r="MEB57" s="12"/>
      <c r="MEC57" s="12"/>
      <c r="MED57" s="12"/>
      <c r="MEE57" s="12"/>
      <c r="MEF57" s="12"/>
      <c r="MEG57" s="12"/>
      <c r="MEH57" s="12"/>
      <c r="MEI57" s="12"/>
      <c r="MEJ57" s="12"/>
      <c r="MEK57" s="12"/>
      <c r="MEL57" s="12"/>
      <c r="MEM57" s="12"/>
      <c r="MEN57" s="12"/>
      <c r="MEO57" s="12"/>
      <c r="MEP57" s="12"/>
      <c r="MEQ57" s="12"/>
      <c r="MER57" s="12"/>
      <c r="MES57" s="12"/>
      <c r="MET57" s="12"/>
      <c r="MEU57" s="12"/>
      <c r="MEV57" s="12"/>
      <c r="MEW57" s="12"/>
      <c r="MEX57" s="12"/>
      <c r="MEY57" s="12"/>
      <c r="MEZ57" s="12"/>
      <c r="MFA57" s="12"/>
      <c r="MFB57" s="12"/>
      <c r="MFC57" s="12"/>
      <c r="MFD57" s="12"/>
      <c r="MFE57" s="12"/>
      <c r="MFF57" s="12"/>
      <c r="MFG57" s="12"/>
      <c r="MFH57" s="12"/>
      <c r="MFI57" s="12"/>
      <c r="MFJ57" s="12"/>
      <c r="MFK57" s="12"/>
      <c r="MFL57" s="12"/>
      <c r="MFM57" s="12"/>
      <c r="MFN57" s="12"/>
      <c r="MFO57" s="12"/>
      <c r="MFP57" s="12"/>
      <c r="MFQ57" s="12"/>
      <c r="MFR57" s="12"/>
      <c r="MFS57" s="12"/>
      <c r="MFT57" s="12"/>
      <c r="MFU57" s="12"/>
      <c r="MFV57" s="12"/>
      <c r="MFW57" s="12"/>
      <c r="MFX57" s="12"/>
      <c r="MFY57" s="12"/>
      <c r="MFZ57" s="12"/>
      <c r="MGA57" s="12"/>
      <c r="MGB57" s="12"/>
      <c r="MGC57" s="12"/>
      <c r="MGD57" s="12"/>
      <c r="MGE57" s="12"/>
      <c r="MGF57" s="12"/>
      <c r="MGG57" s="12"/>
      <c r="MGH57" s="12"/>
      <c r="MGI57" s="12"/>
      <c r="MGJ57" s="12"/>
      <c r="MGK57" s="12"/>
      <c r="MGL57" s="12"/>
      <c r="MGM57" s="12"/>
      <c r="MGN57" s="12"/>
      <c r="MGO57" s="12"/>
      <c r="MGP57" s="12"/>
      <c r="MGQ57" s="12"/>
      <c r="MGR57" s="12"/>
      <c r="MGS57" s="12"/>
      <c r="MGT57" s="12"/>
      <c r="MGU57" s="12"/>
      <c r="MGV57" s="12"/>
      <c r="MGW57" s="12"/>
      <c r="MGX57" s="12"/>
      <c r="MGY57" s="12"/>
      <c r="MGZ57" s="12"/>
      <c r="MHA57" s="12"/>
      <c r="MHB57" s="12"/>
      <c r="MHC57" s="12"/>
      <c r="MHD57" s="12"/>
      <c r="MHE57" s="12"/>
      <c r="MHF57" s="12"/>
      <c r="MHG57" s="12"/>
      <c r="MHH57" s="12"/>
      <c r="MHI57" s="12"/>
      <c r="MHJ57" s="12"/>
      <c r="MHK57" s="12"/>
      <c r="MHL57" s="12"/>
      <c r="MHM57" s="12"/>
      <c r="MHN57" s="12"/>
      <c r="MHO57" s="12"/>
      <c r="MHP57" s="12"/>
      <c r="MHQ57" s="12"/>
      <c r="MHR57" s="12"/>
      <c r="MHS57" s="12"/>
      <c r="MHT57" s="12"/>
      <c r="MHU57" s="12"/>
      <c r="MHV57" s="12"/>
      <c r="MHW57" s="12"/>
      <c r="MHX57" s="12"/>
      <c r="MHY57" s="12"/>
      <c r="MHZ57" s="12"/>
      <c r="MIA57" s="12"/>
      <c r="MIB57" s="12"/>
      <c r="MIC57" s="12"/>
      <c r="MID57" s="12"/>
      <c r="MIE57" s="12"/>
      <c r="MIF57" s="12"/>
      <c r="MIG57" s="12"/>
      <c r="MIH57" s="12"/>
      <c r="MII57" s="12"/>
      <c r="MIJ57" s="12"/>
      <c r="MIK57" s="12"/>
      <c r="MIL57" s="12"/>
      <c r="MIM57" s="12"/>
      <c r="MIN57" s="12"/>
      <c r="MIO57" s="12"/>
      <c r="MIP57" s="12"/>
      <c r="MIQ57" s="12"/>
      <c r="MIR57" s="12"/>
      <c r="MIS57" s="12"/>
      <c r="MIT57" s="12"/>
      <c r="MIU57" s="12"/>
      <c r="MIV57" s="12"/>
      <c r="MIW57" s="12"/>
      <c r="MIX57" s="12"/>
      <c r="MIY57" s="12"/>
      <c r="MIZ57" s="12"/>
      <c r="MJA57" s="12"/>
      <c r="MJB57" s="12"/>
      <c r="MJC57" s="12"/>
      <c r="MJD57" s="12"/>
      <c r="MJE57" s="12"/>
      <c r="MJF57" s="12"/>
      <c r="MJG57" s="12"/>
      <c r="MJH57" s="12"/>
      <c r="MJI57" s="12"/>
      <c r="MJJ57" s="12"/>
      <c r="MJK57" s="12"/>
      <c r="MJL57" s="12"/>
      <c r="MJM57" s="12"/>
      <c r="MJN57" s="12"/>
      <c r="MJO57" s="12"/>
      <c r="MJP57" s="12"/>
      <c r="MJQ57" s="12"/>
      <c r="MJR57" s="12"/>
      <c r="MJS57" s="12"/>
      <c r="MJT57" s="12"/>
      <c r="MJU57" s="12"/>
      <c r="MJV57" s="12"/>
      <c r="MJW57" s="12"/>
      <c r="MJX57" s="12"/>
      <c r="MJY57" s="12"/>
      <c r="MJZ57" s="12"/>
      <c r="MKA57" s="12"/>
      <c r="MKB57" s="12"/>
      <c r="MKC57" s="12"/>
      <c r="MKD57" s="12"/>
      <c r="MKE57" s="12"/>
      <c r="MKF57" s="12"/>
      <c r="MKG57" s="12"/>
      <c r="MKH57" s="12"/>
      <c r="MKI57" s="12"/>
      <c r="MKJ57" s="12"/>
      <c r="MKK57" s="12"/>
      <c r="MKL57" s="12"/>
      <c r="MKM57" s="12"/>
      <c r="MKN57" s="12"/>
      <c r="MKO57" s="12"/>
      <c r="MKP57" s="12"/>
      <c r="MKQ57" s="12"/>
      <c r="MKR57" s="12"/>
      <c r="MKS57" s="12"/>
      <c r="MKT57" s="12"/>
      <c r="MKU57" s="12"/>
      <c r="MKV57" s="12"/>
      <c r="MKW57" s="12"/>
      <c r="MKX57" s="12"/>
      <c r="MKY57" s="12"/>
      <c r="MKZ57" s="12"/>
      <c r="MLA57" s="12"/>
      <c r="MLB57" s="12"/>
      <c r="MLC57" s="12"/>
      <c r="MLD57" s="12"/>
      <c r="MLE57" s="12"/>
      <c r="MLF57" s="12"/>
      <c r="MLG57" s="12"/>
      <c r="MLH57" s="12"/>
      <c r="MLI57" s="12"/>
      <c r="MLJ57" s="12"/>
      <c r="MLK57" s="12"/>
      <c r="MLL57" s="12"/>
      <c r="MLM57" s="12"/>
      <c r="MLN57" s="12"/>
      <c r="MLO57" s="12"/>
      <c r="MLP57" s="12"/>
      <c r="MLQ57" s="12"/>
      <c r="MLR57" s="12"/>
      <c r="MLS57" s="12"/>
      <c r="MLT57" s="12"/>
      <c r="MLU57" s="12"/>
      <c r="MLV57" s="12"/>
      <c r="MLW57" s="12"/>
      <c r="MLX57" s="12"/>
      <c r="MLY57" s="12"/>
      <c r="MLZ57" s="12"/>
      <c r="MMA57" s="12"/>
      <c r="MMB57" s="12"/>
      <c r="MMC57" s="12"/>
      <c r="MMD57" s="12"/>
      <c r="MME57" s="12"/>
      <c r="MMF57" s="12"/>
      <c r="MMG57" s="12"/>
      <c r="MMH57" s="12"/>
      <c r="MMI57" s="12"/>
      <c r="MMJ57" s="12"/>
      <c r="MMK57" s="12"/>
      <c r="MML57" s="12"/>
      <c r="MMM57" s="12"/>
      <c r="MMN57" s="12"/>
      <c r="MMO57" s="12"/>
      <c r="MMP57" s="12"/>
      <c r="MMQ57" s="12"/>
      <c r="MMR57" s="12"/>
      <c r="MMS57" s="12"/>
      <c r="MMT57" s="12"/>
      <c r="MMU57" s="12"/>
      <c r="MMV57" s="12"/>
      <c r="MMW57" s="12"/>
      <c r="MMX57" s="12"/>
      <c r="MMY57" s="12"/>
      <c r="MMZ57" s="12"/>
      <c r="MNA57" s="12"/>
      <c r="MNB57" s="12"/>
      <c r="MNC57" s="12"/>
      <c r="MND57" s="12"/>
      <c r="MNE57" s="12"/>
      <c r="MNF57" s="12"/>
      <c r="MNG57" s="12"/>
      <c r="MNH57" s="12"/>
      <c r="MNI57" s="12"/>
      <c r="MNJ57" s="12"/>
      <c r="MNK57" s="12"/>
      <c r="MNL57" s="12"/>
      <c r="MNM57" s="12"/>
      <c r="MNN57" s="12"/>
      <c r="MNO57" s="12"/>
      <c r="MNP57" s="12"/>
      <c r="MNQ57" s="12"/>
      <c r="MNR57" s="12"/>
      <c r="MNS57" s="12"/>
      <c r="MNT57" s="12"/>
      <c r="MNU57" s="12"/>
      <c r="MNV57" s="12"/>
      <c r="MNW57" s="12"/>
      <c r="MNX57" s="12"/>
      <c r="MNY57" s="12"/>
      <c r="MNZ57" s="12"/>
      <c r="MOA57" s="12"/>
      <c r="MOB57" s="12"/>
      <c r="MOC57" s="12"/>
      <c r="MOD57" s="12"/>
      <c r="MOE57" s="12"/>
      <c r="MOF57" s="12"/>
      <c r="MOG57" s="12"/>
      <c r="MOH57" s="12"/>
      <c r="MOI57" s="12"/>
      <c r="MOJ57" s="12"/>
      <c r="MOK57" s="12"/>
      <c r="MOL57" s="12"/>
      <c r="MOM57" s="12"/>
      <c r="MON57" s="12"/>
      <c r="MOO57" s="12"/>
      <c r="MOP57" s="12"/>
      <c r="MOQ57" s="12"/>
      <c r="MOR57" s="12"/>
      <c r="MOS57" s="12"/>
      <c r="MOT57" s="12"/>
      <c r="MOU57" s="12"/>
      <c r="MOV57" s="12"/>
      <c r="MOW57" s="12"/>
      <c r="MOX57" s="12"/>
      <c r="MOY57" s="12"/>
      <c r="MOZ57" s="12"/>
      <c r="MPA57" s="12"/>
      <c r="MPB57" s="12"/>
      <c r="MPC57" s="12"/>
      <c r="MPD57" s="12"/>
      <c r="MPE57" s="12"/>
      <c r="MPF57" s="12"/>
      <c r="MPG57" s="12"/>
      <c r="MPH57" s="12"/>
      <c r="MPI57" s="12"/>
      <c r="MPJ57" s="12"/>
      <c r="MPK57" s="12"/>
      <c r="MPL57" s="12"/>
      <c r="MPM57" s="12"/>
      <c r="MPN57" s="12"/>
      <c r="MPO57" s="12"/>
      <c r="MPP57" s="12"/>
      <c r="MPQ57" s="12"/>
      <c r="MPR57" s="12"/>
      <c r="MPS57" s="12"/>
      <c r="MPT57" s="12"/>
      <c r="MPU57" s="12"/>
      <c r="MPV57" s="12"/>
      <c r="MPW57" s="12"/>
      <c r="MPX57" s="12"/>
      <c r="MPY57" s="12"/>
      <c r="MPZ57" s="12"/>
      <c r="MQA57" s="12"/>
      <c r="MQB57" s="12"/>
      <c r="MQC57" s="12"/>
      <c r="MQD57" s="12"/>
      <c r="MQE57" s="12"/>
      <c r="MQF57" s="12"/>
      <c r="MQG57" s="12"/>
      <c r="MQH57" s="12"/>
      <c r="MQI57" s="12"/>
      <c r="MQJ57" s="12"/>
      <c r="MQK57" s="12"/>
      <c r="MQL57" s="12"/>
      <c r="MQM57" s="12"/>
      <c r="MQN57" s="12"/>
      <c r="MQO57" s="12"/>
      <c r="MQP57" s="12"/>
      <c r="MQQ57" s="12"/>
      <c r="MQR57" s="12"/>
      <c r="MQS57" s="12"/>
      <c r="MQT57" s="12"/>
      <c r="MQU57" s="12"/>
      <c r="MQV57" s="12"/>
      <c r="MQW57" s="12"/>
      <c r="MQX57" s="12"/>
      <c r="MQY57" s="12"/>
      <c r="MQZ57" s="12"/>
      <c r="MRA57" s="12"/>
      <c r="MRB57" s="12"/>
      <c r="MRC57" s="12"/>
      <c r="MRD57" s="12"/>
      <c r="MRE57" s="12"/>
      <c r="MRF57" s="12"/>
      <c r="MRG57" s="12"/>
      <c r="MRH57" s="12"/>
      <c r="MRI57" s="12"/>
      <c r="MRJ57" s="12"/>
      <c r="MRK57" s="12"/>
      <c r="MRL57" s="12"/>
      <c r="MRM57" s="12"/>
      <c r="MRN57" s="12"/>
      <c r="MRO57" s="12"/>
      <c r="MRP57" s="12"/>
      <c r="MRQ57" s="12"/>
      <c r="MRR57" s="12"/>
      <c r="MRS57" s="12"/>
      <c r="MRT57" s="12"/>
      <c r="MRU57" s="12"/>
      <c r="MRV57" s="12"/>
      <c r="MRW57" s="12"/>
      <c r="MRX57" s="12"/>
      <c r="MRY57" s="12"/>
      <c r="MRZ57" s="12"/>
      <c r="MSA57" s="12"/>
      <c r="MSB57" s="12"/>
      <c r="MSC57" s="12"/>
      <c r="MSD57" s="12"/>
      <c r="MSE57" s="12"/>
      <c r="MSF57" s="12"/>
      <c r="MSG57" s="12"/>
      <c r="MSH57" s="12"/>
      <c r="MSI57" s="12"/>
      <c r="MSJ57" s="12"/>
      <c r="MSK57" s="12"/>
      <c r="MSL57" s="12"/>
      <c r="MSM57" s="12"/>
      <c r="MSN57" s="12"/>
      <c r="MSO57" s="12"/>
      <c r="MSP57" s="12"/>
      <c r="MSQ57" s="12"/>
      <c r="MSR57" s="12"/>
      <c r="MSS57" s="12"/>
      <c r="MST57" s="12"/>
      <c r="MSU57" s="12"/>
      <c r="MSV57" s="12"/>
      <c r="MSW57" s="12"/>
      <c r="MSX57" s="12"/>
      <c r="MSY57" s="12"/>
      <c r="MSZ57" s="12"/>
      <c r="MTA57" s="12"/>
      <c r="MTB57" s="12"/>
      <c r="MTC57" s="12"/>
      <c r="MTD57" s="12"/>
      <c r="MTE57" s="12"/>
      <c r="MTF57" s="12"/>
      <c r="MTG57" s="12"/>
      <c r="MTH57" s="12"/>
      <c r="MTI57" s="12"/>
      <c r="MTJ57" s="12"/>
      <c r="MTK57" s="12"/>
      <c r="MTL57" s="12"/>
      <c r="MTM57" s="12"/>
      <c r="MTN57" s="12"/>
      <c r="MTO57" s="12"/>
      <c r="MTP57" s="12"/>
      <c r="MTQ57" s="12"/>
      <c r="MTR57" s="12"/>
      <c r="MTS57" s="12"/>
      <c r="MTT57" s="12"/>
      <c r="MTU57" s="12"/>
      <c r="MTV57" s="12"/>
      <c r="MTW57" s="12"/>
      <c r="MTX57" s="12"/>
      <c r="MTY57" s="12"/>
      <c r="MTZ57" s="12"/>
      <c r="MUA57" s="12"/>
      <c r="MUB57" s="12"/>
      <c r="MUC57" s="12"/>
      <c r="MUD57" s="12"/>
      <c r="MUE57" s="12"/>
      <c r="MUF57" s="12"/>
      <c r="MUG57" s="12"/>
      <c r="MUH57" s="12"/>
      <c r="MUI57" s="12"/>
      <c r="MUJ57" s="12"/>
      <c r="MUK57" s="12"/>
      <c r="MUL57" s="12"/>
      <c r="MUM57" s="12"/>
      <c r="MUN57" s="12"/>
      <c r="MUO57" s="12"/>
      <c r="MUP57" s="12"/>
      <c r="MUQ57" s="12"/>
      <c r="MUR57" s="12"/>
      <c r="MUS57" s="12"/>
      <c r="MUT57" s="12"/>
      <c r="MUU57" s="12"/>
      <c r="MUV57" s="12"/>
      <c r="MUW57" s="12"/>
      <c r="MUX57" s="12"/>
      <c r="MUY57" s="12"/>
      <c r="MUZ57" s="12"/>
      <c r="MVA57" s="12"/>
      <c r="MVB57" s="12"/>
      <c r="MVC57" s="12"/>
      <c r="MVD57" s="12"/>
      <c r="MVE57" s="12"/>
      <c r="MVF57" s="12"/>
      <c r="MVG57" s="12"/>
      <c r="MVH57" s="12"/>
      <c r="MVI57" s="12"/>
      <c r="MVJ57" s="12"/>
      <c r="MVK57" s="12"/>
      <c r="MVL57" s="12"/>
      <c r="MVM57" s="12"/>
      <c r="MVN57" s="12"/>
      <c r="MVO57" s="12"/>
      <c r="MVP57" s="12"/>
      <c r="MVQ57" s="12"/>
      <c r="MVR57" s="12"/>
      <c r="MVS57" s="12"/>
      <c r="MVT57" s="12"/>
      <c r="MVU57" s="12"/>
      <c r="MVV57" s="12"/>
      <c r="MVW57" s="12"/>
      <c r="MVX57" s="12"/>
      <c r="MVY57" s="12"/>
      <c r="MVZ57" s="12"/>
      <c r="MWA57" s="12"/>
      <c r="MWB57" s="12"/>
      <c r="MWC57" s="12"/>
      <c r="MWD57" s="12"/>
      <c r="MWE57" s="12"/>
      <c r="MWF57" s="12"/>
      <c r="MWG57" s="12"/>
      <c r="MWH57" s="12"/>
      <c r="MWI57" s="12"/>
      <c r="MWJ57" s="12"/>
      <c r="MWK57" s="12"/>
      <c r="MWL57" s="12"/>
      <c r="MWM57" s="12"/>
      <c r="MWN57" s="12"/>
      <c r="MWO57" s="12"/>
      <c r="MWP57" s="12"/>
      <c r="MWQ57" s="12"/>
      <c r="MWR57" s="12"/>
      <c r="MWS57" s="12"/>
      <c r="MWT57" s="12"/>
      <c r="MWU57" s="12"/>
      <c r="MWV57" s="12"/>
      <c r="MWW57" s="12"/>
      <c r="MWX57" s="12"/>
      <c r="MWY57" s="12"/>
      <c r="MWZ57" s="12"/>
      <c r="MXA57" s="12"/>
      <c r="MXB57" s="12"/>
      <c r="MXC57" s="12"/>
      <c r="MXD57" s="12"/>
      <c r="MXE57" s="12"/>
      <c r="MXF57" s="12"/>
      <c r="MXG57" s="12"/>
      <c r="MXH57" s="12"/>
      <c r="MXI57" s="12"/>
      <c r="MXJ57" s="12"/>
      <c r="MXK57" s="12"/>
      <c r="MXL57" s="12"/>
      <c r="MXM57" s="12"/>
      <c r="MXN57" s="12"/>
      <c r="MXO57" s="12"/>
      <c r="MXP57" s="12"/>
      <c r="MXQ57" s="12"/>
      <c r="MXR57" s="12"/>
      <c r="MXS57" s="12"/>
      <c r="MXT57" s="12"/>
      <c r="MXU57" s="12"/>
      <c r="MXV57" s="12"/>
      <c r="MXW57" s="12"/>
      <c r="MXX57" s="12"/>
      <c r="MXY57" s="12"/>
      <c r="MXZ57" s="12"/>
      <c r="MYA57" s="12"/>
      <c r="MYB57" s="12"/>
      <c r="MYC57" s="12"/>
      <c r="MYD57" s="12"/>
      <c r="MYE57" s="12"/>
      <c r="MYF57" s="12"/>
      <c r="MYG57" s="12"/>
      <c r="MYH57" s="12"/>
      <c r="MYI57" s="12"/>
      <c r="MYJ57" s="12"/>
      <c r="MYK57" s="12"/>
      <c r="MYL57" s="12"/>
      <c r="MYM57" s="12"/>
      <c r="MYN57" s="12"/>
      <c r="MYO57" s="12"/>
      <c r="MYP57" s="12"/>
      <c r="MYQ57" s="12"/>
      <c r="MYR57" s="12"/>
      <c r="MYS57" s="12"/>
      <c r="MYT57" s="12"/>
      <c r="MYU57" s="12"/>
      <c r="MYV57" s="12"/>
      <c r="MYW57" s="12"/>
      <c r="MYX57" s="12"/>
      <c r="MYY57" s="12"/>
      <c r="MYZ57" s="12"/>
      <c r="MZA57" s="12"/>
      <c r="MZB57" s="12"/>
      <c r="MZC57" s="12"/>
      <c r="MZD57" s="12"/>
      <c r="MZE57" s="12"/>
      <c r="MZF57" s="12"/>
      <c r="MZG57" s="12"/>
      <c r="MZH57" s="12"/>
      <c r="MZI57" s="12"/>
      <c r="MZJ57" s="12"/>
      <c r="MZK57" s="12"/>
      <c r="MZL57" s="12"/>
      <c r="MZM57" s="12"/>
      <c r="MZN57" s="12"/>
      <c r="MZO57" s="12"/>
      <c r="MZP57" s="12"/>
      <c r="MZQ57" s="12"/>
      <c r="MZR57" s="12"/>
      <c r="MZS57" s="12"/>
      <c r="MZT57" s="12"/>
      <c r="MZU57" s="12"/>
      <c r="MZV57" s="12"/>
      <c r="MZW57" s="12"/>
      <c r="MZX57" s="12"/>
      <c r="MZY57" s="12"/>
      <c r="MZZ57" s="12"/>
      <c r="NAA57" s="12"/>
      <c r="NAB57" s="12"/>
      <c r="NAC57" s="12"/>
      <c r="NAD57" s="12"/>
      <c r="NAE57" s="12"/>
      <c r="NAF57" s="12"/>
      <c r="NAG57" s="12"/>
      <c r="NAH57" s="12"/>
      <c r="NAI57" s="12"/>
      <c r="NAJ57" s="12"/>
      <c r="NAK57" s="12"/>
      <c r="NAL57" s="12"/>
      <c r="NAM57" s="12"/>
      <c r="NAN57" s="12"/>
      <c r="NAO57" s="12"/>
      <c r="NAP57" s="12"/>
      <c r="NAQ57" s="12"/>
      <c r="NAR57" s="12"/>
      <c r="NAS57" s="12"/>
      <c r="NAT57" s="12"/>
      <c r="NAU57" s="12"/>
      <c r="NAV57" s="12"/>
      <c r="NAW57" s="12"/>
      <c r="NAX57" s="12"/>
      <c r="NAY57" s="12"/>
      <c r="NAZ57" s="12"/>
      <c r="NBA57" s="12"/>
      <c r="NBB57" s="12"/>
      <c r="NBC57" s="12"/>
      <c r="NBD57" s="12"/>
      <c r="NBE57" s="12"/>
      <c r="NBF57" s="12"/>
      <c r="NBG57" s="12"/>
      <c r="NBH57" s="12"/>
      <c r="NBI57" s="12"/>
      <c r="NBJ57" s="12"/>
      <c r="NBK57" s="12"/>
      <c r="NBL57" s="12"/>
      <c r="NBM57" s="12"/>
      <c r="NBN57" s="12"/>
      <c r="NBO57" s="12"/>
      <c r="NBP57" s="12"/>
      <c r="NBQ57" s="12"/>
      <c r="NBR57" s="12"/>
      <c r="NBS57" s="12"/>
      <c r="NBT57" s="12"/>
      <c r="NBU57" s="12"/>
      <c r="NBV57" s="12"/>
      <c r="NBW57" s="12"/>
      <c r="NBX57" s="12"/>
      <c r="NBY57" s="12"/>
      <c r="NBZ57" s="12"/>
      <c r="NCA57" s="12"/>
      <c r="NCB57" s="12"/>
      <c r="NCC57" s="12"/>
      <c r="NCD57" s="12"/>
      <c r="NCE57" s="12"/>
      <c r="NCF57" s="12"/>
      <c r="NCG57" s="12"/>
      <c r="NCH57" s="12"/>
      <c r="NCI57" s="12"/>
      <c r="NCJ57" s="12"/>
      <c r="NCK57" s="12"/>
      <c r="NCL57" s="12"/>
      <c r="NCM57" s="12"/>
      <c r="NCN57" s="12"/>
      <c r="NCO57" s="12"/>
      <c r="NCP57" s="12"/>
      <c r="NCQ57" s="12"/>
      <c r="NCR57" s="12"/>
      <c r="NCS57" s="12"/>
      <c r="NCT57" s="12"/>
      <c r="NCU57" s="12"/>
      <c r="NCV57" s="12"/>
      <c r="NCW57" s="12"/>
      <c r="NCX57" s="12"/>
      <c r="NCY57" s="12"/>
      <c r="NCZ57" s="12"/>
      <c r="NDA57" s="12"/>
      <c r="NDB57" s="12"/>
      <c r="NDC57" s="12"/>
      <c r="NDD57" s="12"/>
      <c r="NDE57" s="12"/>
      <c r="NDF57" s="12"/>
      <c r="NDG57" s="12"/>
      <c r="NDH57" s="12"/>
      <c r="NDI57" s="12"/>
      <c r="NDJ57" s="12"/>
      <c r="NDK57" s="12"/>
      <c r="NDL57" s="12"/>
      <c r="NDM57" s="12"/>
      <c r="NDN57" s="12"/>
      <c r="NDO57" s="12"/>
      <c r="NDP57" s="12"/>
      <c r="NDQ57" s="12"/>
      <c r="NDR57" s="12"/>
      <c r="NDS57" s="12"/>
      <c r="NDT57" s="12"/>
      <c r="NDU57" s="12"/>
      <c r="NDV57" s="12"/>
      <c r="NDW57" s="12"/>
      <c r="NDX57" s="12"/>
      <c r="NDY57" s="12"/>
      <c r="NDZ57" s="12"/>
      <c r="NEA57" s="12"/>
      <c r="NEB57" s="12"/>
      <c r="NEC57" s="12"/>
      <c r="NED57" s="12"/>
      <c r="NEE57" s="12"/>
      <c r="NEF57" s="12"/>
      <c r="NEG57" s="12"/>
      <c r="NEH57" s="12"/>
      <c r="NEI57" s="12"/>
      <c r="NEJ57" s="12"/>
      <c r="NEK57" s="12"/>
      <c r="NEL57" s="12"/>
      <c r="NEM57" s="12"/>
      <c r="NEN57" s="12"/>
      <c r="NEO57" s="12"/>
      <c r="NEP57" s="12"/>
      <c r="NEQ57" s="12"/>
      <c r="NER57" s="12"/>
      <c r="NES57" s="12"/>
      <c r="NET57" s="12"/>
      <c r="NEU57" s="12"/>
      <c r="NEV57" s="12"/>
      <c r="NEW57" s="12"/>
      <c r="NEX57" s="12"/>
      <c r="NEY57" s="12"/>
      <c r="NEZ57" s="12"/>
      <c r="NFA57" s="12"/>
      <c r="NFB57" s="12"/>
      <c r="NFC57" s="12"/>
      <c r="NFD57" s="12"/>
      <c r="NFE57" s="12"/>
      <c r="NFF57" s="12"/>
      <c r="NFG57" s="12"/>
      <c r="NFH57" s="12"/>
      <c r="NFI57" s="12"/>
      <c r="NFJ57" s="12"/>
      <c r="NFK57" s="12"/>
      <c r="NFL57" s="12"/>
      <c r="NFM57" s="12"/>
      <c r="NFN57" s="12"/>
      <c r="NFO57" s="12"/>
      <c r="NFP57" s="12"/>
      <c r="NFQ57" s="12"/>
      <c r="NFR57" s="12"/>
      <c r="NFS57" s="12"/>
      <c r="NFT57" s="12"/>
      <c r="NFU57" s="12"/>
      <c r="NFV57" s="12"/>
      <c r="NFW57" s="12"/>
      <c r="NFX57" s="12"/>
      <c r="NFY57" s="12"/>
      <c r="NFZ57" s="12"/>
      <c r="NGA57" s="12"/>
      <c r="NGB57" s="12"/>
      <c r="NGC57" s="12"/>
      <c r="NGD57" s="12"/>
      <c r="NGE57" s="12"/>
      <c r="NGF57" s="12"/>
      <c r="NGG57" s="12"/>
      <c r="NGH57" s="12"/>
      <c r="NGI57" s="12"/>
      <c r="NGJ57" s="12"/>
      <c r="NGK57" s="12"/>
      <c r="NGL57" s="12"/>
      <c r="NGM57" s="12"/>
      <c r="NGN57" s="12"/>
      <c r="NGO57" s="12"/>
      <c r="NGP57" s="12"/>
      <c r="NGQ57" s="12"/>
      <c r="NGR57" s="12"/>
      <c r="NGS57" s="12"/>
      <c r="NGT57" s="12"/>
      <c r="NGU57" s="12"/>
      <c r="NGV57" s="12"/>
      <c r="NGW57" s="12"/>
      <c r="NGX57" s="12"/>
      <c r="NGY57" s="12"/>
      <c r="NGZ57" s="12"/>
      <c r="NHA57" s="12"/>
      <c r="NHB57" s="12"/>
      <c r="NHC57" s="12"/>
      <c r="NHD57" s="12"/>
      <c r="NHE57" s="12"/>
      <c r="NHF57" s="12"/>
      <c r="NHG57" s="12"/>
      <c r="NHH57" s="12"/>
      <c r="NHI57" s="12"/>
      <c r="NHJ57" s="12"/>
      <c r="NHK57" s="12"/>
      <c r="NHL57" s="12"/>
      <c r="NHM57" s="12"/>
      <c r="NHN57" s="12"/>
      <c r="NHO57" s="12"/>
      <c r="NHP57" s="12"/>
      <c r="NHQ57" s="12"/>
      <c r="NHR57" s="12"/>
      <c r="NHS57" s="12"/>
      <c r="NHT57" s="12"/>
      <c r="NHU57" s="12"/>
      <c r="NHV57" s="12"/>
      <c r="NHW57" s="12"/>
      <c r="NHX57" s="12"/>
      <c r="NHY57" s="12"/>
      <c r="NHZ57" s="12"/>
      <c r="NIA57" s="12"/>
      <c r="NIB57" s="12"/>
      <c r="NIC57" s="12"/>
      <c r="NID57" s="12"/>
      <c r="NIE57" s="12"/>
      <c r="NIF57" s="12"/>
      <c r="NIG57" s="12"/>
      <c r="NIH57" s="12"/>
      <c r="NII57" s="12"/>
      <c r="NIJ57" s="12"/>
      <c r="NIK57" s="12"/>
      <c r="NIL57" s="12"/>
      <c r="NIM57" s="12"/>
      <c r="NIN57" s="12"/>
      <c r="NIO57" s="12"/>
      <c r="NIP57" s="12"/>
      <c r="NIQ57" s="12"/>
      <c r="NIR57" s="12"/>
      <c r="NIS57" s="12"/>
      <c r="NIT57" s="12"/>
      <c r="NIU57" s="12"/>
      <c r="NIV57" s="12"/>
      <c r="NIW57" s="12"/>
      <c r="NIX57" s="12"/>
      <c r="NIY57" s="12"/>
      <c r="NIZ57" s="12"/>
      <c r="NJA57" s="12"/>
      <c r="NJB57" s="12"/>
      <c r="NJC57" s="12"/>
      <c r="NJD57" s="12"/>
      <c r="NJE57" s="12"/>
      <c r="NJF57" s="12"/>
      <c r="NJG57" s="12"/>
      <c r="NJH57" s="12"/>
      <c r="NJI57" s="12"/>
      <c r="NJJ57" s="12"/>
      <c r="NJK57" s="12"/>
      <c r="NJL57" s="12"/>
      <c r="NJM57" s="12"/>
      <c r="NJN57" s="12"/>
      <c r="NJO57" s="12"/>
      <c r="NJP57" s="12"/>
      <c r="NJQ57" s="12"/>
      <c r="NJR57" s="12"/>
      <c r="NJS57" s="12"/>
      <c r="NJT57" s="12"/>
      <c r="NJU57" s="12"/>
      <c r="NJV57" s="12"/>
      <c r="NJW57" s="12"/>
      <c r="NJX57" s="12"/>
      <c r="NJY57" s="12"/>
      <c r="NJZ57" s="12"/>
      <c r="NKA57" s="12"/>
      <c r="NKB57" s="12"/>
      <c r="NKC57" s="12"/>
      <c r="NKD57" s="12"/>
      <c r="NKE57" s="12"/>
      <c r="NKF57" s="12"/>
      <c r="NKG57" s="12"/>
      <c r="NKH57" s="12"/>
      <c r="NKI57" s="12"/>
      <c r="NKJ57" s="12"/>
      <c r="NKK57" s="12"/>
      <c r="NKL57" s="12"/>
      <c r="NKM57" s="12"/>
      <c r="NKN57" s="12"/>
      <c r="NKO57" s="12"/>
      <c r="NKP57" s="12"/>
      <c r="NKQ57" s="12"/>
      <c r="NKR57" s="12"/>
      <c r="NKS57" s="12"/>
      <c r="NKT57" s="12"/>
      <c r="NKU57" s="12"/>
      <c r="NKV57" s="12"/>
      <c r="NKW57" s="12"/>
      <c r="NKX57" s="12"/>
      <c r="NKY57" s="12"/>
      <c r="NKZ57" s="12"/>
      <c r="NLA57" s="12"/>
      <c r="NLB57" s="12"/>
      <c r="NLC57" s="12"/>
      <c r="NLD57" s="12"/>
      <c r="NLE57" s="12"/>
      <c r="NLF57" s="12"/>
      <c r="NLG57" s="12"/>
      <c r="NLH57" s="12"/>
      <c r="NLI57" s="12"/>
      <c r="NLJ57" s="12"/>
      <c r="NLK57" s="12"/>
      <c r="NLL57" s="12"/>
      <c r="NLM57" s="12"/>
      <c r="NLN57" s="12"/>
      <c r="NLO57" s="12"/>
      <c r="NLP57" s="12"/>
      <c r="NLQ57" s="12"/>
      <c r="NLR57" s="12"/>
      <c r="NLS57" s="12"/>
      <c r="NLT57" s="12"/>
      <c r="NLU57" s="12"/>
      <c r="NLV57" s="12"/>
      <c r="NLW57" s="12"/>
      <c r="NLX57" s="12"/>
      <c r="NLY57" s="12"/>
      <c r="NLZ57" s="12"/>
      <c r="NMA57" s="12"/>
      <c r="NMB57" s="12"/>
      <c r="NMC57" s="12"/>
      <c r="NMD57" s="12"/>
      <c r="NME57" s="12"/>
      <c r="NMF57" s="12"/>
      <c r="NMG57" s="12"/>
      <c r="NMH57" s="12"/>
      <c r="NMI57" s="12"/>
      <c r="NMJ57" s="12"/>
      <c r="NMK57" s="12"/>
      <c r="NML57" s="12"/>
      <c r="NMM57" s="12"/>
      <c r="NMN57" s="12"/>
      <c r="NMO57" s="12"/>
      <c r="NMP57" s="12"/>
      <c r="NMQ57" s="12"/>
      <c r="NMR57" s="12"/>
      <c r="NMS57" s="12"/>
      <c r="NMT57" s="12"/>
      <c r="NMU57" s="12"/>
      <c r="NMV57" s="12"/>
      <c r="NMW57" s="12"/>
      <c r="NMX57" s="12"/>
      <c r="NMY57" s="12"/>
      <c r="NMZ57" s="12"/>
      <c r="NNA57" s="12"/>
      <c r="NNB57" s="12"/>
      <c r="NNC57" s="12"/>
      <c r="NND57" s="12"/>
      <c r="NNE57" s="12"/>
      <c r="NNF57" s="12"/>
      <c r="NNG57" s="12"/>
      <c r="NNH57" s="12"/>
      <c r="NNI57" s="12"/>
      <c r="NNJ57" s="12"/>
      <c r="NNK57" s="12"/>
      <c r="NNL57" s="12"/>
      <c r="NNM57" s="12"/>
      <c r="NNN57" s="12"/>
      <c r="NNO57" s="12"/>
      <c r="NNP57" s="12"/>
      <c r="NNQ57" s="12"/>
      <c r="NNR57" s="12"/>
      <c r="NNS57" s="12"/>
      <c r="NNT57" s="12"/>
      <c r="NNU57" s="12"/>
      <c r="NNV57" s="12"/>
      <c r="NNW57" s="12"/>
      <c r="NNX57" s="12"/>
      <c r="NNY57" s="12"/>
      <c r="NNZ57" s="12"/>
      <c r="NOA57" s="12"/>
      <c r="NOB57" s="12"/>
      <c r="NOC57" s="12"/>
      <c r="NOD57" s="12"/>
      <c r="NOE57" s="12"/>
      <c r="NOF57" s="12"/>
      <c r="NOG57" s="12"/>
      <c r="NOH57" s="12"/>
      <c r="NOI57" s="12"/>
      <c r="NOJ57" s="12"/>
      <c r="NOK57" s="12"/>
      <c r="NOL57" s="12"/>
      <c r="NOM57" s="12"/>
      <c r="NON57" s="12"/>
      <c r="NOO57" s="12"/>
      <c r="NOP57" s="12"/>
      <c r="NOQ57" s="12"/>
      <c r="NOR57" s="12"/>
      <c r="NOS57" s="12"/>
      <c r="NOT57" s="12"/>
      <c r="NOU57" s="12"/>
      <c r="NOV57" s="12"/>
      <c r="NOW57" s="12"/>
      <c r="NOX57" s="12"/>
      <c r="NOY57" s="12"/>
      <c r="NOZ57" s="12"/>
      <c r="NPA57" s="12"/>
      <c r="NPB57" s="12"/>
      <c r="NPC57" s="12"/>
      <c r="NPD57" s="12"/>
      <c r="NPE57" s="12"/>
      <c r="NPF57" s="12"/>
      <c r="NPG57" s="12"/>
      <c r="NPH57" s="12"/>
      <c r="NPI57" s="12"/>
      <c r="NPJ57" s="12"/>
      <c r="NPK57" s="12"/>
      <c r="NPL57" s="12"/>
      <c r="NPM57" s="12"/>
      <c r="NPN57" s="12"/>
      <c r="NPO57" s="12"/>
      <c r="NPP57" s="12"/>
      <c r="NPQ57" s="12"/>
      <c r="NPR57" s="12"/>
      <c r="NPS57" s="12"/>
      <c r="NPT57" s="12"/>
      <c r="NPU57" s="12"/>
      <c r="NPV57" s="12"/>
      <c r="NPW57" s="12"/>
      <c r="NPX57" s="12"/>
      <c r="NPY57" s="12"/>
      <c r="NPZ57" s="12"/>
      <c r="NQA57" s="12"/>
      <c r="NQB57" s="12"/>
      <c r="NQC57" s="12"/>
      <c r="NQD57" s="12"/>
      <c r="NQE57" s="12"/>
      <c r="NQF57" s="12"/>
      <c r="NQG57" s="12"/>
      <c r="NQH57" s="12"/>
      <c r="NQI57" s="12"/>
      <c r="NQJ57" s="12"/>
      <c r="NQK57" s="12"/>
      <c r="NQL57" s="12"/>
      <c r="NQM57" s="12"/>
      <c r="NQN57" s="12"/>
      <c r="NQO57" s="12"/>
      <c r="NQP57" s="12"/>
      <c r="NQQ57" s="12"/>
      <c r="NQR57" s="12"/>
      <c r="NQS57" s="12"/>
      <c r="NQT57" s="12"/>
      <c r="NQU57" s="12"/>
      <c r="NQV57" s="12"/>
      <c r="NQW57" s="12"/>
      <c r="NQX57" s="12"/>
      <c r="NQY57" s="12"/>
      <c r="NQZ57" s="12"/>
      <c r="NRA57" s="12"/>
      <c r="NRB57" s="12"/>
      <c r="NRC57" s="12"/>
      <c r="NRD57" s="12"/>
      <c r="NRE57" s="12"/>
      <c r="NRF57" s="12"/>
      <c r="NRG57" s="12"/>
      <c r="NRH57" s="12"/>
      <c r="NRI57" s="12"/>
      <c r="NRJ57" s="12"/>
      <c r="NRK57" s="12"/>
      <c r="NRL57" s="12"/>
      <c r="NRM57" s="12"/>
      <c r="NRN57" s="12"/>
      <c r="NRO57" s="12"/>
      <c r="NRP57" s="12"/>
      <c r="NRQ57" s="12"/>
      <c r="NRR57" s="12"/>
      <c r="NRS57" s="12"/>
      <c r="NRT57" s="12"/>
      <c r="NRU57" s="12"/>
      <c r="NRV57" s="12"/>
      <c r="NRW57" s="12"/>
      <c r="NRX57" s="12"/>
      <c r="NRY57" s="12"/>
      <c r="NRZ57" s="12"/>
      <c r="NSA57" s="12"/>
      <c r="NSB57" s="12"/>
      <c r="NSC57" s="12"/>
      <c r="NSD57" s="12"/>
      <c r="NSE57" s="12"/>
      <c r="NSF57" s="12"/>
      <c r="NSG57" s="12"/>
      <c r="NSH57" s="12"/>
      <c r="NSI57" s="12"/>
      <c r="NSJ57" s="12"/>
      <c r="NSK57" s="12"/>
      <c r="NSL57" s="12"/>
      <c r="NSM57" s="12"/>
      <c r="NSN57" s="12"/>
      <c r="NSO57" s="12"/>
      <c r="NSP57" s="12"/>
      <c r="NSQ57" s="12"/>
      <c r="NSR57" s="12"/>
      <c r="NSS57" s="12"/>
      <c r="NST57" s="12"/>
      <c r="NSU57" s="12"/>
      <c r="NSV57" s="12"/>
      <c r="NSW57" s="12"/>
      <c r="NSX57" s="12"/>
      <c r="NSY57" s="12"/>
      <c r="NSZ57" s="12"/>
      <c r="NTA57" s="12"/>
      <c r="NTB57" s="12"/>
      <c r="NTC57" s="12"/>
      <c r="NTD57" s="12"/>
      <c r="NTE57" s="12"/>
      <c r="NTF57" s="12"/>
      <c r="NTG57" s="12"/>
      <c r="NTH57" s="12"/>
      <c r="NTI57" s="12"/>
      <c r="NTJ57" s="12"/>
      <c r="NTK57" s="12"/>
      <c r="NTL57" s="12"/>
      <c r="NTM57" s="12"/>
      <c r="NTN57" s="12"/>
      <c r="NTO57" s="12"/>
      <c r="NTP57" s="12"/>
      <c r="NTQ57" s="12"/>
      <c r="NTR57" s="12"/>
      <c r="NTS57" s="12"/>
      <c r="NTT57" s="12"/>
      <c r="NTU57" s="12"/>
      <c r="NTV57" s="12"/>
      <c r="NTW57" s="12"/>
      <c r="NTX57" s="12"/>
      <c r="NTY57" s="12"/>
      <c r="NTZ57" s="12"/>
      <c r="NUA57" s="12"/>
      <c r="NUB57" s="12"/>
      <c r="NUC57" s="12"/>
      <c r="NUD57" s="12"/>
      <c r="NUE57" s="12"/>
      <c r="NUF57" s="12"/>
      <c r="NUG57" s="12"/>
      <c r="NUH57" s="12"/>
      <c r="NUI57" s="12"/>
      <c r="NUJ57" s="12"/>
      <c r="NUK57" s="12"/>
      <c r="NUL57" s="12"/>
      <c r="NUM57" s="12"/>
      <c r="NUN57" s="12"/>
      <c r="NUO57" s="12"/>
      <c r="NUP57" s="12"/>
      <c r="NUQ57" s="12"/>
      <c r="NUR57" s="12"/>
      <c r="NUS57" s="12"/>
      <c r="NUT57" s="12"/>
      <c r="NUU57" s="12"/>
      <c r="NUV57" s="12"/>
      <c r="NUW57" s="12"/>
      <c r="NUX57" s="12"/>
      <c r="NUY57" s="12"/>
      <c r="NUZ57" s="12"/>
      <c r="NVA57" s="12"/>
      <c r="NVB57" s="12"/>
      <c r="NVC57" s="12"/>
      <c r="NVD57" s="12"/>
      <c r="NVE57" s="12"/>
      <c r="NVF57" s="12"/>
      <c r="NVG57" s="12"/>
      <c r="NVH57" s="12"/>
      <c r="NVI57" s="12"/>
      <c r="NVJ57" s="12"/>
      <c r="NVK57" s="12"/>
      <c r="NVL57" s="12"/>
      <c r="NVM57" s="12"/>
      <c r="NVN57" s="12"/>
      <c r="NVO57" s="12"/>
      <c r="NVP57" s="12"/>
      <c r="NVQ57" s="12"/>
      <c r="NVR57" s="12"/>
      <c r="NVS57" s="12"/>
      <c r="NVT57" s="12"/>
      <c r="NVU57" s="12"/>
      <c r="NVV57" s="12"/>
      <c r="NVW57" s="12"/>
      <c r="NVX57" s="12"/>
      <c r="NVY57" s="12"/>
      <c r="NVZ57" s="12"/>
      <c r="NWA57" s="12"/>
      <c r="NWB57" s="12"/>
      <c r="NWC57" s="12"/>
      <c r="NWD57" s="12"/>
      <c r="NWE57" s="12"/>
      <c r="NWF57" s="12"/>
      <c r="NWG57" s="12"/>
      <c r="NWH57" s="12"/>
      <c r="NWI57" s="12"/>
      <c r="NWJ57" s="12"/>
      <c r="NWK57" s="12"/>
      <c r="NWL57" s="12"/>
      <c r="NWM57" s="12"/>
      <c r="NWN57" s="12"/>
      <c r="NWO57" s="12"/>
      <c r="NWP57" s="12"/>
      <c r="NWQ57" s="12"/>
      <c r="NWR57" s="12"/>
      <c r="NWS57" s="12"/>
      <c r="NWT57" s="12"/>
      <c r="NWU57" s="12"/>
      <c r="NWV57" s="12"/>
      <c r="NWW57" s="12"/>
      <c r="NWX57" s="12"/>
      <c r="NWY57" s="12"/>
      <c r="NWZ57" s="12"/>
      <c r="NXA57" s="12"/>
      <c r="NXB57" s="12"/>
      <c r="NXC57" s="12"/>
      <c r="NXD57" s="12"/>
      <c r="NXE57" s="12"/>
      <c r="NXF57" s="12"/>
      <c r="NXG57" s="12"/>
      <c r="NXH57" s="12"/>
      <c r="NXI57" s="12"/>
      <c r="NXJ57" s="12"/>
      <c r="NXK57" s="12"/>
      <c r="NXL57" s="12"/>
      <c r="NXM57" s="12"/>
      <c r="NXN57" s="12"/>
      <c r="NXO57" s="12"/>
      <c r="NXP57" s="12"/>
      <c r="NXQ57" s="12"/>
      <c r="NXR57" s="12"/>
      <c r="NXS57" s="12"/>
      <c r="NXT57" s="12"/>
      <c r="NXU57" s="12"/>
      <c r="NXV57" s="12"/>
      <c r="NXW57" s="12"/>
      <c r="NXX57" s="12"/>
      <c r="NXY57" s="12"/>
      <c r="NXZ57" s="12"/>
      <c r="NYA57" s="12"/>
      <c r="NYB57" s="12"/>
      <c r="NYC57" s="12"/>
      <c r="NYD57" s="12"/>
      <c r="NYE57" s="12"/>
      <c r="NYF57" s="12"/>
      <c r="NYG57" s="12"/>
      <c r="NYH57" s="12"/>
      <c r="NYI57" s="12"/>
      <c r="NYJ57" s="12"/>
      <c r="NYK57" s="12"/>
      <c r="NYL57" s="12"/>
      <c r="NYM57" s="12"/>
      <c r="NYN57" s="12"/>
      <c r="NYO57" s="12"/>
      <c r="NYP57" s="12"/>
      <c r="NYQ57" s="12"/>
      <c r="NYR57" s="12"/>
      <c r="NYS57" s="12"/>
      <c r="NYT57" s="12"/>
      <c r="NYU57" s="12"/>
      <c r="NYV57" s="12"/>
      <c r="NYW57" s="12"/>
      <c r="NYX57" s="12"/>
      <c r="NYY57" s="12"/>
      <c r="NYZ57" s="12"/>
      <c r="NZA57" s="12"/>
      <c r="NZB57" s="12"/>
      <c r="NZC57" s="12"/>
      <c r="NZD57" s="12"/>
      <c r="NZE57" s="12"/>
      <c r="NZF57" s="12"/>
      <c r="NZG57" s="12"/>
      <c r="NZH57" s="12"/>
      <c r="NZI57" s="12"/>
      <c r="NZJ57" s="12"/>
      <c r="NZK57" s="12"/>
      <c r="NZL57" s="12"/>
      <c r="NZM57" s="12"/>
      <c r="NZN57" s="12"/>
      <c r="NZO57" s="12"/>
      <c r="NZP57" s="12"/>
      <c r="NZQ57" s="12"/>
      <c r="NZR57" s="12"/>
      <c r="NZS57" s="12"/>
      <c r="NZT57" s="12"/>
      <c r="NZU57" s="12"/>
      <c r="NZV57" s="12"/>
      <c r="NZW57" s="12"/>
      <c r="NZX57" s="12"/>
      <c r="NZY57" s="12"/>
      <c r="NZZ57" s="12"/>
      <c r="OAA57" s="12"/>
      <c r="OAB57" s="12"/>
      <c r="OAC57" s="12"/>
      <c r="OAD57" s="12"/>
      <c r="OAE57" s="12"/>
      <c r="OAF57" s="12"/>
      <c r="OAG57" s="12"/>
      <c r="OAH57" s="12"/>
      <c r="OAI57" s="12"/>
      <c r="OAJ57" s="12"/>
      <c r="OAK57" s="12"/>
      <c r="OAL57" s="12"/>
      <c r="OAM57" s="12"/>
      <c r="OAN57" s="12"/>
      <c r="OAO57" s="12"/>
      <c r="OAP57" s="12"/>
      <c r="OAQ57" s="12"/>
      <c r="OAR57" s="12"/>
      <c r="OAS57" s="12"/>
      <c r="OAT57" s="12"/>
      <c r="OAU57" s="12"/>
      <c r="OAV57" s="12"/>
      <c r="OAW57" s="12"/>
      <c r="OAX57" s="12"/>
      <c r="OAY57" s="12"/>
      <c r="OAZ57" s="12"/>
      <c r="OBA57" s="12"/>
      <c r="OBB57" s="12"/>
      <c r="OBC57" s="12"/>
      <c r="OBD57" s="12"/>
      <c r="OBE57" s="12"/>
      <c r="OBF57" s="12"/>
      <c r="OBG57" s="12"/>
      <c r="OBH57" s="12"/>
      <c r="OBI57" s="12"/>
      <c r="OBJ57" s="12"/>
      <c r="OBK57" s="12"/>
      <c r="OBL57" s="12"/>
      <c r="OBM57" s="12"/>
      <c r="OBN57" s="12"/>
      <c r="OBO57" s="12"/>
      <c r="OBP57" s="12"/>
      <c r="OBQ57" s="12"/>
      <c r="OBR57" s="12"/>
      <c r="OBS57" s="12"/>
      <c r="OBT57" s="12"/>
      <c r="OBU57" s="12"/>
      <c r="OBV57" s="12"/>
      <c r="OBW57" s="12"/>
      <c r="OBX57" s="12"/>
      <c r="OBY57" s="12"/>
      <c r="OBZ57" s="12"/>
      <c r="OCA57" s="12"/>
      <c r="OCB57" s="12"/>
      <c r="OCC57" s="12"/>
      <c r="OCD57" s="12"/>
      <c r="OCE57" s="12"/>
      <c r="OCF57" s="12"/>
      <c r="OCG57" s="12"/>
      <c r="OCH57" s="12"/>
      <c r="OCI57" s="12"/>
      <c r="OCJ57" s="12"/>
      <c r="OCK57" s="12"/>
      <c r="OCL57" s="12"/>
      <c r="OCM57" s="12"/>
      <c r="OCN57" s="12"/>
      <c r="OCO57" s="12"/>
      <c r="OCP57" s="12"/>
      <c r="OCQ57" s="12"/>
      <c r="OCR57" s="12"/>
      <c r="OCS57" s="12"/>
      <c r="OCT57" s="12"/>
      <c r="OCU57" s="12"/>
      <c r="OCV57" s="12"/>
      <c r="OCW57" s="12"/>
      <c r="OCX57" s="12"/>
      <c r="OCY57" s="12"/>
      <c r="OCZ57" s="12"/>
      <c r="ODA57" s="12"/>
      <c r="ODB57" s="12"/>
      <c r="ODC57" s="12"/>
      <c r="ODD57" s="12"/>
      <c r="ODE57" s="12"/>
      <c r="ODF57" s="12"/>
      <c r="ODG57" s="12"/>
      <c r="ODH57" s="12"/>
      <c r="ODI57" s="12"/>
      <c r="ODJ57" s="12"/>
      <c r="ODK57" s="12"/>
      <c r="ODL57" s="12"/>
      <c r="ODM57" s="12"/>
      <c r="ODN57" s="12"/>
      <c r="ODO57" s="12"/>
      <c r="ODP57" s="12"/>
      <c r="ODQ57" s="12"/>
      <c r="ODR57" s="12"/>
      <c r="ODS57" s="12"/>
      <c r="ODT57" s="12"/>
      <c r="ODU57" s="12"/>
      <c r="ODV57" s="12"/>
      <c r="ODW57" s="12"/>
      <c r="ODX57" s="12"/>
      <c r="ODY57" s="12"/>
      <c r="ODZ57" s="12"/>
      <c r="OEA57" s="12"/>
      <c r="OEB57" s="12"/>
      <c r="OEC57" s="12"/>
      <c r="OED57" s="12"/>
      <c r="OEE57" s="12"/>
      <c r="OEF57" s="12"/>
      <c r="OEG57" s="12"/>
      <c r="OEH57" s="12"/>
      <c r="OEI57" s="12"/>
      <c r="OEJ57" s="12"/>
      <c r="OEK57" s="12"/>
      <c r="OEL57" s="12"/>
      <c r="OEM57" s="12"/>
      <c r="OEN57" s="12"/>
      <c r="OEO57" s="12"/>
      <c r="OEP57" s="12"/>
      <c r="OEQ57" s="12"/>
      <c r="OER57" s="12"/>
      <c r="OES57" s="12"/>
      <c r="OET57" s="12"/>
      <c r="OEU57" s="12"/>
      <c r="OEV57" s="12"/>
      <c r="OEW57" s="12"/>
      <c r="OEX57" s="12"/>
      <c r="OEY57" s="12"/>
      <c r="OEZ57" s="12"/>
      <c r="OFA57" s="12"/>
      <c r="OFB57" s="12"/>
      <c r="OFC57" s="12"/>
      <c r="OFD57" s="12"/>
      <c r="OFE57" s="12"/>
      <c r="OFF57" s="12"/>
      <c r="OFG57" s="12"/>
      <c r="OFH57" s="12"/>
      <c r="OFI57" s="12"/>
      <c r="OFJ57" s="12"/>
      <c r="OFK57" s="12"/>
      <c r="OFL57" s="12"/>
      <c r="OFM57" s="12"/>
      <c r="OFN57" s="12"/>
      <c r="OFO57" s="12"/>
      <c r="OFP57" s="12"/>
      <c r="OFQ57" s="12"/>
      <c r="OFR57" s="12"/>
      <c r="OFS57" s="12"/>
      <c r="OFT57" s="12"/>
      <c r="OFU57" s="12"/>
      <c r="OFV57" s="12"/>
      <c r="OFW57" s="12"/>
      <c r="OFX57" s="12"/>
      <c r="OFY57" s="12"/>
      <c r="OFZ57" s="12"/>
      <c r="OGA57" s="12"/>
      <c r="OGB57" s="12"/>
      <c r="OGC57" s="12"/>
      <c r="OGD57" s="12"/>
      <c r="OGE57" s="12"/>
      <c r="OGF57" s="12"/>
      <c r="OGG57" s="12"/>
      <c r="OGH57" s="12"/>
      <c r="OGI57" s="12"/>
      <c r="OGJ57" s="12"/>
      <c r="OGK57" s="12"/>
      <c r="OGL57" s="12"/>
      <c r="OGM57" s="12"/>
      <c r="OGN57" s="12"/>
      <c r="OGO57" s="12"/>
      <c r="OGP57" s="12"/>
      <c r="OGQ57" s="12"/>
      <c r="OGR57" s="12"/>
      <c r="OGS57" s="12"/>
      <c r="OGT57" s="12"/>
      <c r="OGU57" s="12"/>
      <c r="OGV57" s="12"/>
      <c r="OGW57" s="12"/>
      <c r="OGX57" s="12"/>
      <c r="OGY57" s="12"/>
      <c r="OGZ57" s="12"/>
      <c r="OHA57" s="12"/>
      <c r="OHB57" s="12"/>
      <c r="OHC57" s="12"/>
      <c r="OHD57" s="12"/>
      <c r="OHE57" s="12"/>
      <c r="OHF57" s="12"/>
      <c r="OHG57" s="12"/>
      <c r="OHH57" s="12"/>
      <c r="OHI57" s="12"/>
      <c r="OHJ57" s="12"/>
      <c r="OHK57" s="12"/>
      <c r="OHL57" s="12"/>
      <c r="OHM57" s="12"/>
      <c r="OHN57" s="12"/>
      <c r="OHO57" s="12"/>
      <c r="OHP57" s="12"/>
      <c r="OHQ57" s="12"/>
      <c r="OHR57" s="12"/>
      <c r="OHS57" s="12"/>
      <c r="OHT57" s="12"/>
      <c r="OHU57" s="12"/>
      <c r="OHV57" s="12"/>
      <c r="OHW57" s="12"/>
      <c r="OHX57" s="12"/>
      <c r="OHY57" s="12"/>
      <c r="OHZ57" s="12"/>
      <c r="OIA57" s="12"/>
      <c r="OIB57" s="12"/>
      <c r="OIC57" s="12"/>
      <c r="OID57" s="12"/>
      <c r="OIE57" s="12"/>
      <c r="OIF57" s="12"/>
      <c r="OIG57" s="12"/>
      <c r="OIH57" s="12"/>
      <c r="OII57" s="12"/>
      <c r="OIJ57" s="12"/>
      <c r="OIK57" s="12"/>
      <c r="OIL57" s="12"/>
      <c r="OIM57" s="12"/>
      <c r="OIN57" s="12"/>
      <c r="OIO57" s="12"/>
      <c r="OIP57" s="12"/>
      <c r="OIQ57" s="12"/>
      <c r="OIR57" s="12"/>
      <c r="OIS57" s="12"/>
      <c r="OIT57" s="12"/>
      <c r="OIU57" s="12"/>
      <c r="OIV57" s="12"/>
      <c r="OIW57" s="12"/>
      <c r="OIX57" s="12"/>
      <c r="OIY57" s="12"/>
      <c r="OIZ57" s="12"/>
      <c r="OJA57" s="12"/>
      <c r="OJB57" s="12"/>
      <c r="OJC57" s="12"/>
      <c r="OJD57" s="12"/>
      <c r="OJE57" s="12"/>
      <c r="OJF57" s="12"/>
      <c r="OJG57" s="12"/>
      <c r="OJH57" s="12"/>
      <c r="OJI57" s="12"/>
      <c r="OJJ57" s="12"/>
      <c r="OJK57" s="12"/>
      <c r="OJL57" s="12"/>
      <c r="OJM57" s="12"/>
      <c r="OJN57" s="12"/>
      <c r="OJO57" s="12"/>
      <c r="OJP57" s="12"/>
      <c r="OJQ57" s="12"/>
      <c r="OJR57" s="12"/>
      <c r="OJS57" s="12"/>
      <c r="OJT57" s="12"/>
      <c r="OJU57" s="12"/>
      <c r="OJV57" s="12"/>
      <c r="OJW57" s="12"/>
      <c r="OJX57" s="12"/>
      <c r="OJY57" s="12"/>
      <c r="OJZ57" s="12"/>
      <c r="OKA57" s="12"/>
      <c r="OKB57" s="12"/>
      <c r="OKC57" s="12"/>
      <c r="OKD57" s="12"/>
      <c r="OKE57" s="12"/>
      <c r="OKF57" s="12"/>
      <c r="OKG57" s="12"/>
      <c r="OKH57" s="12"/>
      <c r="OKI57" s="12"/>
      <c r="OKJ57" s="12"/>
      <c r="OKK57" s="12"/>
      <c r="OKL57" s="12"/>
      <c r="OKM57" s="12"/>
      <c r="OKN57" s="12"/>
      <c r="OKO57" s="12"/>
      <c r="OKP57" s="12"/>
      <c r="OKQ57" s="12"/>
      <c r="OKR57" s="12"/>
      <c r="OKS57" s="12"/>
      <c r="OKT57" s="12"/>
      <c r="OKU57" s="12"/>
      <c r="OKV57" s="12"/>
      <c r="OKW57" s="12"/>
      <c r="OKX57" s="12"/>
      <c r="OKY57" s="12"/>
      <c r="OKZ57" s="12"/>
      <c r="OLA57" s="12"/>
      <c r="OLB57" s="12"/>
      <c r="OLC57" s="12"/>
      <c r="OLD57" s="12"/>
      <c r="OLE57" s="12"/>
      <c r="OLF57" s="12"/>
      <c r="OLG57" s="12"/>
      <c r="OLH57" s="12"/>
      <c r="OLI57" s="12"/>
      <c r="OLJ57" s="12"/>
      <c r="OLK57" s="12"/>
      <c r="OLL57" s="12"/>
      <c r="OLM57" s="12"/>
      <c r="OLN57" s="12"/>
      <c r="OLO57" s="12"/>
      <c r="OLP57" s="12"/>
      <c r="OLQ57" s="12"/>
      <c r="OLR57" s="12"/>
      <c r="OLS57" s="12"/>
      <c r="OLT57" s="12"/>
      <c r="OLU57" s="12"/>
      <c r="OLV57" s="12"/>
      <c r="OLW57" s="12"/>
      <c r="OLX57" s="12"/>
      <c r="OLY57" s="12"/>
      <c r="OLZ57" s="12"/>
      <c r="OMA57" s="12"/>
      <c r="OMB57" s="12"/>
      <c r="OMC57" s="12"/>
      <c r="OMD57" s="12"/>
      <c r="OME57" s="12"/>
      <c r="OMF57" s="12"/>
      <c r="OMG57" s="12"/>
      <c r="OMH57" s="12"/>
      <c r="OMI57" s="12"/>
      <c r="OMJ57" s="12"/>
      <c r="OMK57" s="12"/>
      <c r="OML57" s="12"/>
      <c r="OMM57" s="12"/>
      <c r="OMN57" s="12"/>
      <c r="OMO57" s="12"/>
      <c r="OMP57" s="12"/>
      <c r="OMQ57" s="12"/>
      <c r="OMR57" s="12"/>
      <c r="OMS57" s="12"/>
      <c r="OMT57" s="12"/>
      <c r="OMU57" s="12"/>
      <c r="OMV57" s="12"/>
      <c r="OMW57" s="12"/>
      <c r="OMX57" s="12"/>
      <c r="OMY57" s="12"/>
      <c r="OMZ57" s="12"/>
      <c r="ONA57" s="12"/>
      <c r="ONB57" s="12"/>
      <c r="ONC57" s="12"/>
      <c r="OND57" s="12"/>
      <c r="ONE57" s="12"/>
      <c r="ONF57" s="12"/>
      <c r="ONG57" s="12"/>
      <c r="ONH57" s="12"/>
      <c r="ONI57" s="12"/>
      <c r="ONJ57" s="12"/>
      <c r="ONK57" s="12"/>
      <c r="ONL57" s="12"/>
      <c r="ONM57" s="12"/>
      <c r="ONN57" s="12"/>
      <c r="ONO57" s="12"/>
      <c r="ONP57" s="12"/>
      <c r="ONQ57" s="12"/>
      <c r="ONR57" s="12"/>
      <c r="ONS57" s="12"/>
      <c r="ONT57" s="12"/>
      <c r="ONU57" s="12"/>
      <c r="ONV57" s="12"/>
      <c r="ONW57" s="12"/>
      <c r="ONX57" s="12"/>
      <c r="ONY57" s="12"/>
      <c r="ONZ57" s="12"/>
      <c r="OOA57" s="12"/>
      <c r="OOB57" s="12"/>
      <c r="OOC57" s="12"/>
      <c r="OOD57" s="12"/>
      <c r="OOE57" s="12"/>
      <c r="OOF57" s="12"/>
      <c r="OOG57" s="12"/>
      <c r="OOH57" s="12"/>
      <c r="OOI57" s="12"/>
      <c r="OOJ57" s="12"/>
      <c r="OOK57" s="12"/>
      <c r="OOL57" s="12"/>
      <c r="OOM57" s="12"/>
      <c r="OON57" s="12"/>
      <c r="OOO57" s="12"/>
      <c r="OOP57" s="12"/>
      <c r="OOQ57" s="12"/>
      <c r="OOR57" s="12"/>
      <c r="OOS57" s="12"/>
      <c r="OOT57" s="12"/>
      <c r="OOU57" s="12"/>
      <c r="OOV57" s="12"/>
      <c r="OOW57" s="12"/>
      <c r="OOX57" s="12"/>
      <c r="OOY57" s="12"/>
      <c r="OOZ57" s="12"/>
      <c r="OPA57" s="12"/>
      <c r="OPB57" s="12"/>
      <c r="OPC57" s="12"/>
      <c r="OPD57" s="12"/>
      <c r="OPE57" s="12"/>
      <c r="OPF57" s="12"/>
      <c r="OPG57" s="12"/>
      <c r="OPH57" s="12"/>
      <c r="OPI57" s="12"/>
      <c r="OPJ57" s="12"/>
      <c r="OPK57" s="12"/>
      <c r="OPL57" s="12"/>
      <c r="OPM57" s="12"/>
      <c r="OPN57" s="12"/>
      <c r="OPO57" s="12"/>
      <c r="OPP57" s="12"/>
      <c r="OPQ57" s="12"/>
      <c r="OPR57" s="12"/>
      <c r="OPS57" s="12"/>
      <c r="OPT57" s="12"/>
      <c r="OPU57" s="12"/>
      <c r="OPV57" s="12"/>
      <c r="OPW57" s="12"/>
      <c r="OPX57" s="12"/>
      <c r="OPY57" s="12"/>
      <c r="OPZ57" s="12"/>
      <c r="OQA57" s="12"/>
      <c r="OQB57" s="12"/>
      <c r="OQC57" s="12"/>
      <c r="OQD57" s="12"/>
      <c r="OQE57" s="12"/>
      <c r="OQF57" s="12"/>
      <c r="OQG57" s="12"/>
      <c r="OQH57" s="12"/>
      <c r="OQI57" s="12"/>
      <c r="OQJ57" s="12"/>
      <c r="OQK57" s="12"/>
      <c r="OQL57" s="12"/>
      <c r="OQM57" s="12"/>
      <c r="OQN57" s="12"/>
      <c r="OQO57" s="12"/>
      <c r="OQP57" s="12"/>
      <c r="OQQ57" s="12"/>
      <c r="OQR57" s="12"/>
      <c r="OQS57" s="12"/>
      <c r="OQT57" s="12"/>
      <c r="OQU57" s="12"/>
      <c r="OQV57" s="12"/>
      <c r="OQW57" s="12"/>
      <c r="OQX57" s="12"/>
      <c r="OQY57" s="12"/>
      <c r="OQZ57" s="12"/>
      <c r="ORA57" s="12"/>
      <c r="ORB57" s="12"/>
      <c r="ORC57" s="12"/>
      <c r="ORD57" s="12"/>
      <c r="ORE57" s="12"/>
      <c r="ORF57" s="12"/>
      <c r="ORG57" s="12"/>
      <c r="ORH57" s="12"/>
      <c r="ORI57" s="12"/>
      <c r="ORJ57" s="12"/>
      <c r="ORK57" s="12"/>
      <c r="ORL57" s="12"/>
      <c r="ORM57" s="12"/>
      <c r="ORN57" s="12"/>
      <c r="ORO57" s="12"/>
      <c r="ORP57" s="12"/>
      <c r="ORQ57" s="12"/>
      <c r="ORR57" s="12"/>
      <c r="ORS57" s="12"/>
      <c r="ORT57" s="12"/>
      <c r="ORU57" s="12"/>
      <c r="ORV57" s="12"/>
      <c r="ORW57" s="12"/>
      <c r="ORX57" s="12"/>
      <c r="ORY57" s="12"/>
      <c r="ORZ57" s="12"/>
      <c r="OSA57" s="12"/>
      <c r="OSB57" s="12"/>
      <c r="OSC57" s="12"/>
      <c r="OSD57" s="12"/>
      <c r="OSE57" s="12"/>
      <c r="OSF57" s="12"/>
      <c r="OSG57" s="12"/>
      <c r="OSH57" s="12"/>
      <c r="OSI57" s="12"/>
      <c r="OSJ57" s="12"/>
      <c r="OSK57" s="12"/>
      <c r="OSL57" s="12"/>
      <c r="OSM57" s="12"/>
      <c r="OSN57" s="12"/>
      <c r="OSO57" s="12"/>
      <c r="OSP57" s="12"/>
      <c r="OSQ57" s="12"/>
      <c r="OSR57" s="12"/>
      <c r="OSS57" s="12"/>
      <c r="OST57" s="12"/>
      <c r="OSU57" s="12"/>
      <c r="OSV57" s="12"/>
      <c r="OSW57" s="12"/>
      <c r="OSX57" s="12"/>
      <c r="OSY57" s="12"/>
      <c r="OSZ57" s="12"/>
      <c r="OTA57" s="12"/>
      <c r="OTB57" s="12"/>
      <c r="OTC57" s="12"/>
      <c r="OTD57" s="12"/>
      <c r="OTE57" s="12"/>
      <c r="OTF57" s="12"/>
      <c r="OTG57" s="12"/>
      <c r="OTH57" s="12"/>
      <c r="OTI57" s="12"/>
      <c r="OTJ57" s="12"/>
      <c r="OTK57" s="12"/>
      <c r="OTL57" s="12"/>
      <c r="OTM57" s="12"/>
      <c r="OTN57" s="12"/>
      <c r="OTO57" s="12"/>
      <c r="OTP57" s="12"/>
      <c r="OTQ57" s="12"/>
      <c r="OTR57" s="12"/>
      <c r="OTS57" s="12"/>
      <c r="OTT57" s="12"/>
      <c r="OTU57" s="12"/>
      <c r="OTV57" s="12"/>
      <c r="OTW57" s="12"/>
      <c r="OTX57" s="12"/>
      <c r="OTY57" s="12"/>
      <c r="OTZ57" s="12"/>
      <c r="OUA57" s="12"/>
      <c r="OUB57" s="12"/>
      <c r="OUC57" s="12"/>
      <c r="OUD57" s="12"/>
      <c r="OUE57" s="12"/>
      <c r="OUF57" s="12"/>
      <c r="OUG57" s="12"/>
      <c r="OUH57" s="12"/>
      <c r="OUI57" s="12"/>
      <c r="OUJ57" s="12"/>
      <c r="OUK57" s="12"/>
      <c r="OUL57" s="12"/>
      <c r="OUM57" s="12"/>
      <c r="OUN57" s="12"/>
      <c r="OUO57" s="12"/>
      <c r="OUP57" s="12"/>
      <c r="OUQ57" s="12"/>
      <c r="OUR57" s="12"/>
      <c r="OUS57" s="12"/>
      <c r="OUT57" s="12"/>
      <c r="OUU57" s="12"/>
      <c r="OUV57" s="12"/>
      <c r="OUW57" s="12"/>
      <c r="OUX57" s="12"/>
      <c r="OUY57" s="12"/>
      <c r="OUZ57" s="12"/>
      <c r="OVA57" s="12"/>
      <c r="OVB57" s="12"/>
      <c r="OVC57" s="12"/>
      <c r="OVD57" s="12"/>
      <c r="OVE57" s="12"/>
      <c r="OVF57" s="12"/>
      <c r="OVG57" s="12"/>
      <c r="OVH57" s="12"/>
      <c r="OVI57" s="12"/>
      <c r="OVJ57" s="12"/>
      <c r="OVK57" s="12"/>
      <c r="OVL57" s="12"/>
      <c r="OVM57" s="12"/>
      <c r="OVN57" s="12"/>
      <c r="OVO57" s="12"/>
      <c r="OVP57" s="12"/>
      <c r="OVQ57" s="12"/>
      <c r="OVR57" s="12"/>
      <c r="OVS57" s="12"/>
      <c r="OVT57" s="12"/>
      <c r="OVU57" s="12"/>
      <c r="OVV57" s="12"/>
      <c r="OVW57" s="12"/>
      <c r="OVX57" s="12"/>
      <c r="OVY57" s="12"/>
      <c r="OVZ57" s="12"/>
      <c r="OWA57" s="12"/>
      <c r="OWB57" s="12"/>
      <c r="OWC57" s="12"/>
      <c r="OWD57" s="12"/>
      <c r="OWE57" s="12"/>
      <c r="OWF57" s="12"/>
      <c r="OWG57" s="12"/>
      <c r="OWH57" s="12"/>
      <c r="OWI57" s="12"/>
      <c r="OWJ57" s="12"/>
      <c r="OWK57" s="12"/>
      <c r="OWL57" s="12"/>
      <c r="OWM57" s="12"/>
      <c r="OWN57" s="12"/>
      <c r="OWO57" s="12"/>
      <c r="OWP57" s="12"/>
      <c r="OWQ57" s="12"/>
      <c r="OWR57" s="12"/>
      <c r="OWS57" s="12"/>
      <c r="OWT57" s="12"/>
      <c r="OWU57" s="12"/>
      <c r="OWV57" s="12"/>
      <c r="OWW57" s="12"/>
      <c r="OWX57" s="12"/>
      <c r="OWY57" s="12"/>
      <c r="OWZ57" s="12"/>
      <c r="OXA57" s="12"/>
      <c r="OXB57" s="12"/>
      <c r="OXC57" s="12"/>
      <c r="OXD57" s="12"/>
      <c r="OXE57" s="12"/>
      <c r="OXF57" s="12"/>
      <c r="OXG57" s="12"/>
      <c r="OXH57" s="12"/>
      <c r="OXI57" s="12"/>
      <c r="OXJ57" s="12"/>
      <c r="OXK57" s="12"/>
      <c r="OXL57" s="12"/>
      <c r="OXM57" s="12"/>
      <c r="OXN57" s="12"/>
      <c r="OXO57" s="12"/>
      <c r="OXP57" s="12"/>
      <c r="OXQ57" s="12"/>
      <c r="OXR57" s="12"/>
      <c r="OXS57" s="12"/>
      <c r="OXT57" s="12"/>
      <c r="OXU57" s="12"/>
      <c r="OXV57" s="12"/>
      <c r="OXW57" s="12"/>
      <c r="OXX57" s="12"/>
      <c r="OXY57" s="12"/>
      <c r="OXZ57" s="12"/>
      <c r="OYA57" s="12"/>
      <c r="OYB57" s="12"/>
      <c r="OYC57" s="12"/>
      <c r="OYD57" s="12"/>
      <c r="OYE57" s="12"/>
      <c r="OYF57" s="12"/>
      <c r="OYG57" s="12"/>
      <c r="OYH57" s="12"/>
      <c r="OYI57" s="12"/>
      <c r="OYJ57" s="12"/>
      <c r="OYK57" s="12"/>
      <c r="OYL57" s="12"/>
      <c r="OYM57" s="12"/>
      <c r="OYN57" s="12"/>
      <c r="OYO57" s="12"/>
      <c r="OYP57" s="12"/>
      <c r="OYQ57" s="12"/>
      <c r="OYR57" s="12"/>
      <c r="OYS57" s="12"/>
      <c r="OYT57" s="12"/>
      <c r="OYU57" s="12"/>
      <c r="OYV57" s="12"/>
      <c r="OYW57" s="12"/>
      <c r="OYX57" s="12"/>
      <c r="OYY57" s="12"/>
      <c r="OYZ57" s="12"/>
      <c r="OZA57" s="12"/>
      <c r="OZB57" s="12"/>
      <c r="OZC57" s="12"/>
      <c r="OZD57" s="12"/>
      <c r="OZE57" s="12"/>
      <c r="OZF57" s="12"/>
      <c r="OZG57" s="12"/>
      <c r="OZH57" s="12"/>
      <c r="OZI57" s="12"/>
      <c r="OZJ57" s="12"/>
      <c r="OZK57" s="12"/>
      <c r="OZL57" s="12"/>
      <c r="OZM57" s="12"/>
      <c r="OZN57" s="12"/>
      <c r="OZO57" s="12"/>
      <c r="OZP57" s="12"/>
      <c r="OZQ57" s="12"/>
      <c r="OZR57" s="12"/>
      <c r="OZS57" s="12"/>
      <c r="OZT57" s="12"/>
      <c r="OZU57" s="12"/>
      <c r="OZV57" s="12"/>
      <c r="OZW57" s="12"/>
      <c r="OZX57" s="12"/>
      <c r="OZY57" s="12"/>
      <c r="OZZ57" s="12"/>
      <c r="PAA57" s="12"/>
      <c r="PAB57" s="12"/>
      <c r="PAC57" s="12"/>
      <c r="PAD57" s="12"/>
      <c r="PAE57" s="12"/>
      <c r="PAF57" s="12"/>
      <c r="PAG57" s="12"/>
      <c r="PAH57" s="12"/>
      <c r="PAI57" s="12"/>
      <c r="PAJ57" s="12"/>
      <c r="PAK57" s="12"/>
      <c r="PAL57" s="12"/>
      <c r="PAM57" s="12"/>
      <c r="PAN57" s="12"/>
      <c r="PAO57" s="12"/>
      <c r="PAP57" s="12"/>
      <c r="PAQ57" s="12"/>
      <c r="PAR57" s="12"/>
      <c r="PAS57" s="12"/>
      <c r="PAT57" s="12"/>
      <c r="PAU57" s="12"/>
      <c r="PAV57" s="12"/>
      <c r="PAW57" s="12"/>
      <c r="PAX57" s="12"/>
      <c r="PAY57" s="12"/>
      <c r="PAZ57" s="12"/>
      <c r="PBA57" s="12"/>
      <c r="PBB57" s="12"/>
      <c r="PBC57" s="12"/>
      <c r="PBD57" s="12"/>
      <c r="PBE57" s="12"/>
      <c r="PBF57" s="12"/>
      <c r="PBG57" s="12"/>
      <c r="PBH57" s="12"/>
      <c r="PBI57" s="12"/>
      <c r="PBJ57" s="12"/>
      <c r="PBK57" s="12"/>
      <c r="PBL57" s="12"/>
      <c r="PBM57" s="12"/>
      <c r="PBN57" s="12"/>
      <c r="PBO57" s="12"/>
      <c r="PBP57" s="12"/>
      <c r="PBQ57" s="12"/>
      <c r="PBR57" s="12"/>
      <c r="PBS57" s="12"/>
      <c r="PBT57" s="12"/>
      <c r="PBU57" s="12"/>
      <c r="PBV57" s="12"/>
      <c r="PBW57" s="12"/>
      <c r="PBX57" s="12"/>
      <c r="PBY57" s="12"/>
      <c r="PBZ57" s="12"/>
      <c r="PCA57" s="12"/>
      <c r="PCB57" s="12"/>
      <c r="PCC57" s="12"/>
      <c r="PCD57" s="12"/>
      <c r="PCE57" s="12"/>
      <c r="PCF57" s="12"/>
      <c r="PCG57" s="12"/>
      <c r="PCH57" s="12"/>
      <c r="PCI57" s="12"/>
      <c r="PCJ57" s="12"/>
      <c r="PCK57" s="12"/>
      <c r="PCL57" s="12"/>
      <c r="PCM57" s="12"/>
      <c r="PCN57" s="12"/>
      <c r="PCO57" s="12"/>
      <c r="PCP57" s="12"/>
      <c r="PCQ57" s="12"/>
      <c r="PCR57" s="12"/>
      <c r="PCS57" s="12"/>
      <c r="PCT57" s="12"/>
      <c r="PCU57" s="12"/>
      <c r="PCV57" s="12"/>
      <c r="PCW57" s="12"/>
      <c r="PCX57" s="12"/>
      <c r="PCY57" s="12"/>
      <c r="PCZ57" s="12"/>
      <c r="PDA57" s="12"/>
      <c r="PDB57" s="12"/>
      <c r="PDC57" s="12"/>
      <c r="PDD57" s="12"/>
      <c r="PDE57" s="12"/>
      <c r="PDF57" s="12"/>
      <c r="PDG57" s="12"/>
      <c r="PDH57" s="12"/>
      <c r="PDI57" s="12"/>
      <c r="PDJ57" s="12"/>
      <c r="PDK57" s="12"/>
      <c r="PDL57" s="12"/>
      <c r="PDM57" s="12"/>
      <c r="PDN57" s="12"/>
      <c r="PDO57" s="12"/>
      <c r="PDP57" s="12"/>
      <c r="PDQ57" s="12"/>
      <c r="PDR57" s="12"/>
      <c r="PDS57" s="12"/>
      <c r="PDT57" s="12"/>
      <c r="PDU57" s="12"/>
      <c r="PDV57" s="12"/>
      <c r="PDW57" s="12"/>
      <c r="PDX57" s="12"/>
      <c r="PDY57" s="12"/>
      <c r="PDZ57" s="12"/>
      <c r="PEA57" s="12"/>
      <c r="PEB57" s="12"/>
      <c r="PEC57" s="12"/>
      <c r="PED57" s="12"/>
      <c r="PEE57" s="12"/>
      <c r="PEF57" s="12"/>
      <c r="PEG57" s="12"/>
      <c r="PEH57" s="12"/>
      <c r="PEI57" s="12"/>
      <c r="PEJ57" s="12"/>
      <c r="PEK57" s="12"/>
      <c r="PEL57" s="12"/>
      <c r="PEM57" s="12"/>
      <c r="PEN57" s="12"/>
      <c r="PEO57" s="12"/>
      <c r="PEP57" s="12"/>
      <c r="PEQ57" s="12"/>
      <c r="PER57" s="12"/>
      <c r="PES57" s="12"/>
      <c r="PET57" s="12"/>
      <c r="PEU57" s="12"/>
      <c r="PEV57" s="12"/>
      <c r="PEW57" s="12"/>
      <c r="PEX57" s="12"/>
      <c r="PEY57" s="12"/>
      <c r="PEZ57" s="12"/>
      <c r="PFA57" s="12"/>
      <c r="PFB57" s="12"/>
      <c r="PFC57" s="12"/>
      <c r="PFD57" s="12"/>
      <c r="PFE57" s="12"/>
      <c r="PFF57" s="12"/>
      <c r="PFG57" s="12"/>
      <c r="PFH57" s="12"/>
      <c r="PFI57" s="12"/>
      <c r="PFJ57" s="12"/>
      <c r="PFK57" s="12"/>
      <c r="PFL57" s="12"/>
      <c r="PFM57" s="12"/>
      <c r="PFN57" s="12"/>
      <c r="PFO57" s="12"/>
      <c r="PFP57" s="12"/>
      <c r="PFQ57" s="12"/>
      <c r="PFR57" s="12"/>
      <c r="PFS57" s="12"/>
      <c r="PFT57" s="12"/>
      <c r="PFU57" s="12"/>
      <c r="PFV57" s="12"/>
      <c r="PFW57" s="12"/>
      <c r="PFX57" s="12"/>
      <c r="PFY57" s="12"/>
      <c r="PFZ57" s="12"/>
      <c r="PGA57" s="12"/>
      <c r="PGB57" s="12"/>
      <c r="PGC57" s="12"/>
      <c r="PGD57" s="12"/>
      <c r="PGE57" s="12"/>
      <c r="PGF57" s="12"/>
      <c r="PGG57" s="12"/>
      <c r="PGH57" s="12"/>
      <c r="PGI57" s="12"/>
      <c r="PGJ57" s="12"/>
      <c r="PGK57" s="12"/>
      <c r="PGL57" s="12"/>
      <c r="PGM57" s="12"/>
      <c r="PGN57" s="12"/>
      <c r="PGO57" s="12"/>
      <c r="PGP57" s="12"/>
      <c r="PGQ57" s="12"/>
      <c r="PGR57" s="12"/>
      <c r="PGS57" s="12"/>
      <c r="PGT57" s="12"/>
      <c r="PGU57" s="12"/>
      <c r="PGV57" s="12"/>
      <c r="PGW57" s="12"/>
      <c r="PGX57" s="12"/>
      <c r="PGY57" s="12"/>
      <c r="PGZ57" s="12"/>
      <c r="PHA57" s="12"/>
      <c r="PHB57" s="12"/>
      <c r="PHC57" s="12"/>
      <c r="PHD57" s="12"/>
      <c r="PHE57" s="12"/>
      <c r="PHF57" s="12"/>
      <c r="PHG57" s="12"/>
      <c r="PHH57" s="12"/>
      <c r="PHI57" s="12"/>
      <c r="PHJ57" s="12"/>
      <c r="PHK57" s="12"/>
      <c r="PHL57" s="12"/>
      <c r="PHM57" s="12"/>
      <c r="PHN57" s="12"/>
      <c r="PHO57" s="12"/>
      <c r="PHP57" s="12"/>
      <c r="PHQ57" s="12"/>
      <c r="PHR57" s="12"/>
      <c r="PHS57" s="12"/>
      <c r="PHT57" s="12"/>
      <c r="PHU57" s="12"/>
      <c r="PHV57" s="12"/>
      <c r="PHW57" s="12"/>
      <c r="PHX57" s="12"/>
      <c r="PHY57" s="12"/>
      <c r="PHZ57" s="12"/>
      <c r="PIA57" s="12"/>
      <c r="PIB57" s="12"/>
      <c r="PIC57" s="12"/>
      <c r="PID57" s="12"/>
      <c r="PIE57" s="12"/>
      <c r="PIF57" s="12"/>
      <c r="PIG57" s="12"/>
      <c r="PIH57" s="12"/>
      <c r="PII57" s="12"/>
      <c r="PIJ57" s="12"/>
      <c r="PIK57" s="12"/>
      <c r="PIL57" s="12"/>
      <c r="PIM57" s="12"/>
      <c r="PIN57" s="12"/>
      <c r="PIO57" s="12"/>
      <c r="PIP57" s="12"/>
      <c r="PIQ57" s="12"/>
      <c r="PIR57" s="12"/>
      <c r="PIS57" s="12"/>
      <c r="PIT57" s="12"/>
      <c r="PIU57" s="12"/>
      <c r="PIV57" s="12"/>
      <c r="PIW57" s="12"/>
      <c r="PIX57" s="12"/>
      <c r="PIY57" s="12"/>
      <c r="PIZ57" s="12"/>
      <c r="PJA57" s="12"/>
      <c r="PJB57" s="12"/>
      <c r="PJC57" s="12"/>
      <c r="PJD57" s="12"/>
      <c r="PJE57" s="12"/>
      <c r="PJF57" s="12"/>
      <c r="PJG57" s="12"/>
      <c r="PJH57" s="12"/>
      <c r="PJI57" s="12"/>
      <c r="PJJ57" s="12"/>
      <c r="PJK57" s="12"/>
      <c r="PJL57" s="12"/>
      <c r="PJM57" s="12"/>
      <c r="PJN57" s="12"/>
      <c r="PJO57" s="12"/>
      <c r="PJP57" s="12"/>
      <c r="PJQ57" s="12"/>
      <c r="PJR57" s="12"/>
      <c r="PJS57" s="12"/>
      <c r="PJT57" s="12"/>
      <c r="PJU57" s="12"/>
      <c r="PJV57" s="12"/>
      <c r="PJW57" s="12"/>
      <c r="PJX57" s="12"/>
      <c r="PJY57" s="12"/>
      <c r="PJZ57" s="12"/>
      <c r="PKA57" s="12"/>
      <c r="PKB57" s="12"/>
      <c r="PKC57" s="12"/>
      <c r="PKD57" s="12"/>
      <c r="PKE57" s="12"/>
      <c r="PKF57" s="12"/>
      <c r="PKG57" s="12"/>
      <c r="PKH57" s="12"/>
      <c r="PKI57" s="12"/>
      <c r="PKJ57" s="12"/>
      <c r="PKK57" s="12"/>
      <c r="PKL57" s="12"/>
      <c r="PKM57" s="12"/>
      <c r="PKN57" s="12"/>
      <c r="PKO57" s="12"/>
      <c r="PKP57" s="12"/>
      <c r="PKQ57" s="12"/>
      <c r="PKR57" s="12"/>
      <c r="PKS57" s="12"/>
      <c r="PKT57" s="12"/>
      <c r="PKU57" s="12"/>
      <c r="PKV57" s="12"/>
      <c r="PKW57" s="12"/>
      <c r="PKX57" s="12"/>
      <c r="PKY57" s="12"/>
      <c r="PKZ57" s="12"/>
      <c r="PLA57" s="12"/>
      <c r="PLB57" s="12"/>
      <c r="PLC57" s="12"/>
      <c r="PLD57" s="12"/>
      <c r="PLE57" s="12"/>
      <c r="PLF57" s="12"/>
      <c r="PLG57" s="12"/>
      <c r="PLH57" s="12"/>
      <c r="PLI57" s="12"/>
      <c r="PLJ57" s="12"/>
      <c r="PLK57" s="12"/>
      <c r="PLL57" s="12"/>
      <c r="PLM57" s="12"/>
      <c r="PLN57" s="12"/>
      <c r="PLO57" s="12"/>
      <c r="PLP57" s="12"/>
      <c r="PLQ57" s="12"/>
      <c r="PLR57" s="12"/>
      <c r="PLS57" s="12"/>
      <c r="PLT57" s="12"/>
      <c r="PLU57" s="12"/>
      <c r="PLV57" s="12"/>
      <c r="PLW57" s="12"/>
      <c r="PLX57" s="12"/>
      <c r="PLY57" s="12"/>
      <c r="PLZ57" s="12"/>
      <c r="PMA57" s="12"/>
      <c r="PMB57" s="12"/>
      <c r="PMC57" s="12"/>
      <c r="PMD57" s="12"/>
      <c r="PME57" s="12"/>
      <c r="PMF57" s="12"/>
      <c r="PMG57" s="12"/>
      <c r="PMH57" s="12"/>
      <c r="PMI57" s="12"/>
      <c r="PMJ57" s="12"/>
      <c r="PMK57" s="12"/>
      <c r="PML57" s="12"/>
      <c r="PMM57" s="12"/>
      <c r="PMN57" s="12"/>
      <c r="PMO57" s="12"/>
      <c r="PMP57" s="12"/>
      <c r="PMQ57" s="12"/>
      <c r="PMR57" s="12"/>
      <c r="PMS57" s="12"/>
      <c r="PMT57" s="12"/>
      <c r="PMU57" s="12"/>
      <c r="PMV57" s="12"/>
      <c r="PMW57" s="12"/>
      <c r="PMX57" s="12"/>
      <c r="PMY57" s="12"/>
      <c r="PMZ57" s="12"/>
      <c r="PNA57" s="12"/>
      <c r="PNB57" s="12"/>
      <c r="PNC57" s="12"/>
      <c r="PND57" s="12"/>
      <c r="PNE57" s="12"/>
      <c r="PNF57" s="12"/>
      <c r="PNG57" s="12"/>
      <c r="PNH57" s="12"/>
      <c r="PNI57" s="12"/>
      <c r="PNJ57" s="12"/>
      <c r="PNK57" s="12"/>
      <c r="PNL57" s="12"/>
      <c r="PNM57" s="12"/>
      <c r="PNN57" s="12"/>
      <c r="PNO57" s="12"/>
      <c r="PNP57" s="12"/>
      <c r="PNQ57" s="12"/>
      <c r="PNR57" s="12"/>
      <c r="PNS57" s="12"/>
      <c r="PNT57" s="12"/>
      <c r="PNU57" s="12"/>
      <c r="PNV57" s="12"/>
      <c r="PNW57" s="12"/>
      <c r="PNX57" s="12"/>
      <c r="PNY57" s="12"/>
      <c r="PNZ57" s="12"/>
      <c r="POA57" s="12"/>
      <c r="POB57" s="12"/>
      <c r="POC57" s="12"/>
      <c r="POD57" s="12"/>
      <c r="POE57" s="12"/>
      <c r="POF57" s="12"/>
      <c r="POG57" s="12"/>
      <c r="POH57" s="12"/>
      <c r="POI57" s="12"/>
      <c r="POJ57" s="12"/>
      <c r="POK57" s="12"/>
      <c r="POL57" s="12"/>
      <c r="POM57" s="12"/>
      <c r="PON57" s="12"/>
      <c r="POO57" s="12"/>
      <c r="POP57" s="12"/>
      <c r="POQ57" s="12"/>
      <c r="POR57" s="12"/>
      <c r="POS57" s="12"/>
      <c r="POT57" s="12"/>
      <c r="POU57" s="12"/>
      <c r="POV57" s="12"/>
      <c r="POW57" s="12"/>
      <c r="POX57" s="12"/>
      <c r="POY57" s="12"/>
      <c r="POZ57" s="12"/>
      <c r="PPA57" s="12"/>
      <c r="PPB57" s="12"/>
      <c r="PPC57" s="12"/>
      <c r="PPD57" s="12"/>
      <c r="PPE57" s="12"/>
      <c r="PPF57" s="12"/>
      <c r="PPG57" s="12"/>
      <c r="PPH57" s="12"/>
      <c r="PPI57" s="12"/>
      <c r="PPJ57" s="12"/>
      <c r="PPK57" s="12"/>
      <c r="PPL57" s="12"/>
      <c r="PPM57" s="12"/>
      <c r="PPN57" s="12"/>
      <c r="PPO57" s="12"/>
      <c r="PPP57" s="12"/>
      <c r="PPQ57" s="12"/>
      <c r="PPR57" s="12"/>
      <c r="PPS57" s="12"/>
      <c r="PPT57" s="12"/>
      <c r="PPU57" s="12"/>
      <c r="PPV57" s="12"/>
      <c r="PPW57" s="12"/>
      <c r="PPX57" s="12"/>
      <c r="PPY57" s="12"/>
      <c r="PPZ57" s="12"/>
      <c r="PQA57" s="12"/>
      <c r="PQB57" s="12"/>
      <c r="PQC57" s="12"/>
      <c r="PQD57" s="12"/>
      <c r="PQE57" s="12"/>
      <c r="PQF57" s="12"/>
      <c r="PQG57" s="12"/>
      <c r="PQH57" s="12"/>
      <c r="PQI57" s="12"/>
      <c r="PQJ57" s="12"/>
      <c r="PQK57" s="12"/>
      <c r="PQL57" s="12"/>
      <c r="PQM57" s="12"/>
      <c r="PQN57" s="12"/>
      <c r="PQO57" s="12"/>
      <c r="PQP57" s="12"/>
      <c r="PQQ57" s="12"/>
      <c r="PQR57" s="12"/>
      <c r="PQS57" s="12"/>
      <c r="PQT57" s="12"/>
      <c r="PQU57" s="12"/>
      <c r="PQV57" s="12"/>
      <c r="PQW57" s="12"/>
      <c r="PQX57" s="12"/>
      <c r="PQY57" s="12"/>
      <c r="PQZ57" s="12"/>
      <c r="PRA57" s="12"/>
      <c r="PRB57" s="12"/>
      <c r="PRC57" s="12"/>
      <c r="PRD57" s="12"/>
      <c r="PRE57" s="12"/>
      <c r="PRF57" s="12"/>
      <c r="PRG57" s="12"/>
      <c r="PRH57" s="12"/>
      <c r="PRI57" s="12"/>
      <c r="PRJ57" s="12"/>
      <c r="PRK57" s="12"/>
      <c r="PRL57" s="12"/>
      <c r="PRM57" s="12"/>
      <c r="PRN57" s="12"/>
      <c r="PRO57" s="12"/>
      <c r="PRP57" s="12"/>
      <c r="PRQ57" s="12"/>
      <c r="PRR57" s="12"/>
      <c r="PRS57" s="12"/>
      <c r="PRT57" s="12"/>
      <c r="PRU57" s="12"/>
      <c r="PRV57" s="12"/>
      <c r="PRW57" s="12"/>
      <c r="PRX57" s="12"/>
      <c r="PRY57" s="12"/>
      <c r="PRZ57" s="12"/>
      <c r="PSA57" s="12"/>
      <c r="PSB57" s="12"/>
      <c r="PSC57" s="12"/>
      <c r="PSD57" s="12"/>
      <c r="PSE57" s="12"/>
      <c r="PSF57" s="12"/>
      <c r="PSG57" s="12"/>
      <c r="PSH57" s="12"/>
      <c r="PSI57" s="12"/>
      <c r="PSJ57" s="12"/>
      <c r="PSK57" s="12"/>
      <c r="PSL57" s="12"/>
      <c r="PSM57" s="12"/>
      <c r="PSN57" s="12"/>
      <c r="PSO57" s="12"/>
      <c r="PSP57" s="12"/>
      <c r="PSQ57" s="12"/>
      <c r="PSR57" s="12"/>
      <c r="PSS57" s="12"/>
      <c r="PST57" s="12"/>
      <c r="PSU57" s="12"/>
      <c r="PSV57" s="12"/>
      <c r="PSW57" s="12"/>
      <c r="PSX57" s="12"/>
      <c r="PSY57" s="12"/>
      <c r="PSZ57" s="12"/>
      <c r="PTA57" s="12"/>
      <c r="PTB57" s="12"/>
      <c r="PTC57" s="12"/>
      <c r="PTD57" s="12"/>
      <c r="PTE57" s="12"/>
      <c r="PTF57" s="12"/>
      <c r="PTG57" s="12"/>
      <c r="PTH57" s="12"/>
      <c r="PTI57" s="12"/>
      <c r="PTJ57" s="12"/>
      <c r="PTK57" s="12"/>
      <c r="PTL57" s="12"/>
      <c r="PTM57" s="12"/>
      <c r="PTN57" s="12"/>
      <c r="PTO57" s="12"/>
      <c r="PTP57" s="12"/>
      <c r="PTQ57" s="12"/>
      <c r="PTR57" s="12"/>
      <c r="PTS57" s="12"/>
      <c r="PTT57" s="12"/>
      <c r="PTU57" s="12"/>
      <c r="PTV57" s="12"/>
      <c r="PTW57" s="12"/>
      <c r="PTX57" s="12"/>
      <c r="PTY57" s="12"/>
      <c r="PTZ57" s="12"/>
      <c r="PUA57" s="12"/>
      <c r="PUB57" s="12"/>
      <c r="PUC57" s="12"/>
      <c r="PUD57" s="12"/>
      <c r="PUE57" s="12"/>
      <c r="PUF57" s="12"/>
      <c r="PUG57" s="12"/>
      <c r="PUH57" s="12"/>
      <c r="PUI57" s="12"/>
      <c r="PUJ57" s="12"/>
      <c r="PUK57" s="12"/>
      <c r="PUL57" s="12"/>
      <c r="PUM57" s="12"/>
      <c r="PUN57" s="12"/>
      <c r="PUO57" s="12"/>
      <c r="PUP57" s="12"/>
      <c r="PUQ57" s="12"/>
      <c r="PUR57" s="12"/>
      <c r="PUS57" s="12"/>
      <c r="PUT57" s="12"/>
      <c r="PUU57" s="12"/>
      <c r="PUV57" s="12"/>
      <c r="PUW57" s="12"/>
      <c r="PUX57" s="12"/>
      <c r="PUY57" s="12"/>
      <c r="PUZ57" s="12"/>
      <c r="PVA57" s="12"/>
      <c r="PVB57" s="12"/>
      <c r="PVC57" s="12"/>
      <c r="PVD57" s="12"/>
      <c r="PVE57" s="12"/>
      <c r="PVF57" s="12"/>
      <c r="PVG57" s="12"/>
      <c r="PVH57" s="12"/>
      <c r="PVI57" s="12"/>
      <c r="PVJ57" s="12"/>
      <c r="PVK57" s="12"/>
      <c r="PVL57" s="12"/>
      <c r="PVM57" s="12"/>
      <c r="PVN57" s="12"/>
      <c r="PVO57" s="12"/>
      <c r="PVP57" s="12"/>
      <c r="PVQ57" s="12"/>
      <c r="PVR57" s="12"/>
      <c r="PVS57" s="12"/>
      <c r="PVT57" s="12"/>
      <c r="PVU57" s="12"/>
      <c r="PVV57" s="12"/>
      <c r="PVW57" s="12"/>
      <c r="PVX57" s="12"/>
      <c r="PVY57" s="12"/>
      <c r="PVZ57" s="12"/>
      <c r="PWA57" s="12"/>
      <c r="PWB57" s="12"/>
      <c r="PWC57" s="12"/>
      <c r="PWD57" s="12"/>
      <c r="PWE57" s="12"/>
      <c r="PWF57" s="12"/>
      <c r="PWG57" s="12"/>
      <c r="PWH57" s="12"/>
      <c r="PWI57" s="12"/>
      <c r="PWJ57" s="12"/>
      <c r="PWK57" s="12"/>
      <c r="PWL57" s="12"/>
      <c r="PWM57" s="12"/>
      <c r="PWN57" s="12"/>
      <c r="PWO57" s="12"/>
      <c r="PWP57" s="12"/>
      <c r="PWQ57" s="12"/>
      <c r="PWR57" s="12"/>
      <c r="PWS57" s="12"/>
      <c r="PWT57" s="12"/>
      <c r="PWU57" s="12"/>
      <c r="PWV57" s="12"/>
      <c r="PWW57" s="12"/>
      <c r="PWX57" s="12"/>
      <c r="PWY57" s="12"/>
      <c r="PWZ57" s="12"/>
      <c r="PXA57" s="12"/>
      <c r="PXB57" s="12"/>
      <c r="PXC57" s="12"/>
      <c r="PXD57" s="12"/>
      <c r="PXE57" s="12"/>
      <c r="PXF57" s="12"/>
      <c r="PXG57" s="12"/>
      <c r="PXH57" s="12"/>
      <c r="PXI57" s="12"/>
      <c r="PXJ57" s="12"/>
      <c r="PXK57" s="12"/>
      <c r="PXL57" s="12"/>
      <c r="PXM57" s="12"/>
      <c r="PXN57" s="12"/>
      <c r="PXO57" s="12"/>
      <c r="PXP57" s="12"/>
      <c r="PXQ57" s="12"/>
      <c r="PXR57" s="12"/>
      <c r="PXS57" s="12"/>
      <c r="PXT57" s="12"/>
      <c r="PXU57" s="12"/>
      <c r="PXV57" s="12"/>
      <c r="PXW57" s="12"/>
      <c r="PXX57" s="12"/>
      <c r="PXY57" s="12"/>
      <c r="PXZ57" s="12"/>
      <c r="PYA57" s="12"/>
      <c r="PYB57" s="12"/>
      <c r="PYC57" s="12"/>
      <c r="PYD57" s="12"/>
      <c r="PYE57" s="12"/>
      <c r="PYF57" s="12"/>
      <c r="PYG57" s="12"/>
      <c r="PYH57" s="12"/>
      <c r="PYI57" s="12"/>
      <c r="PYJ57" s="12"/>
      <c r="PYK57" s="12"/>
      <c r="PYL57" s="12"/>
      <c r="PYM57" s="12"/>
      <c r="PYN57" s="12"/>
      <c r="PYO57" s="12"/>
      <c r="PYP57" s="12"/>
      <c r="PYQ57" s="12"/>
      <c r="PYR57" s="12"/>
      <c r="PYS57" s="12"/>
      <c r="PYT57" s="12"/>
      <c r="PYU57" s="12"/>
      <c r="PYV57" s="12"/>
      <c r="PYW57" s="12"/>
      <c r="PYX57" s="12"/>
      <c r="PYY57" s="12"/>
      <c r="PYZ57" s="12"/>
      <c r="PZA57" s="12"/>
      <c r="PZB57" s="12"/>
      <c r="PZC57" s="12"/>
      <c r="PZD57" s="12"/>
      <c r="PZE57" s="12"/>
      <c r="PZF57" s="12"/>
      <c r="PZG57" s="12"/>
      <c r="PZH57" s="12"/>
      <c r="PZI57" s="12"/>
      <c r="PZJ57" s="12"/>
      <c r="PZK57" s="12"/>
      <c r="PZL57" s="12"/>
      <c r="PZM57" s="12"/>
      <c r="PZN57" s="12"/>
      <c r="PZO57" s="12"/>
      <c r="PZP57" s="12"/>
      <c r="PZQ57" s="12"/>
      <c r="PZR57" s="12"/>
      <c r="PZS57" s="12"/>
      <c r="PZT57" s="12"/>
      <c r="PZU57" s="12"/>
      <c r="PZV57" s="12"/>
      <c r="PZW57" s="12"/>
      <c r="PZX57" s="12"/>
      <c r="PZY57" s="12"/>
      <c r="PZZ57" s="12"/>
      <c r="QAA57" s="12"/>
      <c r="QAB57" s="12"/>
      <c r="QAC57" s="12"/>
      <c r="QAD57" s="12"/>
      <c r="QAE57" s="12"/>
      <c r="QAF57" s="12"/>
      <c r="QAG57" s="12"/>
      <c r="QAH57" s="12"/>
      <c r="QAI57" s="12"/>
      <c r="QAJ57" s="12"/>
      <c r="QAK57" s="12"/>
      <c r="QAL57" s="12"/>
      <c r="QAM57" s="12"/>
      <c r="QAN57" s="12"/>
      <c r="QAO57" s="12"/>
      <c r="QAP57" s="12"/>
      <c r="QAQ57" s="12"/>
      <c r="QAR57" s="12"/>
      <c r="QAS57" s="12"/>
      <c r="QAT57" s="12"/>
      <c r="QAU57" s="12"/>
      <c r="QAV57" s="12"/>
      <c r="QAW57" s="12"/>
      <c r="QAX57" s="12"/>
      <c r="QAY57" s="12"/>
      <c r="QAZ57" s="12"/>
      <c r="QBA57" s="12"/>
      <c r="QBB57" s="12"/>
      <c r="QBC57" s="12"/>
      <c r="QBD57" s="12"/>
      <c r="QBE57" s="12"/>
      <c r="QBF57" s="12"/>
      <c r="QBG57" s="12"/>
      <c r="QBH57" s="12"/>
      <c r="QBI57" s="12"/>
      <c r="QBJ57" s="12"/>
      <c r="QBK57" s="12"/>
      <c r="QBL57" s="12"/>
      <c r="QBM57" s="12"/>
      <c r="QBN57" s="12"/>
      <c r="QBO57" s="12"/>
      <c r="QBP57" s="12"/>
      <c r="QBQ57" s="12"/>
      <c r="QBR57" s="12"/>
      <c r="QBS57" s="12"/>
      <c r="QBT57" s="12"/>
      <c r="QBU57" s="12"/>
      <c r="QBV57" s="12"/>
      <c r="QBW57" s="12"/>
      <c r="QBX57" s="12"/>
      <c r="QBY57" s="12"/>
      <c r="QBZ57" s="12"/>
      <c r="QCA57" s="12"/>
      <c r="QCB57" s="12"/>
      <c r="QCC57" s="12"/>
      <c r="QCD57" s="12"/>
      <c r="QCE57" s="12"/>
      <c r="QCF57" s="12"/>
      <c r="QCG57" s="12"/>
      <c r="QCH57" s="12"/>
      <c r="QCI57" s="12"/>
      <c r="QCJ57" s="12"/>
      <c r="QCK57" s="12"/>
      <c r="QCL57" s="12"/>
      <c r="QCM57" s="12"/>
      <c r="QCN57" s="12"/>
      <c r="QCO57" s="12"/>
      <c r="QCP57" s="12"/>
      <c r="QCQ57" s="12"/>
      <c r="QCR57" s="12"/>
      <c r="QCS57" s="12"/>
      <c r="QCT57" s="12"/>
      <c r="QCU57" s="12"/>
      <c r="QCV57" s="12"/>
      <c r="QCW57" s="12"/>
      <c r="QCX57" s="12"/>
      <c r="QCY57" s="12"/>
      <c r="QCZ57" s="12"/>
      <c r="QDA57" s="12"/>
      <c r="QDB57" s="12"/>
      <c r="QDC57" s="12"/>
      <c r="QDD57" s="12"/>
      <c r="QDE57" s="12"/>
      <c r="QDF57" s="12"/>
      <c r="QDG57" s="12"/>
      <c r="QDH57" s="12"/>
      <c r="QDI57" s="12"/>
      <c r="QDJ57" s="12"/>
      <c r="QDK57" s="12"/>
      <c r="QDL57" s="12"/>
      <c r="QDM57" s="12"/>
      <c r="QDN57" s="12"/>
      <c r="QDO57" s="12"/>
      <c r="QDP57" s="12"/>
      <c r="QDQ57" s="12"/>
      <c r="QDR57" s="12"/>
      <c r="QDS57" s="12"/>
      <c r="QDT57" s="12"/>
      <c r="QDU57" s="12"/>
      <c r="QDV57" s="12"/>
      <c r="QDW57" s="12"/>
      <c r="QDX57" s="12"/>
      <c r="QDY57" s="12"/>
      <c r="QDZ57" s="12"/>
      <c r="QEA57" s="12"/>
      <c r="QEB57" s="12"/>
      <c r="QEC57" s="12"/>
      <c r="QED57" s="12"/>
      <c r="QEE57" s="12"/>
      <c r="QEF57" s="12"/>
      <c r="QEG57" s="12"/>
      <c r="QEH57" s="12"/>
      <c r="QEI57" s="12"/>
      <c r="QEJ57" s="12"/>
      <c r="QEK57" s="12"/>
      <c r="QEL57" s="12"/>
      <c r="QEM57" s="12"/>
      <c r="QEN57" s="12"/>
      <c r="QEO57" s="12"/>
      <c r="QEP57" s="12"/>
      <c r="QEQ57" s="12"/>
      <c r="QER57" s="12"/>
      <c r="QES57" s="12"/>
      <c r="QET57" s="12"/>
      <c r="QEU57" s="12"/>
      <c r="QEV57" s="12"/>
      <c r="QEW57" s="12"/>
      <c r="QEX57" s="12"/>
      <c r="QEY57" s="12"/>
      <c r="QEZ57" s="12"/>
      <c r="QFA57" s="12"/>
      <c r="QFB57" s="12"/>
      <c r="QFC57" s="12"/>
      <c r="QFD57" s="12"/>
      <c r="QFE57" s="12"/>
      <c r="QFF57" s="12"/>
      <c r="QFG57" s="12"/>
      <c r="QFH57" s="12"/>
      <c r="QFI57" s="12"/>
      <c r="QFJ57" s="12"/>
      <c r="QFK57" s="12"/>
      <c r="QFL57" s="12"/>
      <c r="QFM57" s="12"/>
      <c r="QFN57" s="12"/>
      <c r="QFO57" s="12"/>
      <c r="QFP57" s="12"/>
      <c r="QFQ57" s="12"/>
      <c r="QFR57" s="12"/>
      <c r="QFS57" s="12"/>
      <c r="QFT57" s="12"/>
      <c r="QFU57" s="12"/>
      <c r="QFV57" s="12"/>
      <c r="QFW57" s="12"/>
      <c r="QFX57" s="12"/>
      <c r="QFY57" s="12"/>
      <c r="QFZ57" s="12"/>
      <c r="QGA57" s="12"/>
      <c r="QGB57" s="12"/>
      <c r="QGC57" s="12"/>
      <c r="QGD57" s="12"/>
      <c r="QGE57" s="12"/>
      <c r="QGF57" s="12"/>
      <c r="QGG57" s="12"/>
      <c r="QGH57" s="12"/>
      <c r="QGI57" s="12"/>
      <c r="QGJ57" s="12"/>
      <c r="QGK57" s="12"/>
      <c r="QGL57" s="12"/>
      <c r="QGM57" s="12"/>
      <c r="QGN57" s="12"/>
      <c r="QGO57" s="12"/>
      <c r="QGP57" s="12"/>
      <c r="QGQ57" s="12"/>
      <c r="QGR57" s="12"/>
      <c r="QGS57" s="12"/>
      <c r="QGT57" s="12"/>
      <c r="QGU57" s="12"/>
      <c r="QGV57" s="12"/>
      <c r="QGW57" s="12"/>
      <c r="QGX57" s="12"/>
      <c r="QGY57" s="12"/>
      <c r="QGZ57" s="12"/>
      <c r="QHA57" s="12"/>
      <c r="QHB57" s="12"/>
      <c r="QHC57" s="12"/>
      <c r="QHD57" s="12"/>
      <c r="QHE57" s="12"/>
      <c r="QHF57" s="12"/>
      <c r="QHG57" s="12"/>
      <c r="QHH57" s="12"/>
      <c r="QHI57" s="12"/>
      <c r="QHJ57" s="12"/>
      <c r="QHK57" s="12"/>
      <c r="QHL57" s="12"/>
      <c r="QHM57" s="12"/>
      <c r="QHN57" s="12"/>
      <c r="QHO57" s="12"/>
      <c r="QHP57" s="12"/>
      <c r="QHQ57" s="12"/>
      <c r="QHR57" s="12"/>
      <c r="QHS57" s="12"/>
      <c r="QHT57" s="12"/>
      <c r="QHU57" s="12"/>
      <c r="QHV57" s="12"/>
      <c r="QHW57" s="12"/>
      <c r="QHX57" s="12"/>
      <c r="QHY57" s="12"/>
      <c r="QHZ57" s="12"/>
      <c r="QIA57" s="12"/>
      <c r="QIB57" s="12"/>
      <c r="QIC57" s="12"/>
      <c r="QID57" s="12"/>
      <c r="QIE57" s="12"/>
      <c r="QIF57" s="12"/>
      <c r="QIG57" s="12"/>
      <c r="QIH57" s="12"/>
      <c r="QII57" s="12"/>
      <c r="QIJ57" s="12"/>
      <c r="QIK57" s="12"/>
      <c r="QIL57" s="12"/>
      <c r="QIM57" s="12"/>
      <c r="QIN57" s="12"/>
      <c r="QIO57" s="12"/>
      <c r="QIP57" s="12"/>
      <c r="QIQ57" s="12"/>
      <c r="QIR57" s="12"/>
      <c r="QIS57" s="12"/>
      <c r="QIT57" s="12"/>
      <c r="QIU57" s="12"/>
      <c r="QIV57" s="12"/>
      <c r="QIW57" s="12"/>
      <c r="QIX57" s="12"/>
      <c r="QIY57" s="12"/>
      <c r="QIZ57" s="12"/>
      <c r="QJA57" s="12"/>
      <c r="QJB57" s="12"/>
      <c r="QJC57" s="12"/>
      <c r="QJD57" s="12"/>
      <c r="QJE57" s="12"/>
      <c r="QJF57" s="12"/>
      <c r="QJG57" s="12"/>
      <c r="QJH57" s="12"/>
      <c r="QJI57" s="12"/>
      <c r="QJJ57" s="12"/>
      <c r="QJK57" s="12"/>
      <c r="QJL57" s="12"/>
      <c r="QJM57" s="12"/>
      <c r="QJN57" s="12"/>
      <c r="QJO57" s="12"/>
      <c r="QJP57" s="12"/>
      <c r="QJQ57" s="12"/>
      <c r="QJR57" s="12"/>
      <c r="QJS57" s="12"/>
      <c r="QJT57" s="12"/>
      <c r="QJU57" s="12"/>
      <c r="QJV57" s="12"/>
      <c r="QJW57" s="12"/>
      <c r="QJX57" s="12"/>
      <c r="QJY57" s="12"/>
      <c r="QJZ57" s="12"/>
      <c r="QKA57" s="12"/>
      <c r="QKB57" s="12"/>
      <c r="QKC57" s="12"/>
      <c r="QKD57" s="12"/>
      <c r="QKE57" s="12"/>
      <c r="QKF57" s="12"/>
      <c r="QKG57" s="12"/>
      <c r="QKH57" s="12"/>
      <c r="QKI57" s="12"/>
      <c r="QKJ57" s="12"/>
      <c r="QKK57" s="12"/>
      <c r="QKL57" s="12"/>
      <c r="QKM57" s="12"/>
      <c r="QKN57" s="12"/>
      <c r="QKO57" s="12"/>
      <c r="QKP57" s="12"/>
      <c r="QKQ57" s="12"/>
      <c r="QKR57" s="12"/>
      <c r="QKS57" s="12"/>
      <c r="QKT57" s="12"/>
      <c r="QKU57" s="12"/>
      <c r="QKV57" s="12"/>
      <c r="QKW57" s="12"/>
      <c r="QKX57" s="12"/>
      <c r="QKY57" s="12"/>
      <c r="QKZ57" s="12"/>
      <c r="QLA57" s="12"/>
      <c r="QLB57" s="12"/>
      <c r="QLC57" s="12"/>
      <c r="QLD57" s="12"/>
      <c r="QLE57" s="12"/>
      <c r="QLF57" s="12"/>
      <c r="QLG57" s="12"/>
      <c r="QLH57" s="12"/>
      <c r="QLI57" s="12"/>
      <c r="QLJ57" s="12"/>
      <c r="QLK57" s="12"/>
      <c r="QLL57" s="12"/>
      <c r="QLM57" s="12"/>
      <c r="QLN57" s="12"/>
      <c r="QLO57" s="12"/>
      <c r="QLP57" s="12"/>
      <c r="QLQ57" s="12"/>
      <c r="QLR57" s="12"/>
      <c r="QLS57" s="12"/>
      <c r="QLT57" s="12"/>
      <c r="QLU57" s="12"/>
      <c r="QLV57" s="12"/>
      <c r="QLW57" s="12"/>
      <c r="QLX57" s="12"/>
      <c r="QLY57" s="12"/>
      <c r="QLZ57" s="12"/>
      <c r="QMA57" s="12"/>
      <c r="QMB57" s="12"/>
      <c r="QMC57" s="12"/>
      <c r="QMD57" s="12"/>
      <c r="QME57" s="12"/>
      <c r="QMF57" s="12"/>
      <c r="QMG57" s="12"/>
      <c r="QMH57" s="12"/>
      <c r="QMI57" s="12"/>
      <c r="QMJ57" s="12"/>
      <c r="QMK57" s="12"/>
      <c r="QML57" s="12"/>
      <c r="QMM57" s="12"/>
      <c r="QMN57" s="12"/>
      <c r="QMO57" s="12"/>
      <c r="QMP57" s="12"/>
      <c r="QMQ57" s="12"/>
      <c r="QMR57" s="12"/>
      <c r="QMS57" s="12"/>
      <c r="QMT57" s="12"/>
      <c r="QMU57" s="12"/>
      <c r="QMV57" s="12"/>
      <c r="QMW57" s="12"/>
      <c r="QMX57" s="12"/>
      <c r="QMY57" s="12"/>
      <c r="QMZ57" s="12"/>
      <c r="QNA57" s="12"/>
      <c r="QNB57" s="12"/>
      <c r="QNC57" s="12"/>
      <c r="QND57" s="12"/>
      <c r="QNE57" s="12"/>
      <c r="QNF57" s="12"/>
      <c r="QNG57" s="12"/>
      <c r="QNH57" s="12"/>
      <c r="QNI57" s="12"/>
      <c r="QNJ57" s="12"/>
      <c r="QNK57" s="12"/>
      <c r="QNL57" s="12"/>
      <c r="QNM57" s="12"/>
      <c r="QNN57" s="12"/>
      <c r="QNO57" s="12"/>
      <c r="QNP57" s="12"/>
      <c r="QNQ57" s="12"/>
      <c r="QNR57" s="12"/>
      <c r="QNS57" s="12"/>
      <c r="QNT57" s="12"/>
      <c r="QNU57" s="12"/>
      <c r="QNV57" s="12"/>
      <c r="QNW57" s="12"/>
      <c r="QNX57" s="12"/>
      <c r="QNY57" s="12"/>
      <c r="QNZ57" s="12"/>
      <c r="QOA57" s="12"/>
      <c r="QOB57" s="12"/>
      <c r="QOC57" s="12"/>
      <c r="QOD57" s="12"/>
      <c r="QOE57" s="12"/>
      <c r="QOF57" s="12"/>
      <c r="QOG57" s="12"/>
      <c r="QOH57" s="12"/>
      <c r="QOI57" s="12"/>
      <c r="QOJ57" s="12"/>
      <c r="QOK57" s="12"/>
      <c r="QOL57" s="12"/>
      <c r="QOM57" s="12"/>
      <c r="QON57" s="12"/>
      <c r="QOO57" s="12"/>
      <c r="QOP57" s="12"/>
      <c r="QOQ57" s="12"/>
      <c r="QOR57" s="12"/>
      <c r="QOS57" s="12"/>
      <c r="QOT57" s="12"/>
      <c r="QOU57" s="12"/>
      <c r="QOV57" s="12"/>
      <c r="QOW57" s="12"/>
      <c r="QOX57" s="12"/>
      <c r="QOY57" s="12"/>
      <c r="QOZ57" s="12"/>
      <c r="QPA57" s="12"/>
      <c r="QPB57" s="12"/>
      <c r="QPC57" s="12"/>
      <c r="QPD57" s="12"/>
      <c r="QPE57" s="12"/>
      <c r="QPF57" s="12"/>
      <c r="QPG57" s="12"/>
      <c r="QPH57" s="12"/>
      <c r="QPI57" s="12"/>
      <c r="QPJ57" s="12"/>
      <c r="QPK57" s="12"/>
      <c r="QPL57" s="12"/>
      <c r="QPM57" s="12"/>
      <c r="QPN57" s="12"/>
      <c r="QPO57" s="12"/>
      <c r="QPP57" s="12"/>
      <c r="QPQ57" s="12"/>
      <c r="QPR57" s="12"/>
      <c r="QPS57" s="12"/>
      <c r="QPT57" s="12"/>
      <c r="QPU57" s="12"/>
      <c r="QPV57" s="12"/>
      <c r="QPW57" s="12"/>
      <c r="QPX57" s="12"/>
      <c r="QPY57" s="12"/>
      <c r="QPZ57" s="12"/>
      <c r="QQA57" s="12"/>
      <c r="QQB57" s="12"/>
      <c r="QQC57" s="12"/>
      <c r="QQD57" s="12"/>
      <c r="QQE57" s="12"/>
      <c r="QQF57" s="12"/>
      <c r="QQG57" s="12"/>
      <c r="QQH57" s="12"/>
      <c r="QQI57" s="12"/>
      <c r="QQJ57" s="12"/>
      <c r="QQK57" s="12"/>
      <c r="QQL57" s="12"/>
      <c r="QQM57" s="12"/>
      <c r="QQN57" s="12"/>
      <c r="QQO57" s="12"/>
      <c r="QQP57" s="12"/>
      <c r="QQQ57" s="12"/>
      <c r="QQR57" s="12"/>
      <c r="QQS57" s="12"/>
      <c r="QQT57" s="12"/>
      <c r="QQU57" s="12"/>
      <c r="QQV57" s="12"/>
      <c r="QQW57" s="12"/>
      <c r="QQX57" s="12"/>
      <c r="QQY57" s="12"/>
      <c r="QQZ57" s="12"/>
      <c r="QRA57" s="12"/>
      <c r="QRB57" s="12"/>
      <c r="QRC57" s="12"/>
      <c r="QRD57" s="12"/>
      <c r="QRE57" s="12"/>
      <c r="QRF57" s="12"/>
      <c r="QRG57" s="12"/>
      <c r="QRH57" s="12"/>
      <c r="QRI57" s="12"/>
      <c r="QRJ57" s="12"/>
      <c r="QRK57" s="12"/>
      <c r="QRL57" s="12"/>
      <c r="QRM57" s="12"/>
      <c r="QRN57" s="12"/>
      <c r="QRO57" s="12"/>
      <c r="QRP57" s="12"/>
      <c r="QRQ57" s="12"/>
      <c r="QRR57" s="12"/>
      <c r="QRS57" s="12"/>
      <c r="QRT57" s="12"/>
      <c r="QRU57" s="12"/>
      <c r="QRV57" s="12"/>
      <c r="QRW57" s="12"/>
      <c r="QRX57" s="12"/>
      <c r="QRY57" s="12"/>
      <c r="QRZ57" s="12"/>
      <c r="QSA57" s="12"/>
      <c r="QSB57" s="12"/>
      <c r="QSC57" s="12"/>
      <c r="QSD57" s="12"/>
      <c r="QSE57" s="12"/>
      <c r="QSF57" s="12"/>
      <c r="QSG57" s="12"/>
      <c r="QSH57" s="12"/>
      <c r="QSI57" s="12"/>
      <c r="QSJ57" s="12"/>
      <c r="QSK57" s="12"/>
      <c r="QSL57" s="12"/>
      <c r="QSM57" s="12"/>
      <c r="QSN57" s="12"/>
      <c r="QSO57" s="12"/>
      <c r="QSP57" s="12"/>
      <c r="QSQ57" s="12"/>
      <c r="QSR57" s="12"/>
      <c r="QSS57" s="12"/>
      <c r="QST57" s="12"/>
      <c r="QSU57" s="12"/>
      <c r="QSV57" s="12"/>
      <c r="QSW57" s="12"/>
      <c r="QSX57" s="12"/>
      <c r="QSY57" s="12"/>
      <c r="QSZ57" s="12"/>
      <c r="QTA57" s="12"/>
      <c r="QTB57" s="12"/>
      <c r="QTC57" s="12"/>
      <c r="QTD57" s="12"/>
      <c r="QTE57" s="12"/>
      <c r="QTF57" s="12"/>
      <c r="QTG57" s="12"/>
      <c r="QTH57" s="12"/>
      <c r="QTI57" s="12"/>
      <c r="QTJ57" s="12"/>
      <c r="QTK57" s="12"/>
      <c r="QTL57" s="12"/>
      <c r="QTM57" s="12"/>
      <c r="QTN57" s="12"/>
      <c r="QTO57" s="12"/>
      <c r="QTP57" s="12"/>
      <c r="QTQ57" s="12"/>
      <c r="QTR57" s="12"/>
      <c r="QTS57" s="12"/>
      <c r="QTT57" s="12"/>
      <c r="QTU57" s="12"/>
      <c r="QTV57" s="12"/>
      <c r="QTW57" s="12"/>
      <c r="QTX57" s="12"/>
      <c r="QTY57" s="12"/>
      <c r="QTZ57" s="12"/>
      <c r="QUA57" s="12"/>
      <c r="QUB57" s="12"/>
      <c r="QUC57" s="12"/>
      <c r="QUD57" s="12"/>
      <c r="QUE57" s="12"/>
      <c r="QUF57" s="12"/>
      <c r="QUG57" s="12"/>
      <c r="QUH57" s="12"/>
      <c r="QUI57" s="12"/>
      <c r="QUJ57" s="12"/>
      <c r="QUK57" s="12"/>
      <c r="QUL57" s="12"/>
      <c r="QUM57" s="12"/>
      <c r="QUN57" s="12"/>
      <c r="QUO57" s="12"/>
      <c r="QUP57" s="12"/>
      <c r="QUQ57" s="12"/>
      <c r="QUR57" s="12"/>
      <c r="QUS57" s="12"/>
      <c r="QUT57" s="12"/>
      <c r="QUU57" s="12"/>
      <c r="QUV57" s="12"/>
      <c r="QUW57" s="12"/>
      <c r="QUX57" s="12"/>
      <c r="QUY57" s="12"/>
      <c r="QUZ57" s="12"/>
      <c r="QVA57" s="12"/>
      <c r="QVB57" s="12"/>
      <c r="QVC57" s="12"/>
      <c r="QVD57" s="12"/>
      <c r="QVE57" s="12"/>
      <c r="QVF57" s="12"/>
      <c r="QVG57" s="12"/>
      <c r="QVH57" s="12"/>
      <c r="QVI57" s="12"/>
      <c r="QVJ57" s="12"/>
      <c r="QVK57" s="12"/>
      <c r="QVL57" s="12"/>
      <c r="QVM57" s="12"/>
      <c r="QVN57" s="12"/>
      <c r="QVO57" s="12"/>
      <c r="QVP57" s="12"/>
      <c r="QVQ57" s="12"/>
      <c r="QVR57" s="12"/>
      <c r="QVS57" s="12"/>
      <c r="QVT57" s="12"/>
      <c r="QVU57" s="12"/>
      <c r="QVV57" s="12"/>
      <c r="QVW57" s="12"/>
      <c r="QVX57" s="12"/>
      <c r="QVY57" s="12"/>
      <c r="QVZ57" s="12"/>
      <c r="QWA57" s="12"/>
      <c r="QWB57" s="12"/>
      <c r="QWC57" s="12"/>
      <c r="QWD57" s="12"/>
      <c r="QWE57" s="12"/>
      <c r="QWF57" s="12"/>
      <c r="QWG57" s="12"/>
      <c r="QWH57" s="12"/>
      <c r="QWI57" s="12"/>
      <c r="QWJ57" s="12"/>
      <c r="QWK57" s="12"/>
      <c r="QWL57" s="12"/>
      <c r="QWM57" s="12"/>
      <c r="QWN57" s="12"/>
      <c r="QWO57" s="12"/>
      <c r="QWP57" s="12"/>
      <c r="QWQ57" s="12"/>
      <c r="QWR57" s="12"/>
      <c r="QWS57" s="12"/>
      <c r="QWT57" s="12"/>
      <c r="QWU57" s="12"/>
      <c r="QWV57" s="12"/>
      <c r="QWW57" s="12"/>
      <c r="QWX57" s="12"/>
      <c r="QWY57" s="12"/>
      <c r="QWZ57" s="12"/>
      <c r="QXA57" s="12"/>
      <c r="QXB57" s="12"/>
      <c r="QXC57" s="12"/>
      <c r="QXD57" s="12"/>
      <c r="QXE57" s="12"/>
      <c r="QXF57" s="12"/>
      <c r="QXG57" s="12"/>
      <c r="QXH57" s="12"/>
      <c r="QXI57" s="12"/>
      <c r="QXJ57" s="12"/>
      <c r="QXK57" s="12"/>
      <c r="QXL57" s="12"/>
      <c r="QXM57" s="12"/>
      <c r="QXN57" s="12"/>
      <c r="QXO57" s="12"/>
      <c r="QXP57" s="12"/>
      <c r="QXQ57" s="12"/>
      <c r="QXR57" s="12"/>
      <c r="QXS57" s="12"/>
      <c r="QXT57" s="12"/>
      <c r="QXU57" s="12"/>
      <c r="QXV57" s="12"/>
      <c r="QXW57" s="12"/>
      <c r="QXX57" s="12"/>
      <c r="QXY57" s="12"/>
      <c r="QXZ57" s="12"/>
      <c r="QYA57" s="12"/>
      <c r="QYB57" s="12"/>
      <c r="QYC57" s="12"/>
      <c r="QYD57" s="12"/>
      <c r="QYE57" s="12"/>
      <c r="QYF57" s="12"/>
      <c r="QYG57" s="12"/>
      <c r="QYH57" s="12"/>
      <c r="QYI57" s="12"/>
      <c r="QYJ57" s="12"/>
      <c r="QYK57" s="12"/>
      <c r="QYL57" s="12"/>
      <c r="QYM57" s="12"/>
      <c r="QYN57" s="12"/>
      <c r="QYO57" s="12"/>
      <c r="QYP57" s="12"/>
      <c r="QYQ57" s="12"/>
      <c r="QYR57" s="12"/>
      <c r="QYS57" s="12"/>
      <c r="QYT57" s="12"/>
      <c r="QYU57" s="12"/>
      <c r="QYV57" s="12"/>
      <c r="QYW57" s="12"/>
      <c r="QYX57" s="12"/>
      <c r="QYY57" s="12"/>
      <c r="QYZ57" s="12"/>
      <c r="QZA57" s="12"/>
      <c r="QZB57" s="12"/>
      <c r="QZC57" s="12"/>
      <c r="QZD57" s="12"/>
      <c r="QZE57" s="12"/>
      <c r="QZF57" s="12"/>
      <c r="QZG57" s="12"/>
      <c r="QZH57" s="12"/>
      <c r="QZI57" s="12"/>
      <c r="QZJ57" s="12"/>
      <c r="QZK57" s="12"/>
      <c r="QZL57" s="12"/>
      <c r="QZM57" s="12"/>
      <c r="QZN57" s="12"/>
      <c r="QZO57" s="12"/>
      <c r="QZP57" s="12"/>
      <c r="QZQ57" s="12"/>
      <c r="QZR57" s="12"/>
      <c r="QZS57" s="12"/>
      <c r="QZT57" s="12"/>
      <c r="QZU57" s="12"/>
      <c r="QZV57" s="12"/>
      <c r="QZW57" s="12"/>
      <c r="QZX57" s="12"/>
      <c r="QZY57" s="12"/>
      <c r="QZZ57" s="12"/>
      <c r="RAA57" s="12"/>
      <c r="RAB57" s="12"/>
      <c r="RAC57" s="12"/>
      <c r="RAD57" s="12"/>
      <c r="RAE57" s="12"/>
      <c r="RAF57" s="12"/>
      <c r="RAG57" s="12"/>
      <c r="RAH57" s="12"/>
      <c r="RAI57" s="12"/>
      <c r="RAJ57" s="12"/>
      <c r="RAK57" s="12"/>
      <c r="RAL57" s="12"/>
      <c r="RAM57" s="12"/>
      <c r="RAN57" s="12"/>
      <c r="RAO57" s="12"/>
      <c r="RAP57" s="12"/>
      <c r="RAQ57" s="12"/>
      <c r="RAR57" s="12"/>
      <c r="RAS57" s="12"/>
      <c r="RAT57" s="12"/>
      <c r="RAU57" s="12"/>
      <c r="RAV57" s="12"/>
      <c r="RAW57" s="12"/>
      <c r="RAX57" s="12"/>
      <c r="RAY57" s="12"/>
      <c r="RAZ57" s="12"/>
      <c r="RBA57" s="12"/>
      <c r="RBB57" s="12"/>
      <c r="RBC57" s="12"/>
      <c r="RBD57" s="12"/>
      <c r="RBE57" s="12"/>
      <c r="RBF57" s="12"/>
      <c r="RBG57" s="12"/>
      <c r="RBH57" s="12"/>
      <c r="RBI57" s="12"/>
      <c r="RBJ57" s="12"/>
      <c r="RBK57" s="12"/>
      <c r="RBL57" s="12"/>
      <c r="RBM57" s="12"/>
      <c r="RBN57" s="12"/>
      <c r="RBO57" s="12"/>
      <c r="RBP57" s="12"/>
      <c r="RBQ57" s="12"/>
      <c r="RBR57" s="12"/>
      <c r="RBS57" s="12"/>
      <c r="RBT57" s="12"/>
      <c r="RBU57" s="12"/>
      <c r="RBV57" s="12"/>
      <c r="RBW57" s="12"/>
      <c r="RBX57" s="12"/>
      <c r="RBY57" s="12"/>
      <c r="RBZ57" s="12"/>
      <c r="RCA57" s="12"/>
      <c r="RCB57" s="12"/>
      <c r="RCC57" s="12"/>
      <c r="RCD57" s="12"/>
      <c r="RCE57" s="12"/>
      <c r="RCF57" s="12"/>
      <c r="RCG57" s="12"/>
      <c r="RCH57" s="12"/>
      <c r="RCI57" s="12"/>
      <c r="RCJ57" s="12"/>
      <c r="RCK57" s="12"/>
      <c r="RCL57" s="12"/>
      <c r="RCM57" s="12"/>
      <c r="RCN57" s="12"/>
      <c r="RCO57" s="12"/>
      <c r="RCP57" s="12"/>
      <c r="RCQ57" s="12"/>
      <c r="RCR57" s="12"/>
      <c r="RCS57" s="12"/>
      <c r="RCT57" s="12"/>
      <c r="RCU57" s="12"/>
      <c r="RCV57" s="12"/>
      <c r="RCW57" s="12"/>
      <c r="RCX57" s="12"/>
      <c r="RCY57" s="12"/>
      <c r="RCZ57" s="12"/>
      <c r="RDA57" s="12"/>
      <c r="RDB57" s="12"/>
      <c r="RDC57" s="12"/>
      <c r="RDD57" s="12"/>
      <c r="RDE57" s="12"/>
      <c r="RDF57" s="12"/>
      <c r="RDG57" s="12"/>
      <c r="RDH57" s="12"/>
      <c r="RDI57" s="12"/>
      <c r="RDJ57" s="12"/>
      <c r="RDK57" s="12"/>
      <c r="RDL57" s="12"/>
      <c r="RDM57" s="12"/>
      <c r="RDN57" s="12"/>
      <c r="RDO57" s="12"/>
      <c r="RDP57" s="12"/>
      <c r="RDQ57" s="12"/>
      <c r="RDR57" s="12"/>
      <c r="RDS57" s="12"/>
      <c r="RDT57" s="12"/>
      <c r="RDU57" s="12"/>
      <c r="RDV57" s="12"/>
      <c r="RDW57" s="12"/>
      <c r="RDX57" s="12"/>
      <c r="RDY57" s="12"/>
      <c r="RDZ57" s="12"/>
      <c r="REA57" s="12"/>
      <c r="REB57" s="12"/>
      <c r="REC57" s="12"/>
      <c r="RED57" s="12"/>
      <c r="REE57" s="12"/>
      <c r="REF57" s="12"/>
      <c r="REG57" s="12"/>
      <c r="REH57" s="12"/>
      <c r="REI57" s="12"/>
      <c r="REJ57" s="12"/>
      <c r="REK57" s="12"/>
      <c r="REL57" s="12"/>
      <c r="REM57" s="12"/>
      <c r="REN57" s="12"/>
      <c r="REO57" s="12"/>
      <c r="REP57" s="12"/>
      <c r="REQ57" s="12"/>
      <c r="RER57" s="12"/>
      <c r="RES57" s="12"/>
      <c r="RET57" s="12"/>
      <c r="REU57" s="12"/>
      <c r="REV57" s="12"/>
      <c r="REW57" s="12"/>
      <c r="REX57" s="12"/>
      <c r="REY57" s="12"/>
      <c r="REZ57" s="12"/>
      <c r="RFA57" s="12"/>
      <c r="RFB57" s="12"/>
      <c r="RFC57" s="12"/>
      <c r="RFD57" s="12"/>
      <c r="RFE57" s="12"/>
      <c r="RFF57" s="12"/>
      <c r="RFG57" s="12"/>
      <c r="RFH57" s="12"/>
      <c r="RFI57" s="12"/>
      <c r="RFJ57" s="12"/>
      <c r="RFK57" s="12"/>
      <c r="RFL57" s="12"/>
      <c r="RFM57" s="12"/>
      <c r="RFN57" s="12"/>
      <c r="RFO57" s="12"/>
      <c r="RFP57" s="12"/>
      <c r="RFQ57" s="12"/>
      <c r="RFR57" s="12"/>
      <c r="RFS57" s="12"/>
      <c r="RFT57" s="12"/>
      <c r="RFU57" s="12"/>
      <c r="RFV57" s="12"/>
      <c r="RFW57" s="12"/>
      <c r="RFX57" s="12"/>
      <c r="RFY57" s="12"/>
      <c r="RFZ57" s="12"/>
      <c r="RGA57" s="12"/>
      <c r="RGB57" s="12"/>
      <c r="RGC57" s="12"/>
      <c r="RGD57" s="12"/>
      <c r="RGE57" s="12"/>
      <c r="RGF57" s="12"/>
      <c r="RGG57" s="12"/>
      <c r="RGH57" s="12"/>
      <c r="RGI57" s="12"/>
      <c r="RGJ57" s="12"/>
      <c r="RGK57" s="12"/>
      <c r="RGL57" s="12"/>
      <c r="RGM57" s="12"/>
      <c r="RGN57" s="12"/>
      <c r="RGO57" s="12"/>
      <c r="RGP57" s="12"/>
      <c r="RGQ57" s="12"/>
      <c r="RGR57" s="12"/>
      <c r="RGS57" s="12"/>
      <c r="RGT57" s="12"/>
      <c r="RGU57" s="12"/>
      <c r="RGV57" s="12"/>
      <c r="RGW57" s="12"/>
      <c r="RGX57" s="12"/>
      <c r="RGY57" s="12"/>
      <c r="RGZ57" s="12"/>
      <c r="RHA57" s="12"/>
      <c r="RHB57" s="12"/>
      <c r="RHC57" s="12"/>
      <c r="RHD57" s="12"/>
      <c r="RHE57" s="12"/>
      <c r="RHF57" s="12"/>
      <c r="RHG57" s="12"/>
      <c r="RHH57" s="12"/>
      <c r="RHI57" s="12"/>
      <c r="RHJ57" s="12"/>
      <c r="RHK57" s="12"/>
      <c r="RHL57" s="12"/>
      <c r="RHM57" s="12"/>
      <c r="RHN57" s="12"/>
      <c r="RHO57" s="12"/>
      <c r="RHP57" s="12"/>
      <c r="RHQ57" s="12"/>
      <c r="RHR57" s="12"/>
      <c r="RHS57" s="12"/>
      <c r="RHT57" s="12"/>
      <c r="RHU57" s="12"/>
      <c r="RHV57" s="12"/>
      <c r="RHW57" s="12"/>
      <c r="RHX57" s="12"/>
      <c r="RHY57" s="12"/>
      <c r="RHZ57" s="12"/>
      <c r="RIA57" s="12"/>
      <c r="RIB57" s="12"/>
      <c r="RIC57" s="12"/>
      <c r="RID57" s="12"/>
      <c r="RIE57" s="12"/>
      <c r="RIF57" s="12"/>
      <c r="RIG57" s="12"/>
      <c r="RIH57" s="12"/>
      <c r="RII57" s="12"/>
      <c r="RIJ57" s="12"/>
      <c r="RIK57" s="12"/>
      <c r="RIL57" s="12"/>
      <c r="RIM57" s="12"/>
      <c r="RIN57" s="12"/>
      <c r="RIO57" s="12"/>
      <c r="RIP57" s="12"/>
      <c r="RIQ57" s="12"/>
      <c r="RIR57" s="12"/>
      <c r="RIS57" s="12"/>
      <c r="RIT57" s="12"/>
      <c r="RIU57" s="12"/>
      <c r="RIV57" s="12"/>
      <c r="RIW57" s="12"/>
      <c r="RIX57" s="12"/>
      <c r="RIY57" s="12"/>
      <c r="RIZ57" s="12"/>
      <c r="RJA57" s="12"/>
      <c r="RJB57" s="12"/>
      <c r="RJC57" s="12"/>
      <c r="RJD57" s="12"/>
      <c r="RJE57" s="12"/>
      <c r="RJF57" s="12"/>
      <c r="RJG57" s="12"/>
      <c r="RJH57" s="12"/>
      <c r="RJI57" s="12"/>
      <c r="RJJ57" s="12"/>
      <c r="RJK57" s="12"/>
      <c r="RJL57" s="12"/>
      <c r="RJM57" s="12"/>
      <c r="RJN57" s="12"/>
      <c r="RJO57" s="12"/>
      <c r="RJP57" s="12"/>
      <c r="RJQ57" s="12"/>
      <c r="RJR57" s="12"/>
      <c r="RJS57" s="12"/>
      <c r="RJT57" s="12"/>
      <c r="RJU57" s="12"/>
      <c r="RJV57" s="12"/>
      <c r="RJW57" s="12"/>
      <c r="RJX57" s="12"/>
      <c r="RJY57" s="12"/>
      <c r="RJZ57" s="12"/>
      <c r="RKA57" s="12"/>
      <c r="RKB57" s="12"/>
      <c r="RKC57" s="12"/>
      <c r="RKD57" s="12"/>
      <c r="RKE57" s="12"/>
      <c r="RKF57" s="12"/>
      <c r="RKG57" s="12"/>
      <c r="RKH57" s="12"/>
      <c r="RKI57" s="12"/>
      <c r="RKJ57" s="12"/>
      <c r="RKK57" s="12"/>
      <c r="RKL57" s="12"/>
      <c r="RKM57" s="12"/>
      <c r="RKN57" s="12"/>
      <c r="RKO57" s="12"/>
      <c r="RKP57" s="12"/>
      <c r="RKQ57" s="12"/>
      <c r="RKR57" s="12"/>
      <c r="RKS57" s="12"/>
      <c r="RKT57" s="12"/>
      <c r="RKU57" s="12"/>
      <c r="RKV57" s="12"/>
      <c r="RKW57" s="12"/>
      <c r="RKX57" s="12"/>
      <c r="RKY57" s="12"/>
      <c r="RKZ57" s="12"/>
      <c r="RLA57" s="12"/>
      <c r="RLB57" s="12"/>
      <c r="RLC57" s="12"/>
      <c r="RLD57" s="12"/>
      <c r="RLE57" s="12"/>
      <c r="RLF57" s="12"/>
      <c r="RLG57" s="12"/>
      <c r="RLH57" s="12"/>
      <c r="RLI57" s="12"/>
      <c r="RLJ57" s="12"/>
      <c r="RLK57" s="12"/>
      <c r="RLL57" s="12"/>
      <c r="RLM57" s="12"/>
      <c r="RLN57" s="12"/>
      <c r="RLO57" s="12"/>
      <c r="RLP57" s="12"/>
      <c r="RLQ57" s="12"/>
      <c r="RLR57" s="12"/>
      <c r="RLS57" s="12"/>
      <c r="RLT57" s="12"/>
      <c r="RLU57" s="12"/>
      <c r="RLV57" s="12"/>
      <c r="RLW57" s="12"/>
      <c r="RLX57" s="12"/>
      <c r="RLY57" s="12"/>
      <c r="RLZ57" s="12"/>
      <c r="RMA57" s="12"/>
      <c r="RMB57" s="12"/>
      <c r="RMC57" s="12"/>
      <c r="RMD57" s="12"/>
      <c r="RME57" s="12"/>
      <c r="RMF57" s="12"/>
      <c r="RMG57" s="12"/>
      <c r="RMH57" s="12"/>
      <c r="RMI57" s="12"/>
      <c r="RMJ57" s="12"/>
      <c r="RMK57" s="12"/>
      <c r="RML57" s="12"/>
      <c r="RMM57" s="12"/>
      <c r="RMN57" s="12"/>
      <c r="RMO57" s="12"/>
      <c r="RMP57" s="12"/>
      <c r="RMQ57" s="12"/>
      <c r="RMR57" s="12"/>
      <c r="RMS57" s="12"/>
      <c r="RMT57" s="12"/>
      <c r="RMU57" s="12"/>
      <c r="RMV57" s="12"/>
      <c r="RMW57" s="12"/>
      <c r="RMX57" s="12"/>
      <c r="RMY57" s="12"/>
      <c r="RMZ57" s="12"/>
      <c r="RNA57" s="12"/>
      <c r="RNB57" s="12"/>
      <c r="RNC57" s="12"/>
      <c r="RND57" s="12"/>
      <c r="RNE57" s="12"/>
      <c r="RNF57" s="12"/>
      <c r="RNG57" s="12"/>
      <c r="RNH57" s="12"/>
      <c r="RNI57" s="12"/>
      <c r="RNJ57" s="12"/>
      <c r="RNK57" s="12"/>
      <c r="RNL57" s="12"/>
      <c r="RNM57" s="12"/>
      <c r="RNN57" s="12"/>
      <c r="RNO57" s="12"/>
      <c r="RNP57" s="12"/>
      <c r="RNQ57" s="12"/>
      <c r="RNR57" s="12"/>
      <c r="RNS57" s="12"/>
      <c r="RNT57" s="12"/>
      <c r="RNU57" s="12"/>
      <c r="RNV57" s="12"/>
      <c r="RNW57" s="12"/>
      <c r="RNX57" s="12"/>
      <c r="RNY57" s="12"/>
      <c r="RNZ57" s="12"/>
      <c r="ROA57" s="12"/>
      <c r="ROB57" s="12"/>
      <c r="ROC57" s="12"/>
      <c r="ROD57" s="12"/>
      <c r="ROE57" s="12"/>
      <c r="ROF57" s="12"/>
      <c r="ROG57" s="12"/>
      <c r="ROH57" s="12"/>
      <c r="ROI57" s="12"/>
      <c r="ROJ57" s="12"/>
      <c r="ROK57" s="12"/>
      <c r="ROL57" s="12"/>
      <c r="ROM57" s="12"/>
      <c r="RON57" s="12"/>
      <c r="ROO57" s="12"/>
      <c r="ROP57" s="12"/>
      <c r="ROQ57" s="12"/>
      <c r="ROR57" s="12"/>
      <c r="ROS57" s="12"/>
      <c r="ROT57" s="12"/>
      <c r="ROU57" s="12"/>
      <c r="ROV57" s="12"/>
      <c r="ROW57" s="12"/>
      <c r="ROX57" s="12"/>
      <c r="ROY57" s="12"/>
      <c r="ROZ57" s="12"/>
      <c r="RPA57" s="12"/>
      <c r="RPB57" s="12"/>
      <c r="RPC57" s="12"/>
      <c r="RPD57" s="12"/>
      <c r="RPE57" s="12"/>
      <c r="RPF57" s="12"/>
      <c r="RPG57" s="12"/>
      <c r="RPH57" s="12"/>
      <c r="RPI57" s="12"/>
      <c r="RPJ57" s="12"/>
      <c r="RPK57" s="12"/>
      <c r="RPL57" s="12"/>
      <c r="RPM57" s="12"/>
      <c r="RPN57" s="12"/>
      <c r="RPO57" s="12"/>
      <c r="RPP57" s="12"/>
      <c r="RPQ57" s="12"/>
      <c r="RPR57" s="12"/>
      <c r="RPS57" s="12"/>
      <c r="RPT57" s="12"/>
      <c r="RPU57" s="12"/>
      <c r="RPV57" s="12"/>
      <c r="RPW57" s="12"/>
      <c r="RPX57" s="12"/>
      <c r="RPY57" s="12"/>
      <c r="RPZ57" s="12"/>
      <c r="RQA57" s="12"/>
      <c r="RQB57" s="12"/>
      <c r="RQC57" s="12"/>
      <c r="RQD57" s="12"/>
      <c r="RQE57" s="12"/>
      <c r="RQF57" s="12"/>
      <c r="RQG57" s="12"/>
      <c r="RQH57" s="12"/>
      <c r="RQI57" s="12"/>
      <c r="RQJ57" s="12"/>
      <c r="RQK57" s="12"/>
      <c r="RQL57" s="12"/>
      <c r="RQM57" s="12"/>
      <c r="RQN57" s="12"/>
      <c r="RQO57" s="12"/>
      <c r="RQP57" s="12"/>
      <c r="RQQ57" s="12"/>
      <c r="RQR57" s="12"/>
      <c r="RQS57" s="12"/>
      <c r="RQT57" s="12"/>
      <c r="RQU57" s="12"/>
      <c r="RQV57" s="12"/>
      <c r="RQW57" s="12"/>
      <c r="RQX57" s="12"/>
      <c r="RQY57" s="12"/>
      <c r="RQZ57" s="12"/>
      <c r="RRA57" s="12"/>
      <c r="RRB57" s="12"/>
      <c r="RRC57" s="12"/>
      <c r="RRD57" s="12"/>
      <c r="RRE57" s="12"/>
      <c r="RRF57" s="12"/>
      <c r="RRG57" s="12"/>
      <c r="RRH57" s="12"/>
      <c r="RRI57" s="12"/>
      <c r="RRJ57" s="12"/>
      <c r="RRK57" s="12"/>
      <c r="RRL57" s="12"/>
      <c r="RRM57" s="12"/>
      <c r="RRN57" s="12"/>
      <c r="RRO57" s="12"/>
      <c r="RRP57" s="12"/>
      <c r="RRQ57" s="12"/>
      <c r="RRR57" s="12"/>
      <c r="RRS57" s="12"/>
      <c r="RRT57" s="12"/>
      <c r="RRU57" s="12"/>
      <c r="RRV57" s="12"/>
      <c r="RRW57" s="12"/>
      <c r="RRX57" s="12"/>
      <c r="RRY57" s="12"/>
      <c r="RRZ57" s="12"/>
      <c r="RSA57" s="12"/>
      <c r="RSB57" s="12"/>
      <c r="RSC57" s="12"/>
      <c r="RSD57" s="12"/>
      <c r="RSE57" s="12"/>
      <c r="RSF57" s="12"/>
      <c r="RSG57" s="12"/>
      <c r="RSH57" s="12"/>
      <c r="RSI57" s="12"/>
      <c r="RSJ57" s="12"/>
      <c r="RSK57" s="12"/>
      <c r="RSL57" s="12"/>
      <c r="RSM57" s="12"/>
      <c r="RSN57" s="12"/>
      <c r="RSO57" s="12"/>
      <c r="RSP57" s="12"/>
      <c r="RSQ57" s="12"/>
      <c r="RSR57" s="12"/>
      <c r="RSS57" s="12"/>
      <c r="RST57" s="12"/>
      <c r="RSU57" s="12"/>
      <c r="RSV57" s="12"/>
      <c r="RSW57" s="12"/>
      <c r="RSX57" s="12"/>
      <c r="RSY57" s="12"/>
      <c r="RSZ57" s="12"/>
      <c r="RTA57" s="12"/>
      <c r="RTB57" s="12"/>
      <c r="RTC57" s="12"/>
      <c r="RTD57" s="12"/>
      <c r="RTE57" s="12"/>
      <c r="RTF57" s="12"/>
      <c r="RTG57" s="12"/>
      <c r="RTH57" s="12"/>
      <c r="RTI57" s="12"/>
      <c r="RTJ57" s="12"/>
      <c r="RTK57" s="12"/>
      <c r="RTL57" s="12"/>
      <c r="RTM57" s="12"/>
      <c r="RTN57" s="12"/>
      <c r="RTO57" s="12"/>
      <c r="RTP57" s="12"/>
      <c r="RTQ57" s="12"/>
      <c r="RTR57" s="12"/>
      <c r="RTS57" s="12"/>
      <c r="RTT57" s="12"/>
      <c r="RTU57" s="12"/>
      <c r="RTV57" s="12"/>
      <c r="RTW57" s="12"/>
      <c r="RTX57" s="12"/>
      <c r="RTY57" s="12"/>
      <c r="RTZ57" s="12"/>
      <c r="RUA57" s="12"/>
      <c r="RUB57" s="12"/>
      <c r="RUC57" s="12"/>
      <c r="RUD57" s="12"/>
      <c r="RUE57" s="12"/>
      <c r="RUF57" s="12"/>
      <c r="RUG57" s="12"/>
      <c r="RUH57" s="12"/>
      <c r="RUI57" s="12"/>
      <c r="RUJ57" s="12"/>
      <c r="RUK57" s="12"/>
      <c r="RUL57" s="12"/>
      <c r="RUM57" s="12"/>
      <c r="RUN57" s="12"/>
      <c r="RUO57" s="12"/>
      <c r="RUP57" s="12"/>
      <c r="RUQ57" s="12"/>
      <c r="RUR57" s="12"/>
      <c r="RUS57" s="12"/>
      <c r="RUT57" s="12"/>
      <c r="RUU57" s="12"/>
      <c r="RUV57" s="12"/>
      <c r="RUW57" s="12"/>
      <c r="RUX57" s="12"/>
      <c r="RUY57" s="12"/>
      <c r="RUZ57" s="12"/>
      <c r="RVA57" s="12"/>
      <c r="RVB57" s="12"/>
      <c r="RVC57" s="12"/>
      <c r="RVD57" s="12"/>
      <c r="RVE57" s="12"/>
      <c r="RVF57" s="12"/>
      <c r="RVG57" s="12"/>
      <c r="RVH57" s="12"/>
      <c r="RVI57" s="12"/>
      <c r="RVJ57" s="12"/>
      <c r="RVK57" s="12"/>
      <c r="RVL57" s="12"/>
      <c r="RVM57" s="12"/>
      <c r="RVN57" s="12"/>
      <c r="RVO57" s="12"/>
      <c r="RVP57" s="12"/>
      <c r="RVQ57" s="12"/>
      <c r="RVR57" s="12"/>
      <c r="RVS57" s="12"/>
      <c r="RVT57" s="12"/>
      <c r="RVU57" s="12"/>
      <c r="RVV57" s="12"/>
      <c r="RVW57" s="12"/>
      <c r="RVX57" s="12"/>
      <c r="RVY57" s="12"/>
      <c r="RVZ57" s="12"/>
      <c r="RWA57" s="12"/>
      <c r="RWB57" s="12"/>
      <c r="RWC57" s="12"/>
      <c r="RWD57" s="12"/>
      <c r="RWE57" s="12"/>
      <c r="RWF57" s="12"/>
      <c r="RWG57" s="12"/>
      <c r="RWH57" s="12"/>
      <c r="RWI57" s="12"/>
      <c r="RWJ57" s="12"/>
      <c r="RWK57" s="12"/>
      <c r="RWL57" s="12"/>
      <c r="RWM57" s="12"/>
      <c r="RWN57" s="12"/>
      <c r="RWO57" s="12"/>
      <c r="RWP57" s="12"/>
      <c r="RWQ57" s="12"/>
      <c r="RWR57" s="12"/>
      <c r="RWS57" s="12"/>
      <c r="RWT57" s="12"/>
      <c r="RWU57" s="12"/>
      <c r="RWV57" s="12"/>
      <c r="RWW57" s="12"/>
      <c r="RWX57" s="12"/>
      <c r="RWY57" s="12"/>
      <c r="RWZ57" s="12"/>
      <c r="RXA57" s="12"/>
      <c r="RXB57" s="12"/>
      <c r="RXC57" s="12"/>
      <c r="RXD57" s="12"/>
      <c r="RXE57" s="12"/>
      <c r="RXF57" s="12"/>
      <c r="RXG57" s="12"/>
      <c r="RXH57" s="12"/>
      <c r="RXI57" s="12"/>
      <c r="RXJ57" s="12"/>
      <c r="RXK57" s="12"/>
      <c r="RXL57" s="12"/>
      <c r="RXM57" s="12"/>
      <c r="RXN57" s="12"/>
      <c r="RXO57" s="12"/>
      <c r="RXP57" s="12"/>
      <c r="RXQ57" s="12"/>
      <c r="RXR57" s="12"/>
      <c r="RXS57" s="12"/>
      <c r="RXT57" s="12"/>
      <c r="RXU57" s="12"/>
      <c r="RXV57" s="12"/>
      <c r="RXW57" s="12"/>
      <c r="RXX57" s="12"/>
      <c r="RXY57" s="12"/>
      <c r="RXZ57" s="12"/>
      <c r="RYA57" s="12"/>
      <c r="RYB57" s="12"/>
      <c r="RYC57" s="12"/>
      <c r="RYD57" s="12"/>
      <c r="RYE57" s="12"/>
      <c r="RYF57" s="12"/>
      <c r="RYG57" s="12"/>
      <c r="RYH57" s="12"/>
      <c r="RYI57" s="12"/>
      <c r="RYJ57" s="12"/>
      <c r="RYK57" s="12"/>
      <c r="RYL57" s="12"/>
      <c r="RYM57" s="12"/>
      <c r="RYN57" s="12"/>
      <c r="RYO57" s="12"/>
      <c r="RYP57" s="12"/>
      <c r="RYQ57" s="12"/>
      <c r="RYR57" s="12"/>
      <c r="RYS57" s="12"/>
      <c r="RYT57" s="12"/>
      <c r="RYU57" s="12"/>
      <c r="RYV57" s="12"/>
      <c r="RYW57" s="12"/>
      <c r="RYX57" s="12"/>
      <c r="RYY57" s="12"/>
      <c r="RYZ57" s="12"/>
      <c r="RZA57" s="12"/>
      <c r="RZB57" s="12"/>
      <c r="RZC57" s="12"/>
      <c r="RZD57" s="12"/>
      <c r="RZE57" s="12"/>
      <c r="RZF57" s="12"/>
      <c r="RZG57" s="12"/>
      <c r="RZH57" s="12"/>
      <c r="RZI57" s="12"/>
      <c r="RZJ57" s="12"/>
      <c r="RZK57" s="12"/>
      <c r="RZL57" s="12"/>
      <c r="RZM57" s="12"/>
      <c r="RZN57" s="12"/>
      <c r="RZO57" s="12"/>
      <c r="RZP57" s="12"/>
      <c r="RZQ57" s="12"/>
      <c r="RZR57" s="12"/>
      <c r="RZS57" s="12"/>
      <c r="RZT57" s="12"/>
      <c r="RZU57" s="12"/>
      <c r="RZV57" s="12"/>
      <c r="RZW57" s="12"/>
      <c r="RZX57" s="12"/>
      <c r="RZY57" s="12"/>
      <c r="RZZ57" s="12"/>
      <c r="SAA57" s="12"/>
      <c r="SAB57" s="12"/>
      <c r="SAC57" s="12"/>
      <c r="SAD57" s="12"/>
      <c r="SAE57" s="12"/>
      <c r="SAF57" s="12"/>
      <c r="SAG57" s="12"/>
      <c r="SAH57" s="12"/>
      <c r="SAI57" s="12"/>
      <c r="SAJ57" s="12"/>
      <c r="SAK57" s="12"/>
      <c r="SAL57" s="12"/>
      <c r="SAM57" s="12"/>
      <c r="SAN57" s="12"/>
      <c r="SAO57" s="12"/>
      <c r="SAP57" s="12"/>
      <c r="SAQ57" s="12"/>
      <c r="SAR57" s="12"/>
      <c r="SAS57" s="12"/>
      <c r="SAT57" s="12"/>
      <c r="SAU57" s="12"/>
      <c r="SAV57" s="12"/>
      <c r="SAW57" s="12"/>
      <c r="SAX57" s="12"/>
      <c r="SAY57" s="12"/>
      <c r="SAZ57" s="12"/>
      <c r="SBA57" s="12"/>
      <c r="SBB57" s="12"/>
      <c r="SBC57" s="12"/>
      <c r="SBD57" s="12"/>
      <c r="SBE57" s="12"/>
      <c r="SBF57" s="12"/>
      <c r="SBG57" s="12"/>
      <c r="SBH57" s="12"/>
      <c r="SBI57" s="12"/>
      <c r="SBJ57" s="12"/>
      <c r="SBK57" s="12"/>
      <c r="SBL57" s="12"/>
      <c r="SBM57" s="12"/>
      <c r="SBN57" s="12"/>
      <c r="SBO57" s="12"/>
      <c r="SBP57" s="12"/>
      <c r="SBQ57" s="12"/>
      <c r="SBR57" s="12"/>
      <c r="SBS57" s="12"/>
      <c r="SBT57" s="12"/>
      <c r="SBU57" s="12"/>
      <c r="SBV57" s="12"/>
      <c r="SBW57" s="12"/>
      <c r="SBX57" s="12"/>
      <c r="SBY57" s="12"/>
      <c r="SBZ57" s="12"/>
      <c r="SCA57" s="12"/>
      <c r="SCB57" s="12"/>
      <c r="SCC57" s="12"/>
      <c r="SCD57" s="12"/>
      <c r="SCE57" s="12"/>
      <c r="SCF57" s="12"/>
      <c r="SCG57" s="12"/>
      <c r="SCH57" s="12"/>
      <c r="SCI57" s="12"/>
      <c r="SCJ57" s="12"/>
      <c r="SCK57" s="12"/>
      <c r="SCL57" s="12"/>
      <c r="SCM57" s="12"/>
      <c r="SCN57" s="12"/>
      <c r="SCO57" s="12"/>
      <c r="SCP57" s="12"/>
      <c r="SCQ57" s="12"/>
      <c r="SCR57" s="12"/>
      <c r="SCS57" s="12"/>
      <c r="SCT57" s="12"/>
      <c r="SCU57" s="12"/>
      <c r="SCV57" s="12"/>
      <c r="SCW57" s="12"/>
      <c r="SCX57" s="12"/>
      <c r="SCY57" s="12"/>
      <c r="SCZ57" s="12"/>
      <c r="SDA57" s="12"/>
      <c r="SDB57" s="12"/>
      <c r="SDC57" s="12"/>
      <c r="SDD57" s="12"/>
      <c r="SDE57" s="12"/>
      <c r="SDF57" s="12"/>
      <c r="SDG57" s="12"/>
      <c r="SDH57" s="12"/>
      <c r="SDI57" s="12"/>
      <c r="SDJ57" s="12"/>
      <c r="SDK57" s="12"/>
      <c r="SDL57" s="12"/>
      <c r="SDM57" s="12"/>
      <c r="SDN57" s="12"/>
      <c r="SDO57" s="12"/>
      <c r="SDP57" s="12"/>
      <c r="SDQ57" s="12"/>
      <c r="SDR57" s="12"/>
      <c r="SDS57" s="12"/>
      <c r="SDT57" s="12"/>
      <c r="SDU57" s="12"/>
      <c r="SDV57" s="12"/>
      <c r="SDW57" s="12"/>
      <c r="SDX57" s="12"/>
      <c r="SDY57" s="12"/>
      <c r="SDZ57" s="12"/>
      <c r="SEA57" s="12"/>
      <c r="SEB57" s="12"/>
      <c r="SEC57" s="12"/>
      <c r="SED57" s="12"/>
      <c r="SEE57" s="12"/>
      <c r="SEF57" s="12"/>
      <c r="SEG57" s="12"/>
      <c r="SEH57" s="12"/>
      <c r="SEI57" s="12"/>
      <c r="SEJ57" s="12"/>
      <c r="SEK57" s="12"/>
      <c r="SEL57" s="12"/>
      <c r="SEM57" s="12"/>
      <c r="SEN57" s="12"/>
      <c r="SEO57" s="12"/>
      <c r="SEP57" s="12"/>
      <c r="SEQ57" s="12"/>
      <c r="SER57" s="12"/>
      <c r="SES57" s="12"/>
      <c r="SET57" s="12"/>
      <c r="SEU57" s="12"/>
      <c r="SEV57" s="12"/>
      <c r="SEW57" s="12"/>
      <c r="SEX57" s="12"/>
      <c r="SEY57" s="12"/>
      <c r="SEZ57" s="12"/>
      <c r="SFA57" s="12"/>
      <c r="SFB57" s="12"/>
      <c r="SFC57" s="12"/>
      <c r="SFD57" s="12"/>
      <c r="SFE57" s="12"/>
      <c r="SFF57" s="12"/>
      <c r="SFG57" s="12"/>
      <c r="SFH57" s="12"/>
      <c r="SFI57" s="12"/>
      <c r="SFJ57" s="12"/>
      <c r="SFK57" s="12"/>
      <c r="SFL57" s="12"/>
      <c r="SFM57" s="12"/>
      <c r="SFN57" s="12"/>
      <c r="SFO57" s="12"/>
      <c r="SFP57" s="12"/>
      <c r="SFQ57" s="12"/>
      <c r="SFR57" s="12"/>
      <c r="SFS57" s="12"/>
      <c r="SFT57" s="12"/>
      <c r="SFU57" s="12"/>
      <c r="SFV57" s="12"/>
      <c r="SFW57" s="12"/>
      <c r="SFX57" s="12"/>
      <c r="SFY57" s="12"/>
      <c r="SFZ57" s="12"/>
      <c r="SGA57" s="12"/>
      <c r="SGB57" s="12"/>
      <c r="SGC57" s="12"/>
      <c r="SGD57" s="12"/>
      <c r="SGE57" s="12"/>
      <c r="SGF57" s="12"/>
      <c r="SGG57" s="12"/>
      <c r="SGH57" s="12"/>
      <c r="SGI57" s="12"/>
      <c r="SGJ57" s="12"/>
      <c r="SGK57" s="12"/>
      <c r="SGL57" s="12"/>
      <c r="SGM57" s="12"/>
      <c r="SGN57" s="12"/>
      <c r="SGO57" s="12"/>
      <c r="SGP57" s="12"/>
      <c r="SGQ57" s="12"/>
      <c r="SGR57" s="12"/>
      <c r="SGS57" s="12"/>
      <c r="SGT57" s="12"/>
      <c r="SGU57" s="12"/>
      <c r="SGV57" s="12"/>
      <c r="SGW57" s="12"/>
      <c r="SGX57" s="12"/>
      <c r="SGY57" s="12"/>
      <c r="SGZ57" s="12"/>
      <c r="SHA57" s="12"/>
      <c r="SHB57" s="12"/>
      <c r="SHC57" s="12"/>
      <c r="SHD57" s="12"/>
      <c r="SHE57" s="12"/>
      <c r="SHF57" s="12"/>
      <c r="SHG57" s="12"/>
      <c r="SHH57" s="12"/>
      <c r="SHI57" s="12"/>
      <c r="SHJ57" s="12"/>
      <c r="SHK57" s="12"/>
      <c r="SHL57" s="12"/>
      <c r="SHM57" s="12"/>
      <c r="SHN57" s="12"/>
      <c r="SHO57" s="12"/>
      <c r="SHP57" s="12"/>
      <c r="SHQ57" s="12"/>
      <c r="SHR57" s="12"/>
      <c r="SHS57" s="12"/>
      <c r="SHT57" s="12"/>
      <c r="SHU57" s="12"/>
      <c r="SHV57" s="12"/>
      <c r="SHW57" s="12"/>
      <c r="SHX57" s="12"/>
      <c r="SHY57" s="12"/>
      <c r="SHZ57" s="12"/>
      <c r="SIA57" s="12"/>
      <c r="SIB57" s="12"/>
      <c r="SIC57" s="12"/>
      <c r="SID57" s="12"/>
      <c r="SIE57" s="12"/>
      <c r="SIF57" s="12"/>
      <c r="SIG57" s="12"/>
      <c r="SIH57" s="12"/>
      <c r="SII57" s="12"/>
      <c r="SIJ57" s="12"/>
      <c r="SIK57" s="12"/>
      <c r="SIL57" s="12"/>
      <c r="SIM57" s="12"/>
      <c r="SIN57" s="12"/>
      <c r="SIO57" s="12"/>
      <c r="SIP57" s="12"/>
      <c r="SIQ57" s="12"/>
      <c r="SIR57" s="12"/>
      <c r="SIS57" s="12"/>
      <c r="SIT57" s="12"/>
      <c r="SIU57" s="12"/>
      <c r="SIV57" s="12"/>
      <c r="SIW57" s="12"/>
      <c r="SIX57" s="12"/>
      <c r="SIY57" s="12"/>
      <c r="SIZ57" s="12"/>
      <c r="SJA57" s="12"/>
      <c r="SJB57" s="12"/>
      <c r="SJC57" s="12"/>
      <c r="SJD57" s="12"/>
      <c r="SJE57" s="12"/>
      <c r="SJF57" s="12"/>
      <c r="SJG57" s="12"/>
      <c r="SJH57" s="12"/>
      <c r="SJI57" s="12"/>
      <c r="SJJ57" s="12"/>
      <c r="SJK57" s="12"/>
      <c r="SJL57" s="12"/>
      <c r="SJM57" s="12"/>
      <c r="SJN57" s="12"/>
      <c r="SJO57" s="12"/>
      <c r="SJP57" s="12"/>
      <c r="SJQ57" s="12"/>
      <c r="SJR57" s="12"/>
      <c r="SJS57" s="12"/>
      <c r="SJT57" s="12"/>
      <c r="SJU57" s="12"/>
      <c r="SJV57" s="12"/>
      <c r="SJW57" s="12"/>
      <c r="SJX57" s="12"/>
      <c r="SJY57" s="12"/>
      <c r="SJZ57" s="12"/>
      <c r="SKA57" s="12"/>
      <c r="SKB57" s="12"/>
      <c r="SKC57" s="12"/>
      <c r="SKD57" s="12"/>
      <c r="SKE57" s="12"/>
      <c r="SKF57" s="12"/>
      <c r="SKG57" s="12"/>
      <c r="SKH57" s="12"/>
      <c r="SKI57" s="12"/>
      <c r="SKJ57" s="12"/>
      <c r="SKK57" s="12"/>
      <c r="SKL57" s="12"/>
      <c r="SKM57" s="12"/>
      <c r="SKN57" s="12"/>
      <c r="SKO57" s="12"/>
      <c r="SKP57" s="12"/>
      <c r="SKQ57" s="12"/>
      <c r="SKR57" s="12"/>
      <c r="SKS57" s="12"/>
      <c r="SKT57" s="12"/>
      <c r="SKU57" s="12"/>
      <c r="SKV57" s="12"/>
      <c r="SKW57" s="12"/>
      <c r="SKX57" s="12"/>
      <c r="SKY57" s="12"/>
      <c r="SKZ57" s="12"/>
      <c r="SLA57" s="12"/>
      <c r="SLB57" s="12"/>
      <c r="SLC57" s="12"/>
      <c r="SLD57" s="12"/>
      <c r="SLE57" s="12"/>
      <c r="SLF57" s="12"/>
      <c r="SLG57" s="12"/>
      <c r="SLH57" s="12"/>
      <c r="SLI57" s="12"/>
      <c r="SLJ57" s="12"/>
      <c r="SLK57" s="12"/>
      <c r="SLL57" s="12"/>
      <c r="SLM57" s="12"/>
      <c r="SLN57" s="12"/>
      <c r="SLO57" s="12"/>
      <c r="SLP57" s="12"/>
      <c r="SLQ57" s="12"/>
      <c r="SLR57" s="12"/>
      <c r="SLS57" s="12"/>
      <c r="SLT57" s="12"/>
      <c r="SLU57" s="12"/>
      <c r="SLV57" s="12"/>
      <c r="SLW57" s="12"/>
      <c r="SLX57" s="12"/>
      <c r="SLY57" s="12"/>
      <c r="SLZ57" s="12"/>
      <c r="SMA57" s="12"/>
      <c r="SMB57" s="12"/>
      <c r="SMC57" s="12"/>
      <c r="SMD57" s="12"/>
      <c r="SME57" s="12"/>
      <c r="SMF57" s="12"/>
      <c r="SMG57" s="12"/>
      <c r="SMH57" s="12"/>
      <c r="SMI57" s="12"/>
      <c r="SMJ57" s="12"/>
      <c r="SMK57" s="12"/>
      <c r="SML57" s="12"/>
      <c r="SMM57" s="12"/>
      <c r="SMN57" s="12"/>
      <c r="SMO57" s="12"/>
      <c r="SMP57" s="12"/>
      <c r="SMQ57" s="12"/>
      <c r="SMR57" s="12"/>
      <c r="SMS57" s="12"/>
      <c r="SMT57" s="12"/>
      <c r="SMU57" s="12"/>
      <c r="SMV57" s="12"/>
      <c r="SMW57" s="12"/>
      <c r="SMX57" s="12"/>
      <c r="SMY57" s="12"/>
      <c r="SMZ57" s="12"/>
      <c r="SNA57" s="12"/>
      <c r="SNB57" s="12"/>
      <c r="SNC57" s="12"/>
      <c r="SND57" s="12"/>
      <c r="SNE57" s="12"/>
      <c r="SNF57" s="12"/>
      <c r="SNG57" s="12"/>
      <c r="SNH57" s="12"/>
      <c r="SNI57" s="12"/>
      <c r="SNJ57" s="12"/>
      <c r="SNK57" s="12"/>
      <c r="SNL57" s="12"/>
      <c r="SNM57" s="12"/>
      <c r="SNN57" s="12"/>
      <c r="SNO57" s="12"/>
      <c r="SNP57" s="12"/>
      <c r="SNQ57" s="12"/>
      <c r="SNR57" s="12"/>
      <c r="SNS57" s="12"/>
      <c r="SNT57" s="12"/>
      <c r="SNU57" s="12"/>
      <c r="SNV57" s="12"/>
      <c r="SNW57" s="12"/>
      <c r="SNX57" s="12"/>
      <c r="SNY57" s="12"/>
      <c r="SNZ57" s="12"/>
      <c r="SOA57" s="12"/>
      <c r="SOB57" s="12"/>
      <c r="SOC57" s="12"/>
      <c r="SOD57" s="12"/>
      <c r="SOE57" s="12"/>
      <c r="SOF57" s="12"/>
      <c r="SOG57" s="12"/>
      <c r="SOH57" s="12"/>
      <c r="SOI57" s="12"/>
      <c r="SOJ57" s="12"/>
      <c r="SOK57" s="12"/>
      <c r="SOL57" s="12"/>
      <c r="SOM57" s="12"/>
      <c r="SON57" s="12"/>
      <c r="SOO57" s="12"/>
      <c r="SOP57" s="12"/>
      <c r="SOQ57" s="12"/>
      <c r="SOR57" s="12"/>
      <c r="SOS57" s="12"/>
      <c r="SOT57" s="12"/>
      <c r="SOU57" s="12"/>
      <c r="SOV57" s="12"/>
      <c r="SOW57" s="12"/>
      <c r="SOX57" s="12"/>
      <c r="SOY57" s="12"/>
      <c r="SOZ57" s="12"/>
      <c r="SPA57" s="12"/>
      <c r="SPB57" s="12"/>
      <c r="SPC57" s="12"/>
      <c r="SPD57" s="12"/>
      <c r="SPE57" s="12"/>
      <c r="SPF57" s="12"/>
      <c r="SPG57" s="12"/>
      <c r="SPH57" s="12"/>
      <c r="SPI57" s="12"/>
      <c r="SPJ57" s="12"/>
      <c r="SPK57" s="12"/>
      <c r="SPL57" s="12"/>
      <c r="SPM57" s="12"/>
      <c r="SPN57" s="12"/>
      <c r="SPO57" s="12"/>
      <c r="SPP57" s="12"/>
      <c r="SPQ57" s="12"/>
      <c r="SPR57" s="12"/>
      <c r="SPS57" s="12"/>
      <c r="SPT57" s="12"/>
      <c r="SPU57" s="12"/>
      <c r="SPV57" s="12"/>
      <c r="SPW57" s="12"/>
      <c r="SPX57" s="12"/>
      <c r="SPY57" s="12"/>
      <c r="SPZ57" s="12"/>
      <c r="SQA57" s="12"/>
      <c r="SQB57" s="12"/>
      <c r="SQC57" s="12"/>
      <c r="SQD57" s="12"/>
      <c r="SQE57" s="12"/>
      <c r="SQF57" s="12"/>
      <c r="SQG57" s="12"/>
      <c r="SQH57" s="12"/>
      <c r="SQI57" s="12"/>
      <c r="SQJ57" s="12"/>
      <c r="SQK57" s="12"/>
      <c r="SQL57" s="12"/>
      <c r="SQM57" s="12"/>
      <c r="SQN57" s="12"/>
      <c r="SQO57" s="12"/>
      <c r="SQP57" s="12"/>
      <c r="SQQ57" s="12"/>
      <c r="SQR57" s="12"/>
      <c r="SQS57" s="12"/>
      <c r="SQT57" s="12"/>
      <c r="SQU57" s="12"/>
      <c r="SQV57" s="12"/>
      <c r="SQW57" s="12"/>
      <c r="SQX57" s="12"/>
      <c r="SQY57" s="12"/>
      <c r="SQZ57" s="12"/>
      <c r="SRA57" s="12"/>
      <c r="SRB57" s="12"/>
      <c r="SRC57" s="12"/>
      <c r="SRD57" s="12"/>
      <c r="SRE57" s="12"/>
      <c r="SRF57" s="12"/>
      <c r="SRG57" s="12"/>
      <c r="SRH57" s="12"/>
      <c r="SRI57" s="12"/>
      <c r="SRJ57" s="12"/>
      <c r="SRK57" s="12"/>
      <c r="SRL57" s="12"/>
      <c r="SRM57" s="12"/>
      <c r="SRN57" s="12"/>
      <c r="SRO57" s="12"/>
      <c r="SRP57" s="12"/>
      <c r="SRQ57" s="12"/>
      <c r="SRR57" s="12"/>
      <c r="SRS57" s="12"/>
      <c r="SRT57" s="12"/>
      <c r="SRU57" s="12"/>
      <c r="SRV57" s="12"/>
      <c r="SRW57" s="12"/>
      <c r="SRX57" s="12"/>
      <c r="SRY57" s="12"/>
      <c r="SRZ57" s="12"/>
      <c r="SSA57" s="12"/>
      <c r="SSB57" s="12"/>
      <c r="SSC57" s="12"/>
      <c r="SSD57" s="12"/>
      <c r="SSE57" s="12"/>
      <c r="SSF57" s="12"/>
      <c r="SSG57" s="12"/>
      <c r="SSH57" s="12"/>
      <c r="SSI57" s="12"/>
      <c r="SSJ57" s="12"/>
      <c r="SSK57" s="12"/>
      <c r="SSL57" s="12"/>
      <c r="SSM57" s="12"/>
      <c r="SSN57" s="12"/>
      <c r="SSO57" s="12"/>
      <c r="SSP57" s="12"/>
      <c r="SSQ57" s="12"/>
      <c r="SSR57" s="12"/>
      <c r="SSS57" s="12"/>
      <c r="SST57" s="12"/>
      <c r="SSU57" s="12"/>
      <c r="SSV57" s="12"/>
      <c r="SSW57" s="12"/>
      <c r="SSX57" s="12"/>
      <c r="SSY57" s="12"/>
      <c r="SSZ57" s="12"/>
      <c r="STA57" s="12"/>
      <c r="STB57" s="12"/>
      <c r="STC57" s="12"/>
      <c r="STD57" s="12"/>
      <c r="STE57" s="12"/>
      <c r="STF57" s="12"/>
      <c r="STG57" s="12"/>
      <c r="STH57" s="12"/>
      <c r="STI57" s="12"/>
      <c r="STJ57" s="12"/>
      <c r="STK57" s="12"/>
      <c r="STL57" s="12"/>
      <c r="STM57" s="12"/>
      <c r="STN57" s="12"/>
      <c r="STO57" s="12"/>
      <c r="STP57" s="12"/>
      <c r="STQ57" s="12"/>
      <c r="STR57" s="12"/>
      <c r="STS57" s="12"/>
      <c r="STT57" s="12"/>
      <c r="STU57" s="12"/>
      <c r="STV57" s="12"/>
      <c r="STW57" s="12"/>
      <c r="STX57" s="12"/>
      <c r="STY57" s="12"/>
      <c r="STZ57" s="12"/>
      <c r="SUA57" s="12"/>
      <c r="SUB57" s="12"/>
      <c r="SUC57" s="12"/>
      <c r="SUD57" s="12"/>
      <c r="SUE57" s="12"/>
      <c r="SUF57" s="12"/>
      <c r="SUG57" s="12"/>
      <c r="SUH57" s="12"/>
      <c r="SUI57" s="12"/>
      <c r="SUJ57" s="12"/>
      <c r="SUK57" s="12"/>
      <c r="SUL57" s="12"/>
      <c r="SUM57" s="12"/>
      <c r="SUN57" s="12"/>
      <c r="SUO57" s="12"/>
      <c r="SUP57" s="12"/>
      <c r="SUQ57" s="12"/>
      <c r="SUR57" s="12"/>
      <c r="SUS57" s="12"/>
      <c r="SUT57" s="12"/>
      <c r="SUU57" s="12"/>
      <c r="SUV57" s="12"/>
      <c r="SUW57" s="12"/>
      <c r="SUX57" s="12"/>
      <c r="SUY57" s="12"/>
      <c r="SUZ57" s="12"/>
      <c r="SVA57" s="12"/>
      <c r="SVB57" s="12"/>
      <c r="SVC57" s="12"/>
      <c r="SVD57" s="12"/>
      <c r="SVE57" s="12"/>
      <c r="SVF57" s="12"/>
      <c r="SVG57" s="12"/>
      <c r="SVH57" s="12"/>
      <c r="SVI57" s="12"/>
      <c r="SVJ57" s="12"/>
      <c r="SVK57" s="12"/>
      <c r="SVL57" s="12"/>
      <c r="SVM57" s="12"/>
      <c r="SVN57" s="12"/>
      <c r="SVO57" s="12"/>
      <c r="SVP57" s="12"/>
      <c r="SVQ57" s="12"/>
      <c r="SVR57" s="12"/>
      <c r="SVS57" s="12"/>
      <c r="SVT57" s="12"/>
      <c r="SVU57" s="12"/>
      <c r="SVV57" s="12"/>
      <c r="SVW57" s="12"/>
      <c r="SVX57" s="12"/>
      <c r="SVY57" s="12"/>
      <c r="SVZ57" s="12"/>
      <c r="SWA57" s="12"/>
      <c r="SWB57" s="12"/>
      <c r="SWC57" s="12"/>
      <c r="SWD57" s="12"/>
      <c r="SWE57" s="12"/>
      <c r="SWF57" s="12"/>
      <c r="SWG57" s="12"/>
      <c r="SWH57" s="12"/>
      <c r="SWI57" s="12"/>
      <c r="SWJ57" s="12"/>
      <c r="SWK57" s="12"/>
      <c r="SWL57" s="12"/>
      <c r="SWM57" s="12"/>
      <c r="SWN57" s="12"/>
      <c r="SWO57" s="12"/>
      <c r="SWP57" s="12"/>
      <c r="SWQ57" s="12"/>
      <c r="SWR57" s="12"/>
      <c r="SWS57" s="12"/>
      <c r="SWT57" s="12"/>
      <c r="SWU57" s="12"/>
      <c r="SWV57" s="12"/>
      <c r="SWW57" s="12"/>
      <c r="SWX57" s="12"/>
      <c r="SWY57" s="12"/>
      <c r="SWZ57" s="12"/>
      <c r="SXA57" s="12"/>
      <c r="SXB57" s="12"/>
      <c r="SXC57" s="12"/>
      <c r="SXD57" s="12"/>
      <c r="SXE57" s="12"/>
      <c r="SXF57" s="12"/>
      <c r="SXG57" s="12"/>
      <c r="SXH57" s="12"/>
      <c r="SXI57" s="12"/>
      <c r="SXJ57" s="12"/>
      <c r="SXK57" s="12"/>
      <c r="SXL57" s="12"/>
      <c r="SXM57" s="12"/>
      <c r="SXN57" s="12"/>
      <c r="SXO57" s="12"/>
      <c r="SXP57" s="12"/>
      <c r="SXQ57" s="12"/>
      <c r="SXR57" s="12"/>
      <c r="SXS57" s="12"/>
      <c r="SXT57" s="12"/>
      <c r="SXU57" s="12"/>
      <c r="SXV57" s="12"/>
      <c r="SXW57" s="12"/>
      <c r="SXX57" s="12"/>
      <c r="SXY57" s="12"/>
      <c r="SXZ57" s="12"/>
      <c r="SYA57" s="12"/>
      <c r="SYB57" s="12"/>
      <c r="SYC57" s="12"/>
      <c r="SYD57" s="12"/>
      <c r="SYE57" s="12"/>
      <c r="SYF57" s="12"/>
      <c r="SYG57" s="12"/>
      <c r="SYH57" s="12"/>
      <c r="SYI57" s="12"/>
      <c r="SYJ57" s="12"/>
      <c r="SYK57" s="12"/>
      <c r="SYL57" s="12"/>
      <c r="SYM57" s="12"/>
      <c r="SYN57" s="12"/>
      <c r="SYO57" s="12"/>
      <c r="SYP57" s="12"/>
      <c r="SYQ57" s="12"/>
      <c r="SYR57" s="12"/>
      <c r="SYS57" s="12"/>
      <c r="SYT57" s="12"/>
      <c r="SYU57" s="12"/>
      <c r="SYV57" s="12"/>
      <c r="SYW57" s="12"/>
      <c r="SYX57" s="12"/>
      <c r="SYY57" s="12"/>
      <c r="SYZ57" s="12"/>
      <c r="SZA57" s="12"/>
      <c r="SZB57" s="12"/>
      <c r="SZC57" s="12"/>
      <c r="SZD57" s="12"/>
      <c r="SZE57" s="12"/>
      <c r="SZF57" s="12"/>
      <c r="SZG57" s="12"/>
      <c r="SZH57" s="12"/>
      <c r="SZI57" s="12"/>
      <c r="SZJ57" s="12"/>
      <c r="SZK57" s="12"/>
      <c r="SZL57" s="12"/>
      <c r="SZM57" s="12"/>
      <c r="SZN57" s="12"/>
      <c r="SZO57" s="12"/>
      <c r="SZP57" s="12"/>
      <c r="SZQ57" s="12"/>
      <c r="SZR57" s="12"/>
      <c r="SZS57" s="12"/>
      <c r="SZT57" s="12"/>
      <c r="SZU57" s="12"/>
      <c r="SZV57" s="12"/>
      <c r="SZW57" s="12"/>
      <c r="SZX57" s="12"/>
      <c r="SZY57" s="12"/>
      <c r="SZZ57" s="12"/>
      <c r="TAA57" s="12"/>
      <c r="TAB57" s="12"/>
      <c r="TAC57" s="12"/>
      <c r="TAD57" s="12"/>
      <c r="TAE57" s="12"/>
      <c r="TAF57" s="12"/>
      <c r="TAG57" s="12"/>
      <c r="TAH57" s="12"/>
      <c r="TAI57" s="12"/>
      <c r="TAJ57" s="12"/>
      <c r="TAK57" s="12"/>
      <c r="TAL57" s="12"/>
      <c r="TAM57" s="12"/>
      <c r="TAN57" s="12"/>
      <c r="TAO57" s="12"/>
      <c r="TAP57" s="12"/>
      <c r="TAQ57" s="12"/>
      <c r="TAR57" s="12"/>
      <c r="TAS57" s="12"/>
      <c r="TAT57" s="12"/>
      <c r="TAU57" s="12"/>
      <c r="TAV57" s="12"/>
      <c r="TAW57" s="12"/>
      <c r="TAX57" s="12"/>
      <c r="TAY57" s="12"/>
      <c r="TAZ57" s="12"/>
      <c r="TBA57" s="12"/>
      <c r="TBB57" s="12"/>
      <c r="TBC57" s="12"/>
      <c r="TBD57" s="12"/>
      <c r="TBE57" s="12"/>
      <c r="TBF57" s="12"/>
      <c r="TBG57" s="12"/>
      <c r="TBH57" s="12"/>
      <c r="TBI57" s="12"/>
      <c r="TBJ57" s="12"/>
      <c r="TBK57" s="12"/>
      <c r="TBL57" s="12"/>
      <c r="TBM57" s="12"/>
      <c r="TBN57" s="12"/>
      <c r="TBO57" s="12"/>
      <c r="TBP57" s="12"/>
      <c r="TBQ57" s="12"/>
      <c r="TBR57" s="12"/>
      <c r="TBS57" s="12"/>
      <c r="TBT57" s="12"/>
      <c r="TBU57" s="12"/>
      <c r="TBV57" s="12"/>
      <c r="TBW57" s="12"/>
      <c r="TBX57" s="12"/>
      <c r="TBY57" s="12"/>
      <c r="TBZ57" s="12"/>
      <c r="TCA57" s="12"/>
      <c r="TCB57" s="12"/>
      <c r="TCC57" s="12"/>
      <c r="TCD57" s="12"/>
      <c r="TCE57" s="12"/>
      <c r="TCF57" s="12"/>
      <c r="TCG57" s="12"/>
      <c r="TCH57" s="12"/>
      <c r="TCI57" s="12"/>
      <c r="TCJ57" s="12"/>
      <c r="TCK57" s="12"/>
      <c r="TCL57" s="12"/>
      <c r="TCM57" s="12"/>
      <c r="TCN57" s="12"/>
      <c r="TCO57" s="12"/>
      <c r="TCP57" s="12"/>
      <c r="TCQ57" s="12"/>
      <c r="TCR57" s="12"/>
      <c r="TCS57" s="12"/>
      <c r="TCT57" s="12"/>
      <c r="TCU57" s="12"/>
      <c r="TCV57" s="12"/>
      <c r="TCW57" s="12"/>
      <c r="TCX57" s="12"/>
      <c r="TCY57" s="12"/>
      <c r="TCZ57" s="12"/>
      <c r="TDA57" s="12"/>
      <c r="TDB57" s="12"/>
      <c r="TDC57" s="12"/>
      <c r="TDD57" s="12"/>
      <c r="TDE57" s="12"/>
      <c r="TDF57" s="12"/>
      <c r="TDG57" s="12"/>
      <c r="TDH57" s="12"/>
      <c r="TDI57" s="12"/>
      <c r="TDJ57" s="12"/>
      <c r="TDK57" s="12"/>
      <c r="TDL57" s="12"/>
      <c r="TDM57" s="12"/>
      <c r="TDN57" s="12"/>
      <c r="TDO57" s="12"/>
      <c r="TDP57" s="12"/>
      <c r="TDQ57" s="12"/>
      <c r="TDR57" s="12"/>
      <c r="TDS57" s="12"/>
      <c r="TDT57" s="12"/>
      <c r="TDU57" s="12"/>
      <c r="TDV57" s="12"/>
      <c r="TDW57" s="12"/>
      <c r="TDX57" s="12"/>
      <c r="TDY57" s="12"/>
      <c r="TDZ57" s="12"/>
      <c r="TEA57" s="12"/>
      <c r="TEB57" s="12"/>
      <c r="TEC57" s="12"/>
      <c r="TED57" s="12"/>
      <c r="TEE57" s="12"/>
      <c r="TEF57" s="12"/>
      <c r="TEG57" s="12"/>
      <c r="TEH57" s="12"/>
      <c r="TEI57" s="12"/>
      <c r="TEJ57" s="12"/>
      <c r="TEK57" s="12"/>
      <c r="TEL57" s="12"/>
      <c r="TEM57" s="12"/>
      <c r="TEN57" s="12"/>
      <c r="TEO57" s="12"/>
      <c r="TEP57" s="12"/>
      <c r="TEQ57" s="12"/>
      <c r="TER57" s="12"/>
      <c r="TES57" s="12"/>
      <c r="TET57" s="12"/>
      <c r="TEU57" s="12"/>
      <c r="TEV57" s="12"/>
      <c r="TEW57" s="12"/>
      <c r="TEX57" s="12"/>
      <c r="TEY57" s="12"/>
      <c r="TEZ57" s="12"/>
      <c r="TFA57" s="12"/>
      <c r="TFB57" s="12"/>
      <c r="TFC57" s="12"/>
      <c r="TFD57" s="12"/>
      <c r="TFE57" s="12"/>
      <c r="TFF57" s="12"/>
      <c r="TFG57" s="12"/>
      <c r="TFH57" s="12"/>
      <c r="TFI57" s="12"/>
      <c r="TFJ57" s="12"/>
      <c r="TFK57" s="12"/>
      <c r="TFL57" s="12"/>
      <c r="TFM57" s="12"/>
      <c r="TFN57" s="12"/>
      <c r="TFO57" s="12"/>
      <c r="TFP57" s="12"/>
      <c r="TFQ57" s="12"/>
      <c r="TFR57" s="12"/>
      <c r="TFS57" s="12"/>
      <c r="TFT57" s="12"/>
      <c r="TFU57" s="12"/>
      <c r="TFV57" s="12"/>
      <c r="TFW57" s="12"/>
      <c r="TFX57" s="12"/>
      <c r="TFY57" s="12"/>
      <c r="TFZ57" s="12"/>
      <c r="TGA57" s="12"/>
      <c r="TGB57" s="12"/>
      <c r="TGC57" s="12"/>
      <c r="TGD57" s="12"/>
      <c r="TGE57" s="12"/>
      <c r="TGF57" s="12"/>
      <c r="TGG57" s="12"/>
      <c r="TGH57" s="12"/>
      <c r="TGI57" s="12"/>
      <c r="TGJ57" s="12"/>
      <c r="TGK57" s="12"/>
      <c r="TGL57" s="12"/>
      <c r="TGM57" s="12"/>
      <c r="TGN57" s="12"/>
      <c r="TGO57" s="12"/>
      <c r="TGP57" s="12"/>
      <c r="TGQ57" s="12"/>
      <c r="TGR57" s="12"/>
      <c r="TGS57" s="12"/>
      <c r="TGT57" s="12"/>
      <c r="TGU57" s="12"/>
      <c r="TGV57" s="12"/>
      <c r="TGW57" s="12"/>
      <c r="TGX57" s="12"/>
      <c r="TGY57" s="12"/>
      <c r="TGZ57" s="12"/>
      <c r="THA57" s="12"/>
      <c r="THB57" s="12"/>
      <c r="THC57" s="12"/>
      <c r="THD57" s="12"/>
      <c r="THE57" s="12"/>
      <c r="THF57" s="12"/>
      <c r="THG57" s="12"/>
      <c r="THH57" s="12"/>
      <c r="THI57" s="12"/>
      <c r="THJ57" s="12"/>
      <c r="THK57" s="12"/>
      <c r="THL57" s="12"/>
      <c r="THM57" s="12"/>
      <c r="THN57" s="12"/>
      <c r="THO57" s="12"/>
      <c r="THP57" s="12"/>
      <c r="THQ57" s="12"/>
      <c r="THR57" s="12"/>
      <c r="THS57" s="12"/>
      <c r="THT57" s="12"/>
      <c r="THU57" s="12"/>
      <c r="THV57" s="12"/>
      <c r="THW57" s="12"/>
      <c r="THX57" s="12"/>
      <c r="THY57" s="12"/>
      <c r="THZ57" s="12"/>
      <c r="TIA57" s="12"/>
      <c r="TIB57" s="12"/>
      <c r="TIC57" s="12"/>
      <c r="TID57" s="12"/>
      <c r="TIE57" s="12"/>
      <c r="TIF57" s="12"/>
      <c r="TIG57" s="12"/>
      <c r="TIH57" s="12"/>
      <c r="TII57" s="12"/>
      <c r="TIJ57" s="12"/>
      <c r="TIK57" s="12"/>
      <c r="TIL57" s="12"/>
      <c r="TIM57" s="12"/>
      <c r="TIN57" s="12"/>
      <c r="TIO57" s="12"/>
      <c r="TIP57" s="12"/>
      <c r="TIQ57" s="12"/>
      <c r="TIR57" s="12"/>
      <c r="TIS57" s="12"/>
      <c r="TIT57" s="12"/>
      <c r="TIU57" s="12"/>
      <c r="TIV57" s="12"/>
      <c r="TIW57" s="12"/>
      <c r="TIX57" s="12"/>
      <c r="TIY57" s="12"/>
      <c r="TIZ57" s="12"/>
      <c r="TJA57" s="12"/>
      <c r="TJB57" s="12"/>
      <c r="TJC57" s="12"/>
      <c r="TJD57" s="12"/>
      <c r="TJE57" s="12"/>
      <c r="TJF57" s="12"/>
      <c r="TJG57" s="12"/>
      <c r="TJH57" s="12"/>
      <c r="TJI57" s="12"/>
      <c r="TJJ57" s="12"/>
      <c r="TJK57" s="12"/>
      <c r="TJL57" s="12"/>
      <c r="TJM57" s="12"/>
      <c r="TJN57" s="12"/>
      <c r="TJO57" s="12"/>
      <c r="TJP57" s="12"/>
      <c r="TJQ57" s="12"/>
      <c r="TJR57" s="12"/>
      <c r="TJS57" s="12"/>
      <c r="TJT57" s="12"/>
      <c r="TJU57" s="12"/>
      <c r="TJV57" s="12"/>
      <c r="TJW57" s="12"/>
      <c r="TJX57" s="12"/>
      <c r="TJY57" s="12"/>
      <c r="TJZ57" s="12"/>
      <c r="TKA57" s="12"/>
      <c r="TKB57" s="12"/>
      <c r="TKC57" s="12"/>
      <c r="TKD57" s="12"/>
      <c r="TKE57" s="12"/>
      <c r="TKF57" s="12"/>
      <c r="TKG57" s="12"/>
      <c r="TKH57" s="12"/>
      <c r="TKI57" s="12"/>
      <c r="TKJ57" s="12"/>
      <c r="TKK57" s="12"/>
      <c r="TKL57" s="12"/>
      <c r="TKM57" s="12"/>
      <c r="TKN57" s="12"/>
      <c r="TKO57" s="12"/>
      <c r="TKP57" s="12"/>
      <c r="TKQ57" s="12"/>
      <c r="TKR57" s="12"/>
      <c r="TKS57" s="12"/>
      <c r="TKT57" s="12"/>
      <c r="TKU57" s="12"/>
      <c r="TKV57" s="12"/>
      <c r="TKW57" s="12"/>
      <c r="TKX57" s="12"/>
      <c r="TKY57" s="12"/>
      <c r="TKZ57" s="12"/>
      <c r="TLA57" s="12"/>
      <c r="TLB57" s="12"/>
      <c r="TLC57" s="12"/>
      <c r="TLD57" s="12"/>
      <c r="TLE57" s="12"/>
      <c r="TLF57" s="12"/>
      <c r="TLG57" s="12"/>
      <c r="TLH57" s="12"/>
      <c r="TLI57" s="12"/>
      <c r="TLJ57" s="12"/>
      <c r="TLK57" s="12"/>
      <c r="TLL57" s="12"/>
      <c r="TLM57" s="12"/>
      <c r="TLN57" s="12"/>
      <c r="TLO57" s="12"/>
      <c r="TLP57" s="12"/>
      <c r="TLQ57" s="12"/>
      <c r="TLR57" s="12"/>
      <c r="TLS57" s="12"/>
      <c r="TLT57" s="12"/>
      <c r="TLU57" s="12"/>
      <c r="TLV57" s="12"/>
      <c r="TLW57" s="12"/>
      <c r="TLX57" s="12"/>
      <c r="TLY57" s="12"/>
      <c r="TLZ57" s="12"/>
      <c r="TMA57" s="12"/>
      <c r="TMB57" s="12"/>
      <c r="TMC57" s="12"/>
      <c r="TMD57" s="12"/>
      <c r="TME57" s="12"/>
      <c r="TMF57" s="12"/>
      <c r="TMG57" s="12"/>
      <c r="TMH57" s="12"/>
      <c r="TMI57" s="12"/>
      <c r="TMJ57" s="12"/>
      <c r="TMK57" s="12"/>
      <c r="TML57" s="12"/>
      <c r="TMM57" s="12"/>
      <c r="TMN57" s="12"/>
      <c r="TMO57" s="12"/>
      <c r="TMP57" s="12"/>
      <c r="TMQ57" s="12"/>
      <c r="TMR57" s="12"/>
      <c r="TMS57" s="12"/>
      <c r="TMT57" s="12"/>
      <c r="TMU57" s="12"/>
      <c r="TMV57" s="12"/>
      <c r="TMW57" s="12"/>
      <c r="TMX57" s="12"/>
      <c r="TMY57" s="12"/>
      <c r="TMZ57" s="12"/>
      <c r="TNA57" s="12"/>
      <c r="TNB57" s="12"/>
      <c r="TNC57" s="12"/>
      <c r="TND57" s="12"/>
      <c r="TNE57" s="12"/>
      <c r="TNF57" s="12"/>
      <c r="TNG57" s="12"/>
      <c r="TNH57" s="12"/>
      <c r="TNI57" s="12"/>
      <c r="TNJ57" s="12"/>
      <c r="TNK57" s="12"/>
      <c r="TNL57" s="12"/>
      <c r="TNM57" s="12"/>
      <c r="TNN57" s="12"/>
      <c r="TNO57" s="12"/>
      <c r="TNP57" s="12"/>
      <c r="TNQ57" s="12"/>
      <c r="TNR57" s="12"/>
      <c r="TNS57" s="12"/>
      <c r="TNT57" s="12"/>
      <c r="TNU57" s="12"/>
      <c r="TNV57" s="12"/>
      <c r="TNW57" s="12"/>
      <c r="TNX57" s="12"/>
      <c r="TNY57" s="12"/>
      <c r="TNZ57" s="12"/>
      <c r="TOA57" s="12"/>
      <c r="TOB57" s="12"/>
      <c r="TOC57" s="12"/>
      <c r="TOD57" s="12"/>
      <c r="TOE57" s="12"/>
      <c r="TOF57" s="12"/>
      <c r="TOG57" s="12"/>
      <c r="TOH57" s="12"/>
      <c r="TOI57" s="12"/>
      <c r="TOJ57" s="12"/>
      <c r="TOK57" s="12"/>
      <c r="TOL57" s="12"/>
      <c r="TOM57" s="12"/>
      <c r="TON57" s="12"/>
      <c r="TOO57" s="12"/>
      <c r="TOP57" s="12"/>
      <c r="TOQ57" s="12"/>
      <c r="TOR57" s="12"/>
      <c r="TOS57" s="12"/>
      <c r="TOT57" s="12"/>
      <c r="TOU57" s="12"/>
      <c r="TOV57" s="12"/>
      <c r="TOW57" s="12"/>
      <c r="TOX57" s="12"/>
      <c r="TOY57" s="12"/>
      <c r="TOZ57" s="12"/>
      <c r="TPA57" s="12"/>
      <c r="TPB57" s="12"/>
      <c r="TPC57" s="12"/>
      <c r="TPD57" s="12"/>
      <c r="TPE57" s="12"/>
      <c r="TPF57" s="12"/>
      <c r="TPG57" s="12"/>
      <c r="TPH57" s="12"/>
      <c r="TPI57" s="12"/>
      <c r="TPJ57" s="12"/>
      <c r="TPK57" s="12"/>
      <c r="TPL57" s="12"/>
      <c r="TPM57" s="12"/>
      <c r="TPN57" s="12"/>
      <c r="TPO57" s="12"/>
      <c r="TPP57" s="12"/>
      <c r="TPQ57" s="12"/>
      <c r="TPR57" s="12"/>
      <c r="TPS57" s="12"/>
      <c r="TPT57" s="12"/>
      <c r="TPU57" s="12"/>
      <c r="TPV57" s="12"/>
      <c r="TPW57" s="12"/>
      <c r="TPX57" s="12"/>
      <c r="TPY57" s="12"/>
      <c r="TPZ57" s="12"/>
      <c r="TQA57" s="12"/>
      <c r="TQB57" s="12"/>
      <c r="TQC57" s="12"/>
      <c r="TQD57" s="12"/>
      <c r="TQE57" s="12"/>
      <c r="TQF57" s="12"/>
      <c r="TQG57" s="12"/>
      <c r="TQH57" s="12"/>
      <c r="TQI57" s="12"/>
      <c r="TQJ57" s="12"/>
      <c r="TQK57" s="12"/>
      <c r="TQL57" s="12"/>
      <c r="TQM57" s="12"/>
      <c r="TQN57" s="12"/>
      <c r="TQO57" s="12"/>
      <c r="TQP57" s="12"/>
      <c r="TQQ57" s="12"/>
      <c r="TQR57" s="12"/>
      <c r="TQS57" s="12"/>
      <c r="TQT57" s="12"/>
      <c r="TQU57" s="12"/>
      <c r="TQV57" s="12"/>
      <c r="TQW57" s="12"/>
      <c r="TQX57" s="12"/>
      <c r="TQY57" s="12"/>
      <c r="TQZ57" s="12"/>
      <c r="TRA57" s="12"/>
      <c r="TRB57" s="12"/>
      <c r="TRC57" s="12"/>
      <c r="TRD57" s="12"/>
      <c r="TRE57" s="12"/>
      <c r="TRF57" s="12"/>
      <c r="TRG57" s="12"/>
      <c r="TRH57" s="12"/>
      <c r="TRI57" s="12"/>
      <c r="TRJ57" s="12"/>
      <c r="TRK57" s="12"/>
      <c r="TRL57" s="12"/>
      <c r="TRM57" s="12"/>
      <c r="TRN57" s="12"/>
      <c r="TRO57" s="12"/>
      <c r="TRP57" s="12"/>
      <c r="TRQ57" s="12"/>
      <c r="TRR57" s="12"/>
      <c r="TRS57" s="12"/>
      <c r="TRT57" s="12"/>
      <c r="TRU57" s="12"/>
      <c r="TRV57" s="12"/>
      <c r="TRW57" s="12"/>
      <c r="TRX57" s="12"/>
      <c r="TRY57" s="12"/>
      <c r="TRZ57" s="12"/>
      <c r="TSA57" s="12"/>
      <c r="TSB57" s="12"/>
      <c r="TSC57" s="12"/>
      <c r="TSD57" s="12"/>
      <c r="TSE57" s="12"/>
      <c r="TSF57" s="12"/>
      <c r="TSG57" s="12"/>
      <c r="TSH57" s="12"/>
      <c r="TSI57" s="12"/>
      <c r="TSJ57" s="12"/>
      <c r="TSK57" s="12"/>
      <c r="TSL57" s="12"/>
      <c r="TSM57" s="12"/>
      <c r="TSN57" s="12"/>
      <c r="TSO57" s="12"/>
      <c r="TSP57" s="12"/>
      <c r="TSQ57" s="12"/>
      <c r="TSR57" s="12"/>
      <c r="TSS57" s="12"/>
      <c r="TST57" s="12"/>
      <c r="TSU57" s="12"/>
      <c r="TSV57" s="12"/>
      <c r="TSW57" s="12"/>
      <c r="TSX57" s="12"/>
      <c r="TSY57" s="12"/>
      <c r="TSZ57" s="12"/>
      <c r="TTA57" s="12"/>
      <c r="TTB57" s="12"/>
      <c r="TTC57" s="12"/>
      <c r="TTD57" s="12"/>
      <c r="TTE57" s="12"/>
      <c r="TTF57" s="12"/>
      <c r="TTG57" s="12"/>
      <c r="TTH57" s="12"/>
      <c r="TTI57" s="12"/>
      <c r="TTJ57" s="12"/>
      <c r="TTK57" s="12"/>
      <c r="TTL57" s="12"/>
      <c r="TTM57" s="12"/>
      <c r="TTN57" s="12"/>
      <c r="TTO57" s="12"/>
      <c r="TTP57" s="12"/>
      <c r="TTQ57" s="12"/>
      <c r="TTR57" s="12"/>
      <c r="TTS57" s="12"/>
      <c r="TTT57" s="12"/>
      <c r="TTU57" s="12"/>
      <c r="TTV57" s="12"/>
      <c r="TTW57" s="12"/>
      <c r="TTX57" s="12"/>
      <c r="TTY57" s="12"/>
      <c r="TTZ57" s="12"/>
      <c r="TUA57" s="12"/>
      <c r="TUB57" s="12"/>
      <c r="TUC57" s="12"/>
      <c r="TUD57" s="12"/>
      <c r="TUE57" s="12"/>
      <c r="TUF57" s="12"/>
      <c r="TUG57" s="12"/>
      <c r="TUH57" s="12"/>
      <c r="TUI57" s="12"/>
      <c r="TUJ57" s="12"/>
      <c r="TUK57" s="12"/>
      <c r="TUL57" s="12"/>
      <c r="TUM57" s="12"/>
      <c r="TUN57" s="12"/>
      <c r="TUO57" s="12"/>
      <c r="TUP57" s="12"/>
      <c r="TUQ57" s="12"/>
      <c r="TUR57" s="12"/>
      <c r="TUS57" s="12"/>
      <c r="TUT57" s="12"/>
      <c r="TUU57" s="12"/>
      <c r="TUV57" s="12"/>
      <c r="TUW57" s="12"/>
      <c r="TUX57" s="12"/>
      <c r="TUY57" s="12"/>
      <c r="TUZ57" s="12"/>
      <c r="TVA57" s="12"/>
      <c r="TVB57" s="12"/>
      <c r="TVC57" s="12"/>
      <c r="TVD57" s="12"/>
      <c r="TVE57" s="12"/>
      <c r="TVF57" s="12"/>
      <c r="TVG57" s="12"/>
      <c r="TVH57" s="12"/>
      <c r="TVI57" s="12"/>
      <c r="TVJ57" s="12"/>
      <c r="TVK57" s="12"/>
      <c r="TVL57" s="12"/>
      <c r="TVM57" s="12"/>
      <c r="TVN57" s="12"/>
      <c r="TVO57" s="12"/>
      <c r="TVP57" s="12"/>
      <c r="TVQ57" s="12"/>
      <c r="TVR57" s="12"/>
      <c r="TVS57" s="12"/>
      <c r="TVT57" s="12"/>
      <c r="TVU57" s="12"/>
      <c r="TVV57" s="12"/>
      <c r="TVW57" s="12"/>
      <c r="TVX57" s="12"/>
      <c r="TVY57" s="12"/>
      <c r="TVZ57" s="12"/>
      <c r="TWA57" s="12"/>
      <c r="TWB57" s="12"/>
      <c r="TWC57" s="12"/>
      <c r="TWD57" s="12"/>
      <c r="TWE57" s="12"/>
      <c r="TWF57" s="12"/>
      <c r="TWG57" s="12"/>
      <c r="TWH57" s="12"/>
      <c r="TWI57" s="12"/>
      <c r="TWJ57" s="12"/>
      <c r="TWK57" s="12"/>
      <c r="TWL57" s="12"/>
      <c r="TWM57" s="12"/>
      <c r="TWN57" s="12"/>
      <c r="TWO57" s="12"/>
      <c r="TWP57" s="12"/>
      <c r="TWQ57" s="12"/>
      <c r="TWR57" s="12"/>
      <c r="TWS57" s="12"/>
      <c r="TWT57" s="12"/>
      <c r="TWU57" s="12"/>
      <c r="TWV57" s="12"/>
      <c r="TWW57" s="12"/>
      <c r="TWX57" s="12"/>
      <c r="TWY57" s="12"/>
      <c r="TWZ57" s="12"/>
      <c r="TXA57" s="12"/>
      <c r="TXB57" s="12"/>
      <c r="TXC57" s="12"/>
      <c r="TXD57" s="12"/>
      <c r="TXE57" s="12"/>
      <c r="TXF57" s="12"/>
      <c r="TXG57" s="12"/>
      <c r="TXH57" s="12"/>
      <c r="TXI57" s="12"/>
      <c r="TXJ57" s="12"/>
      <c r="TXK57" s="12"/>
      <c r="TXL57" s="12"/>
      <c r="TXM57" s="12"/>
      <c r="TXN57" s="12"/>
      <c r="TXO57" s="12"/>
      <c r="TXP57" s="12"/>
      <c r="TXQ57" s="12"/>
      <c r="TXR57" s="12"/>
      <c r="TXS57" s="12"/>
      <c r="TXT57" s="12"/>
      <c r="TXU57" s="12"/>
      <c r="TXV57" s="12"/>
      <c r="TXW57" s="12"/>
      <c r="TXX57" s="12"/>
      <c r="TXY57" s="12"/>
      <c r="TXZ57" s="12"/>
      <c r="TYA57" s="12"/>
      <c r="TYB57" s="12"/>
      <c r="TYC57" s="12"/>
      <c r="TYD57" s="12"/>
      <c r="TYE57" s="12"/>
      <c r="TYF57" s="12"/>
      <c r="TYG57" s="12"/>
      <c r="TYH57" s="12"/>
      <c r="TYI57" s="12"/>
      <c r="TYJ57" s="12"/>
      <c r="TYK57" s="12"/>
      <c r="TYL57" s="12"/>
      <c r="TYM57" s="12"/>
      <c r="TYN57" s="12"/>
      <c r="TYO57" s="12"/>
      <c r="TYP57" s="12"/>
      <c r="TYQ57" s="12"/>
      <c r="TYR57" s="12"/>
      <c r="TYS57" s="12"/>
      <c r="TYT57" s="12"/>
      <c r="TYU57" s="12"/>
      <c r="TYV57" s="12"/>
      <c r="TYW57" s="12"/>
      <c r="TYX57" s="12"/>
      <c r="TYY57" s="12"/>
      <c r="TYZ57" s="12"/>
      <c r="TZA57" s="12"/>
      <c r="TZB57" s="12"/>
      <c r="TZC57" s="12"/>
      <c r="TZD57" s="12"/>
      <c r="TZE57" s="12"/>
      <c r="TZF57" s="12"/>
      <c r="TZG57" s="12"/>
      <c r="TZH57" s="12"/>
      <c r="TZI57" s="12"/>
      <c r="TZJ57" s="12"/>
      <c r="TZK57" s="12"/>
      <c r="TZL57" s="12"/>
      <c r="TZM57" s="12"/>
      <c r="TZN57" s="12"/>
      <c r="TZO57" s="12"/>
      <c r="TZP57" s="12"/>
      <c r="TZQ57" s="12"/>
      <c r="TZR57" s="12"/>
      <c r="TZS57" s="12"/>
      <c r="TZT57" s="12"/>
      <c r="TZU57" s="12"/>
      <c r="TZV57" s="12"/>
      <c r="TZW57" s="12"/>
      <c r="TZX57" s="12"/>
      <c r="TZY57" s="12"/>
      <c r="TZZ57" s="12"/>
      <c r="UAA57" s="12"/>
      <c r="UAB57" s="12"/>
      <c r="UAC57" s="12"/>
      <c r="UAD57" s="12"/>
      <c r="UAE57" s="12"/>
      <c r="UAF57" s="12"/>
      <c r="UAG57" s="12"/>
      <c r="UAH57" s="12"/>
      <c r="UAI57" s="12"/>
      <c r="UAJ57" s="12"/>
      <c r="UAK57" s="12"/>
      <c r="UAL57" s="12"/>
      <c r="UAM57" s="12"/>
      <c r="UAN57" s="12"/>
      <c r="UAO57" s="12"/>
      <c r="UAP57" s="12"/>
      <c r="UAQ57" s="12"/>
      <c r="UAR57" s="12"/>
      <c r="UAS57" s="12"/>
      <c r="UAT57" s="12"/>
      <c r="UAU57" s="12"/>
      <c r="UAV57" s="12"/>
      <c r="UAW57" s="12"/>
      <c r="UAX57" s="12"/>
      <c r="UAY57" s="12"/>
      <c r="UAZ57" s="12"/>
      <c r="UBA57" s="12"/>
      <c r="UBB57" s="12"/>
      <c r="UBC57" s="12"/>
      <c r="UBD57" s="12"/>
      <c r="UBE57" s="12"/>
      <c r="UBF57" s="12"/>
      <c r="UBG57" s="12"/>
      <c r="UBH57" s="12"/>
      <c r="UBI57" s="12"/>
      <c r="UBJ57" s="12"/>
      <c r="UBK57" s="12"/>
      <c r="UBL57" s="12"/>
      <c r="UBM57" s="12"/>
      <c r="UBN57" s="12"/>
      <c r="UBO57" s="12"/>
      <c r="UBP57" s="12"/>
      <c r="UBQ57" s="12"/>
      <c r="UBR57" s="12"/>
      <c r="UBS57" s="12"/>
      <c r="UBT57" s="12"/>
      <c r="UBU57" s="12"/>
      <c r="UBV57" s="12"/>
      <c r="UBW57" s="12"/>
      <c r="UBX57" s="12"/>
      <c r="UBY57" s="12"/>
      <c r="UBZ57" s="12"/>
      <c r="UCA57" s="12"/>
      <c r="UCB57" s="12"/>
      <c r="UCC57" s="12"/>
      <c r="UCD57" s="12"/>
      <c r="UCE57" s="12"/>
      <c r="UCF57" s="12"/>
      <c r="UCG57" s="12"/>
      <c r="UCH57" s="12"/>
      <c r="UCI57" s="12"/>
      <c r="UCJ57" s="12"/>
      <c r="UCK57" s="12"/>
      <c r="UCL57" s="12"/>
      <c r="UCM57" s="12"/>
      <c r="UCN57" s="12"/>
      <c r="UCO57" s="12"/>
      <c r="UCP57" s="12"/>
      <c r="UCQ57" s="12"/>
      <c r="UCR57" s="12"/>
      <c r="UCS57" s="12"/>
      <c r="UCT57" s="12"/>
      <c r="UCU57" s="12"/>
      <c r="UCV57" s="12"/>
      <c r="UCW57" s="12"/>
      <c r="UCX57" s="12"/>
      <c r="UCY57" s="12"/>
      <c r="UCZ57" s="12"/>
      <c r="UDA57" s="12"/>
      <c r="UDB57" s="12"/>
      <c r="UDC57" s="12"/>
      <c r="UDD57" s="12"/>
      <c r="UDE57" s="12"/>
      <c r="UDF57" s="12"/>
      <c r="UDG57" s="12"/>
      <c r="UDH57" s="12"/>
      <c r="UDI57" s="12"/>
      <c r="UDJ57" s="12"/>
      <c r="UDK57" s="12"/>
      <c r="UDL57" s="12"/>
      <c r="UDM57" s="12"/>
      <c r="UDN57" s="12"/>
      <c r="UDO57" s="12"/>
      <c r="UDP57" s="12"/>
      <c r="UDQ57" s="12"/>
      <c r="UDR57" s="12"/>
      <c r="UDS57" s="12"/>
      <c r="UDT57" s="12"/>
      <c r="UDU57" s="12"/>
      <c r="UDV57" s="12"/>
      <c r="UDW57" s="12"/>
      <c r="UDX57" s="12"/>
      <c r="UDY57" s="12"/>
      <c r="UDZ57" s="12"/>
      <c r="UEA57" s="12"/>
      <c r="UEB57" s="12"/>
      <c r="UEC57" s="12"/>
      <c r="UED57" s="12"/>
      <c r="UEE57" s="12"/>
      <c r="UEF57" s="12"/>
      <c r="UEG57" s="12"/>
      <c r="UEH57" s="12"/>
      <c r="UEI57" s="12"/>
      <c r="UEJ57" s="12"/>
      <c r="UEK57" s="12"/>
      <c r="UEL57" s="12"/>
      <c r="UEM57" s="12"/>
      <c r="UEN57" s="12"/>
      <c r="UEO57" s="12"/>
      <c r="UEP57" s="12"/>
      <c r="UEQ57" s="12"/>
      <c r="UER57" s="12"/>
      <c r="UES57" s="12"/>
      <c r="UET57" s="12"/>
      <c r="UEU57" s="12"/>
      <c r="UEV57" s="12"/>
      <c r="UEW57" s="12"/>
      <c r="UEX57" s="12"/>
      <c r="UEY57" s="12"/>
      <c r="UEZ57" s="12"/>
      <c r="UFA57" s="12"/>
      <c r="UFB57" s="12"/>
      <c r="UFC57" s="12"/>
      <c r="UFD57" s="12"/>
      <c r="UFE57" s="12"/>
      <c r="UFF57" s="12"/>
      <c r="UFG57" s="12"/>
      <c r="UFH57" s="12"/>
      <c r="UFI57" s="12"/>
      <c r="UFJ57" s="12"/>
      <c r="UFK57" s="12"/>
      <c r="UFL57" s="12"/>
      <c r="UFM57" s="12"/>
      <c r="UFN57" s="12"/>
      <c r="UFO57" s="12"/>
      <c r="UFP57" s="12"/>
      <c r="UFQ57" s="12"/>
      <c r="UFR57" s="12"/>
      <c r="UFS57" s="12"/>
      <c r="UFT57" s="12"/>
      <c r="UFU57" s="12"/>
      <c r="UFV57" s="12"/>
      <c r="UFW57" s="12"/>
      <c r="UFX57" s="12"/>
      <c r="UFY57" s="12"/>
      <c r="UFZ57" s="12"/>
      <c r="UGA57" s="12"/>
      <c r="UGB57" s="12"/>
      <c r="UGC57" s="12"/>
      <c r="UGD57" s="12"/>
      <c r="UGE57" s="12"/>
      <c r="UGF57" s="12"/>
      <c r="UGG57" s="12"/>
      <c r="UGH57" s="12"/>
      <c r="UGI57" s="12"/>
      <c r="UGJ57" s="12"/>
      <c r="UGK57" s="12"/>
      <c r="UGL57" s="12"/>
      <c r="UGM57" s="12"/>
      <c r="UGN57" s="12"/>
      <c r="UGO57" s="12"/>
      <c r="UGP57" s="12"/>
      <c r="UGQ57" s="12"/>
      <c r="UGR57" s="12"/>
      <c r="UGS57" s="12"/>
      <c r="UGT57" s="12"/>
      <c r="UGU57" s="12"/>
      <c r="UGV57" s="12"/>
      <c r="UGW57" s="12"/>
      <c r="UGX57" s="12"/>
      <c r="UGY57" s="12"/>
      <c r="UGZ57" s="12"/>
      <c r="UHA57" s="12"/>
      <c r="UHB57" s="12"/>
      <c r="UHC57" s="12"/>
      <c r="UHD57" s="12"/>
      <c r="UHE57" s="12"/>
      <c r="UHF57" s="12"/>
      <c r="UHG57" s="12"/>
      <c r="UHH57" s="12"/>
      <c r="UHI57" s="12"/>
      <c r="UHJ57" s="12"/>
      <c r="UHK57" s="12"/>
      <c r="UHL57" s="12"/>
      <c r="UHM57" s="12"/>
      <c r="UHN57" s="12"/>
      <c r="UHO57" s="12"/>
      <c r="UHP57" s="12"/>
      <c r="UHQ57" s="12"/>
      <c r="UHR57" s="12"/>
      <c r="UHS57" s="12"/>
      <c r="UHT57" s="12"/>
      <c r="UHU57" s="12"/>
      <c r="UHV57" s="12"/>
      <c r="UHW57" s="12"/>
      <c r="UHX57" s="12"/>
      <c r="UHY57" s="12"/>
      <c r="UHZ57" s="12"/>
      <c r="UIA57" s="12"/>
      <c r="UIB57" s="12"/>
      <c r="UIC57" s="12"/>
      <c r="UID57" s="12"/>
      <c r="UIE57" s="12"/>
      <c r="UIF57" s="12"/>
      <c r="UIG57" s="12"/>
      <c r="UIH57" s="12"/>
      <c r="UII57" s="12"/>
      <c r="UIJ57" s="12"/>
      <c r="UIK57" s="12"/>
      <c r="UIL57" s="12"/>
      <c r="UIM57" s="12"/>
      <c r="UIN57" s="12"/>
      <c r="UIO57" s="12"/>
      <c r="UIP57" s="12"/>
      <c r="UIQ57" s="12"/>
      <c r="UIR57" s="12"/>
      <c r="UIS57" s="12"/>
      <c r="UIT57" s="12"/>
      <c r="UIU57" s="12"/>
      <c r="UIV57" s="12"/>
      <c r="UIW57" s="12"/>
      <c r="UIX57" s="12"/>
      <c r="UIY57" s="12"/>
      <c r="UIZ57" s="12"/>
      <c r="UJA57" s="12"/>
      <c r="UJB57" s="12"/>
      <c r="UJC57" s="12"/>
      <c r="UJD57" s="12"/>
      <c r="UJE57" s="12"/>
      <c r="UJF57" s="12"/>
      <c r="UJG57" s="12"/>
      <c r="UJH57" s="12"/>
      <c r="UJI57" s="12"/>
      <c r="UJJ57" s="12"/>
      <c r="UJK57" s="12"/>
      <c r="UJL57" s="12"/>
      <c r="UJM57" s="12"/>
      <c r="UJN57" s="12"/>
      <c r="UJO57" s="12"/>
      <c r="UJP57" s="12"/>
      <c r="UJQ57" s="12"/>
      <c r="UJR57" s="12"/>
      <c r="UJS57" s="12"/>
      <c r="UJT57" s="12"/>
      <c r="UJU57" s="12"/>
      <c r="UJV57" s="12"/>
      <c r="UJW57" s="12"/>
      <c r="UJX57" s="12"/>
      <c r="UJY57" s="12"/>
      <c r="UJZ57" s="12"/>
      <c r="UKA57" s="12"/>
      <c r="UKB57" s="12"/>
      <c r="UKC57" s="12"/>
      <c r="UKD57" s="12"/>
      <c r="UKE57" s="12"/>
      <c r="UKF57" s="12"/>
      <c r="UKG57" s="12"/>
      <c r="UKH57" s="12"/>
      <c r="UKI57" s="12"/>
      <c r="UKJ57" s="12"/>
      <c r="UKK57" s="12"/>
      <c r="UKL57" s="12"/>
      <c r="UKM57" s="12"/>
      <c r="UKN57" s="12"/>
      <c r="UKO57" s="12"/>
      <c r="UKP57" s="12"/>
      <c r="UKQ57" s="12"/>
      <c r="UKR57" s="12"/>
      <c r="UKS57" s="12"/>
      <c r="UKT57" s="12"/>
      <c r="UKU57" s="12"/>
      <c r="UKV57" s="12"/>
      <c r="UKW57" s="12"/>
      <c r="UKX57" s="12"/>
      <c r="UKY57" s="12"/>
      <c r="UKZ57" s="12"/>
      <c r="ULA57" s="12"/>
      <c r="ULB57" s="12"/>
      <c r="ULC57" s="12"/>
      <c r="ULD57" s="12"/>
      <c r="ULE57" s="12"/>
      <c r="ULF57" s="12"/>
      <c r="ULG57" s="12"/>
      <c r="ULH57" s="12"/>
      <c r="ULI57" s="12"/>
      <c r="ULJ57" s="12"/>
      <c r="ULK57" s="12"/>
      <c r="ULL57" s="12"/>
      <c r="ULM57" s="12"/>
      <c r="ULN57" s="12"/>
      <c r="ULO57" s="12"/>
      <c r="ULP57" s="12"/>
      <c r="ULQ57" s="12"/>
      <c r="ULR57" s="12"/>
      <c r="ULS57" s="12"/>
      <c r="ULT57" s="12"/>
      <c r="ULU57" s="12"/>
      <c r="ULV57" s="12"/>
      <c r="ULW57" s="12"/>
      <c r="ULX57" s="12"/>
      <c r="ULY57" s="12"/>
      <c r="ULZ57" s="12"/>
      <c r="UMA57" s="12"/>
      <c r="UMB57" s="12"/>
      <c r="UMC57" s="12"/>
      <c r="UMD57" s="12"/>
      <c r="UME57" s="12"/>
      <c r="UMF57" s="12"/>
      <c r="UMG57" s="12"/>
      <c r="UMH57" s="12"/>
      <c r="UMI57" s="12"/>
      <c r="UMJ57" s="12"/>
      <c r="UMK57" s="12"/>
      <c r="UML57" s="12"/>
      <c r="UMM57" s="12"/>
      <c r="UMN57" s="12"/>
      <c r="UMO57" s="12"/>
      <c r="UMP57" s="12"/>
      <c r="UMQ57" s="12"/>
      <c r="UMR57" s="12"/>
      <c r="UMS57" s="12"/>
      <c r="UMT57" s="12"/>
      <c r="UMU57" s="12"/>
      <c r="UMV57" s="12"/>
      <c r="UMW57" s="12"/>
      <c r="UMX57" s="12"/>
      <c r="UMY57" s="12"/>
      <c r="UMZ57" s="12"/>
      <c r="UNA57" s="12"/>
      <c r="UNB57" s="12"/>
      <c r="UNC57" s="12"/>
      <c r="UND57" s="12"/>
      <c r="UNE57" s="12"/>
      <c r="UNF57" s="12"/>
      <c r="UNG57" s="12"/>
      <c r="UNH57" s="12"/>
      <c r="UNI57" s="12"/>
      <c r="UNJ57" s="12"/>
      <c r="UNK57" s="12"/>
      <c r="UNL57" s="12"/>
      <c r="UNM57" s="12"/>
      <c r="UNN57" s="12"/>
      <c r="UNO57" s="12"/>
      <c r="UNP57" s="12"/>
      <c r="UNQ57" s="12"/>
      <c r="UNR57" s="12"/>
      <c r="UNS57" s="12"/>
      <c r="UNT57" s="12"/>
      <c r="UNU57" s="12"/>
      <c r="UNV57" s="12"/>
      <c r="UNW57" s="12"/>
      <c r="UNX57" s="12"/>
      <c r="UNY57" s="12"/>
      <c r="UNZ57" s="12"/>
      <c r="UOA57" s="12"/>
      <c r="UOB57" s="12"/>
      <c r="UOC57" s="12"/>
      <c r="UOD57" s="12"/>
      <c r="UOE57" s="12"/>
      <c r="UOF57" s="12"/>
      <c r="UOG57" s="12"/>
      <c r="UOH57" s="12"/>
      <c r="UOI57" s="12"/>
      <c r="UOJ57" s="12"/>
      <c r="UOK57" s="12"/>
      <c r="UOL57" s="12"/>
      <c r="UOM57" s="12"/>
      <c r="UON57" s="12"/>
      <c r="UOO57" s="12"/>
      <c r="UOP57" s="12"/>
      <c r="UOQ57" s="12"/>
      <c r="UOR57" s="12"/>
      <c r="UOS57" s="12"/>
      <c r="UOT57" s="12"/>
      <c r="UOU57" s="12"/>
      <c r="UOV57" s="12"/>
      <c r="UOW57" s="12"/>
      <c r="UOX57" s="12"/>
      <c r="UOY57" s="12"/>
      <c r="UOZ57" s="12"/>
      <c r="UPA57" s="12"/>
      <c r="UPB57" s="12"/>
      <c r="UPC57" s="12"/>
      <c r="UPD57" s="12"/>
      <c r="UPE57" s="12"/>
      <c r="UPF57" s="12"/>
      <c r="UPG57" s="12"/>
      <c r="UPH57" s="12"/>
      <c r="UPI57" s="12"/>
      <c r="UPJ57" s="12"/>
      <c r="UPK57" s="12"/>
      <c r="UPL57" s="12"/>
      <c r="UPM57" s="12"/>
      <c r="UPN57" s="12"/>
      <c r="UPO57" s="12"/>
      <c r="UPP57" s="12"/>
      <c r="UPQ57" s="12"/>
      <c r="UPR57" s="12"/>
      <c r="UPS57" s="12"/>
      <c r="UPT57" s="12"/>
      <c r="UPU57" s="12"/>
      <c r="UPV57" s="12"/>
      <c r="UPW57" s="12"/>
      <c r="UPX57" s="12"/>
      <c r="UPY57" s="12"/>
      <c r="UPZ57" s="12"/>
      <c r="UQA57" s="12"/>
      <c r="UQB57" s="12"/>
      <c r="UQC57" s="12"/>
      <c r="UQD57" s="12"/>
      <c r="UQE57" s="12"/>
      <c r="UQF57" s="12"/>
      <c r="UQG57" s="12"/>
      <c r="UQH57" s="12"/>
      <c r="UQI57" s="12"/>
      <c r="UQJ57" s="12"/>
      <c r="UQK57" s="12"/>
      <c r="UQL57" s="12"/>
      <c r="UQM57" s="12"/>
      <c r="UQN57" s="12"/>
      <c r="UQO57" s="12"/>
      <c r="UQP57" s="12"/>
      <c r="UQQ57" s="12"/>
      <c r="UQR57" s="12"/>
      <c r="UQS57" s="12"/>
      <c r="UQT57" s="12"/>
      <c r="UQU57" s="12"/>
      <c r="UQV57" s="12"/>
      <c r="UQW57" s="12"/>
      <c r="UQX57" s="12"/>
      <c r="UQY57" s="12"/>
      <c r="UQZ57" s="12"/>
      <c r="URA57" s="12"/>
      <c r="URB57" s="12"/>
      <c r="URC57" s="12"/>
      <c r="URD57" s="12"/>
      <c r="URE57" s="12"/>
      <c r="URF57" s="12"/>
      <c r="URG57" s="12"/>
      <c r="URH57" s="12"/>
      <c r="URI57" s="12"/>
      <c r="URJ57" s="12"/>
      <c r="URK57" s="12"/>
      <c r="URL57" s="12"/>
      <c r="URM57" s="12"/>
      <c r="URN57" s="12"/>
      <c r="URO57" s="12"/>
      <c r="URP57" s="12"/>
      <c r="URQ57" s="12"/>
      <c r="URR57" s="12"/>
      <c r="URS57" s="12"/>
      <c r="URT57" s="12"/>
      <c r="URU57" s="12"/>
      <c r="URV57" s="12"/>
      <c r="URW57" s="12"/>
      <c r="URX57" s="12"/>
      <c r="URY57" s="12"/>
      <c r="URZ57" s="12"/>
      <c r="USA57" s="12"/>
      <c r="USB57" s="12"/>
      <c r="USC57" s="12"/>
      <c r="USD57" s="12"/>
      <c r="USE57" s="12"/>
      <c r="USF57" s="12"/>
      <c r="USG57" s="12"/>
      <c r="USH57" s="12"/>
      <c r="USI57" s="12"/>
      <c r="USJ57" s="12"/>
      <c r="USK57" s="12"/>
      <c r="USL57" s="12"/>
      <c r="USM57" s="12"/>
      <c r="USN57" s="12"/>
      <c r="USO57" s="12"/>
      <c r="USP57" s="12"/>
      <c r="USQ57" s="12"/>
      <c r="USR57" s="12"/>
      <c r="USS57" s="12"/>
      <c r="UST57" s="12"/>
      <c r="USU57" s="12"/>
      <c r="USV57" s="12"/>
      <c r="USW57" s="12"/>
      <c r="USX57" s="12"/>
      <c r="USY57" s="12"/>
      <c r="USZ57" s="12"/>
      <c r="UTA57" s="12"/>
      <c r="UTB57" s="12"/>
      <c r="UTC57" s="12"/>
      <c r="UTD57" s="12"/>
      <c r="UTE57" s="12"/>
      <c r="UTF57" s="12"/>
      <c r="UTG57" s="12"/>
      <c r="UTH57" s="12"/>
      <c r="UTI57" s="12"/>
      <c r="UTJ57" s="12"/>
      <c r="UTK57" s="12"/>
      <c r="UTL57" s="12"/>
      <c r="UTM57" s="12"/>
      <c r="UTN57" s="12"/>
      <c r="UTO57" s="12"/>
      <c r="UTP57" s="12"/>
      <c r="UTQ57" s="12"/>
      <c r="UTR57" s="12"/>
      <c r="UTS57" s="12"/>
      <c r="UTT57" s="12"/>
      <c r="UTU57" s="12"/>
      <c r="UTV57" s="12"/>
      <c r="UTW57" s="12"/>
      <c r="UTX57" s="12"/>
      <c r="UTY57" s="12"/>
      <c r="UTZ57" s="12"/>
      <c r="UUA57" s="12"/>
      <c r="UUB57" s="12"/>
      <c r="UUC57" s="12"/>
      <c r="UUD57" s="12"/>
      <c r="UUE57" s="12"/>
      <c r="UUF57" s="12"/>
      <c r="UUG57" s="12"/>
      <c r="UUH57" s="12"/>
      <c r="UUI57" s="12"/>
      <c r="UUJ57" s="12"/>
      <c r="UUK57" s="12"/>
      <c r="UUL57" s="12"/>
      <c r="UUM57" s="12"/>
      <c r="UUN57" s="12"/>
      <c r="UUO57" s="12"/>
      <c r="UUP57" s="12"/>
      <c r="UUQ57" s="12"/>
      <c r="UUR57" s="12"/>
      <c r="UUS57" s="12"/>
      <c r="UUT57" s="12"/>
      <c r="UUU57" s="12"/>
      <c r="UUV57" s="12"/>
      <c r="UUW57" s="12"/>
      <c r="UUX57" s="12"/>
      <c r="UUY57" s="12"/>
      <c r="UUZ57" s="12"/>
      <c r="UVA57" s="12"/>
      <c r="UVB57" s="12"/>
      <c r="UVC57" s="12"/>
      <c r="UVD57" s="12"/>
      <c r="UVE57" s="12"/>
      <c r="UVF57" s="12"/>
      <c r="UVG57" s="12"/>
      <c r="UVH57" s="12"/>
      <c r="UVI57" s="12"/>
      <c r="UVJ57" s="12"/>
      <c r="UVK57" s="12"/>
      <c r="UVL57" s="12"/>
      <c r="UVM57" s="12"/>
      <c r="UVN57" s="12"/>
      <c r="UVO57" s="12"/>
      <c r="UVP57" s="12"/>
      <c r="UVQ57" s="12"/>
      <c r="UVR57" s="12"/>
      <c r="UVS57" s="12"/>
      <c r="UVT57" s="12"/>
      <c r="UVU57" s="12"/>
      <c r="UVV57" s="12"/>
      <c r="UVW57" s="12"/>
      <c r="UVX57" s="12"/>
      <c r="UVY57" s="12"/>
      <c r="UVZ57" s="12"/>
      <c r="UWA57" s="12"/>
      <c r="UWB57" s="12"/>
      <c r="UWC57" s="12"/>
      <c r="UWD57" s="12"/>
      <c r="UWE57" s="12"/>
      <c r="UWF57" s="12"/>
      <c r="UWG57" s="12"/>
      <c r="UWH57" s="12"/>
      <c r="UWI57" s="12"/>
      <c r="UWJ57" s="12"/>
      <c r="UWK57" s="12"/>
      <c r="UWL57" s="12"/>
      <c r="UWM57" s="12"/>
      <c r="UWN57" s="12"/>
      <c r="UWO57" s="12"/>
      <c r="UWP57" s="12"/>
      <c r="UWQ57" s="12"/>
      <c r="UWR57" s="12"/>
      <c r="UWS57" s="12"/>
      <c r="UWT57" s="12"/>
      <c r="UWU57" s="12"/>
      <c r="UWV57" s="12"/>
      <c r="UWW57" s="12"/>
      <c r="UWX57" s="12"/>
      <c r="UWY57" s="12"/>
      <c r="UWZ57" s="12"/>
      <c r="UXA57" s="12"/>
      <c r="UXB57" s="12"/>
      <c r="UXC57" s="12"/>
      <c r="UXD57" s="12"/>
      <c r="UXE57" s="12"/>
      <c r="UXF57" s="12"/>
      <c r="UXG57" s="12"/>
      <c r="UXH57" s="12"/>
      <c r="UXI57" s="12"/>
      <c r="UXJ57" s="12"/>
      <c r="UXK57" s="12"/>
      <c r="UXL57" s="12"/>
      <c r="UXM57" s="12"/>
      <c r="UXN57" s="12"/>
      <c r="UXO57" s="12"/>
      <c r="UXP57" s="12"/>
      <c r="UXQ57" s="12"/>
      <c r="UXR57" s="12"/>
      <c r="UXS57" s="12"/>
      <c r="UXT57" s="12"/>
      <c r="UXU57" s="12"/>
      <c r="UXV57" s="12"/>
      <c r="UXW57" s="12"/>
      <c r="UXX57" s="12"/>
      <c r="UXY57" s="12"/>
      <c r="UXZ57" s="12"/>
      <c r="UYA57" s="12"/>
      <c r="UYB57" s="12"/>
      <c r="UYC57" s="12"/>
      <c r="UYD57" s="12"/>
      <c r="UYE57" s="12"/>
      <c r="UYF57" s="12"/>
      <c r="UYG57" s="12"/>
      <c r="UYH57" s="12"/>
      <c r="UYI57" s="12"/>
      <c r="UYJ57" s="12"/>
      <c r="UYK57" s="12"/>
      <c r="UYL57" s="12"/>
      <c r="UYM57" s="12"/>
      <c r="UYN57" s="12"/>
      <c r="UYO57" s="12"/>
      <c r="UYP57" s="12"/>
      <c r="UYQ57" s="12"/>
      <c r="UYR57" s="12"/>
      <c r="UYS57" s="12"/>
      <c r="UYT57" s="12"/>
      <c r="UYU57" s="12"/>
      <c r="UYV57" s="12"/>
      <c r="UYW57" s="12"/>
      <c r="UYX57" s="12"/>
      <c r="UYY57" s="12"/>
      <c r="UYZ57" s="12"/>
      <c r="UZA57" s="12"/>
      <c r="UZB57" s="12"/>
      <c r="UZC57" s="12"/>
      <c r="UZD57" s="12"/>
      <c r="UZE57" s="12"/>
      <c r="UZF57" s="12"/>
      <c r="UZG57" s="12"/>
      <c r="UZH57" s="12"/>
      <c r="UZI57" s="12"/>
      <c r="UZJ57" s="12"/>
      <c r="UZK57" s="12"/>
      <c r="UZL57" s="12"/>
      <c r="UZM57" s="12"/>
      <c r="UZN57" s="12"/>
      <c r="UZO57" s="12"/>
      <c r="UZP57" s="12"/>
      <c r="UZQ57" s="12"/>
      <c r="UZR57" s="12"/>
      <c r="UZS57" s="12"/>
      <c r="UZT57" s="12"/>
      <c r="UZU57" s="12"/>
      <c r="UZV57" s="12"/>
      <c r="UZW57" s="12"/>
      <c r="UZX57" s="12"/>
      <c r="UZY57" s="12"/>
      <c r="UZZ57" s="12"/>
      <c r="VAA57" s="12"/>
      <c r="VAB57" s="12"/>
      <c r="VAC57" s="12"/>
      <c r="VAD57" s="12"/>
      <c r="VAE57" s="12"/>
      <c r="VAF57" s="12"/>
      <c r="VAG57" s="12"/>
      <c r="VAH57" s="12"/>
      <c r="VAI57" s="12"/>
      <c r="VAJ57" s="12"/>
      <c r="VAK57" s="12"/>
      <c r="VAL57" s="12"/>
      <c r="VAM57" s="12"/>
      <c r="VAN57" s="12"/>
      <c r="VAO57" s="12"/>
      <c r="VAP57" s="12"/>
      <c r="VAQ57" s="12"/>
      <c r="VAR57" s="12"/>
      <c r="VAS57" s="12"/>
      <c r="VAT57" s="12"/>
      <c r="VAU57" s="12"/>
      <c r="VAV57" s="12"/>
      <c r="VAW57" s="12"/>
      <c r="VAX57" s="12"/>
      <c r="VAY57" s="12"/>
      <c r="VAZ57" s="12"/>
      <c r="VBA57" s="12"/>
      <c r="VBB57" s="12"/>
      <c r="VBC57" s="12"/>
      <c r="VBD57" s="12"/>
      <c r="VBE57" s="12"/>
      <c r="VBF57" s="12"/>
      <c r="VBG57" s="12"/>
      <c r="VBH57" s="12"/>
      <c r="VBI57" s="12"/>
      <c r="VBJ57" s="12"/>
      <c r="VBK57" s="12"/>
      <c r="VBL57" s="12"/>
      <c r="VBM57" s="12"/>
      <c r="VBN57" s="12"/>
      <c r="VBO57" s="12"/>
      <c r="VBP57" s="12"/>
      <c r="VBQ57" s="12"/>
      <c r="VBR57" s="12"/>
      <c r="VBS57" s="12"/>
      <c r="VBT57" s="12"/>
      <c r="VBU57" s="12"/>
      <c r="VBV57" s="12"/>
      <c r="VBW57" s="12"/>
      <c r="VBX57" s="12"/>
      <c r="VBY57" s="12"/>
      <c r="VBZ57" s="12"/>
      <c r="VCA57" s="12"/>
      <c r="VCB57" s="12"/>
      <c r="VCC57" s="12"/>
      <c r="VCD57" s="12"/>
      <c r="VCE57" s="12"/>
      <c r="VCF57" s="12"/>
      <c r="VCG57" s="12"/>
      <c r="VCH57" s="12"/>
      <c r="VCI57" s="12"/>
      <c r="VCJ57" s="12"/>
      <c r="VCK57" s="12"/>
      <c r="VCL57" s="12"/>
      <c r="VCM57" s="12"/>
      <c r="VCN57" s="12"/>
      <c r="VCO57" s="12"/>
      <c r="VCP57" s="12"/>
      <c r="VCQ57" s="12"/>
      <c r="VCR57" s="12"/>
      <c r="VCS57" s="12"/>
      <c r="VCT57" s="12"/>
      <c r="VCU57" s="12"/>
      <c r="VCV57" s="12"/>
      <c r="VCW57" s="12"/>
      <c r="VCX57" s="12"/>
      <c r="VCY57" s="12"/>
      <c r="VCZ57" s="12"/>
      <c r="VDA57" s="12"/>
      <c r="VDB57" s="12"/>
      <c r="VDC57" s="12"/>
      <c r="VDD57" s="12"/>
      <c r="VDE57" s="12"/>
      <c r="VDF57" s="12"/>
      <c r="VDG57" s="12"/>
      <c r="VDH57" s="12"/>
      <c r="VDI57" s="12"/>
      <c r="VDJ57" s="12"/>
      <c r="VDK57" s="12"/>
      <c r="VDL57" s="12"/>
      <c r="VDM57" s="12"/>
      <c r="VDN57" s="12"/>
      <c r="VDO57" s="12"/>
      <c r="VDP57" s="12"/>
      <c r="VDQ57" s="12"/>
      <c r="VDR57" s="12"/>
      <c r="VDS57" s="12"/>
      <c r="VDT57" s="12"/>
      <c r="VDU57" s="12"/>
      <c r="VDV57" s="12"/>
      <c r="VDW57" s="12"/>
      <c r="VDX57" s="12"/>
      <c r="VDY57" s="12"/>
      <c r="VDZ57" s="12"/>
      <c r="VEA57" s="12"/>
      <c r="VEB57" s="12"/>
      <c r="VEC57" s="12"/>
      <c r="VED57" s="12"/>
      <c r="VEE57" s="12"/>
      <c r="VEF57" s="12"/>
      <c r="VEG57" s="12"/>
      <c r="VEH57" s="12"/>
      <c r="VEI57" s="12"/>
      <c r="VEJ57" s="12"/>
      <c r="VEK57" s="12"/>
      <c r="VEL57" s="12"/>
      <c r="VEM57" s="12"/>
      <c r="VEN57" s="12"/>
      <c r="VEO57" s="12"/>
      <c r="VEP57" s="12"/>
      <c r="VEQ57" s="12"/>
      <c r="VER57" s="12"/>
      <c r="VES57" s="12"/>
      <c r="VET57" s="12"/>
      <c r="VEU57" s="12"/>
      <c r="VEV57" s="12"/>
      <c r="VEW57" s="12"/>
      <c r="VEX57" s="12"/>
      <c r="VEY57" s="12"/>
      <c r="VEZ57" s="12"/>
      <c r="VFA57" s="12"/>
      <c r="VFB57" s="12"/>
      <c r="VFC57" s="12"/>
      <c r="VFD57" s="12"/>
      <c r="VFE57" s="12"/>
      <c r="VFF57" s="12"/>
      <c r="VFG57" s="12"/>
      <c r="VFH57" s="12"/>
      <c r="VFI57" s="12"/>
      <c r="VFJ57" s="12"/>
      <c r="VFK57" s="12"/>
      <c r="VFL57" s="12"/>
      <c r="VFM57" s="12"/>
      <c r="VFN57" s="12"/>
      <c r="VFO57" s="12"/>
      <c r="VFP57" s="12"/>
      <c r="VFQ57" s="12"/>
      <c r="VFR57" s="12"/>
      <c r="VFS57" s="12"/>
      <c r="VFT57" s="12"/>
      <c r="VFU57" s="12"/>
      <c r="VFV57" s="12"/>
      <c r="VFW57" s="12"/>
      <c r="VFX57" s="12"/>
      <c r="VFY57" s="12"/>
      <c r="VFZ57" s="12"/>
      <c r="VGA57" s="12"/>
      <c r="VGB57" s="12"/>
      <c r="VGC57" s="12"/>
      <c r="VGD57" s="12"/>
      <c r="VGE57" s="12"/>
      <c r="VGF57" s="12"/>
      <c r="VGG57" s="12"/>
      <c r="VGH57" s="12"/>
      <c r="VGI57" s="12"/>
      <c r="VGJ57" s="12"/>
      <c r="VGK57" s="12"/>
      <c r="VGL57" s="12"/>
      <c r="VGM57" s="12"/>
      <c r="VGN57" s="12"/>
      <c r="VGO57" s="12"/>
      <c r="VGP57" s="12"/>
      <c r="VGQ57" s="12"/>
      <c r="VGR57" s="12"/>
      <c r="VGS57" s="12"/>
      <c r="VGT57" s="12"/>
      <c r="VGU57" s="12"/>
      <c r="VGV57" s="12"/>
      <c r="VGW57" s="12"/>
      <c r="VGX57" s="12"/>
      <c r="VGY57" s="12"/>
      <c r="VGZ57" s="12"/>
      <c r="VHA57" s="12"/>
      <c r="VHB57" s="12"/>
      <c r="VHC57" s="12"/>
      <c r="VHD57" s="12"/>
      <c r="VHE57" s="12"/>
      <c r="VHF57" s="12"/>
      <c r="VHG57" s="12"/>
      <c r="VHH57" s="12"/>
      <c r="VHI57" s="12"/>
      <c r="VHJ57" s="12"/>
      <c r="VHK57" s="12"/>
      <c r="VHL57" s="12"/>
      <c r="VHM57" s="12"/>
      <c r="VHN57" s="12"/>
      <c r="VHO57" s="12"/>
      <c r="VHP57" s="12"/>
      <c r="VHQ57" s="12"/>
      <c r="VHR57" s="12"/>
      <c r="VHS57" s="12"/>
      <c r="VHT57" s="12"/>
      <c r="VHU57" s="12"/>
      <c r="VHV57" s="12"/>
      <c r="VHW57" s="12"/>
      <c r="VHX57" s="12"/>
      <c r="VHY57" s="12"/>
      <c r="VHZ57" s="12"/>
      <c r="VIA57" s="12"/>
      <c r="VIB57" s="12"/>
      <c r="VIC57" s="12"/>
      <c r="VID57" s="12"/>
      <c r="VIE57" s="12"/>
      <c r="VIF57" s="12"/>
      <c r="VIG57" s="12"/>
      <c r="VIH57" s="12"/>
      <c r="VII57" s="12"/>
      <c r="VIJ57" s="12"/>
      <c r="VIK57" s="12"/>
      <c r="VIL57" s="12"/>
      <c r="VIM57" s="12"/>
      <c r="VIN57" s="12"/>
      <c r="VIO57" s="12"/>
      <c r="VIP57" s="12"/>
      <c r="VIQ57" s="12"/>
      <c r="VIR57" s="12"/>
      <c r="VIS57" s="12"/>
      <c r="VIT57" s="12"/>
      <c r="VIU57" s="12"/>
      <c r="VIV57" s="12"/>
      <c r="VIW57" s="12"/>
      <c r="VIX57" s="12"/>
      <c r="VIY57" s="12"/>
      <c r="VIZ57" s="12"/>
      <c r="VJA57" s="12"/>
      <c r="VJB57" s="12"/>
      <c r="VJC57" s="12"/>
      <c r="VJD57" s="12"/>
      <c r="VJE57" s="12"/>
      <c r="VJF57" s="12"/>
      <c r="VJG57" s="12"/>
      <c r="VJH57" s="12"/>
      <c r="VJI57" s="12"/>
      <c r="VJJ57" s="12"/>
      <c r="VJK57" s="12"/>
      <c r="VJL57" s="12"/>
      <c r="VJM57" s="12"/>
      <c r="VJN57" s="12"/>
      <c r="VJO57" s="12"/>
      <c r="VJP57" s="12"/>
      <c r="VJQ57" s="12"/>
      <c r="VJR57" s="12"/>
      <c r="VJS57" s="12"/>
      <c r="VJT57" s="12"/>
      <c r="VJU57" s="12"/>
      <c r="VJV57" s="12"/>
      <c r="VJW57" s="12"/>
      <c r="VJX57" s="12"/>
      <c r="VJY57" s="12"/>
      <c r="VJZ57" s="12"/>
      <c r="VKA57" s="12"/>
      <c r="VKB57" s="12"/>
      <c r="VKC57" s="12"/>
      <c r="VKD57" s="12"/>
      <c r="VKE57" s="12"/>
      <c r="VKF57" s="12"/>
      <c r="VKG57" s="12"/>
      <c r="VKH57" s="12"/>
      <c r="VKI57" s="12"/>
      <c r="VKJ57" s="12"/>
      <c r="VKK57" s="12"/>
      <c r="VKL57" s="12"/>
      <c r="VKM57" s="12"/>
      <c r="VKN57" s="12"/>
      <c r="VKO57" s="12"/>
      <c r="VKP57" s="12"/>
      <c r="VKQ57" s="12"/>
      <c r="VKR57" s="12"/>
      <c r="VKS57" s="12"/>
      <c r="VKT57" s="12"/>
      <c r="VKU57" s="12"/>
      <c r="VKV57" s="12"/>
      <c r="VKW57" s="12"/>
      <c r="VKX57" s="12"/>
      <c r="VKY57" s="12"/>
      <c r="VKZ57" s="12"/>
      <c r="VLA57" s="12"/>
      <c r="VLB57" s="12"/>
      <c r="VLC57" s="12"/>
      <c r="VLD57" s="12"/>
      <c r="VLE57" s="12"/>
      <c r="VLF57" s="12"/>
      <c r="VLG57" s="12"/>
      <c r="VLH57" s="12"/>
      <c r="VLI57" s="12"/>
      <c r="VLJ57" s="12"/>
      <c r="VLK57" s="12"/>
      <c r="VLL57" s="12"/>
      <c r="VLM57" s="12"/>
      <c r="VLN57" s="12"/>
      <c r="VLO57" s="12"/>
      <c r="VLP57" s="12"/>
      <c r="VLQ57" s="12"/>
      <c r="VLR57" s="12"/>
      <c r="VLS57" s="12"/>
      <c r="VLT57" s="12"/>
      <c r="VLU57" s="12"/>
      <c r="VLV57" s="12"/>
      <c r="VLW57" s="12"/>
      <c r="VLX57" s="12"/>
      <c r="VLY57" s="12"/>
      <c r="VLZ57" s="12"/>
      <c r="VMA57" s="12"/>
      <c r="VMB57" s="12"/>
      <c r="VMC57" s="12"/>
      <c r="VMD57" s="12"/>
      <c r="VME57" s="12"/>
      <c r="VMF57" s="12"/>
      <c r="VMG57" s="12"/>
      <c r="VMH57" s="12"/>
      <c r="VMI57" s="12"/>
      <c r="VMJ57" s="12"/>
      <c r="VMK57" s="12"/>
      <c r="VML57" s="12"/>
      <c r="VMM57" s="12"/>
      <c r="VMN57" s="12"/>
      <c r="VMO57" s="12"/>
      <c r="VMP57" s="12"/>
      <c r="VMQ57" s="12"/>
      <c r="VMR57" s="12"/>
      <c r="VMS57" s="12"/>
      <c r="VMT57" s="12"/>
      <c r="VMU57" s="12"/>
      <c r="VMV57" s="12"/>
      <c r="VMW57" s="12"/>
      <c r="VMX57" s="12"/>
      <c r="VMY57" s="12"/>
      <c r="VMZ57" s="12"/>
      <c r="VNA57" s="12"/>
      <c r="VNB57" s="12"/>
      <c r="VNC57" s="12"/>
      <c r="VND57" s="12"/>
      <c r="VNE57" s="12"/>
      <c r="VNF57" s="12"/>
      <c r="VNG57" s="12"/>
      <c r="VNH57" s="12"/>
      <c r="VNI57" s="12"/>
      <c r="VNJ57" s="12"/>
      <c r="VNK57" s="12"/>
      <c r="VNL57" s="12"/>
      <c r="VNM57" s="12"/>
      <c r="VNN57" s="12"/>
      <c r="VNO57" s="12"/>
      <c r="VNP57" s="12"/>
      <c r="VNQ57" s="12"/>
      <c r="VNR57" s="12"/>
      <c r="VNS57" s="12"/>
      <c r="VNT57" s="12"/>
      <c r="VNU57" s="12"/>
      <c r="VNV57" s="12"/>
      <c r="VNW57" s="12"/>
      <c r="VNX57" s="12"/>
      <c r="VNY57" s="12"/>
      <c r="VNZ57" s="12"/>
      <c r="VOA57" s="12"/>
      <c r="VOB57" s="12"/>
      <c r="VOC57" s="12"/>
      <c r="VOD57" s="12"/>
      <c r="VOE57" s="12"/>
      <c r="VOF57" s="12"/>
      <c r="VOG57" s="12"/>
      <c r="VOH57" s="12"/>
      <c r="VOI57" s="12"/>
      <c r="VOJ57" s="12"/>
      <c r="VOK57" s="12"/>
      <c r="VOL57" s="12"/>
      <c r="VOM57" s="12"/>
      <c r="VON57" s="12"/>
      <c r="VOO57" s="12"/>
      <c r="VOP57" s="12"/>
      <c r="VOQ57" s="12"/>
      <c r="VOR57" s="12"/>
      <c r="VOS57" s="12"/>
      <c r="VOT57" s="12"/>
      <c r="VOU57" s="12"/>
      <c r="VOV57" s="12"/>
      <c r="VOW57" s="12"/>
      <c r="VOX57" s="12"/>
      <c r="VOY57" s="12"/>
      <c r="VOZ57" s="12"/>
      <c r="VPA57" s="12"/>
      <c r="VPB57" s="12"/>
      <c r="VPC57" s="12"/>
      <c r="VPD57" s="12"/>
      <c r="VPE57" s="12"/>
      <c r="VPF57" s="12"/>
      <c r="VPG57" s="12"/>
      <c r="VPH57" s="12"/>
      <c r="VPI57" s="12"/>
      <c r="VPJ57" s="12"/>
      <c r="VPK57" s="12"/>
      <c r="VPL57" s="12"/>
      <c r="VPM57" s="12"/>
      <c r="VPN57" s="12"/>
      <c r="VPO57" s="12"/>
      <c r="VPP57" s="12"/>
      <c r="VPQ57" s="12"/>
      <c r="VPR57" s="12"/>
      <c r="VPS57" s="12"/>
      <c r="VPT57" s="12"/>
      <c r="VPU57" s="12"/>
      <c r="VPV57" s="12"/>
      <c r="VPW57" s="12"/>
      <c r="VPX57" s="12"/>
      <c r="VPY57" s="12"/>
      <c r="VPZ57" s="12"/>
      <c r="VQA57" s="12"/>
      <c r="VQB57" s="12"/>
      <c r="VQC57" s="12"/>
      <c r="VQD57" s="12"/>
      <c r="VQE57" s="12"/>
      <c r="VQF57" s="12"/>
      <c r="VQG57" s="12"/>
      <c r="VQH57" s="12"/>
      <c r="VQI57" s="12"/>
      <c r="VQJ57" s="12"/>
      <c r="VQK57" s="12"/>
      <c r="VQL57" s="12"/>
      <c r="VQM57" s="12"/>
      <c r="VQN57" s="12"/>
      <c r="VQO57" s="12"/>
      <c r="VQP57" s="12"/>
      <c r="VQQ57" s="12"/>
      <c r="VQR57" s="12"/>
      <c r="VQS57" s="12"/>
      <c r="VQT57" s="12"/>
      <c r="VQU57" s="12"/>
      <c r="VQV57" s="12"/>
      <c r="VQW57" s="12"/>
      <c r="VQX57" s="12"/>
      <c r="VQY57" s="12"/>
      <c r="VQZ57" s="12"/>
      <c r="VRA57" s="12"/>
      <c r="VRB57" s="12"/>
      <c r="VRC57" s="12"/>
      <c r="VRD57" s="12"/>
      <c r="VRE57" s="12"/>
      <c r="VRF57" s="12"/>
      <c r="VRG57" s="12"/>
      <c r="VRH57" s="12"/>
      <c r="VRI57" s="12"/>
      <c r="VRJ57" s="12"/>
      <c r="VRK57" s="12"/>
      <c r="VRL57" s="12"/>
      <c r="VRM57" s="12"/>
      <c r="VRN57" s="12"/>
      <c r="VRO57" s="12"/>
      <c r="VRP57" s="12"/>
      <c r="VRQ57" s="12"/>
      <c r="VRR57" s="12"/>
      <c r="VRS57" s="12"/>
      <c r="VRT57" s="12"/>
      <c r="VRU57" s="12"/>
      <c r="VRV57" s="12"/>
      <c r="VRW57" s="12"/>
      <c r="VRX57" s="12"/>
      <c r="VRY57" s="12"/>
      <c r="VRZ57" s="12"/>
      <c r="VSA57" s="12"/>
      <c r="VSB57" s="12"/>
      <c r="VSC57" s="12"/>
      <c r="VSD57" s="12"/>
      <c r="VSE57" s="12"/>
      <c r="VSF57" s="12"/>
      <c r="VSG57" s="12"/>
      <c r="VSH57" s="12"/>
      <c r="VSI57" s="12"/>
      <c r="VSJ57" s="12"/>
      <c r="VSK57" s="12"/>
      <c r="VSL57" s="12"/>
      <c r="VSM57" s="12"/>
      <c r="VSN57" s="12"/>
      <c r="VSO57" s="12"/>
      <c r="VSP57" s="12"/>
      <c r="VSQ57" s="12"/>
      <c r="VSR57" s="12"/>
      <c r="VSS57" s="12"/>
      <c r="VST57" s="12"/>
      <c r="VSU57" s="12"/>
      <c r="VSV57" s="12"/>
      <c r="VSW57" s="12"/>
      <c r="VSX57" s="12"/>
      <c r="VSY57" s="12"/>
      <c r="VSZ57" s="12"/>
      <c r="VTA57" s="12"/>
      <c r="VTB57" s="12"/>
      <c r="VTC57" s="12"/>
      <c r="VTD57" s="12"/>
      <c r="VTE57" s="12"/>
      <c r="VTF57" s="12"/>
      <c r="VTG57" s="12"/>
      <c r="VTH57" s="12"/>
      <c r="VTI57" s="12"/>
      <c r="VTJ57" s="12"/>
      <c r="VTK57" s="12"/>
      <c r="VTL57" s="12"/>
      <c r="VTM57" s="12"/>
      <c r="VTN57" s="12"/>
      <c r="VTO57" s="12"/>
      <c r="VTP57" s="12"/>
      <c r="VTQ57" s="12"/>
      <c r="VTR57" s="12"/>
      <c r="VTS57" s="12"/>
      <c r="VTT57" s="12"/>
      <c r="VTU57" s="12"/>
      <c r="VTV57" s="12"/>
      <c r="VTW57" s="12"/>
      <c r="VTX57" s="12"/>
      <c r="VTY57" s="12"/>
      <c r="VTZ57" s="12"/>
      <c r="VUA57" s="12"/>
      <c r="VUB57" s="12"/>
      <c r="VUC57" s="12"/>
      <c r="VUD57" s="12"/>
      <c r="VUE57" s="12"/>
      <c r="VUF57" s="12"/>
      <c r="VUG57" s="12"/>
      <c r="VUH57" s="12"/>
      <c r="VUI57" s="12"/>
      <c r="VUJ57" s="12"/>
      <c r="VUK57" s="12"/>
      <c r="VUL57" s="12"/>
      <c r="VUM57" s="12"/>
      <c r="VUN57" s="12"/>
      <c r="VUO57" s="12"/>
      <c r="VUP57" s="12"/>
      <c r="VUQ57" s="12"/>
      <c r="VUR57" s="12"/>
      <c r="VUS57" s="12"/>
      <c r="VUT57" s="12"/>
      <c r="VUU57" s="12"/>
      <c r="VUV57" s="12"/>
      <c r="VUW57" s="12"/>
      <c r="VUX57" s="12"/>
      <c r="VUY57" s="12"/>
      <c r="VUZ57" s="12"/>
      <c r="VVA57" s="12"/>
      <c r="VVB57" s="12"/>
      <c r="VVC57" s="12"/>
      <c r="VVD57" s="12"/>
      <c r="VVE57" s="12"/>
      <c r="VVF57" s="12"/>
      <c r="VVG57" s="12"/>
      <c r="VVH57" s="12"/>
      <c r="VVI57" s="12"/>
      <c r="VVJ57" s="12"/>
      <c r="VVK57" s="12"/>
      <c r="VVL57" s="12"/>
      <c r="VVM57" s="12"/>
      <c r="VVN57" s="12"/>
      <c r="VVO57" s="12"/>
      <c r="VVP57" s="12"/>
      <c r="VVQ57" s="12"/>
      <c r="VVR57" s="12"/>
      <c r="VVS57" s="12"/>
      <c r="VVT57" s="12"/>
      <c r="VVU57" s="12"/>
      <c r="VVV57" s="12"/>
      <c r="VVW57" s="12"/>
      <c r="VVX57" s="12"/>
      <c r="VVY57" s="12"/>
      <c r="VVZ57" s="12"/>
      <c r="VWA57" s="12"/>
      <c r="VWB57" s="12"/>
      <c r="VWC57" s="12"/>
      <c r="VWD57" s="12"/>
      <c r="VWE57" s="12"/>
      <c r="VWF57" s="12"/>
      <c r="VWG57" s="12"/>
      <c r="VWH57" s="12"/>
      <c r="VWI57" s="12"/>
      <c r="VWJ57" s="12"/>
      <c r="VWK57" s="12"/>
      <c r="VWL57" s="12"/>
      <c r="VWM57" s="12"/>
      <c r="VWN57" s="12"/>
      <c r="VWO57" s="12"/>
      <c r="VWP57" s="12"/>
      <c r="VWQ57" s="12"/>
      <c r="VWR57" s="12"/>
      <c r="VWS57" s="12"/>
      <c r="VWT57" s="12"/>
      <c r="VWU57" s="12"/>
      <c r="VWV57" s="12"/>
      <c r="VWW57" s="12"/>
      <c r="VWX57" s="12"/>
      <c r="VWY57" s="12"/>
      <c r="VWZ57" s="12"/>
      <c r="VXA57" s="12"/>
      <c r="VXB57" s="12"/>
      <c r="VXC57" s="12"/>
      <c r="VXD57" s="12"/>
      <c r="VXE57" s="12"/>
      <c r="VXF57" s="12"/>
      <c r="VXG57" s="12"/>
      <c r="VXH57" s="12"/>
      <c r="VXI57" s="12"/>
      <c r="VXJ57" s="12"/>
      <c r="VXK57" s="12"/>
      <c r="VXL57" s="12"/>
      <c r="VXM57" s="12"/>
      <c r="VXN57" s="12"/>
      <c r="VXO57" s="12"/>
      <c r="VXP57" s="12"/>
      <c r="VXQ57" s="12"/>
      <c r="VXR57" s="12"/>
      <c r="VXS57" s="12"/>
      <c r="VXT57" s="12"/>
      <c r="VXU57" s="12"/>
      <c r="VXV57" s="12"/>
      <c r="VXW57" s="12"/>
      <c r="VXX57" s="12"/>
      <c r="VXY57" s="12"/>
      <c r="VXZ57" s="12"/>
      <c r="VYA57" s="12"/>
      <c r="VYB57" s="12"/>
      <c r="VYC57" s="12"/>
      <c r="VYD57" s="12"/>
      <c r="VYE57" s="12"/>
      <c r="VYF57" s="12"/>
      <c r="VYG57" s="12"/>
      <c r="VYH57" s="12"/>
      <c r="VYI57" s="12"/>
      <c r="VYJ57" s="12"/>
      <c r="VYK57" s="12"/>
      <c r="VYL57" s="12"/>
      <c r="VYM57" s="12"/>
      <c r="VYN57" s="12"/>
      <c r="VYO57" s="12"/>
      <c r="VYP57" s="12"/>
      <c r="VYQ57" s="12"/>
      <c r="VYR57" s="12"/>
      <c r="VYS57" s="12"/>
      <c r="VYT57" s="12"/>
      <c r="VYU57" s="12"/>
      <c r="VYV57" s="12"/>
      <c r="VYW57" s="12"/>
      <c r="VYX57" s="12"/>
      <c r="VYY57" s="12"/>
      <c r="VYZ57" s="12"/>
      <c r="VZA57" s="12"/>
      <c r="VZB57" s="12"/>
      <c r="VZC57" s="12"/>
      <c r="VZD57" s="12"/>
      <c r="VZE57" s="12"/>
      <c r="VZF57" s="12"/>
      <c r="VZG57" s="12"/>
      <c r="VZH57" s="12"/>
      <c r="VZI57" s="12"/>
      <c r="VZJ57" s="12"/>
      <c r="VZK57" s="12"/>
      <c r="VZL57" s="12"/>
      <c r="VZM57" s="12"/>
      <c r="VZN57" s="12"/>
      <c r="VZO57" s="12"/>
      <c r="VZP57" s="12"/>
      <c r="VZQ57" s="12"/>
      <c r="VZR57" s="12"/>
      <c r="VZS57" s="12"/>
      <c r="VZT57" s="12"/>
      <c r="VZU57" s="12"/>
      <c r="VZV57" s="12"/>
      <c r="VZW57" s="12"/>
      <c r="VZX57" s="12"/>
      <c r="VZY57" s="12"/>
      <c r="VZZ57" s="12"/>
      <c r="WAA57" s="12"/>
      <c r="WAB57" s="12"/>
      <c r="WAC57" s="12"/>
      <c r="WAD57" s="12"/>
      <c r="WAE57" s="12"/>
      <c r="WAF57" s="12"/>
      <c r="WAG57" s="12"/>
      <c r="WAH57" s="12"/>
      <c r="WAI57" s="12"/>
      <c r="WAJ57" s="12"/>
      <c r="WAK57" s="12"/>
      <c r="WAL57" s="12"/>
      <c r="WAM57" s="12"/>
      <c r="WAN57" s="12"/>
      <c r="WAO57" s="12"/>
      <c r="WAP57" s="12"/>
      <c r="WAQ57" s="12"/>
      <c r="WAR57" s="12"/>
      <c r="WAS57" s="12"/>
      <c r="WAT57" s="12"/>
      <c r="WAU57" s="12"/>
      <c r="WAV57" s="12"/>
      <c r="WAW57" s="12"/>
      <c r="WAX57" s="12"/>
      <c r="WAY57" s="12"/>
      <c r="WAZ57" s="12"/>
      <c r="WBA57" s="12"/>
      <c r="WBB57" s="12"/>
      <c r="WBC57" s="12"/>
      <c r="WBD57" s="12"/>
      <c r="WBE57" s="12"/>
      <c r="WBF57" s="12"/>
      <c r="WBG57" s="12"/>
      <c r="WBH57" s="12"/>
      <c r="WBI57" s="12"/>
      <c r="WBJ57" s="12"/>
      <c r="WBK57" s="12"/>
      <c r="WBL57" s="12"/>
      <c r="WBM57" s="12"/>
      <c r="WBN57" s="12"/>
      <c r="WBO57" s="12"/>
      <c r="WBP57" s="12"/>
      <c r="WBQ57" s="12"/>
      <c r="WBR57" s="12"/>
      <c r="WBS57" s="12"/>
      <c r="WBT57" s="12"/>
      <c r="WBU57" s="12"/>
      <c r="WBV57" s="12"/>
      <c r="WBW57" s="12"/>
      <c r="WBX57" s="12"/>
      <c r="WBY57" s="12"/>
      <c r="WBZ57" s="12"/>
      <c r="WCA57" s="12"/>
      <c r="WCB57" s="12"/>
      <c r="WCC57" s="12"/>
      <c r="WCD57" s="12"/>
      <c r="WCE57" s="12"/>
      <c r="WCF57" s="12"/>
      <c r="WCG57" s="12"/>
      <c r="WCH57" s="12"/>
      <c r="WCI57" s="12"/>
      <c r="WCJ57" s="12"/>
      <c r="WCK57" s="12"/>
      <c r="WCL57" s="12"/>
      <c r="WCM57" s="12"/>
      <c r="WCN57" s="12"/>
      <c r="WCO57" s="12"/>
      <c r="WCP57" s="12"/>
      <c r="WCQ57" s="12"/>
      <c r="WCR57" s="12"/>
      <c r="WCS57" s="12"/>
      <c r="WCT57" s="12"/>
      <c r="WCU57" s="12"/>
      <c r="WCV57" s="12"/>
      <c r="WCW57" s="12"/>
      <c r="WCX57" s="12"/>
      <c r="WCY57" s="12"/>
      <c r="WCZ57" s="12"/>
      <c r="WDA57" s="12"/>
      <c r="WDB57" s="12"/>
      <c r="WDC57" s="12"/>
      <c r="WDD57" s="12"/>
      <c r="WDE57" s="12"/>
      <c r="WDF57" s="12"/>
      <c r="WDG57" s="12"/>
      <c r="WDH57" s="12"/>
      <c r="WDI57" s="12"/>
      <c r="WDJ57" s="12"/>
      <c r="WDK57" s="12"/>
      <c r="WDL57" s="12"/>
      <c r="WDM57" s="12"/>
      <c r="WDN57" s="12"/>
      <c r="WDO57" s="12"/>
      <c r="WDP57" s="12"/>
      <c r="WDQ57" s="12"/>
      <c r="WDR57" s="12"/>
      <c r="WDS57" s="12"/>
      <c r="WDT57" s="12"/>
      <c r="WDU57" s="12"/>
      <c r="WDV57" s="12"/>
      <c r="WDW57" s="12"/>
      <c r="WDX57" s="12"/>
      <c r="WDY57" s="12"/>
      <c r="WDZ57" s="12"/>
      <c r="WEA57" s="12"/>
      <c r="WEB57" s="12"/>
      <c r="WEC57" s="12"/>
      <c r="WED57" s="12"/>
      <c r="WEE57" s="12"/>
      <c r="WEF57" s="12"/>
      <c r="WEG57" s="12"/>
      <c r="WEH57" s="12"/>
      <c r="WEI57" s="12"/>
      <c r="WEJ57" s="12"/>
      <c r="WEK57" s="12"/>
      <c r="WEL57" s="12"/>
      <c r="WEM57" s="12"/>
      <c r="WEN57" s="12"/>
      <c r="WEO57" s="12"/>
      <c r="WEP57" s="12"/>
      <c r="WEQ57" s="12"/>
      <c r="WER57" s="12"/>
      <c r="WES57" s="12"/>
      <c r="WET57" s="12"/>
      <c r="WEU57" s="12"/>
      <c r="WEV57" s="12"/>
      <c r="WEW57" s="12"/>
      <c r="WEX57" s="12"/>
      <c r="WEY57" s="12"/>
      <c r="WEZ57" s="12"/>
      <c r="WFA57" s="12"/>
      <c r="WFB57" s="12"/>
      <c r="WFC57" s="12"/>
      <c r="WFD57" s="12"/>
      <c r="WFE57" s="12"/>
      <c r="WFF57" s="12"/>
      <c r="WFG57" s="12"/>
      <c r="WFH57" s="12"/>
      <c r="WFI57" s="12"/>
      <c r="WFJ57" s="12"/>
      <c r="WFK57" s="12"/>
      <c r="WFL57" s="12"/>
      <c r="WFM57" s="12"/>
      <c r="WFN57" s="12"/>
      <c r="WFO57" s="12"/>
      <c r="WFP57" s="12"/>
      <c r="WFQ57" s="12"/>
      <c r="WFR57" s="12"/>
      <c r="WFS57" s="12"/>
      <c r="WFT57" s="12"/>
      <c r="WFU57" s="12"/>
      <c r="WFV57" s="12"/>
      <c r="WFW57" s="12"/>
      <c r="WFX57" s="12"/>
      <c r="WFY57" s="12"/>
      <c r="WFZ57" s="12"/>
      <c r="WGA57" s="12"/>
      <c r="WGB57" s="12"/>
      <c r="WGC57" s="12"/>
      <c r="WGD57" s="12"/>
      <c r="WGE57" s="12"/>
      <c r="WGF57" s="12"/>
      <c r="WGG57" s="12"/>
      <c r="WGH57" s="12"/>
      <c r="WGI57" s="12"/>
      <c r="WGJ57" s="12"/>
      <c r="WGK57" s="12"/>
      <c r="WGL57" s="12"/>
      <c r="WGM57" s="12"/>
      <c r="WGN57" s="12"/>
      <c r="WGO57" s="12"/>
      <c r="WGP57" s="12"/>
      <c r="WGQ57" s="12"/>
      <c r="WGR57" s="12"/>
      <c r="WGS57" s="12"/>
      <c r="WGT57" s="12"/>
      <c r="WGU57" s="12"/>
      <c r="WGV57" s="12"/>
      <c r="WGW57" s="12"/>
      <c r="WGX57" s="12"/>
      <c r="WGY57" s="12"/>
      <c r="WGZ57" s="12"/>
      <c r="WHA57" s="12"/>
      <c r="WHB57" s="12"/>
      <c r="WHC57" s="12"/>
      <c r="WHD57" s="12"/>
      <c r="WHE57" s="12"/>
      <c r="WHF57" s="12"/>
      <c r="WHG57" s="12"/>
      <c r="WHH57" s="12"/>
      <c r="WHI57" s="12"/>
      <c r="WHJ57" s="12"/>
      <c r="WHK57" s="12"/>
      <c r="WHL57" s="12"/>
      <c r="WHM57" s="12"/>
      <c r="WHN57" s="12"/>
      <c r="WHO57" s="12"/>
      <c r="WHP57" s="12"/>
      <c r="WHQ57" s="12"/>
      <c r="WHR57" s="12"/>
      <c r="WHS57" s="12"/>
      <c r="WHT57" s="12"/>
      <c r="WHU57" s="12"/>
      <c r="WHV57" s="12"/>
      <c r="WHW57" s="12"/>
      <c r="WHX57" s="12"/>
      <c r="WHY57" s="12"/>
      <c r="WHZ57" s="12"/>
      <c r="WIA57" s="12"/>
      <c r="WIB57" s="12"/>
      <c r="WIC57" s="12"/>
      <c r="WID57" s="12"/>
      <c r="WIE57" s="12"/>
      <c r="WIF57" s="12"/>
      <c r="WIG57" s="12"/>
      <c r="WIH57" s="12"/>
      <c r="WII57" s="12"/>
      <c r="WIJ57" s="12"/>
      <c r="WIK57" s="12"/>
      <c r="WIL57" s="12"/>
      <c r="WIM57" s="12"/>
      <c r="WIN57" s="12"/>
      <c r="WIO57" s="12"/>
      <c r="WIP57" s="12"/>
      <c r="WIQ57" s="12"/>
      <c r="WIR57" s="12"/>
      <c r="WIS57" s="12"/>
      <c r="WIT57" s="12"/>
      <c r="WIU57" s="12"/>
      <c r="WIV57" s="12"/>
      <c r="WIW57" s="12"/>
      <c r="WIX57" s="12"/>
      <c r="WIY57" s="12"/>
      <c r="WIZ57" s="12"/>
      <c r="WJA57" s="12"/>
      <c r="WJB57" s="12"/>
      <c r="WJC57" s="12"/>
      <c r="WJD57" s="12"/>
      <c r="WJE57" s="12"/>
      <c r="WJF57" s="12"/>
      <c r="WJG57" s="12"/>
      <c r="WJH57" s="12"/>
      <c r="WJI57" s="12"/>
      <c r="WJJ57" s="12"/>
      <c r="WJK57" s="12"/>
      <c r="WJL57" s="12"/>
      <c r="WJM57" s="12"/>
      <c r="WJN57" s="12"/>
      <c r="WJO57" s="12"/>
      <c r="WJP57" s="12"/>
      <c r="WJQ57" s="12"/>
      <c r="WJR57" s="12"/>
      <c r="WJS57" s="12"/>
      <c r="WJT57" s="12"/>
      <c r="WJU57" s="12"/>
      <c r="WJV57" s="12"/>
      <c r="WJW57" s="12"/>
      <c r="WJX57" s="12"/>
      <c r="WJY57" s="12"/>
      <c r="WJZ57" s="12"/>
      <c r="WKA57" s="12"/>
      <c r="WKB57" s="12"/>
      <c r="WKC57" s="12"/>
      <c r="WKD57" s="12"/>
      <c r="WKE57" s="12"/>
      <c r="WKF57" s="12"/>
      <c r="WKG57" s="12"/>
      <c r="WKH57" s="12"/>
      <c r="WKI57" s="12"/>
      <c r="WKJ57" s="12"/>
      <c r="WKK57" s="12"/>
      <c r="WKL57" s="12"/>
      <c r="WKM57" s="12"/>
      <c r="WKN57" s="12"/>
      <c r="WKO57" s="12"/>
      <c r="WKP57" s="12"/>
      <c r="WKQ57" s="12"/>
      <c r="WKR57" s="12"/>
      <c r="WKS57" s="12"/>
      <c r="WKT57" s="12"/>
      <c r="WKU57" s="12"/>
      <c r="WKV57" s="12"/>
      <c r="WKW57" s="12"/>
      <c r="WKX57" s="12"/>
      <c r="WKY57" s="12"/>
      <c r="WKZ57" s="12"/>
      <c r="WLA57" s="12"/>
      <c r="WLB57" s="12"/>
      <c r="WLC57" s="12"/>
      <c r="WLD57" s="12"/>
      <c r="WLE57" s="12"/>
      <c r="WLF57" s="12"/>
      <c r="WLG57" s="12"/>
      <c r="WLH57" s="12"/>
      <c r="WLI57" s="12"/>
      <c r="WLJ57" s="12"/>
      <c r="WLK57" s="12"/>
      <c r="WLL57" s="12"/>
      <c r="WLM57" s="12"/>
      <c r="WLN57" s="12"/>
      <c r="WLO57" s="12"/>
      <c r="WLP57" s="12"/>
      <c r="WLQ57" s="12"/>
      <c r="WLR57" s="12"/>
      <c r="WLS57" s="12"/>
      <c r="WLT57" s="12"/>
      <c r="WLU57" s="12"/>
      <c r="WLV57" s="12"/>
      <c r="WLW57" s="12"/>
      <c r="WLX57" s="12"/>
      <c r="WLY57" s="12"/>
      <c r="WLZ57" s="12"/>
      <c r="WMA57" s="12"/>
      <c r="WMB57" s="12"/>
      <c r="WMC57" s="12"/>
      <c r="WMD57" s="12"/>
      <c r="WME57" s="12"/>
      <c r="WMF57" s="12"/>
      <c r="WMG57" s="12"/>
      <c r="WMH57" s="12"/>
      <c r="WMI57" s="12"/>
      <c r="WMJ57" s="12"/>
      <c r="WMK57" s="12"/>
      <c r="WML57" s="12"/>
      <c r="WMM57" s="12"/>
      <c r="WMN57" s="12"/>
      <c r="WMO57" s="12"/>
      <c r="WMP57" s="12"/>
      <c r="WMQ57" s="12"/>
      <c r="WMR57" s="12"/>
      <c r="WMS57" s="12"/>
      <c r="WMT57" s="12"/>
      <c r="WMU57" s="12"/>
      <c r="WMV57" s="12"/>
      <c r="WMW57" s="12"/>
      <c r="WMX57" s="12"/>
      <c r="WMY57" s="12"/>
      <c r="WMZ57" s="12"/>
      <c r="WNA57" s="12"/>
      <c r="WNB57" s="12"/>
      <c r="WNC57" s="12"/>
      <c r="WND57" s="12"/>
      <c r="WNE57" s="12"/>
      <c r="WNF57" s="12"/>
      <c r="WNG57" s="12"/>
      <c r="WNH57" s="12"/>
      <c r="WNI57" s="12"/>
      <c r="WNJ57" s="12"/>
      <c r="WNK57" s="12"/>
      <c r="WNL57" s="12"/>
      <c r="WNM57" s="12"/>
      <c r="WNN57" s="12"/>
      <c r="WNO57" s="12"/>
      <c r="WNP57" s="12"/>
      <c r="WNQ57" s="12"/>
      <c r="WNR57" s="12"/>
      <c r="WNS57" s="12"/>
      <c r="WNT57" s="12"/>
      <c r="WNU57" s="12"/>
      <c r="WNV57" s="12"/>
      <c r="WNW57" s="12"/>
      <c r="WNX57" s="12"/>
      <c r="WNY57" s="12"/>
      <c r="WNZ57" s="12"/>
      <c r="WOA57" s="12"/>
      <c r="WOB57" s="12"/>
      <c r="WOC57" s="12"/>
      <c r="WOD57" s="12"/>
      <c r="WOE57" s="12"/>
      <c r="WOF57" s="12"/>
      <c r="WOG57" s="12"/>
      <c r="WOH57" s="12"/>
      <c r="WOI57" s="12"/>
      <c r="WOJ57" s="12"/>
      <c r="WOK57" s="12"/>
      <c r="WOL57" s="12"/>
      <c r="WOM57" s="12"/>
      <c r="WON57" s="12"/>
      <c r="WOO57" s="12"/>
      <c r="WOP57" s="12"/>
      <c r="WOQ57" s="12"/>
      <c r="WOR57" s="12"/>
      <c r="WOS57" s="12"/>
      <c r="WOT57" s="12"/>
      <c r="WOU57" s="12"/>
      <c r="WOV57" s="12"/>
      <c r="WOW57" s="12"/>
      <c r="WOX57" s="12"/>
      <c r="WOY57" s="12"/>
      <c r="WOZ57" s="12"/>
      <c r="WPA57" s="12"/>
      <c r="WPB57" s="12"/>
      <c r="WPC57" s="12"/>
      <c r="WPD57" s="12"/>
      <c r="WPE57" s="12"/>
      <c r="WPF57" s="12"/>
      <c r="WPG57" s="12"/>
      <c r="WPH57" s="12"/>
      <c r="WPI57" s="12"/>
      <c r="WPJ57" s="12"/>
      <c r="WPK57" s="12"/>
      <c r="WPL57" s="12"/>
      <c r="WPM57" s="12"/>
      <c r="WPN57" s="12"/>
      <c r="WPO57" s="12"/>
      <c r="WPP57" s="12"/>
      <c r="WPQ57" s="12"/>
      <c r="WPR57" s="12"/>
      <c r="WPS57" s="12"/>
      <c r="WPT57" s="12"/>
      <c r="WPU57" s="12"/>
      <c r="WPV57" s="12"/>
      <c r="WPW57" s="12"/>
      <c r="WPX57" s="12"/>
      <c r="WPY57" s="12"/>
      <c r="WPZ57" s="12"/>
      <c r="WQA57" s="12"/>
      <c r="WQB57" s="12"/>
      <c r="WQC57" s="12"/>
      <c r="WQD57" s="12"/>
      <c r="WQE57" s="12"/>
      <c r="WQF57" s="12"/>
      <c r="WQG57" s="12"/>
      <c r="WQH57" s="12"/>
      <c r="WQI57" s="12"/>
      <c r="WQJ57" s="12"/>
      <c r="WQK57" s="12"/>
      <c r="WQL57" s="12"/>
      <c r="WQM57" s="12"/>
      <c r="WQN57" s="12"/>
      <c r="WQO57" s="12"/>
      <c r="WQP57" s="12"/>
      <c r="WQQ57" s="12"/>
      <c r="WQR57" s="12"/>
      <c r="WQS57" s="12"/>
      <c r="WQT57" s="12"/>
      <c r="WQU57" s="12"/>
      <c r="WQV57" s="12"/>
      <c r="WQW57" s="12"/>
      <c r="WQX57" s="12"/>
      <c r="WQY57" s="12"/>
      <c r="WQZ57" s="12"/>
      <c r="WRA57" s="12"/>
      <c r="WRB57" s="12"/>
      <c r="WRC57" s="12"/>
      <c r="WRD57" s="12"/>
      <c r="WRE57" s="12"/>
      <c r="WRF57" s="12"/>
      <c r="WRG57" s="12"/>
      <c r="WRH57" s="12"/>
      <c r="WRI57" s="12"/>
      <c r="WRJ57" s="12"/>
      <c r="WRK57" s="12"/>
      <c r="WRL57" s="12"/>
      <c r="WRM57" s="12"/>
      <c r="WRN57" s="12"/>
      <c r="WRO57" s="12"/>
      <c r="WRP57" s="12"/>
      <c r="WRQ57" s="12"/>
      <c r="WRR57" s="12"/>
      <c r="WRS57" s="12"/>
      <c r="WRT57" s="12"/>
      <c r="WRU57" s="12"/>
      <c r="WRV57" s="12"/>
      <c r="WRW57" s="12"/>
      <c r="WRX57" s="12"/>
      <c r="WRY57" s="12"/>
      <c r="WRZ57" s="12"/>
      <c r="WSA57" s="12"/>
      <c r="WSB57" s="12"/>
      <c r="WSC57" s="12"/>
      <c r="WSD57" s="12"/>
      <c r="WSE57" s="12"/>
      <c r="WSF57" s="12"/>
      <c r="WSG57" s="12"/>
      <c r="WSH57" s="12"/>
      <c r="WSI57" s="12"/>
      <c r="WSJ57" s="12"/>
      <c r="WSK57" s="12"/>
      <c r="WSL57" s="12"/>
      <c r="WSM57" s="12"/>
      <c r="WSN57" s="12"/>
      <c r="WSO57" s="12"/>
      <c r="WSP57" s="12"/>
      <c r="WSQ57" s="12"/>
      <c r="WSR57" s="12"/>
      <c r="WSS57" s="12"/>
      <c r="WST57" s="12"/>
      <c r="WSU57" s="12"/>
      <c r="WSV57" s="12"/>
      <c r="WSW57" s="12"/>
      <c r="WSX57" s="12"/>
      <c r="WSY57" s="12"/>
      <c r="WSZ57" s="12"/>
      <c r="WTA57" s="12"/>
      <c r="WTB57" s="12"/>
      <c r="WTC57" s="12"/>
      <c r="WTD57" s="12"/>
      <c r="WTE57" s="12"/>
      <c r="WTF57" s="12"/>
      <c r="WTG57" s="12"/>
      <c r="WTH57" s="12"/>
      <c r="WTI57" s="12"/>
      <c r="WTJ57" s="12"/>
      <c r="WTK57" s="12"/>
      <c r="WTL57" s="12"/>
      <c r="WTM57" s="12"/>
      <c r="WTN57" s="12"/>
      <c r="WTO57" s="12"/>
      <c r="WTP57" s="12"/>
      <c r="WTQ57" s="12"/>
      <c r="WTR57" s="12"/>
      <c r="WTS57" s="12"/>
      <c r="WTT57" s="12"/>
      <c r="WTU57" s="12"/>
      <c r="WTV57" s="12"/>
      <c r="WTW57" s="12"/>
      <c r="WTX57" s="12"/>
      <c r="WTY57" s="12"/>
      <c r="WTZ57" s="12"/>
      <c r="WUA57" s="12"/>
      <c r="WUB57" s="12"/>
      <c r="WUC57" s="12"/>
      <c r="WUD57" s="12"/>
      <c r="WUE57" s="12"/>
      <c r="WUF57" s="12"/>
      <c r="WUG57" s="12"/>
      <c r="WUH57" s="12"/>
      <c r="WUI57" s="12"/>
      <c r="WUJ57" s="12"/>
      <c r="WUK57" s="12"/>
      <c r="WUL57" s="12"/>
      <c r="WUM57" s="12"/>
      <c r="WUN57" s="12"/>
      <c r="WUO57" s="12"/>
      <c r="WUP57" s="12"/>
      <c r="WUQ57" s="12"/>
      <c r="WUR57" s="12"/>
      <c r="WUS57" s="12"/>
      <c r="WUT57" s="12"/>
      <c r="WUU57" s="12"/>
      <c r="WUV57" s="12"/>
      <c r="WUW57" s="12"/>
      <c r="WUX57" s="12"/>
      <c r="WUY57" s="12"/>
      <c r="WUZ57" s="12"/>
      <c r="WVA57" s="12"/>
      <c r="WVB57" s="12"/>
      <c r="WVC57" s="12"/>
      <c r="WVD57" s="12"/>
      <c r="WVE57" s="12"/>
      <c r="WVF57" s="12"/>
      <c r="WVG57" s="12"/>
      <c r="WVH57" s="12"/>
      <c r="WVI57" s="12"/>
      <c r="WVJ57" s="12"/>
      <c r="WVK57" s="12"/>
      <c r="WVL57" s="12"/>
      <c r="WVM57" s="12"/>
      <c r="WVN57" s="12"/>
      <c r="WVO57" s="12"/>
      <c r="WVP57" s="12"/>
      <c r="WVQ57" s="12"/>
      <c r="WVR57" s="12"/>
      <c r="WVS57" s="12"/>
      <c r="WVT57" s="12"/>
      <c r="WVU57" s="12"/>
      <c r="WVV57" s="12"/>
      <c r="WVW57" s="12"/>
      <c r="WVX57" s="12"/>
      <c r="WVY57" s="12"/>
      <c r="WVZ57" s="12"/>
      <c r="WWA57" s="12"/>
      <c r="WWB57" s="12"/>
      <c r="WWC57" s="12"/>
      <c r="WWD57" s="12"/>
      <c r="WWE57" s="12"/>
      <c r="WWF57" s="12"/>
      <c r="WWG57" s="12"/>
      <c r="WWH57" s="12"/>
      <c r="WWI57" s="12"/>
      <c r="WWJ57" s="12"/>
      <c r="WWK57" s="12"/>
      <c r="WWL57" s="12"/>
      <c r="WWM57" s="12"/>
      <c r="WWN57" s="12"/>
      <c r="WWO57" s="12"/>
      <c r="WWP57" s="12"/>
      <c r="WWQ57" s="12"/>
      <c r="WWR57" s="12"/>
      <c r="WWS57" s="12"/>
      <c r="WWT57" s="12"/>
      <c r="WWU57" s="12"/>
      <c r="WWV57" s="12"/>
      <c r="WWW57" s="12"/>
      <c r="WWX57" s="12"/>
      <c r="WWY57" s="12"/>
      <c r="WWZ57" s="12"/>
      <c r="WXA57" s="12"/>
      <c r="WXB57" s="12"/>
      <c r="WXC57" s="12"/>
      <c r="WXD57" s="12"/>
      <c r="WXE57" s="12"/>
      <c r="WXF57" s="12"/>
      <c r="WXG57" s="12"/>
      <c r="WXH57" s="12"/>
      <c r="WXI57" s="12"/>
      <c r="WXJ57" s="12"/>
      <c r="WXK57" s="12"/>
      <c r="WXL57" s="12"/>
      <c r="WXM57" s="12"/>
      <c r="WXN57" s="12"/>
      <c r="WXO57" s="12"/>
      <c r="WXP57" s="12"/>
      <c r="WXQ57" s="12"/>
      <c r="WXR57" s="12"/>
      <c r="WXS57" s="12"/>
      <c r="WXT57" s="12"/>
      <c r="WXU57" s="12"/>
      <c r="WXV57" s="12"/>
      <c r="WXW57" s="12"/>
      <c r="WXX57" s="12"/>
      <c r="WXY57" s="12"/>
      <c r="WXZ57" s="12"/>
      <c r="WYA57" s="12"/>
      <c r="WYB57" s="12"/>
      <c r="WYC57" s="12"/>
      <c r="WYD57" s="12"/>
      <c r="WYE57" s="12"/>
      <c r="WYF57" s="12"/>
      <c r="WYG57" s="12"/>
      <c r="WYH57" s="12"/>
      <c r="WYI57" s="12"/>
      <c r="WYJ57" s="12"/>
      <c r="WYK57" s="12"/>
      <c r="WYL57" s="12"/>
      <c r="WYM57" s="12"/>
      <c r="WYN57" s="12"/>
      <c r="WYO57" s="12"/>
      <c r="WYP57" s="12"/>
      <c r="WYQ57" s="12"/>
      <c r="WYR57" s="12"/>
      <c r="WYS57" s="12"/>
      <c r="WYT57" s="12"/>
      <c r="WYU57" s="12"/>
      <c r="WYV57" s="12"/>
      <c r="WYW57" s="12"/>
      <c r="WYX57" s="12"/>
      <c r="WYY57" s="12"/>
      <c r="WYZ57" s="12"/>
      <c r="WZA57" s="12"/>
      <c r="WZB57" s="12"/>
      <c r="WZC57" s="12"/>
      <c r="WZD57" s="12"/>
      <c r="WZE57" s="12"/>
      <c r="WZF57" s="12"/>
      <c r="WZG57" s="12"/>
      <c r="WZH57" s="12"/>
      <c r="WZI57" s="12"/>
      <c r="WZJ57" s="12"/>
      <c r="WZK57" s="12"/>
      <c r="WZL57" s="12"/>
      <c r="WZM57" s="12"/>
      <c r="WZN57" s="12"/>
      <c r="WZO57" s="12"/>
      <c r="WZP57" s="12"/>
      <c r="WZQ57" s="12"/>
      <c r="WZR57" s="12"/>
      <c r="WZS57" s="12"/>
      <c r="WZT57" s="12"/>
      <c r="WZU57" s="12"/>
      <c r="WZV57" s="12"/>
      <c r="WZW57" s="12"/>
      <c r="WZX57" s="12"/>
      <c r="WZY57" s="12"/>
      <c r="WZZ57" s="12"/>
      <c r="XAA57" s="12"/>
      <c r="XAB57" s="12"/>
      <c r="XAC57" s="12"/>
      <c r="XAD57" s="12"/>
      <c r="XAE57" s="12"/>
      <c r="XAF57" s="12"/>
      <c r="XAG57" s="12"/>
      <c r="XAH57" s="12"/>
      <c r="XAI57" s="12"/>
      <c r="XAJ57" s="12"/>
      <c r="XAK57" s="12"/>
      <c r="XAL57" s="12"/>
      <c r="XAM57" s="12"/>
      <c r="XAN57" s="12"/>
      <c r="XAO57" s="12"/>
      <c r="XAP57" s="12"/>
      <c r="XAQ57" s="12"/>
      <c r="XAR57" s="12"/>
      <c r="XAS57" s="12"/>
      <c r="XAT57" s="12"/>
      <c r="XAU57" s="12"/>
      <c r="XAV57" s="12"/>
      <c r="XAW57" s="12"/>
      <c r="XAX57" s="12"/>
      <c r="XAY57" s="12"/>
      <c r="XAZ57" s="12"/>
      <c r="XBA57" s="12"/>
      <c r="XBB57" s="12"/>
      <c r="XBC57" s="12"/>
      <c r="XBD57" s="12"/>
      <c r="XBE57" s="12"/>
      <c r="XBF57" s="12"/>
      <c r="XBG57" s="12"/>
      <c r="XBH57" s="12"/>
      <c r="XBI57" s="12"/>
      <c r="XBJ57" s="12"/>
      <c r="XBK57" s="12"/>
      <c r="XBL57" s="12"/>
      <c r="XBM57" s="12"/>
      <c r="XBN57" s="12"/>
      <c r="XBO57" s="12"/>
      <c r="XBP57" s="12"/>
      <c r="XBQ57" s="12"/>
      <c r="XBR57" s="12"/>
      <c r="XBS57" s="12"/>
      <c r="XBT57" s="12"/>
      <c r="XBU57" s="12"/>
      <c r="XBV57" s="12"/>
      <c r="XBW57" s="12"/>
      <c r="XBX57" s="12"/>
      <c r="XBY57" s="12"/>
      <c r="XBZ57" s="12"/>
      <c r="XCA57" s="12"/>
      <c r="XCB57" s="12"/>
      <c r="XCC57" s="12"/>
      <c r="XCD57" s="12"/>
      <c r="XCE57" s="12"/>
      <c r="XCF57" s="12"/>
      <c r="XCG57" s="12"/>
      <c r="XCH57" s="12"/>
    </row>
    <row r="58" spans="1:16310" s="115" customFormat="1" ht="10.199999999999999" x14ac:dyDescent="0.2">
      <c r="A58" s="122">
        <v>1</v>
      </c>
      <c r="C58" s="123"/>
      <c r="D58" s="116" t="str">
        <f>IF(ISERROR(VLOOKUP('Оценка трудоемкости'!$C58,Справочники!S:V,3,0))=TRUE,"",VLOOKUP('Оценка трудоемкости'!$C58,Справочники!S:V,3,0))</f>
        <v/>
      </c>
      <c r="E58" s="116">
        <f>IF(ISERROR(VLOOKUP('Оценка трудоемкости'!$C58,Справочники!S:V,4,0))=TRUE,0,VLOOKUP('Оценка трудоемкости'!$C58,Справочники!S:V,4,0))</f>
        <v>0</v>
      </c>
      <c r="F58" s="127"/>
      <c r="G58" s="116">
        <f t="shared" si="207"/>
        <v>0</v>
      </c>
      <c r="H58" s="12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116">
        <f t="shared" si="208"/>
        <v>0</v>
      </c>
      <c r="V58" s="12"/>
      <c r="W58" s="124"/>
      <c r="X58" s="124"/>
      <c r="Y58" s="124"/>
      <c r="Z58" s="124"/>
      <c r="AA58" s="124"/>
      <c r="AB58" s="124"/>
      <c r="AC58" s="124"/>
      <c r="AD58" s="124"/>
      <c r="AE58" s="124"/>
      <c r="AF58" s="124"/>
      <c r="AG58" s="124"/>
      <c r="AH58" s="124"/>
      <c r="AI58" s="116">
        <f t="shared" si="209"/>
        <v>0</v>
      </c>
      <c r="AJ58" s="12"/>
      <c r="AK58" s="124"/>
      <c r="AL58" s="124"/>
      <c r="AM58" s="124"/>
      <c r="AN58" s="124"/>
      <c r="AO58" s="124"/>
      <c r="AP58" s="124"/>
      <c r="AQ58" s="124"/>
      <c r="AR58" s="124"/>
      <c r="AS58" s="124"/>
      <c r="AT58" s="124"/>
      <c r="AU58" s="124"/>
      <c r="AV58" s="124"/>
      <c r="AW58" s="116">
        <f t="shared" si="210"/>
        <v>0</v>
      </c>
      <c r="AX58" s="12"/>
      <c r="AY58" s="124"/>
      <c r="AZ58" s="124"/>
      <c r="BA58" s="124"/>
      <c r="BB58" s="124"/>
      <c r="BC58" s="124"/>
      <c r="BD58" s="124"/>
      <c r="BE58" s="124"/>
      <c r="BF58" s="124"/>
      <c r="BG58" s="124"/>
      <c r="BH58" s="124"/>
      <c r="BI58" s="124"/>
      <c r="BJ58" s="124"/>
      <c r="BK58" s="116">
        <f t="shared" si="211"/>
        <v>0</v>
      </c>
      <c r="BL58" s="12"/>
      <c r="BM58" s="124"/>
      <c r="BN58" s="124"/>
      <c r="BO58" s="124"/>
      <c r="BP58" s="124"/>
      <c r="BQ58" s="124"/>
      <c r="BR58" s="124"/>
      <c r="BS58" s="124"/>
      <c r="BT58" s="124"/>
      <c r="BU58" s="124"/>
      <c r="BV58" s="124"/>
      <c r="BW58" s="124"/>
      <c r="BX58" s="124"/>
      <c r="BY58" s="116">
        <f t="shared" si="212"/>
        <v>0</v>
      </c>
      <c r="BZ58" s="12"/>
      <c r="CA58" s="116">
        <f t="shared" si="213"/>
        <v>0</v>
      </c>
      <c r="CB58" s="12"/>
      <c r="CC58" s="118">
        <f t="shared" si="147"/>
        <v>0</v>
      </c>
      <c r="CD58" s="118">
        <f t="shared" si="148"/>
        <v>0</v>
      </c>
      <c r="CE58" s="118">
        <f t="shared" si="149"/>
        <v>0</v>
      </c>
      <c r="CF58" s="118">
        <f t="shared" si="150"/>
        <v>0</v>
      </c>
      <c r="CG58" s="118">
        <f t="shared" si="151"/>
        <v>0</v>
      </c>
      <c r="CH58" s="118">
        <f t="shared" si="152"/>
        <v>0</v>
      </c>
      <c r="CI58" s="118">
        <f t="shared" si="153"/>
        <v>0</v>
      </c>
      <c r="CJ58" s="118">
        <f t="shared" si="154"/>
        <v>0</v>
      </c>
      <c r="CK58" s="118">
        <f t="shared" si="155"/>
        <v>0</v>
      </c>
      <c r="CL58" s="118">
        <f t="shared" si="156"/>
        <v>0</v>
      </c>
      <c r="CM58" s="118">
        <f t="shared" si="157"/>
        <v>0</v>
      </c>
      <c r="CN58" s="118">
        <f t="shared" si="158"/>
        <v>0</v>
      </c>
      <c r="CO58" s="41">
        <f t="shared" si="219"/>
        <v>0</v>
      </c>
      <c r="CP58" s="12"/>
      <c r="CQ58" s="118">
        <f t="shared" si="159"/>
        <v>0</v>
      </c>
      <c r="CR58" s="118">
        <f t="shared" si="160"/>
        <v>0</v>
      </c>
      <c r="CS58" s="118">
        <f t="shared" si="161"/>
        <v>0</v>
      </c>
      <c r="CT58" s="118">
        <f t="shared" si="162"/>
        <v>0</v>
      </c>
      <c r="CU58" s="118">
        <f t="shared" si="163"/>
        <v>0</v>
      </c>
      <c r="CV58" s="118">
        <f t="shared" si="164"/>
        <v>0</v>
      </c>
      <c r="CW58" s="118">
        <f t="shared" si="165"/>
        <v>0</v>
      </c>
      <c r="CX58" s="118">
        <f t="shared" si="166"/>
        <v>0</v>
      </c>
      <c r="CY58" s="118">
        <f t="shared" si="167"/>
        <v>0</v>
      </c>
      <c r="CZ58" s="118">
        <f t="shared" si="168"/>
        <v>0</v>
      </c>
      <c r="DA58" s="118">
        <f t="shared" si="169"/>
        <v>0</v>
      </c>
      <c r="DB58" s="118">
        <f t="shared" si="170"/>
        <v>0</v>
      </c>
      <c r="DC58" s="41">
        <f t="shared" si="220"/>
        <v>0</v>
      </c>
      <c r="DD58" s="12"/>
      <c r="DE58" s="118">
        <f t="shared" si="171"/>
        <v>0</v>
      </c>
      <c r="DF58" s="118">
        <f t="shared" si="172"/>
        <v>0</v>
      </c>
      <c r="DG58" s="118">
        <f t="shared" si="173"/>
        <v>0</v>
      </c>
      <c r="DH58" s="118">
        <f t="shared" si="174"/>
        <v>0</v>
      </c>
      <c r="DI58" s="118">
        <f t="shared" si="175"/>
        <v>0</v>
      </c>
      <c r="DJ58" s="118">
        <f t="shared" si="176"/>
        <v>0</v>
      </c>
      <c r="DK58" s="118">
        <f t="shared" si="177"/>
        <v>0</v>
      </c>
      <c r="DL58" s="118">
        <f t="shared" si="178"/>
        <v>0</v>
      </c>
      <c r="DM58" s="118">
        <f t="shared" si="179"/>
        <v>0</v>
      </c>
      <c r="DN58" s="118">
        <f t="shared" si="180"/>
        <v>0</v>
      </c>
      <c r="DO58" s="118">
        <f t="shared" si="181"/>
        <v>0</v>
      </c>
      <c r="DP58" s="118">
        <f t="shared" si="182"/>
        <v>0</v>
      </c>
      <c r="DQ58" s="41">
        <f t="shared" si="221"/>
        <v>0</v>
      </c>
      <c r="DR58" s="12"/>
      <c r="DS58" s="118">
        <f t="shared" si="183"/>
        <v>0</v>
      </c>
      <c r="DT58" s="118">
        <f t="shared" si="184"/>
        <v>0</v>
      </c>
      <c r="DU58" s="118">
        <f t="shared" si="185"/>
        <v>0</v>
      </c>
      <c r="DV58" s="118">
        <f t="shared" si="186"/>
        <v>0</v>
      </c>
      <c r="DW58" s="118">
        <f t="shared" si="187"/>
        <v>0</v>
      </c>
      <c r="DX58" s="118">
        <f t="shared" si="188"/>
        <v>0</v>
      </c>
      <c r="DY58" s="118">
        <f t="shared" si="189"/>
        <v>0</v>
      </c>
      <c r="DZ58" s="118">
        <f t="shared" si="190"/>
        <v>0</v>
      </c>
      <c r="EA58" s="118">
        <f t="shared" si="191"/>
        <v>0</v>
      </c>
      <c r="EB58" s="118">
        <f t="shared" si="192"/>
        <v>0</v>
      </c>
      <c r="EC58" s="118">
        <f t="shared" si="193"/>
        <v>0</v>
      </c>
      <c r="ED58" s="118">
        <f t="shared" si="194"/>
        <v>0</v>
      </c>
      <c r="EE58" s="41">
        <f t="shared" si="222"/>
        <v>0</v>
      </c>
      <c r="EF58" s="12"/>
      <c r="EG58" s="118">
        <f t="shared" si="195"/>
        <v>0</v>
      </c>
      <c r="EH58" s="118">
        <f t="shared" si="196"/>
        <v>0</v>
      </c>
      <c r="EI58" s="118">
        <f t="shared" si="197"/>
        <v>0</v>
      </c>
      <c r="EJ58" s="118">
        <f t="shared" si="198"/>
        <v>0</v>
      </c>
      <c r="EK58" s="118">
        <f t="shared" si="199"/>
        <v>0</v>
      </c>
      <c r="EL58" s="118">
        <f t="shared" si="200"/>
        <v>0</v>
      </c>
      <c r="EM58" s="118">
        <f t="shared" si="201"/>
        <v>0</v>
      </c>
      <c r="EN58" s="118">
        <f t="shared" si="202"/>
        <v>0</v>
      </c>
      <c r="EO58" s="118">
        <f t="shared" si="203"/>
        <v>0</v>
      </c>
      <c r="EP58" s="118">
        <f t="shared" si="204"/>
        <v>0</v>
      </c>
      <c r="EQ58" s="118">
        <f t="shared" si="205"/>
        <v>0</v>
      </c>
      <c r="ER58" s="118">
        <f t="shared" si="206"/>
        <v>0</v>
      </c>
      <c r="ES58" s="41">
        <f t="shared" si="223"/>
        <v>0</v>
      </c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12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12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12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12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/>
      <c r="IZ58" s="12"/>
      <c r="JA58" s="12"/>
      <c r="JB58" s="12"/>
      <c r="JC58" s="12"/>
      <c r="JD58" s="12"/>
      <c r="JE58" s="12"/>
      <c r="JF58" s="12"/>
      <c r="JG58" s="12"/>
      <c r="JH58" s="12"/>
      <c r="JI58" s="12"/>
      <c r="JJ58" s="12"/>
      <c r="JK58" s="12"/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12"/>
      <c r="JX58" s="12"/>
      <c r="JY58" s="12"/>
      <c r="JZ58" s="12"/>
      <c r="KA58" s="12"/>
      <c r="KB58" s="12"/>
      <c r="KC58" s="12"/>
      <c r="KD58" s="12"/>
      <c r="KE58" s="12"/>
      <c r="KF58" s="12"/>
      <c r="KG58" s="12"/>
      <c r="KH58" s="12"/>
      <c r="KI58" s="12"/>
      <c r="KJ58" s="12"/>
      <c r="KK58" s="12"/>
      <c r="KL58" s="12"/>
      <c r="KM58" s="12"/>
      <c r="KN58" s="12"/>
      <c r="KO58" s="12"/>
      <c r="KP58" s="12"/>
      <c r="KQ58" s="12"/>
      <c r="KR58" s="12"/>
      <c r="KS58" s="12"/>
      <c r="KT58" s="12"/>
      <c r="KU58" s="12"/>
      <c r="KV58" s="12"/>
      <c r="KW58" s="12"/>
      <c r="KX58" s="12"/>
      <c r="KY58" s="12"/>
      <c r="KZ58" s="12"/>
      <c r="LA58" s="12"/>
      <c r="LB58" s="12"/>
      <c r="LC58" s="12"/>
      <c r="LD58" s="12"/>
      <c r="LE58" s="12"/>
      <c r="LF58" s="12"/>
      <c r="LG58" s="12"/>
      <c r="LH58" s="12"/>
      <c r="LI58" s="12"/>
      <c r="LJ58" s="12"/>
      <c r="LK58" s="12"/>
      <c r="LL58" s="12"/>
      <c r="LM58" s="12"/>
      <c r="LN58" s="12"/>
      <c r="LO58" s="12"/>
      <c r="LP58" s="12"/>
      <c r="LQ58" s="12"/>
      <c r="LR58" s="12"/>
      <c r="LS58" s="12"/>
      <c r="LT58" s="12"/>
      <c r="LU58" s="12"/>
      <c r="LV58" s="12"/>
      <c r="LW58" s="12"/>
      <c r="LX58" s="12"/>
      <c r="LY58" s="12"/>
      <c r="LZ58" s="12"/>
      <c r="MA58" s="12"/>
      <c r="MB58" s="12"/>
      <c r="MC58" s="12"/>
      <c r="MD58" s="12"/>
      <c r="ME58" s="12"/>
      <c r="MF58" s="12"/>
      <c r="MG58" s="12"/>
      <c r="MH58" s="12"/>
      <c r="MI58" s="12"/>
      <c r="MJ58" s="12"/>
      <c r="MK58" s="12"/>
      <c r="ML58" s="12"/>
      <c r="MM58" s="12"/>
      <c r="MN58" s="12"/>
      <c r="MO58" s="12"/>
      <c r="MP58" s="12"/>
      <c r="MQ58" s="12"/>
      <c r="MR58" s="12"/>
      <c r="MS58" s="12"/>
      <c r="MT58" s="12"/>
      <c r="MU58" s="12"/>
      <c r="MV58" s="12"/>
      <c r="MW58" s="12"/>
      <c r="MX58" s="12"/>
      <c r="MY58" s="12"/>
      <c r="MZ58" s="12"/>
      <c r="NA58" s="12"/>
      <c r="NB58" s="12"/>
      <c r="NC58" s="12"/>
      <c r="ND58" s="12"/>
      <c r="NE58" s="12"/>
      <c r="NF58" s="12"/>
      <c r="NG58" s="12"/>
      <c r="NH58" s="12"/>
      <c r="NI58" s="12"/>
      <c r="NJ58" s="12"/>
      <c r="NK58" s="12"/>
      <c r="NL58" s="12"/>
      <c r="NM58" s="12"/>
      <c r="NN58" s="12"/>
      <c r="NO58" s="12"/>
      <c r="NP58" s="12"/>
      <c r="NQ58" s="12"/>
      <c r="NR58" s="12"/>
      <c r="NS58" s="12"/>
      <c r="NT58" s="12"/>
      <c r="NU58" s="12"/>
      <c r="NV58" s="12"/>
      <c r="NW58" s="12"/>
      <c r="NX58" s="12"/>
      <c r="NY58" s="12"/>
      <c r="NZ58" s="12"/>
      <c r="OA58" s="12"/>
      <c r="OB58" s="12"/>
      <c r="OC58" s="12"/>
      <c r="OD58" s="12"/>
      <c r="OE58" s="12"/>
      <c r="OF58" s="12"/>
      <c r="OG58" s="12"/>
      <c r="OH58" s="12"/>
      <c r="OI58" s="12"/>
      <c r="OJ58" s="12"/>
      <c r="OK58" s="12"/>
      <c r="OL58" s="12"/>
      <c r="OM58" s="12"/>
      <c r="ON58" s="12"/>
      <c r="OO58" s="12"/>
      <c r="OP58" s="12"/>
      <c r="OQ58" s="12"/>
      <c r="OR58" s="12"/>
      <c r="OS58" s="12"/>
      <c r="OT58" s="12"/>
      <c r="OU58" s="12"/>
      <c r="OV58" s="12"/>
      <c r="OW58" s="12"/>
      <c r="OX58" s="12"/>
      <c r="OY58" s="12"/>
      <c r="OZ58" s="12"/>
      <c r="PA58" s="12"/>
      <c r="PB58" s="12"/>
      <c r="PC58" s="12"/>
      <c r="PD58" s="12"/>
      <c r="PE58" s="12"/>
      <c r="PF58" s="12"/>
      <c r="PG58" s="12"/>
      <c r="PH58" s="12"/>
      <c r="PI58" s="12"/>
      <c r="PJ58" s="12"/>
      <c r="PK58" s="12"/>
      <c r="PL58" s="12"/>
      <c r="PM58" s="12"/>
      <c r="PN58" s="12"/>
      <c r="PO58" s="12"/>
      <c r="PP58" s="12"/>
      <c r="PQ58" s="12"/>
      <c r="PR58" s="12"/>
      <c r="PS58" s="12"/>
      <c r="PT58" s="12"/>
      <c r="PU58" s="12"/>
      <c r="PV58" s="12"/>
      <c r="PW58" s="12"/>
      <c r="PX58" s="12"/>
      <c r="PY58" s="12"/>
      <c r="PZ58" s="12"/>
      <c r="QA58" s="12"/>
      <c r="QB58" s="12"/>
      <c r="QC58" s="12"/>
      <c r="QD58" s="12"/>
      <c r="QE58" s="12"/>
      <c r="QF58" s="12"/>
      <c r="QG58" s="12"/>
      <c r="QH58" s="12"/>
      <c r="QI58" s="12"/>
      <c r="QJ58" s="12"/>
      <c r="QK58" s="12"/>
      <c r="QL58" s="12"/>
      <c r="QM58" s="12"/>
      <c r="QN58" s="12"/>
      <c r="QO58" s="12"/>
      <c r="QP58" s="12"/>
      <c r="QQ58" s="12"/>
      <c r="QR58" s="12"/>
      <c r="QS58" s="12"/>
      <c r="QT58" s="12"/>
      <c r="QU58" s="12"/>
      <c r="QV58" s="12"/>
      <c r="QW58" s="12"/>
      <c r="QX58" s="12"/>
      <c r="QY58" s="12"/>
      <c r="QZ58" s="12"/>
      <c r="RA58" s="12"/>
      <c r="RB58" s="12"/>
      <c r="RC58" s="12"/>
      <c r="RD58" s="12"/>
      <c r="RE58" s="12"/>
      <c r="RF58" s="12"/>
      <c r="RG58" s="12"/>
      <c r="RH58" s="12"/>
      <c r="RI58" s="12"/>
      <c r="RJ58" s="12"/>
      <c r="RK58" s="12"/>
      <c r="RL58" s="12"/>
      <c r="RM58" s="12"/>
      <c r="RN58" s="12"/>
      <c r="RO58" s="12"/>
      <c r="RP58" s="12"/>
      <c r="RQ58" s="12"/>
      <c r="RR58" s="12"/>
      <c r="RS58" s="12"/>
      <c r="RT58" s="12"/>
      <c r="RU58" s="12"/>
      <c r="RV58" s="12"/>
      <c r="RW58" s="12"/>
      <c r="RX58" s="12"/>
      <c r="RY58" s="12"/>
      <c r="RZ58" s="12"/>
      <c r="SA58" s="12"/>
      <c r="SB58" s="12"/>
      <c r="SC58" s="12"/>
      <c r="SD58" s="12"/>
      <c r="SE58" s="12"/>
      <c r="SF58" s="12"/>
      <c r="SG58" s="12"/>
      <c r="SH58" s="12"/>
      <c r="SI58" s="12"/>
      <c r="SJ58" s="12"/>
      <c r="SK58" s="12"/>
      <c r="SL58" s="12"/>
      <c r="SM58" s="12"/>
      <c r="SN58" s="12"/>
      <c r="SO58" s="12"/>
      <c r="SP58" s="12"/>
      <c r="SQ58" s="12"/>
      <c r="SR58" s="12"/>
      <c r="SS58" s="12"/>
      <c r="ST58" s="12"/>
      <c r="SU58" s="12"/>
      <c r="SV58" s="12"/>
      <c r="SW58" s="12"/>
      <c r="SX58" s="12"/>
      <c r="SY58" s="12"/>
      <c r="SZ58" s="12"/>
      <c r="TA58" s="12"/>
      <c r="TB58" s="12"/>
      <c r="TC58" s="12"/>
      <c r="TD58" s="12"/>
      <c r="TE58" s="12"/>
      <c r="TF58" s="12"/>
      <c r="TG58" s="12"/>
      <c r="TH58" s="12"/>
      <c r="TI58" s="12"/>
      <c r="TJ58" s="12"/>
      <c r="TK58" s="12"/>
      <c r="TL58" s="12"/>
      <c r="TM58" s="12"/>
      <c r="TN58" s="12"/>
      <c r="TO58" s="12"/>
      <c r="TP58" s="12"/>
      <c r="TQ58" s="12"/>
      <c r="TR58" s="12"/>
      <c r="TS58" s="12"/>
      <c r="TT58" s="12"/>
      <c r="TU58" s="12"/>
      <c r="TV58" s="12"/>
      <c r="TW58" s="12"/>
      <c r="TX58" s="12"/>
      <c r="TY58" s="12"/>
      <c r="TZ58" s="12"/>
      <c r="UA58" s="12"/>
      <c r="UB58" s="12"/>
      <c r="UC58" s="12"/>
      <c r="UD58" s="12"/>
      <c r="UE58" s="12"/>
      <c r="UF58" s="12"/>
      <c r="UG58" s="12"/>
      <c r="UH58" s="12"/>
      <c r="UI58" s="12"/>
      <c r="UJ58" s="12"/>
      <c r="UK58" s="12"/>
      <c r="UL58" s="12"/>
      <c r="UM58" s="12"/>
      <c r="UN58" s="12"/>
      <c r="UO58" s="12"/>
      <c r="UP58" s="12"/>
      <c r="UQ58" s="12"/>
      <c r="UR58" s="12"/>
      <c r="US58" s="12"/>
      <c r="UT58" s="12"/>
      <c r="UU58" s="12"/>
      <c r="UV58" s="12"/>
      <c r="UW58" s="12"/>
      <c r="UX58" s="12"/>
      <c r="UY58" s="12"/>
      <c r="UZ58" s="12"/>
      <c r="VA58" s="12"/>
      <c r="VB58" s="12"/>
      <c r="VC58" s="12"/>
      <c r="VD58" s="12"/>
      <c r="VE58" s="12"/>
      <c r="VF58" s="12"/>
      <c r="VG58" s="12"/>
      <c r="VH58" s="12"/>
      <c r="VI58" s="12"/>
      <c r="VJ58" s="12"/>
      <c r="VK58" s="12"/>
      <c r="VL58" s="12"/>
      <c r="VM58" s="12"/>
      <c r="VN58" s="12"/>
      <c r="VO58" s="12"/>
      <c r="VP58" s="12"/>
      <c r="VQ58" s="12"/>
      <c r="VR58" s="12"/>
      <c r="VS58" s="12"/>
      <c r="VT58" s="12"/>
      <c r="VU58" s="12"/>
      <c r="VV58" s="12"/>
      <c r="VW58" s="12"/>
      <c r="VX58" s="12"/>
      <c r="VY58" s="12"/>
      <c r="VZ58" s="12"/>
      <c r="WA58" s="12"/>
      <c r="WB58" s="12"/>
      <c r="WC58" s="12"/>
      <c r="WD58" s="12"/>
      <c r="WE58" s="12"/>
      <c r="WF58" s="12"/>
      <c r="WG58" s="12"/>
      <c r="WH58" s="12"/>
      <c r="WI58" s="12"/>
      <c r="WJ58" s="12"/>
      <c r="WK58" s="12"/>
      <c r="WL58" s="12"/>
      <c r="WM58" s="12"/>
      <c r="WN58" s="12"/>
      <c r="WO58" s="12"/>
      <c r="WP58" s="12"/>
      <c r="WQ58" s="12"/>
      <c r="WR58" s="12"/>
      <c r="WS58" s="12"/>
      <c r="WT58" s="12"/>
      <c r="WU58" s="12"/>
      <c r="WV58" s="12"/>
      <c r="WW58" s="12"/>
      <c r="WX58" s="12"/>
      <c r="WY58" s="12"/>
      <c r="WZ58" s="12"/>
      <c r="XA58" s="12"/>
      <c r="XB58" s="12"/>
      <c r="XC58" s="12"/>
      <c r="XD58" s="12"/>
      <c r="XE58" s="12"/>
      <c r="XF58" s="12"/>
      <c r="XG58" s="12"/>
      <c r="XH58" s="12"/>
      <c r="XI58" s="12"/>
      <c r="XJ58" s="12"/>
      <c r="XK58" s="12"/>
      <c r="XL58" s="12"/>
      <c r="XM58" s="12"/>
      <c r="XN58" s="12"/>
      <c r="XO58" s="12"/>
      <c r="XP58" s="12"/>
      <c r="XQ58" s="12"/>
      <c r="XR58" s="12"/>
      <c r="XS58" s="12"/>
      <c r="XT58" s="12"/>
      <c r="XU58" s="12"/>
      <c r="XV58" s="12"/>
      <c r="XW58" s="12"/>
      <c r="XX58" s="12"/>
      <c r="XY58" s="12"/>
      <c r="XZ58" s="12"/>
      <c r="YA58" s="12"/>
      <c r="YB58" s="12"/>
      <c r="YC58" s="12"/>
      <c r="YD58" s="12"/>
      <c r="YE58" s="12"/>
      <c r="YF58" s="12"/>
      <c r="YG58" s="12"/>
      <c r="YH58" s="12"/>
      <c r="YI58" s="12"/>
      <c r="YJ58" s="12"/>
      <c r="YK58" s="12"/>
      <c r="YL58" s="12"/>
      <c r="YM58" s="12"/>
      <c r="YN58" s="12"/>
      <c r="YO58" s="12"/>
      <c r="YP58" s="12"/>
      <c r="YQ58" s="12"/>
      <c r="YR58" s="12"/>
      <c r="YS58" s="12"/>
      <c r="YT58" s="12"/>
      <c r="YU58" s="12"/>
      <c r="YV58" s="12"/>
      <c r="YW58" s="12"/>
      <c r="YX58" s="12"/>
      <c r="YY58" s="12"/>
      <c r="YZ58" s="12"/>
      <c r="ZA58" s="12"/>
      <c r="ZB58" s="12"/>
      <c r="ZC58" s="12"/>
      <c r="ZD58" s="12"/>
      <c r="ZE58" s="12"/>
      <c r="ZF58" s="12"/>
      <c r="ZG58" s="12"/>
      <c r="ZH58" s="12"/>
      <c r="ZI58" s="12"/>
      <c r="ZJ58" s="12"/>
      <c r="ZK58" s="12"/>
      <c r="ZL58" s="12"/>
      <c r="ZM58" s="12"/>
      <c r="ZN58" s="12"/>
      <c r="ZO58" s="12"/>
      <c r="ZP58" s="12"/>
      <c r="ZQ58" s="12"/>
      <c r="ZR58" s="12"/>
      <c r="ZS58" s="12"/>
      <c r="ZT58" s="12"/>
      <c r="ZU58" s="12"/>
      <c r="ZV58" s="12"/>
      <c r="ZW58" s="12"/>
      <c r="ZX58" s="12"/>
      <c r="ZY58" s="12"/>
      <c r="ZZ58" s="12"/>
      <c r="AAA58" s="12"/>
      <c r="AAB58" s="12"/>
      <c r="AAC58" s="12"/>
      <c r="AAD58" s="12"/>
      <c r="AAE58" s="12"/>
      <c r="AAF58" s="12"/>
      <c r="AAG58" s="12"/>
      <c r="AAH58" s="12"/>
      <c r="AAI58" s="12"/>
      <c r="AAJ58" s="12"/>
      <c r="AAK58" s="12"/>
      <c r="AAL58" s="12"/>
      <c r="AAM58" s="12"/>
      <c r="AAN58" s="12"/>
      <c r="AAO58" s="12"/>
      <c r="AAP58" s="12"/>
      <c r="AAQ58" s="12"/>
      <c r="AAR58" s="12"/>
      <c r="AAS58" s="12"/>
      <c r="AAT58" s="12"/>
      <c r="AAU58" s="12"/>
      <c r="AAV58" s="12"/>
      <c r="AAW58" s="12"/>
      <c r="AAX58" s="12"/>
      <c r="AAY58" s="12"/>
      <c r="AAZ58" s="12"/>
      <c r="ABA58" s="12"/>
      <c r="ABB58" s="12"/>
      <c r="ABC58" s="12"/>
      <c r="ABD58" s="12"/>
      <c r="ABE58" s="12"/>
      <c r="ABF58" s="12"/>
      <c r="ABG58" s="12"/>
      <c r="ABH58" s="12"/>
      <c r="ABI58" s="12"/>
      <c r="ABJ58" s="12"/>
      <c r="ABK58" s="12"/>
      <c r="ABL58" s="12"/>
      <c r="ABM58" s="12"/>
      <c r="ABN58" s="12"/>
      <c r="ABO58" s="12"/>
      <c r="ABP58" s="12"/>
      <c r="ABQ58" s="12"/>
      <c r="ABR58" s="12"/>
      <c r="ABS58" s="12"/>
      <c r="ABT58" s="12"/>
      <c r="ABU58" s="12"/>
      <c r="ABV58" s="12"/>
      <c r="ABW58" s="12"/>
      <c r="ABX58" s="12"/>
      <c r="ABY58" s="12"/>
      <c r="ABZ58" s="12"/>
      <c r="ACA58" s="12"/>
      <c r="ACB58" s="12"/>
      <c r="ACC58" s="12"/>
      <c r="ACD58" s="12"/>
      <c r="ACE58" s="12"/>
      <c r="ACF58" s="12"/>
      <c r="ACG58" s="12"/>
      <c r="ACH58" s="12"/>
      <c r="ACI58" s="12"/>
      <c r="ACJ58" s="12"/>
      <c r="ACK58" s="12"/>
      <c r="ACL58" s="12"/>
      <c r="ACM58" s="12"/>
      <c r="ACN58" s="12"/>
      <c r="ACO58" s="12"/>
      <c r="ACP58" s="12"/>
      <c r="ACQ58" s="12"/>
      <c r="ACR58" s="12"/>
      <c r="ACS58" s="12"/>
      <c r="ACT58" s="12"/>
      <c r="ACU58" s="12"/>
      <c r="ACV58" s="12"/>
      <c r="ACW58" s="12"/>
      <c r="ACX58" s="12"/>
      <c r="ACY58" s="12"/>
      <c r="ACZ58" s="12"/>
      <c r="ADA58" s="12"/>
      <c r="ADB58" s="12"/>
      <c r="ADC58" s="12"/>
      <c r="ADD58" s="12"/>
      <c r="ADE58" s="12"/>
      <c r="ADF58" s="12"/>
      <c r="ADG58" s="12"/>
      <c r="ADH58" s="12"/>
      <c r="ADI58" s="12"/>
      <c r="ADJ58" s="12"/>
      <c r="ADK58" s="12"/>
      <c r="ADL58" s="12"/>
      <c r="ADM58" s="12"/>
      <c r="ADN58" s="12"/>
      <c r="ADO58" s="12"/>
      <c r="ADP58" s="12"/>
      <c r="ADQ58" s="12"/>
      <c r="ADR58" s="12"/>
      <c r="ADS58" s="12"/>
      <c r="ADT58" s="12"/>
      <c r="ADU58" s="12"/>
      <c r="ADV58" s="12"/>
      <c r="ADW58" s="12"/>
      <c r="ADX58" s="12"/>
      <c r="ADY58" s="12"/>
      <c r="ADZ58" s="12"/>
      <c r="AEA58" s="12"/>
      <c r="AEB58" s="12"/>
      <c r="AEC58" s="12"/>
      <c r="AED58" s="12"/>
      <c r="AEE58" s="12"/>
      <c r="AEF58" s="12"/>
      <c r="AEG58" s="12"/>
      <c r="AEH58" s="12"/>
      <c r="AEI58" s="12"/>
      <c r="AEJ58" s="12"/>
      <c r="AEK58" s="12"/>
      <c r="AEL58" s="12"/>
      <c r="AEM58" s="12"/>
      <c r="AEN58" s="12"/>
      <c r="AEO58" s="12"/>
      <c r="AEP58" s="12"/>
      <c r="AEQ58" s="12"/>
      <c r="AER58" s="12"/>
      <c r="AES58" s="12"/>
      <c r="AET58" s="12"/>
      <c r="AEU58" s="12"/>
      <c r="AEV58" s="12"/>
      <c r="AEW58" s="12"/>
      <c r="AEX58" s="12"/>
      <c r="AEY58" s="12"/>
      <c r="AEZ58" s="12"/>
      <c r="AFA58" s="12"/>
      <c r="AFB58" s="12"/>
      <c r="AFC58" s="12"/>
      <c r="AFD58" s="12"/>
      <c r="AFE58" s="12"/>
      <c r="AFF58" s="12"/>
      <c r="AFG58" s="12"/>
      <c r="AFH58" s="12"/>
      <c r="AFI58" s="12"/>
      <c r="AFJ58" s="12"/>
      <c r="AFK58" s="12"/>
      <c r="AFL58" s="12"/>
      <c r="AFM58" s="12"/>
      <c r="AFN58" s="12"/>
      <c r="AFO58" s="12"/>
      <c r="AFP58" s="12"/>
      <c r="AFQ58" s="12"/>
      <c r="AFR58" s="12"/>
      <c r="AFS58" s="12"/>
      <c r="AFT58" s="12"/>
      <c r="AFU58" s="12"/>
      <c r="AFV58" s="12"/>
      <c r="AFW58" s="12"/>
      <c r="AFX58" s="12"/>
      <c r="AFY58" s="12"/>
      <c r="AFZ58" s="12"/>
      <c r="AGA58" s="12"/>
      <c r="AGB58" s="12"/>
      <c r="AGC58" s="12"/>
      <c r="AGD58" s="12"/>
      <c r="AGE58" s="12"/>
      <c r="AGF58" s="12"/>
      <c r="AGG58" s="12"/>
      <c r="AGH58" s="12"/>
      <c r="AGI58" s="12"/>
      <c r="AGJ58" s="12"/>
      <c r="AGK58" s="12"/>
      <c r="AGL58" s="12"/>
      <c r="AGM58" s="12"/>
      <c r="AGN58" s="12"/>
      <c r="AGO58" s="12"/>
      <c r="AGP58" s="12"/>
      <c r="AGQ58" s="12"/>
      <c r="AGR58" s="12"/>
      <c r="AGS58" s="12"/>
      <c r="AGT58" s="12"/>
      <c r="AGU58" s="12"/>
      <c r="AGV58" s="12"/>
      <c r="AGW58" s="12"/>
      <c r="AGX58" s="12"/>
      <c r="AGY58" s="12"/>
      <c r="AGZ58" s="12"/>
      <c r="AHA58" s="12"/>
      <c r="AHB58" s="12"/>
      <c r="AHC58" s="12"/>
      <c r="AHD58" s="12"/>
      <c r="AHE58" s="12"/>
      <c r="AHF58" s="12"/>
      <c r="AHG58" s="12"/>
      <c r="AHH58" s="12"/>
      <c r="AHI58" s="12"/>
      <c r="AHJ58" s="12"/>
      <c r="AHK58" s="12"/>
      <c r="AHL58" s="12"/>
      <c r="AHM58" s="12"/>
      <c r="AHN58" s="12"/>
      <c r="AHO58" s="12"/>
      <c r="AHP58" s="12"/>
      <c r="AHQ58" s="12"/>
      <c r="AHR58" s="12"/>
      <c r="AHS58" s="12"/>
      <c r="AHT58" s="12"/>
      <c r="AHU58" s="12"/>
      <c r="AHV58" s="12"/>
      <c r="AHW58" s="12"/>
      <c r="AHX58" s="12"/>
      <c r="AHY58" s="12"/>
      <c r="AHZ58" s="12"/>
      <c r="AIA58" s="12"/>
      <c r="AIB58" s="12"/>
      <c r="AIC58" s="12"/>
      <c r="AID58" s="12"/>
      <c r="AIE58" s="12"/>
      <c r="AIF58" s="12"/>
      <c r="AIG58" s="12"/>
      <c r="AIH58" s="12"/>
      <c r="AII58" s="12"/>
      <c r="AIJ58" s="12"/>
      <c r="AIK58" s="12"/>
      <c r="AIL58" s="12"/>
      <c r="AIM58" s="12"/>
      <c r="AIN58" s="12"/>
      <c r="AIO58" s="12"/>
      <c r="AIP58" s="12"/>
      <c r="AIQ58" s="12"/>
      <c r="AIR58" s="12"/>
      <c r="AIS58" s="12"/>
      <c r="AIT58" s="12"/>
      <c r="AIU58" s="12"/>
      <c r="AIV58" s="12"/>
      <c r="AIW58" s="12"/>
      <c r="AIX58" s="12"/>
      <c r="AIY58" s="12"/>
      <c r="AIZ58" s="12"/>
      <c r="AJA58" s="12"/>
      <c r="AJB58" s="12"/>
      <c r="AJC58" s="12"/>
      <c r="AJD58" s="12"/>
      <c r="AJE58" s="12"/>
      <c r="AJF58" s="12"/>
      <c r="AJG58" s="12"/>
      <c r="AJH58" s="12"/>
      <c r="AJI58" s="12"/>
      <c r="AJJ58" s="12"/>
      <c r="AJK58" s="12"/>
      <c r="AJL58" s="12"/>
      <c r="AJM58" s="12"/>
      <c r="AJN58" s="12"/>
      <c r="AJO58" s="12"/>
      <c r="AJP58" s="12"/>
      <c r="AJQ58" s="12"/>
      <c r="AJR58" s="12"/>
      <c r="AJS58" s="12"/>
      <c r="AJT58" s="12"/>
      <c r="AJU58" s="12"/>
      <c r="AJV58" s="12"/>
      <c r="AJW58" s="12"/>
      <c r="AJX58" s="12"/>
      <c r="AJY58" s="12"/>
      <c r="AJZ58" s="12"/>
      <c r="AKA58" s="12"/>
      <c r="AKB58" s="12"/>
      <c r="AKC58" s="12"/>
      <c r="AKD58" s="12"/>
      <c r="AKE58" s="12"/>
      <c r="AKF58" s="12"/>
      <c r="AKG58" s="12"/>
      <c r="AKH58" s="12"/>
      <c r="AKI58" s="12"/>
      <c r="AKJ58" s="12"/>
      <c r="AKK58" s="12"/>
      <c r="AKL58" s="12"/>
      <c r="AKM58" s="12"/>
      <c r="AKN58" s="12"/>
      <c r="AKO58" s="12"/>
      <c r="AKP58" s="12"/>
      <c r="AKQ58" s="12"/>
      <c r="AKR58" s="12"/>
      <c r="AKS58" s="12"/>
      <c r="AKT58" s="12"/>
      <c r="AKU58" s="12"/>
      <c r="AKV58" s="12"/>
      <c r="AKW58" s="12"/>
      <c r="AKX58" s="12"/>
      <c r="AKY58" s="12"/>
      <c r="AKZ58" s="12"/>
      <c r="ALA58" s="12"/>
      <c r="ALB58" s="12"/>
      <c r="ALC58" s="12"/>
      <c r="ALD58" s="12"/>
      <c r="ALE58" s="12"/>
      <c r="ALF58" s="12"/>
      <c r="ALG58" s="12"/>
      <c r="ALH58" s="12"/>
      <c r="ALI58" s="12"/>
      <c r="ALJ58" s="12"/>
      <c r="ALK58" s="12"/>
      <c r="ALL58" s="12"/>
      <c r="ALM58" s="12"/>
      <c r="ALN58" s="12"/>
      <c r="ALO58" s="12"/>
      <c r="ALP58" s="12"/>
      <c r="ALQ58" s="12"/>
      <c r="ALR58" s="12"/>
      <c r="ALS58" s="12"/>
      <c r="ALT58" s="12"/>
      <c r="ALU58" s="12"/>
      <c r="ALV58" s="12"/>
      <c r="ALW58" s="12"/>
      <c r="ALX58" s="12"/>
      <c r="ALY58" s="12"/>
      <c r="ALZ58" s="12"/>
      <c r="AMA58" s="12"/>
      <c r="AMB58" s="12"/>
      <c r="AMC58" s="12"/>
      <c r="AMD58" s="12"/>
      <c r="AME58" s="12"/>
      <c r="AMF58" s="12"/>
      <c r="AMG58" s="12"/>
      <c r="AMH58" s="12"/>
      <c r="AMI58" s="12"/>
      <c r="AMJ58" s="12"/>
      <c r="AMK58" s="12"/>
      <c r="AML58" s="12"/>
      <c r="AMM58" s="12"/>
      <c r="AMN58" s="12"/>
      <c r="AMO58" s="12"/>
      <c r="AMP58" s="12"/>
      <c r="AMQ58" s="12"/>
      <c r="AMR58" s="12"/>
      <c r="AMS58" s="12"/>
      <c r="AMT58" s="12"/>
      <c r="AMU58" s="12"/>
      <c r="AMV58" s="12"/>
      <c r="AMW58" s="12"/>
      <c r="AMX58" s="12"/>
      <c r="AMY58" s="12"/>
      <c r="AMZ58" s="12"/>
      <c r="ANA58" s="12"/>
      <c r="ANB58" s="12"/>
      <c r="ANC58" s="12"/>
      <c r="AND58" s="12"/>
      <c r="ANE58" s="12"/>
      <c r="ANF58" s="12"/>
      <c r="ANG58" s="12"/>
      <c r="ANH58" s="12"/>
      <c r="ANI58" s="12"/>
      <c r="ANJ58" s="12"/>
      <c r="ANK58" s="12"/>
      <c r="ANL58" s="12"/>
      <c r="ANM58" s="12"/>
      <c r="ANN58" s="12"/>
      <c r="ANO58" s="12"/>
      <c r="ANP58" s="12"/>
      <c r="ANQ58" s="12"/>
      <c r="ANR58" s="12"/>
      <c r="ANS58" s="12"/>
      <c r="ANT58" s="12"/>
      <c r="ANU58" s="12"/>
      <c r="ANV58" s="12"/>
      <c r="ANW58" s="12"/>
      <c r="ANX58" s="12"/>
      <c r="ANY58" s="12"/>
      <c r="ANZ58" s="12"/>
      <c r="AOA58" s="12"/>
      <c r="AOB58" s="12"/>
      <c r="AOC58" s="12"/>
      <c r="AOD58" s="12"/>
      <c r="AOE58" s="12"/>
      <c r="AOF58" s="12"/>
      <c r="AOG58" s="12"/>
      <c r="AOH58" s="12"/>
      <c r="AOI58" s="12"/>
      <c r="AOJ58" s="12"/>
      <c r="AOK58" s="12"/>
      <c r="AOL58" s="12"/>
      <c r="AOM58" s="12"/>
      <c r="AON58" s="12"/>
      <c r="AOO58" s="12"/>
      <c r="AOP58" s="12"/>
      <c r="AOQ58" s="12"/>
      <c r="AOR58" s="12"/>
      <c r="AOS58" s="12"/>
      <c r="AOT58" s="12"/>
      <c r="AOU58" s="12"/>
      <c r="AOV58" s="12"/>
      <c r="AOW58" s="12"/>
      <c r="AOX58" s="12"/>
      <c r="AOY58" s="12"/>
      <c r="AOZ58" s="12"/>
      <c r="APA58" s="12"/>
      <c r="APB58" s="12"/>
      <c r="APC58" s="12"/>
      <c r="APD58" s="12"/>
      <c r="APE58" s="12"/>
      <c r="APF58" s="12"/>
      <c r="APG58" s="12"/>
      <c r="APH58" s="12"/>
      <c r="API58" s="12"/>
      <c r="APJ58" s="12"/>
      <c r="APK58" s="12"/>
      <c r="APL58" s="12"/>
      <c r="APM58" s="12"/>
      <c r="APN58" s="12"/>
      <c r="APO58" s="12"/>
      <c r="APP58" s="12"/>
      <c r="APQ58" s="12"/>
      <c r="APR58" s="12"/>
      <c r="APS58" s="12"/>
      <c r="APT58" s="12"/>
      <c r="APU58" s="12"/>
      <c r="APV58" s="12"/>
      <c r="APW58" s="12"/>
      <c r="APX58" s="12"/>
      <c r="APY58" s="12"/>
      <c r="APZ58" s="12"/>
      <c r="AQA58" s="12"/>
      <c r="AQB58" s="12"/>
      <c r="AQC58" s="12"/>
      <c r="AQD58" s="12"/>
      <c r="AQE58" s="12"/>
      <c r="AQF58" s="12"/>
      <c r="AQG58" s="12"/>
      <c r="AQH58" s="12"/>
      <c r="AQI58" s="12"/>
      <c r="AQJ58" s="12"/>
      <c r="AQK58" s="12"/>
      <c r="AQL58" s="12"/>
      <c r="AQM58" s="12"/>
      <c r="AQN58" s="12"/>
      <c r="AQO58" s="12"/>
      <c r="AQP58" s="12"/>
      <c r="AQQ58" s="12"/>
      <c r="AQR58" s="12"/>
      <c r="AQS58" s="12"/>
      <c r="AQT58" s="12"/>
      <c r="AQU58" s="12"/>
      <c r="AQV58" s="12"/>
      <c r="AQW58" s="12"/>
      <c r="AQX58" s="12"/>
      <c r="AQY58" s="12"/>
      <c r="AQZ58" s="12"/>
      <c r="ARA58" s="12"/>
      <c r="ARB58" s="12"/>
      <c r="ARC58" s="12"/>
      <c r="ARD58" s="12"/>
      <c r="ARE58" s="12"/>
      <c r="ARF58" s="12"/>
      <c r="ARG58" s="12"/>
      <c r="ARH58" s="12"/>
      <c r="ARI58" s="12"/>
      <c r="ARJ58" s="12"/>
      <c r="ARK58" s="12"/>
      <c r="ARL58" s="12"/>
      <c r="ARM58" s="12"/>
      <c r="ARN58" s="12"/>
      <c r="ARO58" s="12"/>
      <c r="ARP58" s="12"/>
      <c r="ARQ58" s="12"/>
      <c r="ARR58" s="12"/>
      <c r="ARS58" s="12"/>
      <c r="ART58" s="12"/>
      <c r="ARU58" s="12"/>
      <c r="ARV58" s="12"/>
      <c r="ARW58" s="12"/>
      <c r="ARX58" s="12"/>
      <c r="ARY58" s="12"/>
      <c r="ARZ58" s="12"/>
      <c r="ASA58" s="12"/>
      <c r="ASB58" s="12"/>
      <c r="ASC58" s="12"/>
      <c r="ASD58" s="12"/>
      <c r="ASE58" s="12"/>
      <c r="ASF58" s="12"/>
      <c r="ASG58" s="12"/>
      <c r="ASH58" s="12"/>
      <c r="ASI58" s="12"/>
      <c r="ASJ58" s="12"/>
      <c r="ASK58" s="12"/>
      <c r="ASL58" s="12"/>
      <c r="ASM58" s="12"/>
      <c r="ASN58" s="12"/>
      <c r="ASO58" s="12"/>
      <c r="ASP58" s="12"/>
      <c r="ASQ58" s="12"/>
      <c r="ASR58" s="12"/>
      <c r="ASS58" s="12"/>
      <c r="AST58" s="12"/>
      <c r="ASU58" s="12"/>
      <c r="ASV58" s="12"/>
      <c r="ASW58" s="12"/>
      <c r="ASX58" s="12"/>
      <c r="ASY58" s="12"/>
      <c r="ASZ58" s="12"/>
      <c r="ATA58" s="12"/>
      <c r="ATB58" s="12"/>
      <c r="ATC58" s="12"/>
      <c r="ATD58" s="12"/>
      <c r="ATE58" s="12"/>
      <c r="ATF58" s="12"/>
      <c r="ATG58" s="12"/>
      <c r="ATH58" s="12"/>
      <c r="ATI58" s="12"/>
      <c r="ATJ58" s="12"/>
      <c r="ATK58" s="12"/>
      <c r="ATL58" s="12"/>
      <c r="ATM58" s="12"/>
      <c r="ATN58" s="12"/>
      <c r="ATO58" s="12"/>
      <c r="ATP58" s="12"/>
      <c r="ATQ58" s="12"/>
      <c r="ATR58" s="12"/>
      <c r="ATS58" s="12"/>
      <c r="ATT58" s="12"/>
      <c r="ATU58" s="12"/>
      <c r="ATV58" s="12"/>
      <c r="ATW58" s="12"/>
      <c r="ATX58" s="12"/>
      <c r="ATY58" s="12"/>
      <c r="ATZ58" s="12"/>
      <c r="AUA58" s="12"/>
      <c r="AUB58" s="12"/>
      <c r="AUC58" s="12"/>
      <c r="AUD58" s="12"/>
      <c r="AUE58" s="12"/>
      <c r="AUF58" s="12"/>
      <c r="AUG58" s="12"/>
      <c r="AUH58" s="12"/>
      <c r="AUI58" s="12"/>
      <c r="AUJ58" s="12"/>
      <c r="AUK58" s="12"/>
      <c r="AUL58" s="12"/>
      <c r="AUM58" s="12"/>
      <c r="AUN58" s="12"/>
      <c r="AUO58" s="12"/>
      <c r="AUP58" s="12"/>
      <c r="AUQ58" s="12"/>
      <c r="AUR58" s="12"/>
      <c r="AUS58" s="12"/>
      <c r="AUT58" s="12"/>
      <c r="AUU58" s="12"/>
      <c r="AUV58" s="12"/>
      <c r="AUW58" s="12"/>
      <c r="AUX58" s="12"/>
      <c r="AUY58" s="12"/>
      <c r="AUZ58" s="12"/>
      <c r="AVA58" s="12"/>
      <c r="AVB58" s="12"/>
      <c r="AVC58" s="12"/>
      <c r="AVD58" s="12"/>
      <c r="AVE58" s="12"/>
      <c r="AVF58" s="12"/>
      <c r="AVG58" s="12"/>
      <c r="AVH58" s="12"/>
      <c r="AVI58" s="12"/>
      <c r="AVJ58" s="12"/>
      <c r="AVK58" s="12"/>
      <c r="AVL58" s="12"/>
      <c r="AVM58" s="12"/>
      <c r="AVN58" s="12"/>
      <c r="AVO58" s="12"/>
      <c r="AVP58" s="12"/>
      <c r="AVQ58" s="12"/>
      <c r="AVR58" s="12"/>
      <c r="AVS58" s="12"/>
      <c r="AVT58" s="12"/>
      <c r="AVU58" s="12"/>
      <c r="AVV58" s="12"/>
      <c r="AVW58" s="12"/>
      <c r="AVX58" s="12"/>
      <c r="AVY58" s="12"/>
      <c r="AVZ58" s="12"/>
      <c r="AWA58" s="12"/>
      <c r="AWB58" s="12"/>
      <c r="AWC58" s="12"/>
      <c r="AWD58" s="12"/>
      <c r="AWE58" s="12"/>
      <c r="AWF58" s="12"/>
      <c r="AWG58" s="12"/>
      <c r="AWH58" s="12"/>
      <c r="AWI58" s="12"/>
      <c r="AWJ58" s="12"/>
      <c r="AWK58" s="12"/>
      <c r="AWL58" s="12"/>
      <c r="AWM58" s="12"/>
      <c r="AWN58" s="12"/>
      <c r="AWO58" s="12"/>
      <c r="AWP58" s="12"/>
      <c r="AWQ58" s="12"/>
      <c r="AWR58" s="12"/>
      <c r="AWS58" s="12"/>
      <c r="AWT58" s="12"/>
      <c r="AWU58" s="12"/>
      <c r="AWV58" s="12"/>
      <c r="AWW58" s="12"/>
      <c r="AWX58" s="12"/>
      <c r="AWY58" s="12"/>
      <c r="AWZ58" s="12"/>
      <c r="AXA58" s="12"/>
      <c r="AXB58" s="12"/>
      <c r="AXC58" s="12"/>
      <c r="AXD58" s="12"/>
      <c r="AXE58" s="12"/>
      <c r="AXF58" s="12"/>
      <c r="AXG58" s="12"/>
      <c r="AXH58" s="12"/>
      <c r="AXI58" s="12"/>
      <c r="AXJ58" s="12"/>
      <c r="AXK58" s="12"/>
      <c r="AXL58" s="12"/>
      <c r="AXM58" s="12"/>
      <c r="AXN58" s="12"/>
      <c r="AXO58" s="12"/>
      <c r="AXP58" s="12"/>
      <c r="AXQ58" s="12"/>
      <c r="AXR58" s="12"/>
      <c r="AXS58" s="12"/>
      <c r="AXT58" s="12"/>
      <c r="AXU58" s="12"/>
      <c r="AXV58" s="12"/>
      <c r="AXW58" s="12"/>
      <c r="AXX58" s="12"/>
      <c r="AXY58" s="12"/>
      <c r="AXZ58" s="12"/>
      <c r="AYA58" s="12"/>
      <c r="AYB58" s="12"/>
      <c r="AYC58" s="12"/>
      <c r="AYD58" s="12"/>
      <c r="AYE58" s="12"/>
      <c r="AYF58" s="12"/>
      <c r="AYG58" s="12"/>
      <c r="AYH58" s="12"/>
      <c r="AYI58" s="12"/>
      <c r="AYJ58" s="12"/>
      <c r="AYK58" s="12"/>
      <c r="AYL58" s="12"/>
      <c r="AYM58" s="12"/>
      <c r="AYN58" s="12"/>
      <c r="AYO58" s="12"/>
      <c r="AYP58" s="12"/>
      <c r="AYQ58" s="12"/>
      <c r="AYR58" s="12"/>
      <c r="AYS58" s="12"/>
      <c r="AYT58" s="12"/>
      <c r="AYU58" s="12"/>
      <c r="AYV58" s="12"/>
      <c r="AYW58" s="12"/>
      <c r="AYX58" s="12"/>
      <c r="AYY58" s="12"/>
      <c r="AYZ58" s="12"/>
      <c r="AZA58" s="12"/>
      <c r="AZB58" s="12"/>
      <c r="AZC58" s="12"/>
      <c r="AZD58" s="12"/>
      <c r="AZE58" s="12"/>
      <c r="AZF58" s="12"/>
      <c r="AZG58" s="12"/>
      <c r="AZH58" s="12"/>
      <c r="AZI58" s="12"/>
      <c r="AZJ58" s="12"/>
      <c r="AZK58" s="12"/>
      <c r="AZL58" s="12"/>
      <c r="AZM58" s="12"/>
      <c r="AZN58" s="12"/>
      <c r="AZO58" s="12"/>
      <c r="AZP58" s="12"/>
      <c r="AZQ58" s="12"/>
      <c r="AZR58" s="12"/>
      <c r="AZS58" s="12"/>
      <c r="AZT58" s="12"/>
      <c r="AZU58" s="12"/>
      <c r="AZV58" s="12"/>
      <c r="AZW58" s="12"/>
      <c r="AZX58" s="12"/>
      <c r="AZY58" s="12"/>
      <c r="AZZ58" s="12"/>
      <c r="BAA58" s="12"/>
      <c r="BAB58" s="12"/>
      <c r="BAC58" s="12"/>
      <c r="BAD58" s="12"/>
      <c r="BAE58" s="12"/>
      <c r="BAF58" s="12"/>
      <c r="BAG58" s="12"/>
      <c r="BAH58" s="12"/>
      <c r="BAI58" s="12"/>
      <c r="BAJ58" s="12"/>
      <c r="BAK58" s="12"/>
      <c r="BAL58" s="12"/>
      <c r="BAM58" s="12"/>
      <c r="BAN58" s="12"/>
      <c r="BAO58" s="12"/>
      <c r="BAP58" s="12"/>
      <c r="BAQ58" s="12"/>
      <c r="BAR58" s="12"/>
      <c r="BAS58" s="12"/>
      <c r="BAT58" s="12"/>
      <c r="BAU58" s="12"/>
      <c r="BAV58" s="12"/>
      <c r="BAW58" s="12"/>
      <c r="BAX58" s="12"/>
      <c r="BAY58" s="12"/>
      <c r="BAZ58" s="12"/>
      <c r="BBA58" s="12"/>
      <c r="BBB58" s="12"/>
      <c r="BBC58" s="12"/>
      <c r="BBD58" s="12"/>
      <c r="BBE58" s="12"/>
      <c r="BBF58" s="12"/>
      <c r="BBG58" s="12"/>
      <c r="BBH58" s="12"/>
      <c r="BBI58" s="12"/>
      <c r="BBJ58" s="12"/>
      <c r="BBK58" s="12"/>
      <c r="BBL58" s="12"/>
      <c r="BBM58" s="12"/>
      <c r="BBN58" s="12"/>
      <c r="BBO58" s="12"/>
      <c r="BBP58" s="12"/>
      <c r="BBQ58" s="12"/>
      <c r="BBR58" s="12"/>
      <c r="BBS58" s="12"/>
      <c r="BBT58" s="12"/>
      <c r="BBU58" s="12"/>
      <c r="BBV58" s="12"/>
      <c r="BBW58" s="12"/>
      <c r="BBX58" s="12"/>
      <c r="BBY58" s="12"/>
      <c r="BBZ58" s="12"/>
      <c r="BCA58" s="12"/>
      <c r="BCB58" s="12"/>
      <c r="BCC58" s="12"/>
      <c r="BCD58" s="12"/>
      <c r="BCE58" s="12"/>
      <c r="BCF58" s="12"/>
      <c r="BCG58" s="12"/>
      <c r="BCH58" s="12"/>
      <c r="BCI58" s="12"/>
      <c r="BCJ58" s="12"/>
      <c r="BCK58" s="12"/>
      <c r="BCL58" s="12"/>
      <c r="BCM58" s="12"/>
      <c r="BCN58" s="12"/>
      <c r="BCO58" s="12"/>
      <c r="BCP58" s="12"/>
      <c r="BCQ58" s="12"/>
      <c r="BCR58" s="12"/>
      <c r="BCS58" s="12"/>
      <c r="BCT58" s="12"/>
      <c r="BCU58" s="12"/>
      <c r="BCV58" s="12"/>
      <c r="BCW58" s="12"/>
      <c r="BCX58" s="12"/>
      <c r="BCY58" s="12"/>
      <c r="BCZ58" s="12"/>
      <c r="BDA58" s="12"/>
      <c r="BDB58" s="12"/>
      <c r="BDC58" s="12"/>
      <c r="BDD58" s="12"/>
      <c r="BDE58" s="12"/>
      <c r="BDF58" s="12"/>
      <c r="BDG58" s="12"/>
      <c r="BDH58" s="12"/>
      <c r="BDI58" s="12"/>
      <c r="BDJ58" s="12"/>
      <c r="BDK58" s="12"/>
      <c r="BDL58" s="12"/>
      <c r="BDM58" s="12"/>
      <c r="BDN58" s="12"/>
      <c r="BDO58" s="12"/>
      <c r="BDP58" s="12"/>
      <c r="BDQ58" s="12"/>
      <c r="BDR58" s="12"/>
      <c r="BDS58" s="12"/>
      <c r="BDT58" s="12"/>
      <c r="BDU58" s="12"/>
      <c r="BDV58" s="12"/>
      <c r="BDW58" s="12"/>
      <c r="BDX58" s="12"/>
      <c r="BDY58" s="12"/>
      <c r="BDZ58" s="12"/>
      <c r="BEA58" s="12"/>
      <c r="BEB58" s="12"/>
      <c r="BEC58" s="12"/>
      <c r="BED58" s="12"/>
      <c r="BEE58" s="12"/>
      <c r="BEF58" s="12"/>
      <c r="BEG58" s="12"/>
      <c r="BEH58" s="12"/>
      <c r="BEI58" s="12"/>
      <c r="BEJ58" s="12"/>
      <c r="BEK58" s="12"/>
      <c r="BEL58" s="12"/>
      <c r="BEM58" s="12"/>
      <c r="BEN58" s="12"/>
      <c r="BEO58" s="12"/>
      <c r="BEP58" s="12"/>
      <c r="BEQ58" s="12"/>
      <c r="BER58" s="12"/>
      <c r="BES58" s="12"/>
      <c r="BET58" s="12"/>
      <c r="BEU58" s="12"/>
      <c r="BEV58" s="12"/>
      <c r="BEW58" s="12"/>
      <c r="BEX58" s="12"/>
      <c r="BEY58" s="12"/>
      <c r="BEZ58" s="12"/>
      <c r="BFA58" s="12"/>
      <c r="BFB58" s="12"/>
      <c r="BFC58" s="12"/>
      <c r="BFD58" s="12"/>
      <c r="BFE58" s="12"/>
      <c r="BFF58" s="12"/>
      <c r="BFG58" s="12"/>
      <c r="BFH58" s="12"/>
      <c r="BFI58" s="12"/>
      <c r="BFJ58" s="12"/>
      <c r="BFK58" s="12"/>
      <c r="BFL58" s="12"/>
      <c r="BFM58" s="12"/>
      <c r="BFN58" s="12"/>
      <c r="BFO58" s="12"/>
      <c r="BFP58" s="12"/>
      <c r="BFQ58" s="12"/>
      <c r="BFR58" s="12"/>
      <c r="BFS58" s="12"/>
      <c r="BFT58" s="12"/>
      <c r="BFU58" s="12"/>
      <c r="BFV58" s="12"/>
      <c r="BFW58" s="12"/>
      <c r="BFX58" s="12"/>
      <c r="BFY58" s="12"/>
      <c r="BFZ58" s="12"/>
      <c r="BGA58" s="12"/>
      <c r="BGB58" s="12"/>
      <c r="BGC58" s="12"/>
      <c r="BGD58" s="12"/>
      <c r="BGE58" s="12"/>
      <c r="BGF58" s="12"/>
      <c r="BGG58" s="12"/>
      <c r="BGH58" s="12"/>
      <c r="BGI58" s="12"/>
      <c r="BGJ58" s="12"/>
      <c r="BGK58" s="12"/>
      <c r="BGL58" s="12"/>
      <c r="BGM58" s="12"/>
      <c r="BGN58" s="12"/>
      <c r="BGO58" s="12"/>
      <c r="BGP58" s="12"/>
      <c r="BGQ58" s="12"/>
      <c r="BGR58" s="12"/>
      <c r="BGS58" s="12"/>
      <c r="BGT58" s="12"/>
      <c r="BGU58" s="12"/>
      <c r="BGV58" s="12"/>
      <c r="BGW58" s="12"/>
      <c r="BGX58" s="12"/>
      <c r="BGY58" s="12"/>
      <c r="BGZ58" s="12"/>
      <c r="BHA58" s="12"/>
      <c r="BHB58" s="12"/>
      <c r="BHC58" s="12"/>
      <c r="BHD58" s="12"/>
      <c r="BHE58" s="12"/>
      <c r="BHF58" s="12"/>
      <c r="BHG58" s="12"/>
      <c r="BHH58" s="12"/>
      <c r="BHI58" s="12"/>
      <c r="BHJ58" s="12"/>
      <c r="BHK58" s="12"/>
      <c r="BHL58" s="12"/>
      <c r="BHM58" s="12"/>
      <c r="BHN58" s="12"/>
      <c r="BHO58" s="12"/>
      <c r="BHP58" s="12"/>
      <c r="BHQ58" s="12"/>
      <c r="BHR58" s="12"/>
      <c r="BHS58" s="12"/>
      <c r="BHT58" s="12"/>
      <c r="BHU58" s="12"/>
      <c r="BHV58" s="12"/>
      <c r="BHW58" s="12"/>
      <c r="BHX58" s="12"/>
      <c r="BHY58" s="12"/>
      <c r="BHZ58" s="12"/>
      <c r="BIA58" s="12"/>
      <c r="BIB58" s="12"/>
      <c r="BIC58" s="12"/>
      <c r="BID58" s="12"/>
      <c r="BIE58" s="12"/>
      <c r="BIF58" s="12"/>
      <c r="BIG58" s="12"/>
      <c r="BIH58" s="12"/>
      <c r="BII58" s="12"/>
      <c r="BIJ58" s="12"/>
      <c r="BIK58" s="12"/>
      <c r="BIL58" s="12"/>
      <c r="BIM58" s="12"/>
      <c r="BIN58" s="12"/>
      <c r="BIO58" s="12"/>
      <c r="BIP58" s="12"/>
      <c r="BIQ58" s="12"/>
      <c r="BIR58" s="12"/>
      <c r="BIS58" s="12"/>
      <c r="BIT58" s="12"/>
      <c r="BIU58" s="12"/>
      <c r="BIV58" s="12"/>
      <c r="BIW58" s="12"/>
      <c r="BIX58" s="12"/>
      <c r="BIY58" s="12"/>
      <c r="BIZ58" s="12"/>
      <c r="BJA58" s="12"/>
      <c r="BJB58" s="12"/>
      <c r="BJC58" s="12"/>
      <c r="BJD58" s="12"/>
      <c r="BJE58" s="12"/>
      <c r="BJF58" s="12"/>
      <c r="BJG58" s="12"/>
      <c r="BJH58" s="12"/>
      <c r="BJI58" s="12"/>
      <c r="BJJ58" s="12"/>
      <c r="BJK58" s="12"/>
      <c r="BJL58" s="12"/>
      <c r="BJM58" s="12"/>
      <c r="BJN58" s="12"/>
      <c r="BJO58" s="12"/>
      <c r="BJP58" s="12"/>
      <c r="BJQ58" s="12"/>
      <c r="BJR58" s="12"/>
      <c r="BJS58" s="12"/>
      <c r="BJT58" s="12"/>
      <c r="BJU58" s="12"/>
      <c r="BJV58" s="12"/>
      <c r="BJW58" s="12"/>
      <c r="BJX58" s="12"/>
      <c r="BJY58" s="12"/>
      <c r="BJZ58" s="12"/>
      <c r="BKA58" s="12"/>
      <c r="BKB58" s="12"/>
      <c r="BKC58" s="12"/>
      <c r="BKD58" s="12"/>
      <c r="BKE58" s="12"/>
      <c r="BKF58" s="12"/>
      <c r="BKG58" s="12"/>
      <c r="BKH58" s="12"/>
      <c r="BKI58" s="12"/>
      <c r="BKJ58" s="12"/>
      <c r="BKK58" s="12"/>
      <c r="BKL58" s="12"/>
      <c r="BKM58" s="12"/>
      <c r="BKN58" s="12"/>
      <c r="BKO58" s="12"/>
      <c r="BKP58" s="12"/>
      <c r="BKQ58" s="12"/>
      <c r="BKR58" s="12"/>
      <c r="BKS58" s="12"/>
      <c r="BKT58" s="12"/>
      <c r="BKU58" s="12"/>
      <c r="BKV58" s="12"/>
      <c r="BKW58" s="12"/>
      <c r="BKX58" s="12"/>
      <c r="BKY58" s="12"/>
      <c r="BKZ58" s="12"/>
      <c r="BLA58" s="12"/>
      <c r="BLB58" s="12"/>
      <c r="BLC58" s="12"/>
      <c r="BLD58" s="12"/>
      <c r="BLE58" s="12"/>
      <c r="BLF58" s="12"/>
      <c r="BLG58" s="12"/>
      <c r="BLH58" s="12"/>
      <c r="BLI58" s="12"/>
      <c r="BLJ58" s="12"/>
      <c r="BLK58" s="12"/>
      <c r="BLL58" s="12"/>
      <c r="BLM58" s="12"/>
      <c r="BLN58" s="12"/>
      <c r="BLO58" s="12"/>
      <c r="BLP58" s="12"/>
      <c r="BLQ58" s="12"/>
      <c r="BLR58" s="12"/>
      <c r="BLS58" s="12"/>
      <c r="BLT58" s="12"/>
      <c r="BLU58" s="12"/>
      <c r="BLV58" s="12"/>
      <c r="BLW58" s="12"/>
      <c r="BLX58" s="12"/>
      <c r="BLY58" s="12"/>
      <c r="BLZ58" s="12"/>
      <c r="BMA58" s="12"/>
      <c r="BMB58" s="12"/>
      <c r="BMC58" s="12"/>
      <c r="BMD58" s="12"/>
      <c r="BME58" s="12"/>
      <c r="BMF58" s="12"/>
      <c r="BMG58" s="12"/>
      <c r="BMH58" s="12"/>
      <c r="BMI58" s="12"/>
      <c r="BMJ58" s="12"/>
      <c r="BMK58" s="12"/>
      <c r="BML58" s="12"/>
      <c r="BMM58" s="12"/>
      <c r="BMN58" s="12"/>
      <c r="BMO58" s="12"/>
      <c r="BMP58" s="12"/>
      <c r="BMQ58" s="12"/>
      <c r="BMR58" s="12"/>
      <c r="BMS58" s="12"/>
      <c r="BMT58" s="12"/>
      <c r="BMU58" s="12"/>
      <c r="BMV58" s="12"/>
      <c r="BMW58" s="12"/>
      <c r="BMX58" s="12"/>
      <c r="BMY58" s="12"/>
      <c r="BMZ58" s="12"/>
      <c r="BNA58" s="12"/>
      <c r="BNB58" s="12"/>
      <c r="BNC58" s="12"/>
      <c r="BND58" s="12"/>
      <c r="BNE58" s="12"/>
      <c r="BNF58" s="12"/>
      <c r="BNG58" s="12"/>
      <c r="BNH58" s="12"/>
      <c r="BNI58" s="12"/>
      <c r="BNJ58" s="12"/>
      <c r="BNK58" s="12"/>
      <c r="BNL58" s="12"/>
      <c r="BNM58" s="12"/>
      <c r="BNN58" s="12"/>
      <c r="BNO58" s="12"/>
      <c r="BNP58" s="12"/>
      <c r="BNQ58" s="12"/>
      <c r="BNR58" s="12"/>
      <c r="BNS58" s="12"/>
      <c r="BNT58" s="12"/>
      <c r="BNU58" s="12"/>
      <c r="BNV58" s="12"/>
      <c r="BNW58" s="12"/>
      <c r="BNX58" s="12"/>
      <c r="BNY58" s="12"/>
      <c r="BNZ58" s="12"/>
      <c r="BOA58" s="12"/>
      <c r="BOB58" s="12"/>
      <c r="BOC58" s="12"/>
      <c r="BOD58" s="12"/>
      <c r="BOE58" s="12"/>
      <c r="BOF58" s="12"/>
      <c r="BOG58" s="12"/>
      <c r="BOH58" s="12"/>
      <c r="BOI58" s="12"/>
      <c r="BOJ58" s="12"/>
      <c r="BOK58" s="12"/>
      <c r="BOL58" s="12"/>
      <c r="BOM58" s="12"/>
      <c r="BON58" s="12"/>
      <c r="BOO58" s="12"/>
      <c r="BOP58" s="12"/>
      <c r="BOQ58" s="12"/>
      <c r="BOR58" s="12"/>
      <c r="BOS58" s="12"/>
      <c r="BOT58" s="12"/>
      <c r="BOU58" s="12"/>
      <c r="BOV58" s="12"/>
      <c r="BOW58" s="12"/>
      <c r="BOX58" s="12"/>
      <c r="BOY58" s="12"/>
      <c r="BOZ58" s="12"/>
      <c r="BPA58" s="12"/>
      <c r="BPB58" s="12"/>
      <c r="BPC58" s="12"/>
      <c r="BPD58" s="12"/>
      <c r="BPE58" s="12"/>
      <c r="BPF58" s="12"/>
      <c r="BPG58" s="12"/>
      <c r="BPH58" s="12"/>
      <c r="BPI58" s="12"/>
      <c r="BPJ58" s="12"/>
      <c r="BPK58" s="12"/>
      <c r="BPL58" s="12"/>
      <c r="BPM58" s="12"/>
      <c r="BPN58" s="12"/>
      <c r="BPO58" s="12"/>
      <c r="BPP58" s="12"/>
      <c r="BPQ58" s="12"/>
      <c r="BPR58" s="12"/>
      <c r="BPS58" s="12"/>
      <c r="BPT58" s="12"/>
      <c r="BPU58" s="12"/>
      <c r="BPV58" s="12"/>
      <c r="BPW58" s="12"/>
      <c r="BPX58" s="12"/>
      <c r="BPY58" s="12"/>
      <c r="BPZ58" s="12"/>
      <c r="BQA58" s="12"/>
      <c r="BQB58" s="12"/>
      <c r="BQC58" s="12"/>
      <c r="BQD58" s="12"/>
      <c r="BQE58" s="12"/>
      <c r="BQF58" s="12"/>
      <c r="BQG58" s="12"/>
      <c r="BQH58" s="12"/>
      <c r="BQI58" s="12"/>
      <c r="BQJ58" s="12"/>
      <c r="BQK58" s="12"/>
      <c r="BQL58" s="12"/>
      <c r="BQM58" s="12"/>
      <c r="BQN58" s="12"/>
      <c r="BQO58" s="12"/>
      <c r="BQP58" s="12"/>
      <c r="BQQ58" s="12"/>
      <c r="BQR58" s="12"/>
      <c r="BQS58" s="12"/>
      <c r="BQT58" s="12"/>
      <c r="BQU58" s="12"/>
      <c r="BQV58" s="12"/>
      <c r="BQW58" s="12"/>
      <c r="BQX58" s="12"/>
      <c r="BQY58" s="12"/>
      <c r="BQZ58" s="12"/>
      <c r="BRA58" s="12"/>
      <c r="BRB58" s="12"/>
      <c r="BRC58" s="12"/>
      <c r="BRD58" s="12"/>
      <c r="BRE58" s="12"/>
      <c r="BRF58" s="12"/>
      <c r="BRG58" s="12"/>
      <c r="BRH58" s="12"/>
      <c r="BRI58" s="12"/>
      <c r="BRJ58" s="12"/>
      <c r="BRK58" s="12"/>
      <c r="BRL58" s="12"/>
      <c r="BRM58" s="12"/>
      <c r="BRN58" s="12"/>
      <c r="BRO58" s="12"/>
      <c r="BRP58" s="12"/>
      <c r="BRQ58" s="12"/>
      <c r="BRR58" s="12"/>
      <c r="BRS58" s="12"/>
      <c r="BRT58" s="12"/>
      <c r="BRU58" s="12"/>
      <c r="BRV58" s="12"/>
      <c r="BRW58" s="12"/>
      <c r="BRX58" s="12"/>
      <c r="BRY58" s="12"/>
      <c r="BRZ58" s="12"/>
      <c r="BSA58" s="12"/>
      <c r="BSB58" s="12"/>
      <c r="BSC58" s="12"/>
      <c r="BSD58" s="12"/>
      <c r="BSE58" s="12"/>
      <c r="BSF58" s="12"/>
      <c r="BSG58" s="12"/>
      <c r="BSH58" s="12"/>
      <c r="BSI58" s="12"/>
      <c r="BSJ58" s="12"/>
      <c r="BSK58" s="12"/>
      <c r="BSL58" s="12"/>
      <c r="BSM58" s="12"/>
      <c r="BSN58" s="12"/>
      <c r="BSO58" s="12"/>
      <c r="BSP58" s="12"/>
      <c r="BSQ58" s="12"/>
      <c r="BSR58" s="12"/>
      <c r="BSS58" s="12"/>
      <c r="BST58" s="12"/>
      <c r="BSU58" s="12"/>
      <c r="BSV58" s="12"/>
      <c r="BSW58" s="12"/>
      <c r="BSX58" s="12"/>
      <c r="BSY58" s="12"/>
      <c r="BSZ58" s="12"/>
      <c r="BTA58" s="12"/>
      <c r="BTB58" s="12"/>
      <c r="BTC58" s="12"/>
      <c r="BTD58" s="12"/>
      <c r="BTE58" s="12"/>
      <c r="BTF58" s="12"/>
      <c r="BTG58" s="12"/>
      <c r="BTH58" s="12"/>
      <c r="BTI58" s="12"/>
      <c r="BTJ58" s="12"/>
      <c r="BTK58" s="12"/>
      <c r="BTL58" s="12"/>
      <c r="BTM58" s="12"/>
      <c r="BTN58" s="12"/>
      <c r="BTO58" s="12"/>
      <c r="BTP58" s="12"/>
      <c r="BTQ58" s="12"/>
      <c r="BTR58" s="12"/>
      <c r="BTS58" s="12"/>
      <c r="BTT58" s="12"/>
      <c r="BTU58" s="12"/>
      <c r="BTV58" s="12"/>
      <c r="BTW58" s="12"/>
      <c r="BTX58" s="12"/>
      <c r="BTY58" s="12"/>
      <c r="BTZ58" s="12"/>
      <c r="BUA58" s="12"/>
      <c r="BUB58" s="12"/>
      <c r="BUC58" s="12"/>
      <c r="BUD58" s="12"/>
      <c r="BUE58" s="12"/>
      <c r="BUF58" s="12"/>
      <c r="BUG58" s="12"/>
      <c r="BUH58" s="12"/>
      <c r="BUI58" s="12"/>
      <c r="BUJ58" s="12"/>
      <c r="BUK58" s="12"/>
      <c r="BUL58" s="12"/>
      <c r="BUM58" s="12"/>
      <c r="BUN58" s="12"/>
      <c r="BUO58" s="12"/>
      <c r="BUP58" s="12"/>
      <c r="BUQ58" s="12"/>
      <c r="BUR58" s="12"/>
      <c r="BUS58" s="12"/>
      <c r="BUT58" s="12"/>
      <c r="BUU58" s="12"/>
      <c r="BUV58" s="12"/>
      <c r="BUW58" s="12"/>
      <c r="BUX58" s="12"/>
      <c r="BUY58" s="12"/>
      <c r="BUZ58" s="12"/>
      <c r="BVA58" s="12"/>
      <c r="BVB58" s="12"/>
      <c r="BVC58" s="12"/>
      <c r="BVD58" s="12"/>
      <c r="BVE58" s="12"/>
      <c r="BVF58" s="12"/>
      <c r="BVG58" s="12"/>
      <c r="BVH58" s="12"/>
      <c r="BVI58" s="12"/>
      <c r="BVJ58" s="12"/>
      <c r="BVK58" s="12"/>
      <c r="BVL58" s="12"/>
      <c r="BVM58" s="12"/>
      <c r="BVN58" s="12"/>
      <c r="BVO58" s="12"/>
      <c r="BVP58" s="12"/>
      <c r="BVQ58" s="12"/>
      <c r="BVR58" s="12"/>
      <c r="BVS58" s="12"/>
      <c r="BVT58" s="12"/>
      <c r="BVU58" s="12"/>
      <c r="BVV58" s="12"/>
      <c r="BVW58" s="12"/>
      <c r="BVX58" s="12"/>
      <c r="BVY58" s="12"/>
      <c r="BVZ58" s="12"/>
      <c r="BWA58" s="12"/>
      <c r="BWB58" s="12"/>
      <c r="BWC58" s="12"/>
      <c r="BWD58" s="12"/>
      <c r="BWE58" s="12"/>
      <c r="BWF58" s="12"/>
      <c r="BWG58" s="12"/>
      <c r="BWH58" s="12"/>
      <c r="BWI58" s="12"/>
      <c r="BWJ58" s="12"/>
      <c r="BWK58" s="12"/>
      <c r="BWL58" s="12"/>
      <c r="BWM58" s="12"/>
      <c r="BWN58" s="12"/>
      <c r="BWO58" s="12"/>
      <c r="BWP58" s="12"/>
      <c r="BWQ58" s="12"/>
      <c r="BWR58" s="12"/>
      <c r="BWS58" s="12"/>
      <c r="BWT58" s="12"/>
      <c r="BWU58" s="12"/>
      <c r="BWV58" s="12"/>
      <c r="BWW58" s="12"/>
      <c r="BWX58" s="12"/>
      <c r="BWY58" s="12"/>
      <c r="BWZ58" s="12"/>
      <c r="BXA58" s="12"/>
      <c r="BXB58" s="12"/>
      <c r="BXC58" s="12"/>
      <c r="BXD58" s="12"/>
      <c r="BXE58" s="12"/>
      <c r="BXF58" s="12"/>
      <c r="BXG58" s="12"/>
      <c r="BXH58" s="12"/>
      <c r="BXI58" s="12"/>
      <c r="BXJ58" s="12"/>
      <c r="BXK58" s="12"/>
      <c r="BXL58" s="12"/>
      <c r="BXM58" s="12"/>
      <c r="BXN58" s="12"/>
      <c r="BXO58" s="12"/>
      <c r="BXP58" s="12"/>
      <c r="BXQ58" s="12"/>
      <c r="BXR58" s="12"/>
      <c r="BXS58" s="12"/>
      <c r="BXT58" s="12"/>
      <c r="BXU58" s="12"/>
      <c r="BXV58" s="12"/>
      <c r="BXW58" s="12"/>
      <c r="BXX58" s="12"/>
      <c r="BXY58" s="12"/>
      <c r="BXZ58" s="12"/>
      <c r="BYA58" s="12"/>
      <c r="BYB58" s="12"/>
      <c r="BYC58" s="12"/>
      <c r="BYD58" s="12"/>
      <c r="BYE58" s="12"/>
      <c r="BYF58" s="12"/>
      <c r="BYG58" s="12"/>
      <c r="BYH58" s="12"/>
      <c r="BYI58" s="12"/>
      <c r="BYJ58" s="12"/>
      <c r="BYK58" s="12"/>
      <c r="BYL58" s="12"/>
      <c r="BYM58" s="12"/>
      <c r="BYN58" s="12"/>
      <c r="BYO58" s="12"/>
      <c r="BYP58" s="12"/>
      <c r="BYQ58" s="12"/>
      <c r="BYR58" s="12"/>
      <c r="BYS58" s="12"/>
      <c r="BYT58" s="12"/>
      <c r="BYU58" s="12"/>
      <c r="BYV58" s="12"/>
      <c r="BYW58" s="12"/>
      <c r="BYX58" s="12"/>
      <c r="BYY58" s="12"/>
      <c r="BYZ58" s="12"/>
      <c r="BZA58" s="12"/>
      <c r="BZB58" s="12"/>
      <c r="BZC58" s="12"/>
      <c r="BZD58" s="12"/>
      <c r="BZE58" s="12"/>
      <c r="BZF58" s="12"/>
      <c r="BZG58" s="12"/>
      <c r="BZH58" s="12"/>
      <c r="BZI58" s="12"/>
      <c r="BZJ58" s="12"/>
      <c r="BZK58" s="12"/>
      <c r="BZL58" s="12"/>
      <c r="BZM58" s="12"/>
      <c r="BZN58" s="12"/>
      <c r="BZO58" s="12"/>
      <c r="BZP58" s="12"/>
      <c r="BZQ58" s="12"/>
      <c r="BZR58" s="12"/>
      <c r="BZS58" s="12"/>
      <c r="BZT58" s="12"/>
      <c r="BZU58" s="12"/>
      <c r="BZV58" s="12"/>
      <c r="BZW58" s="12"/>
      <c r="BZX58" s="12"/>
      <c r="BZY58" s="12"/>
      <c r="BZZ58" s="12"/>
      <c r="CAA58" s="12"/>
      <c r="CAB58" s="12"/>
      <c r="CAC58" s="12"/>
      <c r="CAD58" s="12"/>
      <c r="CAE58" s="12"/>
      <c r="CAF58" s="12"/>
      <c r="CAG58" s="12"/>
      <c r="CAH58" s="12"/>
      <c r="CAI58" s="12"/>
      <c r="CAJ58" s="12"/>
      <c r="CAK58" s="12"/>
      <c r="CAL58" s="12"/>
      <c r="CAM58" s="12"/>
      <c r="CAN58" s="12"/>
      <c r="CAO58" s="12"/>
      <c r="CAP58" s="12"/>
      <c r="CAQ58" s="12"/>
      <c r="CAR58" s="12"/>
      <c r="CAS58" s="12"/>
      <c r="CAT58" s="12"/>
      <c r="CAU58" s="12"/>
      <c r="CAV58" s="12"/>
      <c r="CAW58" s="12"/>
      <c r="CAX58" s="12"/>
      <c r="CAY58" s="12"/>
      <c r="CAZ58" s="12"/>
      <c r="CBA58" s="12"/>
      <c r="CBB58" s="12"/>
      <c r="CBC58" s="12"/>
      <c r="CBD58" s="12"/>
      <c r="CBE58" s="12"/>
      <c r="CBF58" s="12"/>
      <c r="CBG58" s="12"/>
      <c r="CBH58" s="12"/>
      <c r="CBI58" s="12"/>
      <c r="CBJ58" s="12"/>
      <c r="CBK58" s="12"/>
      <c r="CBL58" s="12"/>
      <c r="CBM58" s="12"/>
      <c r="CBN58" s="12"/>
      <c r="CBO58" s="12"/>
      <c r="CBP58" s="12"/>
      <c r="CBQ58" s="12"/>
      <c r="CBR58" s="12"/>
      <c r="CBS58" s="12"/>
      <c r="CBT58" s="12"/>
      <c r="CBU58" s="12"/>
      <c r="CBV58" s="12"/>
      <c r="CBW58" s="12"/>
      <c r="CBX58" s="12"/>
      <c r="CBY58" s="12"/>
      <c r="CBZ58" s="12"/>
      <c r="CCA58" s="12"/>
      <c r="CCB58" s="12"/>
      <c r="CCC58" s="12"/>
      <c r="CCD58" s="12"/>
      <c r="CCE58" s="12"/>
      <c r="CCF58" s="12"/>
      <c r="CCG58" s="12"/>
      <c r="CCH58" s="12"/>
      <c r="CCI58" s="12"/>
      <c r="CCJ58" s="12"/>
      <c r="CCK58" s="12"/>
      <c r="CCL58" s="12"/>
      <c r="CCM58" s="12"/>
      <c r="CCN58" s="12"/>
      <c r="CCO58" s="12"/>
      <c r="CCP58" s="12"/>
      <c r="CCQ58" s="12"/>
      <c r="CCR58" s="12"/>
      <c r="CCS58" s="12"/>
      <c r="CCT58" s="12"/>
      <c r="CCU58" s="12"/>
      <c r="CCV58" s="12"/>
      <c r="CCW58" s="12"/>
      <c r="CCX58" s="12"/>
      <c r="CCY58" s="12"/>
      <c r="CCZ58" s="12"/>
      <c r="CDA58" s="12"/>
      <c r="CDB58" s="12"/>
      <c r="CDC58" s="12"/>
      <c r="CDD58" s="12"/>
      <c r="CDE58" s="12"/>
      <c r="CDF58" s="12"/>
      <c r="CDG58" s="12"/>
      <c r="CDH58" s="12"/>
      <c r="CDI58" s="12"/>
      <c r="CDJ58" s="12"/>
      <c r="CDK58" s="12"/>
      <c r="CDL58" s="12"/>
      <c r="CDM58" s="12"/>
      <c r="CDN58" s="12"/>
      <c r="CDO58" s="12"/>
      <c r="CDP58" s="12"/>
      <c r="CDQ58" s="12"/>
      <c r="CDR58" s="12"/>
      <c r="CDS58" s="12"/>
      <c r="CDT58" s="12"/>
      <c r="CDU58" s="12"/>
      <c r="CDV58" s="12"/>
      <c r="CDW58" s="12"/>
      <c r="CDX58" s="12"/>
      <c r="CDY58" s="12"/>
      <c r="CDZ58" s="12"/>
      <c r="CEA58" s="12"/>
      <c r="CEB58" s="12"/>
      <c r="CEC58" s="12"/>
      <c r="CED58" s="12"/>
      <c r="CEE58" s="12"/>
      <c r="CEF58" s="12"/>
      <c r="CEG58" s="12"/>
      <c r="CEH58" s="12"/>
      <c r="CEI58" s="12"/>
      <c r="CEJ58" s="12"/>
      <c r="CEK58" s="12"/>
      <c r="CEL58" s="12"/>
      <c r="CEM58" s="12"/>
      <c r="CEN58" s="12"/>
      <c r="CEO58" s="12"/>
      <c r="CEP58" s="12"/>
      <c r="CEQ58" s="12"/>
      <c r="CER58" s="12"/>
      <c r="CES58" s="12"/>
      <c r="CET58" s="12"/>
      <c r="CEU58" s="12"/>
      <c r="CEV58" s="12"/>
      <c r="CEW58" s="12"/>
      <c r="CEX58" s="12"/>
      <c r="CEY58" s="12"/>
      <c r="CEZ58" s="12"/>
      <c r="CFA58" s="12"/>
      <c r="CFB58" s="12"/>
      <c r="CFC58" s="12"/>
      <c r="CFD58" s="12"/>
      <c r="CFE58" s="12"/>
      <c r="CFF58" s="12"/>
      <c r="CFG58" s="12"/>
      <c r="CFH58" s="12"/>
      <c r="CFI58" s="12"/>
      <c r="CFJ58" s="12"/>
      <c r="CFK58" s="12"/>
      <c r="CFL58" s="12"/>
      <c r="CFM58" s="12"/>
      <c r="CFN58" s="12"/>
      <c r="CFO58" s="12"/>
      <c r="CFP58" s="12"/>
      <c r="CFQ58" s="12"/>
      <c r="CFR58" s="12"/>
      <c r="CFS58" s="12"/>
      <c r="CFT58" s="12"/>
      <c r="CFU58" s="12"/>
      <c r="CFV58" s="12"/>
      <c r="CFW58" s="12"/>
      <c r="CFX58" s="12"/>
      <c r="CFY58" s="12"/>
      <c r="CFZ58" s="12"/>
      <c r="CGA58" s="12"/>
      <c r="CGB58" s="12"/>
      <c r="CGC58" s="12"/>
      <c r="CGD58" s="12"/>
      <c r="CGE58" s="12"/>
      <c r="CGF58" s="12"/>
      <c r="CGG58" s="12"/>
      <c r="CGH58" s="12"/>
      <c r="CGI58" s="12"/>
      <c r="CGJ58" s="12"/>
      <c r="CGK58" s="12"/>
      <c r="CGL58" s="12"/>
      <c r="CGM58" s="12"/>
      <c r="CGN58" s="12"/>
      <c r="CGO58" s="12"/>
      <c r="CGP58" s="12"/>
      <c r="CGQ58" s="12"/>
      <c r="CGR58" s="12"/>
      <c r="CGS58" s="12"/>
      <c r="CGT58" s="12"/>
      <c r="CGU58" s="12"/>
      <c r="CGV58" s="12"/>
      <c r="CGW58" s="12"/>
      <c r="CGX58" s="12"/>
      <c r="CGY58" s="12"/>
      <c r="CGZ58" s="12"/>
      <c r="CHA58" s="12"/>
      <c r="CHB58" s="12"/>
      <c r="CHC58" s="12"/>
      <c r="CHD58" s="12"/>
      <c r="CHE58" s="12"/>
      <c r="CHF58" s="12"/>
      <c r="CHG58" s="12"/>
      <c r="CHH58" s="12"/>
      <c r="CHI58" s="12"/>
      <c r="CHJ58" s="12"/>
      <c r="CHK58" s="12"/>
      <c r="CHL58" s="12"/>
      <c r="CHM58" s="12"/>
      <c r="CHN58" s="12"/>
      <c r="CHO58" s="12"/>
      <c r="CHP58" s="12"/>
      <c r="CHQ58" s="12"/>
      <c r="CHR58" s="12"/>
      <c r="CHS58" s="12"/>
      <c r="CHT58" s="12"/>
      <c r="CHU58" s="12"/>
      <c r="CHV58" s="12"/>
      <c r="CHW58" s="12"/>
      <c r="CHX58" s="12"/>
      <c r="CHY58" s="12"/>
      <c r="CHZ58" s="12"/>
      <c r="CIA58" s="12"/>
      <c r="CIB58" s="12"/>
      <c r="CIC58" s="12"/>
      <c r="CID58" s="12"/>
      <c r="CIE58" s="12"/>
      <c r="CIF58" s="12"/>
      <c r="CIG58" s="12"/>
      <c r="CIH58" s="12"/>
      <c r="CII58" s="12"/>
      <c r="CIJ58" s="12"/>
      <c r="CIK58" s="12"/>
      <c r="CIL58" s="12"/>
      <c r="CIM58" s="12"/>
      <c r="CIN58" s="12"/>
      <c r="CIO58" s="12"/>
      <c r="CIP58" s="12"/>
      <c r="CIQ58" s="12"/>
      <c r="CIR58" s="12"/>
      <c r="CIS58" s="12"/>
      <c r="CIT58" s="12"/>
      <c r="CIU58" s="12"/>
      <c r="CIV58" s="12"/>
      <c r="CIW58" s="12"/>
      <c r="CIX58" s="12"/>
      <c r="CIY58" s="12"/>
      <c r="CIZ58" s="12"/>
      <c r="CJA58" s="12"/>
      <c r="CJB58" s="12"/>
      <c r="CJC58" s="12"/>
      <c r="CJD58" s="12"/>
      <c r="CJE58" s="12"/>
      <c r="CJF58" s="12"/>
      <c r="CJG58" s="12"/>
      <c r="CJH58" s="12"/>
      <c r="CJI58" s="12"/>
      <c r="CJJ58" s="12"/>
      <c r="CJK58" s="12"/>
      <c r="CJL58" s="12"/>
      <c r="CJM58" s="12"/>
      <c r="CJN58" s="12"/>
      <c r="CJO58" s="12"/>
      <c r="CJP58" s="12"/>
      <c r="CJQ58" s="12"/>
      <c r="CJR58" s="12"/>
      <c r="CJS58" s="12"/>
      <c r="CJT58" s="12"/>
      <c r="CJU58" s="12"/>
      <c r="CJV58" s="12"/>
      <c r="CJW58" s="12"/>
      <c r="CJX58" s="12"/>
      <c r="CJY58" s="12"/>
      <c r="CJZ58" s="12"/>
      <c r="CKA58" s="12"/>
      <c r="CKB58" s="12"/>
      <c r="CKC58" s="12"/>
      <c r="CKD58" s="12"/>
      <c r="CKE58" s="12"/>
      <c r="CKF58" s="12"/>
      <c r="CKG58" s="12"/>
      <c r="CKH58" s="12"/>
      <c r="CKI58" s="12"/>
      <c r="CKJ58" s="12"/>
      <c r="CKK58" s="12"/>
      <c r="CKL58" s="12"/>
      <c r="CKM58" s="12"/>
      <c r="CKN58" s="12"/>
      <c r="CKO58" s="12"/>
      <c r="CKP58" s="12"/>
      <c r="CKQ58" s="12"/>
      <c r="CKR58" s="12"/>
      <c r="CKS58" s="12"/>
      <c r="CKT58" s="12"/>
      <c r="CKU58" s="12"/>
      <c r="CKV58" s="12"/>
      <c r="CKW58" s="12"/>
      <c r="CKX58" s="12"/>
      <c r="CKY58" s="12"/>
      <c r="CKZ58" s="12"/>
      <c r="CLA58" s="12"/>
      <c r="CLB58" s="12"/>
      <c r="CLC58" s="12"/>
      <c r="CLD58" s="12"/>
      <c r="CLE58" s="12"/>
      <c r="CLF58" s="12"/>
      <c r="CLG58" s="12"/>
      <c r="CLH58" s="12"/>
      <c r="CLI58" s="12"/>
      <c r="CLJ58" s="12"/>
      <c r="CLK58" s="12"/>
      <c r="CLL58" s="12"/>
      <c r="CLM58" s="12"/>
      <c r="CLN58" s="12"/>
      <c r="CLO58" s="12"/>
      <c r="CLP58" s="12"/>
      <c r="CLQ58" s="12"/>
      <c r="CLR58" s="12"/>
      <c r="CLS58" s="12"/>
      <c r="CLT58" s="12"/>
      <c r="CLU58" s="12"/>
      <c r="CLV58" s="12"/>
      <c r="CLW58" s="12"/>
      <c r="CLX58" s="12"/>
      <c r="CLY58" s="12"/>
      <c r="CLZ58" s="12"/>
      <c r="CMA58" s="12"/>
      <c r="CMB58" s="12"/>
      <c r="CMC58" s="12"/>
      <c r="CMD58" s="12"/>
      <c r="CME58" s="12"/>
      <c r="CMF58" s="12"/>
      <c r="CMG58" s="12"/>
      <c r="CMH58" s="12"/>
      <c r="CMI58" s="12"/>
      <c r="CMJ58" s="12"/>
      <c r="CMK58" s="12"/>
      <c r="CML58" s="12"/>
      <c r="CMM58" s="12"/>
      <c r="CMN58" s="12"/>
      <c r="CMO58" s="12"/>
      <c r="CMP58" s="12"/>
      <c r="CMQ58" s="12"/>
      <c r="CMR58" s="12"/>
      <c r="CMS58" s="12"/>
      <c r="CMT58" s="12"/>
      <c r="CMU58" s="12"/>
      <c r="CMV58" s="12"/>
      <c r="CMW58" s="12"/>
      <c r="CMX58" s="12"/>
      <c r="CMY58" s="12"/>
      <c r="CMZ58" s="12"/>
      <c r="CNA58" s="12"/>
      <c r="CNB58" s="12"/>
      <c r="CNC58" s="12"/>
      <c r="CND58" s="12"/>
      <c r="CNE58" s="12"/>
      <c r="CNF58" s="12"/>
      <c r="CNG58" s="12"/>
      <c r="CNH58" s="12"/>
      <c r="CNI58" s="12"/>
      <c r="CNJ58" s="12"/>
      <c r="CNK58" s="12"/>
      <c r="CNL58" s="12"/>
      <c r="CNM58" s="12"/>
      <c r="CNN58" s="12"/>
      <c r="CNO58" s="12"/>
      <c r="CNP58" s="12"/>
      <c r="CNQ58" s="12"/>
      <c r="CNR58" s="12"/>
      <c r="CNS58" s="12"/>
      <c r="CNT58" s="12"/>
      <c r="CNU58" s="12"/>
      <c r="CNV58" s="12"/>
      <c r="CNW58" s="12"/>
      <c r="CNX58" s="12"/>
      <c r="CNY58" s="12"/>
      <c r="CNZ58" s="12"/>
      <c r="COA58" s="12"/>
      <c r="COB58" s="12"/>
      <c r="COC58" s="12"/>
      <c r="COD58" s="12"/>
      <c r="COE58" s="12"/>
      <c r="COF58" s="12"/>
      <c r="COG58" s="12"/>
      <c r="COH58" s="12"/>
      <c r="COI58" s="12"/>
      <c r="COJ58" s="12"/>
      <c r="COK58" s="12"/>
      <c r="COL58" s="12"/>
      <c r="COM58" s="12"/>
      <c r="CON58" s="12"/>
      <c r="COO58" s="12"/>
      <c r="COP58" s="12"/>
      <c r="COQ58" s="12"/>
      <c r="COR58" s="12"/>
      <c r="COS58" s="12"/>
      <c r="COT58" s="12"/>
      <c r="COU58" s="12"/>
      <c r="COV58" s="12"/>
      <c r="COW58" s="12"/>
      <c r="COX58" s="12"/>
      <c r="COY58" s="12"/>
      <c r="COZ58" s="12"/>
      <c r="CPA58" s="12"/>
      <c r="CPB58" s="12"/>
      <c r="CPC58" s="12"/>
      <c r="CPD58" s="12"/>
      <c r="CPE58" s="12"/>
      <c r="CPF58" s="12"/>
      <c r="CPG58" s="12"/>
      <c r="CPH58" s="12"/>
      <c r="CPI58" s="12"/>
      <c r="CPJ58" s="12"/>
      <c r="CPK58" s="12"/>
      <c r="CPL58" s="12"/>
      <c r="CPM58" s="12"/>
      <c r="CPN58" s="12"/>
      <c r="CPO58" s="12"/>
      <c r="CPP58" s="12"/>
      <c r="CPQ58" s="12"/>
      <c r="CPR58" s="12"/>
      <c r="CPS58" s="12"/>
      <c r="CPT58" s="12"/>
      <c r="CPU58" s="12"/>
      <c r="CPV58" s="12"/>
      <c r="CPW58" s="12"/>
      <c r="CPX58" s="12"/>
      <c r="CPY58" s="12"/>
      <c r="CPZ58" s="12"/>
      <c r="CQA58" s="12"/>
      <c r="CQB58" s="12"/>
      <c r="CQC58" s="12"/>
      <c r="CQD58" s="12"/>
      <c r="CQE58" s="12"/>
      <c r="CQF58" s="12"/>
      <c r="CQG58" s="12"/>
      <c r="CQH58" s="12"/>
      <c r="CQI58" s="12"/>
      <c r="CQJ58" s="12"/>
      <c r="CQK58" s="12"/>
      <c r="CQL58" s="12"/>
      <c r="CQM58" s="12"/>
      <c r="CQN58" s="12"/>
      <c r="CQO58" s="12"/>
      <c r="CQP58" s="12"/>
      <c r="CQQ58" s="12"/>
      <c r="CQR58" s="12"/>
      <c r="CQS58" s="12"/>
      <c r="CQT58" s="12"/>
      <c r="CQU58" s="12"/>
      <c r="CQV58" s="12"/>
      <c r="CQW58" s="12"/>
      <c r="CQX58" s="12"/>
      <c r="CQY58" s="12"/>
      <c r="CQZ58" s="12"/>
      <c r="CRA58" s="12"/>
      <c r="CRB58" s="12"/>
      <c r="CRC58" s="12"/>
      <c r="CRD58" s="12"/>
      <c r="CRE58" s="12"/>
      <c r="CRF58" s="12"/>
      <c r="CRG58" s="12"/>
      <c r="CRH58" s="12"/>
      <c r="CRI58" s="12"/>
      <c r="CRJ58" s="12"/>
      <c r="CRK58" s="12"/>
      <c r="CRL58" s="12"/>
      <c r="CRM58" s="12"/>
      <c r="CRN58" s="12"/>
      <c r="CRO58" s="12"/>
      <c r="CRP58" s="12"/>
      <c r="CRQ58" s="12"/>
      <c r="CRR58" s="12"/>
      <c r="CRS58" s="12"/>
      <c r="CRT58" s="12"/>
      <c r="CRU58" s="12"/>
      <c r="CRV58" s="12"/>
      <c r="CRW58" s="12"/>
      <c r="CRX58" s="12"/>
      <c r="CRY58" s="12"/>
      <c r="CRZ58" s="12"/>
      <c r="CSA58" s="12"/>
      <c r="CSB58" s="12"/>
      <c r="CSC58" s="12"/>
      <c r="CSD58" s="12"/>
      <c r="CSE58" s="12"/>
      <c r="CSF58" s="12"/>
      <c r="CSG58" s="12"/>
      <c r="CSH58" s="12"/>
      <c r="CSI58" s="12"/>
      <c r="CSJ58" s="12"/>
      <c r="CSK58" s="12"/>
      <c r="CSL58" s="12"/>
      <c r="CSM58" s="12"/>
      <c r="CSN58" s="12"/>
      <c r="CSO58" s="12"/>
      <c r="CSP58" s="12"/>
      <c r="CSQ58" s="12"/>
      <c r="CSR58" s="12"/>
      <c r="CSS58" s="12"/>
      <c r="CST58" s="12"/>
      <c r="CSU58" s="12"/>
      <c r="CSV58" s="12"/>
      <c r="CSW58" s="12"/>
      <c r="CSX58" s="12"/>
      <c r="CSY58" s="12"/>
      <c r="CSZ58" s="12"/>
      <c r="CTA58" s="12"/>
      <c r="CTB58" s="12"/>
      <c r="CTC58" s="12"/>
      <c r="CTD58" s="12"/>
      <c r="CTE58" s="12"/>
      <c r="CTF58" s="12"/>
      <c r="CTG58" s="12"/>
      <c r="CTH58" s="12"/>
      <c r="CTI58" s="12"/>
      <c r="CTJ58" s="12"/>
      <c r="CTK58" s="12"/>
      <c r="CTL58" s="12"/>
      <c r="CTM58" s="12"/>
      <c r="CTN58" s="12"/>
      <c r="CTO58" s="12"/>
      <c r="CTP58" s="12"/>
      <c r="CTQ58" s="12"/>
      <c r="CTR58" s="12"/>
      <c r="CTS58" s="12"/>
      <c r="CTT58" s="12"/>
      <c r="CTU58" s="12"/>
      <c r="CTV58" s="12"/>
      <c r="CTW58" s="12"/>
      <c r="CTX58" s="12"/>
      <c r="CTY58" s="12"/>
      <c r="CTZ58" s="12"/>
      <c r="CUA58" s="12"/>
      <c r="CUB58" s="12"/>
      <c r="CUC58" s="12"/>
      <c r="CUD58" s="12"/>
      <c r="CUE58" s="12"/>
      <c r="CUF58" s="12"/>
      <c r="CUG58" s="12"/>
      <c r="CUH58" s="12"/>
      <c r="CUI58" s="12"/>
      <c r="CUJ58" s="12"/>
      <c r="CUK58" s="12"/>
      <c r="CUL58" s="12"/>
      <c r="CUM58" s="12"/>
      <c r="CUN58" s="12"/>
      <c r="CUO58" s="12"/>
      <c r="CUP58" s="12"/>
      <c r="CUQ58" s="12"/>
      <c r="CUR58" s="12"/>
      <c r="CUS58" s="12"/>
      <c r="CUT58" s="12"/>
      <c r="CUU58" s="12"/>
      <c r="CUV58" s="12"/>
      <c r="CUW58" s="12"/>
      <c r="CUX58" s="12"/>
      <c r="CUY58" s="12"/>
      <c r="CUZ58" s="12"/>
      <c r="CVA58" s="12"/>
      <c r="CVB58" s="12"/>
      <c r="CVC58" s="12"/>
      <c r="CVD58" s="12"/>
      <c r="CVE58" s="12"/>
      <c r="CVF58" s="12"/>
      <c r="CVG58" s="12"/>
      <c r="CVH58" s="12"/>
      <c r="CVI58" s="12"/>
      <c r="CVJ58" s="12"/>
      <c r="CVK58" s="12"/>
      <c r="CVL58" s="12"/>
      <c r="CVM58" s="12"/>
      <c r="CVN58" s="12"/>
      <c r="CVO58" s="12"/>
      <c r="CVP58" s="12"/>
      <c r="CVQ58" s="12"/>
      <c r="CVR58" s="12"/>
      <c r="CVS58" s="12"/>
      <c r="CVT58" s="12"/>
      <c r="CVU58" s="12"/>
      <c r="CVV58" s="12"/>
      <c r="CVW58" s="12"/>
      <c r="CVX58" s="12"/>
      <c r="CVY58" s="12"/>
      <c r="CVZ58" s="12"/>
      <c r="CWA58" s="12"/>
      <c r="CWB58" s="12"/>
      <c r="CWC58" s="12"/>
      <c r="CWD58" s="12"/>
      <c r="CWE58" s="12"/>
      <c r="CWF58" s="12"/>
      <c r="CWG58" s="12"/>
      <c r="CWH58" s="12"/>
      <c r="CWI58" s="12"/>
      <c r="CWJ58" s="12"/>
      <c r="CWK58" s="12"/>
      <c r="CWL58" s="12"/>
      <c r="CWM58" s="12"/>
      <c r="CWN58" s="12"/>
      <c r="CWO58" s="12"/>
      <c r="CWP58" s="12"/>
      <c r="CWQ58" s="12"/>
      <c r="CWR58" s="12"/>
      <c r="CWS58" s="12"/>
      <c r="CWT58" s="12"/>
      <c r="CWU58" s="12"/>
      <c r="CWV58" s="12"/>
      <c r="CWW58" s="12"/>
      <c r="CWX58" s="12"/>
      <c r="CWY58" s="12"/>
      <c r="CWZ58" s="12"/>
      <c r="CXA58" s="12"/>
      <c r="CXB58" s="12"/>
      <c r="CXC58" s="12"/>
      <c r="CXD58" s="12"/>
      <c r="CXE58" s="12"/>
      <c r="CXF58" s="12"/>
      <c r="CXG58" s="12"/>
      <c r="CXH58" s="12"/>
      <c r="CXI58" s="12"/>
      <c r="CXJ58" s="12"/>
      <c r="CXK58" s="12"/>
      <c r="CXL58" s="12"/>
      <c r="CXM58" s="12"/>
      <c r="CXN58" s="12"/>
      <c r="CXO58" s="12"/>
      <c r="CXP58" s="12"/>
      <c r="CXQ58" s="12"/>
      <c r="CXR58" s="12"/>
      <c r="CXS58" s="12"/>
      <c r="CXT58" s="12"/>
      <c r="CXU58" s="12"/>
      <c r="CXV58" s="12"/>
      <c r="CXW58" s="12"/>
      <c r="CXX58" s="12"/>
      <c r="CXY58" s="12"/>
      <c r="CXZ58" s="12"/>
      <c r="CYA58" s="12"/>
      <c r="CYB58" s="12"/>
      <c r="CYC58" s="12"/>
      <c r="CYD58" s="12"/>
      <c r="CYE58" s="12"/>
      <c r="CYF58" s="12"/>
      <c r="CYG58" s="12"/>
      <c r="CYH58" s="12"/>
      <c r="CYI58" s="12"/>
      <c r="CYJ58" s="12"/>
      <c r="CYK58" s="12"/>
      <c r="CYL58" s="12"/>
      <c r="CYM58" s="12"/>
      <c r="CYN58" s="12"/>
      <c r="CYO58" s="12"/>
      <c r="CYP58" s="12"/>
      <c r="CYQ58" s="12"/>
      <c r="CYR58" s="12"/>
      <c r="CYS58" s="12"/>
      <c r="CYT58" s="12"/>
      <c r="CYU58" s="12"/>
      <c r="CYV58" s="12"/>
      <c r="CYW58" s="12"/>
      <c r="CYX58" s="12"/>
      <c r="CYY58" s="12"/>
      <c r="CYZ58" s="12"/>
      <c r="CZA58" s="12"/>
      <c r="CZB58" s="12"/>
      <c r="CZC58" s="12"/>
      <c r="CZD58" s="12"/>
      <c r="CZE58" s="12"/>
      <c r="CZF58" s="12"/>
      <c r="CZG58" s="12"/>
      <c r="CZH58" s="12"/>
      <c r="CZI58" s="12"/>
      <c r="CZJ58" s="12"/>
      <c r="CZK58" s="12"/>
      <c r="CZL58" s="12"/>
      <c r="CZM58" s="12"/>
      <c r="CZN58" s="12"/>
      <c r="CZO58" s="12"/>
      <c r="CZP58" s="12"/>
      <c r="CZQ58" s="12"/>
      <c r="CZR58" s="12"/>
      <c r="CZS58" s="12"/>
      <c r="CZT58" s="12"/>
      <c r="CZU58" s="12"/>
      <c r="CZV58" s="12"/>
      <c r="CZW58" s="12"/>
      <c r="CZX58" s="12"/>
      <c r="CZY58" s="12"/>
      <c r="CZZ58" s="12"/>
      <c r="DAA58" s="12"/>
      <c r="DAB58" s="12"/>
      <c r="DAC58" s="12"/>
      <c r="DAD58" s="12"/>
      <c r="DAE58" s="12"/>
      <c r="DAF58" s="12"/>
      <c r="DAG58" s="12"/>
      <c r="DAH58" s="12"/>
      <c r="DAI58" s="12"/>
      <c r="DAJ58" s="12"/>
      <c r="DAK58" s="12"/>
      <c r="DAL58" s="12"/>
      <c r="DAM58" s="12"/>
      <c r="DAN58" s="12"/>
      <c r="DAO58" s="12"/>
      <c r="DAP58" s="12"/>
      <c r="DAQ58" s="12"/>
      <c r="DAR58" s="12"/>
      <c r="DAS58" s="12"/>
      <c r="DAT58" s="12"/>
      <c r="DAU58" s="12"/>
      <c r="DAV58" s="12"/>
      <c r="DAW58" s="12"/>
      <c r="DAX58" s="12"/>
      <c r="DAY58" s="12"/>
      <c r="DAZ58" s="12"/>
      <c r="DBA58" s="12"/>
      <c r="DBB58" s="12"/>
      <c r="DBC58" s="12"/>
      <c r="DBD58" s="12"/>
      <c r="DBE58" s="12"/>
      <c r="DBF58" s="12"/>
      <c r="DBG58" s="12"/>
      <c r="DBH58" s="12"/>
      <c r="DBI58" s="12"/>
      <c r="DBJ58" s="12"/>
      <c r="DBK58" s="12"/>
      <c r="DBL58" s="12"/>
      <c r="DBM58" s="12"/>
      <c r="DBN58" s="12"/>
      <c r="DBO58" s="12"/>
      <c r="DBP58" s="12"/>
      <c r="DBQ58" s="12"/>
      <c r="DBR58" s="12"/>
      <c r="DBS58" s="12"/>
      <c r="DBT58" s="12"/>
      <c r="DBU58" s="12"/>
      <c r="DBV58" s="12"/>
      <c r="DBW58" s="12"/>
      <c r="DBX58" s="12"/>
      <c r="DBY58" s="12"/>
      <c r="DBZ58" s="12"/>
      <c r="DCA58" s="12"/>
      <c r="DCB58" s="12"/>
      <c r="DCC58" s="12"/>
      <c r="DCD58" s="12"/>
      <c r="DCE58" s="12"/>
      <c r="DCF58" s="12"/>
      <c r="DCG58" s="12"/>
      <c r="DCH58" s="12"/>
      <c r="DCI58" s="12"/>
      <c r="DCJ58" s="12"/>
      <c r="DCK58" s="12"/>
      <c r="DCL58" s="12"/>
      <c r="DCM58" s="12"/>
      <c r="DCN58" s="12"/>
      <c r="DCO58" s="12"/>
      <c r="DCP58" s="12"/>
      <c r="DCQ58" s="12"/>
      <c r="DCR58" s="12"/>
      <c r="DCS58" s="12"/>
      <c r="DCT58" s="12"/>
      <c r="DCU58" s="12"/>
      <c r="DCV58" s="12"/>
      <c r="DCW58" s="12"/>
      <c r="DCX58" s="12"/>
      <c r="DCY58" s="12"/>
      <c r="DCZ58" s="12"/>
      <c r="DDA58" s="12"/>
      <c r="DDB58" s="12"/>
      <c r="DDC58" s="12"/>
      <c r="DDD58" s="12"/>
      <c r="DDE58" s="12"/>
      <c r="DDF58" s="12"/>
      <c r="DDG58" s="12"/>
      <c r="DDH58" s="12"/>
      <c r="DDI58" s="12"/>
      <c r="DDJ58" s="12"/>
      <c r="DDK58" s="12"/>
      <c r="DDL58" s="12"/>
      <c r="DDM58" s="12"/>
      <c r="DDN58" s="12"/>
      <c r="DDO58" s="12"/>
      <c r="DDP58" s="12"/>
      <c r="DDQ58" s="12"/>
      <c r="DDR58" s="12"/>
      <c r="DDS58" s="12"/>
      <c r="DDT58" s="12"/>
      <c r="DDU58" s="12"/>
      <c r="DDV58" s="12"/>
      <c r="DDW58" s="12"/>
      <c r="DDX58" s="12"/>
      <c r="DDY58" s="12"/>
      <c r="DDZ58" s="12"/>
      <c r="DEA58" s="12"/>
      <c r="DEB58" s="12"/>
      <c r="DEC58" s="12"/>
      <c r="DED58" s="12"/>
      <c r="DEE58" s="12"/>
      <c r="DEF58" s="12"/>
      <c r="DEG58" s="12"/>
      <c r="DEH58" s="12"/>
      <c r="DEI58" s="12"/>
      <c r="DEJ58" s="12"/>
      <c r="DEK58" s="12"/>
      <c r="DEL58" s="12"/>
      <c r="DEM58" s="12"/>
      <c r="DEN58" s="12"/>
      <c r="DEO58" s="12"/>
      <c r="DEP58" s="12"/>
      <c r="DEQ58" s="12"/>
      <c r="DER58" s="12"/>
      <c r="DES58" s="12"/>
      <c r="DET58" s="12"/>
      <c r="DEU58" s="12"/>
      <c r="DEV58" s="12"/>
      <c r="DEW58" s="12"/>
      <c r="DEX58" s="12"/>
      <c r="DEY58" s="12"/>
      <c r="DEZ58" s="12"/>
      <c r="DFA58" s="12"/>
      <c r="DFB58" s="12"/>
      <c r="DFC58" s="12"/>
      <c r="DFD58" s="12"/>
      <c r="DFE58" s="12"/>
      <c r="DFF58" s="12"/>
      <c r="DFG58" s="12"/>
      <c r="DFH58" s="12"/>
      <c r="DFI58" s="12"/>
      <c r="DFJ58" s="12"/>
      <c r="DFK58" s="12"/>
      <c r="DFL58" s="12"/>
      <c r="DFM58" s="12"/>
      <c r="DFN58" s="12"/>
      <c r="DFO58" s="12"/>
      <c r="DFP58" s="12"/>
      <c r="DFQ58" s="12"/>
      <c r="DFR58" s="12"/>
      <c r="DFS58" s="12"/>
      <c r="DFT58" s="12"/>
      <c r="DFU58" s="12"/>
      <c r="DFV58" s="12"/>
      <c r="DFW58" s="12"/>
      <c r="DFX58" s="12"/>
      <c r="DFY58" s="12"/>
      <c r="DFZ58" s="12"/>
      <c r="DGA58" s="12"/>
      <c r="DGB58" s="12"/>
      <c r="DGC58" s="12"/>
      <c r="DGD58" s="12"/>
      <c r="DGE58" s="12"/>
      <c r="DGF58" s="12"/>
      <c r="DGG58" s="12"/>
      <c r="DGH58" s="12"/>
      <c r="DGI58" s="12"/>
      <c r="DGJ58" s="12"/>
      <c r="DGK58" s="12"/>
      <c r="DGL58" s="12"/>
      <c r="DGM58" s="12"/>
      <c r="DGN58" s="12"/>
      <c r="DGO58" s="12"/>
      <c r="DGP58" s="12"/>
      <c r="DGQ58" s="12"/>
      <c r="DGR58" s="12"/>
      <c r="DGS58" s="12"/>
      <c r="DGT58" s="12"/>
      <c r="DGU58" s="12"/>
      <c r="DGV58" s="12"/>
      <c r="DGW58" s="12"/>
      <c r="DGX58" s="12"/>
      <c r="DGY58" s="12"/>
      <c r="DGZ58" s="12"/>
      <c r="DHA58" s="12"/>
      <c r="DHB58" s="12"/>
      <c r="DHC58" s="12"/>
      <c r="DHD58" s="12"/>
      <c r="DHE58" s="12"/>
      <c r="DHF58" s="12"/>
      <c r="DHG58" s="12"/>
      <c r="DHH58" s="12"/>
      <c r="DHI58" s="12"/>
      <c r="DHJ58" s="12"/>
      <c r="DHK58" s="12"/>
      <c r="DHL58" s="12"/>
      <c r="DHM58" s="12"/>
      <c r="DHN58" s="12"/>
      <c r="DHO58" s="12"/>
      <c r="DHP58" s="12"/>
      <c r="DHQ58" s="12"/>
      <c r="DHR58" s="12"/>
      <c r="DHS58" s="12"/>
      <c r="DHT58" s="12"/>
      <c r="DHU58" s="12"/>
      <c r="DHV58" s="12"/>
      <c r="DHW58" s="12"/>
      <c r="DHX58" s="12"/>
      <c r="DHY58" s="12"/>
      <c r="DHZ58" s="12"/>
      <c r="DIA58" s="12"/>
      <c r="DIB58" s="12"/>
      <c r="DIC58" s="12"/>
      <c r="DID58" s="12"/>
      <c r="DIE58" s="12"/>
      <c r="DIF58" s="12"/>
      <c r="DIG58" s="12"/>
      <c r="DIH58" s="12"/>
      <c r="DII58" s="12"/>
      <c r="DIJ58" s="12"/>
      <c r="DIK58" s="12"/>
      <c r="DIL58" s="12"/>
      <c r="DIM58" s="12"/>
      <c r="DIN58" s="12"/>
      <c r="DIO58" s="12"/>
      <c r="DIP58" s="12"/>
      <c r="DIQ58" s="12"/>
      <c r="DIR58" s="12"/>
      <c r="DIS58" s="12"/>
      <c r="DIT58" s="12"/>
      <c r="DIU58" s="12"/>
      <c r="DIV58" s="12"/>
      <c r="DIW58" s="12"/>
      <c r="DIX58" s="12"/>
      <c r="DIY58" s="12"/>
      <c r="DIZ58" s="12"/>
      <c r="DJA58" s="12"/>
      <c r="DJB58" s="12"/>
      <c r="DJC58" s="12"/>
      <c r="DJD58" s="12"/>
      <c r="DJE58" s="12"/>
      <c r="DJF58" s="12"/>
      <c r="DJG58" s="12"/>
      <c r="DJH58" s="12"/>
      <c r="DJI58" s="12"/>
      <c r="DJJ58" s="12"/>
      <c r="DJK58" s="12"/>
      <c r="DJL58" s="12"/>
      <c r="DJM58" s="12"/>
      <c r="DJN58" s="12"/>
      <c r="DJO58" s="12"/>
      <c r="DJP58" s="12"/>
      <c r="DJQ58" s="12"/>
      <c r="DJR58" s="12"/>
      <c r="DJS58" s="12"/>
      <c r="DJT58" s="12"/>
      <c r="DJU58" s="12"/>
      <c r="DJV58" s="12"/>
      <c r="DJW58" s="12"/>
      <c r="DJX58" s="12"/>
      <c r="DJY58" s="12"/>
      <c r="DJZ58" s="12"/>
      <c r="DKA58" s="12"/>
      <c r="DKB58" s="12"/>
      <c r="DKC58" s="12"/>
      <c r="DKD58" s="12"/>
      <c r="DKE58" s="12"/>
      <c r="DKF58" s="12"/>
      <c r="DKG58" s="12"/>
      <c r="DKH58" s="12"/>
      <c r="DKI58" s="12"/>
      <c r="DKJ58" s="12"/>
      <c r="DKK58" s="12"/>
      <c r="DKL58" s="12"/>
      <c r="DKM58" s="12"/>
      <c r="DKN58" s="12"/>
      <c r="DKO58" s="12"/>
      <c r="DKP58" s="12"/>
      <c r="DKQ58" s="12"/>
      <c r="DKR58" s="12"/>
      <c r="DKS58" s="12"/>
      <c r="DKT58" s="12"/>
      <c r="DKU58" s="12"/>
      <c r="DKV58" s="12"/>
      <c r="DKW58" s="12"/>
      <c r="DKX58" s="12"/>
      <c r="DKY58" s="12"/>
      <c r="DKZ58" s="12"/>
      <c r="DLA58" s="12"/>
      <c r="DLB58" s="12"/>
      <c r="DLC58" s="12"/>
      <c r="DLD58" s="12"/>
      <c r="DLE58" s="12"/>
      <c r="DLF58" s="12"/>
      <c r="DLG58" s="12"/>
      <c r="DLH58" s="12"/>
      <c r="DLI58" s="12"/>
      <c r="DLJ58" s="12"/>
      <c r="DLK58" s="12"/>
      <c r="DLL58" s="12"/>
      <c r="DLM58" s="12"/>
      <c r="DLN58" s="12"/>
      <c r="DLO58" s="12"/>
      <c r="DLP58" s="12"/>
      <c r="DLQ58" s="12"/>
      <c r="DLR58" s="12"/>
      <c r="DLS58" s="12"/>
      <c r="DLT58" s="12"/>
      <c r="DLU58" s="12"/>
      <c r="DLV58" s="12"/>
      <c r="DLW58" s="12"/>
      <c r="DLX58" s="12"/>
      <c r="DLY58" s="12"/>
      <c r="DLZ58" s="12"/>
      <c r="DMA58" s="12"/>
      <c r="DMB58" s="12"/>
      <c r="DMC58" s="12"/>
      <c r="DMD58" s="12"/>
      <c r="DME58" s="12"/>
      <c r="DMF58" s="12"/>
      <c r="DMG58" s="12"/>
      <c r="DMH58" s="12"/>
      <c r="DMI58" s="12"/>
      <c r="DMJ58" s="12"/>
      <c r="DMK58" s="12"/>
      <c r="DML58" s="12"/>
      <c r="DMM58" s="12"/>
      <c r="DMN58" s="12"/>
      <c r="DMO58" s="12"/>
      <c r="DMP58" s="12"/>
      <c r="DMQ58" s="12"/>
      <c r="DMR58" s="12"/>
      <c r="DMS58" s="12"/>
      <c r="DMT58" s="12"/>
      <c r="DMU58" s="12"/>
      <c r="DMV58" s="12"/>
      <c r="DMW58" s="12"/>
      <c r="DMX58" s="12"/>
      <c r="DMY58" s="12"/>
      <c r="DMZ58" s="12"/>
      <c r="DNA58" s="12"/>
      <c r="DNB58" s="12"/>
      <c r="DNC58" s="12"/>
      <c r="DND58" s="12"/>
      <c r="DNE58" s="12"/>
      <c r="DNF58" s="12"/>
      <c r="DNG58" s="12"/>
      <c r="DNH58" s="12"/>
      <c r="DNI58" s="12"/>
      <c r="DNJ58" s="12"/>
      <c r="DNK58" s="12"/>
      <c r="DNL58" s="12"/>
      <c r="DNM58" s="12"/>
      <c r="DNN58" s="12"/>
      <c r="DNO58" s="12"/>
      <c r="DNP58" s="12"/>
      <c r="DNQ58" s="12"/>
      <c r="DNR58" s="12"/>
      <c r="DNS58" s="12"/>
      <c r="DNT58" s="12"/>
      <c r="DNU58" s="12"/>
      <c r="DNV58" s="12"/>
      <c r="DNW58" s="12"/>
      <c r="DNX58" s="12"/>
      <c r="DNY58" s="12"/>
      <c r="DNZ58" s="12"/>
      <c r="DOA58" s="12"/>
      <c r="DOB58" s="12"/>
      <c r="DOC58" s="12"/>
      <c r="DOD58" s="12"/>
      <c r="DOE58" s="12"/>
      <c r="DOF58" s="12"/>
      <c r="DOG58" s="12"/>
      <c r="DOH58" s="12"/>
      <c r="DOI58" s="12"/>
      <c r="DOJ58" s="12"/>
      <c r="DOK58" s="12"/>
      <c r="DOL58" s="12"/>
      <c r="DOM58" s="12"/>
      <c r="DON58" s="12"/>
      <c r="DOO58" s="12"/>
      <c r="DOP58" s="12"/>
      <c r="DOQ58" s="12"/>
      <c r="DOR58" s="12"/>
      <c r="DOS58" s="12"/>
      <c r="DOT58" s="12"/>
      <c r="DOU58" s="12"/>
      <c r="DOV58" s="12"/>
      <c r="DOW58" s="12"/>
      <c r="DOX58" s="12"/>
      <c r="DOY58" s="12"/>
      <c r="DOZ58" s="12"/>
      <c r="DPA58" s="12"/>
      <c r="DPB58" s="12"/>
      <c r="DPC58" s="12"/>
      <c r="DPD58" s="12"/>
      <c r="DPE58" s="12"/>
      <c r="DPF58" s="12"/>
      <c r="DPG58" s="12"/>
      <c r="DPH58" s="12"/>
      <c r="DPI58" s="12"/>
      <c r="DPJ58" s="12"/>
      <c r="DPK58" s="12"/>
      <c r="DPL58" s="12"/>
      <c r="DPM58" s="12"/>
      <c r="DPN58" s="12"/>
      <c r="DPO58" s="12"/>
      <c r="DPP58" s="12"/>
      <c r="DPQ58" s="12"/>
      <c r="DPR58" s="12"/>
      <c r="DPS58" s="12"/>
      <c r="DPT58" s="12"/>
      <c r="DPU58" s="12"/>
      <c r="DPV58" s="12"/>
      <c r="DPW58" s="12"/>
      <c r="DPX58" s="12"/>
      <c r="DPY58" s="12"/>
      <c r="DPZ58" s="12"/>
      <c r="DQA58" s="12"/>
      <c r="DQB58" s="12"/>
      <c r="DQC58" s="12"/>
      <c r="DQD58" s="12"/>
      <c r="DQE58" s="12"/>
      <c r="DQF58" s="12"/>
      <c r="DQG58" s="12"/>
      <c r="DQH58" s="12"/>
      <c r="DQI58" s="12"/>
      <c r="DQJ58" s="12"/>
      <c r="DQK58" s="12"/>
      <c r="DQL58" s="12"/>
      <c r="DQM58" s="12"/>
      <c r="DQN58" s="12"/>
      <c r="DQO58" s="12"/>
      <c r="DQP58" s="12"/>
      <c r="DQQ58" s="12"/>
      <c r="DQR58" s="12"/>
      <c r="DQS58" s="12"/>
      <c r="DQT58" s="12"/>
      <c r="DQU58" s="12"/>
      <c r="DQV58" s="12"/>
      <c r="DQW58" s="12"/>
      <c r="DQX58" s="12"/>
      <c r="DQY58" s="12"/>
      <c r="DQZ58" s="12"/>
      <c r="DRA58" s="12"/>
      <c r="DRB58" s="12"/>
      <c r="DRC58" s="12"/>
      <c r="DRD58" s="12"/>
      <c r="DRE58" s="12"/>
      <c r="DRF58" s="12"/>
      <c r="DRG58" s="12"/>
      <c r="DRH58" s="12"/>
      <c r="DRI58" s="12"/>
      <c r="DRJ58" s="12"/>
      <c r="DRK58" s="12"/>
      <c r="DRL58" s="12"/>
      <c r="DRM58" s="12"/>
      <c r="DRN58" s="12"/>
      <c r="DRO58" s="12"/>
      <c r="DRP58" s="12"/>
      <c r="DRQ58" s="12"/>
      <c r="DRR58" s="12"/>
      <c r="DRS58" s="12"/>
      <c r="DRT58" s="12"/>
      <c r="DRU58" s="12"/>
      <c r="DRV58" s="12"/>
      <c r="DRW58" s="12"/>
      <c r="DRX58" s="12"/>
      <c r="DRY58" s="12"/>
      <c r="DRZ58" s="12"/>
      <c r="DSA58" s="12"/>
      <c r="DSB58" s="12"/>
      <c r="DSC58" s="12"/>
      <c r="DSD58" s="12"/>
      <c r="DSE58" s="12"/>
      <c r="DSF58" s="12"/>
      <c r="DSG58" s="12"/>
      <c r="DSH58" s="12"/>
      <c r="DSI58" s="12"/>
      <c r="DSJ58" s="12"/>
      <c r="DSK58" s="12"/>
      <c r="DSL58" s="12"/>
      <c r="DSM58" s="12"/>
      <c r="DSN58" s="12"/>
      <c r="DSO58" s="12"/>
      <c r="DSP58" s="12"/>
      <c r="DSQ58" s="12"/>
      <c r="DSR58" s="12"/>
      <c r="DSS58" s="12"/>
      <c r="DST58" s="12"/>
      <c r="DSU58" s="12"/>
      <c r="DSV58" s="12"/>
      <c r="DSW58" s="12"/>
      <c r="DSX58" s="12"/>
      <c r="DSY58" s="12"/>
      <c r="DSZ58" s="12"/>
      <c r="DTA58" s="12"/>
      <c r="DTB58" s="12"/>
      <c r="DTC58" s="12"/>
      <c r="DTD58" s="12"/>
      <c r="DTE58" s="12"/>
      <c r="DTF58" s="12"/>
      <c r="DTG58" s="12"/>
      <c r="DTH58" s="12"/>
      <c r="DTI58" s="12"/>
      <c r="DTJ58" s="12"/>
      <c r="DTK58" s="12"/>
      <c r="DTL58" s="12"/>
      <c r="DTM58" s="12"/>
      <c r="DTN58" s="12"/>
      <c r="DTO58" s="12"/>
      <c r="DTP58" s="12"/>
      <c r="DTQ58" s="12"/>
      <c r="DTR58" s="12"/>
      <c r="DTS58" s="12"/>
      <c r="DTT58" s="12"/>
      <c r="DTU58" s="12"/>
      <c r="DTV58" s="12"/>
      <c r="DTW58" s="12"/>
      <c r="DTX58" s="12"/>
      <c r="DTY58" s="12"/>
      <c r="DTZ58" s="12"/>
      <c r="DUA58" s="12"/>
      <c r="DUB58" s="12"/>
      <c r="DUC58" s="12"/>
      <c r="DUD58" s="12"/>
      <c r="DUE58" s="12"/>
      <c r="DUF58" s="12"/>
      <c r="DUG58" s="12"/>
      <c r="DUH58" s="12"/>
      <c r="DUI58" s="12"/>
      <c r="DUJ58" s="12"/>
      <c r="DUK58" s="12"/>
      <c r="DUL58" s="12"/>
      <c r="DUM58" s="12"/>
      <c r="DUN58" s="12"/>
      <c r="DUO58" s="12"/>
      <c r="DUP58" s="12"/>
      <c r="DUQ58" s="12"/>
      <c r="DUR58" s="12"/>
      <c r="DUS58" s="12"/>
      <c r="DUT58" s="12"/>
      <c r="DUU58" s="12"/>
      <c r="DUV58" s="12"/>
      <c r="DUW58" s="12"/>
      <c r="DUX58" s="12"/>
      <c r="DUY58" s="12"/>
      <c r="DUZ58" s="12"/>
      <c r="DVA58" s="12"/>
      <c r="DVB58" s="12"/>
      <c r="DVC58" s="12"/>
      <c r="DVD58" s="12"/>
      <c r="DVE58" s="12"/>
      <c r="DVF58" s="12"/>
      <c r="DVG58" s="12"/>
      <c r="DVH58" s="12"/>
      <c r="DVI58" s="12"/>
      <c r="DVJ58" s="12"/>
      <c r="DVK58" s="12"/>
      <c r="DVL58" s="12"/>
      <c r="DVM58" s="12"/>
      <c r="DVN58" s="12"/>
      <c r="DVO58" s="12"/>
      <c r="DVP58" s="12"/>
      <c r="DVQ58" s="12"/>
      <c r="DVR58" s="12"/>
      <c r="DVS58" s="12"/>
      <c r="DVT58" s="12"/>
      <c r="DVU58" s="12"/>
      <c r="DVV58" s="12"/>
      <c r="DVW58" s="12"/>
      <c r="DVX58" s="12"/>
      <c r="DVY58" s="12"/>
      <c r="DVZ58" s="12"/>
      <c r="DWA58" s="12"/>
      <c r="DWB58" s="12"/>
      <c r="DWC58" s="12"/>
      <c r="DWD58" s="12"/>
      <c r="DWE58" s="12"/>
      <c r="DWF58" s="12"/>
      <c r="DWG58" s="12"/>
      <c r="DWH58" s="12"/>
      <c r="DWI58" s="12"/>
      <c r="DWJ58" s="12"/>
      <c r="DWK58" s="12"/>
      <c r="DWL58" s="12"/>
      <c r="DWM58" s="12"/>
      <c r="DWN58" s="12"/>
      <c r="DWO58" s="12"/>
      <c r="DWP58" s="12"/>
      <c r="DWQ58" s="12"/>
      <c r="DWR58" s="12"/>
      <c r="DWS58" s="12"/>
      <c r="DWT58" s="12"/>
      <c r="DWU58" s="12"/>
      <c r="DWV58" s="12"/>
      <c r="DWW58" s="12"/>
      <c r="DWX58" s="12"/>
      <c r="DWY58" s="12"/>
      <c r="DWZ58" s="12"/>
      <c r="DXA58" s="12"/>
      <c r="DXB58" s="12"/>
      <c r="DXC58" s="12"/>
      <c r="DXD58" s="12"/>
      <c r="DXE58" s="12"/>
      <c r="DXF58" s="12"/>
      <c r="DXG58" s="12"/>
      <c r="DXH58" s="12"/>
      <c r="DXI58" s="12"/>
      <c r="DXJ58" s="12"/>
      <c r="DXK58" s="12"/>
      <c r="DXL58" s="12"/>
      <c r="DXM58" s="12"/>
      <c r="DXN58" s="12"/>
      <c r="DXO58" s="12"/>
      <c r="DXP58" s="12"/>
      <c r="DXQ58" s="12"/>
      <c r="DXR58" s="12"/>
      <c r="DXS58" s="12"/>
      <c r="DXT58" s="12"/>
      <c r="DXU58" s="12"/>
      <c r="DXV58" s="12"/>
      <c r="DXW58" s="12"/>
      <c r="DXX58" s="12"/>
      <c r="DXY58" s="12"/>
      <c r="DXZ58" s="12"/>
      <c r="DYA58" s="12"/>
      <c r="DYB58" s="12"/>
      <c r="DYC58" s="12"/>
      <c r="DYD58" s="12"/>
      <c r="DYE58" s="12"/>
      <c r="DYF58" s="12"/>
      <c r="DYG58" s="12"/>
      <c r="DYH58" s="12"/>
      <c r="DYI58" s="12"/>
      <c r="DYJ58" s="12"/>
      <c r="DYK58" s="12"/>
      <c r="DYL58" s="12"/>
      <c r="DYM58" s="12"/>
      <c r="DYN58" s="12"/>
      <c r="DYO58" s="12"/>
      <c r="DYP58" s="12"/>
      <c r="DYQ58" s="12"/>
      <c r="DYR58" s="12"/>
      <c r="DYS58" s="12"/>
      <c r="DYT58" s="12"/>
      <c r="DYU58" s="12"/>
      <c r="DYV58" s="12"/>
      <c r="DYW58" s="12"/>
      <c r="DYX58" s="12"/>
      <c r="DYY58" s="12"/>
      <c r="DYZ58" s="12"/>
      <c r="DZA58" s="12"/>
      <c r="DZB58" s="12"/>
      <c r="DZC58" s="12"/>
      <c r="DZD58" s="12"/>
      <c r="DZE58" s="12"/>
      <c r="DZF58" s="12"/>
      <c r="DZG58" s="12"/>
      <c r="DZH58" s="12"/>
      <c r="DZI58" s="12"/>
      <c r="DZJ58" s="12"/>
      <c r="DZK58" s="12"/>
      <c r="DZL58" s="12"/>
      <c r="DZM58" s="12"/>
      <c r="DZN58" s="12"/>
      <c r="DZO58" s="12"/>
      <c r="DZP58" s="12"/>
      <c r="DZQ58" s="12"/>
      <c r="DZR58" s="12"/>
      <c r="DZS58" s="12"/>
      <c r="DZT58" s="12"/>
      <c r="DZU58" s="12"/>
      <c r="DZV58" s="12"/>
      <c r="DZW58" s="12"/>
      <c r="DZX58" s="12"/>
      <c r="DZY58" s="12"/>
      <c r="DZZ58" s="12"/>
      <c r="EAA58" s="12"/>
      <c r="EAB58" s="12"/>
      <c r="EAC58" s="12"/>
      <c r="EAD58" s="12"/>
      <c r="EAE58" s="12"/>
      <c r="EAF58" s="12"/>
      <c r="EAG58" s="12"/>
      <c r="EAH58" s="12"/>
      <c r="EAI58" s="12"/>
      <c r="EAJ58" s="12"/>
      <c r="EAK58" s="12"/>
      <c r="EAL58" s="12"/>
      <c r="EAM58" s="12"/>
      <c r="EAN58" s="12"/>
      <c r="EAO58" s="12"/>
      <c r="EAP58" s="12"/>
      <c r="EAQ58" s="12"/>
      <c r="EAR58" s="12"/>
      <c r="EAS58" s="12"/>
      <c r="EAT58" s="12"/>
      <c r="EAU58" s="12"/>
      <c r="EAV58" s="12"/>
      <c r="EAW58" s="12"/>
      <c r="EAX58" s="12"/>
      <c r="EAY58" s="12"/>
      <c r="EAZ58" s="12"/>
      <c r="EBA58" s="12"/>
      <c r="EBB58" s="12"/>
      <c r="EBC58" s="12"/>
      <c r="EBD58" s="12"/>
      <c r="EBE58" s="12"/>
      <c r="EBF58" s="12"/>
      <c r="EBG58" s="12"/>
      <c r="EBH58" s="12"/>
      <c r="EBI58" s="12"/>
      <c r="EBJ58" s="12"/>
      <c r="EBK58" s="12"/>
      <c r="EBL58" s="12"/>
      <c r="EBM58" s="12"/>
      <c r="EBN58" s="12"/>
      <c r="EBO58" s="12"/>
      <c r="EBP58" s="12"/>
      <c r="EBQ58" s="12"/>
      <c r="EBR58" s="12"/>
      <c r="EBS58" s="12"/>
      <c r="EBT58" s="12"/>
      <c r="EBU58" s="12"/>
      <c r="EBV58" s="12"/>
      <c r="EBW58" s="12"/>
      <c r="EBX58" s="12"/>
      <c r="EBY58" s="12"/>
      <c r="EBZ58" s="12"/>
      <c r="ECA58" s="12"/>
      <c r="ECB58" s="12"/>
      <c r="ECC58" s="12"/>
      <c r="ECD58" s="12"/>
      <c r="ECE58" s="12"/>
      <c r="ECF58" s="12"/>
      <c r="ECG58" s="12"/>
      <c r="ECH58" s="12"/>
      <c r="ECI58" s="12"/>
      <c r="ECJ58" s="12"/>
      <c r="ECK58" s="12"/>
      <c r="ECL58" s="12"/>
      <c r="ECM58" s="12"/>
      <c r="ECN58" s="12"/>
      <c r="ECO58" s="12"/>
      <c r="ECP58" s="12"/>
      <c r="ECQ58" s="12"/>
      <c r="ECR58" s="12"/>
      <c r="ECS58" s="12"/>
      <c r="ECT58" s="12"/>
      <c r="ECU58" s="12"/>
      <c r="ECV58" s="12"/>
      <c r="ECW58" s="12"/>
      <c r="ECX58" s="12"/>
      <c r="ECY58" s="12"/>
      <c r="ECZ58" s="12"/>
      <c r="EDA58" s="12"/>
      <c r="EDB58" s="12"/>
      <c r="EDC58" s="12"/>
      <c r="EDD58" s="12"/>
      <c r="EDE58" s="12"/>
      <c r="EDF58" s="12"/>
      <c r="EDG58" s="12"/>
      <c r="EDH58" s="12"/>
      <c r="EDI58" s="12"/>
      <c r="EDJ58" s="12"/>
      <c r="EDK58" s="12"/>
      <c r="EDL58" s="12"/>
      <c r="EDM58" s="12"/>
      <c r="EDN58" s="12"/>
      <c r="EDO58" s="12"/>
      <c r="EDP58" s="12"/>
      <c r="EDQ58" s="12"/>
      <c r="EDR58" s="12"/>
      <c r="EDS58" s="12"/>
      <c r="EDT58" s="12"/>
      <c r="EDU58" s="12"/>
      <c r="EDV58" s="12"/>
      <c r="EDW58" s="12"/>
      <c r="EDX58" s="12"/>
      <c r="EDY58" s="12"/>
      <c r="EDZ58" s="12"/>
      <c r="EEA58" s="12"/>
      <c r="EEB58" s="12"/>
      <c r="EEC58" s="12"/>
      <c r="EED58" s="12"/>
      <c r="EEE58" s="12"/>
      <c r="EEF58" s="12"/>
      <c r="EEG58" s="12"/>
      <c r="EEH58" s="12"/>
      <c r="EEI58" s="12"/>
      <c r="EEJ58" s="12"/>
      <c r="EEK58" s="12"/>
      <c r="EEL58" s="12"/>
      <c r="EEM58" s="12"/>
      <c r="EEN58" s="12"/>
      <c r="EEO58" s="12"/>
      <c r="EEP58" s="12"/>
      <c r="EEQ58" s="12"/>
      <c r="EER58" s="12"/>
      <c r="EES58" s="12"/>
      <c r="EET58" s="12"/>
      <c r="EEU58" s="12"/>
      <c r="EEV58" s="12"/>
      <c r="EEW58" s="12"/>
      <c r="EEX58" s="12"/>
      <c r="EEY58" s="12"/>
      <c r="EEZ58" s="12"/>
      <c r="EFA58" s="12"/>
      <c r="EFB58" s="12"/>
      <c r="EFC58" s="12"/>
      <c r="EFD58" s="12"/>
      <c r="EFE58" s="12"/>
      <c r="EFF58" s="12"/>
      <c r="EFG58" s="12"/>
      <c r="EFH58" s="12"/>
      <c r="EFI58" s="12"/>
      <c r="EFJ58" s="12"/>
      <c r="EFK58" s="12"/>
      <c r="EFL58" s="12"/>
      <c r="EFM58" s="12"/>
      <c r="EFN58" s="12"/>
      <c r="EFO58" s="12"/>
      <c r="EFP58" s="12"/>
      <c r="EFQ58" s="12"/>
      <c r="EFR58" s="12"/>
      <c r="EFS58" s="12"/>
      <c r="EFT58" s="12"/>
      <c r="EFU58" s="12"/>
      <c r="EFV58" s="12"/>
      <c r="EFW58" s="12"/>
      <c r="EFX58" s="12"/>
      <c r="EFY58" s="12"/>
      <c r="EFZ58" s="12"/>
      <c r="EGA58" s="12"/>
      <c r="EGB58" s="12"/>
      <c r="EGC58" s="12"/>
      <c r="EGD58" s="12"/>
      <c r="EGE58" s="12"/>
      <c r="EGF58" s="12"/>
      <c r="EGG58" s="12"/>
      <c r="EGH58" s="12"/>
      <c r="EGI58" s="12"/>
      <c r="EGJ58" s="12"/>
      <c r="EGK58" s="12"/>
      <c r="EGL58" s="12"/>
      <c r="EGM58" s="12"/>
      <c r="EGN58" s="12"/>
      <c r="EGO58" s="12"/>
      <c r="EGP58" s="12"/>
      <c r="EGQ58" s="12"/>
      <c r="EGR58" s="12"/>
      <c r="EGS58" s="12"/>
      <c r="EGT58" s="12"/>
      <c r="EGU58" s="12"/>
      <c r="EGV58" s="12"/>
      <c r="EGW58" s="12"/>
      <c r="EGX58" s="12"/>
      <c r="EGY58" s="12"/>
      <c r="EGZ58" s="12"/>
      <c r="EHA58" s="12"/>
      <c r="EHB58" s="12"/>
      <c r="EHC58" s="12"/>
      <c r="EHD58" s="12"/>
      <c r="EHE58" s="12"/>
      <c r="EHF58" s="12"/>
      <c r="EHG58" s="12"/>
      <c r="EHH58" s="12"/>
      <c r="EHI58" s="12"/>
      <c r="EHJ58" s="12"/>
      <c r="EHK58" s="12"/>
      <c r="EHL58" s="12"/>
      <c r="EHM58" s="12"/>
      <c r="EHN58" s="12"/>
      <c r="EHO58" s="12"/>
      <c r="EHP58" s="12"/>
      <c r="EHQ58" s="12"/>
      <c r="EHR58" s="12"/>
      <c r="EHS58" s="12"/>
      <c r="EHT58" s="12"/>
      <c r="EHU58" s="12"/>
      <c r="EHV58" s="12"/>
      <c r="EHW58" s="12"/>
      <c r="EHX58" s="12"/>
      <c r="EHY58" s="12"/>
      <c r="EHZ58" s="12"/>
      <c r="EIA58" s="12"/>
      <c r="EIB58" s="12"/>
      <c r="EIC58" s="12"/>
      <c r="EID58" s="12"/>
      <c r="EIE58" s="12"/>
      <c r="EIF58" s="12"/>
      <c r="EIG58" s="12"/>
      <c r="EIH58" s="12"/>
      <c r="EII58" s="12"/>
      <c r="EIJ58" s="12"/>
      <c r="EIK58" s="12"/>
      <c r="EIL58" s="12"/>
      <c r="EIM58" s="12"/>
      <c r="EIN58" s="12"/>
      <c r="EIO58" s="12"/>
      <c r="EIP58" s="12"/>
      <c r="EIQ58" s="12"/>
      <c r="EIR58" s="12"/>
      <c r="EIS58" s="12"/>
      <c r="EIT58" s="12"/>
      <c r="EIU58" s="12"/>
      <c r="EIV58" s="12"/>
      <c r="EIW58" s="12"/>
      <c r="EIX58" s="12"/>
      <c r="EIY58" s="12"/>
      <c r="EIZ58" s="12"/>
      <c r="EJA58" s="12"/>
      <c r="EJB58" s="12"/>
      <c r="EJC58" s="12"/>
      <c r="EJD58" s="12"/>
      <c r="EJE58" s="12"/>
      <c r="EJF58" s="12"/>
      <c r="EJG58" s="12"/>
      <c r="EJH58" s="12"/>
      <c r="EJI58" s="12"/>
      <c r="EJJ58" s="12"/>
      <c r="EJK58" s="12"/>
      <c r="EJL58" s="12"/>
      <c r="EJM58" s="12"/>
      <c r="EJN58" s="12"/>
      <c r="EJO58" s="12"/>
      <c r="EJP58" s="12"/>
      <c r="EJQ58" s="12"/>
      <c r="EJR58" s="12"/>
      <c r="EJS58" s="12"/>
      <c r="EJT58" s="12"/>
      <c r="EJU58" s="12"/>
      <c r="EJV58" s="12"/>
      <c r="EJW58" s="12"/>
      <c r="EJX58" s="12"/>
      <c r="EJY58" s="12"/>
      <c r="EJZ58" s="12"/>
      <c r="EKA58" s="12"/>
      <c r="EKB58" s="12"/>
      <c r="EKC58" s="12"/>
      <c r="EKD58" s="12"/>
      <c r="EKE58" s="12"/>
      <c r="EKF58" s="12"/>
      <c r="EKG58" s="12"/>
      <c r="EKH58" s="12"/>
      <c r="EKI58" s="12"/>
      <c r="EKJ58" s="12"/>
      <c r="EKK58" s="12"/>
      <c r="EKL58" s="12"/>
      <c r="EKM58" s="12"/>
      <c r="EKN58" s="12"/>
      <c r="EKO58" s="12"/>
      <c r="EKP58" s="12"/>
      <c r="EKQ58" s="12"/>
      <c r="EKR58" s="12"/>
      <c r="EKS58" s="12"/>
      <c r="EKT58" s="12"/>
      <c r="EKU58" s="12"/>
      <c r="EKV58" s="12"/>
      <c r="EKW58" s="12"/>
      <c r="EKX58" s="12"/>
      <c r="EKY58" s="12"/>
      <c r="EKZ58" s="12"/>
      <c r="ELA58" s="12"/>
      <c r="ELB58" s="12"/>
      <c r="ELC58" s="12"/>
      <c r="ELD58" s="12"/>
      <c r="ELE58" s="12"/>
      <c r="ELF58" s="12"/>
      <c r="ELG58" s="12"/>
      <c r="ELH58" s="12"/>
      <c r="ELI58" s="12"/>
      <c r="ELJ58" s="12"/>
      <c r="ELK58" s="12"/>
      <c r="ELL58" s="12"/>
      <c r="ELM58" s="12"/>
      <c r="ELN58" s="12"/>
      <c r="ELO58" s="12"/>
      <c r="ELP58" s="12"/>
      <c r="ELQ58" s="12"/>
      <c r="ELR58" s="12"/>
      <c r="ELS58" s="12"/>
      <c r="ELT58" s="12"/>
      <c r="ELU58" s="12"/>
      <c r="ELV58" s="12"/>
      <c r="ELW58" s="12"/>
      <c r="ELX58" s="12"/>
      <c r="ELY58" s="12"/>
      <c r="ELZ58" s="12"/>
      <c r="EMA58" s="12"/>
      <c r="EMB58" s="12"/>
      <c r="EMC58" s="12"/>
      <c r="EMD58" s="12"/>
      <c r="EME58" s="12"/>
      <c r="EMF58" s="12"/>
      <c r="EMG58" s="12"/>
      <c r="EMH58" s="12"/>
      <c r="EMI58" s="12"/>
      <c r="EMJ58" s="12"/>
      <c r="EMK58" s="12"/>
      <c r="EML58" s="12"/>
      <c r="EMM58" s="12"/>
      <c r="EMN58" s="12"/>
      <c r="EMO58" s="12"/>
      <c r="EMP58" s="12"/>
      <c r="EMQ58" s="12"/>
      <c r="EMR58" s="12"/>
      <c r="EMS58" s="12"/>
      <c r="EMT58" s="12"/>
      <c r="EMU58" s="12"/>
      <c r="EMV58" s="12"/>
      <c r="EMW58" s="12"/>
      <c r="EMX58" s="12"/>
      <c r="EMY58" s="12"/>
      <c r="EMZ58" s="12"/>
      <c r="ENA58" s="12"/>
      <c r="ENB58" s="12"/>
      <c r="ENC58" s="12"/>
      <c r="END58" s="12"/>
      <c r="ENE58" s="12"/>
      <c r="ENF58" s="12"/>
      <c r="ENG58" s="12"/>
      <c r="ENH58" s="12"/>
      <c r="ENI58" s="12"/>
      <c r="ENJ58" s="12"/>
      <c r="ENK58" s="12"/>
      <c r="ENL58" s="12"/>
      <c r="ENM58" s="12"/>
      <c r="ENN58" s="12"/>
      <c r="ENO58" s="12"/>
      <c r="ENP58" s="12"/>
      <c r="ENQ58" s="12"/>
      <c r="ENR58" s="12"/>
      <c r="ENS58" s="12"/>
      <c r="ENT58" s="12"/>
      <c r="ENU58" s="12"/>
      <c r="ENV58" s="12"/>
      <c r="ENW58" s="12"/>
      <c r="ENX58" s="12"/>
      <c r="ENY58" s="12"/>
      <c r="ENZ58" s="12"/>
      <c r="EOA58" s="12"/>
      <c r="EOB58" s="12"/>
      <c r="EOC58" s="12"/>
      <c r="EOD58" s="12"/>
      <c r="EOE58" s="12"/>
      <c r="EOF58" s="12"/>
      <c r="EOG58" s="12"/>
      <c r="EOH58" s="12"/>
      <c r="EOI58" s="12"/>
      <c r="EOJ58" s="12"/>
      <c r="EOK58" s="12"/>
      <c r="EOL58" s="12"/>
      <c r="EOM58" s="12"/>
      <c r="EON58" s="12"/>
      <c r="EOO58" s="12"/>
      <c r="EOP58" s="12"/>
      <c r="EOQ58" s="12"/>
      <c r="EOR58" s="12"/>
      <c r="EOS58" s="12"/>
      <c r="EOT58" s="12"/>
      <c r="EOU58" s="12"/>
      <c r="EOV58" s="12"/>
      <c r="EOW58" s="12"/>
      <c r="EOX58" s="12"/>
      <c r="EOY58" s="12"/>
      <c r="EOZ58" s="12"/>
      <c r="EPA58" s="12"/>
      <c r="EPB58" s="12"/>
      <c r="EPC58" s="12"/>
      <c r="EPD58" s="12"/>
      <c r="EPE58" s="12"/>
      <c r="EPF58" s="12"/>
      <c r="EPG58" s="12"/>
      <c r="EPH58" s="12"/>
      <c r="EPI58" s="12"/>
      <c r="EPJ58" s="12"/>
      <c r="EPK58" s="12"/>
      <c r="EPL58" s="12"/>
      <c r="EPM58" s="12"/>
      <c r="EPN58" s="12"/>
      <c r="EPO58" s="12"/>
      <c r="EPP58" s="12"/>
      <c r="EPQ58" s="12"/>
      <c r="EPR58" s="12"/>
      <c r="EPS58" s="12"/>
      <c r="EPT58" s="12"/>
      <c r="EPU58" s="12"/>
      <c r="EPV58" s="12"/>
      <c r="EPW58" s="12"/>
      <c r="EPX58" s="12"/>
      <c r="EPY58" s="12"/>
      <c r="EPZ58" s="12"/>
      <c r="EQA58" s="12"/>
      <c r="EQB58" s="12"/>
      <c r="EQC58" s="12"/>
      <c r="EQD58" s="12"/>
      <c r="EQE58" s="12"/>
      <c r="EQF58" s="12"/>
      <c r="EQG58" s="12"/>
      <c r="EQH58" s="12"/>
      <c r="EQI58" s="12"/>
      <c r="EQJ58" s="12"/>
      <c r="EQK58" s="12"/>
      <c r="EQL58" s="12"/>
      <c r="EQM58" s="12"/>
      <c r="EQN58" s="12"/>
      <c r="EQO58" s="12"/>
      <c r="EQP58" s="12"/>
      <c r="EQQ58" s="12"/>
      <c r="EQR58" s="12"/>
      <c r="EQS58" s="12"/>
      <c r="EQT58" s="12"/>
      <c r="EQU58" s="12"/>
      <c r="EQV58" s="12"/>
      <c r="EQW58" s="12"/>
      <c r="EQX58" s="12"/>
      <c r="EQY58" s="12"/>
      <c r="EQZ58" s="12"/>
      <c r="ERA58" s="12"/>
      <c r="ERB58" s="12"/>
      <c r="ERC58" s="12"/>
      <c r="ERD58" s="12"/>
      <c r="ERE58" s="12"/>
      <c r="ERF58" s="12"/>
      <c r="ERG58" s="12"/>
      <c r="ERH58" s="12"/>
      <c r="ERI58" s="12"/>
      <c r="ERJ58" s="12"/>
      <c r="ERK58" s="12"/>
      <c r="ERL58" s="12"/>
      <c r="ERM58" s="12"/>
      <c r="ERN58" s="12"/>
      <c r="ERO58" s="12"/>
      <c r="ERP58" s="12"/>
      <c r="ERQ58" s="12"/>
      <c r="ERR58" s="12"/>
      <c r="ERS58" s="12"/>
      <c r="ERT58" s="12"/>
      <c r="ERU58" s="12"/>
      <c r="ERV58" s="12"/>
      <c r="ERW58" s="12"/>
      <c r="ERX58" s="12"/>
      <c r="ERY58" s="12"/>
      <c r="ERZ58" s="12"/>
      <c r="ESA58" s="12"/>
      <c r="ESB58" s="12"/>
      <c r="ESC58" s="12"/>
      <c r="ESD58" s="12"/>
      <c r="ESE58" s="12"/>
      <c r="ESF58" s="12"/>
      <c r="ESG58" s="12"/>
      <c r="ESH58" s="12"/>
      <c r="ESI58" s="12"/>
      <c r="ESJ58" s="12"/>
      <c r="ESK58" s="12"/>
      <c r="ESL58" s="12"/>
      <c r="ESM58" s="12"/>
      <c r="ESN58" s="12"/>
      <c r="ESO58" s="12"/>
      <c r="ESP58" s="12"/>
      <c r="ESQ58" s="12"/>
      <c r="ESR58" s="12"/>
      <c r="ESS58" s="12"/>
      <c r="EST58" s="12"/>
      <c r="ESU58" s="12"/>
      <c r="ESV58" s="12"/>
      <c r="ESW58" s="12"/>
      <c r="ESX58" s="12"/>
      <c r="ESY58" s="12"/>
      <c r="ESZ58" s="12"/>
      <c r="ETA58" s="12"/>
      <c r="ETB58" s="12"/>
      <c r="ETC58" s="12"/>
      <c r="ETD58" s="12"/>
      <c r="ETE58" s="12"/>
      <c r="ETF58" s="12"/>
      <c r="ETG58" s="12"/>
      <c r="ETH58" s="12"/>
      <c r="ETI58" s="12"/>
      <c r="ETJ58" s="12"/>
      <c r="ETK58" s="12"/>
      <c r="ETL58" s="12"/>
      <c r="ETM58" s="12"/>
      <c r="ETN58" s="12"/>
      <c r="ETO58" s="12"/>
      <c r="ETP58" s="12"/>
      <c r="ETQ58" s="12"/>
      <c r="ETR58" s="12"/>
      <c r="ETS58" s="12"/>
      <c r="ETT58" s="12"/>
      <c r="ETU58" s="12"/>
      <c r="ETV58" s="12"/>
      <c r="ETW58" s="12"/>
      <c r="ETX58" s="12"/>
      <c r="ETY58" s="12"/>
      <c r="ETZ58" s="12"/>
      <c r="EUA58" s="12"/>
      <c r="EUB58" s="12"/>
      <c r="EUC58" s="12"/>
      <c r="EUD58" s="12"/>
      <c r="EUE58" s="12"/>
      <c r="EUF58" s="12"/>
      <c r="EUG58" s="12"/>
      <c r="EUH58" s="12"/>
      <c r="EUI58" s="12"/>
      <c r="EUJ58" s="12"/>
      <c r="EUK58" s="12"/>
      <c r="EUL58" s="12"/>
      <c r="EUM58" s="12"/>
      <c r="EUN58" s="12"/>
      <c r="EUO58" s="12"/>
      <c r="EUP58" s="12"/>
      <c r="EUQ58" s="12"/>
      <c r="EUR58" s="12"/>
      <c r="EUS58" s="12"/>
      <c r="EUT58" s="12"/>
      <c r="EUU58" s="12"/>
      <c r="EUV58" s="12"/>
      <c r="EUW58" s="12"/>
      <c r="EUX58" s="12"/>
      <c r="EUY58" s="12"/>
      <c r="EUZ58" s="12"/>
      <c r="EVA58" s="12"/>
      <c r="EVB58" s="12"/>
      <c r="EVC58" s="12"/>
      <c r="EVD58" s="12"/>
      <c r="EVE58" s="12"/>
      <c r="EVF58" s="12"/>
      <c r="EVG58" s="12"/>
      <c r="EVH58" s="12"/>
      <c r="EVI58" s="12"/>
      <c r="EVJ58" s="12"/>
      <c r="EVK58" s="12"/>
      <c r="EVL58" s="12"/>
      <c r="EVM58" s="12"/>
      <c r="EVN58" s="12"/>
      <c r="EVO58" s="12"/>
      <c r="EVP58" s="12"/>
      <c r="EVQ58" s="12"/>
      <c r="EVR58" s="12"/>
      <c r="EVS58" s="12"/>
      <c r="EVT58" s="12"/>
      <c r="EVU58" s="12"/>
      <c r="EVV58" s="12"/>
      <c r="EVW58" s="12"/>
      <c r="EVX58" s="12"/>
      <c r="EVY58" s="12"/>
      <c r="EVZ58" s="12"/>
      <c r="EWA58" s="12"/>
      <c r="EWB58" s="12"/>
      <c r="EWC58" s="12"/>
      <c r="EWD58" s="12"/>
      <c r="EWE58" s="12"/>
      <c r="EWF58" s="12"/>
      <c r="EWG58" s="12"/>
      <c r="EWH58" s="12"/>
      <c r="EWI58" s="12"/>
      <c r="EWJ58" s="12"/>
      <c r="EWK58" s="12"/>
      <c r="EWL58" s="12"/>
      <c r="EWM58" s="12"/>
      <c r="EWN58" s="12"/>
      <c r="EWO58" s="12"/>
      <c r="EWP58" s="12"/>
      <c r="EWQ58" s="12"/>
      <c r="EWR58" s="12"/>
      <c r="EWS58" s="12"/>
      <c r="EWT58" s="12"/>
      <c r="EWU58" s="12"/>
      <c r="EWV58" s="12"/>
      <c r="EWW58" s="12"/>
      <c r="EWX58" s="12"/>
      <c r="EWY58" s="12"/>
      <c r="EWZ58" s="12"/>
      <c r="EXA58" s="12"/>
      <c r="EXB58" s="12"/>
      <c r="EXC58" s="12"/>
      <c r="EXD58" s="12"/>
      <c r="EXE58" s="12"/>
      <c r="EXF58" s="12"/>
      <c r="EXG58" s="12"/>
      <c r="EXH58" s="12"/>
      <c r="EXI58" s="12"/>
      <c r="EXJ58" s="12"/>
      <c r="EXK58" s="12"/>
      <c r="EXL58" s="12"/>
      <c r="EXM58" s="12"/>
      <c r="EXN58" s="12"/>
      <c r="EXO58" s="12"/>
      <c r="EXP58" s="12"/>
      <c r="EXQ58" s="12"/>
      <c r="EXR58" s="12"/>
      <c r="EXS58" s="12"/>
      <c r="EXT58" s="12"/>
      <c r="EXU58" s="12"/>
      <c r="EXV58" s="12"/>
      <c r="EXW58" s="12"/>
      <c r="EXX58" s="12"/>
      <c r="EXY58" s="12"/>
      <c r="EXZ58" s="12"/>
      <c r="EYA58" s="12"/>
      <c r="EYB58" s="12"/>
      <c r="EYC58" s="12"/>
      <c r="EYD58" s="12"/>
      <c r="EYE58" s="12"/>
      <c r="EYF58" s="12"/>
      <c r="EYG58" s="12"/>
      <c r="EYH58" s="12"/>
      <c r="EYI58" s="12"/>
      <c r="EYJ58" s="12"/>
      <c r="EYK58" s="12"/>
      <c r="EYL58" s="12"/>
      <c r="EYM58" s="12"/>
      <c r="EYN58" s="12"/>
      <c r="EYO58" s="12"/>
      <c r="EYP58" s="12"/>
      <c r="EYQ58" s="12"/>
      <c r="EYR58" s="12"/>
      <c r="EYS58" s="12"/>
      <c r="EYT58" s="12"/>
      <c r="EYU58" s="12"/>
      <c r="EYV58" s="12"/>
      <c r="EYW58" s="12"/>
      <c r="EYX58" s="12"/>
      <c r="EYY58" s="12"/>
      <c r="EYZ58" s="12"/>
      <c r="EZA58" s="12"/>
      <c r="EZB58" s="12"/>
      <c r="EZC58" s="12"/>
      <c r="EZD58" s="12"/>
      <c r="EZE58" s="12"/>
      <c r="EZF58" s="12"/>
      <c r="EZG58" s="12"/>
      <c r="EZH58" s="12"/>
      <c r="EZI58" s="12"/>
      <c r="EZJ58" s="12"/>
      <c r="EZK58" s="12"/>
      <c r="EZL58" s="12"/>
      <c r="EZM58" s="12"/>
      <c r="EZN58" s="12"/>
      <c r="EZO58" s="12"/>
      <c r="EZP58" s="12"/>
      <c r="EZQ58" s="12"/>
      <c r="EZR58" s="12"/>
      <c r="EZS58" s="12"/>
      <c r="EZT58" s="12"/>
      <c r="EZU58" s="12"/>
      <c r="EZV58" s="12"/>
      <c r="EZW58" s="12"/>
      <c r="EZX58" s="12"/>
      <c r="EZY58" s="12"/>
      <c r="EZZ58" s="12"/>
      <c r="FAA58" s="12"/>
      <c r="FAB58" s="12"/>
      <c r="FAC58" s="12"/>
      <c r="FAD58" s="12"/>
      <c r="FAE58" s="12"/>
      <c r="FAF58" s="12"/>
      <c r="FAG58" s="12"/>
      <c r="FAH58" s="12"/>
      <c r="FAI58" s="12"/>
      <c r="FAJ58" s="12"/>
      <c r="FAK58" s="12"/>
      <c r="FAL58" s="12"/>
      <c r="FAM58" s="12"/>
      <c r="FAN58" s="12"/>
      <c r="FAO58" s="12"/>
      <c r="FAP58" s="12"/>
      <c r="FAQ58" s="12"/>
      <c r="FAR58" s="12"/>
      <c r="FAS58" s="12"/>
      <c r="FAT58" s="12"/>
      <c r="FAU58" s="12"/>
      <c r="FAV58" s="12"/>
      <c r="FAW58" s="12"/>
      <c r="FAX58" s="12"/>
      <c r="FAY58" s="12"/>
      <c r="FAZ58" s="12"/>
      <c r="FBA58" s="12"/>
      <c r="FBB58" s="12"/>
      <c r="FBC58" s="12"/>
      <c r="FBD58" s="12"/>
      <c r="FBE58" s="12"/>
      <c r="FBF58" s="12"/>
      <c r="FBG58" s="12"/>
      <c r="FBH58" s="12"/>
      <c r="FBI58" s="12"/>
      <c r="FBJ58" s="12"/>
      <c r="FBK58" s="12"/>
      <c r="FBL58" s="12"/>
      <c r="FBM58" s="12"/>
      <c r="FBN58" s="12"/>
      <c r="FBO58" s="12"/>
      <c r="FBP58" s="12"/>
      <c r="FBQ58" s="12"/>
      <c r="FBR58" s="12"/>
      <c r="FBS58" s="12"/>
      <c r="FBT58" s="12"/>
      <c r="FBU58" s="12"/>
      <c r="FBV58" s="12"/>
      <c r="FBW58" s="12"/>
      <c r="FBX58" s="12"/>
      <c r="FBY58" s="12"/>
      <c r="FBZ58" s="12"/>
      <c r="FCA58" s="12"/>
      <c r="FCB58" s="12"/>
      <c r="FCC58" s="12"/>
      <c r="FCD58" s="12"/>
      <c r="FCE58" s="12"/>
      <c r="FCF58" s="12"/>
      <c r="FCG58" s="12"/>
      <c r="FCH58" s="12"/>
      <c r="FCI58" s="12"/>
      <c r="FCJ58" s="12"/>
      <c r="FCK58" s="12"/>
      <c r="FCL58" s="12"/>
      <c r="FCM58" s="12"/>
      <c r="FCN58" s="12"/>
      <c r="FCO58" s="12"/>
      <c r="FCP58" s="12"/>
      <c r="FCQ58" s="12"/>
      <c r="FCR58" s="12"/>
      <c r="FCS58" s="12"/>
      <c r="FCT58" s="12"/>
      <c r="FCU58" s="12"/>
      <c r="FCV58" s="12"/>
      <c r="FCW58" s="12"/>
      <c r="FCX58" s="12"/>
      <c r="FCY58" s="12"/>
      <c r="FCZ58" s="12"/>
      <c r="FDA58" s="12"/>
      <c r="FDB58" s="12"/>
      <c r="FDC58" s="12"/>
      <c r="FDD58" s="12"/>
      <c r="FDE58" s="12"/>
      <c r="FDF58" s="12"/>
      <c r="FDG58" s="12"/>
      <c r="FDH58" s="12"/>
      <c r="FDI58" s="12"/>
      <c r="FDJ58" s="12"/>
      <c r="FDK58" s="12"/>
      <c r="FDL58" s="12"/>
      <c r="FDM58" s="12"/>
      <c r="FDN58" s="12"/>
      <c r="FDO58" s="12"/>
      <c r="FDP58" s="12"/>
      <c r="FDQ58" s="12"/>
      <c r="FDR58" s="12"/>
      <c r="FDS58" s="12"/>
      <c r="FDT58" s="12"/>
      <c r="FDU58" s="12"/>
      <c r="FDV58" s="12"/>
      <c r="FDW58" s="12"/>
      <c r="FDX58" s="12"/>
      <c r="FDY58" s="12"/>
      <c r="FDZ58" s="12"/>
      <c r="FEA58" s="12"/>
      <c r="FEB58" s="12"/>
      <c r="FEC58" s="12"/>
      <c r="FED58" s="12"/>
      <c r="FEE58" s="12"/>
      <c r="FEF58" s="12"/>
      <c r="FEG58" s="12"/>
      <c r="FEH58" s="12"/>
      <c r="FEI58" s="12"/>
      <c r="FEJ58" s="12"/>
      <c r="FEK58" s="12"/>
      <c r="FEL58" s="12"/>
      <c r="FEM58" s="12"/>
      <c r="FEN58" s="12"/>
      <c r="FEO58" s="12"/>
      <c r="FEP58" s="12"/>
      <c r="FEQ58" s="12"/>
      <c r="FER58" s="12"/>
      <c r="FES58" s="12"/>
      <c r="FET58" s="12"/>
      <c r="FEU58" s="12"/>
      <c r="FEV58" s="12"/>
      <c r="FEW58" s="12"/>
      <c r="FEX58" s="12"/>
      <c r="FEY58" s="12"/>
      <c r="FEZ58" s="12"/>
      <c r="FFA58" s="12"/>
      <c r="FFB58" s="12"/>
      <c r="FFC58" s="12"/>
      <c r="FFD58" s="12"/>
      <c r="FFE58" s="12"/>
      <c r="FFF58" s="12"/>
      <c r="FFG58" s="12"/>
      <c r="FFH58" s="12"/>
      <c r="FFI58" s="12"/>
      <c r="FFJ58" s="12"/>
      <c r="FFK58" s="12"/>
      <c r="FFL58" s="12"/>
      <c r="FFM58" s="12"/>
      <c r="FFN58" s="12"/>
      <c r="FFO58" s="12"/>
      <c r="FFP58" s="12"/>
      <c r="FFQ58" s="12"/>
      <c r="FFR58" s="12"/>
      <c r="FFS58" s="12"/>
      <c r="FFT58" s="12"/>
      <c r="FFU58" s="12"/>
      <c r="FFV58" s="12"/>
      <c r="FFW58" s="12"/>
      <c r="FFX58" s="12"/>
      <c r="FFY58" s="12"/>
      <c r="FFZ58" s="12"/>
      <c r="FGA58" s="12"/>
      <c r="FGB58" s="12"/>
      <c r="FGC58" s="12"/>
      <c r="FGD58" s="12"/>
      <c r="FGE58" s="12"/>
      <c r="FGF58" s="12"/>
      <c r="FGG58" s="12"/>
      <c r="FGH58" s="12"/>
      <c r="FGI58" s="12"/>
      <c r="FGJ58" s="12"/>
      <c r="FGK58" s="12"/>
      <c r="FGL58" s="12"/>
      <c r="FGM58" s="12"/>
      <c r="FGN58" s="12"/>
      <c r="FGO58" s="12"/>
      <c r="FGP58" s="12"/>
      <c r="FGQ58" s="12"/>
      <c r="FGR58" s="12"/>
      <c r="FGS58" s="12"/>
      <c r="FGT58" s="12"/>
      <c r="FGU58" s="12"/>
      <c r="FGV58" s="12"/>
      <c r="FGW58" s="12"/>
      <c r="FGX58" s="12"/>
      <c r="FGY58" s="12"/>
      <c r="FGZ58" s="12"/>
      <c r="FHA58" s="12"/>
      <c r="FHB58" s="12"/>
      <c r="FHC58" s="12"/>
      <c r="FHD58" s="12"/>
      <c r="FHE58" s="12"/>
      <c r="FHF58" s="12"/>
      <c r="FHG58" s="12"/>
      <c r="FHH58" s="12"/>
      <c r="FHI58" s="12"/>
      <c r="FHJ58" s="12"/>
      <c r="FHK58" s="12"/>
      <c r="FHL58" s="12"/>
      <c r="FHM58" s="12"/>
      <c r="FHN58" s="12"/>
      <c r="FHO58" s="12"/>
      <c r="FHP58" s="12"/>
      <c r="FHQ58" s="12"/>
      <c r="FHR58" s="12"/>
      <c r="FHS58" s="12"/>
      <c r="FHT58" s="12"/>
      <c r="FHU58" s="12"/>
      <c r="FHV58" s="12"/>
      <c r="FHW58" s="12"/>
      <c r="FHX58" s="12"/>
      <c r="FHY58" s="12"/>
      <c r="FHZ58" s="12"/>
      <c r="FIA58" s="12"/>
      <c r="FIB58" s="12"/>
      <c r="FIC58" s="12"/>
      <c r="FID58" s="12"/>
      <c r="FIE58" s="12"/>
      <c r="FIF58" s="12"/>
      <c r="FIG58" s="12"/>
      <c r="FIH58" s="12"/>
      <c r="FII58" s="12"/>
      <c r="FIJ58" s="12"/>
      <c r="FIK58" s="12"/>
      <c r="FIL58" s="12"/>
      <c r="FIM58" s="12"/>
      <c r="FIN58" s="12"/>
      <c r="FIO58" s="12"/>
      <c r="FIP58" s="12"/>
      <c r="FIQ58" s="12"/>
      <c r="FIR58" s="12"/>
      <c r="FIS58" s="12"/>
      <c r="FIT58" s="12"/>
      <c r="FIU58" s="12"/>
      <c r="FIV58" s="12"/>
      <c r="FIW58" s="12"/>
      <c r="FIX58" s="12"/>
      <c r="FIY58" s="12"/>
      <c r="FIZ58" s="12"/>
      <c r="FJA58" s="12"/>
      <c r="FJB58" s="12"/>
      <c r="FJC58" s="12"/>
      <c r="FJD58" s="12"/>
      <c r="FJE58" s="12"/>
      <c r="FJF58" s="12"/>
      <c r="FJG58" s="12"/>
      <c r="FJH58" s="12"/>
      <c r="FJI58" s="12"/>
      <c r="FJJ58" s="12"/>
      <c r="FJK58" s="12"/>
      <c r="FJL58" s="12"/>
      <c r="FJM58" s="12"/>
      <c r="FJN58" s="12"/>
      <c r="FJO58" s="12"/>
      <c r="FJP58" s="12"/>
      <c r="FJQ58" s="12"/>
      <c r="FJR58" s="12"/>
      <c r="FJS58" s="12"/>
      <c r="FJT58" s="12"/>
      <c r="FJU58" s="12"/>
      <c r="FJV58" s="12"/>
      <c r="FJW58" s="12"/>
      <c r="FJX58" s="12"/>
      <c r="FJY58" s="12"/>
      <c r="FJZ58" s="12"/>
      <c r="FKA58" s="12"/>
      <c r="FKB58" s="12"/>
      <c r="FKC58" s="12"/>
      <c r="FKD58" s="12"/>
      <c r="FKE58" s="12"/>
      <c r="FKF58" s="12"/>
      <c r="FKG58" s="12"/>
      <c r="FKH58" s="12"/>
      <c r="FKI58" s="12"/>
      <c r="FKJ58" s="12"/>
      <c r="FKK58" s="12"/>
      <c r="FKL58" s="12"/>
      <c r="FKM58" s="12"/>
      <c r="FKN58" s="12"/>
      <c r="FKO58" s="12"/>
      <c r="FKP58" s="12"/>
      <c r="FKQ58" s="12"/>
      <c r="FKR58" s="12"/>
      <c r="FKS58" s="12"/>
      <c r="FKT58" s="12"/>
      <c r="FKU58" s="12"/>
      <c r="FKV58" s="12"/>
      <c r="FKW58" s="12"/>
      <c r="FKX58" s="12"/>
      <c r="FKY58" s="12"/>
      <c r="FKZ58" s="12"/>
      <c r="FLA58" s="12"/>
      <c r="FLB58" s="12"/>
      <c r="FLC58" s="12"/>
      <c r="FLD58" s="12"/>
      <c r="FLE58" s="12"/>
      <c r="FLF58" s="12"/>
      <c r="FLG58" s="12"/>
      <c r="FLH58" s="12"/>
      <c r="FLI58" s="12"/>
      <c r="FLJ58" s="12"/>
      <c r="FLK58" s="12"/>
      <c r="FLL58" s="12"/>
      <c r="FLM58" s="12"/>
      <c r="FLN58" s="12"/>
      <c r="FLO58" s="12"/>
      <c r="FLP58" s="12"/>
      <c r="FLQ58" s="12"/>
      <c r="FLR58" s="12"/>
      <c r="FLS58" s="12"/>
      <c r="FLT58" s="12"/>
      <c r="FLU58" s="12"/>
      <c r="FLV58" s="12"/>
      <c r="FLW58" s="12"/>
      <c r="FLX58" s="12"/>
      <c r="FLY58" s="12"/>
      <c r="FLZ58" s="12"/>
      <c r="FMA58" s="12"/>
      <c r="FMB58" s="12"/>
      <c r="FMC58" s="12"/>
      <c r="FMD58" s="12"/>
      <c r="FME58" s="12"/>
      <c r="FMF58" s="12"/>
      <c r="FMG58" s="12"/>
      <c r="FMH58" s="12"/>
      <c r="FMI58" s="12"/>
      <c r="FMJ58" s="12"/>
      <c r="FMK58" s="12"/>
      <c r="FML58" s="12"/>
      <c r="FMM58" s="12"/>
      <c r="FMN58" s="12"/>
      <c r="FMO58" s="12"/>
      <c r="FMP58" s="12"/>
      <c r="FMQ58" s="12"/>
      <c r="FMR58" s="12"/>
      <c r="FMS58" s="12"/>
      <c r="FMT58" s="12"/>
      <c r="FMU58" s="12"/>
      <c r="FMV58" s="12"/>
      <c r="FMW58" s="12"/>
      <c r="FMX58" s="12"/>
      <c r="FMY58" s="12"/>
      <c r="FMZ58" s="12"/>
      <c r="FNA58" s="12"/>
      <c r="FNB58" s="12"/>
      <c r="FNC58" s="12"/>
      <c r="FND58" s="12"/>
      <c r="FNE58" s="12"/>
      <c r="FNF58" s="12"/>
      <c r="FNG58" s="12"/>
      <c r="FNH58" s="12"/>
      <c r="FNI58" s="12"/>
      <c r="FNJ58" s="12"/>
      <c r="FNK58" s="12"/>
      <c r="FNL58" s="12"/>
      <c r="FNM58" s="12"/>
      <c r="FNN58" s="12"/>
      <c r="FNO58" s="12"/>
      <c r="FNP58" s="12"/>
      <c r="FNQ58" s="12"/>
      <c r="FNR58" s="12"/>
      <c r="FNS58" s="12"/>
      <c r="FNT58" s="12"/>
      <c r="FNU58" s="12"/>
      <c r="FNV58" s="12"/>
      <c r="FNW58" s="12"/>
      <c r="FNX58" s="12"/>
      <c r="FNY58" s="12"/>
      <c r="FNZ58" s="12"/>
      <c r="FOA58" s="12"/>
      <c r="FOB58" s="12"/>
      <c r="FOC58" s="12"/>
      <c r="FOD58" s="12"/>
      <c r="FOE58" s="12"/>
      <c r="FOF58" s="12"/>
      <c r="FOG58" s="12"/>
      <c r="FOH58" s="12"/>
      <c r="FOI58" s="12"/>
      <c r="FOJ58" s="12"/>
      <c r="FOK58" s="12"/>
      <c r="FOL58" s="12"/>
      <c r="FOM58" s="12"/>
      <c r="FON58" s="12"/>
      <c r="FOO58" s="12"/>
      <c r="FOP58" s="12"/>
      <c r="FOQ58" s="12"/>
      <c r="FOR58" s="12"/>
      <c r="FOS58" s="12"/>
      <c r="FOT58" s="12"/>
      <c r="FOU58" s="12"/>
      <c r="FOV58" s="12"/>
      <c r="FOW58" s="12"/>
      <c r="FOX58" s="12"/>
      <c r="FOY58" s="12"/>
      <c r="FOZ58" s="12"/>
      <c r="FPA58" s="12"/>
      <c r="FPB58" s="12"/>
      <c r="FPC58" s="12"/>
      <c r="FPD58" s="12"/>
      <c r="FPE58" s="12"/>
      <c r="FPF58" s="12"/>
      <c r="FPG58" s="12"/>
      <c r="FPH58" s="12"/>
      <c r="FPI58" s="12"/>
      <c r="FPJ58" s="12"/>
      <c r="FPK58" s="12"/>
      <c r="FPL58" s="12"/>
      <c r="FPM58" s="12"/>
      <c r="FPN58" s="12"/>
      <c r="FPO58" s="12"/>
      <c r="FPP58" s="12"/>
      <c r="FPQ58" s="12"/>
      <c r="FPR58" s="12"/>
      <c r="FPS58" s="12"/>
      <c r="FPT58" s="12"/>
      <c r="FPU58" s="12"/>
      <c r="FPV58" s="12"/>
      <c r="FPW58" s="12"/>
      <c r="FPX58" s="12"/>
      <c r="FPY58" s="12"/>
      <c r="FPZ58" s="12"/>
      <c r="FQA58" s="12"/>
      <c r="FQB58" s="12"/>
      <c r="FQC58" s="12"/>
      <c r="FQD58" s="12"/>
      <c r="FQE58" s="12"/>
      <c r="FQF58" s="12"/>
      <c r="FQG58" s="12"/>
      <c r="FQH58" s="12"/>
      <c r="FQI58" s="12"/>
      <c r="FQJ58" s="12"/>
      <c r="FQK58" s="12"/>
      <c r="FQL58" s="12"/>
      <c r="FQM58" s="12"/>
      <c r="FQN58" s="12"/>
      <c r="FQO58" s="12"/>
      <c r="FQP58" s="12"/>
      <c r="FQQ58" s="12"/>
      <c r="FQR58" s="12"/>
      <c r="FQS58" s="12"/>
      <c r="FQT58" s="12"/>
      <c r="FQU58" s="12"/>
      <c r="FQV58" s="12"/>
      <c r="FQW58" s="12"/>
      <c r="FQX58" s="12"/>
      <c r="FQY58" s="12"/>
      <c r="FQZ58" s="12"/>
      <c r="FRA58" s="12"/>
      <c r="FRB58" s="12"/>
      <c r="FRC58" s="12"/>
      <c r="FRD58" s="12"/>
      <c r="FRE58" s="12"/>
      <c r="FRF58" s="12"/>
      <c r="FRG58" s="12"/>
      <c r="FRH58" s="12"/>
      <c r="FRI58" s="12"/>
      <c r="FRJ58" s="12"/>
      <c r="FRK58" s="12"/>
      <c r="FRL58" s="12"/>
      <c r="FRM58" s="12"/>
      <c r="FRN58" s="12"/>
      <c r="FRO58" s="12"/>
      <c r="FRP58" s="12"/>
      <c r="FRQ58" s="12"/>
      <c r="FRR58" s="12"/>
      <c r="FRS58" s="12"/>
      <c r="FRT58" s="12"/>
      <c r="FRU58" s="12"/>
      <c r="FRV58" s="12"/>
      <c r="FRW58" s="12"/>
      <c r="FRX58" s="12"/>
      <c r="FRY58" s="12"/>
      <c r="FRZ58" s="12"/>
      <c r="FSA58" s="12"/>
      <c r="FSB58" s="12"/>
      <c r="FSC58" s="12"/>
      <c r="FSD58" s="12"/>
      <c r="FSE58" s="12"/>
      <c r="FSF58" s="12"/>
      <c r="FSG58" s="12"/>
      <c r="FSH58" s="12"/>
      <c r="FSI58" s="12"/>
      <c r="FSJ58" s="12"/>
      <c r="FSK58" s="12"/>
      <c r="FSL58" s="12"/>
      <c r="FSM58" s="12"/>
      <c r="FSN58" s="12"/>
      <c r="FSO58" s="12"/>
      <c r="FSP58" s="12"/>
      <c r="FSQ58" s="12"/>
      <c r="FSR58" s="12"/>
      <c r="FSS58" s="12"/>
      <c r="FST58" s="12"/>
      <c r="FSU58" s="12"/>
      <c r="FSV58" s="12"/>
      <c r="FSW58" s="12"/>
      <c r="FSX58" s="12"/>
      <c r="FSY58" s="12"/>
      <c r="FSZ58" s="12"/>
      <c r="FTA58" s="12"/>
      <c r="FTB58" s="12"/>
      <c r="FTC58" s="12"/>
      <c r="FTD58" s="12"/>
      <c r="FTE58" s="12"/>
      <c r="FTF58" s="12"/>
      <c r="FTG58" s="12"/>
      <c r="FTH58" s="12"/>
      <c r="FTI58" s="12"/>
      <c r="FTJ58" s="12"/>
      <c r="FTK58" s="12"/>
      <c r="FTL58" s="12"/>
      <c r="FTM58" s="12"/>
      <c r="FTN58" s="12"/>
      <c r="FTO58" s="12"/>
      <c r="FTP58" s="12"/>
      <c r="FTQ58" s="12"/>
      <c r="FTR58" s="12"/>
      <c r="FTS58" s="12"/>
      <c r="FTT58" s="12"/>
      <c r="FTU58" s="12"/>
      <c r="FTV58" s="12"/>
      <c r="FTW58" s="12"/>
      <c r="FTX58" s="12"/>
      <c r="FTY58" s="12"/>
      <c r="FTZ58" s="12"/>
      <c r="FUA58" s="12"/>
      <c r="FUB58" s="12"/>
      <c r="FUC58" s="12"/>
      <c r="FUD58" s="12"/>
      <c r="FUE58" s="12"/>
      <c r="FUF58" s="12"/>
      <c r="FUG58" s="12"/>
      <c r="FUH58" s="12"/>
      <c r="FUI58" s="12"/>
      <c r="FUJ58" s="12"/>
      <c r="FUK58" s="12"/>
      <c r="FUL58" s="12"/>
      <c r="FUM58" s="12"/>
      <c r="FUN58" s="12"/>
      <c r="FUO58" s="12"/>
      <c r="FUP58" s="12"/>
      <c r="FUQ58" s="12"/>
      <c r="FUR58" s="12"/>
      <c r="FUS58" s="12"/>
      <c r="FUT58" s="12"/>
      <c r="FUU58" s="12"/>
      <c r="FUV58" s="12"/>
      <c r="FUW58" s="12"/>
      <c r="FUX58" s="12"/>
      <c r="FUY58" s="12"/>
      <c r="FUZ58" s="12"/>
      <c r="FVA58" s="12"/>
      <c r="FVB58" s="12"/>
      <c r="FVC58" s="12"/>
      <c r="FVD58" s="12"/>
      <c r="FVE58" s="12"/>
      <c r="FVF58" s="12"/>
      <c r="FVG58" s="12"/>
      <c r="FVH58" s="12"/>
      <c r="FVI58" s="12"/>
      <c r="FVJ58" s="12"/>
      <c r="FVK58" s="12"/>
      <c r="FVL58" s="12"/>
      <c r="FVM58" s="12"/>
      <c r="FVN58" s="12"/>
      <c r="FVO58" s="12"/>
      <c r="FVP58" s="12"/>
      <c r="FVQ58" s="12"/>
      <c r="FVR58" s="12"/>
      <c r="FVS58" s="12"/>
      <c r="FVT58" s="12"/>
      <c r="FVU58" s="12"/>
      <c r="FVV58" s="12"/>
      <c r="FVW58" s="12"/>
      <c r="FVX58" s="12"/>
      <c r="FVY58" s="12"/>
      <c r="FVZ58" s="12"/>
      <c r="FWA58" s="12"/>
      <c r="FWB58" s="12"/>
      <c r="FWC58" s="12"/>
      <c r="FWD58" s="12"/>
      <c r="FWE58" s="12"/>
      <c r="FWF58" s="12"/>
      <c r="FWG58" s="12"/>
      <c r="FWH58" s="12"/>
      <c r="FWI58" s="12"/>
      <c r="FWJ58" s="12"/>
      <c r="FWK58" s="12"/>
      <c r="FWL58" s="12"/>
      <c r="FWM58" s="12"/>
      <c r="FWN58" s="12"/>
      <c r="FWO58" s="12"/>
      <c r="FWP58" s="12"/>
      <c r="FWQ58" s="12"/>
      <c r="FWR58" s="12"/>
      <c r="FWS58" s="12"/>
      <c r="FWT58" s="12"/>
      <c r="FWU58" s="12"/>
      <c r="FWV58" s="12"/>
      <c r="FWW58" s="12"/>
      <c r="FWX58" s="12"/>
      <c r="FWY58" s="12"/>
      <c r="FWZ58" s="12"/>
      <c r="FXA58" s="12"/>
      <c r="FXB58" s="12"/>
      <c r="FXC58" s="12"/>
      <c r="FXD58" s="12"/>
      <c r="FXE58" s="12"/>
      <c r="FXF58" s="12"/>
      <c r="FXG58" s="12"/>
      <c r="FXH58" s="12"/>
      <c r="FXI58" s="12"/>
      <c r="FXJ58" s="12"/>
      <c r="FXK58" s="12"/>
      <c r="FXL58" s="12"/>
      <c r="FXM58" s="12"/>
      <c r="FXN58" s="12"/>
      <c r="FXO58" s="12"/>
      <c r="FXP58" s="12"/>
      <c r="FXQ58" s="12"/>
      <c r="FXR58" s="12"/>
      <c r="FXS58" s="12"/>
      <c r="FXT58" s="12"/>
      <c r="FXU58" s="12"/>
      <c r="FXV58" s="12"/>
      <c r="FXW58" s="12"/>
      <c r="FXX58" s="12"/>
      <c r="FXY58" s="12"/>
      <c r="FXZ58" s="12"/>
      <c r="FYA58" s="12"/>
      <c r="FYB58" s="12"/>
      <c r="FYC58" s="12"/>
      <c r="FYD58" s="12"/>
      <c r="FYE58" s="12"/>
      <c r="FYF58" s="12"/>
      <c r="FYG58" s="12"/>
      <c r="FYH58" s="12"/>
      <c r="FYI58" s="12"/>
      <c r="FYJ58" s="12"/>
      <c r="FYK58" s="12"/>
      <c r="FYL58" s="12"/>
      <c r="FYM58" s="12"/>
      <c r="FYN58" s="12"/>
      <c r="FYO58" s="12"/>
      <c r="FYP58" s="12"/>
      <c r="FYQ58" s="12"/>
      <c r="FYR58" s="12"/>
      <c r="FYS58" s="12"/>
      <c r="FYT58" s="12"/>
      <c r="FYU58" s="12"/>
      <c r="FYV58" s="12"/>
      <c r="FYW58" s="12"/>
      <c r="FYX58" s="12"/>
      <c r="FYY58" s="12"/>
      <c r="FYZ58" s="12"/>
      <c r="FZA58" s="12"/>
      <c r="FZB58" s="12"/>
      <c r="FZC58" s="12"/>
      <c r="FZD58" s="12"/>
      <c r="FZE58" s="12"/>
      <c r="FZF58" s="12"/>
      <c r="FZG58" s="12"/>
      <c r="FZH58" s="12"/>
      <c r="FZI58" s="12"/>
      <c r="FZJ58" s="12"/>
      <c r="FZK58" s="12"/>
      <c r="FZL58" s="12"/>
      <c r="FZM58" s="12"/>
      <c r="FZN58" s="12"/>
      <c r="FZO58" s="12"/>
      <c r="FZP58" s="12"/>
      <c r="FZQ58" s="12"/>
      <c r="FZR58" s="12"/>
      <c r="FZS58" s="12"/>
      <c r="FZT58" s="12"/>
      <c r="FZU58" s="12"/>
      <c r="FZV58" s="12"/>
      <c r="FZW58" s="12"/>
      <c r="FZX58" s="12"/>
      <c r="FZY58" s="12"/>
      <c r="FZZ58" s="12"/>
      <c r="GAA58" s="12"/>
      <c r="GAB58" s="12"/>
      <c r="GAC58" s="12"/>
      <c r="GAD58" s="12"/>
      <c r="GAE58" s="12"/>
      <c r="GAF58" s="12"/>
      <c r="GAG58" s="12"/>
      <c r="GAH58" s="12"/>
      <c r="GAI58" s="12"/>
      <c r="GAJ58" s="12"/>
      <c r="GAK58" s="12"/>
      <c r="GAL58" s="12"/>
      <c r="GAM58" s="12"/>
      <c r="GAN58" s="12"/>
      <c r="GAO58" s="12"/>
      <c r="GAP58" s="12"/>
      <c r="GAQ58" s="12"/>
      <c r="GAR58" s="12"/>
      <c r="GAS58" s="12"/>
      <c r="GAT58" s="12"/>
      <c r="GAU58" s="12"/>
      <c r="GAV58" s="12"/>
      <c r="GAW58" s="12"/>
      <c r="GAX58" s="12"/>
      <c r="GAY58" s="12"/>
      <c r="GAZ58" s="12"/>
      <c r="GBA58" s="12"/>
      <c r="GBB58" s="12"/>
      <c r="GBC58" s="12"/>
      <c r="GBD58" s="12"/>
      <c r="GBE58" s="12"/>
      <c r="GBF58" s="12"/>
      <c r="GBG58" s="12"/>
      <c r="GBH58" s="12"/>
      <c r="GBI58" s="12"/>
      <c r="GBJ58" s="12"/>
      <c r="GBK58" s="12"/>
      <c r="GBL58" s="12"/>
      <c r="GBM58" s="12"/>
      <c r="GBN58" s="12"/>
      <c r="GBO58" s="12"/>
      <c r="GBP58" s="12"/>
      <c r="GBQ58" s="12"/>
      <c r="GBR58" s="12"/>
      <c r="GBS58" s="12"/>
      <c r="GBT58" s="12"/>
      <c r="GBU58" s="12"/>
      <c r="GBV58" s="12"/>
      <c r="GBW58" s="12"/>
      <c r="GBX58" s="12"/>
      <c r="GBY58" s="12"/>
      <c r="GBZ58" s="12"/>
      <c r="GCA58" s="12"/>
      <c r="GCB58" s="12"/>
      <c r="GCC58" s="12"/>
      <c r="GCD58" s="12"/>
      <c r="GCE58" s="12"/>
      <c r="GCF58" s="12"/>
      <c r="GCG58" s="12"/>
      <c r="GCH58" s="12"/>
      <c r="GCI58" s="12"/>
      <c r="GCJ58" s="12"/>
      <c r="GCK58" s="12"/>
      <c r="GCL58" s="12"/>
      <c r="GCM58" s="12"/>
      <c r="GCN58" s="12"/>
      <c r="GCO58" s="12"/>
      <c r="GCP58" s="12"/>
      <c r="GCQ58" s="12"/>
      <c r="GCR58" s="12"/>
      <c r="GCS58" s="12"/>
      <c r="GCT58" s="12"/>
      <c r="GCU58" s="12"/>
      <c r="GCV58" s="12"/>
      <c r="GCW58" s="12"/>
      <c r="GCX58" s="12"/>
      <c r="GCY58" s="12"/>
      <c r="GCZ58" s="12"/>
      <c r="GDA58" s="12"/>
      <c r="GDB58" s="12"/>
      <c r="GDC58" s="12"/>
      <c r="GDD58" s="12"/>
      <c r="GDE58" s="12"/>
      <c r="GDF58" s="12"/>
      <c r="GDG58" s="12"/>
      <c r="GDH58" s="12"/>
      <c r="GDI58" s="12"/>
      <c r="GDJ58" s="12"/>
      <c r="GDK58" s="12"/>
      <c r="GDL58" s="12"/>
      <c r="GDM58" s="12"/>
      <c r="GDN58" s="12"/>
      <c r="GDO58" s="12"/>
      <c r="GDP58" s="12"/>
      <c r="GDQ58" s="12"/>
      <c r="GDR58" s="12"/>
      <c r="GDS58" s="12"/>
      <c r="GDT58" s="12"/>
      <c r="GDU58" s="12"/>
      <c r="GDV58" s="12"/>
      <c r="GDW58" s="12"/>
      <c r="GDX58" s="12"/>
      <c r="GDY58" s="12"/>
      <c r="GDZ58" s="12"/>
      <c r="GEA58" s="12"/>
      <c r="GEB58" s="12"/>
      <c r="GEC58" s="12"/>
      <c r="GED58" s="12"/>
      <c r="GEE58" s="12"/>
      <c r="GEF58" s="12"/>
      <c r="GEG58" s="12"/>
      <c r="GEH58" s="12"/>
      <c r="GEI58" s="12"/>
      <c r="GEJ58" s="12"/>
      <c r="GEK58" s="12"/>
      <c r="GEL58" s="12"/>
      <c r="GEM58" s="12"/>
      <c r="GEN58" s="12"/>
      <c r="GEO58" s="12"/>
      <c r="GEP58" s="12"/>
      <c r="GEQ58" s="12"/>
      <c r="GER58" s="12"/>
      <c r="GES58" s="12"/>
      <c r="GET58" s="12"/>
      <c r="GEU58" s="12"/>
      <c r="GEV58" s="12"/>
      <c r="GEW58" s="12"/>
      <c r="GEX58" s="12"/>
      <c r="GEY58" s="12"/>
      <c r="GEZ58" s="12"/>
      <c r="GFA58" s="12"/>
      <c r="GFB58" s="12"/>
      <c r="GFC58" s="12"/>
      <c r="GFD58" s="12"/>
      <c r="GFE58" s="12"/>
      <c r="GFF58" s="12"/>
      <c r="GFG58" s="12"/>
      <c r="GFH58" s="12"/>
      <c r="GFI58" s="12"/>
      <c r="GFJ58" s="12"/>
      <c r="GFK58" s="12"/>
      <c r="GFL58" s="12"/>
      <c r="GFM58" s="12"/>
      <c r="GFN58" s="12"/>
      <c r="GFO58" s="12"/>
      <c r="GFP58" s="12"/>
      <c r="GFQ58" s="12"/>
      <c r="GFR58" s="12"/>
      <c r="GFS58" s="12"/>
      <c r="GFT58" s="12"/>
      <c r="GFU58" s="12"/>
      <c r="GFV58" s="12"/>
      <c r="GFW58" s="12"/>
      <c r="GFX58" s="12"/>
      <c r="GFY58" s="12"/>
      <c r="GFZ58" s="12"/>
      <c r="GGA58" s="12"/>
      <c r="GGB58" s="12"/>
      <c r="GGC58" s="12"/>
      <c r="GGD58" s="12"/>
      <c r="GGE58" s="12"/>
      <c r="GGF58" s="12"/>
      <c r="GGG58" s="12"/>
      <c r="GGH58" s="12"/>
      <c r="GGI58" s="12"/>
      <c r="GGJ58" s="12"/>
      <c r="GGK58" s="12"/>
      <c r="GGL58" s="12"/>
      <c r="GGM58" s="12"/>
      <c r="GGN58" s="12"/>
      <c r="GGO58" s="12"/>
      <c r="GGP58" s="12"/>
      <c r="GGQ58" s="12"/>
      <c r="GGR58" s="12"/>
      <c r="GGS58" s="12"/>
      <c r="GGT58" s="12"/>
      <c r="GGU58" s="12"/>
      <c r="GGV58" s="12"/>
      <c r="GGW58" s="12"/>
      <c r="GGX58" s="12"/>
      <c r="GGY58" s="12"/>
      <c r="GGZ58" s="12"/>
      <c r="GHA58" s="12"/>
      <c r="GHB58" s="12"/>
      <c r="GHC58" s="12"/>
      <c r="GHD58" s="12"/>
      <c r="GHE58" s="12"/>
      <c r="GHF58" s="12"/>
      <c r="GHG58" s="12"/>
      <c r="GHH58" s="12"/>
      <c r="GHI58" s="12"/>
      <c r="GHJ58" s="12"/>
      <c r="GHK58" s="12"/>
      <c r="GHL58" s="12"/>
      <c r="GHM58" s="12"/>
      <c r="GHN58" s="12"/>
      <c r="GHO58" s="12"/>
      <c r="GHP58" s="12"/>
      <c r="GHQ58" s="12"/>
      <c r="GHR58" s="12"/>
      <c r="GHS58" s="12"/>
      <c r="GHT58" s="12"/>
      <c r="GHU58" s="12"/>
      <c r="GHV58" s="12"/>
      <c r="GHW58" s="12"/>
      <c r="GHX58" s="12"/>
      <c r="GHY58" s="12"/>
      <c r="GHZ58" s="12"/>
      <c r="GIA58" s="12"/>
      <c r="GIB58" s="12"/>
      <c r="GIC58" s="12"/>
      <c r="GID58" s="12"/>
      <c r="GIE58" s="12"/>
      <c r="GIF58" s="12"/>
      <c r="GIG58" s="12"/>
      <c r="GIH58" s="12"/>
      <c r="GII58" s="12"/>
      <c r="GIJ58" s="12"/>
      <c r="GIK58" s="12"/>
      <c r="GIL58" s="12"/>
      <c r="GIM58" s="12"/>
      <c r="GIN58" s="12"/>
      <c r="GIO58" s="12"/>
      <c r="GIP58" s="12"/>
      <c r="GIQ58" s="12"/>
      <c r="GIR58" s="12"/>
      <c r="GIS58" s="12"/>
      <c r="GIT58" s="12"/>
      <c r="GIU58" s="12"/>
      <c r="GIV58" s="12"/>
      <c r="GIW58" s="12"/>
      <c r="GIX58" s="12"/>
      <c r="GIY58" s="12"/>
      <c r="GIZ58" s="12"/>
      <c r="GJA58" s="12"/>
      <c r="GJB58" s="12"/>
      <c r="GJC58" s="12"/>
      <c r="GJD58" s="12"/>
      <c r="GJE58" s="12"/>
      <c r="GJF58" s="12"/>
      <c r="GJG58" s="12"/>
      <c r="GJH58" s="12"/>
      <c r="GJI58" s="12"/>
      <c r="GJJ58" s="12"/>
      <c r="GJK58" s="12"/>
      <c r="GJL58" s="12"/>
      <c r="GJM58" s="12"/>
      <c r="GJN58" s="12"/>
      <c r="GJO58" s="12"/>
      <c r="GJP58" s="12"/>
      <c r="GJQ58" s="12"/>
      <c r="GJR58" s="12"/>
      <c r="GJS58" s="12"/>
      <c r="GJT58" s="12"/>
      <c r="GJU58" s="12"/>
      <c r="GJV58" s="12"/>
      <c r="GJW58" s="12"/>
      <c r="GJX58" s="12"/>
      <c r="GJY58" s="12"/>
      <c r="GJZ58" s="12"/>
      <c r="GKA58" s="12"/>
      <c r="GKB58" s="12"/>
      <c r="GKC58" s="12"/>
      <c r="GKD58" s="12"/>
      <c r="GKE58" s="12"/>
      <c r="GKF58" s="12"/>
      <c r="GKG58" s="12"/>
      <c r="GKH58" s="12"/>
      <c r="GKI58" s="12"/>
      <c r="GKJ58" s="12"/>
      <c r="GKK58" s="12"/>
      <c r="GKL58" s="12"/>
      <c r="GKM58" s="12"/>
      <c r="GKN58" s="12"/>
      <c r="GKO58" s="12"/>
      <c r="GKP58" s="12"/>
      <c r="GKQ58" s="12"/>
      <c r="GKR58" s="12"/>
      <c r="GKS58" s="12"/>
      <c r="GKT58" s="12"/>
      <c r="GKU58" s="12"/>
      <c r="GKV58" s="12"/>
      <c r="GKW58" s="12"/>
      <c r="GKX58" s="12"/>
      <c r="GKY58" s="12"/>
      <c r="GKZ58" s="12"/>
      <c r="GLA58" s="12"/>
      <c r="GLB58" s="12"/>
      <c r="GLC58" s="12"/>
      <c r="GLD58" s="12"/>
      <c r="GLE58" s="12"/>
      <c r="GLF58" s="12"/>
      <c r="GLG58" s="12"/>
      <c r="GLH58" s="12"/>
      <c r="GLI58" s="12"/>
      <c r="GLJ58" s="12"/>
      <c r="GLK58" s="12"/>
      <c r="GLL58" s="12"/>
      <c r="GLM58" s="12"/>
      <c r="GLN58" s="12"/>
      <c r="GLO58" s="12"/>
      <c r="GLP58" s="12"/>
      <c r="GLQ58" s="12"/>
      <c r="GLR58" s="12"/>
      <c r="GLS58" s="12"/>
      <c r="GLT58" s="12"/>
      <c r="GLU58" s="12"/>
      <c r="GLV58" s="12"/>
      <c r="GLW58" s="12"/>
      <c r="GLX58" s="12"/>
      <c r="GLY58" s="12"/>
      <c r="GLZ58" s="12"/>
      <c r="GMA58" s="12"/>
      <c r="GMB58" s="12"/>
      <c r="GMC58" s="12"/>
      <c r="GMD58" s="12"/>
      <c r="GME58" s="12"/>
      <c r="GMF58" s="12"/>
      <c r="GMG58" s="12"/>
      <c r="GMH58" s="12"/>
      <c r="GMI58" s="12"/>
      <c r="GMJ58" s="12"/>
      <c r="GMK58" s="12"/>
      <c r="GML58" s="12"/>
      <c r="GMM58" s="12"/>
      <c r="GMN58" s="12"/>
      <c r="GMO58" s="12"/>
      <c r="GMP58" s="12"/>
      <c r="GMQ58" s="12"/>
      <c r="GMR58" s="12"/>
      <c r="GMS58" s="12"/>
      <c r="GMT58" s="12"/>
      <c r="GMU58" s="12"/>
      <c r="GMV58" s="12"/>
      <c r="GMW58" s="12"/>
      <c r="GMX58" s="12"/>
      <c r="GMY58" s="12"/>
      <c r="GMZ58" s="12"/>
      <c r="GNA58" s="12"/>
      <c r="GNB58" s="12"/>
      <c r="GNC58" s="12"/>
      <c r="GND58" s="12"/>
      <c r="GNE58" s="12"/>
      <c r="GNF58" s="12"/>
      <c r="GNG58" s="12"/>
      <c r="GNH58" s="12"/>
      <c r="GNI58" s="12"/>
      <c r="GNJ58" s="12"/>
      <c r="GNK58" s="12"/>
      <c r="GNL58" s="12"/>
      <c r="GNM58" s="12"/>
      <c r="GNN58" s="12"/>
      <c r="GNO58" s="12"/>
      <c r="GNP58" s="12"/>
      <c r="GNQ58" s="12"/>
      <c r="GNR58" s="12"/>
      <c r="GNS58" s="12"/>
      <c r="GNT58" s="12"/>
      <c r="GNU58" s="12"/>
      <c r="GNV58" s="12"/>
      <c r="GNW58" s="12"/>
      <c r="GNX58" s="12"/>
      <c r="GNY58" s="12"/>
      <c r="GNZ58" s="12"/>
      <c r="GOA58" s="12"/>
      <c r="GOB58" s="12"/>
      <c r="GOC58" s="12"/>
      <c r="GOD58" s="12"/>
      <c r="GOE58" s="12"/>
      <c r="GOF58" s="12"/>
      <c r="GOG58" s="12"/>
      <c r="GOH58" s="12"/>
      <c r="GOI58" s="12"/>
      <c r="GOJ58" s="12"/>
      <c r="GOK58" s="12"/>
      <c r="GOL58" s="12"/>
      <c r="GOM58" s="12"/>
      <c r="GON58" s="12"/>
      <c r="GOO58" s="12"/>
      <c r="GOP58" s="12"/>
      <c r="GOQ58" s="12"/>
      <c r="GOR58" s="12"/>
      <c r="GOS58" s="12"/>
      <c r="GOT58" s="12"/>
      <c r="GOU58" s="12"/>
      <c r="GOV58" s="12"/>
      <c r="GOW58" s="12"/>
      <c r="GOX58" s="12"/>
      <c r="GOY58" s="12"/>
      <c r="GOZ58" s="12"/>
      <c r="GPA58" s="12"/>
      <c r="GPB58" s="12"/>
      <c r="GPC58" s="12"/>
      <c r="GPD58" s="12"/>
      <c r="GPE58" s="12"/>
      <c r="GPF58" s="12"/>
      <c r="GPG58" s="12"/>
      <c r="GPH58" s="12"/>
      <c r="GPI58" s="12"/>
      <c r="GPJ58" s="12"/>
      <c r="GPK58" s="12"/>
      <c r="GPL58" s="12"/>
      <c r="GPM58" s="12"/>
      <c r="GPN58" s="12"/>
      <c r="GPO58" s="12"/>
      <c r="GPP58" s="12"/>
      <c r="GPQ58" s="12"/>
      <c r="GPR58" s="12"/>
      <c r="GPS58" s="12"/>
      <c r="GPT58" s="12"/>
      <c r="GPU58" s="12"/>
      <c r="GPV58" s="12"/>
      <c r="GPW58" s="12"/>
      <c r="GPX58" s="12"/>
      <c r="GPY58" s="12"/>
      <c r="GPZ58" s="12"/>
      <c r="GQA58" s="12"/>
      <c r="GQB58" s="12"/>
      <c r="GQC58" s="12"/>
      <c r="GQD58" s="12"/>
      <c r="GQE58" s="12"/>
      <c r="GQF58" s="12"/>
      <c r="GQG58" s="12"/>
      <c r="GQH58" s="12"/>
      <c r="GQI58" s="12"/>
      <c r="GQJ58" s="12"/>
      <c r="GQK58" s="12"/>
      <c r="GQL58" s="12"/>
      <c r="GQM58" s="12"/>
      <c r="GQN58" s="12"/>
      <c r="GQO58" s="12"/>
      <c r="GQP58" s="12"/>
      <c r="GQQ58" s="12"/>
      <c r="GQR58" s="12"/>
      <c r="GQS58" s="12"/>
      <c r="GQT58" s="12"/>
      <c r="GQU58" s="12"/>
      <c r="GQV58" s="12"/>
      <c r="GQW58" s="12"/>
      <c r="GQX58" s="12"/>
      <c r="GQY58" s="12"/>
      <c r="GQZ58" s="12"/>
      <c r="GRA58" s="12"/>
      <c r="GRB58" s="12"/>
      <c r="GRC58" s="12"/>
      <c r="GRD58" s="12"/>
      <c r="GRE58" s="12"/>
      <c r="GRF58" s="12"/>
      <c r="GRG58" s="12"/>
      <c r="GRH58" s="12"/>
      <c r="GRI58" s="12"/>
      <c r="GRJ58" s="12"/>
      <c r="GRK58" s="12"/>
      <c r="GRL58" s="12"/>
      <c r="GRM58" s="12"/>
      <c r="GRN58" s="12"/>
      <c r="GRO58" s="12"/>
      <c r="GRP58" s="12"/>
      <c r="GRQ58" s="12"/>
      <c r="GRR58" s="12"/>
      <c r="GRS58" s="12"/>
      <c r="GRT58" s="12"/>
      <c r="GRU58" s="12"/>
      <c r="GRV58" s="12"/>
      <c r="GRW58" s="12"/>
      <c r="GRX58" s="12"/>
      <c r="GRY58" s="12"/>
      <c r="GRZ58" s="12"/>
      <c r="GSA58" s="12"/>
      <c r="GSB58" s="12"/>
      <c r="GSC58" s="12"/>
      <c r="GSD58" s="12"/>
      <c r="GSE58" s="12"/>
      <c r="GSF58" s="12"/>
      <c r="GSG58" s="12"/>
      <c r="GSH58" s="12"/>
      <c r="GSI58" s="12"/>
      <c r="GSJ58" s="12"/>
      <c r="GSK58" s="12"/>
      <c r="GSL58" s="12"/>
      <c r="GSM58" s="12"/>
      <c r="GSN58" s="12"/>
      <c r="GSO58" s="12"/>
      <c r="GSP58" s="12"/>
      <c r="GSQ58" s="12"/>
      <c r="GSR58" s="12"/>
      <c r="GSS58" s="12"/>
      <c r="GST58" s="12"/>
      <c r="GSU58" s="12"/>
      <c r="GSV58" s="12"/>
      <c r="GSW58" s="12"/>
      <c r="GSX58" s="12"/>
      <c r="GSY58" s="12"/>
      <c r="GSZ58" s="12"/>
      <c r="GTA58" s="12"/>
      <c r="GTB58" s="12"/>
      <c r="GTC58" s="12"/>
      <c r="GTD58" s="12"/>
      <c r="GTE58" s="12"/>
      <c r="GTF58" s="12"/>
      <c r="GTG58" s="12"/>
      <c r="GTH58" s="12"/>
      <c r="GTI58" s="12"/>
      <c r="GTJ58" s="12"/>
      <c r="GTK58" s="12"/>
      <c r="GTL58" s="12"/>
      <c r="GTM58" s="12"/>
      <c r="GTN58" s="12"/>
      <c r="GTO58" s="12"/>
      <c r="GTP58" s="12"/>
      <c r="GTQ58" s="12"/>
      <c r="GTR58" s="12"/>
      <c r="GTS58" s="12"/>
      <c r="GTT58" s="12"/>
      <c r="GTU58" s="12"/>
      <c r="GTV58" s="12"/>
      <c r="GTW58" s="12"/>
      <c r="GTX58" s="12"/>
      <c r="GTY58" s="12"/>
      <c r="GTZ58" s="12"/>
      <c r="GUA58" s="12"/>
      <c r="GUB58" s="12"/>
      <c r="GUC58" s="12"/>
      <c r="GUD58" s="12"/>
      <c r="GUE58" s="12"/>
      <c r="GUF58" s="12"/>
      <c r="GUG58" s="12"/>
      <c r="GUH58" s="12"/>
      <c r="GUI58" s="12"/>
      <c r="GUJ58" s="12"/>
      <c r="GUK58" s="12"/>
      <c r="GUL58" s="12"/>
      <c r="GUM58" s="12"/>
      <c r="GUN58" s="12"/>
      <c r="GUO58" s="12"/>
      <c r="GUP58" s="12"/>
      <c r="GUQ58" s="12"/>
      <c r="GUR58" s="12"/>
      <c r="GUS58" s="12"/>
      <c r="GUT58" s="12"/>
      <c r="GUU58" s="12"/>
      <c r="GUV58" s="12"/>
      <c r="GUW58" s="12"/>
      <c r="GUX58" s="12"/>
      <c r="GUY58" s="12"/>
      <c r="GUZ58" s="12"/>
      <c r="GVA58" s="12"/>
      <c r="GVB58" s="12"/>
      <c r="GVC58" s="12"/>
      <c r="GVD58" s="12"/>
      <c r="GVE58" s="12"/>
      <c r="GVF58" s="12"/>
      <c r="GVG58" s="12"/>
      <c r="GVH58" s="12"/>
      <c r="GVI58" s="12"/>
      <c r="GVJ58" s="12"/>
      <c r="GVK58" s="12"/>
      <c r="GVL58" s="12"/>
      <c r="GVM58" s="12"/>
      <c r="GVN58" s="12"/>
      <c r="GVO58" s="12"/>
      <c r="GVP58" s="12"/>
      <c r="GVQ58" s="12"/>
      <c r="GVR58" s="12"/>
      <c r="GVS58" s="12"/>
      <c r="GVT58" s="12"/>
      <c r="GVU58" s="12"/>
      <c r="GVV58" s="12"/>
      <c r="GVW58" s="12"/>
      <c r="GVX58" s="12"/>
      <c r="GVY58" s="12"/>
      <c r="GVZ58" s="12"/>
      <c r="GWA58" s="12"/>
      <c r="GWB58" s="12"/>
      <c r="GWC58" s="12"/>
      <c r="GWD58" s="12"/>
      <c r="GWE58" s="12"/>
      <c r="GWF58" s="12"/>
      <c r="GWG58" s="12"/>
      <c r="GWH58" s="12"/>
      <c r="GWI58" s="12"/>
      <c r="GWJ58" s="12"/>
      <c r="GWK58" s="12"/>
      <c r="GWL58" s="12"/>
      <c r="GWM58" s="12"/>
      <c r="GWN58" s="12"/>
      <c r="GWO58" s="12"/>
      <c r="GWP58" s="12"/>
      <c r="GWQ58" s="12"/>
      <c r="GWR58" s="12"/>
      <c r="GWS58" s="12"/>
      <c r="GWT58" s="12"/>
      <c r="GWU58" s="12"/>
      <c r="GWV58" s="12"/>
      <c r="GWW58" s="12"/>
      <c r="GWX58" s="12"/>
      <c r="GWY58" s="12"/>
      <c r="GWZ58" s="12"/>
      <c r="GXA58" s="12"/>
      <c r="GXB58" s="12"/>
      <c r="GXC58" s="12"/>
      <c r="GXD58" s="12"/>
      <c r="GXE58" s="12"/>
      <c r="GXF58" s="12"/>
      <c r="GXG58" s="12"/>
      <c r="GXH58" s="12"/>
      <c r="GXI58" s="12"/>
      <c r="GXJ58" s="12"/>
      <c r="GXK58" s="12"/>
      <c r="GXL58" s="12"/>
      <c r="GXM58" s="12"/>
      <c r="GXN58" s="12"/>
      <c r="GXO58" s="12"/>
      <c r="GXP58" s="12"/>
      <c r="GXQ58" s="12"/>
      <c r="GXR58" s="12"/>
      <c r="GXS58" s="12"/>
      <c r="GXT58" s="12"/>
      <c r="GXU58" s="12"/>
      <c r="GXV58" s="12"/>
      <c r="GXW58" s="12"/>
      <c r="GXX58" s="12"/>
      <c r="GXY58" s="12"/>
      <c r="GXZ58" s="12"/>
      <c r="GYA58" s="12"/>
      <c r="GYB58" s="12"/>
      <c r="GYC58" s="12"/>
      <c r="GYD58" s="12"/>
      <c r="GYE58" s="12"/>
      <c r="GYF58" s="12"/>
      <c r="GYG58" s="12"/>
      <c r="GYH58" s="12"/>
      <c r="GYI58" s="12"/>
      <c r="GYJ58" s="12"/>
      <c r="GYK58" s="12"/>
      <c r="GYL58" s="12"/>
      <c r="GYM58" s="12"/>
      <c r="GYN58" s="12"/>
      <c r="GYO58" s="12"/>
      <c r="GYP58" s="12"/>
      <c r="GYQ58" s="12"/>
      <c r="GYR58" s="12"/>
      <c r="GYS58" s="12"/>
      <c r="GYT58" s="12"/>
      <c r="GYU58" s="12"/>
      <c r="GYV58" s="12"/>
      <c r="GYW58" s="12"/>
      <c r="GYX58" s="12"/>
      <c r="GYY58" s="12"/>
      <c r="GYZ58" s="12"/>
      <c r="GZA58" s="12"/>
      <c r="GZB58" s="12"/>
      <c r="GZC58" s="12"/>
      <c r="GZD58" s="12"/>
      <c r="GZE58" s="12"/>
      <c r="GZF58" s="12"/>
      <c r="GZG58" s="12"/>
      <c r="GZH58" s="12"/>
      <c r="GZI58" s="12"/>
      <c r="GZJ58" s="12"/>
      <c r="GZK58" s="12"/>
      <c r="GZL58" s="12"/>
      <c r="GZM58" s="12"/>
      <c r="GZN58" s="12"/>
      <c r="GZO58" s="12"/>
      <c r="GZP58" s="12"/>
      <c r="GZQ58" s="12"/>
      <c r="GZR58" s="12"/>
      <c r="GZS58" s="12"/>
      <c r="GZT58" s="12"/>
      <c r="GZU58" s="12"/>
      <c r="GZV58" s="12"/>
      <c r="GZW58" s="12"/>
      <c r="GZX58" s="12"/>
      <c r="GZY58" s="12"/>
      <c r="GZZ58" s="12"/>
      <c r="HAA58" s="12"/>
      <c r="HAB58" s="12"/>
      <c r="HAC58" s="12"/>
      <c r="HAD58" s="12"/>
      <c r="HAE58" s="12"/>
      <c r="HAF58" s="12"/>
      <c r="HAG58" s="12"/>
      <c r="HAH58" s="12"/>
      <c r="HAI58" s="12"/>
      <c r="HAJ58" s="12"/>
      <c r="HAK58" s="12"/>
      <c r="HAL58" s="12"/>
      <c r="HAM58" s="12"/>
      <c r="HAN58" s="12"/>
      <c r="HAO58" s="12"/>
      <c r="HAP58" s="12"/>
      <c r="HAQ58" s="12"/>
      <c r="HAR58" s="12"/>
      <c r="HAS58" s="12"/>
      <c r="HAT58" s="12"/>
      <c r="HAU58" s="12"/>
      <c r="HAV58" s="12"/>
      <c r="HAW58" s="12"/>
      <c r="HAX58" s="12"/>
      <c r="HAY58" s="12"/>
      <c r="HAZ58" s="12"/>
      <c r="HBA58" s="12"/>
      <c r="HBB58" s="12"/>
      <c r="HBC58" s="12"/>
      <c r="HBD58" s="12"/>
      <c r="HBE58" s="12"/>
      <c r="HBF58" s="12"/>
      <c r="HBG58" s="12"/>
      <c r="HBH58" s="12"/>
      <c r="HBI58" s="12"/>
      <c r="HBJ58" s="12"/>
      <c r="HBK58" s="12"/>
      <c r="HBL58" s="12"/>
      <c r="HBM58" s="12"/>
      <c r="HBN58" s="12"/>
      <c r="HBO58" s="12"/>
      <c r="HBP58" s="12"/>
      <c r="HBQ58" s="12"/>
      <c r="HBR58" s="12"/>
      <c r="HBS58" s="12"/>
      <c r="HBT58" s="12"/>
      <c r="HBU58" s="12"/>
      <c r="HBV58" s="12"/>
      <c r="HBW58" s="12"/>
      <c r="HBX58" s="12"/>
      <c r="HBY58" s="12"/>
      <c r="HBZ58" s="12"/>
      <c r="HCA58" s="12"/>
      <c r="HCB58" s="12"/>
      <c r="HCC58" s="12"/>
      <c r="HCD58" s="12"/>
      <c r="HCE58" s="12"/>
      <c r="HCF58" s="12"/>
      <c r="HCG58" s="12"/>
      <c r="HCH58" s="12"/>
      <c r="HCI58" s="12"/>
      <c r="HCJ58" s="12"/>
      <c r="HCK58" s="12"/>
      <c r="HCL58" s="12"/>
      <c r="HCM58" s="12"/>
      <c r="HCN58" s="12"/>
      <c r="HCO58" s="12"/>
      <c r="HCP58" s="12"/>
      <c r="HCQ58" s="12"/>
      <c r="HCR58" s="12"/>
      <c r="HCS58" s="12"/>
      <c r="HCT58" s="12"/>
      <c r="HCU58" s="12"/>
      <c r="HCV58" s="12"/>
      <c r="HCW58" s="12"/>
      <c r="HCX58" s="12"/>
      <c r="HCY58" s="12"/>
      <c r="HCZ58" s="12"/>
      <c r="HDA58" s="12"/>
      <c r="HDB58" s="12"/>
      <c r="HDC58" s="12"/>
      <c r="HDD58" s="12"/>
      <c r="HDE58" s="12"/>
      <c r="HDF58" s="12"/>
      <c r="HDG58" s="12"/>
      <c r="HDH58" s="12"/>
      <c r="HDI58" s="12"/>
      <c r="HDJ58" s="12"/>
      <c r="HDK58" s="12"/>
      <c r="HDL58" s="12"/>
      <c r="HDM58" s="12"/>
      <c r="HDN58" s="12"/>
      <c r="HDO58" s="12"/>
      <c r="HDP58" s="12"/>
      <c r="HDQ58" s="12"/>
      <c r="HDR58" s="12"/>
      <c r="HDS58" s="12"/>
      <c r="HDT58" s="12"/>
      <c r="HDU58" s="12"/>
      <c r="HDV58" s="12"/>
      <c r="HDW58" s="12"/>
      <c r="HDX58" s="12"/>
      <c r="HDY58" s="12"/>
      <c r="HDZ58" s="12"/>
      <c r="HEA58" s="12"/>
      <c r="HEB58" s="12"/>
      <c r="HEC58" s="12"/>
      <c r="HED58" s="12"/>
      <c r="HEE58" s="12"/>
      <c r="HEF58" s="12"/>
      <c r="HEG58" s="12"/>
      <c r="HEH58" s="12"/>
      <c r="HEI58" s="12"/>
      <c r="HEJ58" s="12"/>
      <c r="HEK58" s="12"/>
      <c r="HEL58" s="12"/>
      <c r="HEM58" s="12"/>
      <c r="HEN58" s="12"/>
      <c r="HEO58" s="12"/>
      <c r="HEP58" s="12"/>
      <c r="HEQ58" s="12"/>
      <c r="HER58" s="12"/>
      <c r="HES58" s="12"/>
      <c r="HET58" s="12"/>
      <c r="HEU58" s="12"/>
      <c r="HEV58" s="12"/>
      <c r="HEW58" s="12"/>
      <c r="HEX58" s="12"/>
      <c r="HEY58" s="12"/>
      <c r="HEZ58" s="12"/>
      <c r="HFA58" s="12"/>
      <c r="HFB58" s="12"/>
      <c r="HFC58" s="12"/>
      <c r="HFD58" s="12"/>
      <c r="HFE58" s="12"/>
      <c r="HFF58" s="12"/>
      <c r="HFG58" s="12"/>
      <c r="HFH58" s="12"/>
      <c r="HFI58" s="12"/>
      <c r="HFJ58" s="12"/>
      <c r="HFK58" s="12"/>
      <c r="HFL58" s="12"/>
      <c r="HFM58" s="12"/>
      <c r="HFN58" s="12"/>
      <c r="HFO58" s="12"/>
      <c r="HFP58" s="12"/>
      <c r="HFQ58" s="12"/>
      <c r="HFR58" s="12"/>
      <c r="HFS58" s="12"/>
      <c r="HFT58" s="12"/>
      <c r="HFU58" s="12"/>
      <c r="HFV58" s="12"/>
      <c r="HFW58" s="12"/>
      <c r="HFX58" s="12"/>
      <c r="HFY58" s="12"/>
      <c r="HFZ58" s="12"/>
      <c r="HGA58" s="12"/>
      <c r="HGB58" s="12"/>
      <c r="HGC58" s="12"/>
      <c r="HGD58" s="12"/>
      <c r="HGE58" s="12"/>
      <c r="HGF58" s="12"/>
      <c r="HGG58" s="12"/>
      <c r="HGH58" s="12"/>
      <c r="HGI58" s="12"/>
      <c r="HGJ58" s="12"/>
      <c r="HGK58" s="12"/>
      <c r="HGL58" s="12"/>
      <c r="HGM58" s="12"/>
      <c r="HGN58" s="12"/>
      <c r="HGO58" s="12"/>
      <c r="HGP58" s="12"/>
      <c r="HGQ58" s="12"/>
      <c r="HGR58" s="12"/>
      <c r="HGS58" s="12"/>
      <c r="HGT58" s="12"/>
      <c r="HGU58" s="12"/>
      <c r="HGV58" s="12"/>
      <c r="HGW58" s="12"/>
      <c r="HGX58" s="12"/>
      <c r="HGY58" s="12"/>
      <c r="HGZ58" s="12"/>
      <c r="HHA58" s="12"/>
      <c r="HHB58" s="12"/>
      <c r="HHC58" s="12"/>
      <c r="HHD58" s="12"/>
      <c r="HHE58" s="12"/>
      <c r="HHF58" s="12"/>
      <c r="HHG58" s="12"/>
      <c r="HHH58" s="12"/>
      <c r="HHI58" s="12"/>
      <c r="HHJ58" s="12"/>
      <c r="HHK58" s="12"/>
      <c r="HHL58" s="12"/>
      <c r="HHM58" s="12"/>
      <c r="HHN58" s="12"/>
      <c r="HHO58" s="12"/>
      <c r="HHP58" s="12"/>
      <c r="HHQ58" s="12"/>
      <c r="HHR58" s="12"/>
      <c r="HHS58" s="12"/>
      <c r="HHT58" s="12"/>
      <c r="HHU58" s="12"/>
      <c r="HHV58" s="12"/>
      <c r="HHW58" s="12"/>
      <c r="HHX58" s="12"/>
      <c r="HHY58" s="12"/>
      <c r="HHZ58" s="12"/>
      <c r="HIA58" s="12"/>
      <c r="HIB58" s="12"/>
      <c r="HIC58" s="12"/>
      <c r="HID58" s="12"/>
      <c r="HIE58" s="12"/>
      <c r="HIF58" s="12"/>
      <c r="HIG58" s="12"/>
      <c r="HIH58" s="12"/>
      <c r="HII58" s="12"/>
      <c r="HIJ58" s="12"/>
      <c r="HIK58" s="12"/>
      <c r="HIL58" s="12"/>
      <c r="HIM58" s="12"/>
      <c r="HIN58" s="12"/>
      <c r="HIO58" s="12"/>
      <c r="HIP58" s="12"/>
      <c r="HIQ58" s="12"/>
      <c r="HIR58" s="12"/>
      <c r="HIS58" s="12"/>
      <c r="HIT58" s="12"/>
      <c r="HIU58" s="12"/>
      <c r="HIV58" s="12"/>
      <c r="HIW58" s="12"/>
      <c r="HIX58" s="12"/>
      <c r="HIY58" s="12"/>
      <c r="HIZ58" s="12"/>
      <c r="HJA58" s="12"/>
      <c r="HJB58" s="12"/>
      <c r="HJC58" s="12"/>
      <c r="HJD58" s="12"/>
      <c r="HJE58" s="12"/>
      <c r="HJF58" s="12"/>
      <c r="HJG58" s="12"/>
      <c r="HJH58" s="12"/>
      <c r="HJI58" s="12"/>
      <c r="HJJ58" s="12"/>
      <c r="HJK58" s="12"/>
      <c r="HJL58" s="12"/>
      <c r="HJM58" s="12"/>
      <c r="HJN58" s="12"/>
      <c r="HJO58" s="12"/>
      <c r="HJP58" s="12"/>
      <c r="HJQ58" s="12"/>
      <c r="HJR58" s="12"/>
      <c r="HJS58" s="12"/>
      <c r="HJT58" s="12"/>
      <c r="HJU58" s="12"/>
      <c r="HJV58" s="12"/>
      <c r="HJW58" s="12"/>
      <c r="HJX58" s="12"/>
      <c r="HJY58" s="12"/>
      <c r="HJZ58" s="12"/>
      <c r="HKA58" s="12"/>
      <c r="HKB58" s="12"/>
      <c r="HKC58" s="12"/>
      <c r="HKD58" s="12"/>
      <c r="HKE58" s="12"/>
      <c r="HKF58" s="12"/>
      <c r="HKG58" s="12"/>
      <c r="HKH58" s="12"/>
      <c r="HKI58" s="12"/>
      <c r="HKJ58" s="12"/>
      <c r="HKK58" s="12"/>
      <c r="HKL58" s="12"/>
      <c r="HKM58" s="12"/>
      <c r="HKN58" s="12"/>
      <c r="HKO58" s="12"/>
      <c r="HKP58" s="12"/>
      <c r="HKQ58" s="12"/>
      <c r="HKR58" s="12"/>
      <c r="HKS58" s="12"/>
      <c r="HKT58" s="12"/>
      <c r="HKU58" s="12"/>
      <c r="HKV58" s="12"/>
      <c r="HKW58" s="12"/>
      <c r="HKX58" s="12"/>
      <c r="HKY58" s="12"/>
      <c r="HKZ58" s="12"/>
      <c r="HLA58" s="12"/>
      <c r="HLB58" s="12"/>
      <c r="HLC58" s="12"/>
      <c r="HLD58" s="12"/>
      <c r="HLE58" s="12"/>
      <c r="HLF58" s="12"/>
      <c r="HLG58" s="12"/>
      <c r="HLH58" s="12"/>
      <c r="HLI58" s="12"/>
      <c r="HLJ58" s="12"/>
      <c r="HLK58" s="12"/>
      <c r="HLL58" s="12"/>
      <c r="HLM58" s="12"/>
      <c r="HLN58" s="12"/>
      <c r="HLO58" s="12"/>
      <c r="HLP58" s="12"/>
      <c r="HLQ58" s="12"/>
      <c r="HLR58" s="12"/>
      <c r="HLS58" s="12"/>
      <c r="HLT58" s="12"/>
      <c r="HLU58" s="12"/>
      <c r="HLV58" s="12"/>
      <c r="HLW58" s="12"/>
      <c r="HLX58" s="12"/>
      <c r="HLY58" s="12"/>
      <c r="HLZ58" s="12"/>
      <c r="HMA58" s="12"/>
      <c r="HMB58" s="12"/>
      <c r="HMC58" s="12"/>
      <c r="HMD58" s="12"/>
      <c r="HME58" s="12"/>
      <c r="HMF58" s="12"/>
      <c r="HMG58" s="12"/>
      <c r="HMH58" s="12"/>
      <c r="HMI58" s="12"/>
      <c r="HMJ58" s="12"/>
      <c r="HMK58" s="12"/>
      <c r="HML58" s="12"/>
      <c r="HMM58" s="12"/>
      <c r="HMN58" s="12"/>
      <c r="HMO58" s="12"/>
      <c r="HMP58" s="12"/>
      <c r="HMQ58" s="12"/>
      <c r="HMR58" s="12"/>
      <c r="HMS58" s="12"/>
      <c r="HMT58" s="12"/>
      <c r="HMU58" s="12"/>
      <c r="HMV58" s="12"/>
      <c r="HMW58" s="12"/>
      <c r="HMX58" s="12"/>
      <c r="HMY58" s="12"/>
      <c r="HMZ58" s="12"/>
      <c r="HNA58" s="12"/>
      <c r="HNB58" s="12"/>
      <c r="HNC58" s="12"/>
      <c r="HND58" s="12"/>
      <c r="HNE58" s="12"/>
      <c r="HNF58" s="12"/>
      <c r="HNG58" s="12"/>
      <c r="HNH58" s="12"/>
      <c r="HNI58" s="12"/>
      <c r="HNJ58" s="12"/>
      <c r="HNK58" s="12"/>
      <c r="HNL58" s="12"/>
      <c r="HNM58" s="12"/>
      <c r="HNN58" s="12"/>
      <c r="HNO58" s="12"/>
      <c r="HNP58" s="12"/>
      <c r="HNQ58" s="12"/>
      <c r="HNR58" s="12"/>
      <c r="HNS58" s="12"/>
      <c r="HNT58" s="12"/>
      <c r="HNU58" s="12"/>
      <c r="HNV58" s="12"/>
      <c r="HNW58" s="12"/>
      <c r="HNX58" s="12"/>
      <c r="HNY58" s="12"/>
      <c r="HNZ58" s="12"/>
      <c r="HOA58" s="12"/>
      <c r="HOB58" s="12"/>
      <c r="HOC58" s="12"/>
      <c r="HOD58" s="12"/>
      <c r="HOE58" s="12"/>
      <c r="HOF58" s="12"/>
      <c r="HOG58" s="12"/>
      <c r="HOH58" s="12"/>
      <c r="HOI58" s="12"/>
      <c r="HOJ58" s="12"/>
      <c r="HOK58" s="12"/>
      <c r="HOL58" s="12"/>
      <c r="HOM58" s="12"/>
      <c r="HON58" s="12"/>
      <c r="HOO58" s="12"/>
      <c r="HOP58" s="12"/>
      <c r="HOQ58" s="12"/>
      <c r="HOR58" s="12"/>
      <c r="HOS58" s="12"/>
      <c r="HOT58" s="12"/>
      <c r="HOU58" s="12"/>
      <c r="HOV58" s="12"/>
      <c r="HOW58" s="12"/>
      <c r="HOX58" s="12"/>
      <c r="HOY58" s="12"/>
      <c r="HOZ58" s="12"/>
      <c r="HPA58" s="12"/>
      <c r="HPB58" s="12"/>
      <c r="HPC58" s="12"/>
      <c r="HPD58" s="12"/>
      <c r="HPE58" s="12"/>
      <c r="HPF58" s="12"/>
      <c r="HPG58" s="12"/>
      <c r="HPH58" s="12"/>
      <c r="HPI58" s="12"/>
      <c r="HPJ58" s="12"/>
      <c r="HPK58" s="12"/>
      <c r="HPL58" s="12"/>
      <c r="HPM58" s="12"/>
      <c r="HPN58" s="12"/>
      <c r="HPO58" s="12"/>
      <c r="HPP58" s="12"/>
      <c r="HPQ58" s="12"/>
      <c r="HPR58" s="12"/>
      <c r="HPS58" s="12"/>
      <c r="HPT58" s="12"/>
      <c r="HPU58" s="12"/>
      <c r="HPV58" s="12"/>
      <c r="HPW58" s="12"/>
      <c r="HPX58" s="12"/>
      <c r="HPY58" s="12"/>
      <c r="HPZ58" s="12"/>
      <c r="HQA58" s="12"/>
      <c r="HQB58" s="12"/>
      <c r="HQC58" s="12"/>
      <c r="HQD58" s="12"/>
      <c r="HQE58" s="12"/>
      <c r="HQF58" s="12"/>
      <c r="HQG58" s="12"/>
      <c r="HQH58" s="12"/>
      <c r="HQI58" s="12"/>
      <c r="HQJ58" s="12"/>
      <c r="HQK58" s="12"/>
      <c r="HQL58" s="12"/>
      <c r="HQM58" s="12"/>
      <c r="HQN58" s="12"/>
      <c r="HQO58" s="12"/>
      <c r="HQP58" s="12"/>
      <c r="HQQ58" s="12"/>
      <c r="HQR58" s="12"/>
      <c r="HQS58" s="12"/>
      <c r="HQT58" s="12"/>
      <c r="HQU58" s="12"/>
      <c r="HQV58" s="12"/>
      <c r="HQW58" s="12"/>
      <c r="HQX58" s="12"/>
      <c r="HQY58" s="12"/>
      <c r="HQZ58" s="12"/>
      <c r="HRA58" s="12"/>
      <c r="HRB58" s="12"/>
      <c r="HRC58" s="12"/>
      <c r="HRD58" s="12"/>
      <c r="HRE58" s="12"/>
      <c r="HRF58" s="12"/>
      <c r="HRG58" s="12"/>
      <c r="HRH58" s="12"/>
      <c r="HRI58" s="12"/>
      <c r="HRJ58" s="12"/>
      <c r="HRK58" s="12"/>
      <c r="HRL58" s="12"/>
      <c r="HRM58" s="12"/>
      <c r="HRN58" s="12"/>
      <c r="HRO58" s="12"/>
      <c r="HRP58" s="12"/>
      <c r="HRQ58" s="12"/>
      <c r="HRR58" s="12"/>
      <c r="HRS58" s="12"/>
      <c r="HRT58" s="12"/>
      <c r="HRU58" s="12"/>
      <c r="HRV58" s="12"/>
      <c r="HRW58" s="12"/>
      <c r="HRX58" s="12"/>
      <c r="HRY58" s="12"/>
      <c r="HRZ58" s="12"/>
      <c r="HSA58" s="12"/>
      <c r="HSB58" s="12"/>
      <c r="HSC58" s="12"/>
      <c r="HSD58" s="12"/>
      <c r="HSE58" s="12"/>
      <c r="HSF58" s="12"/>
      <c r="HSG58" s="12"/>
      <c r="HSH58" s="12"/>
      <c r="HSI58" s="12"/>
      <c r="HSJ58" s="12"/>
      <c r="HSK58" s="12"/>
      <c r="HSL58" s="12"/>
      <c r="HSM58" s="12"/>
      <c r="HSN58" s="12"/>
      <c r="HSO58" s="12"/>
      <c r="HSP58" s="12"/>
      <c r="HSQ58" s="12"/>
      <c r="HSR58" s="12"/>
      <c r="HSS58" s="12"/>
      <c r="HST58" s="12"/>
      <c r="HSU58" s="12"/>
      <c r="HSV58" s="12"/>
      <c r="HSW58" s="12"/>
      <c r="HSX58" s="12"/>
      <c r="HSY58" s="12"/>
      <c r="HSZ58" s="12"/>
      <c r="HTA58" s="12"/>
      <c r="HTB58" s="12"/>
      <c r="HTC58" s="12"/>
      <c r="HTD58" s="12"/>
      <c r="HTE58" s="12"/>
      <c r="HTF58" s="12"/>
      <c r="HTG58" s="12"/>
      <c r="HTH58" s="12"/>
      <c r="HTI58" s="12"/>
      <c r="HTJ58" s="12"/>
      <c r="HTK58" s="12"/>
      <c r="HTL58" s="12"/>
      <c r="HTM58" s="12"/>
      <c r="HTN58" s="12"/>
      <c r="HTO58" s="12"/>
      <c r="HTP58" s="12"/>
      <c r="HTQ58" s="12"/>
      <c r="HTR58" s="12"/>
      <c r="HTS58" s="12"/>
      <c r="HTT58" s="12"/>
      <c r="HTU58" s="12"/>
      <c r="HTV58" s="12"/>
      <c r="HTW58" s="12"/>
      <c r="HTX58" s="12"/>
      <c r="HTY58" s="12"/>
      <c r="HTZ58" s="12"/>
      <c r="HUA58" s="12"/>
      <c r="HUB58" s="12"/>
      <c r="HUC58" s="12"/>
      <c r="HUD58" s="12"/>
      <c r="HUE58" s="12"/>
      <c r="HUF58" s="12"/>
      <c r="HUG58" s="12"/>
      <c r="HUH58" s="12"/>
      <c r="HUI58" s="12"/>
      <c r="HUJ58" s="12"/>
      <c r="HUK58" s="12"/>
      <c r="HUL58" s="12"/>
      <c r="HUM58" s="12"/>
      <c r="HUN58" s="12"/>
      <c r="HUO58" s="12"/>
      <c r="HUP58" s="12"/>
      <c r="HUQ58" s="12"/>
      <c r="HUR58" s="12"/>
      <c r="HUS58" s="12"/>
      <c r="HUT58" s="12"/>
      <c r="HUU58" s="12"/>
      <c r="HUV58" s="12"/>
      <c r="HUW58" s="12"/>
      <c r="HUX58" s="12"/>
      <c r="HUY58" s="12"/>
      <c r="HUZ58" s="12"/>
      <c r="HVA58" s="12"/>
      <c r="HVB58" s="12"/>
      <c r="HVC58" s="12"/>
      <c r="HVD58" s="12"/>
      <c r="HVE58" s="12"/>
      <c r="HVF58" s="12"/>
      <c r="HVG58" s="12"/>
      <c r="HVH58" s="12"/>
      <c r="HVI58" s="12"/>
      <c r="HVJ58" s="12"/>
      <c r="HVK58" s="12"/>
      <c r="HVL58" s="12"/>
      <c r="HVM58" s="12"/>
      <c r="HVN58" s="12"/>
      <c r="HVO58" s="12"/>
      <c r="HVP58" s="12"/>
      <c r="HVQ58" s="12"/>
      <c r="HVR58" s="12"/>
      <c r="HVS58" s="12"/>
      <c r="HVT58" s="12"/>
      <c r="HVU58" s="12"/>
      <c r="HVV58" s="12"/>
      <c r="HVW58" s="12"/>
      <c r="HVX58" s="12"/>
      <c r="HVY58" s="12"/>
      <c r="HVZ58" s="12"/>
      <c r="HWA58" s="12"/>
      <c r="HWB58" s="12"/>
      <c r="HWC58" s="12"/>
      <c r="HWD58" s="12"/>
      <c r="HWE58" s="12"/>
      <c r="HWF58" s="12"/>
      <c r="HWG58" s="12"/>
      <c r="HWH58" s="12"/>
      <c r="HWI58" s="12"/>
      <c r="HWJ58" s="12"/>
      <c r="HWK58" s="12"/>
      <c r="HWL58" s="12"/>
      <c r="HWM58" s="12"/>
      <c r="HWN58" s="12"/>
      <c r="HWO58" s="12"/>
      <c r="HWP58" s="12"/>
      <c r="HWQ58" s="12"/>
      <c r="HWR58" s="12"/>
      <c r="HWS58" s="12"/>
      <c r="HWT58" s="12"/>
      <c r="HWU58" s="12"/>
      <c r="HWV58" s="12"/>
      <c r="HWW58" s="12"/>
      <c r="HWX58" s="12"/>
      <c r="HWY58" s="12"/>
      <c r="HWZ58" s="12"/>
      <c r="HXA58" s="12"/>
      <c r="HXB58" s="12"/>
      <c r="HXC58" s="12"/>
      <c r="HXD58" s="12"/>
      <c r="HXE58" s="12"/>
      <c r="HXF58" s="12"/>
      <c r="HXG58" s="12"/>
      <c r="HXH58" s="12"/>
      <c r="HXI58" s="12"/>
      <c r="HXJ58" s="12"/>
      <c r="HXK58" s="12"/>
      <c r="HXL58" s="12"/>
      <c r="HXM58" s="12"/>
      <c r="HXN58" s="12"/>
      <c r="HXO58" s="12"/>
      <c r="HXP58" s="12"/>
      <c r="HXQ58" s="12"/>
      <c r="HXR58" s="12"/>
      <c r="HXS58" s="12"/>
      <c r="HXT58" s="12"/>
      <c r="HXU58" s="12"/>
      <c r="HXV58" s="12"/>
      <c r="HXW58" s="12"/>
      <c r="HXX58" s="12"/>
      <c r="HXY58" s="12"/>
      <c r="HXZ58" s="12"/>
      <c r="HYA58" s="12"/>
      <c r="HYB58" s="12"/>
      <c r="HYC58" s="12"/>
      <c r="HYD58" s="12"/>
      <c r="HYE58" s="12"/>
      <c r="HYF58" s="12"/>
      <c r="HYG58" s="12"/>
      <c r="HYH58" s="12"/>
      <c r="HYI58" s="12"/>
      <c r="HYJ58" s="12"/>
      <c r="HYK58" s="12"/>
      <c r="HYL58" s="12"/>
      <c r="HYM58" s="12"/>
      <c r="HYN58" s="12"/>
      <c r="HYO58" s="12"/>
      <c r="HYP58" s="12"/>
      <c r="HYQ58" s="12"/>
      <c r="HYR58" s="12"/>
      <c r="HYS58" s="12"/>
      <c r="HYT58" s="12"/>
      <c r="HYU58" s="12"/>
      <c r="HYV58" s="12"/>
      <c r="HYW58" s="12"/>
      <c r="HYX58" s="12"/>
      <c r="HYY58" s="12"/>
      <c r="HYZ58" s="12"/>
      <c r="HZA58" s="12"/>
      <c r="HZB58" s="12"/>
      <c r="HZC58" s="12"/>
      <c r="HZD58" s="12"/>
      <c r="HZE58" s="12"/>
      <c r="HZF58" s="12"/>
      <c r="HZG58" s="12"/>
      <c r="HZH58" s="12"/>
      <c r="HZI58" s="12"/>
      <c r="HZJ58" s="12"/>
      <c r="HZK58" s="12"/>
      <c r="HZL58" s="12"/>
      <c r="HZM58" s="12"/>
      <c r="HZN58" s="12"/>
      <c r="HZO58" s="12"/>
      <c r="HZP58" s="12"/>
      <c r="HZQ58" s="12"/>
      <c r="HZR58" s="12"/>
      <c r="HZS58" s="12"/>
      <c r="HZT58" s="12"/>
      <c r="HZU58" s="12"/>
      <c r="HZV58" s="12"/>
      <c r="HZW58" s="12"/>
      <c r="HZX58" s="12"/>
      <c r="HZY58" s="12"/>
      <c r="HZZ58" s="12"/>
      <c r="IAA58" s="12"/>
      <c r="IAB58" s="12"/>
      <c r="IAC58" s="12"/>
      <c r="IAD58" s="12"/>
      <c r="IAE58" s="12"/>
      <c r="IAF58" s="12"/>
      <c r="IAG58" s="12"/>
      <c r="IAH58" s="12"/>
      <c r="IAI58" s="12"/>
      <c r="IAJ58" s="12"/>
      <c r="IAK58" s="12"/>
      <c r="IAL58" s="12"/>
      <c r="IAM58" s="12"/>
      <c r="IAN58" s="12"/>
      <c r="IAO58" s="12"/>
      <c r="IAP58" s="12"/>
      <c r="IAQ58" s="12"/>
      <c r="IAR58" s="12"/>
      <c r="IAS58" s="12"/>
      <c r="IAT58" s="12"/>
      <c r="IAU58" s="12"/>
      <c r="IAV58" s="12"/>
      <c r="IAW58" s="12"/>
      <c r="IAX58" s="12"/>
      <c r="IAY58" s="12"/>
      <c r="IAZ58" s="12"/>
      <c r="IBA58" s="12"/>
      <c r="IBB58" s="12"/>
      <c r="IBC58" s="12"/>
      <c r="IBD58" s="12"/>
      <c r="IBE58" s="12"/>
      <c r="IBF58" s="12"/>
      <c r="IBG58" s="12"/>
      <c r="IBH58" s="12"/>
      <c r="IBI58" s="12"/>
      <c r="IBJ58" s="12"/>
      <c r="IBK58" s="12"/>
      <c r="IBL58" s="12"/>
      <c r="IBM58" s="12"/>
      <c r="IBN58" s="12"/>
      <c r="IBO58" s="12"/>
      <c r="IBP58" s="12"/>
      <c r="IBQ58" s="12"/>
      <c r="IBR58" s="12"/>
      <c r="IBS58" s="12"/>
      <c r="IBT58" s="12"/>
      <c r="IBU58" s="12"/>
      <c r="IBV58" s="12"/>
      <c r="IBW58" s="12"/>
      <c r="IBX58" s="12"/>
      <c r="IBY58" s="12"/>
      <c r="IBZ58" s="12"/>
      <c r="ICA58" s="12"/>
      <c r="ICB58" s="12"/>
      <c r="ICC58" s="12"/>
      <c r="ICD58" s="12"/>
      <c r="ICE58" s="12"/>
      <c r="ICF58" s="12"/>
      <c r="ICG58" s="12"/>
      <c r="ICH58" s="12"/>
      <c r="ICI58" s="12"/>
      <c r="ICJ58" s="12"/>
      <c r="ICK58" s="12"/>
      <c r="ICL58" s="12"/>
      <c r="ICM58" s="12"/>
      <c r="ICN58" s="12"/>
      <c r="ICO58" s="12"/>
      <c r="ICP58" s="12"/>
      <c r="ICQ58" s="12"/>
      <c r="ICR58" s="12"/>
      <c r="ICS58" s="12"/>
      <c r="ICT58" s="12"/>
      <c r="ICU58" s="12"/>
      <c r="ICV58" s="12"/>
      <c r="ICW58" s="12"/>
      <c r="ICX58" s="12"/>
      <c r="ICY58" s="12"/>
      <c r="ICZ58" s="12"/>
      <c r="IDA58" s="12"/>
      <c r="IDB58" s="12"/>
      <c r="IDC58" s="12"/>
      <c r="IDD58" s="12"/>
      <c r="IDE58" s="12"/>
      <c r="IDF58" s="12"/>
      <c r="IDG58" s="12"/>
      <c r="IDH58" s="12"/>
      <c r="IDI58" s="12"/>
      <c r="IDJ58" s="12"/>
      <c r="IDK58" s="12"/>
      <c r="IDL58" s="12"/>
      <c r="IDM58" s="12"/>
      <c r="IDN58" s="12"/>
      <c r="IDO58" s="12"/>
      <c r="IDP58" s="12"/>
      <c r="IDQ58" s="12"/>
      <c r="IDR58" s="12"/>
      <c r="IDS58" s="12"/>
      <c r="IDT58" s="12"/>
      <c r="IDU58" s="12"/>
      <c r="IDV58" s="12"/>
      <c r="IDW58" s="12"/>
      <c r="IDX58" s="12"/>
      <c r="IDY58" s="12"/>
      <c r="IDZ58" s="12"/>
      <c r="IEA58" s="12"/>
      <c r="IEB58" s="12"/>
      <c r="IEC58" s="12"/>
      <c r="IED58" s="12"/>
      <c r="IEE58" s="12"/>
      <c r="IEF58" s="12"/>
      <c r="IEG58" s="12"/>
      <c r="IEH58" s="12"/>
      <c r="IEI58" s="12"/>
      <c r="IEJ58" s="12"/>
      <c r="IEK58" s="12"/>
      <c r="IEL58" s="12"/>
      <c r="IEM58" s="12"/>
      <c r="IEN58" s="12"/>
      <c r="IEO58" s="12"/>
      <c r="IEP58" s="12"/>
      <c r="IEQ58" s="12"/>
      <c r="IER58" s="12"/>
      <c r="IES58" s="12"/>
      <c r="IET58" s="12"/>
      <c r="IEU58" s="12"/>
      <c r="IEV58" s="12"/>
      <c r="IEW58" s="12"/>
      <c r="IEX58" s="12"/>
      <c r="IEY58" s="12"/>
      <c r="IEZ58" s="12"/>
      <c r="IFA58" s="12"/>
      <c r="IFB58" s="12"/>
      <c r="IFC58" s="12"/>
      <c r="IFD58" s="12"/>
      <c r="IFE58" s="12"/>
      <c r="IFF58" s="12"/>
      <c r="IFG58" s="12"/>
      <c r="IFH58" s="12"/>
      <c r="IFI58" s="12"/>
      <c r="IFJ58" s="12"/>
      <c r="IFK58" s="12"/>
      <c r="IFL58" s="12"/>
      <c r="IFM58" s="12"/>
      <c r="IFN58" s="12"/>
      <c r="IFO58" s="12"/>
      <c r="IFP58" s="12"/>
      <c r="IFQ58" s="12"/>
      <c r="IFR58" s="12"/>
      <c r="IFS58" s="12"/>
      <c r="IFT58" s="12"/>
      <c r="IFU58" s="12"/>
      <c r="IFV58" s="12"/>
      <c r="IFW58" s="12"/>
      <c r="IFX58" s="12"/>
      <c r="IFY58" s="12"/>
      <c r="IFZ58" s="12"/>
      <c r="IGA58" s="12"/>
      <c r="IGB58" s="12"/>
      <c r="IGC58" s="12"/>
      <c r="IGD58" s="12"/>
      <c r="IGE58" s="12"/>
      <c r="IGF58" s="12"/>
      <c r="IGG58" s="12"/>
      <c r="IGH58" s="12"/>
      <c r="IGI58" s="12"/>
      <c r="IGJ58" s="12"/>
      <c r="IGK58" s="12"/>
      <c r="IGL58" s="12"/>
      <c r="IGM58" s="12"/>
      <c r="IGN58" s="12"/>
      <c r="IGO58" s="12"/>
      <c r="IGP58" s="12"/>
      <c r="IGQ58" s="12"/>
      <c r="IGR58" s="12"/>
      <c r="IGS58" s="12"/>
      <c r="IGT58" s="12"/>
      <c r="IGU58" s="12"/>
      <c r="IGV58" s="12"/>
      <c r="IGW58" s="12"/>
      <c r="IGX58" s="12"/>
      <c r="IGY58" s="12"/>
      <c r="IGZ58" s="12"/>
      <c r="IHA58" s="12"/>
      <c r="IHB58" s="12"/>
      <c r="IHC58" s="12"/>
      <c r="IHD58" s="12"/>
      <c r="IHE58" s="12"/>
      <c r="IHF58" s="12"/>
      <c r="IHG58" s="12"/>
      <c r="IHH58" s="12"/>
      <c r="IHI58" s="12"/>
      <c r="IHJ58" s="12"/>
      <c r="IHK58" s="12"/>
      <c r="IHL58" s="12"/>
      <c r="IHM58" s="12"/>
      <c r="IHN58" s="12"/>
      <c r="IHO58" s="12"/>
      <c r="IHP58" s="12"/>
      <c r="IHQ58" s="12"/>
      <c r="IHR58" s="12"/>
      <c r="IHS58" s="12"/>
      <c r="IHT58" s="12"/>
      <c r="IHU58" s="12"/>
      <c r="IHV58" s="12"/>
      <c r="IHW58" s="12"/>
      <c r="IHX58" s="12"/>
      <c r="IHY58" s="12"/>
      <c r="IHZ58" s="12"/>
      <c r="IIA58" s="12"/>
      <c r="IIB58" s="12"/>
      <c r="IIC58" s="12"/>
      <c r="IID58" s="12"/>
      <c r="IIE58" s="12"/>
      <c r="IIF58" s="12"/>
      <c r="IIG58" s="12"/>
      <c r="IIH58" s="12"/>
      <c r="III58" s="12"/>
      <c r="IIJ58" s="12"/>
      <c r="IIK58" s="12"/>
      <c r="IIL58" s="12"/>
      <c r="IIM58" s="12"/>
      <c r="IIN58" s="12"/>
      <c r="IIO58" s="12"/>
      <c r="IIP58" s="12"/>
      <c r="IIQ58" s="12"/>
      <c r="IIR58" s="12"/>
      <c r="IIS58" s="12"/>
      <c r="IIT58" s="12"/>
      <c r="IIU58" s="12"/>
      <c r="IIV58" s="12"/>
      <c r="IIW58" s="12"/>
      <c r="IIX58" s="12"/>
      <c r="IIY58" s="12"/>
      <c r="IIZ58" s="12"/>
      <c r="IJA58" s="12"/>
      <c r="IJB58" s="12"/>
      <c r="IJC58" s="12"/>
      <c r="IJD58" s="12"/>
      <c r="IJE58" s="12"/>
      <c r="IJF58" s="12"/>
      <c r="IJG58" s="12"/>
      <c r="IJH58" s="12"/>
      <c r="IJI58" s="12"/>
      <c r="IJJ58" s="12"/>
      <c r="IJK58" s="12"/>
      <c r="IJL58" s="12"/>
      <c r="IJM58" s="12"/>
      <c r="IJN58" s="12"/>
      <c r="IJO58" s="12"/>
      <c r="IJP58" s="12"/>
      <c r="IJQ58" s="12"/>
      <c r="IJR58" s="12"/>
      <c r="IJS58" s="12"/>
      <c r="IJT58" s="12"/>
      <c r="IJU58" s="12"/>
      <c r="IJV58" s="12"/>
      <c r="IJW58" s="12"/>
      <c r="IJX58" s="12"/>
      <c r="IJY58" s="12"/>
      <c r="IJZ58" s="12"/>
      <c r="IKA58" s="12"/>
      <c r="IKB58" s="12"/>
      <c r="IKC58" s="12"/>
      <c r="IKD58" s="12"/>
      <c r="IKE58" s="12"/>
      <c r="IKF58" s="12"/>
      <c r="IKG58" s="12"/>
      <c r="IKH58" s="12"/>
      <c r="IKI58" s="12"/>
      <c r="IKJ58" s="12"/>
      <c r="IKK58" s="12"/>
      <c r="IKL58" s="12"/>
      <c r="IKM58" s="12"/>
      <c r="IKN58" s="12"/>
      <c r="IKO58" s="12"/>
      <c r="IKP58" s="12"/>
      <c r="IKQ58" s="12"/>
      <c r="IKR58" s="12"/>
      <c r="IKS58" s="12"/>
      <c r="IKT58" s="12"/>
      <c r="IKU58" s="12"/>
      <c r="IKV58" s="12"/>
      <c r="IKW58" s="12"/>
      <c r="IKX58" s="12"/>
      <c r="IKY58" s="12"/>
      <c r="IKZ58" s="12"/>
      <c r="ILA58" s="12"/>
      <c r="ILB58" s="12"/>
      <c r="ILC58" s="12"/>
      <c r="ILD58" s="12"/>
      <c r="ILE58" s="12"/>
      <c r="ILF58" s="12"/>
      <c r="ILG58" s="12"/>
      <c r="ILH58" s="12"/>
      <c r="ILI58" s="12"/>
      <c r="ILJ58" s="12"/>
      <c r="ILK58" s="12"/>
      <c r="ILL58" s="12"/>
      <c r="ILM58" s="12"/>
      <c r="ILN58" s="12"/>
      <c r="ILO58" s="12"/>
      <c r="ILP58" s="12"/>
      <c r="ILQ58" s="12"/>
      <c r="ILR58" s="12"/>
      <c r="ILS58" s="12"/>
      <c r="ILT58" s="12"/>
      <c r="ILU58" s="12"/>
      <c r="ILV58" s="12"/>
      <c r="ILW58" s="12"/>
      <c r="ILX58" s="12"/>
      <c r="ILY58" s="12"/>
      <c r="ILZ58" s="12"/>
      <c r="IMA58" s="12"/>
      <c r="IMB58" s="12"/>
      <c r="IMC58" s="12"/>
      <c r="IMD58" s="12"/>
      <c r="IME58" s="12"/>
      <c r="IMF58" s="12"/>
      <c r="IMG58" s="12"/>
      <c r="IMH58" s="12"/>
      <c r="IMI58" s="12"/>
      <c r="IMJ58" s="12"/>
      <c r="IMK58" s="12"/>
      <c r="IML58" s="12"/>
      <c r="IMM58" s="12"/>
      <c r="IMN58" s="12"/>
      <c r="IMO58" s="12"/>
      <c r="IMP58" s="12"/>
      <c r="IMQ58" s="12"/>
      <c r="IMR58" s="12"/>
      <c r="IMS58" s="12"/>
      <c r="IMT58" s="12"/>
      <c r="IMU58" s="12"/>
      <c r="IMV58" s="12"/>
      <c r="IMW58" s="12"/>
      <c r="IMX58" s="12"/>
      <c r="IMY58" s="12"/>
      <c r="IMZ58" s="12"/>
      <c r="INA58" s="12"/>
      <c r="INB58" s="12"/>
      <c r="INC58" s="12"/>
      <c r="IND58" s="12"/>
      <c r="INE58" s="12"/>
      <c r="INF58" s="12"/>
      <c r="ING58" s="12"/>
      <c r="INH58" s="12"/>
      <c r="INI58" s="12"/>
      <c r="INJ58" s="12"/>
      <c r="INK58" s="12"/>
      <c r="INL58" s="12"/>
      <c r="INM58" s="12"/>
      <c r="INN58" s="12"/>
      <c r="INO58" s="12"/>
      <c r="INP58" s="12"/>
      <c r="INQ58" s="12"/>
      <c r="INR58" s="12"/>
      <c r="INS58" s="12"/>
      <c r="INT58" s="12"/>
      <c r="INU58" s="12"/>
      <c r="INV58" s="12"/>
      <c r="INW58" s="12"/>
      <c r="INX58" s="12"/>
      <c r="INY58" s="12"/>
      <c r="INZ58" s="12"/>
      <c r="IOA58" s="12"/>
      <c r="IOB58" s="12"/>
      <c r="IOC58" s="12"/>
      <c r="IOD58" s="12"/>
      <c r="IOE58" s="12"/>
      <c r="IOF58" s="12"/>
      <c r="IOG58" s="12"/>
      <c r="IOH58" s="12"/>
      <c r="IOI58" s="12"/>
      <c r="IOJ58" s="12"/>
      <c r="IOK58" s="12"/>
      <c r="IOL58" s="12"/>
      <c r="IOM58" s="12"/>
      <c r="ION58" s="12"/>
      <c r="IOO58" s="12"/>
      <c r="IOP58" s="12"/>
      <c r="IOQ58" s="12"/>
      <c r="IOR58" s="12"/>
      <c r="IOS58" s="12"/>
      <c r="IOT58" s="12"/>
      <c r="IOU58" s="12"/>
      <c r="IOV58" s="12"/>
      <c r="IOW58" s="12"/>
      <c r="IOX58" s="12"/>
      <c r="IOY58" s="12"/>
      <c r="IOZ58" s="12"/>
      <c r="IPA58" s="12"/>
      <c r="IPB58" s="12"/>
      <c r="IPC58" s="12"/>
      <c r="IPD58" s="12"/>
      <c r="IPE58" s="12"/>
      <c r="IPF58" s="12"/>
      <c r="IPG58" s="12"/>
      <c r="IPH58" s="12"/>
      <c r="IPI58" s="12"/>
      <c r="IPJ58" s="12"/>
      <c r="IPK58" s="12"/>
      <c r="IPL58" s="12"/>
      <c r="IPM58" s="12"/>
      <c r="IPN58" s="12"/>
      <c r="IPO58" s="12"/>
      <c r="IPP58" s="12"/>
      <c r="IPQ58" s="12"/>
      <c r="IPR58" s="12"/>
      <c r="IPS58" s="12"/>
      <c r="IPT58" s="12"/>
      <c r="IPU58" s="12"/>
      <c r="IPV58" s="12"/>
      <c r="IPW58" s="12"/>
      <c r="IPX58" s="12"/>
      <c r="IPY58" s="12"/>
      <c r="IPZ58" s="12"/>
      <c r="IQA58" s="12"/>
      <c r="IQB58" s="12"/>
      <c r="IQC58" s="12"/>
      <c r="IQD58" s="12"/>
      <c r="IQE58" s="12"/>
      <c r="IQF58" s="12"/>
      <c r="IQG58" s="12"/>
      <c r="IQH58" s="12"/>
      <c r="IQI58" s="12"/>
      <c r="IQJ58" s="12"/>
      <c r="IQK58" s="12"/>
      <c r="IQL58" s="12"/>
      <c r="IQM58" s="12"/>
      <c r="IQN58" s="12"/>
      <c r="IQO58" s="12"/>
      <c r="IQP58" s="12"/>
      <c r="IQQ58" s="12"/>
      <c r="IQR58" s="12"/>
      <c r="IQS58" s="12"/>
      <c r="IQT58" s="12"/>
      <c r="IQU58" s="12"/>
      <c r="IQV58" s="12"/>
      <c r="IQW58" s="12"/>
      <c r="IQX58" s="12"/>
      <c r="IQY58" s="12"/>
      <c r="IQZ58" s="12"/>
      <c r="IRA58" s="12"/>
      <c r="IRB58" s="12"/>
      <c r="IRC58" s="12"/>
      <c r="IRD58" s="12"/>
      <c r="IRE58" s="12"/>
      <c r="IRF58" s="12"/>
      <c r="IRG58" s="12"/>
      <c r="IRH58" s="12"/>
      <c r="IRI58" s="12"/>
      <c r="IRJ58" s="12"/>
      <c r="IRK58" s="12"/>
      <c r="IRL58" s="12"/>
      <c r="IRM58" s="12"/>
      <c r="IRN58" s="12"/>
      <c r="IRO58" s="12"/>
      <c r="IRP58" s="12"/>
      <c r="IRQ58" s="12"/>
      <c r="IRR58" s="12"/>
      <c r="IRS58" s="12"/>
      <c r="IRT58" s="12"/>
      <c r="IRU58" s="12"/>
      <c r="IRV58" s="12"/>
      <c r="IRW58" s="12"/>
      <c r="IRX58" s="12"/>
      <c r="IRY58" s="12"/>
      <c r="IRZ58" s="12"/>
      <c r="ISA58" s="12"/>
      <c r="ISB58" s="12"/>
      <c r="ISC58" s="12"/>
      <c r="ISD58" s="12"/>
      <c r="ISE58" s="12"/>
      <c r="ISF58" s="12"/>
      <c r="ISG58" s="12"/>
      <c r="ISH58" s="12"/>
      <c r="ISI58" s="12"/>
      <c r="ISJ58" s="12"/>
      <c r="ISK58" s="12"/>
      <c r="ISL58" s="12"/>
      <c r="ISM58" s="12"/>
      <c r="ISN58" s="12"/>
      <c r="ISO58" s="12"/>
      <c r="ISP58" s="12"/>
      <c r="ISQ58" s="12"/>
      <c r="ISR58" s="12"/>
      <c r="ISS58" s="12"/>
      <c r="IST58" s="12"/>
      <c r="ISU58" s="12"/>
      <c r="ISV58" s="12"/>
      <c r="ISW58" s="12"/>
      <c r="ISX58" s="12"/>
      <c r="ISY58" s="12"/>
      <c r="ISZ58" s="12"/>
      <c r="ITA58" s="12"/>
      <c r="ITB58" s="12"/>
      <c r="ITC58" s="12"/>
      <c r="ITD58" s="12"/>
      <c r="ITE58" s="12"/>
      <c r="ITF58" s="12"/>
      <c r="ITG58" s="12"/>
      <c r="ITH58" s="12"/>
      <c r="ITI58" s="12"/>
      <c r="ITJ58" s="12"/>
      <c r="ITK58" s="12"/>
      <c r="ITL58" s="12"/>
      <c r="ITM58" s="12"/>
      <c r="ITN58" s="12"/>
      <c r="ITO58" s="12"/>
      <c r="ITP58" s="12"/>
      <c r="ITQ58" s="12"/>
      <c r="ITR58" s="12"/>
      <c r="ITS58" s="12"/>
      <c r="ITT58" s="12"/>
      <c r="ITU58" s="12"/>
      <c r="ITV58" s="12"/>
      <c r="ITW58" s="12"/>
      <c r="ITX58" s="12"/>
      <c r="ITY58" s="12"/>
      <c r="ITZ58" s="12"/>
      <c r="IUA58" s="12"/>
      <c r="IUB58" s="12"/>
      <c r="IUC58" s="12"/>
      <c r="IUD58" s="12"/>
      <c r="IUE58" s="12"/>
      <c r="IUF58" s="12"/>
      <c r="IUG58" s="12"/>
      <c r="IUH58" s="12"/>
      <c r="IUI58" s="12"/>
      <c r="IUJ58" s="12"/>
      <c r="IUK58" s="12"/>
      <c r="IUL58" s="12"/>
      <c r="IUM58" s="12"/>
      <c r="IUN58" s="12"/>
      <c r="IUO58" s="12"/>
      <c r="IUP58" s="12"/>
      <c r="IUQ58" s="12"/>
      <c r="IUR58" s="12"/>
      <c r="IUS58" s="12"/>
      <c r="IUT58" s="12"/>
      <c r="IUU58" s="12"/>
      <c r="IUV58" s="12"/>
      <c r="IUW58" s="12"/>
      <c r="IUX58" s="12"/>
      <c r="IUY58" s="12"/>
      <c r="IUZ58" s="12"/>
      <c r="IVA58" s="12"/>
      <c r="IVB58" s="12"/>
      <c r="IVC58" s="12"/>
      <c r="IVD58" s="12"/>
      <c r="IVE58" s="12"/>
      <c r="IVF58" s="12"/>
      <c r="IVG58" s="12"/>
      <c r="IVH58" s="12"/>
      <c r="IVI58" s="12"/>
      <c r="IVJ58" s="12"/>
      <c r="IVK58" s="12"/>
      <c r="IVL58" s="12"/>
      <c r="IVM58" s="12"/>
      <c r="IVN58" s="12"/>
      <c r="IVO58" s="12"/>
      <c r="IVP58" s="12"/>
      <c r="IVQ58" s="12"/>
      <c r="IVR58" s="12"/>
      <c r="IVS58" s="12"/>
      <c r="IVT58" s="12"/>
      <c r="IVU58" s="12"/>
      <c r="IVV58" s="12"/>
      <c r="IVW58" s="12"/>
      <c r="IVX58" s="12"/>
      <c r="IVY58" s="12"/>
      <c r="IVZ58" s="12"/>
      <c r="IWA58" s="12"/>
      <c r="IWB58" s="12"/>
      <c r="IWC58" s="12"/>
      <c r="IWD58" s="12"/>
      <c r="IWE58" s="12"/>
      <c r="IWF58" s="12"/>
      <c r="IWG58" s="12"/>
      <c r="IWH58" s="12"/>
      <c r="IWI58" s="12"/>
      <c r="IWJ58" s="12"/>
      <c r="IWK58" s="12"/>
      <c r="IWL58" s="12"/>
      <c r="IWM58" s="12"/>
      <c r="IWN58" s="12"/>
      <c r="IWO58" s="12"/>
      <c r="IWP58" s="12"/>
      <c r="IWQ58" s="12"/>
      <c r="IWR58" s="12"/>
      <c r="IWS58" s="12"/>
      <c r="IWT58" s="12"/>
      <c r="IWU58" s="12"/>
      <c r="IWV58" s="12"/>
      <c r="IWW58" s="12"/>
      <c r="IWX58" s="12"/>
      <c r="IWY58" s="12"/>
      <c r="IWZ58" s="12"/>
      <c r="IXA58" s="12"/>
      <c r="IXB58" s="12"/>
      <c r="IXC58" s="12"/>
      <c r="IXD58" s="12"/>
      <c r="IXE58" s="12"/>
      <c r="IXF58" s="12"/>
      <c r="IXG58" s="12"/>
      <c r="IXH58" s="12"/>
      <c r="IXI58" s="12"/>
      <c r="IXJ58" s="12"/>
      <c r="IXK58" s="12"/>
      <c r="IXL58" s="12"/>
      <c r="IXM58" s="12"/>
      <c r="IXN58" s="12"/>
      <c r="IXO58" s="12"/>
      <c r="IXP58" s="12"/>
      <c r="IXQ58" s="12"/>
      <c r="IXR58" s="12"/>
      <c r="IXS58" s="12"/>
      <c r="IXT58" s="12"/>
      <c r="IXU58" s="12"/>
      <c r="IXV58" s="12"/>
      <c r="IXW58" s="12"/>
      <c r="IXX58" s="12"/>
      <c r="IXY58" s="12"/>
      <c r="IXZ58" s="12"/>
      <c r="IYA58" s="12"/>
      <c r="IYB58" s="12"/>
      <c r="IYC58" s="12"/>
      <c r="IYD58" s="12"/>
      <c r="IYE58" s="12"/>
      <c r="IYF58" s="12"/>
      <c r="IYG58" s="12"/>
      <c r="IYH58" s="12"/>
      <c r="IYI58" s="12"/>
      <c r="IYJ58" s="12"/>
      <c r="IYK58" s="12"/>
      <c r="IYL58" s="12"/>
      <c r="IYM58" s="12"/>
      <c r="IYN58" s="12"/>
      <c r="IYO58" s="12"/>
      <c r="IYP58" s="12"/>
      <c r="IYQ58" s="12"/>
      <c r="IYR58" s="12"/>
      <c r="IYS58" s="12"/>
      <c r="IYT58" s="12"/>
      <c r="IYU58" s="12"/>
      <c r="IYV58" s="12"/>
      <c r="IYW58" s="12"/>
      <c r="IYX58" s="12"/>
      <c r="IYY58" s="12"/>
      <c r="IYZ58" s="12"/>
      <c r="IZA58" s="12"/>
      <c r="IZB58" s="12"/>
      <c r="IZC58" s="12"/>
      <c r="IZD58" s="12"/>
      <c r="IZE58" s="12"/>
      <c r="IZF58" s="12"/>
      <c r="IZG58" s="12"/>
      <c r="IZH58" s="12"/>
      <c r="IZI58" s="12"/>
      <c r="IZJ58" s="12"/>
      <c r="IZK58" s="12"/>
      <c r="IZL58" s="12"/>
      <c r="IZM58" s="12"/>
      <c r="IZN58" s="12"/>
      <c r="IZO58" s="12"/>
      <c r="IZP58" s="12"/>
      <c r="IZQ58" s="12"/>
      <c r="IZR58" s="12"/>
      <c r="IZS58" s="12"/>
      <c r="IZT58" s="12"/>
      <c r="IZU58" s="12"/>
      <c r="IZV58" s="12"/>
      <c r="IZW58" s="12"/>
      <c r="IZX58" s="12"/>
      <c r="IZY58" s="12"/>
      <c r="IZZ58" s="12"/>
      <c r="JAA58" s="12"/>
      <c r="JAB58" s="12"/>
      <c r="JAC58" s="12"/>
      <c r="JAD58" s="12"/>
      <c r="JAE58" s="12"/>
      <c r="JAF58" s="12"/>
      <c r="JAG58" s="12"/>
      <c r="JAH58" s="12"/>
      <c r="JAI58" s="12"/>
      <c r="JAJ58" s="12"/>
      <c r="JAK58" s="12"/>
      <c r="JAL58" s="12"/>
      <c r="JAM58" s="12"/>
      <c r="JAN58" s="12"/>
      <c r="JAO58" s="12"/>
      <c r="JAP58" s="12"/>
      <c r="JAQ58" s="12"/>
      <c r="JAR58" s="12"/>
      <c r="JAS58" s="12"/>
      <c r="JAT58" s="12"/>
      <c r="JAU58" s="12"/>
      <c r="JAV58" s="12"/>
      <c r="JAW58" s="12"/>
      <c r="JAX58" s="12"/>
      <c r="JAY58" s="12"/>
      <c r="JAZ58" s="12"/>
      <c r="JBA58" s="12"/>
      <c r="JBB58" s="12"/>
      <c r="JBC58" s="12"/>
      <c r="JBD58" s="12"/>
      <c r="JBE58" s="12"/>
      <c r="JBF58" s="12"/>
      <c r="JBG58" s="12"/>
      <c r="JBH58" s="12"/>
      <c r="JBI58" s="12"/>
      <c r="JBJ58" s="12"/>
      <c r="JBK58" s="12"/>
      <c r="JBL58" s="12"/>
      <c r="JBM58" s="12"/>
      <c r="JBN58" s="12"/>
      <c r="JBO58" s="12"/>
      <c r="JBP58" s="12"/>
      <c r="JBQ58" s="12"/>
      <c r="JBR58" s="12"/>
      <c r="JBS58" s="12"/>
      <c r="JBT58" s="12"/>
      <c r="JBU58" s="12"/>
      <c r="JBV58" s="12"/>
      <c r="JBW58" s="12"/>
      <c r="JBX58" s="12"/>
      <c r="JBY58" s="12"/>
      <c r="JBZ58" s="12"/>
      <c r="JCA58" s="12"/>
      <c r="JCB58" s="12"/>
      <c r="JCC58" s="12"/>
      <c r="JCD58" s="12"/>
      <c r="JCE58" s="12"/>
      <c r="JCF58" s="12"/>
      <c r="JCG58" s="12"/>
      <c r="JCH58" s="12"/>
      <c r="JCI58" s="12"/>
      <c r="JCJ58" s="12"/>
      <c r="JCK58" s="12"/>
      <c r="JCL58" s="12"/>
      <c r="JCM58" s="12"/>
      <c r="JCN58" s="12"/>
      <c r="JCO58" s="12"/>
      <c r="JCP58" s="12"/>
      <c r="JCQ58" s="12"/>
      <c r="JCR58" s="12"/>
      <c r="JCS58" s="12"/>
      <c r="JCT58" s="12"/>
      <c r="JCU58" s="12"/>
      <c r="JCV58" s="12"/>
      <c r="JCW58" s="12"/>
      <c r="JCX58" s="12"/>
      <c r="JCY58" s="12"/>
      <c r="JCZ58" s="12"/>
      <c r="JDA58" s="12"/>
      <c r="JDB58" s="12"/>
      <c r="JDC58" s="12"/>
      <c r="JDD58" s="12"/>
      <c r="JDE58" s="12"/>
      <c r="JDF58" s="12"/>
      <c r="JDG58" s="12"/>
      <c r="JDH58" s="12"/>
      <c r="JDI58" s="12"/>
      <c r="JDJ58" s="12"/>
      <c r="JDK58" s="12"/>
      <c r="JDL58" s="12"/>
      <c r="JDM58" s="12"/>
      <c r="JDN58" s="12"/>
      <c r="JDO58" s="12"/>
      <c r="JDP58" s="12"/>
      <c r="JDQ58" s="12"/>
      <c r="JDR58" s="12"/>
      <c r="JDS58" s="12"/>
      <c r="JDT58" s="12"/>
      <c r="JDU58" s="12"/>
      <c r="JDV58" s="12"/>
      <c r="JDW58" s="12"/>
      <c r="JDX58" s="12"/>
      <c r="JDY58" s="12"/>
      <c r="JDZ58" s="12"/>
      <c r="JEA58" s="12"/>
      <c r="JEB58" s="12"/>
      <c r="JEC58" s="12"/>
      <c r="JED58" s="12"/>
      <c r="JEE58" s="12"/>
      <c r="JEF58" s="12"/>
      <c r="JEG58" s="12"/>
      <c r="JEH58" s="12"/>
      <c r="JEI58" s="12"/>
      <c r="JEJ58" s="12"/>
      <c r="JEK58" s="12"/>
      <c r="JEL58" s="12"/>
      <c r="JEM58" s="12"/>
      <c r="JEN58" s="12"/>
      <c r="JEO58" s="12"/>
      <c r="JEP58" s="12"/>
      <c r="JEQ58" s="12"/>
      <c r="JER58" s="12"/>
      <c r="JES58" s="12"/>
      <c r="JET58" s="12"/>
      <c r="JEU58" s="12"/>
      <c r="JEV58" s="12"/>
      <c r="JEW58" s="12"/>
      <c r="JEX58" s="12"/>
      <c r="JEY58" s="12"/>
      <c r="JEZ58" s="12"/>
      <c r="JFA58" s="12"/>
      <c r="JFB58" s="12"/>
      <c r="JFC58" s="12"/>
      <c r="JFD58" s="12"/>
      <c r="JFE58" s="12"/>
      <c r="JFF58" s="12"/>
      <c r="JFG58" s="12"/>
      <c r="JFH58" s="12"/>
      <c r="JFI58" s="12"/>
      <c r="JFJ58" s="12"/>
      <c r="JFK58" s="12"/>
      <c r="JFL58" s="12"/>
      <c r="JFM58" s="12"/>
      <c r="JFN58" s="12"/>
      <c r="JFO58" s="12"/>
      <c r="JFP58" s="12"/>
      <c r="JFQ58" s="12"/>
      <c r="JFR58" s="12"/>
      <c r="JFS58" s="12"/>
      <c r="JFT58" s="12"/>
      <c r="JFU58" s="12"/>
      <c r="JFV58" s="12"/>
      <c r="JFW58" s="12"/>
      <c r="JFX58" s="12"/>
      <c r="JFY58" s="12"/>
      <c r="JFZ58" s="12"/>
      <c r="JGA58" s="12"/>
      <c r="JGB58" s="12"/>
      <c r="JGC58" s="12"/>
      <c r="JGD58" s="12"/>
      <c r="JGE58" s="12"/>
      <c r="JGF58" s="12"/>
      <c r="JGG58" s="12"/>
      <c r="JGH58" s="12"/>
      <c r="JGI58" s="12"/>
      <c r="JGJ58" s="12"/>
      <c r="JGK58" s="12"/>
      <c r="JGL58" s="12"/>
      <c r="JGM58" s="12"/>
      <c r="JGN58" s="12"/>
      <c r="JGO58" s="12"/>
      <c r="JGP58" s="12"/>
      <c r="JGQ58" s="12"/>
      <c r="JGR58" s="12"/>
      <c r="JGS58" s="12"/>
      <c r="JGT58" s="12"/>
      <c r="JGU58" s="12"/>
      <c r="JGV58" s="12"/>
      <c r="JGW58" s="12"/>
      <c r="JGX58" s="12"/>
      <c r="JGY58" s="12"/>
      <c r="JGZ58" s="12"/>
      <c r="JHA58" s="12"/>
      <c r="JHB58" s="12"/>
      <c r="JHC58" s="12"/>
      <c r="JHD58" s="12"/>
      <c r="JHE58" s="12"/>
      <c r="JHF58" s="12"/>
      <c r="JHG58" s="12"/>
      <c r="JHH58" s="12"/>
      <c r="JHI58" s="12"/>
      <c r="JHJ58" s="12"/>
      <c r="JHK58" s="12"/>
      <c r="JHL58" s="12"/>
      <c r="JHM58" s="12"/>
      <c r="JHN58" s="12"/>
      <c r="JHO58" s="12"/>
      <c r="JHP58" s="12"/>
      <c r="JHQ58" s="12"/>
      <c r="JHR58" s="12"/>
      <c r="JHS58" s="12"/>
      <c r="JHT58" s="12"/>
      <c r="JHU58" s="12"/>
      <c r="JHV58" s="12"/>
      <c r="JHW58" s="12"/>
      <c r="JHX58" s="12"/>
      <c r="JHY58" s="12"/>
      <c r="JHZ58" s="12"/>
      <c r="JIA58" s="12"/>
      <c r="JIB58" s="12"/>
      <c r="JIC58" s="12"/>
      <c r="JID58" s="12"/>
      <c r="JIE58" s="12"/>
      <c r="JIF58" s="12"/>
      <c r="JIG58" s="12"/>
      <c r="JIH58" s="12"/>
      <c r="JII58" s="12"/>
      <c r="JIJ58" s="12"/>
      <c r="JIK58" s="12"/>
      <c r="JIL58" s="12"/>
      <c r="JIM58" s="12"/>
      <c r="JIN58" s="12"/>
      <c r="JIO58" s="12"/>
      <c r="JIP58" s="12"/>
      <c r="JIQ58" s="12"/>
      <c r="JIR58" s="12"/>
      <c r="JIS58" s="12"/>
      <c r="JIT58" s="12"/>
      <c r="JIU58" s="12"/>
      <c r="JIV58" s="12"/>
      <c r="JIW58" s="12"/>
      <c r="JIX58" s="12"/>
      <c r="JIY58" s="12"/>
      <c r="JIZ58" s="12"/>
      <c r="JJA58" s="12"/>
      <c r="JJB58" s="12"/>
      <c r="JJC58" s="12"/>
      <c r="JJD58" s="12"/>
      <c r="JJE58" s="12"/>
      <c r="JJF58" s="12"/>
      <c r="JJG58" s="12"/>
      <c r="JJH58" s="12"/>
      <c r="JJI58" s="12"/>
      <c r="JJJ58" s="12"/>
      <c r="JJK58" s="12"/>
      <c r="JJL58" s="12"/>
      <c r="JJM58" s="12"/>
      <c r="JJN58" s="12"/>
      <c r="JJO58" s="12"/>
      <c r="JJP58" s="12"/>
      <c r="JJQ58" s="12"/>
      <c r="JJR58" s="12"/>
      <c r="JJS58" s="12"/>
      <c r="JJT58" s="12"/>
      <c r="JJU58" s="12"/>
      <c r="JJV58" s="12"/>
      <c r="JJW58" s="12"/>
      <c r="JJX58" s="12"/>
      <c r="JJY58" s="12"/>
      <c r="JJZ58" s="12"/>
      <c r="JKA58" s="12"/>
      <c r="JKB58" s="12"/>
      <c r="JKC58" s="12"/>
      <c r="JKD58" s="12"/>
      <c r="JKE58" s="12"/>
      <c r="JKF58" s="12"/>
      <c r="JKG58" s="12"/>
      <c r="JKH58" s="12"/>
      <c r="JKI58" s="12"/>
      <c r="JKJ58" s="12"/>
      <c r="JKK58" s="12"/>
      <c r="JKL58" s="12"/>
      <c r="JKM58" s="12"/>
      <c r="JKN58" s="12"/>
      <c r="JKO58" s="12"/>
      <c r="JKP58" s="12"/>
      <c r="JKQ58" s="12"/>
      <c r="JKR58" s="12"/>
      <c r="JKS58" s="12"/>
      <c r="JKT58" s="12"/>
      <c r="JKU58" s="12"/>
      <c r="JKV58" s="12"/>
      <c r="JKW58" s="12"/>
      <c r="JKX58" s="12"/>
      <c r="JKY58" s="12"/>
      <c r="JKZ58" s="12"/>
      <c r="JLA58" s="12"/>
      <c r="JLB58" s="12"/>
      <c r="JLC58" s="12"/>
      <c r="JLD58" s="12"/>
      <c r="JLE58" s="12"/>
      <c r="JLF58" s="12"/>
      <c r="JLG58" s="12"/>
      <c r="JLH58" s="12"/>
      <c r="JLI58" s="12"/>
      <c r="JLJ58" s="12"/>
      <c r="JLK58" s="12"/>
      <c r="JLL58" s="12"/>
      <c r="JLM58" s="12"/>
      <c r="JLN58" s="12"/>
      <c r="JLO58" s="12"/>
      <c r="JLP58" s="12"/>
      <c r="JLQ58" s="12"/>
      <c r="JLR58" s="12"/>
      <c r="JLS58" s="12"/>
      <c r="JLT58" s="12"/>
      <c r="JLU58" s="12"/>
      <c r="JLV58" s="12"/>
      <c r="JLW58" s="12"/>
      <c r="JLX58" s="12"/>
      <c r="JLY58" s="12"/>
      <c r="JLZ58" s="12"/>
      <c r="JMA58" s="12"/>
      <c r="JMB58" s="12"/>
      <c r="JMC58" s="12"/>
      <c r="JMD58" s="12"/>
      <c r="JME58" s="12"/>
      <c r="JMF58" s="12"/>
      <c r="JMG58" s="12"/>
      <c r="JMH58" s="12"/>
      <c r="JMI58" s="12"/>
      <c r="JMJ58" s="12"/>
      <c r="JMK58" s="12"/>
      <c r="JML58" s="12"/>
      <c r="JMM58" s="12"/>
      <c r="JMN58" s="12"/>
      <c r="JMO58" s="12"/>
      <c r="JMP58" s="12"/>
      <c r="JMQ58" s="12"/>
      <c r="JMR58" s="12"/>
      <c r="JMS58" s="12"/>
      <c r="JMT58" s="12"/>
      <c r="JMU58" s="12"/>
      <c r="JMV58" s="12"/>
      <c r="JMW58" s="12"/>
      <c r="JMX58" s="12"/>
      <c r="JMY58" s="12"/>
      <c r="JMZ58" s="12"/>
      <c r="JNA58" s="12"/>
      <c r="JNB58" s="12"/>
      <c r="JNC58" s="12"/>
      <c r="JND58" s="12"/>
      <c r="JNE58" s="12"/>
      <c r="JNF58" s="12"/>
      <c r="JNG58" s="12"/>
      <c r="JNH58" s="12"/>
      <c r="JNI58" s="12"/>
      <c r="JNJ58" s="12"/>
      <c r="JNK58" s="12"/>
      <c r="JNL58" s="12"/>
      <c r="JNM58" s="12"/>
      <c r="JNN58" s="12"/>
      <c r="JNO58" s="12"/>
      <c r="JNP58" s="12"/>
      <c r="JNQ58" s="12"/>
      <c r="JNR58" s="12"/>
      <c r="JNS58" s="12"/>
      <c r="JNT58" s="12"/>
      <c r="JNU58" s="12"/>
      <c r="JNV58" s="12"/>
      <c r="JNW58" s="12"/>
      <c r="JNX58" s="12"/>
      <c r="JNY58" s="12"/>
      <c r="JNZ58" s="12"/>
      <c r="JOA58" s="12"/>
      <c r="JOB58" s="12"/>
      <c r="JOC58" s="12"/>
      <c r="JOD58" s="12"/>
      <c r="JOE58" s="12"/>
      <c r="JOF58" s="12"/>
      <c r="JOG58" s="12"/>
      <c r="JOH58" s="12"/>
      <c r="JOI58" s="12"/>
      <c r="JOJ58" s="12"/>
      <c r="JOK58" s="12"/>
      <c r="JOL58" s="12"/>
      <c r="JOM58" s="12"/>
      <c r="JON58" s="12"/>
      <c r="JOO58" s="12"/>
      <c r="JOP58" s="12"/>
      <c r="JOQ58" s="12"/>
      <c r="JOR58" s="12"/>
      <c r="JOS58" s="12"/>
      <c r="JOT58" s="12"/>
      <c r="JOU58" s="12"/>
      <c r="JOV58" s="12"/>
      <c r="JOW58" s="12"/>
      <c r="JOX58" s="12"/>
      <c r="JOY58" s="12"/>
      <c r="JOZ58" s="12"/>
      <c r="JPA58" s="12"/>
      <c r="JPB58" s="12"/>
      <c r="JPC58" s="12"/>
      <c r="JPD58" s="12"/>
      <c r="JPE58" s="12"/>
      <c r="JPF58" s="12"/>
      <c r="JPG58" s="12"/>
      <c r="JPH58" s="12"/>
      <c r="JPI58" s="12"/>
      <c r="JPJ58" s="12"/>
      <c r="JPK58" s="12"/>
      <c r="JPL58" s="12"/>
      <c r="JPM58" s="12"/>
      <c r="JPN58" s="12"/>
      <c r="JPO58" s="12"/>
      <c r="JPP58" s="12"/>
      <c r="JPQ58" s="12"/>
      <c r="JPR58" s="12"/>
      <c r="JPS58" s="12"/>
      <c r="JPT58" s="12"/>
      <c r="JPU58" s="12"/>
      <c r="JPV58" s="12"/>
      <c r="JPW58" s="12"/>
      <c r="JPX58" s="12"/>
      <c r="JPY58" s="12"/>
      <c r="JPZ58" s="12"/>
      <c r="JQA58" s="12"/>
      <c r="JQB58" s="12"/>
      <c r="JQC58" s="12"/>
      <c r="JQD58" s="12"/>
      <c r="JQE58" s="12"/>
      <c r="JQF58" s="12"/>
      <c r="JQG58" s="12"/>
      <c r="JQH58" s="12"/>
      <c r="JQI58" s="12"/>
      <c r="JQJ58" s="12"/>
      <c r="JQK58" s="12"/>
      <c r="JQL58" s="12"/>
      <c r="JQM58" s="12"/>
      <c r="JQN58" s="12"/>
      <c r="JQO58" s="12"/>
      <c r="JQP58" s="12"/>
      <c r="JQQ58" s="12"/>
      <c r="JQR58" s="12"/>
      <c r="JQS58" s="12"/>
      <c r="JQT58" s="12"/>
      <c r="JQU58" s="12"/>
      <c r="JQV58" s="12"/>
      <c r="JQW58" s="12"/>
      <c r="JQX58" s="12"/>
      <c r="JQY58" s="12"/>
      <c r="JQZ58" s="12"/>
      <c r="JRA58" s="12"/>
      <c r="JRB58" s="12"/>
      <c r="JRC58" s="12"/>
      <c r="JRD58" s="12"/>
      <c r="JRE58" s="12"/>
      <c r="JRF58" s="12"/>
      <c r="JRG58" s="12"/>
      <c r="JRH58" s="12"/>
      <c r="JRI58" s="12"/>
      <c r="JRJ58" s="12"/>
      <c r="JRK58" s="12"/>
      <c r="JRL58" s="12"/>
      <c r="JRM58" s="12"/>
      <c r="JRN58" s="12"/>
      <c r="JRO58" s="12"/>
      <c r="JRP58" s="12"/>
      <c r="JRQ58" s="12"/>
      <c r="JRR58" s="12"/>
      <c r="JRS58" s="12"/>
      <c r="JRT58" s="12"/>
      <c r="JRU58" s="12"/>
      <c r="JRV58" s="12"/>
      <c r="JRW58" s="12"/>
      <c r="JRX58" s="12"/>
      <c r="JRY58" s="12"/>
      <c r="JRZ58" s="12"/>
      <c r="JSA58" s="12"/>
      <c r="JSB58" s="12"/>
      <c r="JSC58" s="12"/>
      <c r="JSD58" s="12"/>
      <c r="JSE58" s="12"/>
      <c r="JSF58" s="12"/>
      <c r="JSG58" s="12"/>
      <c r="JSH58" s="12"/>
      <c r="JSI58" s="12"/>
      <c r="JSJ58" s="12"/>
      <c r="JSK58" s="12"/>
      <c r="JSL58" s="12"/>
      <c r="JSM58" s="12"/>
      <c r="JSN58" s="12"/>
      <c r="JSO58" s="12"/>
      <c r="JSP58" s="12"/>
      <c r="JSQ58" s="12"/>
      <c r="JSR58" s="12"/>
      <c r="JSS58" s="12"/>
      <c r="JST58" s="12"/>
      <c r="JSU58" s="12"/>
      <c r="JSV58" s="12"/>
      <c r="JSW58" s="12"/>
      <c r="JSX58" s="12"/>
      <c r="JSY58" s="12"/>
      <c r="JSZ58" s="12"/>
      <c r="JTA58" s="12"/>
      <c r="JTB58" s="12"/>
      <c r="JTC58" s="12"/>
      <c r="JTD58" s="12"/>
      <c r="JTE58" s="12"/>
      <c r="JTF58" s="12"/>
      <c r="JTG58" s="12"/>
      <c r="JTH58" s="12"/>
      <c r="JTI58" s="12"/>
      <c r="JTJ58" s="12"/>
      <c r="JTK58" s="12"/>
      <c r="JTL58" s="12"/>
      <c r="JTM58" s="12"/>
      <c r="JTN58" s="12"/>
      <c r="JTO58" s="12"/>
      <c r="JTP58" s="12"/>
      <c r="JTQ58" s="12"/>
      <c r="JTR58" s="12"/>
      <c r="JTS58" s="12"/>
      <c r="JTT58" s="12"/>
      <c r="JTU58" s="12"/>
      <c r="JTV58" s="12"/>
      <c r="JTW58" s="12"/>
      <c r="JTX58" s="12"/>
      <c r="JTY58" s="12"/>
      <c r="JTZ58" s="12"/>
      <c r="JUA58" s="12"/>
      <c r="JUB58" s="12"/>
      <c r="JUC58" s="12"/>
      <c r="JUD58" s="12"/>
      <c r="JUE58" s="12"/>
      <c r="JUF58" s="12"/>
      <c r="JUG58" s="12"/>
      <c r="JUH58" s="12"/>
      <c r="JUI58" s="12"/>
      <c r="JUJ58" s="12"/>
      <c r="JUK58" s="12"/>
      <c r="JUL58" s="12"/>
      <c r="JUM58" s="12"/>
      <c r="JUN58" s="12"/>
      <c r="JUO58" s="12"/>
      <c r="JUP58" s="12"/>
      <c r="JUQ58" s="12"/>
      <c r="JUR58" s="12"/>
      <c r="JUS58" s="12"/>
      <c r="JUT58" s="12"/>
      <c r="JUU58" s="12"/>
      <c r="JUV58" s="12"/>
      <c r="JUW58" s="12"/>
      <c r="JUX58" s="12"/>
      <c r="JUY58" s="12"/>
      <c r="JUZ58" s="12"/>
      <c r="JVA58" s="12"/>
      <c r="JVB58" s="12"/>
      <c r="JVC58" s="12"/>
      <c r="JVD58" s="12"/>
      <c r="JVE58" s="12"/>
      <c r="JVF58" s="12"/>
      <c r="JVG58" s="12"/>
      <c r="JVH58" s="12"/>
      <c r="JVI58" s="12"/>
      <c r="JVJ58" s="12"/>
      <c r="JVK58" s="12"/>
      <c r="JVL58" s="12"/>
      <c r="JVM58" s="12"/>
      <c r="JVN58" s="12"/>
      <c r="JVO58" s="12"/>
      <c r="JVP58" s="12"/>
      <c r="JVQ58" s="12"/>
      <c r="JVR58" s="12"/>
      <c r="JVS58" s="12"/>
      <c r="JVT58" s="12"/>
      <c r="JVU58" s="12"/>
      <c r="JVV58" s="12"/>
      <c r="JVW58" s="12"/>
      <c r="JVX58" s="12"/>
      <c r="JVY58" s="12"/>
      <c r="JVZ58" s="12"/>
      <c r="JWA58" s="12"/>
      <c r="JWB58" s="12"/>
      <c r="JWC58" s="12"/>
      <c r="JWD58" s="12"/>
      <c r="JWE58" s="12"/>
      <c r="JWF58" s="12"/>
      <c r="JWG58" s="12"/>
      <c r="JWH58" s="12"/>
      <c r="JWI58" s="12"/>
      <c r="JWJ58" s="12"/>
      <c r="JWK58" s="12"/>
      <c r="JWL58" s="12"/>
      <c r="JWM58" s="12"/>
      <c r="JWN58" s="12"/>
      <c r="JWO58" s="12"/>
      <c r="JWP58" s="12"/>
      <c r="JWQ58" s="12"/>
      <c r="JWR58" s="12"/>
      <c r="JWS58" s="12"/>
      <c r="JWT58" s="12"/>
      <c r="JWU58" s="12"/>
      <c r="JWV58" s="12"/>
      <c r="JWW58" s="12"/>
      <c r="JWX58" s="12"/>
      <c r="JWY58" s="12"/>
      <c r="JWZ58" s="12"/>
      <c r="JXA58" s="12"/>
      <c r="JXB58" s="12"/>
      <c r="JXC58" s="12"/>
      <c r="JXD58" s="12"/>
      <c r="JXE58" s="12"/>
      <c r="JXF58" s="12"/>
      <c r="JXG58" s="12"/>
      <c r="JXH58" s="12"/>
      <c r="JXI58" s="12"/>
      <c r="JXJ58" s="12"/>
      <c r="JXK58" s="12"/>
      <c r="JXL58" s="12"/>
      <c r="JXM58" s="12"/>
      <c r="JXN58" s="12"/>
      <c r="JXO58" s="12"/>
      <c r="JXP58" s="12"/>
      <c r="JXQ58" s="12"/>
      <c r="JXR58" s="12"/>
      <c r="JXS58" s="12"/>
      <c r="JXT58" s="12"/>
      <c r="JXU58" s="12"/>
      <c r="JXV58" s="12"/>
      <c r="JXW58" s="12"/>
      <c r="JXX58" s="12"/>
      <c r="JXY58" s="12"/>
      <c r="JXZ58" s="12"/>
      <c r="JYA58" s="12"/>
      <c r="JYB58" s="12"/>
      <c r="JYC58" s="12"/>
      <c r="JYD58" s="12"/>
      <c r="JYE58" s="12"/>
      <c r="JYF58" s="12"/>
      <c r="JYG58" s="12"/>
      <c r="JYH58" s="12"/>
      <c r="JYI58" s="12"/>
      <c r="JYJ58" s="12"/>
      <c r="JYK58" s="12"/>
      <c r="JYL58" s="12"/>
      <c r="JYM58" s="12"/>
      <c r="JYN58" s="12"/>
      <c r="JYO58" s="12"/>
      <c r="JYP58" s="12"/>
      <c r="JYQ58" s="12"/>
      <c r="JYR58" s="12"/>
      <c r="JYS58" s="12"/>
      <c r="JYT58" s="12"/>
      <c r="JYU58" s="12"/>
      <c r="JYV58" s="12"/>
      <c r="JYW58" s="12"/>
      <c r="JYX58" s="12"/>
      <c r="JYY58" s="12"/>
      <c r="JYZ58" s="12"/>
      <c r="JZA58" s="12"/>
      <c r="JZB58" s="12"/>
      <c r="JZC58" s="12"/>
      <c r="JZD58" s="12"/>
      <c r="JZE58" s="12"/>
      <c r="JZF58" s="12"/>
      <c r="JZG58" s="12"/>
      <c r="JZH58" s="12"/>
      <c r="JZI58" s="12"/>
      <c r="JZJ58" s="12"/>
      <c r="JZK58" s="12"/>
      <c r="JZL58" s="12"/>
      <c r="JZM58" s="12"/>
      <c r="JZN58" s="12"/>
      <c r="JZO58" s="12"/>
      <c r="JZP58" s="12"/>
      <c r="JZQ58" s="12"/>
      <c r="JZR58" s="12"/>
      <c r="JZS58" s="12"/>
      <c r="JZT58" s="12"/>
      <c r="JZU58" s="12"/>
      <c r="JZV58" s="12"/>
      <c r="JZW58" s="12"/>
      <c r="JZX58" s="12"/>
      <c r="JZY58" s="12"/>
      <c r="JZZ58" s="12"/>
      <c r="KAA58" s="12"/>
      <c r="KAB58" s="12"/>
      <c r="KAC58" s="12"/>
      <c r="KAD58" s="12"/>
      <c r="KAE58" s="12"/>
      <c r="KAF58" s="12"/>
      <c r="KAG58" s="12"/>
      <c r="KAH58" s="12"/>
      <c r="KAI58" s="12"/>
      <c r="KAJ58" s="12"/>
      <c r="KAK58" s="12"/>
      <c r="KAL58" s="12"/>
      <c r="KAM58" s="12"/>
      <c r="KAN58" s="12"/>
      <c r="KAO58" s="12"/>
      <c r="KAP58" s="12"/>
      <c r="KAQ58" s="12"/>
      <c r="KAR58" s="12"/>
      <c r="KAS58" s="12"/>
      <c r="KAT58" s="12"/>
      <c r="KAU58" s="12"/>
      <c r="KAV58" s="12"/>
      <c r="KAW58" s="12"/>
      <c r="KAX58" s="12"/>
      <c r="KAY58" s="12"/>
      <c r="KAZ58" s="12"/>
      <c r="KBA58" s="12"/>
      <c r="KBB58" s="12"/>
      <c r="KBC58" s="12"/>
      <c r="KBD58" s="12"/>
      <c r="KBE58" s="12"/>
      <c r="KBF58" s="12"/>
      <c r="KBG58" s="12"/>
      <c r="KBH58" s="12"/>
      <c r="KBI58" s="12"/>
      <c r="KBJ58" s="12"/>
      <c r="KBK58" s="12"/>
      <c r="KBL58" s="12"/>
      <c r="KBM58" s="12"/>
      <c r="KBN58" s="12"/>
      <c r="KBO58" s="12"/>
      <c r="KBP58" s="12"/>
      <c r="KBQ58" s="12"/>
      <c r="KBR58" s="12"/>
      <c r="KBS58" s="12"/>
      <c r="KBT58" s="12"/>
      <c r="KBU58" s="12"/>
      <c r="KBV58" s="12"/>
      <c r="KBW58" s="12"/>
      <c r="KBX58" s="12"/>
      <c r="KBY58" s="12"/>
      <c r="KBZ58" s="12"/>
      <c r="KCA58" s="12"/>
      <c r="KCB58" s="12"/>
      <c r="KCC58" s="12"/>
      <c r="KCD58" s="12"/>
      <c r="KCE58" s="12"/>
      <c r="KCF58" s="12"/>
      <c r="KCG58" s="12"/>
      <c r="KCH58" s="12"/>
      <c r="KCI58" s="12"/>
      <c r="KCJ58" s="12"/>
      <c r="KCK58" s="12"/>
      <c r="KCL58" s="12"/>
      <c r="KCM58" s="12"/>
      <c r="KCN58" s="12"/>
      <c r="KCO58" s="12"/>
      <c r="KCP58" s="12"/>
      <c r="KCQ58" s="12"/>
      <c r="KCR58" s="12"/>
      <c r="KCS58" s="12"/>
      <c r="KCT58" s="12"/>
      <c r="KCU58" s="12"/>
      <c r="KCV58" s="12"/>
      <c r="KCW58" s="12"/>
      <c r="KCX58" s="12"/>
      <c r="KCY58" s="12"/>
      <c r="KCZ58" s="12"/>
      <c r="KDA58" s="12"/>
      <c r="KDB58" s="12"/>
      <c r="KDC58" s="12"/>
      <c r="KDD58" s="12"/>
      <c r="KDE58" s="12"/>
      <c r="KDF58" s="12"/>
      <c r="KDG58" s="12"/>
      <c r="KDH58" s="12"/>
      <c r="KDI58" s="12"/>
      <c r="KDJ58" s="12"/>
      <c r="KDK58" s="12"/>
      <c r="KDL58" s="12"/>
      <c r="KDM58" s="12"/>
      <c r="KDN58" s="12"/>
      <c r="KDO58" s="12"/>
      <c r="KDP58" s="12"/>
      <c r="KDQ58" s="12"/>
      <c r="KDR58" s="12"/>
      <c r="KDS58" s="12"/>
      <c r="KDT58" s="12"/>
      <c r="KDU58" s="12"/>
      <c r="KDV58" s="12"/>
      <c r="KDW58" s="12"/>
      <c r="KDX58" s="12"/>
      <c r="KDY58" s="12"/>
      <c r="KDZ58" s="12"/>
      <c r="KEA58" s="12"/>
      <c r="KEB58" s="12"/>
      <c r="KEC58" s="12"/>
      <c r="KED58" s="12"/>
      <c r="KEE58" s="12"/>
      <c r="KEF58" s="12"/>
      <c r="KEG58" s="12"/>
      <c r="KEH58" s="12"/>
      <c r="KEI58" s="12"/>
      <c r="KEJ58" s="12"/>
      <c r="KEK58" s="12"/>
      <c r="KEL58" s="12"/>
      <c r="KEM58" s="12"/>
      <c r="KEN58" s="12"/>
      <c r="KEO58" s="12"/>
      <c r="KEP58" s="12"/>
      <c r="KEQ58" s="12"/>
      <c r="KER58" s="12"/>
      <c r="KES58" s="12"/>
      <c r="KET58" s="12"/>
      <c r="KEU58" s="12"/>
      <c r="KEV58" s="12"/>
      <c r="KEW58" s="12"/>
      <c r="KEX58" s="12"/>
      <c r="KEY58" s="12"/>
      <c r="KEZ58" s="12"/>
      <c r="KFA58" s="12"/>
      <c r="KFB58" s="12"/>
      <c r="KFC58" s="12"/>
      <c r="KFD58" s="12"/>
      <c r="KFE58" s="12"/>
      <c r="KFF58" s="12"/>
      <c r="KFG58" s="12"/>
      <c r="KFH58" s="12"/>
      <c r="KFI58" s="12"/>
      <c r="KFJ58" s="12"/>
      <c r="KFK58" s="12"/>
      <c r="KFL58" s="12"/>
      <c r="KFM58" s="12"/>
      <c r="KFN58" s="12"/>
      <c r="KFO58" s="12"/>
      <c r="KFP58" s="12"/>
      <c r="KFQ58" s="12"/>
      <c r="KFR58" s="12"/>
      <c r="KFS58" s="12"/>
      <c r="KFT58" s="12"/>
      <c r="KFU58" s="12"/>
      <c r="KFV58" s="12"/>
      <c r="KFW58" s="12"/>
      <c r="KFX58" s="12"/>
      <c r="KFY58" s="12"/>
      <c r="KFZ58" s="12"/>
      <c r="KGA58" s="12"/>
      <c r="KGB58" s="12"/>
      <c r="KGC58" s="12"/>
      <c r="KGD58" s="12"/>
      <c r="KGE58" s="12"/>
      <c r="KGF58" s="12"/>
      <c r="KGG58" s="12"/>
      <c r="KGH58" s="12"/>
      <c r="KGI58" s="12"/>
      <c r="KGJ58" s="12"/>
      <c r="KGK58" s="12"/>
      <c r="KGL58" s="12"/>
      <c r="KGM58" s="12"/>
      <c r="KGN58" s="12"/>
      <c r="KGO58" s="12"/>
      <c r="KGP58" s="12"/>
      <c r="KGQ58" s="12"/>
      <c r="KGR58" s="12"/>
      <c r="KGS58" s="12"/>
      <c r="KGT58" s="12"/>
      <c r="KGU58" s="12"/>
      <c r="KGV58" s="12"/>
      <c r="KGW58" s="12"/>
      <c r="KGX58" s="12"/>
      <c r="KGY58" s="12"/>
      <c r="KGZ58" s="12"/>
      <c r="KHA58" s="12"/>
      <c r="KHB58" s="12"/>
      <c r="KHC58" s="12"/>
      <c r="KHD58" s="12"/>
      <c r="KHE58" s="12"/>
      <c r="KHF58" s="12"/>
      <c r="KHG58" s="12"/>
      <c r="KHH58" s="12"/>
      <c r="KHI58" s="12"/>
      <c r="KHJ58" s="12"/>
      <c r="KHK58" s="12"/>
      <c r="KHL58" s="12"/>
      <c r="KHM58" s="12"/>
      <c r="KHN58" s="12"/>
      <c r="KHO58" s="12"/>
      <c r="KHP58" s="12"/>
      <c r="KHQ58" s="12"/>
      <c r="KHR58" s="12"/>
      <c r="KHS58" s="12"/>
      <c r="KHT58" s="12"/>
      <c r="KHU58" s="12"/>
      <c r="KHV58" s="12"/>
      <c r="KHW58" s="12"/>
      <c r="KHX58" s="12"/>
      <c r="KHY58" s="12"/>
      <c r="KHZ58" s="12"/>
      <c r="KIA58" s="12"/>
      <c r="KIB58" s="12"/>
      <c r="KIC58" s="12"/>
      <c r="KID58" s="12"/>
      <c r="KIE58" s="12"/>
      <c r="KIF58" s="12"/>
      <c r="KIG58" s="12"/>
      <c r="KIH58" s="12"/>
      <c r="KII58" s="12"/>
      <c r="KIJ58" s="12"/>
      <c r="KIK58" s="12"/>
      <c r="KIL58" s="12"/>
      <c r="KIM58" s="12"/>
      <c r="KIN58" s="12"/>
      <c r="KIO58" s="12"/>
      <c r="KIP58" s="12"/>
      <c r="KIQ58" s="12"/>
      <c r="KIR58" s="12"/>
      <c r="KIS58" s="12"/>
      <c r="KIT58" s="12"/>
      <c r="KIU58" s="12"/>
      <c r="KIV58" s="12"/>
      <c r="KIW58" s="12"/>
      <c r="KIX58" s="12"/>
      <c r="KIY58" s="12"/>
      <c r="KIZ58" s="12"/>
      <c r="KJA58" s="12"/>
      <c r="KJB58" s="12"/>
      <c r="KJC58" s="12"/>
      <c r="KJD58" s="12"/>
      <c r="KJE58" s="12"/>
      <c r="KJF58" s="12"/>
      <c r="KJG58" s="12"/>
      <c r="KJH58" s="12"/>
      <c r="KJI58" s="12"/>
      <c r="KJJ58" s="12"/>
      <c r="KJK58" s="12"/>
      <c r="KJL58" s="12"/>
      <c r="KJM58" s="12"/>
      <c r="KJN58" s="12"/>
      <c r="KJO58" s="12"/>
      <c r="KJP58" s="12"/>
      <c r="KJQ58" s="12"/>
      <c r="KJR58" s="12"/>
      <c r="KJS58" s="12"/>
      <c r="KJT58" s="12"/>
      <c r="KJU58" s="12"/>
      <c r="KJV58" s="12"/>
      <c r="KJW58" s="12"/>
      <c r="KJX58" s="12"/>
      <c r="KJY58" s="12"/>
      <c r="KJZ58" s="12"/>
      <c r="KKA58" s="12"/>
      <c r="KKB58" s="12"/>
      <c r="KKC58" s="12"/>
      <c r="KKD58" s="12"/>
      <c r="KKE58" s="12"/>
      <c r="KKF58" s="12"/>
      <c r="KKG58" s="12"/>
      <c r="KKH58" s="12"/>
      <c r="KKI58" s="12"/>
      <c r="KKJ58" s="12"/>
      <c r="KKK58" s="12"/>
      <c r="KKL58" s="12"/>
      <c r="KKM58" s="12"/>
      <c r="KKN58" s="12"/>
      <c r="KKO58" s="12"/>
      <c r="KKP58" s="12"/>
      <c r="KKQ58" s="12"/>
      <c r="KKR58" s="12"/>
      <c r="KKS58" s="12"/>
      <c r="KKT58" s="12"/>
      <c r="KKU58" s="12"/>
      <c r="KKV58" s="12"/>
      <c r="KKW58" s="12"/>
      <c r="KKX58" s="12"/>
      <c r="KKY58" s="12"/>
      <c r="KKZ58" s="12"/>
      <c r="KLA58" s="12"/>
      <c r="KLB58" s="12"/>
      <c r="KLC58" s="12"/>
      <c r="KLD58" s="12"/>
      <c r="KLE58" s="12"/>
      <c r="KLF58" s="12"/>
      <c r="KLG58" s="12"/>
      <c r="KLH58" s="12"/>
      <c r="KLI58" s="12"/>
      <c r="KLJ58" s="12"/>
      <c r="KLK58" s="12"/>
      <c r="KLL58" s="12"/>
      <c r="KLM58" s="12"/>
      <c r="KLN58" s="12"/>
      <c r="KLO58" s="12"/>
      <c r="KLP58" s="12"/>
      <c r="KLQ58" s="12"/>
      <c r="KLR58" s="12"/>
      <c r="KLS58" s="12"/>
      <c r="KLT58" s="12"/>
      <c r="KLU58" s="12"/>
      <c r="KLV58" s="12"/>
      <c r="KLW58" s="12"/>
      <c r="KLX58" s="12"/>
      <c r="KLY58" s="12"/>
      <c r="KLZ58" s="12"/>
      <c r="KMA58" s="12"/>
      <c r="KMB58" s="12"/>
      <c r="KMC58" s="12"/>
      <c r="KMD58" s="12"/>
      <c r="KME58" s="12"/>
      <c r="KMF58" s="12"/>
      <c r="KMG58" s="12"/>
      <c r="KMH58" s="12"/>
      <c r="KMI58" s="12"/>
      <c r="KMJ58" s="12"/>
      <c r="KMK58" s="12"/>
      <c r="KML58" s="12"/>
      <c r="KMM58" s="12"/>
      <c r="KMN58" s="12"/>
      <c r="KMO58" s="12"/>
      <c r="KMP58" s="12"/>
      <c r="KMQ58" s="12"/>
      <c r="KMR58" s="12"/>
      <c r="KMS58" s="12"/>
      <c r="KMT58" s="12"/>
      <c r="KMU58" s="12"/>
      <c r="KMV58" s="12"/>
      <c r="KMW58" s="12"/>
      <c r="KMX58" s="12"/>
      <c r="KMY58" s="12"/>
      <c r="KMZ58" s="12"/>
      <c r="KNA58" s="12"/>
      <c r="KNB58" s="12"/>
      <c r="KNC58" s="12"/>
      <c r="KND58" s="12"/>
      <c r="KNE58" s="12"/>
      <c r="KNF58" s="12"/>
      <c r="KNG58" s="12"/>
      <c r="KNH58" s="12"/>
      <c r="KNI58" s="12"/>
      <c r="KNJ58" s="12"/>
      <c r="KNK58" s="12"/>
      <c r="KNL58" s="12"/>
      <c r="KNM58" s="12"/>
      <c r="KNN58" s="12"/>
      <c r="KNO58" s="12"/>
      <c r="KNP58" s="12"/>
      <c r="KNQ58" s="12"/>
      <c r="KNR58" s="12"/>
      <c r="KNS58" s="12"/>
      <c r="KNT58" s="12"/>
      <c r="KNU58" s="12"/>
      <c r="KNV58" s="12"/>
      <c r="KNW58" s="12"/>
      <c r="KNX58" s="12"/>
      <c r="KNY58" s="12"/>
      <c r="KNZ58" s="12"/>
      <c r="KOA58" s="12"/>
      <c r="KOB58" s="12"/>
      <c r="KOC58" s="12"/>
      <c r="KOD58" s="12"/>
      <c r="KOE58" s="12"/>
      <c r="KOF58" s="12"/>
      <c r="KOG58" s="12"/>
      <c r="KOH58" s="12"/>
      <c r="KOI58" s="12"/>
      <c r="KOJ58" s="12"/>
      <c r="KOK58" s="12"/>
      <c r="KOL58" s="12"/>
      <c r="KOM58" s="12"/>
      <c r="KON58" s="12"/>
      <c r="KOO58" s="12"/>
      <c r="KOP58" s="12"/>
      <c r="KOQ58" s="12"/>
      <c r="KOR58" s="12"/>
      <c r="KOS58" s="12"/>
      <c r="KOT58" s="12"/>
      <c r="KOU58" s="12"/>
      <c r="KOV58" s="12"/>
      <c r="KOW58" s="12"/>
      <c r="KOX58" s="12"/>
      <c r="KOY58" s="12"/>
      <c r="KOZ58" s="12"/>
      <c r="KPA58" s="12"/>
      <c r="KPB58" s="12"/>
      <c r="KPC58" s="12"/>
      <c r="KPD58" s="12"/>
      <c r="KPE58" s="12"/>
      <c r="KPF58" s="12"/>
      <c r="KPG58" s="12"/>
      <c r="KPH58" s="12"/>
      <c r="KPI58" s="12"/>
      <c r="KPJ58" s="12"/>
      <c r="KPK58" s="12"/>
      <c r="KPL58" s="12"/>
      <c r="KPM58" s="12"/>
      <c r="KPN58" s="12"/>
      <c r="KPO58" s="12"/>
      <c r="KPP58" s="12"/>
      <c r="KPQ58" s="12"/>
      <c r="KPR58" s="12"/>
      <c r="KPS58" s="12"/>
      <c r="KPT58" s="12"/>
      <c r="KPU58" s="12"/>
      <c r="KPV58" s="12"/>
      <c r="KPW58" s="12"/>
      <c r="KPX58" s="12"/>
      <c r="KPY58" s="12"/>
      <c r="KPZ58" s="12"/>
      <c r="KQA58" s="12"/>
      <c r="KQB58" s="12"/>
      <c r="KQC58" s="12"/>
      <c r="KQD58" s="12"/>
      <c r="KQE58" s="12"/>
      <c r="KQF58" s="12"/>
      <c r="KQG58" s="12"/>
      <c r="KQH58" s="12"/>
      <c r="KQI58" s="12"/>
      <c r="KQJ58" s="12"/>
      <c r="KQK58" s="12"/>
      <c r="KQL58" s="12"/>
      <c r="KQM58" s="12"/>
      <c r="KQN58" s="12"/>
      <c r="KQO58" s="12"/>
      <c r="KQP58" s="12"/>
      <c r="KQQ58" s="12"/>
      <c r="KQR58" s="12"/>
      <c r="KQS58" s="12"/>
      <c r="KQT58" s="12"/>
      <c r="KQU58" s="12"/>
      <c r="KQV58" s="12"/>
      <c r="KQW58" s="12"/>
      <c r="KQX58" s="12"/>
      <c r="KQY58" s="12"/>
      <c r="KQZ58" s="12"/>
      <c r="KRA58" s="12"/>
      <c r="KRB58" s="12"/>
      <c r="KRC58" s="12"/>
      <c r="KRD58" s="12"/>
      <c r="KRE58" s="12"/>
      <c r="KRF58" s="12"/>
      <c r="KRG58" s="12"/>
      <c r="KRH58" s="12"/>
      <c r="KRI58" s="12"/>
      <c r="KRJ58" s="12"/>
      <c r="KRK58" s="12"/>
      <c r="KRL58" s="12"/>
      <c r="KRM58" s="12"/>
      <c r="KRN58" s="12"/>
      <c r="KRO58" s="12"/>
      <c r="KRP58" s="12"/>
      <c r="KRQ58" s="12"/>
      <c r="KRR58" s="12"/>
      <c r="KRS58" s="12"/>
      <c r="KRT58" s="12"/>
      <c r="KRU58" s="12"/>
      <c r="KRV58" s="12"/>
      <c r="KRW58" s="12"/>
      <c r="KRX58" s="12"/>
      <c r="KRY58" s="12"/>
      <c r="KRZ58" s="12"/>
      <c r="KSA58" s="12"/>
      <c r="KSB58" s="12"/>
      <c r="KSC58" s="12"/>
      <c r="KSD58" s="12"/>
      <c r="KSE58" s="12"/>
      <c r="KSF58" s="12"/>
      <c r="KSG58" s="12"/>
      <c r="KSH58" s="12"/>
      <c r="KSI58" s="12"/>
      <c r="KSJ58" s="12"/>
      <c r="KSK58" s="12"/>
      <c r="KSL58" s="12"/>
      <c r="KSM58" s="12"/>
      <c r="KSN58" s="12"/>
      <c r="KSO58" s="12"/>
      <c r="KSP58" s="12"/>
      <c r="KSQ58" s="12"/>
      <c r="KSR58" s="12"/>
      <c r="KSS58" s="12"/>
      <c r="KST58" s="12"/>
      <c r="KSU58" s="12"/>
      <c r="KSV58" s="12"/>
      <c r="KSW58" s="12"/>
      <c r="KSX58" s="12"/>
      <c r="KSY58" s="12"/>
      <c r="KSZ58" s="12"/>
      <c r="KTA58" s="12"/>
      <c r="KTB58" s="12"/>
      <c r="KTC58" s="12"/>
      <c r="KTD58" s="12"/>
      <c r="KTE58" s="12"/>
      <c r="KTF58" s="12"/>
      <c r="KTG58" s="12"/>
      <c r="KTH58" s="12"/>
      <c r="KTI58" s="12"/>
      <c r="KTJ58" s="12"/>
      <c r="KTK58" s="12"/>
      <c r="KTL58" s="12"/>
      <c r="KTM58" s="12"/>
      <c r="KTN58" s="12"/>
      <c r="KTO58" s="12"/>
      <c r="KTP58" s="12"/>
      <c r="KTQ58" s="12"/>
      <c r="KTR58" s="12"/>
      <c r="KTS58" s="12"/>
      <c r="KTT58" s="12"/>
      <c r="KTU58" s="12"/>
      <c r="KTV58" s="12"/>
      <c r="KTW58" s="12"/>
      <c r="KTX58" s="12"/>
      <c r="KTY58" s="12"/>
      <c r="KTZ58" s="12"/>
      <c r="KUA58" s="12"/>
      <c r="KUB58" s="12"/>
      <c r="KUC58" s="12"/>
      <c r="KUD58" s="12"/>
      <c r="KUE58" s="12"/>
      <c r="KUF58" s="12"/>
      <c r="KUG58" s="12"/>
      <c r="KUH58" s="12"/>
      <c r="KUI58" s="12"/>
      <c r="KUJ58" s="12"/>
      <c r="KUK58" s="12"/>
      <c r="KUL58" s="12"/>
      <c r="KUM58" s="12"/>
      <c r="KUN58" s="12"/>
      <c r="KUO58" s="12"/>
      <c r="KUP58" s="12"/>
      <c r="KUQ58" s="12"/>
      <c r="KUR58" s="12"/>
      <c r="KUS58" s="12"/>
      <c r="KUT58" s="12"/>
      <c r="KUU58" s="12"/>
      <c r="KUV58" s="12"/>
      <c r="KUW58" s="12"/>
      <c r="KUX58" s="12"/>
      <c r="KUY58" s="12"/>
      <c r="KUZ58" s="12"/>
      <c r="KVA58" s="12"/>
      <c r="KVB58" s="12"/>
      <c r="KVC58" s="12"/>
      <c r="KVD58" s="12"/>
      <c r="KVE58" s="12"/>
      <c r="KVF58" s="12"/>
      <c r="KVG58" s="12"/>
      <c r="KVH58" s="12"/>
      <c r="KVI58" s="12"/>
      <c r="KVJ58" s="12"/>
      <c r="KVK58" s="12"/>
      <c r="KVL58" s="12"/>
      <c r="KVM58" s="12"/>
      <c r="KVN58" s="12"/>
      <c r="KVO58" s="12"/>
      <c r="KVP58" s="12"/>
      <c r="KVQ58" s="12"/>
      <c r="KVR58" s="12"/>
      <c r="KVS58" s="12"/>
      <c r="KVT58" s="12"/>
      <c r="KVU58" s="12"/>
      <c r="KVV58" s="12"/>
      <c r="KVW58" s="12"/>
      <c r="KVX58" s="12"/>
      <c r="KVY58" s="12"/>
      <c r="KVZ58" s="12"/>
      <c r="KWA58" s="12"/>
      <c r="KWB58" s="12"/>
      <c r="KWC58" s="12"/>
      <c r="KWD58" s="12"/>
      <c r="KWE58" s="12"/>
      <c r="KWF58" s="12"/>
      <c r="KWG58" s="12"/>
      <c r="KWH58" s="12"/>
      <c r="KWI58" s="12"/>
      <c r="KWJ58" s="12"/>
      <c r="KWK58" s="12"/>
      <c r="KWL58" s="12"/>
      <c r="KWM58" s="12"/>
      <c r="KWN58" s="12"/>
      <c r="KWO58" s="12"/>
      <c r="KWP58" s="12"/>
      <c r="KWQ58" s="12"/>
      <c r="KWR58" s="12"/>
      <c r="KWS58" s="12"/>
      <c r="KWT58" s="12"/>
      <c r="KWU58" s="12"/>
      <c r="KWV58" s="12"/>
      <c r="KWW58" s="12"/>
      <c r="KWX58" s="12"/>
      <c r="KWY58" s="12"/>
      <c r="KWZ58" s="12"/>
      <c r="KXA58" s="12"/>
      <c r="KXB58" s="12"/>
      <c r="KXC58" s="12"/>
      <c r="KXD58" s="12"/>
      <c r="KXE58" s="12"/>
      <c r="KXF58" s="12"/>
      <c r="KXG58" s="12"/>
      <c r="KXH58" s="12"/>
      <c r="KXI58" s="12"/>
      <c r="KXJ58" s="12"/>
      <c r="KXK58" s="12"/>
      <c r="KXL58" s="12"/>
      <c r="KXM58" s="12"/>
      <c r="KXN58" s="12"/>
      <c r="KXO58" s="12"/>
      <c r="KXP58" s="12"/>
      <c r="KXQ58" s="12"/>
      <c r="KXR58" s="12"/>
      <c r="KXS58" s="12"/>
      <c r="KXT58" s="12"/>
      <c r="KXU58" s="12"/>
      <c r="KXV58" s="12"/>
      <c r="KXW58" s="12"/>
      <c r="KXX58" s="12"/>
      <c r="KXY58" s="12"/>
      <c r="KXZ58" s="12"/>
      <c r="KYA58" s="12"/>
      <c r="KYB58" s="12"/>
      <c r="KYC58" s="12"/>
      <c r="KYD58" s="12"/>
      <c r="KYE58" s="12"/>
      <c r="KYF58" s="12"/>
      <c r="KYG58" s="12"/>
      <c r="KYH58" s="12"/>
      <c r="KYI58" s="12"/>
      <c r="KYJ58" s="12"/>
      <c r="KYK58" s="12"/>
      <c r="KYL58" s="12"/>
      <c r="KYM58" s="12"/>
      <c r="KYN58" s="12"/>
      <c r="KYO58" s="12"/>
      <c r="KYP58" s="12"/>
      <c r="KYQ58" s="12"/>
      <c r="KYR58" s="12"/>
      <c r="KYS58" s="12"/>
      <c r="KYT58" s="12"/>
      <c r="KYU58" s="12"/>
      <c r="KYV58" s="12"/>
      <c r="KYW58" s="12"/>
      <c r="KYX58" s="12"/>
      <c r="KYY58" s="12"/>
      <c r="KYZ58" s="12"/>
      <c r="KZA58" s="12"/>
      <c r="KZB58" s="12"/>
      <c r="KZC58" s="12"/>
      <c r="KZD58" s="12"/>
      <c r="KZE58" s="12"/>
      <c r="KZF58" s="12"/>
      <c r="KZG58" s="12"/>
      <c r="KZH58" s="12"/>
      <c r="KZI58" s="12"/>
      <c r="KZJ58" s="12"/>
      <c r="KZK58" s="12"/>
      <c r="KZL58" s="12"/>
      <c r="KZM58" s="12"/>
      <c r="KZN58" s="12"/>
      <c r="KZO58" s="12"/>
      <c r="KZP58" s="12"/>
      <c r="KZQ58" s="12"/>
      <c r="KZR58" s="12"/>
      <c r="KZS58" s="12"/>
      <c r="KZT58" s="12"/>
      <c r="KZU58" s="12"/>
      <c r="KZV58" s="12"/>
      <c r="KZW58" s="12"/>
      <c r="KZX58" s="12"/>
      <c r="KZY58" s="12"/>
      <c r="KZZ58" s="12"/>
      <c r="LAA58" s="12"/>
      <c r="LAB58" s="12"/>
      <c r="LAC58" s="12"/>
      <c r="LAD58" s="12"/>
      <c r="LAE58" s="12"/>
      <c r="LAF58" s="12"/>
      <c r="LAG58" s="12"/>
      <c r="LAH58" s="12"/>
      <c r="LAI58" s="12"/>
      <c r="LAJ58" s="12"/>
      <c r="LAK58" s="12"/>
      <c r="LAL58" s="12"/>
      <c r="LAM58" s="12"/>
      <c r="LAN58" s="12"/>
      <c r="LAO58" s="12"/>
      <c r="LAP58" s="12"/>
      <c r="LAQ58" s="12"/>
      <c r="LAR58" s="12"/>
      <c r="LAS58" s="12"/>
      <c r="LAT58" s="12"/>
      <c r="LAU58" s="12"/>
      <c r="LAV58" s="12"/>
      <c r="LAW58" s="12"/>
      <c r="LAX58" s="12"/>
      <c r="LAY58" s="12"/>
      <c r="LAZ58" s="12"/>
      <c r="LBA58" s="12"/>
      <c r="LBB58" s="12"/>
      <c r="LBC58" s="12"/>
      <c r="LBD58" s="12"/>
      <c r="LBE58" s="12"/>
      <c r="LBF58" s="12"/>
      <c r="LBG58" s="12"/>
      <c r="LBH58" s="12"/>
      <c r="LBI58" s="12"/>
      <c r="LBJ58" s="12"/>
      <c r="LBK58" s="12"/>
      <c r="LBL58" s="12"/>
      <c r="LBM58" s="12"/>
      <c r="LBN58" s="12"/>
      <c r="LBO58" s="12"/>
      <c r="LBP58" s="12"/>
      <c r="LBQ58" s="12"/>
      <c r="LBR58" s="12"/>
      <c r="LBS58" s="12"/>
      <c r="LBT58" s="12"/>
      <c r="LBU58" s="12"/>
      <c r="LBV58" s="12"/>
      <c r="LBW58" s="12"/>
      <c r="LBX58" s="12"/>
      <c r="LBY58" s="12"/>
      <c r="LBZ58" s="12"/>
      <c r="LCA58" s="12"/>
      <c r="LCB58" s="12"/>
      <c r="LCC58" s="12"/>
      <c r="LCD58" s="12"/>
      <c r="LCE58" s="12"/>
      <c r="LCF58" s="12"/>
      <c r="LCG58" s="12"/>
      <c r="LCH58" s="12"/>
      <c r="LCI58" s="12"/>
      <c r="LCJ58" s="12"/>
      <c r="LCK58" s="12"/>
      <c r="LCL58" s="12"/>
      <c r="LCM58" s="12"/>
      <c r="LCN58" s="12"/>
      <c r="LCO58" s="12"/>
      <c r="LCP58" s="12"/>
      <c r="LCQ58" s="12"/>
      <c r="LCR58" s="12"/>
      <c r="LCS58" s="12"/>
      <c r="LCT58" s="12"/>
      <c r="LCU58" s="12"/>
      <c r="LCV58" s="12"/>
      <c r="LCW58" s="12"/>
      <c r="LCX58" s="12"/>
      <c r="LCY58" s="12"/>
      <c r="LCZ58" s="12"/>
      <c r="LDA58" s="12"/>
      <c r="LDB58" s="12"/>
      <c r="LDC58" s="12"/>
      <c r="LDD58" s="12"/>
      <c r="LDE58" s="12"/>
      <c r="LDF58" s="12"/>
      <c r="LDG58" s="12"/>
      <c r="LDH58" s="12"/>
      <c r="LDI58" s="12"/>
      <c r="LDJ58" s="12"/>
      <c r="LDK58" s="12"/>
      <c r="LDL58" s="12"/>
      <c r="LDM58" s="12"/>
      <c r="LDN58" s="12"/>
      <c r="LDO58" s="12"/>
      <c r="LDP58" s="12"/>
      <c r="LDQ58" s="12"/>
      <c r="LDR58" s="12"/>
      <c r="LDS58" s="12"/>
      <c r="LDT58" s="12"/>
      <c r="LDU58" s="12"/>
      <c r="LDV58" s="12"/>
      <c r="LDW58" s="12"/>
      <c r="LDX58" s="12"/>
      <c r="LDY58" s="12"/>
      <c r="LDZ58" s="12"/>
      <c r="LEA58" s="12"/>
      <c r="LEB58" s="12"/>
      <c r="LEC58" s="12"/>
      <c r="LED58" s="12"/>
      <c r="LEE58" s="12"/>
      <c r="LEF58" s="12"/>
      <c r="LEG58" s="12"/>
      <c r="LEH58" s="12"/>
      <c r="LEI58" s="12"/>
      <c r="LEJ58" s="12"/>
      <c r="LEK58" s="12"/>
      <c r="LEL58" s="12"/>
      <c r="LEM58" s="12"/>
      <c r="LEN58" s="12"/>
      <c r="LEO58" s="12"/>
      <c r="LEP58" s="12"/>
      <c r="LEQ58" s="12"/>
      <c r="LER58" s="12"/>
      <c r="LES58" s="12"/>
      <c r="LET58" s="12"/>
      <c r="LEU58" s="12"/>
      <c r="LEV58" s="12"/>
      <c r="LEW58" s="12"/>
      <c r="LEX58" s="12"/>
      <c r="LEY58" s="12"/>
      <c r="LEZ58" s="12"/>
      <c r="LFA58" s="12"/>
      <c r="LFB58" s="12"/>
      <c r="LFC58" s="12"/>
      <c r="LFD58" s="12"/>
      <c r="LFE58" s="12"/>
      <c r="LFF58" s="12"/>
      <c r="LFG58" s="12"/>
      <c r="LFH58" s="12"/>
      <c r="LFI58" s="12"/>
      <c r="LFJ58" s="12"/>
      <c r="LFK58" s="12"/>
      <c r="LFL58" s="12"/>
      <c r="LFM58" s="12"/>
      <c r="LFN58" s="12"/>
      <c r="LFO58" s="12"/>
      <c r="LFP58" s="12"/>
      <c r="LFQ58" s="12"/>
      <c r="LFR58" s="12"/>
      <c r="LFS58" s="12"/>
      <c r="LFT58" s="12"/>
      <c r="LFU58" s="12"/>
      <c r="LFV58" s="12"/>
      <c r="LFW58" s="12"/>
      <c r="LFX58" s="12"/>
      <c r="LFY58" s="12"/>
      <c r="LFZ58" s="12"/>
      <c r="LGA58" s="12"/>
      <c r="LGB58" s="12"/>
      <c r="LGC58" s="12"/>
      <c r="LGD58" s="12"/>
      <c r="LGE58" s="12"/>
      <c r="LGF58" s="12"/>
      <c r="LGG58" s="12"/>
      <c r="LGH58" s="12"/>
      <c r="LGI58" s="12"/>
      <c r="LGJ58" s="12"/>
      <c r="LGK58" s="12"/>
      <c r="LGL58" s="12"/>
      <c r="LGM58" s="12"/>
      <c r="LGN58" s="12"/>
      <c r="LGO58" s="12"/>
      <c r="LGP58" s="12"/>
      <c r="LGQ58" s="12"/>
      <c r="LGR58" s="12"/>
      <c r="LGS58" s="12"/>
      <c r="LGT58" s="12"/>
      <c r="LGU58" s="12"/>
      <c r="LGV58" s="12"/>
      <c r="LGW58" s="12"/>
      <c r="LGX58" s="12"/>
      <c r="LGY58" s="12"/>
      <c r="LGZ58" s="12"/>
      <c r="LHA58" s="12"/>
      <c r="LHB58" s="12"/>
      <c r="LHC58" s="12"/>
      <c r="LHD58" s="12"/>
      <c r="LHE58" s="12"/>
      <c r="LHF58" s="12"/>
      <c r="LHG58" s="12"/>
      <c r="LHH58" s="12"/>
      <c r="LHI58" s="12"/>
      <c r="LHJ58" s="12"/>
      <c r="LHK58" s="12"/>
      <c r="LHL58" s="12"/>
      <c r="LHM58" s="12"/>
      <c r="LHN58" s="12"/>
      <c r="LHO58" s="12"/>
      <c r="LHP58" s="12"/>
      <c r="LHQ58" s="12"/>
      <c r="LHR58" s="12"/>
      <c r="LHS58" s="12"/>
      <c r="LHT58" s="12"/>
      <c r="LHU58" s="12"/>
      <c r="LHV58" s="12"/>
      <c r="LHW58" s="12"/>
      <c r="LHX58" s="12"/>
      <c r="LHY58" s="12"/>
      <c r="LHZ58" s="12"/>
      <c r="LIA58" s="12"/>
      <c r="LIB58" s="12"/>
      <c r="LIC58" s="12"/>
      <c r="LID58" s="12"/>
      <c r="LIE58" s="12"/>
      <c r="LIF58" s="12"/>
      <c r="LIG58" s="12"/>
      <c r="LIH58" s="12"/>
      <c r="LII58" s="12"/>
      <c r="LIJ58" s="12"/>
      <c r="LIK58" s="12"/>
      <c r="LIL58" s="12"/>
      <c r="LIM58" s="12"/>
      <c r="LIN58" s="12"/>
      <c r="LIO58" s="12"/>
      <c r="LIP58" s="12"/>
      <c r="LIQ58" s="12"/>
      <c r="LIR58" s="12"/>
      <c r="LIS58" s="12"/>
      <c r="LIT58" s="12"/>
      <c r="LIU58" s="12"/>
      <c r="LIV58" s="12"/>
      <c r="LIW58" s="12"/>
      <c r="LIX58" s="12"/>
      <c r="LIY58" s="12"/>
      <c r="LIZ58" s="12"/>
      <c r="LJA58" s="12"/>
      <c r="LJB58" s="12"/>
      <c r="LJC58" s="12"/>
      <c r="LJD58" s="12"/>
      <c r="LJE58" s="12"/>
      <c r="LJF58" s="12"/>
      <c r="LJG58" s="12"/>
      <c r="LJH58" s="12"/>
      <c r="LJI58" s="12"/>
      <c r="LJJ58" s="12"/>
      <c r="LJK58" s="12"/>
      <c r="LJL58" s="12"/>
      <c r="LJM58" s="12"/>
      <c r="LJN58" s="12"/>
      <c r="LJO58" s="12"/>
      <c r="LJP58" s="12"/>
      <c r="LJQ58" s="12"/>
      <c r="LJR58" s="12"/>
      <c r="LJS58" s="12"/>
      <c r="LJT58" s="12"/>
      <c r="LJU58" s="12"/>
      <c r="LJV58" s="12"/>
      <c r="LJW58" s="12"/>
      <c r="LJX58" s="12"/>
      <c r="LJY58" s="12"/>
      <c r="LJZ58" s="12"/>
      <c r="LKA58" s="12"/>
      <c r="LKB58" s="12"/>
      <c r="LKC58" s="12"/>
      <c r="LKD58" s="12"/>
      <c r="LKE58" s="12"/>
      <c r="LKF58" s="12"/>
      <c r="LKG58" s="12"/>
      <c r="LKH58" s="12"/>
      <c r="LKI58" s="12"/>
      <c r="LKJ58" s="12"/>
      <c r="LKK58" s="12"/>
      <c r="LKL58" s="12"/>
      <c r="LKM58" s="12"/>
      <c r="LKN58" s="12"/>
      <c r="LKO58" s="12"/>
      <c r="LKP58" s="12"/>
      <c r="LKQ58" s="12"/>
      <c r="LKR58" s="12"/>
      <c r="LKS58" s="12"/>
      <c r="LKT58" s="12"/>
      <c r="LKU58" s="12"/>
      <c r="LKV58" s="12"/>
      <c r="LKW58" s="12"/>
      <c r="LKX58" s="12"/>
      <c r="LKY58" s="12"/>
      <c r="LKZ58" s="12"/>
      <c r="LLA58" s="12"/>
      <c r="LLB58" s="12"/>
      <c r="LLC58" s="12"/>
      <c r="LLD58" s="12"/>
      <c r="LLE58" s="12"/>
      <c r="LLF58" s="12"/>
      <c r="LLG58" s="12"/>
      <c r="LLH58" s="12"/>
      <c r="LLI58" s="12"/>
      <c r="LLJ58" s="12"/>
      <c r="LLK58" s="12"/>
      <c r="LLL58" s="12"/>
      <c r="LLM58" s="12"/>
      <c r="LLN58" s="12"/>
      <c r="LLO58" s="12"/>
      <c r="LLP58" s="12"/>
      <c r="LLQ58" s="12"/>
      <c r="LLR58" s="12"/>
      <c r="LLS58" s="12"/>
      <c r="LLT58" s="12"/>
      <c r="LLU58" s="12"/>
      <c r="LLV58" s="12"/>
      <c r="LLW58" s="12"/>
      <c r="LLX58" s="12"/>
      <c r="LLY58" s="12"/>
      <c r="LLZ58" s="12"/>
      <c r="LMA58" s="12"/>
      <c r="LMB58" s="12"/>
      <c r="LMC58" s="12"/>
      <c r="LMD58" s="12"/>
      <c r="LME58" s="12"/>
      <c r="LMF58" s="12"/>
      <c r="LMG58" s="12"/>
      <c r="LMH58" s="12"/>
      <c r="LMI58" s="12"/>
      <c r="LMJ58" s="12"/>
      <c r="LMK58" s="12"/>
      <c r="LML58" s="12"/>
      <c r="LMM58" s="12"/>
      <c r="LMN58" s="12"/>
      <c r="LMO58" s="12"/>
      <c r="LMP58" s="12"/>
      <c r="LMQ58" s="12"/>
      <c r="LMR58" s="12"/>
      <c r="LMS58" s="12"/>
      <c r="LMT58" s="12"/>
      <c r="LMU58" s="12"/>
      <c r="LMV58" s="12"/>
      <c r="LMW58" s="12"/>
      <c r="LMX58" s="12"/>
      <c r="LMY58" s="12"/>
      <c r="LMZ58" s="12"/>
      <c r="LNA58" s="12"/>
      <c r="LNB58" s="12"/>
      <c r="LNC58" s="12"/>
      <c r="LND58" s="12"/>
      <c r="LNE58" s="12"/>
      <c r="LNF58" s="12"/>
      <c r="LNG58" s="12"/>
      <c r="LNH58" s="12"/>
      <c r="LNI58" s="12"/>
      <c r="LNJ58" s="12"/>
      <c r="LNK58" s="12"/>
      <c r="LNL58" s="12"/>
      <c r="LNM58" s="12"/>
      <c r="LNN58" s="12"/>
      <c r="LNO58" s="12"/>
      <c r="LNP58" s="12"/>
      <c r="LNQ58" s="12"/>
      <c r="LNR58" s="12"/>
      <c r="LNS58" s="12"/>
      <c r="LNT58" s="12"/>
      <c r="LNU58" s="12"/>
      <c r="LNV58" s="12"/>
      <c r="LNW58" s="12"/>
      <c r="LNX58" s="12"/>
      <c r="LNY58" s="12"/>
      <c r="LNZ58" s="12"/>
      <c r="LOA58" s="12"/>
      <c r="LOB58" s="12"/>
      <c r="LOC58" s="12"/>
      <c r="LOD58" s="12"/>
      <c r="LOE58" s="12"/>
      <c r="LOF58" s="12"/>
      <c r="LOG58" s="12"/>
      <c r="LOH58" s="12"/>
      <c r="LOI58" s="12"/>
      <c r="LOJ58" s="12"/>
      <c r="LOK58" s="12"/>
      <c r="LOL58" s="12"/>
      <c r="LOM58" s="12"/>
      <c r="LON58" s="12"/>
      <c r="LOO58" s="12"/>
      <c r="LOP58" s="12"/>
      <c r="LOQ58" s="12"/>
      <c r="LOR58" s="12"/>
      <c r="LOS58" s="12"/>
      <c r="LOT58" s="12"/>
      <c r="LOU58" s="12"/>
      <c r="LOV58" s="12"/>
      <c r="LOW58" s="12"/>
      <c r="LOX58" s="12"/>
      <c r="LOY58" s="12"/>
      <c r="LOZ58" s="12"/>
      <c r="LPA58" s="12"/>
      <c r="LPB58" s="12"/>
      <c r="LPC58" s="12"/>
      <c r="LPD58" s="12"/>
      <c r="LPE58" s="12"/>
      <c r="LPF58" s="12"/>
      <c r="LPG58" s="12"/>
      <c r="LPH58" s="12"/>
      <c r="LPI58" s="12"/>
      <c r="LPJ58" s="12"/>
      <c r="LPK58" s="12"/>
      <c r="LPL58" s="12"/>
      <c r="LPM58" s="12"/>
      <c r="LPN58" s="12"/>
      <c r="LPO58" s="12"/>
      <c r="LPP58" s="12"/>
      <c r="LPQ58" s="12"/>
      <c r="LPR58" s="12"/>
      <c r="LPS58" s="12"/>
      <c r="LPT58" s="12"/>
      <c r="LPU58" s="12"/>
      <c r="LPV58" s="12"/>
      <c r="LPW58" s="12"/>
      <c r="LPX58" s="12"/>
      <c r="LPY58" s="12"/>
      <c r="LPZ58" s="12"/>
      <c r="LQA58" s="12"/>
      <c r="LQB58" s="12"/>
      <c r="LQC58" s="12"/>
      <c r="LQD58" s="12"/>
      <c r="LQE58" s="12"/>
      <c r="LQF58" s="12"/>
      <c r="LQG58" s="12"/>
      <c r="LQH58" s="12"/>
      <c r="LQI58" s="12"/>
      <c r="LQJ58" s="12"/>
      <c r="LQK58" s="12"/>
      <c r="LQL58" s="12"/>
      <c r="LQM58" s="12"/>
      <c r="LQN58" s="12"/>
      <c r="LQO58" s="12"/>
      <c r="LQP58" s="12"/>
      <c r="LQQ58" s="12"/>
      <c r="LQR58" s="12"/>
      <c r="LQS58" s="12"/>
      <c r="LQT58" s="12"/>
      <c r="LQU58" s="12"/>
      <c r="LQV58" s="12"/>
      <c r="LQW58" s="12"/>
      <c r="LQX58" s="12"/>
      <c r="LQY58" s="12"/>
      <c r="LQZ58" s="12"/>
      <c r="LRA58" s="12"/>
      <c r="LRB58" s="12"/>
      <c r="LRC58" s="12"/>
      <c r="LRD58" s="12"/>
      <c r="LRE58" s="12"/>
      <c r="LRF58" s="12"/>
      <c r="LRG58" s="12"/>
      <c r="LRH58" s="12"/>
      <c r="LRI58" s="12"/>
      <c r="LRJ58" s="12"/>
      <c r="LRK58" s="12"/>
      <c r="LRL58" s="12"/>
      <c r="LRM58" s="12"/>
      <c r="LRN58" s="12"/>
      <c r="LRO58" s="12"/>
      <c r="LRP58" s="12"/>
      <c r="LRQ58" s="12"/>
      <c r="LRR58" s="12"/>
      <c r="LRS58" s="12"/>
      <c r="LRT58" s="12"/>
      <c r="LRU58" s="12"/>
      <c r="LRV58" s="12"/>
      <c r="LRW58" s="12"/>
      <c r="LRX58" s="12"/>
      <c r="LRY58" s="12"/>
      <c r="LRZ58" s="12"/>
      <c r="LSA58" s="12"/>
      <c r="LSB58" s="12"/>
      <c r="LSC58" s="12"/>
      <c r="LSD58" s="12"/>
      <c r="LSE58" s="12"/>
      <c r="LSF58" s="12"/>
      <c r="LSG58" s="12"/>
      <c r="LSH58" s="12"/>
      <c r="LSI58" s="12"/>
      <c r="LSJ58" s="12"/>
      <c r="LSK58" s="12"/>
      <c r="LSL58" s="12"/>
      <c r="LSM58" s="12"/>
      <c r="LSN58" s="12"/>
      <c r="LSO58" s="12"/>
      <c r="LSP58" s="12"/>
      <c r="LSQ58" s="12"/>
      <c r="LSR58" s="12"/>
      <c r="LSS58" s="12"/>
      <c r="LST58" s="12"/>
      <c r="LSU58" s="12"/>
      <c r="LSV58" s="12"/>
      <c r="LSW58" s="12"/>
      <c r="LSX58" s="12"/>
      <c r="LSY58" s="12"/>
      <c r="LSZ58" s="12"/>
      <c r="LTA58" s="12"/>
      <c r="LTB58" s="12"/>
      <c r="LTC58" s="12"/>
      <c r="LTD58" s="12"/>
      <c r="LTE58" s="12"/>
      <c r="LTF58" s="12"/>
      <c r="LTG58" s="12"/>
      <c r="LTH58" s="12"/>
      <c r="LTI58" s="12"/>
      <c r="LTJ58" s="12"/>
      <c r="LTK58" s="12"/>
      <c r="LTL58" s="12"/>
      <c r="LTM58" s="12"/>
      <c r="LTN58" s="12"/>
      <c r="LTO58" s="12"/>
      <c r="LTP58" s="12"/>
      <c r="LTQ58" s="12"/>
      <c r="LTR58" s="12"/>
      <c r="LTS58" s="12"/>
      <c r="LTT58" s="12"/>
      <c r="LTU58" s="12"/>
      <c r="LTV58" s="12"/>
      <c r="LTW58" s="12"/>
      <c r="LTX58" s="12"/>
      <c r="LTY58" s="12"/>
      <c r="LTZ58" s="12"/>
      <c r="LUA58" s="12"/>
      <c r="LUB58" s="12"/>
      <c r="LUC58" s="12"/>
      <c r="LUD58" s="12"/>
      <c r="LUE58" s="12"/>
      <c r="LUF58" s="12"/>
      <c r="LUG58" s="12"/>
      <c r="LUH58" s="12"/>
      <c r="LUI58" s="12"/>
      <c r="LUJ58" s="12"/>
      <c r="LUK58" s="12"/>
      <c r="LUL58" s="12"/>
      <c r="LUM58" s="12"/>
      <c r="LUN58" s="12"/>
      <c r="LUO58" s="12"/>
      <c r="LUP58" s="12"/>
      <c r="LUQ58" s="12"/>
      <c r="LUR58" s="12"/>
      <c r="LUS58" s="12"/>
      <c r="LUT58" s="12"/>
      <c r="LUU58" s="12"/>
      <c r="LUV58" s="12"/>
      <c r="LUW58" s="12"/>
      <c r="LUX58" s="12"/>
      <c r="LUY58" s="12"/>
      <c r="LUZ58" s="12"/>
      <c r="LVA58" s="12"/>
      <c r="LVB58" s="12"/>
      <c r="LVC58" s="12"/>
      <c r="LVD58" s="12"/>
      <c r="LVE58" s="12"/>
      <c r="LVF58" s="12"/>
      <c r="LVG58" s="12"/>
      <c r="LVH58" s="12"/>
      <c r="LVI58" s="12"/>
      <c r="LVJ58" s="12"/>
      <c r="LVK58" s="12"/>
      <c r="LVL58" s="12"/>
      <c r="LVM58" s="12"/>
      <c r="LVN58" s="12"/>
      <c r="LVO58" s="12"/>
      <c r="LVP58" s="12"/>
      <c r="LVQ58" s="12"/>
      <c r="LVR58" s="12"/>
      <c r="LVS58" s="12"/>
      <c r="LVT58" s="12"/>
      <c r="LVU58" s="12"/>
      <c r="LVV58" s="12"/>
      <c r="LVW58" s="12"/>
      <c r="LVX58" s="12"/>
      <c r="LVY58" s="12"/>
      <c r="LVZ58" s="12"/>
      <c r="LWA58" s="12"/>
      <c r="LWB58" s="12"/>
      <c r="LWC58" s="12"/>
      <c r="LWD58" s="12"/>
      <c r="LWE58" s="12"/>
      <c r="LWF58" s="12"/>
      <c r="LWG58" s="12"/>
      <c r="LWH58" s="12"/>
      <c r="LWI58" s="12"/>
      <c r="LWJ58" s="12"/>
      <c r="LWK58" s="12"/>
      <c r="LWL58" s="12"/>
      <c r="LWM58" s="12"/>
      <c r="LWN58" s="12"/>
      <c r="LWO58" s="12"/>
      <c r="LWP58" s="12"/>
      <c r="LWQ58" s="12"/>
      <c r="LWR58" s="12"/>
      <c r="LWS58" s="12"/>
      <c r="LWT58" s="12"/>
      <c r="LWU58" s="12"/>
      <c r="LWV58" s="12"/>
      <c r="LWW58" s="12"/>
      <c r="LWX58" s="12"/>
      <c r="LWY58" s="12"/>
      <c r="LWZ58" s="12"/>
      <c r="LXA58" s="12"/>
      <c r="LXB58" s="12"/>
      <c r="LXC58" s="12"/>
      <c r="LXD58" s="12"/>
      <c r="LXE58" s="12"/>
      <c r="LXF58" s="12"/>
      <c r="LXG58" s="12"/>
      <c r="LXH58" s="12"/>
      <c r="LXI58" s="12"/>
      <c r="LXJ58" s="12"/>
      <c r="LXK58" s="12"/>
      <c r="LXL58" s="12"/>
      <c r="LXM58" s="12"/>
      <c r="LXN58" s="12"/>
      <c r="LXO58" s="12"/>
      <c r="LXP58" s="12"/>
      <c r="LXQ58" s="12"/>
      <c r="LXR58" s="12"/>
      <c r="LXS58" s="12"/>
      <c r="LXT58" s="12"/>
      <c r="LXU58" s="12"/>
      <c r="LXV58" s="12"/>
      <c r="LXW58" s="12"/>
      <c r="LXX58" s="12"/>
      <c r="LXY58" s="12"/>
      <c r="LXZ58" s="12"/>
      <c r="LYA58" s="12"/>
      <c r="LYB58" s="12"/>
      <c r="LYC58" s="12"/>
      <c r="LYD58" s="12"/>
      <c r="LYE58" s="12"/>
      <c r="LYF58" s="12"/>
      <c r="LYG58" s="12"/>
      <c r="LYH58" s="12"/>
      <c r="LYI58" s="12"/>
      <c r="LYJ58" s="12"/>
      <c r="LYK58" s="12"/>
      <c r="LYL58" s="12"/>
      <c r="LYM58" s="12"/>
      <c r="LYN58" s="12"/>
      <c r="LYO58" s="12"/>
      <c r="LYP58" s="12"/>
      <c r="LYQ58" s="12"/>
      <c r="LYR58" s="12"/>
      <c r="LYS58" s="12"/>
      <c r="LYT58" s="12"/>
      <c r="LYU58" s="12"/>
      <c r="LYV58" s="12"/>
      <c r="LYW58" s="12"/>
      <c r="LYX58" s="12"/>
      <c r="LYY58" s="12"/>
      <c r="LYZ58" s="12"/>
      <c r="LZA58" s="12"/>
      <c r="LZB58" s="12"/>
      <c r="LZC58" s="12"/>
      <c r="LZD58" s="12"/>
      <c r="LZE58" s="12"/>
      <c r="LZF58" s="12"/>
      <c r="LZG58" s="12"/>
      <c r="LZH58" s="12"/>
      <c r="LZI58" s="12"/>
      <c r="LZJ58" s="12"/>
      <c r="LZK58" s="12"/>
      <c r="LZL58" s="12"/>
      <c r="LZM58" s="12"/>
      <c r="LZN58" s="12"/>
      <c r="LZO58" s="12"/>
      <c r="LZP58" s="12"/>
      <c r="LZQ58" s="12"/>
      <c r="LZR58" s="12"/>
      <c r="LZS58" s="12"/>
      <c r="LZT58" s="12"/>
      <c r="LZU58" s="12"/>
      <c r="LZV58" s="12"/>
      <c r="LZW58" s="12"/>
      <c r="LZX58" s="12"/>
      <c r="LZY58" s="12"/>
      <c r="LZZ58" s="12"/>
      <c r="MAA58" s="12"/>
      <c r="MAB58" s="12"/>
      <c r="MAC58" s="12"/>
      <c r="MAD58" s="12"/>
      <c r="MAE58" s="12"/>
      <c r="MAF58" s="12"/>
      <c r="MAG58" s="12"/>
      <c r="MAH58" s="12"/>
      <c r="MAI58" s="12"/>
      <c r="MAJ58" s="12"/>
      <c r="MAK58" s="12"/>
      <c r="MAL58" s="12"/>
      <c r="MAM58" s="12"/>
      <c r="MAN58" s="12"/>
      <c r="MAO58" s="12"/>
      <c r="MAP58" s="12"/>
      <c r="MAQ58" s="12"/>
      <c r="MAR58" s="12"/>
      <c r="MAS58" s="12"/>
      <c r="MAT58" s="12"/>
      <c r="MAU58" s="12"/>
      <c r="MAV58" s="12"/>
      <c r="MAW58" s="12"/>
      <c r="MAX58" s="12"/>
      <c r="MAY58" s="12"/>
      <c r="MAZ58" s="12"/>
      <c r="MBA58" s="12"/>
      <c r="MBB58" s="12"/>
      <c r="MBC58" s="12"/>
      <c r="MBD58" s="12"/>
      <c r="MBE58" s="12"/>
      <c r="MBF58" s="12"/>
      <c r="MBG58" s="12"/>
      <c r="MBH58" s="12"/>
      <c r="MBI58" s="12"/>
      <c r="MBJ58" s="12"/>
      <c r="MBK58" s="12"/>
      <c r="MBL58" s="12"/>
      <c r="MBM58" s="12"/>
      <c r="MBN58" s="12"/>
      <c r="MBO58" s="12"/>
      <c r="MBP58" s="12"/>
      <c r="MBQ58" s="12"/>
      <c r="MBR58" s="12"/>
      <c r="MBS58" s="12"/>
      <c r="MBT58" s="12"/>
      <c r="MBU58" s="12"/>
      <c r="MBV58" s="12"/>
      <c r="MBW58" s="12"/>
      <c r="MBX58" s="12"/>
      <c r="MBY58" s="12"/>
      <c r="MBZ58" s="12"/>
      <c r="MCA58" s="12"/>
      <c r="MCB58" s="12"/>
      <c r="MCC58" s="12"/>
      <c r="MCD58" s="12"/>
      <c r="MCE58" s="12"/>
      <c r="MCF58" s="12"/>
      <c r="MCG58" s="12"/>
      <c r="MCH58" s="12"/>
      <c r="MCI58" s="12"/>
      <c r="MCJ58" s="12"/>
      <c r="MCK58" s="12"/>
      <c r="MCL58" s="12"/>
      <c r="MCM58" s="12"/>
      <c r="MCN58" s="12"/>
      <c r="MCO58" s="12"/>
      <c r="MCP58" s="12"/>
      <c r="MCQ58" s="12"/>
      <c r="MCR58" s="12"/>
      <c r="MCS58" s="12"/>
      <c r="MCT58" s="12"/>
      <c r="MCU58" s="12"/>
      <c r="MCV58" s="12"/>
      <c r="MCW58" s="12"/>
      <c r="MCX58" s="12"/>
      <c r="MCY58" s="12"/>
      <c r="MCZ58" s="12"/>
      <c r="MDA58" s="12"/>
      <c r="MDB58" s="12"/>
      <c r="MDC58" s="12"/>
      <c r="MDD58" s="12"/>
      <c r="MDE58" s="12"/>
      <c r="MDF58" s="12"/>
      <c r="MDG58" s="12"/>
      <c r="MDH58" s="12"/>
      <c r="MDI58" s="12"/>
      <c r="MDJ58" s="12"/>
      <c r="MDK58" s="12"/>
      <c r="MDL58" s="12"/>
      <c r="MDM58" s="12"/>
      <c r="MDN58" s="12"/>
      <c r="MDO58" s="12"/>
      <c r="MDP58" s="12"/>
      <c r="MDQ58" s="12"/>
      <c r="MDR58" s="12"/>
      <c r="MDS58" s="12"/>
      <c r="MDT58" s="12"/>
      <c r="MDU58" s="12"/>
      <c r="MDV58" s="12"/>
      <c r="MDW58" s="12"/>
      <c r="MDX58" s="12"/>
      <c r="MDY58" s="12"/>
      <c r="MDZ58" s="12"/>
      <c r="MEA58" s="12"/>
      <c r="MEB58" s="12"/>
      <c r="MEC58" s="12"/>
      <c r="MED58" s="12"/>
      <c r="MEE58" s="12"/>
      <c r="MEF58" s="12"/>
      <c r="MEG58" s="12"/>
      <c r="MEH58" s="12"/>
      <c r="MEI58" s="12"/>
      <c r="MEJ58" s="12"/>
      <c r="MEK58" s="12"/>
      <c r="MEL58" s="12"/>
      <c r="MEM58" s="12"/>
      <c r="MEN58" s="12"/>
      <c r="MEO58" s="12"/>
      <c r="MEP58" s="12"/>
      <c r="MEQ58" s="12"/>
      <c r="MER58" s="12"/>
      <c r="MES58" s="12"/>
      <c r="MET58" s="12"/>
      <c r="MEU58" s="12"/>
      <c r="MEV58" s="12"/>
      <c r="MEW58" s="12"/>
      <c r="MEX58" s="12"/>
      <c r="MEY58" s="12"/>
      <c r="MEZ58" s="12"/>
      <c r="MFA58" s="12"/>
      <c r="MFB58" s="12"/>
      <c r="MFC58" s="12"/>
      <c r="MFD58" s="12"/>
      <c r="MFE58" s="12"/>
      <c r="MFF58" s="12"/>
      <c r="MFG58" s="12"/>
      <c r="MFH58" s="12"/>
      <c r="MFI58" s="12"/>
      <c r="MFJ58" s="12"/>
      <c r="MFK58" s="12"/>
      <c r="MFL58" s="12"/>
      <c r="MFM58" s="12"/>
      <c r="MFN58" s="12"/>
      <c r="MFO58" s="12"/>
      <c r="MFP58" s="12"/>
      <c r="MFQ58" s="12"/>
      <c r="MFR58" s="12"/>
      <c r="MFS58" s="12"/>
      <c r="MFT58" s="12"/>
      <c r="MFU58" s="12"/>
      <c r="MFV58" s="12"/>
      <c r="MFW58" s="12"/>
      <c r="MFX58" s="12"/>
      <c r="MFY58" s="12"/>
      <c r="MFZ58" s="12"/>
      <c r="MGA58" s="12"/>
      <c r="MGB58" s="12"/>
      <c r="MGC58" s="12"/>
      <c r="MGD58" s="12"/>
      <c r="MGE58" s="12"/>
      <c r="MGF58" s="12"/>
      <c r="MGG58" s="12"/>
      <c r="MGH58" s="12"/>
      <c r="MGI58" s="12"/>
      <c r="MGJ58" s="12"/>
      <c r="MGK58" s="12"/>
      <c r="MGL58" s="12"/>
      <c r="MGM58" s="12"/>
      <c r="MGN58" s="12"/>
      <c r="MGO58" s="12"/>
      <c r="MGP58" s="12"/>
      <c r="MGQ58" s="12"/>
      <c r="MGR58" s="12"/>
      <c r="MGS58" s="12"/>
      <c r="MGT58" s="12"/>
      <c r="MGU58" s="12"/>
      <c r="MGV58" s="12"/>
      <c r="MGW58" s="12"/>
      <c r="MGX58" s="12"/>
      <c r="MGY58" s="12"/>
      <c r="MGZ58" s="12"/>
      <c r="MHA58" s="12"/>
      <c r="MHB58" s="12"/>
      <c r="MHC58" s="12"/>
      <c r="MHD58" s="12"/>
      <c r="MHE58" s="12"/>
      <c r="MHF58" s="12"/>
      <c r="MHG58" s="12"/>
      <c r="MHH58" s="12"/>
      <c r="MHI58" s="12"/>
      <c r="MHJ58" s="12"/>
      <c r="MHK58" s="12"/>
      <c r="MHL58" s="12"/>
      <c r="MHM58" s="12"/>
      <c r="MHN58" s="12"/>
      <c r="MHO58" s="12"/>
      <c r="MHP58" s="12"/>
      <c r="MHQ58" s="12"/>
      <c r="MHR58" s="12"/>
      <c r="MHS58" s="12"/>
      <c r="MHT58" s="12"/>
      <c r="MHU58" s="12"/>
      <c r="MHV58" s="12"/>
      <c r="MHW58" s="12"/>
      <c r="MHX58" s="12"/>
      <c r="MHY58" s="12"/>
      <c r="MHZ58" s="12"/>
      <c r="MIA58" s="12"/>
      <c r="MIB58" s="12"/>
      <c r="MIC58" s="12"/>
      <c r="MID58" s="12"/>
      <c r="MIE58" s="12"/>
      <c r="MIF58" s="12"/>
      <c r="MIG58" s="12"/>
      <c r="MIH58" s="12"/>
      <c r="MII58" s="12"/>
      <c r="MIJ58" s="12"/>
      <c r="MIK58" s="12"/>
      <c r="MIL58" s="12"/>
      <c r="MIM58" s="12"/>
      <c r="MIN58" s="12"/>
      <c r="MIO58" s="12"/>
      <c r="MIP58" s="12"/>
      <c r="MIQ58" s="12"/>
      <c r="MIR58" s="12"/>
      <c r="MIS58" s="12"/>
      <c r="MIT58" s="12"/>
      <c r="MIU58" s="12"/>
      <c r="MIV58" s="12"/>
      <c r="MIW58" s="12"/>
      <c r="MIX58" s="12"/>
      <c r="MIY58" s="12"/>
      <c r="MIZ58" s="12"/>
      <c r="MJA58" s="12"/>
      <c r="MJB58" s="12"/>
      <c r="MJC58" s="12"/>
      <c r="MJD58" s="12"/>
      <c r="MJE58" s="12"/>
      <c r="MJF58" s="12"/>
      <c r="MJG58" s="12"/>
      <c r="MJH58" s="12"/>
      <c r="MJI58" s="12"/>
      <c r="MJJ58" s="12"/>
      <c r="MJK58" s="12"/>
      <c r="MJL58" s="12"/>
      <c r="MJM58" s="12"/>
      <c r="MJN58" s="12"/>
      <c r="MJO58" s="12"/>
      <c r="MJP58" s="12"/>
      <c r="MJQ58" s="12"/>
      <c r="MJR58" s="12"/>
      <c r="MJS58" s="12"/>
      <c r="MJT58" s="12"/>
      <c r="MJU58" s="12"/>
      <c r="MJV58" s="12"/>
      <c r="MJW58" s="12"/>
      <c r="MJX58" s="12"/>
      <c r="MJY58" s="12"/>
      <c r="MJZ58" s="12"/>
      <c r="MKA58" s="12"/>
      <c r="MKB58" s="12"/>
      <c r="MKC58" s="12"/>
      <c r="MKD58" s="12"/>
      <c r="MKE58" s="12"/>
      <c r="MKF58" s="12"/>
      <c r="MKG58" s="12"/>
      <c r="MKH58" s="12"/>
      <c r="MKI58" s="12"/>
      <c r="MKJ58" s="12"/>
      <c r="MKK58" s="12"/>
      <c r="MKL58" s="12"/>
      <c r="MKM58" s="12"/>
      <c r="MKN58" s="12"/>
      <c r="MKO58" s="12"/>
      <c r="MKP58" s="12"/>
      <c r="MKQ58" s="12"/>
      <c r="MKR58" s="12"/>
      <c r="MKS58" s="12"/>
      <c r="MKT58" s="12"/>
      <c r="MKU58" s="12"/>
      <c r="MKV58" s="12"/>
      <c r="MKW58" s="12"/>
      <c r="MKX58" s="12"/>
      <c r="MKY58" s="12"/>
      <c r="MKZ58" s="12"/>
      <c r="MLA58" s="12"/>
      <c r="MLB58" s="12"/>
      <c r="MLC58" s="12"/>
      <c r="MLD58" s="12"/>
      <c r="MLE58" s="12"/>
      <c r="MLF58" s="12"/>
      <c r="MLG58" s="12"/>
      <c r="MLH58" s="12"/>
      <c r="MLI58" s="12"/>
      <c r="MLJ58" s="12"/>
      <c r="MLK58" s="12"/>
      <c r="MLL58" s="12"/>
      <c r="MLM58" s="12"/>
      <c r="MLN58" s="12"/>
      <c r="MLO58" s="12"/>
      <c r="MLP58" s="12"/>
      <c r="MLQ58" s="12"/>
      <c r="MLR58" s="12"/>
      <c r="MLS58" s="12"/>
      <c r="MLT58" s="12"/>
      <c r="MLU58" s="12"/>
      <c r="MLV58" s="12"/>
      <c r="MLW58" s="12"/>
      <c r="MLX58" s="12"/>
      <c r="MLY58" s="12"/>
      <c r="MLZ58" s="12"/>
      <c r="MMA58" s="12"/>
      <c r="MMB58" s="12"/>
      <c r="MMC58" s="12"/>
      <c r="MMD58" s="12"/>
      <c r="MME58" s="12"/>
      <c r="MMF58" s="12"/>
      <c r="MMG58" s="12"/>
      <c r="MMH58" s="12"/>
      <c r="MMI58" s="12"/>
      <c r="MMJ58" s="12"/>
      <c r="MMK58" s="12"/>
      <c r="MML58" s="12"/>
      <c r="MMM58" s="12"/>
      <c r="MMN58" s="12"/>
      <c r="MMO58" s="12"/>
      <c r="MMP58" s="12"/>
      <c r="MMQ58" s="12"/>
      <c r="MMR58" s="12"/>
      <c r="MMS58" s="12"/>
      <c r="MMT58" s="12"/>
      <c r="MMU58" s="12"/>
      <c r="MMV58" s="12"/>
      <c r="MMW58" s="12"/>
      <c r="MMX58" s="12"/>
      <c r="MMY58" s="12"/>
      <c r="MMZ58" s="12"/>
      <c r="MNA58" s="12"/>
      <c r="MNB58" s="12"/>
      <c r="MNC58" s="12"/>
      <c r="MND58" s="12"/>
      <c r="MNE58" s="12"/>
      <c r="MNF58" s="12"/>
      <c r="MNG58" s="12"/>
      <c r="MNH58" s="12"/>
      <c r="MNI58" s="12"/>
      <c r="MNJ58" s="12"/>
      <c r="MNK58" s="12"/>
      <c r="MNL58" s="12"/>
      <c r="MNM58" s="12"/>
      <c r="MNN58" s="12"/>
      <c r="MNO58" s="12"/>
      <c r="MNP58" s="12"/>
      <c r="MNQ58" s="12"/>
      <c r="MNR58" s="12"/>
      <c r="MNS58" s="12"/>
      <c r="MNT58" s="12"/>
      <c r="MNU58" s="12"/>
      <c r="MNV58" s="12"/>
      <c r="MNW58" s="12"/>
      <c r="MNX58" s="12"/>
      <c r="MNY58" s="12"/>
      <c r="MNZ58" s="12"/>
      <c r="MOA58" s="12"/>
      <c r="MOB58" s="12"/>
      <c r="MOC58" s="12"/>
      <c r="MOD58" s="12"/>
      <c r="MOE58" s="12"/>
      <c r="MOF58" s="12"/>
      <c r="MOG58" s="12"/>
      <c r="MOH58" s="12"/>
      <c r="MOI58" s="12"/>
      <c r="MOJ58" s="12"/>
      <c r="MOK58" s="12"/>
      <c r="MOL58" s="12"/>
      <c r="MOM58" s="12"/>
      <c r="MON58" s="12"/>
      <c r="MOO58" s="12"/>
      <c r="MOP58" s="12"/>
      <c r="MOQ58" s="12"/>
      <c r="MOR58" s="12"/>
      <c r="MOS58" s="12"/>
      <c r="MOT58" s="12"/>
      <c r="MOU58" s="12"/>
      <c r="MOV58" s="12"/>
      <c r="MOW58" s="12"/>
      <c r="MOX58" s="12"/>
      <c r="MOY58" s="12"/>
      <c r="MOZ58" s="12"/>
      <c r="MPA58" s="12"/>
      <c r="MPB58" s="12"/>
      <c r="MPC58" s="12"/>
      <c r="MPD58" s="12"/>
      <c r="MPE58" s="12"/>
      <c r="MPF58" s="12"/>
      <c r="MPG58" s="12"/>
      <c r="MPH58" s="12"/>
      <c r="MPI58" s="12"/>
      <c r="MPJ58" s="12"/>
      <c r="MPK58" s="12"/>
      <c r="MPL58" s="12"/>
      <c r="MPM58" s="12"/>
      <c r="MPN58" s="12"/>
      <c r="MPO58" s="12"/>
      <c r="MPP58" s="12"/>
      <c r="MPQ58" s="12"/>
      <c r="MPR58" s="12"/>
      <c r="MPS58" s="12"/>
      <c r="MPT58" s="12"/>
      <c r="MPU58" s="12"/>
      <c r="MPV58" s="12"/>
      <c r="MPW58" s="12"/>
      <c r="MPX58" s="12"/>
      <c r="MPY58" s="12"/>
      <c r="MPZ58" s="12"/>
      <c r="MQA58" s="12"/>
      <c r="MQB58" s="12"/>
      <c r="MQC58" s="12"/>
      <c r="MQD58" s="12"/>
      <c r="MQE58" s="12"/>
      <c r="MQF58" s="12"/>
      <c r="MQG58" s="12"/>
      <c r="MQH58" s="12"/>
      <c r="MQI58" s="12"/>
      <c r="MQJ58" s="12"/>
      <c r="MQK58" s="12"/>
      <c r="MQL58" s="12"/>
      <c r="MQM58" s="12"/>
      <c r="MQN58" s="12"/>
      <c r="MQO58" s="12"/>
      <c r="MQP58" s="12"/>
      <c r="MQQ58" s="12"/>
      <c r="MQR58" s="12"/>
      <c r="MQS58" s="12"/>
      <c r="MQT58" s="12"/>
      <c r="MQU58" s="12"/>
      <c r="MQV58" s="12"/>
      <c r="MQW58" s="12"/>
      <c r="MQX58" s="12"/>
      <c r="MQY58" s="12"/>
      <c r="MQZ58" s="12"/>
      <c r="MRA58" s="12"/>
      <c r="MRB58" s="12"/>
      <c r="MRC58" s="12"/>
      <c r="MRD58" s="12"/>
      <c r="MRE58" s="12"/>
      <c r="MRF58" s="12"/>
      <c r="MRG58" s="12"/>
      <c r="MRH58" s="12"/>
      <c r="MRI58" s="12"/>
      <c r="MRJ58" s="12"/>
      <c r="MRK58" s="12"/>
      <c r="MRL58" s="12"/>
      <c r="MRM58" s="12"/>
      <c r="MRN58" s="12"/>
      <c r="MRO58" s="12"/>
      <c r="MRP58" s="12"/>
      <c r="MRQ58" s="12"/>
      <c r="MRR58" s="12"/>
      <c r="MRS58" s="12"/>
      <c r="MRT58" s="12"/>
      <c r="MRU58" s="12"/>
      <c r="MRV58" s="12"/>
      <c r="MRW58" s="12"/>
      <c r="MRX58" s="12"/>
      <c r="MRY58" s="12"/>
      <c r="MRZ58" s="12"/>
      <c r="MSA58" s="12"/>
      <c r="MSB58" s="12"/>
      <c r="MSC58" s="12"/>
      <c r="MSD58" s="12"/>
      <c r="MSE58" s="12"/>
      <c r="MSF58" s="12"/>
      <c r="MSG58" s="12"/>
      <c r="MSH58" s="12"/>
      <c r="MSI58" s="12"/>
      <c r="MSJ58" s="12"/>
      <c r="MSK58" s="12"/>
      <c r="MSL58" s="12"/>
      <c r="MSM58" s="12"/>
      <c r="MSN58" s="12"/>
      <c r="MSO58" s="12"/>
      <c r="MSP58" s="12"/>
      <c r="MSQ58" s="12"/>
      <c r="MSR58" s="12"/>
      <c r="MSS58" s="12"/>
      <c r="MST58" s="12"/>
      <c r="MSU58" s="12"/>
      <c r="MSV58" s="12"/>
      <c r="MSW58" s="12"/>
      <c r="MSX58" s="12"/>
      <c r="MSY58" s="12"/>
      <c r="MSZ58" s="12"/>
      <c r="MTA58" s="12"/>
      <c r="MTB58" s="12"/>
      <c r="MTC58" s="12"/>
      <c r="MTD58" s="12"/>
      <c r="MTE58" s="12"/>
      <c r="MTF58" s="12"/>
      <c r="MTG58" s="12"/>
      <c r="MTH58" s="12"/>
      <c r="MTI58" s="12"/>
      <c r="MTJ58" s="12"/>
      <c r="MTK58" s="12"/>
      <c r="MTL58" s="12"/>
      <c r="MTM58" s="12"/>
      <c r="MTN58" s="12"/>
      <c r="MTO58" s="12"/>
      <c r="MTP58" s="12"/>
      <c r="MTQ58" s="12"/>
      <c r="MTR58" s="12"/>
      <c r="MTS58" s="12"/>
      <c r="MTT58" s="12"/>
      <c r="MTU58" s="12"/>
      <c r="MTV58" s="12"/>
      <c r="MTW58" s="12"/>
      <c r="MTX58" s="12"/>
      <c r="MTY58" s="12"/>
      <c r="MTZ58" s="12"/>
      <c r="MUA58" s="12"/>
      <c r="MUB58" s="12"/>
      <c r="MUC58" s="12"/>
      <c r="MUD58" s="12"/>
      <c r="MUE58" s="12"/>
      <c r="MUF58" s="12"/>
      <c r="MUG58" s="12"/>
      <c r="MUH58" s="12"/>
      <c r="MUI58" s="12"/>
      <c r="MUJ58" s="12"/>
      <c r="MUK58" s="12"/>
      <c r="MUL58" s="12"/>
      <c r="MUM58" s="12"/>
      <c r="MUN58" s="12"/>
      <c r="MUO58" s="12"/>
      <c r="MUP58" s="12"/>
      <c r="MUQ58" s="12"/>
      <c r="MUR58" s="12"/>
      <c r="MUS58" s="12"/>
      <c r="MUT58" s="12"/>
      <c r="MUU58" s="12"/>
      <c r="MUV58" s="12"/>
      <c r="MUW58" s="12"/>
      <c r="MUX58" s="12"/>
      <c r="MUY58" s="12"/>
      <c r="MUZ58" s="12"/>
      <c r="MVA58" s="12"/>
      <c r="MVB58" s="12"/>
      <c r="MVC58" s="12"/>
      <c r="MVD58" s="12"/>
      <c r="MVE58" s="12"/>
      <c r="MVF58" s="12"/>
      <c r="MVG58" s="12"/>
      <c r="MVH58" s="12"/>
      <c r="MVI58" s="12"/>
      <c r="MVJ58" s="12"/>
      <c r="MVK58" s="12"/>
      <c r="MVL58" s="12"/>
      <c r="MVM58" s="12"/>
      <c r="MVN58" s="12"/>
      <c r="MVO58" s="12"/>
      <c r="MVP58" s="12"/>
      <c r="MVQ58" s="12"/>
      <c r="MVR58" s="12"/>
      <c r="MVS58" s="12"/>
      <c r="MVT58" s="12"/>
      <c r="MVU58" s="12"/>
      <c r="MVV58" s="12"/>
      <c r="MVW58" s="12"/>
      <c r="MVX58" s="12"/>
      <c r="MVY58" s="12"/>
      <c r="MVZ58" s="12"/>
      <c r="MWA58" s="12"/>
      <c r="MWB58" s="12"/>
      <c r="MWC58" s="12"/>
      <c r="MWD58" s="12"/>
      <c r="MWE58" s="12"/>
      <c r="MWF58" s="12"/>
      <c r="MWG58" s="12"/>
      <c r="MWH58" s="12"/>
      <c r="MWI58" s="12"/>
      <c r="MWJ58" s="12"/>
      <c r="MWK58" s="12"/>
      <c r="MWL58" s="12"/>
      <c r="MWM58" s="12"/>
      <c r="MWN58" s="12"/>
      <c r="MWO58" s="12"/>
      <c r="MWP58" s="12"/>
      <c r="MWQ58" s="12"/>
      <c r="MWR58" s="12"/>
      <c r="MWS58" s="12"/>
      <c r="MWT58" s="12"/>
      <c r="MWU58" s="12"/>
      <c r="MWV58" s="12"/>
      <c r="MWW58" s="12"/>
      <c r="MWX58" s="12"/>
      <c r="MWY58" s="12"/>
      <c r="MWZ58" s="12"/>
      <c r="MXA58" s="12"/>
      <c r="MXB58" s="12"/>
      <c r="MXC58" s="12"/>
      <c r="MXD58" s="12"/>
      <c r="MXE58" s="12"/>
      <c r="MXF58" s="12"/>
      <c r="MXG58" s="12"/>
      <c r="MXH58" s="12"/>
      <c r="MXI58" s="12"/>
      <c r="MXJ58" s="12"/>
      <c r="MXK58" s="12"/>
      <c r="MXL58" s="12"/>
      <c r="MXM58" s="12"/>
      <c r="MXN58" s="12"/>
      <c r="MXO58" s="12"/>
      <c r="MXP58" s="12"/>
      <c r="MXQ58" s="12"/>
      <c r="MXR58" s="12"/>
      <c r="MXS58" s="12"/>
      <c r="MXT58" s="12"/>
      <c r="MXU58" s="12"/>
      <c r="MXV58" s="12"/>
      <c r="MXW58" s="12"/>
      <c r="MXX58" s="12"/>
      <c r="MXY58" s="12"/>
      <c r="MXZ58" s="12"/>
      <c r="MYA58" s="12"/>
      <c r="MYB58" s="12"/>
      <c r="MYC58" s="12"/>
      <c r="MYD58" s="12"/>
      <c r="MYE58" s="12"/>
      <c r="MYF58" s="12"/>
      <c r="MYG58" s="12"/>
      <c r="MYH58" s="12"/>
      <c r="MYI58" s="12"/>
      <c r="MYJ58" s="12"/>
      <c r="MYK58" s="12"/>
      <c r="MYL58" s="12"/>
      <c r="MYM58" s="12"/>
      <c r="MYN58" s="12"/>
      <c r="MYO58" s="12"/>
      <c r="MYP58" s="12"/>
      <c r="MYQ58" s="12"/>
      <c r="MYR58" s="12"/>
      <c r="MYS58" s="12"/>
      <c r="MYT58" s="12"/>
      <c r="MYU58" s="12"/>
      <c r="MYV58" s="12"/>
      <c r="MYW58" s="12"/>
      <c r="MYX58" s="12"/>
      <c r="MYY58" s="12"/>
      <c r="MYZ58" s="12"/>
      <c r="MZA58" s="12"/>
      <c r="MZB58" s="12"/>
      <c r="MZC58" s="12"/>
      <c r="MZD58" s="12"/>
      <c r="MZE58" s="12"/>
      <c r="MZF58" s="12"/>
      <c r="MZG58" s="12"/>
      <c r="MZH58" s="12"/>
      <c r="MZI58" s="12"/>
      <c r="MZJ58" s="12"/>
      <c r="MZK58" s="12"/>
      <c r="MZL58" s="12"/>
      <c r="MZM58" s="12"/>
      <c r="MZN58" s="12"/>
      <c r="MZO58" s="12"/>
      <c r="MZP58" s="12"/>
      <c r="MZQ58" s="12"/>
      <c r="MZR58" s="12"/>
      <c r="MZS58" s="12"/>
      <c r="MZT58" s="12"/>
      <c r="MZU58" s="12"/>
      <c r="MZV58" s="12"/>
      <c r="MZW58" s="12"/>
      <c r="MZX58" s="12"/>
      <c r="MZY58" s="12"/>
      <c r="MZZ58" s="12"/>
      <c r="NAA58" s="12"/>
      <c r="NAB58" s="12"/>
      <c r="NAC58" s="12"/>
      <c r="NAD58" s="12"/>
      <c r="NAE58" s="12"/>
      <c r="NAF58" s="12"/>
      <c r="NAG58" s="12"/>
      <c r="NAH58" s="12"/>
      <c r="NAI58" s="12"/>
      <c r="NAJ58" s="12"/>
      <c r="NAK58" s="12"/>
      <c r="NAL58" s="12"/>
      <c r="NAM58" s="12"/>
      <c r="NAN58" s="12"/>
      <c r="NAO58" s="12"/>
      <c r="NAP58" s="12"/>
      <c r="NAQ58" s="12"/>
      <c r="NAR58" s="12"/>
      <c r="NAS58" s="12"/>
      <c r="NAT58" s="12"/>
      <c r="NAU58" s="12"/>
      <c r="NAV58" s="12"/>
      <c r="NAW58" s="12"/>
      <c r="NAX58" s="12"/>
      <c r="NAY58" s="12"/>
      <c r="NAZ58" s="12"/>
      <c r="NBA58" s="12"/>
      <c r="NBB58" s="12"/>
      <c r="NBC58" s="12"/>
      <c r="NBD58" s="12"/>
      <c r="NBE58" s="12"/>
      <c r="NBF58" s="12"/>
      <c r="NBG58" s="12"/>
      <c r="NBH58" s="12"/>
      <c r="NBI58" s="12"/>
      <c r="NBJ58" s="12"/>
      <c r="NBK58" s="12"/>
      <c r="NBL58" s="12"/>
      <c r="NBM58" s="12"/>
      <c r="NBN58" s="12"/>
      <c r="NBO58" s="12"/>
      <c r="NBP58" s="12"/>
      <c r="NBQ58" s="12"/>
      <c r="NBR58" s="12"/>
      <c r="NBS58" s="12"/>
      <c r="NBT58" s="12"/>
      <c r="NBU58" s="12"/>
      <c r="NBV58" s="12"/>
      <c r="NBW58" s="12"/>
      <c r="NBX58" s="12"/>
      <c r="NBY58" s="12"/>
      <c r="NBZ58" s="12"/>
      <c r="NCA58" s="12"/>
      <c r="NCB58" s="12"/>
      <c r="NCC58" s="12"/>
      <c r="NCD58" s="12"/>
      <c r="NCE58" s="12"/>
      <c r="NCF58" s="12"/>
      <c r="NCG58" s="12"/>
      <c r="NCH58" s="12"/>
      <c r="NCI58" s="12"/>
      <c r="NCJ58" s="12"/>
      <c r="NCK58" s="12"/>
      <c r="NCL58" s="12"/>
      <c r="NCM58" s="12"/>
      <c r="NCN58" s="12"/>
      <c r="NCO58" s="12"/>
      <c r="NCP58" s="12"/>
      <c r="NCQ58" s="12"/>
      <c r="NCR58" s="12"/>
      <c r="NCS58" s="12"/>
      <c r="NCT58" s="12"/>
      <c r="NCU58" s="12"/>
      <c r="NCV58" s="12"/>
      <c r="NCW58" s="12"/>
      <c r="NCX58" s="12"/>
      <c r="NCY58" s="12"/>
      <c r="NCZ58" s="12"/>
      <c r="NDA58" s="12"/>
      <c r="NDB58" s="12"/>
      <c r="NDC58" s="12"/>
      <c r="NDD58" s="12"/>
      <c r="NDE58" s="12"/>
      <c r="NDF58" s="12"/>
      <c r="NDG58" s="12"/>
      <c r="NDH58" s="12"/>
      <c r="NDI58" s="12"/>
      <c r="NDJ58" s="12"/>
      <c r="NDK58" s="12"/>
      <c r="NDL58" s="12"/>
      <c r="NDM58" s="12"/>
      <c r="NDN58" s="12"/>
      <c r="NDO58" s="12"/>
      <c r="NDP58" s="12"/>
      <c r="NDQ58" s="12"/>
      <c r="NDR58" s="12"/>
      <c r="NDS58" s="12"/>
      <c r="NDT58" s="12"/>
      <c r="NDU58" s="12"/>
      <c r="NDV58" s="12"/>
      <c r="NDW58" s="12"/>
      <c r="NDX58" s="12"/>
      <c r="NDY58" s="12"/>
      <c r="NDZ58" s="12"/>
      <c r="NEA58" s="12"/>
      <c r="NEB58" s="12"/>
      <c r="NEC58" s="12"/>
      <c r="NED58" s="12"/>
      <c r="NEE58" s="12"/>
      <c r="NEF58" s="12"/>
      <c r="NEG58" s="12"/>
      <c r="NEH58" s="12"/>
      <c r="NEI58" s="12"/>
      <c r="NEJ58" s="12"/>
      <c r="NEK58" s="12"/>
      <c r="NEL58" s="12"/>
      <c r="NEM58" s="12"/>
      <c r="NEN58" s="12"/>
      <c r="NEO58" s="12"/>
      <c r="NEP58" s="12"/>
      <c r="NEQ58" s="12"/>
      <c r="NER58" s="12"/>
      <c r="NES58" s="12"/>
      <c r="NET58" s="12"/>
      <c r="NEU58" s="12"/>
      <c r="NEV58" s="12"/>
      <c r="NEW58" s="12"/>
      <c r="NEX58" s="12"/>
      <c r="NEY58" s="12"/>
      <c r="NEZ58" s="12"/>
      <c r="NFA58" s="12"/>
      <c r="NFB58" s="12"/>
      <c r="NFC58" s="12"/>
      <c r="NFD58" s="12"/>
      <c r="NFE58" s="12"/>
      <c r="NFF58" s="12"/>
      <c r="NFG58" s="12"/>
      <c r="NFH58" s="12"/>
      <c r="NFI58" s="12"/>
      <c r="NFJ58" s="12"/>
      <c r="NFK58" s="12"/>
      <c r="NFL58" s="12"/>
      <c r="NFM58" s="12"/>
      <c r="NFN58" s="12"/>
      <c r="NFO58" s="12"/>
      <c r="NFP58" s="12"/>
      <c r="NFQ58" s="12"/>
      <c r="NFR58" s="12"/>
      <c r="NFS58" s="12"/>
      <c r="NFT58" s="12"/>
      <c r="NFU58" s="12"/>
      <c r="NFV58" s="12"/>
      <c r="NFW58" s="12"/>
      <c r="NFX58" s="12"/>
      <c r="NFY58" s="12"/>
      <c r="NFZ58" s="12"/>
      <c r="NGA58" s="12"/>
      <c r="NGB58" s="12"/>
      <c r="NGC58" s="12"/>
      <c r="NGD58" s="12"/>
      <c r="NGE58" s="12"/>
      <c r="NGF58" s="12"/>
      <c r="NGG58" s="12"/>
      <c r="NGH58" s="12"/>
      <c r="NGI58" s="12"/>
      <c r="NGJ58" s="12"/>
      <c r="NGK58" s="12"/>
      <c r="NGL58" s="12"/>
      <c r="NGM58" s="12"/>
      <c r="NGN58" s="12"/>
      <c r="NGO58" s="12"/>
      <c r="NGP58" s="12"/>
      <c r="NGQ58" s="12"/>
      <c r="NGR58" s="12"/>
      <c r="NGS58" s="12"/>
      <c r="NGT58" s="12"/>
      <c r="NGU58" s="12"/>
      <c r="NGV58" s="12"/>
      <c r="NGW58" s="12"/>
      <c r="NGX58" s="12"/>
      <c r="NGY58" s="12"/>
      <c r="NGZ58" s="12"/>
      <c r="NHA58" s="12"/>
      <c r="NHB58" s="12"/>
      <c r="NHC58" s="12"/>
      <c r="NHD58" s="12"/>
      <c r="NHE58" s="12"/>
      <c r="NHF58" s="12"/>
      <c r="NHG58" s="12"/>
      <c r="NHH58" s="12"/>
      <c r="NHI58" s="12"/>
      <c r="NHJ58" s="12"/>
      <c r="NHK58" s="12"/>
      <c r="NHL58" s="12"/>
      <c r="NHM58" s="12"/>
      <c r="NHN58" s="12"/>
      <c r="NHO58" s="12"/>
      <c r="NHP58" s="12"/>
      <c r="NHQ58" s="12"/>
      <c r="NHR58" s="12"/>
      <c r="NHS58" s="12"/>
      <c r="NHT58" s="12"/>
      <c r="NHU58" s="12"/>
      <c r="NHV58" s="12"/>
      <c r="NHW58" s="12"/>
      <c r="NHX58" s="12"/>
      <c r="NHY58" s="12"/>
      <c r="NHZ58" s="12"/>
      <c r="NIA58" s="12"/>
      <c r="NIB58" s="12"/>
      <c r="NIC58" s="12"/>
      <c r="NID58" s="12"/>
      <c r="NIE58" s="12"/>
      <c r="NIF58" s="12"/>
      <c r="NIG58" s="12"/>
      <c r="NIH58" s="12"/>
      <c r="NII58" s="12"/>
      <c r="NIJ58" s="12"/>
      <c r="NIK58" s="12"/>
      <c r="NIL58" s="12"/>
      <c r="NIM58" s="12"/>
      <c r="NIN58" s="12"/>
      <c r="NIO58" s="12"/>
      <c r="NIP58" s="12"/>
      <c r="NIQ58" s="12"/>
      <c r="NIR58" s="12"/>
      <c r="NIS58" s="12"/>
      <c r="NIT58" s="12"/>
      <c r="NIU58" s="12"/>
      <c r="NIV58" s="12"/>
      <c r="NIW58" s="12"/>
      <c r="NIX58" s="12"/>
      <c r="NIY58" s="12"/>
      <c r="NIZ58" s="12"/>
      <c r="NJA58" s="12"/>
      <c r="NJB58" s="12"/>
      <c r="NJC58" s="12"/>
      <c r="NJD58" s="12"/>
      <c r="NJE58" s="12"/>
      <c r="NJF58" s="12"/>
      <c r="NJG58" s="12"/>
      <c r="NJH58" s="12"/>
      <c r="NJI58" s="12"/>
      <c r="NJJ58" s="12"/>
      <c r="NJK58" s="12"/>
      <c r="NJL58" s="12"/>
      <c r="NJM58" s="12"/>
      <c r="NJN58" s="12"/>
      <c r="NJO58" s="12"/>
      <c r="NJP58" s="12"/>
      <c r="NJQ58" s="12"/>
      <c r="NJR58" s="12"/>
      <c r="NJS58" s="12"/>
      <c r="NJT58" s="12"/>
      <c r="NJU58" s="12"/>
      <c r="NJV58" s="12"/>
      <c r="NJW58" s="12"/>
      <c r="NJX58" s="12"/>
      <c r="NJY58" s="12"/>
      <c r="NJZ58" s="12"/>
      <c r="NKA58" s="12"/>
      <c r="NKB58" s="12"/>
      <c r="NKC58" s="12"/>
      <c r="NKD58" s="12"/>
      <c r="NKE58" s="12"/>
      <c r="NKF58" s="12"/>
      <c r="NKG58" s="12"/>
      <c r="NKH58" s="12"/>
      <c r="NKI58" s="12"/>
      <c r="NKJ58" s="12"/>
      <c r="NKK58" s="12"/>
      <c r="NKL58" s="12"/>
      <c r="NKM58" s="12"/>
      <c r="NKN58" s="12"/>
      <c r="NKO58" s="12"/>
      <c r="NKP58" s="12"/>
      <c r="NKQ58" s="12"/>
      <c r="NKR58" s="12"/>
      <c r="NKS58" s="12"/>
      <c r="NKT58" s="12"/>
      <c r="NKU58" s="12"/>
      <c r="NKV58" s="12"/>
      <c r="NKW58" s="12"/>
      <c r="NKX58" s="12"/>
      <c r="NKY58" s="12"/>
      <c r="NKZ58" s="12"/>
      <c r="NLA58" s="12"/>
      <c r="NLB58" s="12"/>
      <c r="NLC58" s="12"/>
      <c r="NLD58" s="12"/>
      <c r="NLE58" s="12"/>
      <c r="NLF58" s="12"/>
      <c r="NLG58" s="12"/>
      <c r="NLH58" s="12"/>
      <c r="NLI58" s="12"/>
      <c r="NLJ58" s="12"/>
      <c r="NLK58" s="12"/>
      <c r="NLL58" s="12"/>
      <c r="NLM58" s="12"/>
      <c r="NLN58" s="12"/>
      <c r="NLO58" s="12"/>
      <c r="NLP58" s="12"/>
      <c r="NLQ58" s="12"/>
      <c r="NLR58" s="12"/>
      <c r="NLS58" s="12"/>
      <c r="NLT58" s="12"/>
      <c r="NLU58" s="12"/>
      <c r="NLV58" s="12"/>
      <c r="NLW58" s="12"/>
      <c r="NLX58" s="12"/>
      <c r="NLY58" s="12"/>
      <c r="NLZ58" s="12"/>
      <c r="NMA58" s="12"/>
      <c r="NMB58" s="12"/>
      <c r="NMC58" s="12"/>
      <c r="NMD58" s="12"/>
      <c r="NME58" s="12"/>
      <c r="NMF58" s="12"/>
      <c r="NMG58" s="12"/>
      <c r="NMH58" s="12"/>
      <c r="NMI58" s="12"/>
      <c r="NMJ58" s="12"/>
      <c r="NMK58" s="12"/>
      <c r="NML58" s="12"/>
      <c r="NMM58" s="12"/>
      <c r="NMN58" s="12"/>
      <c r="NMO58" s="12"/>
      <c r="NMP58" s="12"/>
      <c r="NMQ58" s="12"/>
      <c r="NMR58" s="12"/>
      <c r="NMS58" s="12"/>
      <c r="NMT58" s="12"/>
      <c r="NMU58" s="12"/>
      <c r="NMV58" s="12"/>
      <c r="NMW58" s="12"/>
      <c r="NMX58" s="12"/>
      <c r="NMY58" s="12"/>
      <c r="NMZ58" s="12"/>
      <c r="NNA58" s="12"/>
      <c r="NNB58" s="12"/>
      <c r="NNC58" s="12"/>
      <c r="NND58" s="12"/>
      <c r="NNE58" s="12"/>
      <c r="NNF58" s="12"/>
      <c r="NNG58" s="12"/>
      <c r="NNH58" s="12"/>
      <c r="NNI58" s="12"/>
      <c r="NNJ58" s="12"/>
      <c r="NNK58" s="12"/>
      <c r="NNL58" s="12"/>
      <c r="NNM58" s="12"/>
      <c r="NNN58" s="12"/>
      <c r="NNO58" s="12"/>
      <c r="NNP58" s="12"/>
      <c r="NNQ58" s="12"/>
      <c r="NNR58" s="12"/>
      <c r="NNS58" s="12"/>
      <c r="NNT58" s="12"/>
      <c r="NNU58" s="12"/>
      <c r="NNV58" s="12"/>
      <c r="NNW58" s="12"/>
      <c r="NNX58" s="12"/>
      <c r="NNY58" s="12"/>
      <c r="NNZ58" s="12"/>
      <c r="NOA58" s="12"/>
      <c r="NOB58" s="12"/>
      <c r="NOC58" s="12"/>
      <c r="NOD58" s="12"/>
      <c r="NOE58" s="12"/>
      <c r="NOF58" s="12"/>
      <c r="NOG58" s="12"/>
      <c r="NOH58" s="12"/>
      <c r="NOI58" s="12"/>
      <c r="NOJ58" s="12"/>
      <c r="NOK58" s="12"/>
      <c r="NOL58" s="12"/>
      <c r="NOM58" s="12"/>
      <c r="NON58" s="12"/>
      <c r="NOO58" s="12"/>
      <c r="NOP58" s="12"/>
      <c r="NOQ58" s="12"/>
      <c r="NOR58" s="12"/>
      <c r="NOS58" s="12"/>
      <c r="NOT58" s="12"/>
      <c r="NOU58" s="12"/>
      <c r="NOV58" s="12"/>
      <c r="NOW58" s="12"/>
      <c r="NOX58" s="12"/>
      <c r="NOY58" s="12"/>
      <c r="NOZ58" s="12"/>
      <c r="NPA58" s="12"/>
      <c r="NPB58" s="12"/>
      <c r="NPC58" s="12"/>
      <c r="NPD58" s="12"/>
      <c r="NPE58" s="12"/>
      <c r="NPF58" s="12"/>
      <c r="NPG58" s="12"/>
      <c r="NPH58" s="12"/>
      <c r="NPI58" s="12"/>
      <c r="NPJ58" s="12"/>
      <c r="NPK58" s="12"/>
      <c r="NPL58" s="12"/>
      <c r="NPM58" s="12"/>
      <c r="NPN58" s="12"/>
      <c r="NPO58" s="12"/>
      <c r="NPP58" s="12"/>
      <c r="NPQ58" s="12"/>
      <c r="NPR58" s="12"/>
      <c r="NPS58" s="12"/>
      <c r="NPT58" s="12"/>
      <c r="NPU58" s="12"/>
      <c r="NPV58" s="12"/>
      <c r="NPW58" s="12"/>
      <c r="NPX58" s="12"/>
      <c r="NPY58" s="12"/>
      <c r="NPZ58" s="12"/>
      <c r="NQA58" s="12"/>
      <c r="NQB58" s="12"/>
      <c r="NQC58" s="12"/>
      <c r="NQD58" s="12"/>
      <c r="NQE58" s="12"/>
      <c r="NQF58" s="12"/>
      <c r="NQG58" s="12"/>
      <c r="NQH58" s="12"/>
      <c r="NQI58" s="12"/>
      <c r="NQJ58" s="12"/>
      <c r="NQK58" s="12"/>
      <c r="NQL58" s="12"/>
      <c r="NQM58" s="12"/>
      <c r="NQN58" s="12"/>
      <c r="NQO58" s="12"/>
      <c r="NQP58" s="12"/>
      <c r="NQQ58" s="12"/>
      <c r="NQR58" s="12"/>
      <c r="NQS58" s="12"/>
      <c r="NQT58" s="12"/>
      <c r="NQU58" s="12"/>
      <c r="NQV58" s="12"/>
      <c r="NQW58" s="12"/>
      <c r="NQX58" s="12"/>
      <c r="NQY58" s="12"/>
      <c r="NQZ58" s="12"/>
      <c r="NRA58" s="12"/>
      <c r="NRB58" s="12"/>
      <c r="NRC58" s="12"/>
      <c r="NRD58" s="12"/>
      <c r="NRE58" s="12"/>
      <c r="NRF58" s="12"/>
      <c r="NRG58" s="12"/>
      <c r="NRH58" s="12"/>
      <c r="NRI58" s="12"/>
      <c r="NRJ58" s="12"/>
      <c r="NRK58" s="12"/>
      <c r="NRL58" s="12"/>
      <c r="NRM58" s="12"/>
      <c r="NRN58" s="12"/>
      <c r="NRO58" s="12"/>
      <c r="NRP58" s="12"/>
      <c r="NRQ58" s="12"/>
      <c r="NRR58" s="12"/>
      <c r="NRS58" s="12"/>
      <c r="NRT58" s="12"/>
      <c r="NRU58" s="12"/>
      <c r="NRV58" s="12"/>
      <c r="NRW58" s="12"/>
      <c r="NRX58" s="12"/>
      <c r="NRY58" s="12"/>
      <c r="NRZ58" s="12"/>
      <c r="NSA58" s="12"/>
      <c r="NSB58" s="12"/>
      <c r="NSC58" s="12"/>
      <c r="NSD58" s="12"/>
      <c r="NSE58" s="12"/>
      <c r="NSF58" s="12"/>
      <c r="NSG58" s="12"/>
      <c r="NSH58" s="12"/>
      <c r="NSI58" s="12"/>
      <c r="NSJ58" s="12"/>
      <c r="NSK58" s="12"/>
      <c r="NSL58" s="12"/>
      <c r="NSM58" s="12"/>
      <c r="NSN58" s="12"/>
      <c r="NSO58" s="12"/>
      <c r="NSP58" s="12"/>
      <c r="NSQ58" s="12"/>
      <c r="NSR58" s="12"/>
      <c r="NSS58" s="12"/>
      <c r="NST58" s="12"/>
      <c r="NSU58" s="12"/>
      <c r="NSV58" s="12"/>
      <c r="NSW58" s="12"/>
      <c r="NSX58" s="12"/>
      <c r="NSY58" s="12"/>
      <c r="NSZ58" s="12"/>
      <c r="NTA58" s="12"/>
      <c r="NTB58" s="12"/>
      <c r="NTC58" s="12"/>
      <c r="NTD58" s="12"/>
      <c r="NTE58" s="12"/>
      <c r="NTF58" s="12"/>
      <c r="NTG58" s="12"/>
      <c r="NTH58" s="12"/>
      <c r="NTI58" s="12"/>
      <c r="NTJ58" s="12"/>
      <c r="NTK58" s="12"/>
      <c r="NTL58" s="12"/>
      <c r="NTM58" s="12"/>
      <c r="NTN58" s="12"/>
      <c r="NTO58" s="12"/>
      <c r="NTP58" s="12"/>
      <c r="NTQ58" s="12"/>
      <c r="NTR58" s="12"/>
      <c r="NTS58" s="12"/>
      <c r="NTT58" s="12"/>
      <c r="NTU58" s="12"/>
      <c r="NTV58" s="12"/>
      <c r="NTW58" s="12"/>
      <c r="NTX58" s="12"/>
      <c r="NTY58" s="12"/>
      <c r="NTZ58" s="12"/>
      <c r="NUA58" s="12"/>
      <c r="NUB58" s="12"/>
      <c r="NUC58" s="12"/>
      <c r="NUD58" s="12"/>
      <c r="NUE58" s="12"/>
      <c r="NUF58" s="12"/>
      <c r="NUG58" s="12"/>
      <c r="NUH58" s="12"/>
      <c r="NUI58" s="12"/>
      <c r="NUJ58" s="12"/>
      <c r="NUK58" s="12"/>
      <c r="NUL58" s="12"/>
      <c r="NUM58" s="12"/>
      <c r="NUN58" s="12"/>
      <c r="NUO58" s="12"/>
      <c r="NUP58" s="12"/>
      <c r="NUQ58" s="12"/>
      <c r="NUR58" s="12"/>
      <c r="NUS58" s="12"/>
      <c r="NUT58" s="12"/>
      <c r="NUU58" s="12"/>
      <c r="NUV58" s="12"/>
      <c r="NUW58" s="12"/>
      <c r="NUX58" s="12"/>
      <c r="NUY58" s="12"/>
      <c r="NUZ58" s="12"/>
      <c r="NVA58" s="12"/>
      <c r="NVB58" s="12"/>
      <c r="NVC58" s="12"/>
      <c r="NVD58" s="12"/>
      <c r="NVE58" s="12"/>
      <c r="NVF58" s="12"/>
      <c r="NVG58" s="12"/>
      <c r="NVH58" s="12"/>
      <c r="NVI58" s="12"/>
      <c r="NVJ58" s="12"/>
      <c r="NVK58" s="12"/>
      <c r="NVL58" s="12"/>
      <c r="NVM58" s="12"/>
      <c r="NVN58" s="12"/>
      <c r="NVO58" s="12"/>
      <c r="NVP58" s="12"/>
      <c r="NVQ58" s="12"/>
      <c r="NVR58" s="12"/>
      <c r="NVS58" s="12"/>
      <c r="NVT58" s="12"/>
      <c r="NVU58" s="12"/>
      <c r="NVV58" s="12"/>
      <c r="NVW58" s="12"/>
      <c r="NVX58" s="12"/>
      <c r="NVY58" s="12"/>
      <c r="NVZ58" s="12"/>
      <c r="NWA58" s="12"/>
      <c r="NWB58" s="12"/>
      <c r="NWC58" s="12"/>
      <c r="NWD58" s="12"/>
      <c r="NWE58" s="12"/>
      <c r="NWF58" s="12"/>
      <c r="NWG58" s="12"/>
      <c r="NWH58" s="12"/>
      <c r="NWI58" s="12"/>
      <c r="NWJ58" s="12"/>
      <c r="NWK58" s="12"/>
      <c r="NWL58" s="12"/>
      <c r="NWM58" s="12"/>
      <c r="NWN58" s="12"/>
      <c r="NWO58" s="12"/>
      <c r="NWP58" s="12"/>
      <c r="NWQ58" s="12"/>
      <c r="NWR58" s="12"/>
      <c r="NWS58" s="12"/>
      <c r="NWT58" s="12"/>
      <c r="NWU58" s="12"/>
      <c r="NWV58" s="12"/>
      <c r="NWW58" s="12"/>
      <c r="NWX58" s="12"/>
      <c r="NWY58" s="12"/>
      <c r="NWZ58" s="12"/>
      <c r="NXA58" s="12"/>
      <c r="NXB58" s="12"/>
      <c r="NXC58" s="12"/>
      <c r="NXD58" s="12"/>
      <c r="NXE58" s="12"/>
      <c r="NXF58" s="12"/>
      <c r="NXG58" s="12"/>
      <c r="NXH58" s="12"/>
      <c r="NXI58" s="12"/>
      <c r="NXJ58" s="12"/>
      <c r="NXK58" s="12"/>
      <c r="NXL58" s="12"/>
      <c r="NXM58" s="12"/>
      <c r="NXN58" s="12"/>
      <c r="NXO58" s="12"/>
      <c r="NXP58" s="12"/>
      <c r="NXQ58" s="12"/>
      <c r="NXR58" s="12"/>
      <c r="NXS58" s="12"/>
      <c r="NXT58" s="12"/>
      <c r="NXU58" s="12"/>
      <c r="NXV58" s="12"/>
      <c r="NXW58" s="12"/>
      <c r="NXX58" s="12"/>
      <c r="NXY58" s="12"/>
      <c r="NXZ58" s="12"/>
      <c r="NYA58" s="12"/>
      <c r="NYB58" s="12"/>
      <c r="NYC58" s="12"/>
      <c r="NYD58" s="12"/>
      <c r="NYE58" s="12"/>
      <c r="NYF58" s="12"/>
      <c r="NYG58" s="12"/>
      <c r="NYH58" s="12"/>
      <c r="NYI58" s="12"/>
      <c r="NYJ58" s="12"/>
      <c r="NYK58" s="12"/>
      <c r="NYL58" s="12"/>
      <c r="NYM58" s="12"/>
      <c r="NYN58" s="12"/>
      <c r="NYO58" s="12"/>
      <c r="NYP58" s="12"/>
      <c r="NYQ58" s="12"/>
      <c r="NYR58" s="12"/>
      <c r="NYS58" s="12"/>
      <c r="NYT58" s="12"/>
      <c r="NYU58" s="12"/>
      <c r="NYV58" s="12"/>
      <c r="NYW58" s="12"/>
      <c r="NYX58" s="12"/>
      <c r="NYY58" s="12"/>
      <c r="NYZ58" s="12"/>
      <c r="NZA58" s="12"/>
      <c r="NZB58" s="12"/>
      <c r="NZC58" s="12"/>
      <c r="NZD58" s="12"/>
      <c r="NZE58" s="12"/>
      <c r="NZF58" s="12"/>
      <c r="NZG58" s="12"/>
      <c r="NZH58" s="12"/>
      <c r="NZI58" s="12"/>
      <c r="NZJ58" s="12"/>
      <c r="NZK58" s="12"/>
      <c r="NZL58" s="12"/>
      <c r="NZM58" s="12"/>
      <c r="NZN58" s="12"/>
      <c r="NZO58" s="12"/>
      <c r="NZP58" s="12"/>
      <c r="NZQ58" s="12"/>
      <c r="NZR58" s="12"/>
      <c r="NZS58" s="12"/>
      <c r="NZT58" s="12"/>
      <c r="NZU58" s="12"/>
      <c r="NZV58" s="12"/>
      <c r="NZW58" s="12"/>
      <c r="NZX58" s="12"/>
      <c r="NZY58" s="12"/>
      <c r="NZZ58" s="12"/>
      <c r="OAA58" s="12"/>
      <c r="OAB58" s="12"/>
      <c r="OAC58" s="12"/>
      <c r="OAD58" s="12"/>
      <c r="OAE58" s="12"/>
      <c r="OAF58" s="12"/>
      <c r="OAG58" s="12"/>
      <c r="OAH58" s="12"/>
      <c r="OAI58" s="12"/>
      <c r="OAJ58" s="12"/>
      <c r="OAK58" s="12"/>
      <c r="OAL58" s="12"/>
      <c r="OAM58" s="12"/>
      <c r="OAN58" s="12"/>
      <c r="OAO58" s="12"/>
      <c r="OAP58" s="12"/>
      <c r="OAQ58" s="12"/>
      <c r="OAR58" s="12"/>
      <c r="OAS58" s="12"/>
      <c r="OAT58" s="12"/>
      <c r="OAU58" s="12"/>
      <c r="OAV58" s="12"/>
      <c r="OAW58" s="12"/>
      <c r="OAX58" s="12"/>
      <c r="OAY58" s="12"/>
      <c r="OAZ58" s="12"/>
      <c r="OBA58" s="12"/>
      <c r="OBB58" s="12"/>
      <c r="OBC58" s="12"/>
      <c r="OBD58" s="12"/>
      <c r="OBE58" s="12"/>
      <c r="OBF58" s="12"/>
      <c r="OBG58" s="12"/>
      <c r="OBH58" s="12"/>
      <c r="OBI58" s="12"/>
      <c r="OBJ58" s="12"/>
      <c r="OBK58" s="12"/>
      <c r="OBL58" s="12"/>
      <c r="OBM58" s="12"/>
      <c r="OBN58" s="12"/>
      <c r="OBO58" s="12"/>
      <c r="OBP58" s="12"/>
      <c r="OBQ58" s="12"/>
      <c r="OBR58" s="12"/>
      <c r="OBS58" s="12"/>
      <c r="OBT58" s="12"/>
      <c r="OBU58" s="12"/>
      <c r="OBV58" s="12"/>
      <c r="OBW58" s="12"/>
      <c r="OBX58" s="12"/>
      <c r="OBY58" s="12"/>
      <c r="OBZ58" s="12"/>
      <c r="OCA58" s="12"/>
      <c r="OCB58" s="12"/>
      <c r="OCC58" s="12"/>
      <c r="OCD58" s="12"/>
      <c r="OCE58" s="12"/>
      <c r="OCF58" s="12"/>
      <c r="OCG58" s="12"/>
      <c r="OCH58" s="12"/>
      <c r="OCI58" s="12"/>
      <c r="OCJ58" s="12"/>
      <c r="OCK58" s="12"/>
      <c r="OCL58" s="12"/>
      <c r="OCM58" s="12"/>
      <c r="OCN58" s="12"/>
      <c r="OCO58" s="12"/>
      <c r="OCP58" s="12"/>
      <c r="OCQ58" s="12"/>
      <c r="OCR58" s="12"/>
      <c r="OCS58" s="12"/>
      <c r="OCT58" s="12"/>
      <c r="OCU58" s="12"/>
      <c r="OCV58" s="12"/>
      <c r="OCW58" s="12"/>
      <c r="OCX58" s="12"/>
      <c r="OCY58" s="12"/>
      <c r="OCZ58" s="12"/>
      <c r="ODA58" s="12"/>
      <c r="ODB58" s="12"/>
      <c r="ODC58" s="12"/>
      <c r="ODD58" s="12"/>
      <c r="ODE58" s="12"/>
      <c r="ODF58" s="12"/>
      <c r="ODG58" s="12"/>
      <c r="ODH58" s="12"/>
      <c r="ODI58" s="12"/>
      <c r="ODJ58" s="12"/>
      <c r="ODK58" s="12"/>
      <c r="ODL58" s="12"/>
      <c r="ODM58" s="12"/>
      <c r="ODN58" s="12"/>
      <c r="ODO58" s="12"/>
      <c r="ODP58" s="12"/>
      <c r="ODQ58" s="12"/>
      <c r="ODR58" s="12"/>
      <c r="ODS58" s="12"/>
      <c r="ODT58" s="12"/>
      <c r="ODU58" s="12"/>
      <c r="ODV58" s="12"/>
      <c r="ODW58" s="12"/>
      <c r="ODX58" s="12"/>
      <c r="ODY58" s="12"/>
      <c r="ODZ58" s="12"/>
      <c r="OEA58" s="12"/>
      <c r="OEB58" s="12"/>
      <c r="OEC58" s="12"/>
      <c r="OED58" s="12"/>
      <c r="OEE58" s="12"/>
      <c r="OEF58" s="12"/>
      <c r="OEG58" s="12"/>
      <c r="OEH58" s="12"/>
      <c r="OEI58" s="12"/>
      <c r="OEJ58" s="12"/>
      <c r="OEK58" s="12"/>
      <c r="OEL58" s="12"/>
      <c r="OEM58" s="12"/>
      <c r="OEN58" s="12"/>
      <c r="OEO58" s="12"/>
      <c r="OEP58" s="12"/>
      <c r="OEQ58" s="12"/>
      <c r="OER58" s="12"/>
      <c r="OES58" s="12"/>
      <c r="OET58" s="12"/>
      <c r="OEU58" s="12"/>
      <c r="OEV58" s="12"/>
      <c r="OEW58" s="12"/>
      <c r="OEX58" s="12"/>
      <c r="OEY58" s="12"/>
      <c r="OEZ58" s="12"/>
      <c r="OFA58" s="12"/>
      <c r="OFB58" s="12"/>
      <c r="OFC58" s="12"/>
      <c r="OFD58" s="12"/>
      <c r="OFE58" s="12"/>
      <c r="OFF58" s="12"/>
      <c r="OFG58" s="12"/>
      <c r="OFH58" s="12"/>
      <c r="OFI58" s="12"/>
      <c r="OFJ58" s="12"/>
      <c r="OFK58" s="12"/>
      <c r="OFL58" s="12"/>
      <c r="OFM58" s="12"/>
      <c r="OFN58" s="12"/>
      <c r="OFO58" s="12"/>
      <c r="OFP58" s="12"/>
      <c r="OFQ58" s="12"/>
      <c r="OFR58" s="12"/>
      <c r="OFS58" s="12"/>
      <c r="OFT58" s="12"/>
      <c r="OFU58" s="12"/>
      <c r="OFV58" s="12"/>
      <c r="OFW58" s="12"/>
      <c r="OFX58" s="12"/>
      <c r="OFY58" s="12"/>
      <c r="OFZ58" s="12"/>
      <c r="OGA58" s="12"/>
      <c r="OGB58" s="12"/>
      <c r="OGC58" s="12"/>
      <c r="OGD58" s="12"/>
      <c r="OGE58" s="12"/>
      <c r="OGF58" s="12"/>
      <c r="OGG58" s="12"/>
      <c r="OGH58" s="12"/>
      <c r="OGI58" s="12"/>
      <c r="OGJ58" s="12"/>
      <c r="OGK58" s="12"/>
      <c r="OGL58" s="12"/>
      <c r="OGM58" s="12"/>
      <c r="OGN58" s="12"/>
      <c r="OGO58" s="12"/>
      <c r="OGP58" s="12"/>
      <c r="OGQ58" s="12"/>
      <c r="OGR58" s="12"/>
      <c r="OGS58" s="12"/>
      <c r="OGT58" s="12"/>
      <c r="OGU58" s="12"/>
      <c r="OGV58" s="12"/>
      <c r="OGW58" s="12"/>
      <c r="OGX58" s="12"/>
      <c r="OGY58" s="12"/>
      <c r="OGZ58" s="12"/>
      <c r="OHA58" s="12"/>
      <c r="OHB58" s="12"/>
      <c r="OHC58" s="12"/>
      <c r="OHD58" s="12"/>
      <c r="OHE58" s="12"/>
      <c r="OHF58" s="12"/>
      <c r="OHG58" s="12"/>
      <c r="OHH58" s="12"/>
      <c r="OHI58" s="12"/>
      <c r="OHJ58" s="12"/>
      <c r="OHK58" s="12"/>
      <c r="OHL58" s="12"/>
      <c r="OHM58" s="12"/>
      <c r="OHN58" s="12"/>
      <c r="OHO58" s="12"/>
      <c r="OHP58" s="12"/>
      <c r="OHQ58" s="12"/>
      <c r="OHR58" s="12"/>
      <c r="OHS58" s="12"/>
      <c r="OHT58" s="12"/>
      <c r="OHU58" s="12"/>
      <c r="OHV58" s="12"/>
      <c r="OHW58" s="12"/>
      <c r="OHX58" s="12"/>
      <c r="OHY58" s="12"/>
      <c r="OHZ58" s="12"/>
      <c r="OIA58" s="12"/>
      <c r="OIB58" s="12"/>
      <c r="OIC58" s="12"/>
      <c r="OID58" s="12"/>
      <c r="OIE58" s="12"/>
      <c r="OIF58" s="12"/>
      <c r="OIG58" s="12"/>
      <c r="OIH58" s="12"/>
      <c r="OII58" s="12"/>
      <c r="OIJ58" s="12"/>
      <c r="OIK58" s="12"/>
      <c r="OIL58" s="12"/>
      <c r="OIM58" s="12"/>
      <c r="OIN58" s="12"/>
      <c r="OIO58" s="12"/>
      <c r="OIP58" s="12"/>
      <c r="OIQ58" s="12"/>
      <c r="OIR58" s="12"/>
      <c r="OIS58" s="12"/>
      <c r="OIT58" s="12"/>
      <c r="OIU58" s="12"/>
      <c r="OIV58" s="12"/>
      <c r="OIW58" s="12"/>
      <c r="OIX58" s="12"/>
      <c r="OIY58" s="12"/>
      <c r="OIZ58" s="12"/>
      <c r="OJA58" s="12"/>
      <c r="OJB58" s="12"/>
      <c r="OJC58" s="12"/>
      <c r="OJD58" s="12"/>
      <c r="OJE58" s="12"/>
      <c r="OJF58" s="12"/>
      <c r="OJG58" s="12"/>
      <c r="OJH58" s="12"/>
      <c r="OJI58" s="12"/>
      <c r="OJJ58" s="12"/>
      <c r="OJK58" s="12"/>
      <c r="OJL58" s="12"/>
      <c r="OJM58" s="12"/>
      <c r="OJN58" s="12"/>
      <c r="OJO58" s="12"/>
      <c r="OJP58" s="12"/>
      <c r="OJQ58" s="12"/>
      <c r="OJR58" s="12"/>
      <c r="OJS58" s="12"/>
      <c r="OJT58" s="12"/>
      <c r="OJU58" s="12"/>
      <c r="OJV58" s="12"/>
      <c r="OJW58" s="12"/>
      <c r="OJX58" s="12"/>
      <c r="OJY58" s="12"/>
      <c r="OJZ58" s="12"/>
      <c r="OKA58" s="12"/>
      <c r="OKB58" s="12"/>
      <c r="OKC58" s="12"/>
      <c r="OKD58" s="12"/>
      <c r="OKE58" s="12"/>
      <c r="OKF58" s="12"/>
      <c r="OKG58" s="12"/>
      <c r="OKH58" s="12"/>
      <c r="OKI58" s="12"/>
      <c r="OKJ58" s="12"/>
      <c r="OKK58" s="12"/>
      <c r="OKL58" s="12"/>
      <c r="OKM58" s="12"/>
      <c r="OKN58" s="12"/>
      <c r="OKO58" s="12"/>
      <c r="OKP58" s="12"/>
      <c r="OKQ58" s="12"/>
      <c r="OKR58" s="12"/>
      <c r="OKS58" s="12"/>
      <c r="OKT58" s="12"/>
      <c r="OKU58" s="12"/>
      <c r="OKV58" s="12"/>
      <c r="OKW58" s="12"/>
      <c r="OKX58" s="12"/>
      <c r="OKY58" s="12"/>
      <c r="OKZ58" s="12"/>
      <c r="OLA58" s="12"/>
      <c r="OLB58" s="12"/>
      <c r="OLC58" s="12"/>
      <c r="OLD58" s="12"/>
      <c r="OLE58" s="12"/>
      <c r="OLF58" s="12"/>
      <c r="OLG58" s="12"/>
      <c r="OLH58" s="12"/>
      <c r="OLI58" s="12"/>
      <c r="OLJ58" s="12"/>
      <c r="OLK58" s="12"/>
      <c r="OLL58" s="12"/>
      <c r="OLM58" s="12"/>
      <c r="OLN58" s="12"/>
      <c r="OLO58" s="12"/>
      <c r="OLP58" s="12"/>
      <c r="OLQ58" s="12"/>
      <c r="OLR58" s="12"/>
      <c r="OLS58" s="12"/>
      <c r="OLT58" s="12"/>
      <c r="OLU58" s="12"/>
      <c r="OLV58" s="12"/>
      <c r="OLW58" s="12"/>
      <c r="OLX58" s="12"/>
      <c r="OLY58" s="12"/>
      <c r="OLZ58" s="12"/>
      <c r="OMA58" s="12"/>
      <c r="OMB58" s="12"/>
      <c r="OMC58" s="12"/>
      <c r="OMD58" s="12"/>
      <c r="OME58" s="12"/>
      <c r="OMF58" s="12"/>
      <c r="OMG58" s="12"/>
      <c r="OMH58" s="12"/>
      <c r="OMI58" s="12"/>
      <c r="OMJ58" s="12"/>
      <c r="OMK58" s="12"/>
      <c r="OML58" s="12"/>
      <c r="OMM58" s="12"/>
      <c r="OMN58" s="12"/>
      <c r="OMO58" s="12"/>
      <c r="OMP58" s="12"/>
      <c r="OMQ58" s="12"/>
      <c r="OMR58" s="12"/>
      <c r="OMS58" s="12"/>
      <c r="OMT58" s="12"/>
      <c r="OMU58" s="12"/>
      <c r="OMV58" s="12"/>
      <c r="OMW58" s="12"/>
      <c r="OMX58" s="12"/>
      <c r="OMY58" s="12"/>
      <c r="OMZ58" s="12"/>
      <c r="ONA58" s="12"/>
      <c r="ONB58" s="12"/>
      <c r="ONC58" s="12"/>
      <c r="OND58" s="12"/>
      <c r="ONE58" s="12"/>
      <c r="ONF58" s="12"/>
      <c r="ONG58" s="12"/>
      <c r="ONH58" s="12"/>
      <c r="ONI58" s="12"/>
      <c r="ONJ58" s="12"/>
      <c r="ONK58" s="12"/>
      <c r="ONL58" s="12"/>
      <c r="ONM58" s="12"/>
      <c r="ONN58" s="12"/>
      <c r="ONO58" s="12"/>
      <c r="ONP58" s="12"/>
      <c r="ONQ58" s="12"/>
      <c r="ONR58" s="12"/>
      <c r="ONS58" s="12"/>
      <c r="ONT58" s="12"/>
      <c r="ONU58" s="12"/>
      <c r="ONV58" s="12"/>
      <c r="ONW58" s="12"/>
      <c r="ONX58" s="12"/>
      <c r="ONY58" s="12"/>
      <c r="ONZ58" s="12"/>
      <c r="OOA58" s="12"/>
      <c r="OOB58" s="12"/>
      <c r="OOC58" s="12"/>
      <c r="OOD58" s="12"/>
      <c r="OOE58" s="12"/>
      <c r="OOF58" s="12"/>
      <c r="OOG58" s="12"/>
      <c r="OOH58" s="12"/>
      <c r="OOI58" s="12"/>
      <c r="OOJ58" s="12"/>
      <c r="OOK58" s="12"/>
      <c r="OOL58" s="12"/>
      <c r="OOM58" s="12"/>
      <c r="OON58" s="12"/>
      <c r="OOO58" s="12"/>
      <c r="OOP58" s="12"/>
      <c r="OOQ58" s="12"/>
      <c r="OOR58" s="12"/>
      <c r="OOS58" s="12"/>
      <c r="OOT58" s="12"/>
      <c r="OOU58" s="12"/>
      <c r="OOV58" s="12"/>
      <c r="OOW58" s="12"/>
      <c r="OOX58" s="12"/>
      <c r="OOY58" s="12"/>
      <c r="OOZ58" s="12"/>
      <c r="OPA58" s="12"/>
      <c r="OPB58" s="12"/>
      <c r="OPC58" s="12"/>
      <c r="OPD58" s="12"/>
      <c r="OPE58" s="12"/>
      <c r="OPF58" s="12"/>
      <c r="OPG58" s="12"/>
      <c r="OPH58" s="12"/>
      <c r="OPI58" s="12"/>
      <c r="OPJ58" s="12"/>
      <c r="OPK58" s="12"/>
      <c r="OPL58" s="12"/>
      <c r="OPM58" s="12"/>
      <c r="OPN58" s="12"/>
      <c r="OPO58" s="12"/>
      <c r="OPP58" s="12"/>
      <c r="OPQ58" s="12"/>
      <c r="OPR58" s="12"/>
      <c r="OPS58" s="12"/>
      <c r="OPT58" s="12"/>
      <c r="OPU58" s="12"/>
      <c r="OPV58" s="12"/>
      <c r="OPW58" s="12"/>
      <c r="OPX58" s="12"/>
      <c r="OPY58" s="12"/>
      <c r="OPZ58" s="12"/>
      <c r="OQA58" s="12"/>
      <c r="OQB58" s="12"/>
      <c r="OQC58" s="12"/>
      <c r="OQD58" s="12"/>
      <c r="OQE58" s="12"/>
      <c r="OQF58" s="12"/>
      <c r="OQG58" s="12"/>
      <c r="OQH58" s="12"/>
      <c r="OQI58" s="12"/>
      <c r="OQJ58" s="12"/>
      <c r="OQK58" s="12"/>
      <c r="OQL58" s="12"/>
      <c r="OQM58" s="12"/>
      <c r="OQN58" s="12"/>
      <c r="OQO58" s="12"/>
      <c r="OQP58" s="12"/>
      <c r="OQQ58" s="12"/>
      <c r="OQR58" s="12"/>
      <c r="OQS58" s="12"/>
      <c r="OQT58" s="12"/>
      <c r="OQU58" s="12"/>
      <c r="OQV58" s="12"/>
      <c r="OQW58" s="12"/>
      <c r="OQX58" s="12"/>
      <c r="OQY58" s="12"/>
      <c r="OQZ58" s="12"/>
      <c r="ORA58" s="12"/>
      <c r="ORB58" s="12"/>
      <c r="ORC58" s="12"/>
      <c r="ORD58" s="12"/>
      <c r="ORE58" s="12"/>
      <c r="ORF58" s="12"/>
      <c r="ORG58" s="12"/>
      <c r="ORH58" s="12"/>
      <c r="ORI58" s="12"/>
      <c r="ORJ58" s="12"/>
      <c r="ORK58" s="12"/>
      <c r="ORL58" s="12"/>
      <c r="ORM58" s="12"/>
      <c r="ORN58" s="12"/>
      <c r="ORO58" s="12"/>
      <c r="ORP58" s="12"/>
      <c r="ORQ58" s="12"/>
      <c r="ORR58" s="12"/>
      <c r="ORS58" s="12"/>
      <c r="ORT58" s="12"/>
      <c r="ORU58" s="12"/>
      <c r="ORV58" s="12"/>
      <c r="ORW58" s="12"/>
      <c r="ORX58" s="12"/>
      <c r="ORY58" s="12"/>
      <c r="ORZ58" s="12"/>
      <c r="OSA58" s="12"/>
      <c r="OSB58" s="12"/>
      <c r="OSC58" s="12"/>
      <c r="OSD58" s="12"/>
      <c r="OSE58" s="12"/>
      <c r="OSF58" s="12"/>
      <c r="OSG58" s="12"/>
      <c r="OSH58" s="12"/>
      <c r="OSI58" s="12"/>
      <c r="OSJ58" s="12"/>
      <c r="OSK58" s="12"/>
      <c r="OSL58" s="12"/>
      <c r="OSM58" s="12"/>
      <c r="OSN58" s="12"/>
      <c r="OSO58" s="12"/>
      <c r="OSP58" s="12"/>
      <c r="OSQ58" s="12"/>
      <c r="OSR58" s="12"/>
      <c r="OSS58" s="12"/>
      <c r="OST58" s="12"/>
      <c r="OSU58" s="12"/>
      <c r="OSV58" s="12"/>
      <c r="OSW58" s="12"/>
      <c r="OSX58" s="12"/>
      <c r="OSY58" s="12"/>
      <c r="OSZ58" s="12"/>
      <c r="OTA58" s="12"/>
      <c r="OTB58" s="12"/>
      <c r="OTC58" s="12"/>
      <c r="OTD58" s="12"/>
      <c r="OTE58" s="12"/>
      <c r="OTF58" s="12"/>
      <c r="OTG58" s="12"/>
      <c r="OTH58" s="12"/>
      <c r="OTI58" s="12"/>
      <c r="OTJ58" s="12"/>
      <c r="OTK58" s="12"/>
      <c r="OTL58" s="12"/>
      <c r="OTM58" s="12"/>
      <c r="OTN58" s="12"/>
      <c r="OTO58" s="12"/>
      <c r="OTP58" s="12"/>
      <c r="OTQ58" s="12"/>
      <c r="OTR58" s="12"/>
      <c r="OTS58" s="12"/>
      <c r="OTT58" s="12"/>
      <c r="OTU58" s="12"/>
      <c r="OTV58" s="12"/>
      <c r="OTW58" s="12"/>
      <c r="OTX58" s="12"/>
      <c r="OTY58" s="12"/>
      <c r="OTZ58" s="12"/>
      <c r="OUA58" s="12"/>
      <c r="OUB58" s="12"/>
      <c r="OUC58" s="12"/>
      <c r="OUD58" s="12"/>
      <c r="OUE58" s="12"/>
      <c r="OUF58" s="12"/>
      <c r="OUG58" s="12"/>
      <c r="OUH58" s="12"/>
      <c r="OUI58" s="12"/>
      <c r="OUJ58" s="12"/>
      <c r="OUK58" s="12"/>
      <c r="OUL58" s="12"/>
      <c r="OUM58" s="12"/>
      <c r="OUN58" s="12"/>
      <c r="OUO58" s="12"/>
      <c r="OUP58" s="12"/>
      <c r="OUQ58" s="12"/>
      <c r="OUR58" s="12"/>
      <c r="OUS58" s="12"/>
      <c r="OUT58" s="12"/>
      <c r="OUU58" s="12"/>
      <c r="OUV58" s="12"/>
      <c r="OUW58" s="12"/>
      <c r="OUX58" s="12"/>
      <c r="OUY58" s="12"/>
      <c r="OUZ58" s="12"/>
      <c r="OVA58" s="12"/>
      <c r="OVB58" s="12"/>
      <c r="OVC58" s="12"/>
      <c r="OVD58" s="12"/>
      <c r="OVE58" s="12"/>
      <c r="OVF58" s="12"/>
      <c r="OVG58" s="12"/>
      <c r="OVH58" s="12"/>
      <c r="OVI58" s="12"/>
      <c r="OVJ58" s="12"/>
      <c r="OVK58" s="12"/>
      <c r="OVL58" s="12"/>
      <c r="OVM58" s="12"/>
      <c r="OVN58" s="12"/>
      <c r="OVO58" s="12"/>
      <c r="OVP58" s="12"/>
      <c r="OVQ58" s="12"/>
      <c r="OVR58" s="12"/>
      <c r="OVS58" s="12"/>
      <c r="OVT58" s="12"/>
      <c r="OVU58" s="12"/>
      <c r="OVV58" s="12"/>
      <c r="OVW58" s="12"/>
      <c r="OVX58" s="12"/>
      <c r="OVY58" s="12"/>
      <c r="OVZ58" s="12"/>
      <c r="OWA58" s="12"/>
      <c r="OWB58" s="12"/>
      <c r="OWC58" s="12"/>
      <c r="OWD58" s="12"/>
      <c r="OWE58" s="12"/>
      <c r="OWF58" s="12"/>
      <c r="OWG58" s="12"/>
      <c r="OWH58" s="12"/>
      <c r="OWI58" s="12"/>
      <c r="OWJ58" s="12"/>
      <c r="OWK58" s="12"/>
      <c r="OWL58" s="12"/>
      <c r="OWM58" s="12"/>
      <c r="OWN58" s="12"/>
      <c r="OWO58" s="12"/>
      <c r="OWP58" s="12"/>
      <c r="OWQ58" s="12"/>
      <c r="OWR58" s="12"/>
      <c r="OWS58" s="12"/>
      <c r="OWT58" s="12"/>
      <c r="OWU58" s="12"/>
      <c r="OWV58" s="12"/>
      <c r="OWW58" s="12"/>
      <c r="OWX58" s="12"/>
      <c r="OWY58" s="12"/>
      <c r="OWZ58" s="12"/>
      <c r="OXA58" s="12"/>
      <c r="OXB58" s="12"/>
      <c r="OXC58" s="12"/>
      <c r="OXD58" s="12"/>
      <c r="OXE58" s="12"/>
      <c r="OXF58" s="12"/>
      <c r="OXG58" s="12"/>
      <c r="OXH58" s="12"/>
      <c r="OXI58" s="12"/>
      <c r="OXJ58" s="12"/>
      <c r="OXK58" s="12"/>
      <c r="OXL58" s="12"/>
      <c r="OXM58" s="12"/>
      <c r="OXN58" s="12"/>
      <c r="OXO58" s="12"/>
      <c r="OXP58" s="12"/>
      <c r="OXQ58" s="12"/>
      <c r="OXR58" s="12"/>
      <c r="OXS58" s="12"/>
      <c r="OXT58" s="12"/>
      <c r="OXU58" s="12"/>
      <c r="OXV58" s="12"/>
      <c r="OXW58" s="12"/>
      <c r="OXX58" s="12"/>
      <c r="OXY58" s="12"/>
      <c r="OXZ58" s="12"/>
      <c r="OYA58" s="12"/>
      <c r="OYB58" s="12"/>
      <c r="OYC58" s="12"/>
      <c r="OYD58" s="12"/>
      <c r="OYE58" s="12"/>
      <c r="OYF58" s="12"/>
      <c r="OYG58" s="12"/>
      <c r="OYH58" s="12"/>
      <c r="OYI58" s="12"/>
      <c r="OYJ58" s="12"/>
      <c r="OYK58" s="12"/>
      <c r="OYL58" s="12"/>
      <c r="OYM58" s="12"/>
      <c r="OYN58" s="12"/>
      <c r="OYO58" s="12"/>
      <c r="OYP58" s="12"/>
      <c r="OYQ58" s="12"/>
      <c r="OYR58" s="12"/>
      <c r="OYS58" s="12"/>
      <c r="OYT58" s="12"/>
      <c r="OYU58" s="12"/>
      <c r="OYV58" s="12"/>
      <c r="OYW58" s="12"/>
      <c r="OYX58" s="12"/>
      <c r="OYY58" s="12"/>
      <c r="OYZ58" s="12"/>
      <c r="OZA58" s="12"/>
      <c r="OZB58" s="12"/>
      <c r="OZC58" s="12"/>
      <c r="OZD58" s="12"/>
      <c r="OZE58" s="12"/>
      <c r="OZF58" s="12"/>
      <c r="OZG58" s="12"/>
      <c r="OZH58" s="12"/>
      <c r="OZI58" s="12"/>
      <c r="OZJ58" s="12"/>
      <c r="OZK58" s="12"/>
      <c r="OZL58" s="12"/>
      <c r="OZM58" s="12"/>
      <c r="OZN58" s="12"/>
      <c r="OZO58" s="12"/>
      <c r="OZP58" s="12"/>
      <c r="OZQ58" s="12"/>
      <c r="OZR58" s="12"/>
      <c r="OZS58" s="12"/>
      <c r="OZT58" s="12"/>
      <c r="OZU58" s="12"/>
      <c r="OZV58" s="12"/>
      <c r="OZW58" s="12"/>
      <c r="OZX58" s="12"/>
      <c r="OZY58" s="12"/>
      <c r="OZZ58" s="12"/>
      <c r="PAA58" s="12"/>
      <c r="PAB58" s="12"/>
      <c r="PAC58" s="12"/>
      <c r="PAD58" s="12"/>
      <c r="PAE58" s="12"/>
      <c r="PAF58" s="12"/>
      <c r="PAG58" s="12"/>
      <c r="PAH58" s="12"/>
      <c r="PAI58" s="12"/>
      <c r="PAJ58" s="12"/>
      <c r="PAK58" s="12"/>
      <c r="PAL58" s="12"/>
      <c r="PAM58" s="12"/>
      <c r="PAN58" s="12"/>
      <c r="PAO58" s="12"/>
      <c r="PAP58" s="12"/>
      <c r="PAQ58" s="12"/>
      <c r="PAR58" s="12"/>
      <c r="PAS58" s="12"/>
      <c r="PAT58" s="12"/>
      <c r="PAU58" s="12"/>
      <c r="PAV58" s="12"/>
      <c r="PAW58" s="12"/>
      <c r="PAX58" s="12"/>
      <c r="PAY58" s="12"/>
      <c r="PAZ58" s="12"/>
      <c r="PBA58" s="12"/>
      <c r="PBB58" s="12"/>
      <c r="PBC58" s="12"/>
      <c r="PBD58" s="12"/>
      <c r="PBE58" s="12"/>
      <c r="PBF58" s="12"/>
      <c r="PBG58" s="12"/>
      <c r="PBH58" s="12"/>
      <c r="PBI58" s="12"/>
      <c r="PBJ58" s="12"/>
      <c r="PBK58" s="12"/>
      <c r="PBL58" s="12"/>
      <c r="PBM58" s="12"/>
      <c r="PBN58" s="12"/>
      <c r="PBO58" s="12"/>
      <c r="PBP58" s="12"/>
      <c r="PBQ58" s="12"/>
      <c r="PBR58" s="12"/>
      <c r="PBS58" s="12"/>
      <c r="PBT58" s="12"/>
      <c r="PBU58" s="12"/>
      <c r="PBV58" s="12"/>
      <c r="PBW58" s="12"/>
      <c r="PBX58" s="12"/>
      <c r="PBY58" s="12"/>
      <c r="PBZ58" s="12"/>
      <c r="PCA58" s="12"/>
      <c r="PCB58" s="12"/>
      <c r="PCC58" s="12"/>
      <c r="PCD58" s="12"/>
      <c r="PCE58" s="12"/>
      <c r="PCF58" s="12"/>
      <c r="PCG58" s="12"/>
      <c r="PCH58" s="12"/>
      <c r="PCI58" s="12"/>
      <c r="PCJ58" s="12"/>
      <c r="PCK58" s="12"/>
      <c r="PCL58" s="12"/>
      <c r="PCM58" s="12"/>
      <c r="PCN58" s="12"/>
      <c r="PCO58" s="12"/>
      <c r="PCP58" s="12"/>
      <c r="PCQ58" s="12"/>
      <c r="PCR58" s="12"/>
      <c r="PCS58" s="12"/>
      <c r="PCT58" s="12"/>
      <c r="PCU58" s="12"/>
      <c r="PCV58" s="12"/>
      <c r="PCW58" s="12"/>
      <c r="PCX58" s="12"/>
      <c r="PCY58" s="12"/>
      <c r="PCZ58" s="12"/>
      <c r="PDA58" s="12"/>
      <c r="PDB58" s="12"/>
      <c r="PDC58" s="12"/>
      <c r="PDD58" s="12"/>
      <c r="PDE58" s="12"/>
      <c r="PDF58" s="12"/>
      <c r="PDG58" s="12"/>
      <c r="PDH58" s="12"/>
      <c r="PDI58" s="12"/>
      <c r="PDJ58" s="12"/>
      <c r="PDK58" s="12"/>
      <c r="PDL58" s="12"/>
      <c r="PDM58" s="12"/>
      <c r="PDN58" s="12"/>
      <c r="PDO58" s="12"/>
      <c r="PDP58" s="12"/>
      <c r="PDQ58" s="12"/>
      <c r="PDR58" s="12"/>
      <c r="PDS58" s="12"/>
      <c r="PDT58" s="12"/>
      <c r="PDU58" s="12"/>
      <c r="PDV58" s="12"/>
      <c r="PDW58" s="12"/>
      <c r="PDX58" s="12"/>
      <c r="PDY58" s="12"/>
      <c r="PDZ58" s="12"/>
      <c r="PEA58" s="12"/>
      <c r="PEB58" s="12"/>
      <c r="PEC58" s="12"/>
      <c r="PED58" s="12"/>
      <c r="PEE58" s="12"/>
      <c r="PEF58" s="12"/>
      <c r="PEG58" s="12"/>
      <c r="PEH58" s="12"/>
      <c r="PEI58" s="12"/>
      <c r="PEJ58" s="12"/>
      <c r="PEK58" s="12"/>
      <c r="PEL58" s="12"/>
      <c r="PEM58" s="12"/>
      <c r="PEN58" s="12"/>
      <c r="PEO58" s="12"/>
      <c r="PEP58" s="12"/>
      <c r="PEQ58" s="12"/>
      <c r="PER58" s="12"/>
      <c r="PES58" s="12"/>
      <c r="PET58" s="12"/>
      <c r="PEU58" s="12"/>
      <c r="PEV58" s="12"/>
      <c r="PEW58" s="12"/>
      <c r="PEX58" s="12"/>
      <c r="PEY58" s="12"/>
      <c r="PEZ58" s="12"/>
      <c r="PFA58" s="12"/>
      <c r="PFB58" s="12"/>
      <c r="PFC58" s="12"/>
      <c r="PFD58" s="12"/>
      <c r="PFE58" s="12"/>
      <c r="PFF58" s="12"/>
      <c r="PFG58" s="12"/>
      <c r="PFH58" s="12"/>
      <c r="PFI58" s="12"/>
      <c r="PFJ58" s="12"/>
      <c r="PFK58" s="12"/>
      <c r="PFL58" s="12"/>
      <c r="PFM58" s="12"/>
      <c r="PFN58" s="12"/>
      <c r="PFO58" s="12"/>
      <c r="PFP58" s="12"/>
      <c r="PFQ58" s="12"/>
      <c r="PFR58" s="12"/>
      <c r="PFS58" s="12"/>
      <c r="PFT58" s="12"/>
      <c r="PFU58" s="12"/>
      <c r="PFV58" s="12"/>
      <c r="PFW58" s="12"/>
      <c r="PFX58" s="12"/>
      <c r="PFY58" s="12"/>
      <c r="PFZ58" s="12"/>
      <c r="PGA58" s="12"/>
      <c r="PGB58" s="12"/>
      <c r="PGC58" s="12"/>
      <c r="PGD58" s="12"/>
      <c r="PGE58" s="12"/>
      <c r="PGF58" s="12"/>
      <c r="PGG58" s="12"/>
      <c r="PGH58" s="12"/>
      <c r="PGI58" s="12"/>
      <c r="PGJ58" s="12"/>
      <c r="PGK58" s="12"/>
      <c r="PGL58" s="12"/>
      <c r="PGM58" s="12"/>
      <c r="PGN58" s="12"/>
      <c r="PGO58" s="12"/>
      <c r="PGP58" s="12"/>
      <c r="PGQ58" s="12"/>
      <c r="PGR58" s="12"/>
      <c r="PGS58" s="12"/>
      <c r="PGT58" s="12"/>
      <c r="PGU58" s="12"/>
      <c r="PGV58" s="12"/>
      <c r="PGW58" s="12"/>
      <c r="PGX58" s="12"/>
      <c r="PGY58" s="12"/>
      <c r="PGZ58" s="12"/>
      <c r="PHA58" s="12"/>
      <c r="PHB58" s="12"/>
      <c r="PHC58" s="12"/>
      <c r="PHD58" s="12"/>
      <c r="PHE58" s="12"/>
      <c r="PHF58" s="12"/>
      <c r="PHG58" s="12"/>
      <c r="PHH58" s="12"/>
      <c r="PHI58" s="12"/>
      <c r="PHJ58" s="12"/>
      <c r="PHK58" s="12"/>
      <c r="PHL58" s="12"/>
      <c r="PHM58" s="12"/>
      <c r="PHN58" s="12"/>
      <c r="PHO58" s="12"/>
      <c r="PHP58" s="12"/>
      <c r="PHQ58" s="12"/>
      <c r="PHR58" s="12"/>
      <c r="PHS58" s="12"/>
      <c r="PHT58" s="12"/>
      <c r="PHU58" s="12"/>
      <c r="PHV58" s="12"/>
      <c r="PHW58" s="12"/>
      <c r="PHX58" s="12"/>
      <c r="PHY58" s="12"/>
      <c r="PHZ58" s="12"/>
      <c r="PIA58" s="12"/>
      <c r="PIB58" s="12"/>
      <c r="PIC58" s="12"/>
      <c r="PID58" s="12"/>
      <c r="PIE58" s="12"/>
      <c r="PIF58" s="12"/>
      <c r="PIG58" s="12"/>
      <c r="PIH58" s="12"/>
      <c r="PII58" s="12"/>
      <c r="PIJ58" s="12"/>
      <c r="PIK58" s="12"/>
      <c r="PIL58" s="12"/>
      <c r="PIM58" s="12"/>
      <c r="PIN58" s="12"/>
      <c r="PIO58" s="12"/>
      <c r="PIP58" s="12"/>
      <c r="PIQ58" s="12"/>
      <c r="PIR58" s="12"/>
      <c r="PIS58" s="12"/>
      <c r="PIT58" s="12"/>
      <c r="PIU58" s="12"/>
      <c r="PIV58" s="12"/>
      <c r="PIW58" s="12"/>
      <c r="PIX58" s="12"/>
      <c r="PIY58" s="12"/>
      <c r="PIZ58" s="12"/>
      <c r="PJA58" s="12"/>
      <c r="PJB58" s="12"/>
      <c r="PJC58" s="12"/>
      <c r="PJD58" s="12"/>
      <c r="PJE58" s="12"/>
      <c r="PJF58" s="12"/>
      <c r="PJG58" s="12"/>
      <c r="PJH58" s="12"/>
      <c r="PJI58" s="12"/>
      <c r="PJJ58" s="12"/>
      <c r="PJK58" s="12"/>
      <c r="PJL58" s="12"/>
      <c r="PJM58" s="12"/>
      <c r="PJN58" s="12"/>
      <c r="PJO58" s="12"/>
      <c r="PJP58" s="12"/>
      <c r="PJQ58" s="12"/>
      <c r="PJR58" s="12"/>
      <c r="PJS58" s="12"/>
      <c r="PJT58" s="12"/>
      <c r="PJU58" s="12"/>
      <c r="PJV58" s="12"/>
      <c r="PJW58" s="12"/>
      <c r="PJX58" s="12"/>
      <c r="PJY58" s="12"/>
      <c r="PJZ58" s="12"/>
      <c r="PKA58" s="12"/>
      <c r="PKB58" s="12"/>
      <c r="PKC58" s="12"/>
      <c r="PKD58" s="12"/>
      <c r="PKE58" s="12"/>
      <c r="PKF58" s="12"/>
      <c r="PKG58" s="12"/>
      <c r="PKH58" s="12"/>
      <c r="PKI58" s="12"/>
      <c r="PKJ58" s="12"/>
      <c r="PKK58" s="12"/>
      <c r="PKL58" s="12"/>
      <c r="PKM58" s="12"/>
      <c r="PKN58" s="12"/>
      <c r="PKO58" s="12"/>
      <c r="PKP58" s="12"/>
      <c r="PKQ58" s="12"/>
      <c r="PKR58" s="12"/>
      <c r="PKS58" s="12"/>
      <c r="PKT58" s="12"/>
      <c r="PKU58" s="12"/>
      <c r="PKV58" s="12"/>
      <c r="PKW58" s="12"/>
      <c r="PKX58" s="12"/>
      <c r="PKY58" s="12"/>
      <c r="PKZ58" s="12"/>
      <c r="PLA58" s="12"/>
      <c r="PLB58" s="12"/>
      <c r="PLC58" s="12"/>
      <c r="PLD58" s="12"/>
      <c r="PLE58" s="12"/>
      <c r="PLF58" s="12"/>
      <c r="PLG58" s="12"/>
      <c r="PLH58" s="12"/>
      <c r="PLI58" s="12"/>
      <c r="PLJ58" s="12"/>
      <c r="PLK58" s="12"/>
      <c r="PLL58" s="12"/>
      <c r="PLM58" s="12"/>
      <c r="PLN58" s="12"/>
      <c r="PLO58" s="12"/>
      <c r="PLP58" s="12"/>
      <c r="PLQ58" s="12"/>
      <c r="PLR58" s="12"/>
      <c r="PLS58" s="12"/>
      <c r="PLT58" s="12"/>
      <c r="PLU58" s="12"/>
      <c r="PLV58" s="12"/>
      <c r="PLW58" s="12"/>
      <c r="PLX58" s="12"/>
      <c r="PLY58" s="12"/>
      <c r="PLZ58" s="12"/>
      <c r="PMA58" s="12"/>
      <c r="PMB58" s="12"/>
      <c r="PMC58" s="12"/>
      <c r="PMD58" s="12"/>
      <c r="PME58" s="12"/>
      <c r="PMF58" s="12"/>
      <c r="PMG58" s="12"/>
      <c r="PMH58" s="12"/>
      <c r="PMI58" s="12"/>
      <c r="PMJ58" s="12"/>
      <c r="PMK58" s="12"/>
      <c r="PML58" s="12"/>
      <c r="PMM58" s="12"/>
      <c r="PMN58" s="12"/>
      <c r="PMO58" s="12"/>
      <c r="PMP58" s="12"/>
      <c r="PMQ58" s="12"/>
      <c r="PMR58" s="12"/>
      <c r="PMS58" s="12"/>
      <c r="PMT58" s="12"/>
      <c r="PMU58" s="12"/>
      <c r="PMV58" s="12"/>
      <c r="PMW58" s="12"/>
      <c r="PMX58" s="12"/>
      <c r="PMY58" s="12"/>
      <c r="PMZ58" s="12"/>
      <c r="PNA58" s="12"/>
      <c r="PNB58" s="12"/>
      <c r="PNC58" s="12"/>
      <c r="PND58" s="12"/>
      <c r="PNE58" s="12"/>
      <c r="PNF58" s="12"/>
      <c r="PNG58" s="12"/>
      <c r="PNH58" s="12"/>
      <c r="PNI58" s="12"/>
      <c r="PNJ58" s="12"/>
      <c r="PNK58" s="12"/>
      <c r="PNL58" s="12"/>
      <c r="PNM58" s="12"/>
      <c r="PNN58" s="12"/>
      <c r="PNO58" s="12"/>
      <c r="PNP58" s="12"/>
      <c r="PNQ58" s="12"/>
      <c r="PNR58" s="12"/>
      <c r="PNS58" s="12"/>
      <c r="PNT58" s="12"/>
      <c r="PNU58" s="12"/>
      <c r="PNV58" s="12"/>
      <c r="PNW58" s="12"/>
      <c r="PNX58" s="12"/>
      <c r="PNY58" s="12"/>
      <c r="PNZ58" s="12"/>
      <c r="POA58" s="12"/>
      <c r="POB58" s="12"/>
      <c r="POC58" s="12"/>
      <c r="POD58" s="12"/>
      <c r="POE58" s="12"/>
      <c r="POF58" s="12"/>
      <c r="POG58" s="12"/>
      <c r="POH58" s="12"/>
      <c r="POI58" s="12"/>
      <c r="POJ58" s="12"/>
      <c r="POK58" s="12"/>
      <c r="POL58" s="12"/>
      <c r="POM58" s="12"/>
      <c r="PON58" s="12"/>
      <c r="POO58" s="12"/>
      <c r="POP58" s="12"/>
      <c r="POQ58" s="12"/>
      <c r="POR58" s="12"/>
      <c r="POS58" s="12"/>
      <c r="POT58" s="12"/>
      <c r="POU58" s="12"/>
      <c r="POV58" s="12"/>
      <c r="POW58" s="12"/>
      <c r="POX58" s="12"/>
      <c r="POY58" s="12"/>
      <c r="POZ58" s="12"/>
      <c r="PPA58" s="12"/>
      <c r="PPB58" s="12"/>
      <c r="PPC58" s="12"/>
      <c r="PPD58" s="12"/>
      <c r="PPE58" s="12"/>
      <c r="PPF58" s="12"/>
      <c r="PPG58" s="12"/>
      <c r="PPH58" s="12"/>
      <c r="PPI58" s="12"/>
      <c r="PPJ58" s="12"/>
      <c r="PPK58" s="12"/>
      <c r="PPL58" s="12"/>
      <c r="PPM58" s="12"/>
      <c r="PPN58" s="12"/>
      <c r="PPO58" s="12"/>
      <c r="PPP58" s="12"/>
      <c r="PPQ58" s="12"/>
      <c r="PPR58" s="12"/>
      <c r="PPS58" s="12"/>
      <c r="PPT58" s="12"/>
      <c r="PPU58" s="12"/>
      <c r="PPV58" s="12"/>
      <c r="PPW58" s="12"/>
      <c r="PPX58" s="12"/>
      <c r="PPY58" s="12"/>
      <c r="PPZ58" s="12"/>
      <c r="PQA58" s="12"/>
      <c r="PQB58" s="12"/>
      <c r="PQC58" s="12"/>
      <c r="PQD58" s="12"/>
      <c r="PQE58" s="12"/>
      <c r="PQF58" s="12"/>
      <c r="PQG58" s="12"/>
      <c r="PQH58" s="12"/>
      <c r="PQI58" s="12"/>
      <c r="PQJ58" s="12"/>
      <c r="PQK58" s="12"/>
      <c r="PQL58" s="12"/>
      <c r="PQM58" s="12"/>
      <c r="PQN58" s="12"/>
      <c r="PQO58" s="12"/>
      <c r="PQP58" s="12"/>
      <c r="PQQ58" s="12"/>
      <c r="PQR58" s="12"/>
      <c r="PQS58" s="12"/>
      <c r="PQT58" s="12"/>
      <c r="PQU58" s="12"/>
      <c r="PQV58" s="12"/>
      <c r="PQW58" s="12"/>
      <c r="PQX58" s="12"/>
      <c r="PQY58" s="12"/>
      <c r="PQZ58" s="12"/>
      <c r="PRA58" s="12"/>
      <c r="PRB58" s="12"/>
      <c r="PRC58" s="12"/>
      <c r="PRD58" s="12"/>
      <c r="PRE58" s="12"/>
      <c r="PRF58" s="12"/>
      <c r="PRG58" s="12"/>
      <c r="PRH58" s="12"/>
      <c r="PRI58" s="12"/>
      <c r="PRJ58" s="12"/>
      <c r="PRK58" s="12"/>
      <c r="PRL58" s="12"/>
      <c r="PRM58" s="12"/>
      <c r="PRN58" s="12"/>
      <c r="PRO58" s="12"/>
      <c r="PRP58" s="12"/>
      <c r="PRQ58" s="12"/>
      <c r="PRR58" s="12"/>
      <c r="PRS58" s="12"/>
      <c r="PRT58" s="12"/>
      <c r="PRU58" s="12"/>
      <c r="PRV58" s="12"/>
      <c r="PRW58" s="12"/>
      <c r="PRX58" s="12"/>
      <c r="PRY58" s="12"/>
      <c r="PRZ58" s="12"/>
      <c r="PSA58" s="12"/>
      <c r="PSB58" s="12"/>
      <c r="PSC58" s="12"/>
      <c r="PSD58" s="12"/>
      <c r="PSE58" s="12"/>
      <c r="PSF58" s="12"/>
      <c r="PSG58" s="12"/>
      <c r="PSH58" s="12"/>
      <c r="PSI58" s="12"/>
      <c r="PSJ58" s="12"/>
      <c r="PSK58" s="12"/>
      <c r="PSL58" s="12"/>
      <c r="PSM58" s="12"/>
      <c r="PSN58" s="12"/>
      <c r="PSO58" s="12"/>
      <c r="PSP58" s="12"/>
      <c r="PSQ58" s="12"/>
      <c r="PSR58" s="12"/>
      <c r="PSS58" s="12"/>
      <c r="PST58" s="12"/>
      <c r="PSU58" s="12"/>
      <c r="PSV58" s="12"/>
      <c r="PSW58" s="12"/>
      <c r="PSX58" s="12"/>
      <c r="PSY58" s="12"/>
      <c r="PSZ58" s="12"/>
      <c r="PTA58" s="12"/>
      <c r="PTB58" s="12"/>
      <c r="PTC58" s="12"/>
      <c r="PTD58" s="12"/>
      <c r="PTE58" s="12"/>
      <c r="PTF58" s="12"/>
      <c r="PTG58" s="12"/>
      <c r="PTH58" s="12"/>
      <c r="PTI58" s="12"/>
      <c r="PTJ58" s="12"/>
      <c r="PTK58" s="12"/>
      <c r="PTL58" s="12"/>
      <c r="PTM58" s="12"/>
      <c r="PTN58" s="12"/>
      <c r="PTO58" s="12"/>
      <c r="PTP58" s="12"/>
      <c r="PTQ58" s="12"/>
      <c r="PTR58" s="12"/>
      <c r="PTS58" s="12"/>
      <c r="PTT58" s="12"/>
      <c r="PTU58" s="12"/>
      <c r="PTV58" s="12"/>
      <c r="PTW58" s="12"/>
      <c r="PTX58" s="12"/>
      <c r="PTY58" s="12"/>
      <c r="PTZ58" s="12"/>
      <c r="PUA58" s="12"/>
      <c r="PUB58" s="12"/>
      <c r="PUC58" s="12"/>
      <c r="PUD58" s="12"/>
      <c r="PUE58" s="12"/>
      <c r="PUF58" s="12"/>
      <c r="PUG58" s="12"/>
      <c r="PUH58" s="12"/>
      <c r="PUI58" s="12"/>
      <c r="PUJ58" s="12"/>
      <c r="PUK58" s="12"/>
      <c r="PUL58" s="12"/>
      <c r="PUM58" s="12"/>
      <c r="PUN58" s="12"/>
      <c r="PUO58" s="12"/>
      <c r="PUP58" s="12"/>
      <c r="PUQ58" s="12"/>
      <c r="PUR58" s="12"/>
      <c r="PUS58" s="12"/>
      <c r="PUT58" s="12"/>
      <c r="PUU58" s="12"/>
      <c r="PUV58" s="12"/>
      <c r="PUW58" s="12"/>
      <c r="PUX58" s="12"/>
      <c r="PUY58" s="12"/>
      <c r="PUZ58" s="12"/>
      <c r="PVA58" s="12"/>
      <c r="PVB58" s="12"/>
      <c r="PVC58" s="12"/>
      <c r="PVD58" s="12"/>
      <c r="PVE58" s="12"/>
      <c r="PVF58" s="12"/>
      <c r="PVG58" s="12"/>
      <c r="PVH58" s="12"/>
      <c r="PVI58" s="12"/>
      <c r="PVJ58" s="12"/>
      <c r="PVK58" s="12"/>
      <c r="PVL58" s="12"/>
      <c r="PVM58" s="12"/>
      <c r="PVN58" s="12"/>
      <c r="PVO58" s="12"/>
      <c r="PVP58" s="12"/>
      <c r="PVQ58" s="12"/>
      <c r="PVR58" s="12"/>
      <c r="PVS58" s="12"/>
      <c r="PVT58" s="12"/>
      <c r="PVU58" s="12"/>
      <c r="PVV58" s="12"/>
      <c r="PVW58" s="12"/>
      <c r="PVX58" s="12"/>
      <c r="PVY58" s="12"/>
      <c r="PVZ58" s="12"/>
      <c r="PWA58" s="12"/>
      <c r="PWB58" s="12"/>
      <c r="PWC58" s="12"/>
      <c r="PWD58" s="12"/>
      <c r="PWE58" s="12"/>
      <c r="PWF58" s="12"/>
      <c r="PWG58" s="12"/>
      <c r="PWH58" s="12"/>
      <c r="PWI58" s="12"/>
      <c r="PWJ58" s="12"/>
      <c r="PWK58" s="12"/>
      <c r="PWL58" s="12"/>
      <c r="PWM58" s="12"/>
      <c r="PWN58" s="12"/>
      <c r="PWO58" s="12"/>
      <c r="PWP58" s="12"/>
      <c r="PWQ58" s="12"/>
      <c r="PWR58" s="12"/>
      <c r="PWS58" s="12"/>
      <c r="PWT58" s="12"/>
      <c r="PWU58" s="12"/>
      <c r="PWV58" s="12"/>
      <c r="PWW58" s="12"/>
      <c r="PWX58" s="12"/>
      <c r="PWY58" s="12"/>
      <c r="PWZ58" s="12"/>
      <c r="PXA58" s="12"/>
      <c r="PXB58" s="12"/>
      <c r="PXC58" s="12"/>
      <c r="PXD58" s="12"/>
      <c r="PXE58" s="12"/>
      <c r="PXF58" s="12"/>
      <c r="PXG58" s="12"/>
      <c r="PXH58" s="12"/>
      <c r="PXI58" s="12"/>
      <c r="PXJ58" s="12"/>
      <c r="PXK58" s="12"/>
      <c r="PXL58" s="12"/>
      <c r="PXM58" s="12"/>
      <c r="PXN58" s="12"/>
      <c r="PXO58" s="12"/>
      <c r="PXP58" s="12"/>
      <c r="PXQ58" s="12"/>
      <c r="PXR58" s="12"/>
      <c r="PXS58" s="12"/>
      <c r="PXT58" s="12"/>
      <c r="PXU58" s="12"/>
      <c r="PXV58" s="12"/>
      <c r="PXW58" s="12"/>
      <c r="PXX58" s="12"/>
      <c r="PXY58" s="12"/>
      <c r="PXZ58" s="12"/>
      <c r="PYA58" s="12"/>
      <c r="PYB58" s="12"/>
      <c r="PYC58" s="12"/>
      <c r="PYD58" s="12"/>
      <c r="PYE58" s="12"/>
      <c r="PYF58" s="12"/>
      <c r="PYG58" s="12"/>
      <c r="PYH58" s="12"/>
      <c r="PYI58" s="12"/>
      <c r="PYJ58" s="12"/>
      <c r="PYK58" s="12"/>
      <c r="PYL58" s="12"/>
      <c r="PYM58" s="12"/>
      <c r="PYN58" s="12"/>
      <c r="PYO58" s="12"/>
      <c r="PYP58" s="12"/>
      <c r="PYQ58" s="12"/>
      <c r="PYR58" s="12"/>
      <c r="PYS58" s="12"/>
      <c r="PYT58" s="12"/>
      <c r="PYU58" s="12"/>
      <c r="PYV58" s="12"/>
      <c r="PYW58" s="12"/>
      <c r="PYX58" s="12"/>
      <c r="PYY58" s="12"/>
      <c r="PYZ58" s="12"/>
      <c r="PZA58" s="12"/>
      <c r="PZB58" s="12"/>
      <c r="PZC58" s="12"/>
      <c r="PZD58" s="12"/>
      <c r="PZE58" s="12"/>
      <c r="PZF58" s="12"/>
      <c r="PZG58" s="12"/>
      <c r="PZH58" s="12"/>
      <c r="PZI58" s="12"/>
      <c r="PZJ58" s="12"/>
      <c r="PZK58" s="12"/>
      <c r="PZL58" s="12"/>
      <c r="PZM58" s="12"/>
      <c r="PZN58" s="12"/>
      <c r="PZO58" s="12"/>
      <c r="PZP58" s="12"/>
      <c r="PZQ58" s="12"/>
      <c r="PZR58" s="12"/>
      <c r="PZS58" s="12"/>
      <c r="PZT58" s="12"/>
      <c r="PZU58" s="12"/>
      <c r="PZV58" s="12"/>
      <c r="PZW58" s="12"/>
      <c r="PZX58" s="12"/>
      <c r="PZY58" s="12"/>
      <c r="PZZ58" s="12"/>
      <c r="QAA58" s="12"/>
      <c r="QAB58" s="12"/>
      <c r="QAC58" s="12"/>
      <c r="QAD58" s="12"/>
      <c r="QAE58" s="12"/>
      <c r="QAF58" s="12"/>
      <c r="QAG58" s="12"/>
      <c r="QAH58" s="12"/>
      <c r="QAI58" s="12"/>
      <c r="QAJ58" s="12"/>
      <c r="QAK58" s="12"/>
      <c r="QAL58" s="12"/>
      <c r="QAM58" s="12"/>
      <c r="QAN58" s="12"/>
      <c r="QAO58" s="12"/>
      <c r="QAP58" s="12"/>
      <c r="QAQ58" s="12"/>
      <c r="QAR58" s="12"/>
      <c r="QAS58" s="12"/>
      <c r="QAT58" s="12"/>
      <c r="QAU58" s="12"/>
      <c r="QAV58" s="12"/>
      <c r="QAW58" s="12"/>
      <c r="QAX58" s="12"/>
      <c r="QAY58" s="12"/>
      <c r="QAZ58" s="12"/>
      <c r="QBA58" s="12"/>
      <c r="QBB58" s="12"/>
      <c r="QBC58" s="12"/>
      <c r="QBD58" s="12"/>
      <c r="QBE58" s="12"/>
      <c r="QBF58" s="12"/>
      <c r="QBG58" s="12"/>
      <c r="QBH58" s="12"/>
      <c r="QBI58" s="12"/>
      <c r="QBJ58" s="12"/>
      <c r="QBK58" s="12"/>
      <c r="QBL58" s="12"/>
      <c r="QBM58" s="12"/>
      <c r="QBN58" s="12"/>
      <c r="QBO58" s="12"/>
      <c r="QBP58" s="12"/>
      <c r="QBQ58" s="12"/>
      <c r="QBR58" s="12"/>
      <c r="QBS58" s="12"/>
      <c r="QBT58" s="12"/>
      <c r="QBU58" s="12"/>
      <c r="QBV58" s="12"/>
      <c r="QBW58" s="12"/>
      <c r="QBX58" s="12"/>
      <c r="QBY58" s="12"/>
      <c r="QBZ58" s="12"/>
      <c r="QCA58" s="12"/>
      <c r="QCB58" s="12"/>
      <c r="QCC58" s="12"/>
      <c r="QCD58" s="12"/>
      <c r="QCE58" s="12"/>
      <c r="QCF58" s="12"/>
      <c r="QCG58" s="12"/>
      <c r="QCH58" s="12"/>
      <c r="QCI58" s="12"/>
      <c r="QCJ58" s="12"/>
      <c r="QCK58" s="12"/>
      <c r="QCL58" s="12"/>
      <c r="QCM58" s="12"/>
      <c r="QCN58" s="12"/>
      <c r="QCO58" s="12"/>
      <c r="QCP58" s="12"/>
      <c r="QCQ58" s="12"/>
      <c r="QCR58" s="12"/>
      <c r="QCS58" s="12"/>
      <c r="QCT58" s="12"/>
      <c r="QCU58" s="12"/>
      <c r="QCV58" s="12"/>
      <c r="QCW58" s="12"/>
      <c r="QCX58" s="12"/>
      <c r="QCY58" s="12"/>
      <c r="QCZ58" s="12"/>
      <c r="QDA58" s="12"/>
      <c r="QDB58" s="12"/>
      <c r="QDC58" s="12"/>
      <c r="QDD58" s="12"/>
      <c r="QDE58" s="12"/>
      <c r="QDF58" s="12"/>
      <c r="QDG58" s="12"/>
      <c r="QDH58" s="12"/>
      <c r="QDI58" s="12"/>
      <c r="QDJ58" s="12"/>
      <c r="QDK58" s="12"/>
      <c r="QDL58" s="12"/>
      <c r="QDM58" s="12"/>
      <c r="QDN58" s="12"/>
      <c r="QDO58" s="12"/>
      <c r="QDP58" s="12"/>
      <c r="QDQ58" s="12"/>
      <c r="QDR58" s="12"/>
      <c r="QDS58" s="12"/>
      <c r="QDT58" s="12"/>
      <c r="QDU58" s="12"/>
      <c r="QDV58" s="12"/>
      <c r="QDW58" s="12"/>
      <c r="QDX58" s="12"/>
      <c r="QDY58" s="12"/>
      <c r="QDZ58" s="12"/>
      <c r="QEA58" s="12"/>
      <c r="QEB58" s="12"/>
      <c r="QEC58" s="12"/>
      <c r="QED58" s="12"/>
      <c r="QEE58" s="12"/>
      <c r="QEF58" s="12"/>
      <c r="QEG58" s="12"/>
      <c r="QEH58" s="12"/>
      <c r="QEI58" s="12"/>
      <c r="QEJ58" s="12"/>
      <c r="QEK58" s="12"/>
      <c r="QEL58" s="12"/>
      <c r="QEM58" s="12"/>
      <c r="QEN58" s="12"/>
      <c r="QEO58" s="12"/>
      <c r="QEP58" s="12"/>
      <c r="QEQ58" s="12"/>
      <c r="QER58" s="12"/>
      <c r="QES58" s="12"/>
      <c r="QET58" s="12"/>
      <c r="QEU58" s="12"/>
      <c r="QEV58" s="12"/>
      <c r="QEW58" s="12"/>
      <c r="QEX58" s="12"/>
      <c r="QEY58" s="12"/>
      <c r="QEZ58" s="12"/>
      <c r="QFA58" s="12"/>
      <c r="QFB58" s="12"/>
      <c r="QFC58" s="12"/>
      <c r="QFD58" s="12"/>
      <c r="QFE58" s="12"/>
      <c r="QFF58" s="12"/>
      <c r="QFG58" s="12"/>
      <c r="QFH58" s="12"/>
      <c r="QFI58" s="12"/>
      <c r="QFJ58" s="12"/>
      <c r="QFK58" s="12"/>
      <c r="QFL58" s="12"/>
      <c r="QFM58" s="12"/>
      <c r="QFN58" s="12"/>
      <c r="QFO58" s="12"/>
      <c r="QFP58" s="12"/>
      <c r="QFQ58" s="12"/>
      <c r="QFR58" s="12"/>
      <c r="QFS58" s="12"/>
      <c r="QFT58" s="12"/>
      <c r="QFU58" s="12"/>
      <c r="QFV58" s="12"/>
      <c r="QFW58" s="12"/>
      <c r="QFX58" s="12"/>
      <c r="QFY58" s="12"/>
      <c r="QFZ58" s="12"/>
      <c r="QGA58" s="12"/>
      <c r="QGB58" s="12"/>
      <c r="QGC58" s="12"/>
      <c r="QGD58" s="12"/>
      <c r="QGE58" s="12"/>
      <c r="QGF58" s="12"/>
      <c r="QGG58" s="12"/>
      <c r="QGH58" s="12"/>
      <c r="QGI58" s="12"/>
      <c r="QGJ58" s="12"/>
      <c r="QGK58" s="12"/>
      <c r="QGL58" s="12"/>
      <c r="QGM58" s="12"/>
      <c r="QGN58" s="12"/>
      <c r="QGO58" s="12"/>
      <c r="QGP58" s="12"/>
      <c r="QGQ58" s="12"/>
      <c r="QGR58" s="12"/>
      <c r="QGS58" s="12"/>
      <c r="QGT58" s="12"/>
      <c r="QGU58" s="12"/>
      <c r="QGV58" s="12"/>
      <c r="QGW58" s="12"/>
      <c r="QGX58" s="12"/>
      <c r="QGY58" s="12"/>
      <c r="QGZ58" s="12"/>
      <c r="QHA58" s="12"/>
      <c r="QHB58" s="12"/>
      <c r="QHC58" s="12"/>
      <c r="QHD58" s="12"/>
      <c r="QHE58" s="12"/>
      <c r="QHF58" s="12"/>
      <c r="QHG58" s="12"/>
      <c r="QHH58" s="12"/>
      <c r="QHI58" s="12"/>
      <c r="QHJ58" s="12"/>
      <c r="QHK58" s="12"/>
      <c r="QHL58" s="12"/>
      <c r="QHM58" s="12"/>
      <c r="QHN58" s="12"/>
      <c r="QHO58" s="12"/>
      <c r="QHP58" s="12"/>
      <c r="QHQ58" s="12"/>
      <c r="QHR58" s="12"/>
      <c r="QHS58" s="12"/>
      <c r="QHT58" s="12"/>
      <c r="QHU58" s="12"/>
      <c r="QHV58" s="12"/>
      <c r="QHW58" s="12"/>
      <c r="QHX58" s="12"/>
      <c r="QHY58" s="12"/>
      <c r="QHZ58" s="12"/>
      <c r="QIA58" s="12"/>
      <c r="QIB58" s="12"/>
      <c r="QIC58" s="12"/>
      <c r="QID58" s="12"/>
      <c r="QIE58" s="12"/>
      <c r="QIF58" s="12"/>
      <c r="QIG58" s="12"/>
      <c r="QIH58" s="12"/>
      <c r="QII58" s="12"/>
      <c r="QIJ58" s="12"/>
      <c r="QIK58" s="12"/>
      <c r="QIL58" s="12"/>
      <c r="QIM58" s="12"/>
      <c r="QIN58" s="12"/>
      <c r="QIO58" s="12"/>
      <c r="QIP58" s="12"/>
      <c r="QIQ58" s="12"/>
      <c r="QIR58" s="12"/>
      <c r="QIS58" s="12"/>
      <c r="QIT58" s="12"/>
      <c r="QIU58" s="12"/>
      <c r="QIV58" s="12"/>
      <c r="QIW58" s="12"/>
      <c r="QIX58" s="12"/>
      <c r="QIY58" s="12"/>
      <c r="QIZ58" s="12"/>
      <c r="QJA58" s="12"/>
      <c r="QJB58" s="12"/>
      <c r="QJC58" s="12"/>
      <c r="QJD58" s="12"/>
      <c r="QJE58" s="12"/>
      <c r="QJF58" s="12"/>
      <c r="QJG58" s="12"/>
      <c r="QJH58" s="12"/>
      <c r="QJI58" s="12"/>
      <c r="QJJ58" s="12"/>
      <c r="QJK58" s="12"/>
      <c r="QJL58" s="12"/>
      <c r="QJM58" s="12"/>
      <c r="QJN58" s="12"/>
      <c r="QJO58" s="12"/>
      <c r="QJP58" s="12"/>
      <c r="QJQ58" s="12"/>
      <c r="QJR58" s="12"/>
      <c r="QJS58" s="12"/>
      <c r="QJT58" s="12"/>
      <c r="QJU58" s="12"/>
      <c r="QJV58" s="12"/>
      <c r="QJW58" s="12"/>
      <c r="QJX58" s="12"/>
      <c r="QJY58" s="12"/>
      <c r="QJZ58" s="12"/>
      <c r="QKA58" s="12"/>
      <c r="QKB58" s="12"/>
      <c r="QKC58" s="12"/>
      <c r="QKD58" s="12"/>
      <c r="QKE58" s="12"/>
      <c r="QKF58" s="12"/>
      <c r="QKG58" s="12"/>
      <c r="QKH58" s="12"/>
      <c r="QKI58" s="12"/>
      <c r="QKJ58" s="12"/>
      <c r="QKK58" s="12"/>
      <c r="QKL58" s="12"/>
      <c r="QKM58" s="12"/>
      <c r="QKN58" s="12"/>
      <c r="QKO58" s="12"/>
      <c r="QKP58" s="12"/>
      <c r="QKQ58" s="12"/>
      <c r="QKR58" s="12"/>
      <c r="QKS58" s="12"/>
      <c r="QKT58" s="12"/>
      <c r="QKU58" s="12"/>
      <c r="QKV58" s="12"/>
      <c r="QKW58" s="12"/>
      <c r="QKX58" s="12"/>
      <c r="QKY58" s="12"/>
      <c r="QKZ58" s="12"/>
      <c r="QLA58" s="12"/>
      <c r="QLB58" s="12"/>
      <c r="QLC58" s="12"/>
      <c r="QLD58" s="12"/>
      <c r="QLE58" s="12"/>
      <c r="QLF58" s="12"/>
      <c r="QLG58" s="12"/>
      <c r="QLH58" s="12"/>
      <c r="QLI58" s="12"/>
      <c r="QLJ58" s="12"/>
      <c r="QLK58" s="12"/>
      <c r="QLL58" s="12"/>
      <c r="QLM58" s="12"/>
      <c r="QLN58" s="12"/>
      <c r="QLO58" s="12"/>
      <c r="QLP58" s="12"/>
      <c r="QLQ58" s="12"/>
      <c r="QLR58" s="12"/>
      <c r="QLS58" s="12"/>
      <c r="QLT58" s="12"/>
      <c r="QLU58" s="12"/>
      <c r="QLV58" s="12"/>
      <c r="QLW58" s="12"/>
      <c r="QLX58" s="12"/>
      <c r="QLY58" s="12"/>
      <c r="QLZ58" s="12"/>
      <c r="QMA58" s="12"/>
      <c r="QMB58" s="12"/>
      <c r="QMC58" s="12"/>
      <c r="QMD58" s="12"/>
      <c r="QME58" s="12"/>
      <c r="QMF58" s="12"/>
      <c r="QMG58" s="12"/>
      <c r="QMH58" s="12"/>
      <c r="QMI58" s="12"/>
      <c r="QMJ58" s="12"/>
      <c r="QMK58" s="12"/>
      <c r="QML58" s="12"/>
      <c r="QMM58" s="12"/>
      <c r="QMN58" s="12"/>
      <c r="QMO58" s="12"/>
      <c r="QMP58" s="12"/>
      <c r="QMQ58" s="12"/>
      <c r="QMR58" s="12"/>
      <c r="QMS58" s="12"/>
      <c r="QMT58" s="12"/>
      <c r="QMU58" s="12"/>
      <c r="QMV58" s="12"/>
      <c r="QMW58" s="12"/>
      <c r="QMX58" s="12"/>
      <c r="QMY58" s="12"/>
      <c r="QMZ58" s="12"/>
      <c r="QNA58" s="12"/>
      <c r="QNB58" s="12"/>
      <c r="QNC58" s="12"/>
      <c r="QND58" s="12"/>
      <c r="QNE58" s="12"/>
      <c r="QNF58" s="12"/>
      <c r="QNG58" s="12"/>
      <c r="QNH58" s="12"/>
      <c r="QNI58" s="12"/>
      <c r="QNJ58" s="12"/>
      <c r="QNK58" s="12"/>
      <c r="QNL58" s="12"/>
      <c r="QNM58" s="12"/>
      <c r="QNN58" s="12"/>
      <c r="QNO58" s="12"/>
      <c r="QNP58" s="12"/>
      <c r="QNQ58" s="12"/>
      <c r="QNR58" s="12"/>
      <c r="QNS58" s="12"/>
      <c r="QNT58" s="12"/>
      <c r="QNU58" s="12"/>
      <c r="QNV58" s="12"/>
      <c r="QNW58" s="12"/>
      <c r="QNX58" s="12"/>
      <c r="QNY58" s="12"/>
      <c r="QNZ58" s="12"/>
      <c r="QOA58" s="12"/>
      <c r="QOB58" s="12"/>
      <c r="QOC58" s="12"/>
      <c r="QOD58" s="12"/>
      <c r="QOE58" s="12"/>
      <c r="QOF58" s="12"/>
      <c r="QOG58" s="12"/>
      <c r="QOH58" s="12"/>
      <c r="QOI58" s="12"/>
      <c r="QOJ58" s="12"/>
      <c r="QOK58" s="12"/>
      <c r="QOL58" s="12"/>
      <c r="QOM58" s="12"/>
      <c r="QON58" s="12"/>
      <c r="QOO58" s="12"/>
      <c r="QOP58" s="12"/>
      <c r="QOQ58" s="12"/>
      <c r="QOR58" s="12"/>
      <c r="QOS58" s="12"/>
      <c r="QOT58" s="12"/>
      <c r="QOU58" s="12"/>
      <c r="QOV58" s="12"/>
      <c r="QOW58" s="12"/>
      <c r="QOX58" s="12"/>
      <c r="QOY58" s="12"/>
      <c r="QOZ58" s="12"/>
      <c r="QPA58" s="12"/>
      <c r="QPB58" s="12"/>
      <c r="QPC58" s="12"/>
      <c r="QPD58" s="12"/>
      <c r="QPE58" s="12"/>
      <c r="QPF58" s="12"/>
      <c r="QPG58" s="12"/>
      <c r="QPH58" s="12"/>
      <c r="QPI58" s="12"/>
      <c r="QPJ58" s="12"/>
      <c r="QPK58" s="12"/>
      <c r="QPL58" s="12"/>
      <c r="QPM58" s="12"/>
      <c r="QPN58" s="12"/>
      <c r="QPO58" s="12"/>
      <c r="QPP58" s="12"/>
      <c r="QPQ58" s="12"/>
      <c r="QPR58" s="12"/>
      <c r="QPS58" s="12"/>
      <c r="QPT58" s="12"/>
      <c r="QPU58" s="12"/>
      <c r="QPV58" s="12"/>
      <c r="QPW58" s="12"/>
      <c r="QPX58" s="12"/>
      <c r="QPY58" s="12"/>
      <c r="QPZ58" s="12"/>
      <c r="QQA58" s="12"/>
      <c r="QQB58" s="12"/>
      <c r="QQC58" s="12"/>
      <c r="QQD58" s="12"/>
      <c r="QQE58" s="12"/>
      <c r="QQF58" s="12"/>
      <c r="QQG58" s="12"/>
      <c r="QQH58" s="12"/>
      <c r="QQI58" s="12"/>
      <c r="QQJ58" s="12"/>
      <c r="QQK58" s="12"/>
      <c r="QQL58" s="12"/>
      <c r="QQM58" s="12"/>
      <c r="QQN58" s="12"/>
      <c r="QQO58" s="12"/>
      <c r="QQP58" s="12"/>
      <c r="QQQ58" s="12"/>
      <c r="QQR58" s="12"/>
      <c r="QQS58" s="12"/>
      <c r="QQT58" s="12"/>
      <c r="QQU58" s="12"/>
      <c r="QQV58" s="12"/>
      <c r="QQW58" s="12"/>
      <c r="QQX58" s="12"/>
      <c r="QQY58" s="12"/>
      <c r="QQZ58" s="12"/>
      <c r="QRA58" s="12"/>
      <c r="QRB58" s="12"/>
      <c r="QRC58" s="12"/>
      <c r="QRD58" s="12"/>
      <c r="QRE58" s="12"/>
      <c r="QRF58" s="12"/>
      <c r="QRG58" s="12"/>
      <c r="QRH58" s="12"/>
      <c r="QRI58" s="12"/>
      <c r="QRJ58" s="12"/>
      <c r="QRK58" s="12"/>
      <c r="QRL58" s="12"/>
      <c r="QRM58" s="12"/>
      <c r="QRN58" s="12"/>
      <c r="QRO58" s="12"/>
      <c r="QRP58" s="12"/>
      <c r="QRQ58" s="12"/>
      <c r="QRR58" s="12"/>
      <c r="QRS58" s="12"/>
      <c r="QRT58" s="12"/>
      <c r="QRU58" s="12"/>
      <c r="QRV58" s="12"/>
      <c r="QRW58" s="12"/>
      <c r="QRX58" s="12"/>
      <c r="QRY58" s="12"/>
      <c r="QRZ58" s="12"/>
      <c r="QSA58" s="12"/>
      <c r="QSB58" s="12"/>
      <c r="QSC58" s="12"/>
      <c r="QSD58" s="12"/>
      <c r="QSE58" s="12"/>
      <c r="QSF58" s="12"/>
      <c r="QSG58" s="12"/>
      <c r="QSH58" s="12"/>
      <c r="QSI58" s="12"/>
      <c r="QSJ58" s="12"/>
      <c r="QSK58" s="12"/>
      <c r="QSL58" s="12"/>
      <c r="QSM58" s="12"/>
      <c r="QSN58" s="12"/>
      <c r="QSO58" s="12"/>
      <c r="QSP58" s="12"/>
      <c r="QSQ58" s="12"/>
      <c r="QSR58" s="12"/>
      <c r="QSS58" s="12"/>
      <c r="QST58" s="12"/>
      <c r="QSU58" s="12"/>
      <c r="QSV58" s="12"/>
      <c r="QSW58" s="12"/>
      <c r="QSX58" s="12"/>
      <c r="QSY58" s="12"/>
      <c r="QSZ58" s="12"/>
      <c r="QTA58" s="12"/>
      <c r="QTB58" s="12"/>
      <c r="QTC58" s="12"/>
      <c r="QTD58" s="12"/>
      <c r="QTE58" s="12"/>
      <c r="QTF58" s="12"/>
      <c r="QTG58" s="12"/>
      <c r="QTH58" s="12"/>
      <c r="QTI58" s="12"/>
      <c r="QTJ58" s="12"/>
      <c r="QTK58" s="12"/>
      <c r="QTL58" s="12"/>
      <c r="QTM58" s="12"/>
      <c r="QTN58" s="12"/>
      <c r="QTO58" s="12"/>
      <c r="QTP58" s="12"/>
      <c r="QTQ58" s="12"/>
      <c r="QTR58" s="12"/>
      <c r="QTS58" s="12"/>
      <c r="QTT58" s="12"/>
      <c r="QTU58" s="12"/>
      <c r="QTV58" s="12"/>
      <c r="QTW58" s="12"/>
      <c r="QTX58" s="12"/>
      <c r="QTY58" s="12"/>
      <c r="QTZ58" s="12"/>
      <c r="QUA58" s="12"/>
      <c r="QUB58" s="12"/>
      <c r="QUC58" s="12"/>
      <c r="QUD58" s="12"/>
      <c r="QUE58" s="12"/>
      <c r="QUF58" s="12"/>
      <c r="QUG58" s="12"/>
      <c r="QUH58" s="12"/>
      <c r="QUI58" s="12"/>
      <c r="QUJ58" s="12"/>
      <c r="QUK58" s="12"/>
      <c r="QUL58" s="12"/>
      <c r="QUM58" s="12"/>
      <c r="QUN58" s="12"/>
      <c r="QUO58" s="12"/>
      <c r="QUP58" s="12"/>
      <c r="QUQ58" s="12"/>
      <c r="QUR58" s="12"/>
      <c r="QUS58" s="12"/>
      <c r="QUT58" s="12"/>
      <c r="QUU58" s="12"/>
      <c r="QUV58" s="12"/>
      <c r="QUW58" s="12"/>
      <c r="QUX58" s="12"/>
      <c r="QUY58" s="12"/>
      <c r="QUZ58" s="12"/>
      <c r="QVA58" s="12"/>
      <c r="QVB58" s="12"/>
      <c r="QVC58" s="12"/>
      <c r="QVD58" s="12"/>
      <c r="QVE58" s="12"/>
      <c r="QVF58" s="12"/>
      <c r="QVG58" s="12"/>
      <c r="QVH58" s="12"/>
      <c r="QVI58" s="12"/>
      <c r="QVJ58" s="12"/>
      <c r="QVK58" s="12"/>
      <c r="QVL58" s="12"/>
      <c r="QVM58" s="12"/>
      <c r="QVN58" s="12"/>
      <c r="QVO58" s="12"/>
      <c r="QVP58" s="12"/>
      <c r="QVQ58" s="12"/>
      <c r="QVR58" s="12"/>
      <c r="QVS58" s="12"/>
      <c r="QVT58" s="12"/>
      <c r="QVU58" s="12"/>
      <c r="QVV58" s="12"/>
      <c r="QVW58" s="12"/>
      <c r="QVX58" s="12"/>
      <c r="QVY58" s="12"/>
      <c r="QVZ58" s="12"/>
      <c r="QWA58" s="12"/>
      <c r="QWB58" s="12"/>
      <c r="QWC58" s="12"/>
      <c r="QWD58" s="12"/>
      <c r="QWE58" s="12"/>
      <c r="QWF58" s="12"/>
      <c r="QWG58" s="12"/>
      <c r="QWH58" s="12"/>
      <c r="QWI58" s="12"/>
      <c r="QWJ58" s="12"/>
      <c r="QWK58" s="12"/>
      <c r="QWL58" s="12"/>
      <c r="QWM58" s="12"/>
      <c r="QWN58" s="12"/>
      <c r="QWO58" s="12"/>
      <c r="QWP58" s="12"/>
      <c r="QWQ58" s="12"/>
      <c r="QWR58" s="12"/>
      <c r="QWS58" s="12"/>
      <c r="QWT58" s="12"/>
      <c r="QWU58" s="12"/>
      <c r="QWV58" s="12"/>
      <c r="QWW58" s="12"/>
      <c r="QWX58" s="12"/>
      <c r="QWY58" s="12"/>
      <c r="QWZ58" s="12"/>
      <c r="QXA58" s="12"/>
      <c r="QXB58" s="12"/>
      <c r="QXC58" s="12"/>
      <c r="QXD58" s="12"/>
      <c r="QXE58" s="12"/>
      <c r="QXF58" s="12"/>
      <c r="QXG58" s="12"/>
      <c r="QXH58" s="12"/>
      <c r="QXI58" s="12"/>
      <c r="QXJ58" s="12"/>
      <c r="QXK58" s="12"/>
      <c r="QXL58" s="12"/>
      <c r="QXM58" s="12"/>
      <c r="QXN58" s="12"/>
      <c r="QXO58" s="12"/>
      <c r="QXP58" s="12"/>
      <c r="QXQ58" s="12"/>
      <c r="QXR58" s="12"/>
      <c r="QXS58" s="12"/>
      <c r="QXT58" s="12"/>
      <c r="QXU58" s="12"/>
      <c r="QXV58" s="12"/>
      <c r="QXW58" s="12"/>
      <c r="QXX58" s="12"/>
      <c r="QXY58" s="12"/>
      <c r="QXZ58" s="12"/>
      <c r="QYA58" s="12"/>
      <c r="QYB58" s="12"/>
      <c r="QYC58" s="12"/>
      <c r="QYD58" s="12"/>
      <c r="QYE58" s="12"/>
      <c r="QYF58" s="12"/>
      <c r="QYG58" s="12"/>
      <c r="QYH58" s="12"/>
      <c r="QYI58" s="12"/>
      <c r="QYJ58" s="12"/>
      <c r="QYK58" s="12"/>
      <c r="QYL58" s="12"/>
      <c r="QYM58" s="12"/>
      <c r="QYN58" s="12"/>
      <c r="QYO58" s="12"/>
      <c r="QYP58" s="12"/>
      <c r="QYQ58" s="12"/>
      <c r="QYR58" s="12"/>
      <c r="QYS58" s="12"/>
      <c r="QYT58" s="12"/>
      <c r="QYU58" s="12"/>
      <c r="QYV58" s="12"/>
      <c r="QYW58" s="12"/>
      <c r="QYX58" s="12"/>
      <c r="QYY58" s="12"/>
      <c r="QYZ58" s="12"/>
      <c r="QZA58" s="12"/>
      <c r="QZB58" s="12"/>
      <c r="QZC58" s="12"/>
      <c r="QZD58" s="12"/>
      <c r="QZE58" s="12"/>
      <c r="QZF58" s="12"/>
      <c r="QZG58" s="12"/>
      <c r="QZH58" s="12"/>
      <c r="QZI58" s="12"/>
      <c r="QZJ58" s="12"/>
      <c r="QZK58" s="12"/>
      <c r="QZL58" s="12"/>
      <c r="QZM58" s="12"/>
      <c r="QZN58" s="12"/>
      <c r="QZO58" s="12"/>
      <c r="QZP58" s="12"/>
      <c r="QZQ58" s="12"/>
      <c r="QZR58" s="12"/>
      <c r="QZS58" s="12"/>
      <c r="QZT58" s="12"/>
      <c r="QZU58" s="12"/>
      <c r="QZV58" s="12"/>
      <c r="QZW58" s="12"/>
      <c r="QZX58" s="12"/>
      <c r="QZY58" s="12"/>
      <c r="QZZ58" s="12"/>
      <c r="RAA58" s="12"/>
      <c r="RAB58" s="12"/>
      <c r="RAC58" s="12"/>
      <c r="RAD58" s="12"/>
      <c r="RAE58" s="12"/>
      <c r="RAF58" s="12"/>
      <c r="RAG58" s="12"/>
      <c r="RAH58" s="12"/>
      <c r="RAI58" s="12"/>
      <c r="RAJ58" s="12"/>
      <c r="RAK58" s="12"/>
      <c r="RAL58" s="12"/>
      <c r="RAM58" s="12"/>
      <c r="RAN58" s="12"/>
      <c r="RAO58" s="12"/>
      <c r="RAP58" s="12"/>
      <c r="RAQ58" s="12"/>
      <c r="RAR58" s="12"/>
      <c r="RAS58" s="12"/>
      <c r="RAT58" s="12"/>
      <c r="RAU58" s="12"/>
      <c r="RAV58" s="12"/>
      <c r="RAW58" s="12"/>
      <c r="RAX58" s="12"/>
      <c r="RAY58" s="12"/>
      <c r="RAZ58" s="12"/>
      <c r="RBA58" s="12"/>
      <c r="RBB58" s="12"/>
      <c r="RBC58" s="12"/>
      <c r="RBD58" s="12"/>
      <c r="RBE58" s="12"/>
      <c r="RBF58" s="12"/>
      <c r="RBG58" s="12"/>
      <c r="RBH58" s="12"/>
      <c r="RBI58" s="12"/>
      <c r="RBJ58" s="12"/>
      <c r="RBK58" s="12"/>
      <c r="RBL58" s="12"/>
      <c r="RBM58" s="12"/>
      <c r="RBN58" s="12"/>
      <c r="RBO58" s="12"/>
      <c r="RBP58" s="12"/>
      <c r="RBQ58" s="12"/>
      <c r="RBR58" s="12"/>
      <c r="RBS58" s="12"/>
      <c r="RBT58" s="12"/>
      <c r="RBU58" s="12"/>
      <c r="RBV58" s="12"/>
      <c r="RBW58" s="12"/>
      <c r="RBX58" s="12"/>
      <c r="RBY58" s="12"/>
      <c r="RBZ58" s="12"/>
      <c r="RCA58" s="12"/>
      <c r="RCB58" s="12"/>
      <c r="RCC58" s="12"/>
      <c r="RCD58" s="12"/>
      <c r="RCE58" s="12"/>
      <c r="RCF58" s="12"/>
      <c r="RCG58" s="12"/>
      <c r="RCH58" s="12"/>
      <c r="RCI58" s="12"/>
      <c r="RCJ58" s="12"/>
      <c r="RCK58" s="12"/>
      <c r="RCL58" s="12"/>
      <c r="RCM58" s="12"/>
      <c r="RCN58" s="12"/>
      <c r="RCO58" s="12"/>
      <c r="RCP58" s="12"/>
      <c r="RCQ58" s="12"/>
      <c r="RCR58" s="12"/>
      <c r="RCS58" s="12"/>
      <c r="RCT58" s="12"/>
      <c r="RCU58" s="12"/>
      <c r="RCV58" s="12"/>
      <c r="RCW58" s="12"/>
      <c r="RCX58" s="12"/>
      <c r="RCY58" s="12"/>
      <c r="RCZ58" s="12"/>
      <c r="RDA58" s="12"/>
      <c r="RDB58" s="12"/>
      <c r="RDC58" s="12"/>
      <c r="RDD58" s="12"/>
      <c r="RDE58" s="12"/>
      <c r="RDF58" s="12"/>
      <c r="RDG58" s="12"/>
      <c r="RDH58" s="12"/>
      <c r="RDI58" s="12"/>
      <c r="RDJ58" s="12"/>
      <c r="RDK58" s="12"/>
      <c r="RDL58" s="12"/>
      <c r="RDM58" s="12"/>
      <c r="RDN58" s="12"/>
      <c r="RDO58" s="12"/>
      <c r="RDP58" s="12"/>
      <c r="RDQ58" s="12"/>
      <c r="RDR58" s="12"/>
      <c r="RDS58" s="12"/>
      <c r="RDT58" s="12"/>
      <c r="RDU58" s="12"/>
      <c r="RDV58" s="12"/>
      <c r="RDW58" s="12"/>
      <c r="RDX58" s="12"/>
      <c r="RDY58" s="12"/>
      <c r="RDZ58" s="12"/>
      <c r="REA58" s="12"/>
      <c r="REB58" s="12"/>
      <c r="REC58" s="12"/>
      <c r="RED58" s="12"/>
      <c r="REE58" s="12"/>
      <c r="REF58" s="12"/>
      <c r="REG58" s="12"/>
      <c r="REH58" s="12"/>
      <c r="REI58" s="12"/>
      <c r="REJ58" s="12"/>
      <c r="REK58" s="12"/>
      <c r="REL58" s="12"/>
      <c r="REM58" s="12"/>
      <c r="REN58" s="12"/>
      <c r="REO58" s="12"/>
      <c r="REP58" s="12"/>
      <c r="REQ58" s="12"/>
      <c r="RER58" s="12"/>
      <c r="RES58" s="12"/>
      <c r="RET58" s="12"/>
      <c r="REU58" s="12"/>
      <c r="REV58" s="12"/>
      <c r="REW58" s="12"/>
      <c r="REX58" s="12"/>
      <c r="REY58" s="12"/>
      <c r="REZ58" s="12"/>
      <c r="RFA58" s="12"/>
      <c r="RFB58" s="12"/>
      <c r="RFC58" s="12"/>
      <c r="RFD58" s="12"/>
      <c r="RFE58" s="12"/>
      <c r="RFF58" s="12"/>
      <c r="RFG58" s="12"/>
      <c r="RFH58" s="12"/>
      <c r="RFI58" s="12"/>
      <c r="RFJ58" s="12"/>
      <c r="RFK58" s="12"/>
      <c r="RFL58" s="12"/>
      <c r="RFM58" s="12"/>
      <c r="RFN58" s="12"/>
      <c r="RFO58" s="12"/>
      <c r="RFP58" s="12"/>
      <c r="RFQ58" s="12"/>
      <c r="RFR58" s="12"/>
      <c r="RFS58" s="12"/>
      <c r="RFT58" s="12"/>
      <c r="RFU58" s="12"/>
      <c r="RFV58" s="12"/>
      <c r="RFW58" s="12"/>
      <c r="RFX58" s="12"/>
      <c r="RFY58" s="12"/>
      <c r="RFZ58" s="12"/>
      <c r="RGA58" s="12"/>
      <c r="RGB58" s="12"/>
      <c r="RGC58" s="12"/>
      <c r="RGD58" s="12"/>
      <c r="RGE58" s="12"/>
      <c r="RGF58" s="12"/>
      <c r="RGG58" s="12"/>
      <c r="RGH58" s="12"/>
      <c r="RGI58" s="12"/>
      <c r="RGJ58" s="12"/>
      <c r="RGK58" s="12"/>
      <c r="RGL58" s="12"/>
      <c r="RGM58" s="12"/>
      <c r="RGN58" s="12"/>
      <c r="RGO58" s="12"/>
      <c r="RGP58" s="12"/>
      <c r="RGQ58" s="12"/>
      <c r="RGR58" s="12"/>
      <c r="RGS58" s="12"/>
      <c r="RGT58" s="12"/>
      <c r="RGU58" s="12"/>
      <c r="RGV58" s="12"/>
      <c r="RGW58" s="12"/>
      <c r="RGX58" s="12"/>
      <c r="RGY58" s="12"/>
      <c r="RGZ58" s="12"/>
      <c r="RHA58" s="12"/>
      <c r="RHB58" s="12"/>
      <c r="RHC58" s="12"/>
      <c r="RHD58" s="12"/>
      <c r="RHE58" s="12"/>
      <c r="RHF58" s="12"/>
      <c r="RHG58" s="12"/>
      <c r="RHH58" s="12"/>
      <c r="RHI58" s="12"/>
      <c r="RHJ58" s="12"/>
      <c r="RHK58" s="12"/>
      <c r="RHL58" s="12"/>
      <c r="RHM58" s="12"/>
      <c r="RHN58" s="12"/>
      <c r="RHO58" s="12"/>
      <c r="RHP58" s="12"/>
      <c r="RHQ58" s="12"/>
      <c r="RHR58" s="12"/>
      <c r="RHS58" s="12"/>
      <c r="RHT58" s="12"/>
      <c r="RHU58" s="12"/>
      <c r="RHV58" s="12"/>
      <c r="RHW58" s="12"/>
      <c r="RHX58" s="12"/>
      <c r="RHY58" s="12"/>
      <c r="RHZ58" s="12"/>
      <c r="RIA58" s="12"/>
      <c r="RIB58" s="12"/>
      <c r="RIC58" s="12"/>
      <c r="RID58" s="12"/>
      <c r="RIE58" s="12"/>
      <c r="RIF58" s="12"/>
      <c r="RIG58" s="12"/>
      <c r="RIH58" s="12"/>
      <c r="RII58" s="12"/>
      <c r="RIJ58" s="12"/>
      <c r="RIK58" s="12"/>
      <c r="RIL58" s="12"/>
      <c r="RIM58" s="12"/>
      <c r="RIN58" s="12"/>
      <c r="RIO58" s="12"/>
      <c r="RIP58" s="12"/>
      <c r="RIQ58" s="12"/>
      <c r="RIR58" s="12"/>
      <c r="RIS58" s="12"/>
      <c r="RIT58" s="12"/>
      <c r="RIU58" s="12"/>
      <c r="RIV58" s="12"/>
      <c r="RIW58" s="12"/>
      <c r="RIX58" s="12"/>
      <c r="RIY58" s="12"/>
      <c r="RIZ58" s="12"/>
      <c r="RJA58" s="12"/>
      <c r="RJB58" s="12"/>
      <c r="RJC58" s="12"/>
      <c r="RJD58" s="12"/>
      <c r="RJE58" s="12"/>
      <c r="RJF58" s="12"/>
      <c r="RJG58" s="12"/>
      <c r="RJH58" s="12"/>
      <c r="RJI58" s="12"/>
      <c r="RJJ58" s="12"/>
      <c r="RJK58" s="12"/>
      <c r="RJL58" s="12"/>
      <c r="RJM58" s="12"/>
      <c r="RJN58" s="12"/>
      <c r="RJO58" s="12"/>
      <c r="RJP58" s="12"/>
      <c r="RJQ58" s="12"/>
      <c r="RJR58" s="12"/>
      <c r="RJS58" s="12"/>
      <c r="RJT58" s="12"/>
      <c r="RJU58" s="12"/>
      <c r="RJV58" s="12"/>
      <c r="RJW58" s="12"/>
      <c r="RJX58" s="12"/>
      <c r="RJY58" s="12"/>
      <c r="RJZ58" s="12"/>
      <c r="RKA58" s="12"/>
      <c r="RKB58" s="12"/>
      <c r="RKC58" s="12"/>
      <c r="RKD58" s="12"/>
      <c r="RKE58" s="12"/>
      <c r="RKF58" s="12"/>
      <c r="RKG58" s="12"/>
      <c r="RKH58" s="12"/>
      <c r="RKI58" s="12"/>
      <c r="RKJ58" s="12"/>
      <c r="RKK58" s="12"/>
      <c r="RKL58" s="12"/>
      <c r="RKM58" s="12"/>
      <c r="RKN58" s="12"/>
      <c r="RKO58" s="12"/>
      <c r="RKP58" s="12"/>
      <c r="RKQ58" s="12"/>
      <c r="RKR58" s="12"/>
      <c r="RKS58" s="12"/>
      <c r="RKT58" s="12"/>
      <c r="RKU58" s="12"/>
      <c r="RKV58" s="12"/>
      <c r="RKW58" s="12"/>
      <c r="RKX58" s="12"/>
      <c r="RKY58" s="12"/>
      <c r="RKZ58" s="12"/>
      <c r="RLA58" s="12"/>
      <c r="RLB58" s="12"/>
      <c r="RLC58" s="12"/>
      <c r="RLD58" s="12"/>
      <c r="RLE58" s="12"/>
      <c r="RLF58" s="12"/>
      <c r="RLG58" s="12"/>
      <c r="RLH58" s="12"/>
      <c r="RLI58" s="12"/>
      <c r="RLJ58" s="12"/>
      <c r="RLK58" s="12"/>
      <c r="RLL58" s="12"/>
      <c r="RLM58" s="12"/>
      <c r="RLN58" s="12"/>
      <c r="RLO58" s="12"/>
      <c r="RLP58" s="12"/>
      <c r="RLQ58" s="12"/>
      <c r="RLR58" s="12"/>
      <c r="RLS58" s="12"/>
      <c r="RLT58" s="12"/>
      <c r="RLU58" s="12"/>
      <c r="RLV58" s="12"/>
      <c r="RLW58" s="12"/>
      <c r="RLX58" s="12"/>
      <c r="RLY58" s="12"/>
      <c r="RLZ58" s="12"/>
      <c r="RMA58" s="12"/>
      <c r="RMB58" s="12"/>
      <c r="RMC58" s="12"/>
      <c r="RMD58" s="12"/>
      <c r="RME58" s="12"/>
      <c r="RMF58" s="12"/>
      <c r="RMG58" s="12"/>
      <c r="RMH58" s="12"/>
      <c r="RMI58" s="12"/>
      <c r="RMJ58" s="12"/>
      <c r="RMK58" s="12"/>
      <c r="RML58" s="12"/>
      <c r="RMM58" s="12"/>
      <c r="RMN58" s="12"/>
      <c r="RMO58" s="12"/>
      <c r="RMP58" s="12"/>
      <c r="RMQ58" s="12"/>
      <c r="RMR58" s="12"/>
      <c r="RMS58" s="12"/>
      <c r="RMT58" s="12"/>
      <c r="RMU58" s="12"/>
      <c r="RMV58" s="12"/>
      <c r="RMW58" s="12"/>
      <c r="RMX58" s="12"/>
      <c r="RMY58" s="12"/>
      <c r="RMZ58" s="12"/>
      <c r="RNA58" s="12"/>
      <c r="RNB58" s="12"/>
      <c r="RNC58" s="12"/>
      <c r="RND58" s="12"/>
      <c r="RNE58" s="12"/>
      <c r="RNF58" s="12"/>
      <c r="RNG58" s="12"/>
      <c r="RNH58" s="12"/>
      <c r="RNI58" s="12"/>
      <c r="RNJ58" s="12"/>
      <c r="RNK58" s="12"/>
      <c r="RNL58" s="12"/>
      <c r="RNM58" s="12"/>
      <c r="RNN58" s="12"/>
      <c r="RNO58" s="12"/>
      <c r="RNP58" s="12"/>
      <c r="RNQ58" s="12"/>
      <c r="RNR58" s="12"/>
      <c r="RNS58" s="12"/>
      <c r="RNT58" s="12"/>
      <c r="RNU58" s="12"/>
      <c r="RNV58" s="12"/>
      <c r="RNW58" s="12"/>
      <c r="RNX58" s="12"/>
      <c r="RNY58" s="12"/>
      <c r="RNZ58" s="12"/>
      <c r="ROA58" s="12"/>
      <c r="ROB58" s="12"/>
      <c r="ROC58" s="12"/>
      <c r="ROD58" s="12"/>
      <c r="ROE58" s="12"/>
      <c r="ROF58" s="12"/>
      <c r="ROG58" s="12"/>
      <c r="ROH58" s="12"/>
      <c r="ROI58" s="12"/>
      <c r="ROJ58" s="12"/>
      <c r="ROK58" s="12"/>
      <c r="ROL58" s="12"/>
      <c r="ROM58" s="12"/>
      <c r="RON58" s="12"/>
      <c r="ROO58" s="12"/>
      <c r="ROP58" s="12"/>
      <c r="ROQ58" s="12"/>
      <c r="ROR58" s="12"/>
      <c r="ROS58" s="12"/>
      <c r="ROT58" s="12"/>
      <c r="ROU58" s="12"/>
      <c r="ROV58" s="12"/>
      <c r="ROW58" s="12"/>
      <c r="ROX58" s="12"/>
      <c r="ROY58" s="12"/>
      <c r="ROZ58" s="12"/>
      <c r="RPA58" s="12"/>
      <c r="RPB58" s="12"/>
      <c r="RPC58" s="12"/>
      <c r="RPD58" s="12"/>
      <c r="RPE58" s="12"/>
      <c r="RPF58" s="12"/>
      <c r="RPG58" s="12"/>
      <c r="RPH58" s="12"/>
      <c r="RPI58" s="12"/>
      <c r="RPJ58" s="12"/>
      <c r="RPK58" s="12"/>
      <c r="RPL58" s="12"/>
      <c r="RPM58" s="12"/>
      <c r="RPN58" s="12"/>
      <c r="RPO58" s="12"/>
      <c r="RPP58" s="12"/>
      <c r="RPQ58" s="12"/>
      <c r="RPR58" s="12"/>
      <c r="RPS58" s="12"/>
      <c r="RPT58" s="12"/>
      <c r="RPU58" s="12"/>
      <c r="RPV58" s="12"/>
      <c r="RPW58" s="12"/>
      <c r="RPX58" s="12"/>
      <c r="RPY58" s="12"/>
      <c r="RPZ58" s="12"/>
      <c r="RQA58" s="12"/>
      <c r="RQB58" s="12"/>
      <c r="RQC58" s="12"/>
      <c r="RQD58" s="12"/>
      <c r="RQE58" s="12"/>
      <c r="RQF58" s="12"/>
      <c r="RQG58" s="12"/>
      <c r="RQH58" s="12"/>
      <c r="RQI58" s="12"/>
      <c r="RQJ58" s="12"/>
      <c r="RQK58" s="12"/>
      <c r="RQL58" s="12"/>
      <c r="RQM58" s="12"/>
      <c r="RQN58" s="12"/>
      <c r="RQO58" s="12"/>
      <c r="RQP58" s="12"/>
      <c r="RQQ58" s="12"/>
      <c r="RQR58" s="12"/>
      <c r="RQS58" s="12"/>
      <c r="RQT58" s="12"/>
      <c r="RQU58" s="12"/>
      <c r="RQV58" s="12"/>
      <c r="RQW58" s="12"/>
      <c r="RQX58" s="12"/>
      <c r="RQY58" s="12"/>
      <c r="RQZ58" s="12"/>
      <c r="RRA58" s="12"/>
      <c r="RRB58" s="12"/>
      <c r="RRC58" s="12"/>
      <c r="RRD58" s="12"/>
      <c r="RRE58" s="12"/>
      <c r="RRF58" s="12"/>
      <c r="RRG58" s="12"/>
      <c r="RRH58" s="12"/>
      <c r="RRI58" s="12"/>
      <c r="RRJ58" s="12"/>
      <c r="RRK58" s="12"/>
      <c r="RRL58" s="12"/>
      <c r="RRM58" s="12"/>
      <c r="RRN58" s="12"/>
      <c r="RRO58" s="12"/>
      <c r="RRP58" s="12"/>
      <c r="RRQ58" s="12"/>
      <c r="RRR58" s="12"/>
      <c r="RRS58" s="12"/>
      <c r="RRT58" s="12"/>
      <c r="RRU58" s="12"/>
      <c r="RRV58" s="12"/>
      <c r="RRW58" s="12"/>
      <c r="RRX58" s="12"/>
      <c r="RRY58" s="12"/>
      <c r="RRZ58" s="12"/>
      <c r="RSA58" s="12"/>
      <c r="RSB58" s="12"/>
      <c r="RSC58" s="12"/>
      <c r="RSD58" s="12"/>
      <c r="RSE58" s="12"/>
      <c r="RSF58" s="12"/>
      <c r="RSG58" s="12"/>
      <c r="RSH58" s="12"/>
      <c r="RSI58" s="12"/>
      <c r="RSJ58" s="12"/>
      <c r="RSK58" s="12"/>
      <c r="RSL58" s="12"/>
      <c r="RSM58" s="12"/>
      <c r="RSN58" s="12"/>
      <c r="RSO58" s="12"/>
      <c r="RSP58" s="12"/>
      <c r="RSQ58" s="12"/>
      <c r="RSR58" s="12"/>
      <c r="RSS58" s="12"/>
      <c r="RST58" s="12"/>
      <c r="RSU58" s="12"/>
      <c r="RSV58" s="12"/>
      <c r="RSW58" s="12"/>
      <c r="RSX58" s="12"/>
      <c r="RSY58" s="12"/>
      <c r="RSZ58" s="12"/>
      <c r="RTA58" s="12"/>
      <c r="RTB58" s="12"/>
      <c r="RTC58" s="12"/>
      <c r="RTD58" s="12"/>
      <c r="RTE58" s="12"/>
      <c r="RTF58" s="12"/>
      <c r="RTG58" s="12"/>
      <c r="RTH58" s="12"/>
      <c r="RTI58" s="12"/>
      <c r="RTJ58" s="12"/>
      <c r="RTK58" s="12"/>
      <c r="RTL58" s="12"/>
      <c r="RTM58" s="12"/>
      <c r="RTN58" s="12"/>
      <c r="RTO58" s="12"/>
      <c r="RTP58" s="12"/>
      <c r="RTQ58" s="12"/>
      <c r="RTR58" s="12"/>
      <c r="RTS58" s="12"/>
      <c r="RTT58" s="12"/>
      <c r="RTU58" s="12"/>
      <c r="RTV58" s="12"/>
      <c r="RTW58" s="12"/>
      <c r="RTX58" s="12"/>
      <c r="RTY58" s="12"/>
      <c r="RTZ58" s="12"/>
      <c r="RUA58" s="12"/>
      <c r="RUB58" s="12"/>
      <c r="RUC58" s="12"/>
      <c r="RUD58" s="12"/>
      <c r="RUE58" s="12"/>
      <c r="RUF58" s="12"/>
      <c r="RUG58" s="12"/>
      <c r="RUH58" s="12"/>
      <c r="RUI58" s="12"/>
      <c r="RUJ58" s="12"/>
      <c r="RUK58" s="12"/>
      <c r="RUL58" s="12"/>
      <c r="RUM58" s="12"/>
      <c r="RUN58" s="12"/>
      <c r="RUO58" s="12"/>
      <c r="RUP58" s="12"/>
      <c r="RUQ58" s="12"/>
      <c r="RUR58" s="12"/>
      <c r="RUS58" s="12"/>
      <c r="RUT58" s="12"/>
      <c r="RUU58" s="12"/>
      <c r="RUV58" s="12"/>
      <c r="RUW58" s="12"/>
      <c r="RUX58" s="12"/>
      <c r="RUY58" s="12"/>
      <c r="RUZ58" s="12"/>
      <c r="RVA58" s="12"/>
      <c r="RVB58" s="12"/>
      <c r="RVC58" s="12"/>
      <c r="RVD58" s="12"/>
      <c r="RVE58" s="12"/>
      <c r="RVF58" s="12"/>
      <c r="RVG58" s="12"/>
      <c r="RVH58" s="12"/>
      <c r="RVI58" s="12"/>
      <c r="RVJ58" s="12"/>
      <c r="RVK58" s="12"/>
      <c r="RVL58" s="12"/>
      <c r="RVM58" s="12"/>
      <c r="RVN58" s="12"/>
      <c r="RVO58" s="12"/>
      <c r="RVP58" s="12"/>
      <c r="RVQ58" s="12"/>
      <c r="RVR58" s="12"/>
      <c r="RVS58" s="12"/>
      <c r="RVT58" s="12"/>
      <c r="RVU58" s="12"/>
      <c r="RVV58" s="12"/>
      <c r="RVW58" s="12"/>
      <c r="RVX58" s="12"/>
      <c r="RVY58" s="12"/>
      <c r="RVZ58" s="12"/>
      <c r="RWA58" s="12"/>
      <c r="RWB58" s="12"/>
      <c r="RWC58" s="12"/>
      <c r="RWD58" s="12"/>
      <c r="RWE58" s="12"/>
      <c r="RWF58" s="12"/>
      <c r="RWG58" s="12"/>
      <c r="RWH58" s="12"/>
      <c r="RWI58" s="12"/>
      <c r="RWJ58" s="12"/>
      <c r="RWK58" s="12"/>
      <c r="RWL58" s="12"/>
      <c r="RWM58" s="12"/>
      <c r="RWN58" s="12"/>
      <c r="RWO58" s="12"/>
      <c r="RWP58" s="12"/>
      <c r="RWQ58" s="12"/>
      <c r="RWR58" s="12"/>
      <c r="RWS58" s="12"/>
      <c r="RWT58" s="12"/>
      <c r="RWU58" s="12"/>
      <c r="RWV58" s="12"/>
      <c r="RWW58" s="12"/>
      <c r="RWX58" s="12"/>
      <c r="RWY58" s="12"/>
      <c r="RWZ58" s="12"/>
      <c r="RXA58" s="12"/>
      <c r="RXB58" s="12"/>
      <c r="RXC58" s="12"/>
      <c r="RXD58" s="12"/>
      <c r="RXE58" s="12"/>
      <c r="RXF58" s="12"/>
      <c r="RXG58" s="12"/>
      <c r="RXH58" s="12"/>
      <c r="RXI58" s="12"/>
      <c r="RXJ58" s="12"/>
      <c r="RXK58" s="12"/>
      <c r="RXL58" s="12"/>
      <c r="RXM58" s="12"/>
      <c r="RXN58" s="12"/>
      <c r="RXO58" s="12"/>
      <c r="RXP58" s="12"/>
      <c r="RXQ58" s="12"/>
      <c r="RXR58" s="12"/>
      <c r="RXS58" s="12"/>
      <c r="RXT58" s="12"/>
      <c r="RXU58" s="12"/>
      <c r="RXV58" s="12"/>
      <c r="RXW58" s="12"/>
      <c r="RXX58" s="12"/>
      <c r="RXY58" s="12"/>
      <c r="RXZ58" s="12"/>
      <c r="RYA58" s="12"/>
      <c r="RYB58" s="12"/>
      <c r="RYC58" s="12"/>
      <c r="RYD58" s="12"/>
      <c r="RYE58" s="12"/>
      <c r="RYF58" s="12"/>
      <c r="RYG58" s="12"/>
      <c r="RYH58" s="12"/>
      <c r="RYI58" s="12"/>
      <c r="RYJ58" s="12"/>
      <c r="RYK58" s="12"/>
      <c r="RYL58" s="12"/>
      <c r="RYM58" s="12"/>
      <c r="RYN58" s="12"/>
      <c r="RYO58" s="12"/>
      <c r="RYP58" s="12"/>
      <c r="RYQ58" s="12"/>
      <c r="RYR58" s="12"/>
      <c r="RYS58" s="12"/>
      <c r="RYT58" s="12"/>
      <c r="RYU58" s="12"/>
      <c r="RYV58" s="12"/>
      <c r="RYW58" s="12"/>
      <c r="RYX58" s="12"/>
      <c r="RYY58" s="12"/>
      <c r="RYZ58" s="12"/>
      <c r="RZA58" s="12"/>
      <c r="RZB58" s="12"/>
      <c r="RZC58" s="12"/>
      <c r="RZD58" s="12"/>
      <c r="RZE58" s="12"/>
      <c r="RZF58" s="12"/>
      <c r="RZG58" s="12"/>
      <c r="RZH58" s="12"/>
      <c r="RZI58" s="12"/>
      <c r="RZJ58" s="12"/>
      <c r="RZK58" s="12"/>
      <c r="RZL58" s="12"/>
      <c r="RZM58" s="12"/>
      <c r="RZN58" s="12"/>
      <c r="RZO58" s="12"/>
      <c r="RZP58" s="12"/>
      <c r="RZQ58" s="12"/>
      <c r="RZR58" s="12"/>
      <c r="RZS58" s="12"/>
      <c r="RZT58" s="12"/>
      <c r="RZU58" s="12"/>
      <c r="RZV58" s="12"/>
      <c r="RZW58" s="12"/>
      <c r="RZX58" s="12"/>
      <c r="RZY58" s="12"/>
      <c r="RZZ58" s="12"/>
      <c r="SAA58" s="12"/>
      <c r="SAB58" s="12"/>
      <c r="SAC58" s="12"/>
      <c r="SAD58" s="12"/>
      <c r="SAE58" s="12"/>
      <c r="SAF58" s="12"/>
      <c r="SAG58" s="12"/>
      <c r="SAH58" s="12"/>
      <c r="SAI58" s="12"/>
      <c r="SAJ58" s="12"/>
      <c r="SAK58" s="12"/>
      <c r="SAL58" s="12"/>
      <c r="SAM58" s="12"/>
      <c r="SAN58" s="12"/>
      <c r="SAO58" s="12"/>
      <c r="SAP58" s="12"/>
      <c r="SAQ58" s="12"/>
      <c r="SAR58" s="12"/>
      <c r="SAS58" s="12"/>
      <c r="SAT58" s="12"/>
      <c r="SAU58" s="12"/>
      <c r="SAV58" s="12"/>
      <c r="SAW58" s="12"/>
      <c r="SAX58" s="12"/>
      <c r="SAY58" s="12"/>
      <c r="SAZ58" s="12"/>
      <c r="SBA58" s="12"/>
      <c r="SBB58" s="12"/>
      <c r="SBC58" s="12"/>
      <c r="SBD58" s="12"/>
      <c r="SBE58" s="12"/>
      <c r="SBF58" s="12"/>
      <c r="SBG58" s="12"/>
      <c r="SBH58" s="12"/>
      <c r="SBI58" s="12"/>
      <c r="SBJ58" s="12"/>
      <c r="SBK58" s="12"/>
      <c r="SBL58" s="12"/>
      <c r="SBM58" s="12"/>
      <c r="SBN58" s="12"/>
      <c r="SBO58" s="12"/>
      <c r="SBP58" s="12"/>
      <c r="SBQ58" s="12"/>
      <c r="SBR58" s="12"/>
      <c r="SBS58" s="12"/>
      <c r="SBT58" s="12"/>
      <c r="SBU58" s="12"/>
      <c r="SBV58" s="12"/>
      <c r="SBW58" s="12"/>
      <c r="SBX58" s="12"/>
      <c r="SBY58" s="12"/>
      <c r="SBZ58" s="12"/>
      <c r="SCA58" s="12"/>
      <c r="SCB58" s="12"/>
      <c r="SCC58" s="12"/>
      <c r="SCD58" s="12"/>
      <c r="SCE58" s="12"/>
      <c r="SCF58" s="12"/>
      <c r="SCG58" s="12"/>
      <c r="SCH58" s="12"/>
      <c r="SCI58" s="12"/>
      <c r="SCJ58" s="12"/>
      <c r="SCK58" s="12"/>
      <c r="SCL58" s="12"/>
      <c r="SCM58" s="12"/>
      <c r="SCN58" s="12"/>
      <c r="SCO58" s="12"/>
      <c r="SCP58" s="12"/>
      <c r="SCQ58" s="12"/>
      <c r="SCR58" s="12"/>
      <c r="SCS58" s="12"/>
      <c r="SCT58" s="12"/>
      <c r="SCU58" s="12"/>
      <c r="SCV58" s="12"/>
      <c r="SCW58" s="12"/>
      <c r="SCX58" s="12"/>
      <c r="SCY58" s="12"/>
      <c r="SCZ58" s="12"/>
      <c r="SDA58" s="12"/>
      <c r="SDB58" s="12"/>
      <c r="SDC58" s="12"/>
      <c r="SDD58" s="12"/>
      <c r="SDE58" s="12"/>
      <c r="SDF58" s="12"/>
      <c r="SDG58" s="12"/>
      <c r="SDH58" s="12"/>
      <c r="SDI58" s="12"/>
      <c r="SDJ58" s="12"/>
      <c r="SDK58" s="12"/>
      <c r="SDL58" s="12"/>
      <c r="SDM58" s="12"/>
      <c r="SDN58" s="12"/>
      <c r="SDO58" s="12"/>
      <c r="SDP58" s="12"/>
      <c r="SDQ58" s="12"/>
      <c r="SDR58" s="12"/>
      <c r="SDS58" s="12"/>
      <c r="SDT58" s="12"/>
      <c r="SDU58" s="12"/>
      <c r="SDV58" s="12"/>
      <c r="SDW58" s="12"/>
      <c r="SDX58" s="12"/>
      <c r="SDY58" s="12"/>
      <c r="SDZ58" s="12"/>
      <c r="SEA58" s="12"/>
      <c r="SEB58" s="12"/>
      <c r="SEC58" s="12"/>
      <c r="SED58" s="12"/>
      <c r="SEE58" s="12"/>
      <c r="SEF58" s="12"/>
      <c r="SEG58" s="12"/>
      <c r="SEH58" s="12"/>
      <c r="SEI58" s="12"/>
      <c r="SEJ58" s="12"/>
      <c r="SEK58" s="12"/>
      <c r="SEL58" s="12"/>
      <c r="SEM58" s="12"/>
      <c r="SEN58" s="12"/>
      <c r="SEO58" s="12"/>
      <c r="SEP58" s="12"/>
      <c r="SEQ58" s="12"/>
      <c r="SER58" s="12"/>
      <c r="SES58" s="12"/>
      <c r="SET58" s="12"/>
      <c r="SEU58" s="12"/>
      <c r="SEV58" s="12"/>
      <c r="SEW58" s="12"/>
      <c r="SEX58" s="12"/>
      <c r="SEY58" s="12"/>
      <c r="SEZ58" s="12"/>
      <c r="SFA58" s="12"/>
      <c r="SFB58" s="12"/>
      <c r="SFC58" s="12"/>
      <c r="SFD58" s="12"/>
      <c r="SFE58" s="12"/>
      <c r="SFF58" s="12"/>
      <c r="SFG58" s="12"/>
      <c r="SFH58" s="12"/>
      <c r="SFI58" s="12"/>
      <c r="SFJ58" s="12"/>
      <c r="SFK58" s="12"/>
      <c r="SFL58" s="12"/>
      <c r="SFM58" s="12"/>
      <c r="SFN58" s="12"/>
      <c r="SFO58" s="12"/>
      <c r="SFP58" s="12"/>
      <c r="SFQ58" s="12"/>
      <c r="SFR58" s="12"/>
      <c r="SFS58" s="12"/>
      <c r="SFT58" s="12"/>
      <c r="SFU58" s="12"/>
      <c r="SFV58" s="12"/>
      <c r="SFW58" s="12"/>
      <c r="SFX58" s="12"/>
      <c r="SFY58" s="12"/>
      <c r="SFZ58" s="12"/>
      <c r="SGA58" s="12"/>
      <c r="SGB58" s="12"/>
      <c r="SGC58" s="12"/>
      <c r="SGD58" s="12"/>
      <c r="SGE58" s="12"/>
      <c r="SGF58" s="12"/>
      <c r="SGG58" s="12"/>
      <c r="SGH58" s="12"/>
      <c r="SGI58" s="12"/>
      <c r="SGJ58" s="12"/>
      <c r="SGK58" s="12"/>
      <c r="SGL58" s="12"/>
      <c r="SGM58" s="12"/>
      <c r="SGN58" s="12"/>
      <c r="SGO58" s="12"/>
      <c r="SGP58" s="12"/>
      <c r="SGQ58" s="12"/>
      <c r="SGR58" s="12"/>
      <c r="SGS58" s="12"/>
      <c r="SGT58" s="12"/>
      <c r="SGU58" s="12"/>
      <c r="SGV58" s="12"/>
      <c r="SGW58" s="12"/>
      <c r="SGX58" s="12"/>
      <c r="SGY58" s="12"/>
      <c r="SGZ58" s="12"/>
      <c r="SHA58" s="12"/>
      <c r="SHB58" s="12"/>
      <c r="SHC58" s="12"/>
      <c r="SHD58" s="12"/>
      <c r="SHE58" s="12"/>
      <c r="SHF58" s="12"/>
      <c r="SHG58" s="12"/>
      <c r="SHH58" s="12"/>
      <c r="SHI58" s="12"/>
      <c r="SHJ58" s="12"/>
      <c r="SHK58" s="12"/>
      <c r="SHL58" s="12"/>
      <c r="SHM58" s="12"/>
      <c r="SHN58" s="12"/>
      <c r="SHO58" s="12"/>
      <c r="SHP58" s="12"/>
      <c r="SHQ58" s="12"/>
      <c r="SHR58" s="12"/>
      <c r="SHS58" s="12"/>
      <c r="SHT58" s="12"/>
      <c r="SHU58" s="12"/>
      <c r="SHV58" s="12"/>
      <c r="SHW58" s="12"/>
      <c r="SHX58" s="12"/>
      <c r="SHY58" s="12"/>
      <c r="SHZ58" s="12"/>
      <c r="SIA58" s="12"/>
      <c r="SIB58" s="12"/>
      <c r="SIC58" s="12"/>
      <c r="SID58" s="12"/>
      <c r="SIE58" s="12"/>
      <c r="SIF58" s="12"/>
      <c r="SIG58" s="12"/>
      <c r="SIH58" s="12"/>
      <c r="SII58" s="12"/>
      <c r="SIJ58" s="12"/>
      <c r="SIK58" s="12"/>
      <c r="SIL58" s="12"/>
      <c r="SIM58" s="12"/>
      <c r="SIN58" s="12"/>
      <c r="SIO58" s="12"/>
      <c r="SIP58" s="12"/>
      <c r="SIQ58" s="12"/>
      <c r="SIR58" s="12"/>
      <c r="SIS58" s="12"/>
      <c r="SIT58" s="12"/>
      <c r="SIU58" s="12"/>
      <c r="SIV58" s="12"/>
      <c r="SIW58" s="12"/>
      <c r="SIX58" s="12"/>
      <c r="SIY58" s="12"/>
      <c r="SIZ58" s="12"/>
      <c r="SJA58" s="12"/>
      <c r="SJB58" s="12"/>
      <c r="SJC58" s="12"/>
      <c r="SJD58" s="12"/>
      <c r="SJE58" s="12"/>
      <c r="SJF58" s="12"/>
      <c r="SJG58" s="12"/>
      <c r="SJH58" s="12"/>
      <c r="SJI58" s="12"/>
      <c r="SJJ58" s="12"/>
      <c r="SJK58" s="12"/>
      <c r="SJL58" s="12"/>
      <c r="SJM58" s="12"/>
      <c r="SJN58" s="12"/>
      <c r="SJO58" s="12"/>
      <c r="SJP58" s="12"/>
      <c r="SJQ58" s="12"/>
      <c r="SJR58" s="12"/>
      <c r="SJS58" s="12"/>
      <c r="SJT58" s="12"/>
      <c r="SJU58" s="12"/>
      <c r="SJV58" s="12"/>
      <c r="SJW58" s="12"/>
      <c r="SJX58" s="12"/>
      <c r="SJY58" s="12"/>
      <c r="SJZ58" s="12"/>
      <c r="SKA58" s="12"/>
      <c r="SKB58" s="12"/>
      <c r="SKC58" s="12"/>
      <c r="SKD58" s="12"/>
      <c r="SKE58" s="12"/>
      <c r="SKF58" s="12"/>
      <c r="SKG58" s="12"/>
      <c r="SKH58" s="12"/>
      <c r="SKI58" s="12"/>
      <c r="SKJ58" s="12"/>
      <c r="SKK58" s="12"/>
      <c r="SKL58" s="12"/>
      <c r="SKM58" s="12"/>
      <c r="SKN58" s="12"/>
      <c r="SKO58" s="12"/>
      <c r="SKP58" s="12"/>
      <c r="SKQ58" s="12"/>
      <c r="SKR58" s="12"/>
      <c r="SKS58" s="12"/>
      <c r="SKT58" s="12"/>
      <c r="SKU58" s="12"/>
      <c r="SKV58" s="12"/>
      <c r="SKW58" s="12"/>
      <c r="SKX58" s="12"/>
      <c r="SKY58" s="12"/>
      <c r="SKZ58" s="12"/>
      <c r="SLA58" s="12"/>
      <c r="SLB58" s="12"/>
      <c r="SLC58" s="12"/>
      <c r="SLD58" s="12"/>
      <c r="SLE58" s="12"/>
      <c r="SLF58" s="12"/>
      <c r="SLG58" s="12"/>
      <c r="SLH58" s="12"/>
      <c r="SLI58" s="12"/>
      <c r="SLJ58" s="12"/>
      <c r="SLK58" s="12"/>
      <c r="SLL58" s="12"/>
      <c r="SLM58" s="12"/>
      <c r="SLN58" s="12"/>
      <c r="SLO58" s="12"/>
      <c r="SLP58" s="12"/>
      <c r="SLQ58" s="12"/>
      <c r="SLR58" s="12"/>
      <c r="SLS58" s="12"/>
      <c r="SLT58" s="12"/>
      <c r="SLU58" s="12"/>
      <c r="SLV58" s="12"/>
      <c r="SLW58" s="12"/>
      <c r="SLX58" s="12"/>
      <c r="SLY58" s="12"/>
      <c r="SLZ58" s="12"/>
      <c r="SMA58" s="12"/>
      <c r="SMB58" s="12"/>
      <c r="SMC58" s="12"/>
      <c r="SMD58" s="12"/>
      <c r="SME58" s="12"/>
      <c r="SMF58" s="12"/>
      <c r="SMG58" s="12"/>
      <c r="SMH58" s="12"/>
      <c r="SMI58" s="12"/>
      <c r="SMJ58" s="12"/>
      <c r="SMK58" s="12"/>
      <c r="SML58" s="12"/>
      <c r="SMM58" s="12"/>
      <c r="SMN58" s="12"/>
      <c r="SMO58" s="12"/>
      <c r="SMP58" s="12"/>
      <c r="SMQ58" s="12"/>
      <c r="SMR58" s="12"/>
      <c r="SMS58" s="12"/>
      <c r="SMT58" s="12"/>
      <c r="SMU58" s="12"/>
      <c r="SMV58" s="12"/>
      <c r="SMW58" s="12"/>
      <c r="SMX58" s="12"/>
      <c r="SMY58" s="12"/>
      <c r="SMZ58" s="12"/>
      <c r="SNA58" s="12"/>
      <c r="SNB58" s="12"/>
      <c r="SNC58" s="12"/>
      <c r="SND58" s="12"/>
      <c r="SNE58" s="12"/>
      <c r="SNF58" s="12"/>
      <c r="SNG58" s="12"/>
      <c r="SNH58" s="12"/>
      <c r="SNI58" s="12"/>
      <c r="SNJ58" s="12"/>
      <c r="SNK58" s="12"/>
      <c r="SNL58" s="12"/>
      <c r="SNM58" s="12"/>
      <c r="SNN58" s="12"/>
      <c r="SNO58" s="12"/>
      <c r="SNP58" s="12"/>
      <c r="SNQ58" s="12"/>
      <c r="SNR58" s="12"/>
      <c r="SNS58" s="12"/>
      <c r="SNT58" s="12"/>
      <c r="SNU58" s="12"/>
      <c r="SNV58" s="12"/>
      <c r="SNW58" s="12"/>
      <c r="SNX58" s="12"/>
      <c r="SNY58" s="12"/>
      <c r="SNZ58" s="12"/>
      <c r="SOA58" s="12"/>
      <c r="SOB58" s="12"/>
      <c r="SOC58" s="12"/>
      <c r="SOD58" s="12"/>
      <c r="SOE58" s="12"/>
      <c r="SOF58" s="12"/>
      <c r="SOG58" s="12"/>
      <c r="SOH58" s="12"/>
      <c r="SOI58" s="12"/>
      <c r="SOJ58" s="12"/>
      <c r="SOK58" s="12"/>
      <c r="SOL58" s="12"/>
      <c r="SOM58" s="12"/>
      <c r="SON58" s="12"/>
      <c r="SOO58" s="12"/>
      <c r="SOP58" s="12"/>
      <c r="SOQ58" s="12"/>
      <c r="SOR58" s="12"/>
      <c r="SOS58" s="12"/>
      <c r="SOT58" s="12"/>
      <c r="SOU58" s="12"/>
      <c r="SOV58" s="12"/>
      <c r="SOW58" s="12"/>
      <c r="SOX58" s="12"/>
      <c r="SOY58" s="12"/>
      <c r="SOZ58" s="12"/>
      <c r="SPA58" s="12"/>
      <c r="SPB58" s="12"/>
      <c r="SPC58" s="12"/>
      <c r="SPD58" s="12"/>
      <c r="SPE58" s="12"/>
      <c r="SPF58" s="12"/>
      <c r="SPG58" s="12"/>
      <c r="SPH58" s="12"/>
      <c r="SPI58" s="12"/>
      <c r="SPJ58" s="12"/>
      <c r="SPK58" s="12"/>
      <c r="SPL58" s="12"/>
      <c r="SPM58" s="12"/>
      <c r="SPN58" s="12"/>
      <c r="SPO58" s="12"/>
      <c r="SPP58" s="12"/>
      <c r="SPQ58" s="12"/>
      <c r="SPR58" s="12"/>
      <c r="SPS58" s="12"/>
      <c r="SPT58" s="12"/>
      <c r="SPU58" s="12"/>
      <c r="SPV58" s="12"/>
      <c r="SPW58" s="12"/>
      <c r="SPX58" s="12"/>
      <c r="SPY58" s="12"/>
      <c r="SPZ58" s="12"/>
      <c r="SQA58" s="12"/>
      <c r="SQB58" s="12"/>
      <c r="SQC58" s="12"/>
      <c r="SQD58" s="12"/>
      <c r="SQE58" s="12"/>
      <c r="SQF58" s="12"/>
      <c r="SQG58" s="12"/>
      <c r="SQH58" s="12"/>
      <c r="SQI58" s="12"/>
      <c r="SQJ58" s="12"/>
      <c r="SQK58" s="12"/>
      <c r="SQL58" s="12"/>
      <c r="SQM58" s="12"/>
      <c r="SQN58" s="12"/>
      <c r="SQO58" s="12"/>
      <c r="SQP58" s="12"/>
      <c r="SQQ58" s="12"/>
      <c r="SQR58" s="12"/>
      <c r="SQS58" s="12"/>
      <c r="SQT58" s="12"/>
      <c r="SQU58" s="12"/>
      <c r="SQV58" s="12"/>
      <c r="SQW58" s="12"/>
      <c r="SQX58" s="12"/>
      <c r="SQY58" s="12"/>
      <c r="SQZ58" s="12"/>
      <c r="SRA58" s="12"/>
      <c r="SRB58" s="12"/>
      <c r="SRC58" s="12"/>
      <c r="SRD58" s="12"/>
      <c r="SRE58" s="12"/>
      <c r="SRF58" s="12"/>
      <c r="SRG58" s="12"/>
      <c r="SRH58" s="12"/>
      <c r="SRI58" s="12"/>
      <c r="SRJ58" s="12"/>
      <c r="SRK58" s="12"/>
      <c r="SRL58" s="12"/>
      <c r="SRM58" s="12"/>
      <c r="SRN58" s="12"/>
      <c r="SRO58" s="12"/>
      <c r="SRP58" s="12"/>
      <c r="SRQ58" s="12"/>
      <c r="SRR58" s="12"/>
      <c r="SRS58" s="12"/>
      <c r="SRT58" s="12"/>
      <c r="SRU58" s="12"/>
      <c r="SRV58" s="12"/>
      <c r="SRW58" s="12"/>
      <c r="SRX58" s="12"/>
      <c r="SRY58" s="12"/>
      <c r="SRZ58" s="12"/>
      <c r="SSA58" s="12"/>
      <c r="SSB58" s="12"/>
      <c r="SSC58" s="12"/>
      <c r="SSD58" s="12"/>
      <c r="SSE58" s="12"/>
      <c r="SSF58" s="12"/>
      <c r="SSG58" s="12"/>
      <c r="SSH58" s="12"/>
      <c r="SSI58" s="12"/>
      <c r="SSJ58" s="12"/>
      <c r="SSK58" s="12"/>
      <c r="SSL58" s="12"/>
      <c r="SSM58" s="12"/>
      <c r="SSN58" s="12"/>
      <c r="SSO58" s="12"/>
      <c r="SSP58" s="12"/>
      <c r="SSQ58" s="12"/>
      <c r="SSR58" s="12"/>
      <c r="SSS58" s="12"/>
      <c r="SST58" s="12"/>
      <c r="SSU58" s="12"/>
      <c r="SSV58" s="12"/>
      <c r="SSW58" s="12"/>
      <c r="SSX58" s="12"/>
      <c r="SSY58" s="12"/>
      <c r="SSZ58" s="12"/>
      <c r="STA58" s="12"/>
      <c r="STB58" s="12"/>
      <c r="STC58" s="12"/>
      <c r="STD58" s="12"/>
      <c r="STE58" s="12"/>
      <c r="STF58" s="12"/>
      <c r="STG58" s="12"/>
      <c r="STH58" s="12"/>
      <c r="STI58" s="12"/>
      <c r="STJ58" s="12"/>
      <c r="STK58" s="12"/>
      <c r="STL58" s="12"/>
      <c r="STM58" s="12"/>
      <c r="STN58" s="12"/>
      <c r="STO58" s="12"/>
      <c r="STP58" s="12"/>
      <c r="STQ58" s="12"/>
      <c r="STR58" s="12"/>
      <c r="STS58" s="12"/>
      <c r="STT58" s="12"/>
      <c r="STU58" s="12"/>
      <c r="STV58" s="12"/>
      <c r="STW58" s="12"/>
      <c r="STX58" s="12"/>
      <c r="STY58" s="12"/>
      <c r="STZ58" s="12"/>
      <c r="SUA58" s="12"/>
      <c r="SUB58" s="12"/>
      <c r="SUC58" s="12"/>
      <c r="SUD58" s="12"/>
      <c r="SUE58" s="12"/>
      <c r="SUF58" s="12"/>
      <c r="SUG58" s="12"/>
      <c r="SUH58" s="12"/>
      <c r="SUI58" s="12"/>
      <c r="SUJ58" s="12"/>
      <c r="SUK58" s="12"/>
      <c r="SUL58" s="12"/>
      <c r="SUM58" s="12"/>
      <c r="SUN58" s="12"/>
      <c r="SUO58" s="12"/>
      <c r="SUP58" s="12"/>
      <c r="SUQ58" s="12"/>
      <c r="SUR58" s="12"/>
      <c r="SUS58" s="12"/>
      <c r="SUT58" s="12"/>
      <c r="SUU58" s="12"/>
      <c r="SUV58" s="12"/>
      <c r="SUW58" s="12"/>
      <c r="SUX58" s="12"/>
      <c r="SUY58" s="12"/>
      <c r="SUZ58" s="12"/>
      <c r="SVA58" s="12"/>
      <c r="SVB58" s="12"/>
      <c r="SVC58" s="12"/>
      <c r="SVD58" s="12"/>
      <c r="SVE58" s="12"/>
      <c r="SVF58" s="12"/>
      <c r="SVG58" s="12"/>
      <c r="SVH58" s="12"/>
      <c r="SVI58" s="12"/>
      <c r="SVJ58" s="12"/>
      <c r="SVK58" s="12"/>
      <c r="SVL58" s="12"/>
      <c r="SVM58" s="12"/>
      <c r="SVN58" s="12"/>
      <c r="SVO58" s="12"/>
      <c r="SVP58" s="12"/>
      <c r="SVQ58" s="12"/>
      <c r="SVR58" s="12"/>
      <c r="SVS58" s="12"/>
      <c r="SVT58" s="12"/>
      <c r="SVU58" s="12"/>
      <c r="SVV58" s="12"/>
      <c r="SVW58" s="12"/>
      <c r="SVX58" s="12"/>
      <c r="SVY58" s="12"/>
      <c r="SVZ58" s="12"/>
      <c r="SWA58" s="12"/>
      <c r="SWB58" s="12"/>
      <c r="SWC58" s="12"/>
      <c r="SWD58" s="12"/>
      <c r="SWE58" s="12"/>
      <c r="SWF58" s="12"/>
      <c r="SWG58" s="12"/>
      <c r="SWH58" s="12"/>
      <c r="SWI58" s="12"/>
      <c r="SWJ58" s="12"/>
      <c r="SWK58" s="12"/>
      <c r="SWL58" s="12"/>
      <c r="SWM58" s="12"/>
      <c r="SWN58" s="12"/>
      <c r="SWO58" s="12"/>
      <c r="SWP58" s="12"/>
      <c r="SWQ58" s="12"/>
      <c r="SWR58" s="12"/>
      <c r="SWS58" s="12"/>
      <c r="SWT58" s="12"/>
      <c r="SWU58" s="12"/>
      <c r="SWV58" s="12"/>
      <c r="SWW58" s="12"/>
      <c r="SWX58" s="12"/>
      <c r="SWY58" s="12"/>
      <c r="SWZ58" s="12"/>
      <c r="SXA58" s="12"/>
      <c r="SXB58" s="12"/>
      <c r="SXC58" s="12"/>
      <c r="SXD58" s="12"/>
      <c r="SXE58" s="12"/>
      <c r="SXF58" s="12"/>
      <c r="SXG58" s="12"/>
      <c r="SXH58" s="12"/>
      <c r="SXI58" s="12"/>
      <c r="SXJ58" s="12"/>
      <c r="SXK58" s="12"/>
      <c r="SXL58" s="12"/>
      <c r="SXM58" s="12"/>
      <c r="SXN58" s="12"/>
      <c r="SXO58" s="12"/>
      <c r="SXP58" s="12"/>
      <c r="SXQ58" s="12"/>
      <c r="SXR58" s="12"/>
      <c r="SXS58" s="12"/>
      <c r="SXT58" s="12"/>
      <c r="SXU58" s="12"/>
      <c r="SXV58" s="12"/>
      <c r="SXW58" s="12"/>
      <c r="SXX58" s="12"/>
      <c r="SXY58" s="12"/>
      <c r="SXZ58" s="12"/>
      <c r="SYA58" s="12"/>
      <c r="SYB58" s="12"/>
      <c r="SYC58" s="12"/>
      <c r="SYD58" s="12"/>
      <c r="SYE58" s="12"/>
      <c r="SYF58" s="12"/>
      <c r="SYG58" s="12"/>
      <c r="SYH58" s="12"/>
      <c r="SYI58" s="12"/>
      <c r="SYJ58" s="12"/>
      <c r="SYK58" s="12"/>
      <c r="SYL58" s="12"/>
      <c r="SYM58" s="12"/>
      <c r="SYN58" s="12"/>
      <c r="SYO58" s="12"/>
      <c r="SYP58" s="12"/>
      <c r="SYQ58" s="12"/>
      <c r="SYR58" s="12"/>
      <c r="SYS58" s="12"/>
      <c r="SYT58" s="12"/>
      <c r="SYU58" s="12"/>
      <c r="SYV58" s="12"/>
      <c r="SYW58" s="12"/>
      <c r="SYX58" s="12"/>
      <c r="SYY58" s="12"/>
      <c r="SYZ58" s="12"/>
      <c r="SZA58" s="12"/>
      <c r="SZB58" s="12"/>
      <c r="SZC58" s="12"/>
      <c r="SZD58" s="12"/>
      <c r="SZE58" s="12"/>
      <c r="SZF58" s="12"/>
      <c r="SZG58" s="12"/>
      <c r="SZH58" s="12"/>
      <c r="SZI58" s="12"/>
      <c r="SZJ58" s="12"/>
      <c r="SZK58" s="12"/>
      <c r="SZL58" s="12"/>
      <c r="SZM58" s="12"/>
      <c r="SZN58" s="12"/>
      <c r="SZO58" s="12"/>
      <c r="SZP58" s="12"/>
      <c r="SZQ58" s="12"/>
      <c r="SZR58" s="12"/>
      <c r="SZS58" s="12"/>
      <c r="SZT58" s="12"/>
      <c r="SZU58" s="12"/>
      <c r="SZV58" s="12"/>
      <c r="SZW58" s="12"/>
      <c r="SZX58" s="12"/>
      <c r="SZY58" s="12"/>
      <c r="SZZ58" s="12"/>
      <c r="TAA58" s="12"/>
      <c r="TAB58" s="12"/>
      <c r="TAC58" s="12"/>
      <c r="TAD58" s="12"/>
      <c r="TAE58" s="12"/>
      <c r="TAF58" s="12"/>
      <c r="TAG58" s="12"/>
      <c r="TAH58" s="12"/>
      <c r="TAI58" s="12"/>
      <c r="TAJ58" s="12"/>
      <c r="TAK58" s="12"/>
      <c r="TAL58" s="12"/>
      <c r="TAM58" s="12"/>
      <c r="TAN58" s="12"/>
      <c r="TAO58" s="12"/>
      <c r="TAP58" s="12"/>
      <c r="TAQ58" s="12"/>
      <c r="TAR58" s="12"/>
      <c r="TAS58" s="12"/>
      <c r="TAT58" s="12"/>
      <c r="TAU58" s="12"/>
      <c r="TAV58" s="12"/>
      <c r="TAW58" s="12"/>
      <c r="TAX58" s="12"/>
      <c r="TAY58" s="12"/>
      <c r="TAZ58" s="12"/>
      <c r="TBA58" s="12"/>
      <c r="TBB58" s="12"/>
      <c r="TBC58" s="12"/>
      <c r="TBD58" s="12"/>
      <c r="TBE58" s="12"/>
      <c r="TBF58" s="12"/>
      <c r="TBG58" s="12"/>
      <c r="TBH58" s="12"/>
      <c r="TBI58" s="12"/>
      <c r="TBJ58" s="12"/>
      <c r="TBK58" s="12"/>
      <c r="TBL58" s="12"/>
      <c r="TBM58" s="12"/>
      <c r="TBN58" s="12"/>
      <c r="TBO58" s="12"/>
      <c r="TBP58" s="12"/>
      <c r="TBQ58" s="12"/>
      <c r="TBR58" s="12"/>
      <c r="TBS58" s="12"/>
      <c r="TBT58" s="12"/>
      <c r="TBU58" s="12"/>
      <c r="TBV58" s="12"/>
      <c r="TBW58" s="12"/>
      <c r="TBX58" s="12"/>
      <c r="TBY58" s="12"/>
      <c r="TBZ58" s="12"/>
      <c r="TCA58" s="12"/>
      <c r="TCB58" s="12"/>
      <c r="TCC58" s="12"/>
      <c r="TCD58" s="12"/>
      <c r="TCE58" s="12"/>
      <c r="TCF58" s="12"/>
      <c r="TCG58" s="12"/>
      <c r="TCH58" s="12"/>
      <c r="TCI58" s="12"/>
      <c r="TCJ58" s="12"/>
      <c r="TCK58" s="12"/>
      <c r="TCL58" s="12"/>
      <c r="TCM58" s="12"/>
      <c r="TCN58" s="12"/>
      <c r="TCO58" s="12"/>
      <c r="TCP58" s="12"/>
      <c r="TCQ58" s="12"/>
      <c r="TCR58" s="12"/>
      <c r="TCS58" s="12"/>
      <c r="TCT58" s="12"/>
      <c r="TCU58" s="12"/>
      <c r="TCV58" s="12"/>
      <c r="TCW58" s="12"/>
      <c r="TCX58" s="12"/>
      <c r="TCY58" s="12"/>
      <c r="TCZ58" s="12"/>
      <c r="TDA58" s="12"/>
      <c r="TDB58" s="12"/>
      <c r="TDC58" s="12"/>
      <c r="TDD58" s="12"/>
      <c r="TDE58" s="12"/>
      <c r="TDF58" s="12"/>
      <c r="TDG58" s="12"/>
      <c r="TDH58" s="12"/>
      <c r="TDI58" s="12"/>
      <c r="TDJ58" s="12"/>
      <c r="TDK58" s="12"/>
      <c r="TDL58" s="12"/>
      <c r="TDM58" s="12"/>
      <c r="TDN58" s="12"/>
      <c r="TDO58" s="12"/>
      <c r="TDP58" s="12"/>
      <c r="TDQ58" s="12"/>
      <c r="TDR58" s="12"/>
      <c r="TDS58" s="12"/>
      <c r="TDT58" s="12"/>
      <c r="TDU58" s="12"/>
      <c r="TDV58" s="12"/>
      <c r="TDW58" s="12"/>
      <c r="TDX58" s="12"/>
      <c r="TDY58" s="12"/>
      <c r="TDZ58" s="12"/>
      <c r="TEA58" s="12"/>
      <c r="TEB58" s="12"/>
      <c r="TEC58" s="12"/>
      <c r="TED58" s="12"/>
      <c r="TEE58" s="12"/>
      <c r="TEF58" s="12"/>
      <c r="TEG58" s="12"/>
      <c r="TEH58" s="12"/>
      <c r="TEI58" s="12"/>
      <c r="TEJ58" s="12"/>
      <c r="TEK58" s="12"/>
      <c r="TEL58" s="12"/>
      <c r="TEM58" s="12"/>
      <c r="TEN58" s="12"/>
      <c r="TEO58" s="12"/>
      <c r="TEP58" s="12"/>
      <c r="TEQ58" s="12"/>
      <c r="TER58" s="12"/>
      <c r="TES58" s="12"/>
      <c r="TET58" s="12"/>
      <c r="TEU58" s="12"/>
      <c r="TEV58" s="12"/>
      <c r="TEW58" s="12"/>
      <c r="TEX58" s="12"/>
      <c r="TEY58" s="12"/>
      <c r="TEZ58" s="12"/>
      <c r="TFA58" s="12"/>
      <c r="TFB58" s="12"/>
      <c r="TFC58" s="12"/>
      <c r="TFD58" s="12"/>
      <c r="TFE58" s="12"/>
      <c r="TFF58" s="12"/>
      <c r="TFG58" s="12"/>
      <c r="TFH58" s="12"/>
      <c r="TFI58" s="12"/>
      <c r="TFJ58" s="12"/>
      <c r="TFK58" s="12"/>
      <c r="TFL58" s="12"/>
      <c r="TFM58" s="12"/>
      <c r="TFN58" s="12"/>
      <c r="TFO58" s="12"/>
      <c r="TFP58" s="12"/>
      <c r="TFQ58" s="12"/>
      <c r="TFR58" s="12"/>
      <c r="TFS58" s="12"/>
      <c r="TFT58" s="12"/>
      <c r="TFU58" s="12"/>
      <c r="TFV58" s="12"/>
      <c r="TFW58" s="12"/>
      <c r="TFX58" s="12"/>
      <c r="TFY58" s="12"/>
      <c r="TFZ58" s="12"/>
      <c r="TGA58" s="12"/>
      <c r="TGB58" s="12"/>
      <c r="TGC58" s="12"/>
      <c r="TGD58" s="12"/>
      <c r="TGE58" s="12"/>
      <c r="TGF58" s="12"/>
      <c r="TGG58" s="12"/>
      <c r="TGH58" s="12"/>
      <c r="TGI58" s="12"/>
      <c r="TGJ58" s="12"/>
      <c r="TGK58" s="12"/>
      <c r="TGL58" s="12"/>
      <c r="TGM58" s="12"/>
      <c r="TGN58" s="12"/>
      <c r="TGO58" s="12"/>
      <c r="TGP58" s="12"/>
      <c r="TGQ58" s="12"/>
      <c r="TGR58" s="12"/>
      <c r="TGS58" s="12"/>
      <c r="TGT58" s="12"/>
      <c r="TGU58" s="12"/>
      <c r="TGV58" s="12"/>
      <c r="TGW58" s="12"/>
      <c r="TGX58" s="12"/>
      <c r="TGY58" s="12"/>
      <c r="TGZ58" s="12"/>
      <c r="THA58" s="12"/>
      <c r="THB58" s="12"/>
      <c r="THC58" s="12"/>
      <c r="THD58" s="12"/>
      <c r="THE58" s="12"/>
      <c r="THF58" s="12"/>
      <c r="THG58" s="12"/>
      <c r="THH58" s="12"/>
      <c r="THI58" s="12"/>
      <c r="THJ58" s="12"/>
      <c r="THK58" s="12"/>
      <c r="THL58" s="12"/>
      <c r="THM58" s="12"/>
      <c r="THN58" s="12"/>
      <c r="THO58" s="12"/>
      <c r="THP58" s="12"/>
      <c r="THQ58" s="12"/>
      <c r="THR58" s="12"/>
      <c r="THS58" s="12"/>
      <c r="THT58" s="12"/>
      <c r="THU58" s="12"/>
      <c r="THV58" s="12"/>
      <c r="THW58" s="12"/>
      <c r="THX58" s="12"/>
      <c r="THY58" s="12"/>
      <c r="THZ58" s="12"/>
      <c r="TIA58" s="12"/>
      <c r="TIB58" s="12"/>
      <c r="TIC58" s="12"/>
      <c r="TID58" s="12"/>
      <c r="TIE58" s="12"/>
      <c r="TIF58" s="12"/>
      <c r="TIG58" s="12"/>
      <c r="TIH58" s="12"/>
      <c r="TII58" s="12"/>
      <c r="TIJ58" s="12"/>
      <c r="TIK58" s="12"/>
      <c r="TIL58" s="12"/>
      <c r="TIM58" s="12"/>
      <c r="TIN58" s="12"/>
      <c r="TIO58" s="12"/>
      <c r="TIP58" s="12"/>
      <c r="TIQ58" s="12"/>
      <c r="TIR58" s="12"/>
      <c r="TIS58" s="12"/>
      <c r="TIT58" s="12"/>
      <c r="TIU58" s="12"/>
      <c r="TIV58" s="12"/>
      <c r="TIW58" s="12"/>
      <c r="TIX58" s="12"/>
      <c r="TIY58" s="12"/>
      <c r="TIZ58" s="12"/>
      <c r="TJA58" s="12"/>
      <c r="TJB58" s="12"/>
      <c r="TJC58" s="12"/>
      <c r="TJD58" s="12"/>
      <c r="TJE58" s="12"/>
      <c r="TJF58" s="12"/>
      <c r="TJG58" s="12"/>
      <c r="TJH58" s="12"/>
      <c r="TJI58" s="12"/>
      <c r="TJJ58" s="12"/>
      <c r="TJK58" s="12"/>
      <c r="TJL58" s="12"/>
      <c r="TJM58" s="12"/>
      <c r="TJN58" s="12"/>
      <c r="TJO58" s="12"/>
      <c r="TJP58" s="12"/>
      <c r="TJQ58" s="12"/>
      <c r="TJR58" s="12"/>
      <c r="TJS58" s="12"/>
      <c r="TJT58" s="12"/>
      <c r="TJU58" s="12"/>
      <c r="TJV58" s="12"/>
      <c r="TJW58" s="12"/>
      <c r="TJX58" s="12"/>
      <c r="TJY58" s="12"/>
      <c r="TJZ58" s="12"/>
      <c r="TKA58" s="12"/>
      <c r="TKB58" s="12"/>
      <c r="TKC58" s="12"/>
      <c r="TKD58" s="12"/>
      <c r="TKE58" s="12"/>
      <c r="TKF58" s="12"/>
      <c r="TKG58" s="12"/>
      <c r="TKH58" s="12"/>
      <c r="TKI58" s="12"/>
      <c r="TKJ58" s="12"/>
      <c r="TKK58" s="12"/>
      <c r="TKL58" s="12"/>
      <c r="TKM58" s="12"/>
      <c r="TKN58" s="12"/>
      <c r="TKO58" s="12"/>
      <c r="TKP58" s="12"/>
      <c r="TKQ58" s="12"/>
      <c r="TKR58" s="12"/>
      <c r="TKS58" s="12"/>
      <c r="TKT58" s="12"/>
      <c r="TKU58" s="12"/>
      <c r="TKV58" s="12"/>
      <c r="TKW58" s="12"/>
      <c r="TKX58" s="12"/>
      <c r="TKY58" s="12"/>
      <c r="TKZ58" s="12"/>
      <c r="TLA58" s="12"/>
      <c r="TLB58" s="12"/>
      <c r="TLC58" s="12"/>
      <c r="TLD58" s="12"/>
      <c r="TLE58" s="12"/>
      <c r="TLF58" s="12"/>
      <c r="TLG58" s="12"/>
      <c r="TLH58" s="12"/>
      <c r="TLI58" s="12"/>
      <c r="TLJ58" s="12"/>
      <c r="TLK58" s="12"/>
      <c r="TLL58" s="12"/>
      <c r="TLM58" s="12"/>
      <c r="TLN58" s="12"/>
      <c r="TLO58" s="12"/>
      <c r="TLP58" s="12"/>
      <c r="TLQ58" s="12"/>
      <c r="TLR58" s="12"/>
      <c r="TLS58" s="12"/>
      <c r="TLT58" s="12"/>
      <c r="TLU58" s="12"/>
      <c r="TLV58" s="12"/>
      <c r="TLW58" s="12"/>
      <c r="TLX58" s="12"/>
      <c r="TLY58" s="12"/>
      <c r="TLZ58" s="12"/>
      <c r="TMA58" s="12"/>
      <c r="TMB58" s="12"/>
      <c r="TMC58" s="12"/>
      <c r="TMD58" s="12"/>
      <c r="TME58" s="12"/>
      <c r="TMF58" s="12"/>
      <c r="TMG58" s="12"/>
      <c r="TMH58" s="12"/>
      <c r="TMI58" s="12"/>
      <c r="TMJ58" s="12"/>
      <c r="TMK58" s="12"/>
      <c r="TML58" s="12"/>
      <c r="TMM58" s="12"/>
      <c r="TMN58" s="12"/>
      <c r="TMO58" s="12"/>
      <c r="TMP58" s="12"/>
      <c r="TMQ58" s="12"/>
      <c r="TMR58" s="12"/>
      <c r="TMS58" s="12"/>
      <c r="TMT58" s="12"/>
      <c r="TMU58" s="12"/>
      <c r="TMV58" s="12"/>
      <c r="TMW58" s="12"/>
      <c r="TMX58" s="12"/>
      <c r="TMY58" s="12"/>
      <c r="TMZ58" s="12"/>
      <c r="TNA58" s="12"/>
      <c r="TNB58" s="12"/>
      <c r="TNC58" s="12"/>
      <c r="TND58" s="12"/>
      <c r="TNE58" s="12"/>
      <c r="TNF58" s="12"/>
      <c r="TNG58" s="12"/>
      <c r="TNH58" s="12"/>
      <c r="TNI58" s="12"/>
      <c r="TNJ58" s="12"/>
      <c r="TNK58" s="12"/>
      <c r="TNL58" s="12"/>
      <c r="TNM58" s="12"/>
      <c r="TNN58" s="12"/>
      <c r="TNO58" s="12"/>
      <c r="TNP58" s="12"/>
      <c r="TNQ58" s="12"/>
      <c r="TNR58" s="12"/>
      <c r="TNS58" s="12"/>
      <c r="TNT58" s="12"/>
      <c r="TNU58" s="12"/>
      <c r="TNV58" s="12"/>
      <c r="TNW58" s="12"/>
      <c r="TNX58" s="12"/>
      <c r="TNY58" s="12"/>
      <c r="TNZ58" s="12"/>
      <c r="TOA58" s="12"/>
      <c r="TOB58" s="12"/>
      <c r="TOC58" s="12"/>
      <c r="TOD58" s="12"/>
      <c r="TOE58" s="12"/>
      <c r="TOF58" s="12"/>
      <c r="TOG58" s="12"/>
      <c r="TOH58" s="12"/>
      <c r="TOI58" s="12"/>
      <c r="TOJ58" s="12"/>
      <c r="TOK58" s="12"/>
      <c r="TOL58" s="12"/>
      <c r="TOM58" s="12"/>
      <c r="TON58" s="12"/>
      <c r="TOO58" s="12"/>
      <c r="TOP58" s="12"/>
      <c r="TOQ58" s="12"/>
      <c r="TOR58" s="12"/>
      <c r="TOS58" s="12"/>
      <c r="TOT58" s="12"/>
      <c r="TOU58" s="12"/>
      <c r="TOV58" s="12"/>
      <c r="TOW58" s="12"/>
      <c r="TOX58" s="12"/>
      <c r="TOY58" s="12"/>
      <c r="TOZ58" s="12"/>
      <c r="TPA58" s="12"/>
      <c r="TPB58" s="12"/>
      <c r="TPC58" s="12"/>
      <c r="TPD58" s="12"/>
      <c r="TPE58" s="12"/>
      <c r="TPF58" s="12"/>
      <c r="TPG58" s="12"/>
      <c r="TPH58" s="12"/>
      <c r="TPI58" s="12"/>
      <c r="TPJ58" s="12"/>
      <c r="TPK58" s="12"/>
      <c r="TPL58" s="12"/>
      <c r="TPM58" s="12"/>
      <c r="TPN58" s="12"/>
      <c r="TPO58" s="12"/>
      <c r="TPP58" s="12"/>
      <c r="TPQ58" s="12"/>
      <c r="TPR58" s="12"/>
      <c r="TPS58" s="12"/>
      <c r="TPT58" s="12"/>
      <c r="TPU58" s="12"/>
      <c r="TPV58" s="12"/>
      <c r="TPW58" s="12"/>
      <c r="TPX58" s="12"/>
      <c r="TPY58" s="12"/>
      <c r="TPZ58" s="12"/>
      <c r="TQA58" s="12"/>
      <c r="TQB58" s="12"/>
      <c r="TQC58" s="12"/>
      <c r="TQD58" s="12"/>
      <c r="TQE58" s="12"/>
      <c r="TQF58" s="12"/>
      <c r="TQG58" s="12"/>
      <c r="TQH58" s="12"/>
      <c r="TQI58" s="12"/>
      <c r="TQJ58" s="12"/>
      <c r="TQK58" s="12"/>
      <c r="TQL58" s="12"/>
      <c r="TQM58" s="12"/>
      <c r="TQN58" s="12"/>
      <c r="TQO58" s="12"/>
      <c r="TQP58" s="12"/>
      <c r="TQQ58" s="12"/>
      <c r="TQR58" s="12"/>
      <c r="TQS58" s="12"/>
      <c r="TQT58" s="12"/>
      <c r="TQU58" s="12"/>
      <c r="TQV58" s="12"/>
      <c r="TQW58" s="12"/>
      <c r="TQX58" s="12"/>
      <c r="TQY58" s="12"/>
      <c r="TQZ58" s="12"/>
      <c r="TRA58" s="12"/>
      <c r="TRB58" s="12"/>
      <c r="TRC58" s="12"/>
      <c r="TRD58" s="12"/>
      <c r="TRE58" s="12"/>
      <c r="TRF58" s="12"/>
      <c r="TRG58" s="12"/>
      <c r="TRH58" s="12"/>
      <c r="TRI58" s="12"/>
      <c r="TRJ58" s="12"/>
      <c r="TRK58" s="12"/>
      <c r="TRL58" s="12"/>
      <c r="TRM58" s="12"/>
      <c r="TRN58" s="12"/>
      <c r="TRO58" s="12"/>
      <c r="TRP58" s="12"/>
      <c r="TRQ58" s="12"/>
      <c r="TRR58" s="12"/>
      <c r="TRS58" s="12"/>
      <c r="TRT58" s="12"/>
      <c r="TRU58" s="12"/>
      <c r="TRV58" s="12"/>
      <c r="TRW58" s="12"/>
      <c r="TRX58" s="12"/>
      <c r="TRY58" s="12"/>
      <c r="TRZ58" s="12"/>
      <c r="TSA58" s="12"/>
      <c r="TSB58" s="12"/>
      <c r="TSC58" s="12"/>
      <c r="TSD58" s="12"/>
      <c r="TSE58" s="12"/>
      <c r="TSF58" s="12"/>
      <c r="TSG58" s="12"/>
      <c r="TSH58" s="12"/>
      <c r="TSI58" s="12"/>
      <c r="TSJ58" s="12"/>
      <c r="TSK58" s="12"/>
      <c r="TSL58" s="12"/>
      <c r="TSM58" s="12"/>
      <c r="TSN58" s="12"/>
      <c r="TSO58" s="12"/>
      <c r="TSP58" s="12"/>
      <c r="TSQ58" s="12"/>
      <c r="TSR58" s="12"/>
      <c r="TSS58" s="12"/>
      <c r="TST58" s="12"/>
      <c r="TSU58" s="12"/>
      <c r="TSV58" s="12"/>
      <c r="TSW58" s="12"/>
      <c r="TSX58" s="12"/>
      <c r="TSY58" s="12"/>
      <c r="TSZ58" s="12"/>
      <c r="TTA58" s="12"/>
      <c r="TTB58" s="12"/>
      <c r="TTC58" s="12"/>
      <c r="TTD58" s="12"/>
      <c r="TTE58" s="12"/>
      <c r="TTF58" s="12"/>
      <c r="TTG58" s="12"/>
      <c r="TTH58" s="12"/>
      <c r="TTI58" s="12"/>
      <c r="TTJ58" s="12"/>
      <c r="TTK58" s="12"/>
      <c r="TTL58" s="12"/>
      <c r="TTM58" s="12"/>
      <c r="TTN58" s="12"/>
      <c r="TTO58" s="12"/>
      <c r="TTP58" s="12"/>
      <c r="TTQ58" s="12"/>
      <c r="TTR58" s="12"/>
      <c r="TTS58" s="12"/>
      <c r="TTT58" s="12"/>
      <c r="TTU58" s="12"/>
      <c r="TTV58" s="12"/>
      <c r="TTW58" s="12"/>
      <c r="TTX58" s="12"/>
      <c r="TTY58" s="12"/>
      <c r="TTZ58" s="12"/>
      <c r="TUA58" s="12"/>
      <c r="TUB58" s="12"/>
      <c r="TUC58" s="12"/>
      <c r="TUD58" s="12"/>
      <c r="TUE58" s="12"/>
      <c r="TUF58" s="12"/>
      <c r="TUG58" s="12"/>
      <c r="TUH58" s="12"/>
      <c r="TUI58" s="12"/>
      <c r="TUJ58" s="12"/>
      <c r="TUK58" s="12"/>
      <c r="TUL58" s="12"/>
      <c r="TUM58" s="12"/>
      <c r="TUN58" s="12"/>
      <c r="TUO58" s="12"/>
      <c r="TUP58" s="12"/>
      <c r="TUQ58" s="12"/>
      <c r="TUR58" s="12"/>
      <c r="TUS58" s="12"/>
      <c r="TUT58" s="12"/>
      <c r="TUU58" s="12"/>
      <c r="TUV58" s="12"/>
      <c r="TUW58" s="12"/>
      <c r="TUX58" s="12"/>
      <c r="TUY58" s="12"/>
      <c r="TUZ58" s="12"/>
      <c r="TVA58" s="12"/>
      <c r="TVB58" s="12"/>
      <c r="TVC58" s="12"/>
      <c r="TVD58" s="12"/>
      <c r="TVE58" s="12"/>
      <c r="TVF58" s="12"/>
      <c r="TVG58" s="12"/>
      <c r="TVH58" s="12"/>
      <c r="TVI58" s="12"/>
      <c r="TVJ58" s="12"/>
      <c r="TVK58" s="12"/>
      <c r="TVL58" s="12"/>
      <c r="TVM58" s="12"/>
      <c r="TVN58" s="12"/>
      <c r="TVO58" s="12"/>
      <c r="TVP58" s="12"/>
      <c r="TVQ58" s="12"/>
      <c r="TVR58" s="12"/>
      <c r="TVS58" s="12"/>
      <c r="TVT58" s="12"/>
      <c r="TVU58" s="12"/>
      <c r="TVV58" s="12"/>
      <c r="TVW58" s="12"/>
      <c r="TVX58" s="12"/>
      <c r="TVY58" s="12"/>
      <c r="TVZ58" s="12"/>
      <c r="TWA58" s="12"/>
      <c r="TWB58" s="12"/>
      <c r="TWC58" s="12"/>
      <c r="TWD58" s="12"/>
      <c r="TWE58" s="12"/>
      <c r="TWF58" s="12"/>
      <c r="TWG58" s="12"/>
      <c r="TWH58" s="12"/>
      <c r="TWI58" s="12"/>
      <c r="TWJ58" s="12"/>
      <c r="TWK58" s="12"/>
      <c r="TWL58" s="12"/>
      <c r="TWM58" s="12"/>
      <c r="TWN58" s="12"/>
      <c r="TWO58" s="12"/>
      <c r="TWP58" s="12"/>
      <c r="TWQ58" s="12"/>
      <c r="TWR58" s="12"/>
      <c r="TWS58" s="12"/>
      <c r="TWT58" s="12"/>
      <c r="TWU58" s="12"/>
      <c r="TWV58" s="12"/>
      <c r="TWW58" s="12"/>
      <c r="TWX58" s="12"/>
      <c r="TWY58" s="12"/>
      <c r="TWZ58" s="12"/>
      <c r="TXA58" s="12"/>
      <c r="TXB58" s="12"/>
      <c r="TXC58" s="12"/>
      <c r="TXD58" s="12"/>
      <c r="TXE58" s="12"/>
      <c r="TXF58" s="12"/>
      <c r="TXG58" s="12"/>
      <c r="TXH58" s="12"/>
      <c r="TXI58" s="12"/>
      <c r="TXJ58" s="12"/>
      <c r="TXK58" s="12"/>
      <c r="TXL58" s="12"/>
      <c r="TXM58" s="12"/>
      <c r="TXN58" s="12"/>
      <c r="TXO58" s="12"/>
      <c r="TXP58" s="12"/>
      <c r="TXQ58" s="12"/>
      <c r="TXR58" s="12"/>
      <c r="TXS58" s="12"/>
      <c r="TXT58" s="12"/>
      <c r="TXU58" s="12"/>
      <c r="TXV58" s="12"/>
      <c r="TXW58" s="12"/>
      <c r="TXX58" s="12"/>
      <c r="TXY58" s="12"/>
      <c r="TXZ58" s="12"/>
      <c r="TYA58" s="12"/>
      <c r="TYB58" s="12"/>
      <c r="TYC58" s="12"/>
      <c r="TYD58" s="12"/>
      <c r="TYE58" s="12"/>
      <c r="TYF58" s="12"/>
      <c r="TYG58" s="12"/>
      <c r="TYH58" s="12"/>
      <c r="TYI58" s="12"/>
      <c r="TYJ58" s="12"/>
      <c r="TYK58" s="12"/>
      <c r="TYL58" s="12"/>
      <c r="TYM58" s="12"/>
      <c r="TYN58" s="12"/>
      <c r="TYO58" s="12"/>
      <c r="TYP58" s="12"/>
      <c r="TYQ58" s="12"/>
      <c r="TYR58" s="12"/>
      <c r="TYS58" s="12"/>
      <c r="TYT58" s="12"/>
      <c r="TYU58" s="12"/>
      <c r="TYV58" s="12"/>
      <c r="TYW58" s="12"/>
      <c r="TYX58" s="12"/>
      <c r="TYY58" s="12"/>
      <c r="TYZ58" s="12"/>
      <c r="TZA58" s="12"/>
      <c r="TZB58" s="12"/>
      <c r="TZC58" s="12"/>
      <c r="TZD58" s="12"/>
      <c r="TZE58" s="12"/>
      <c r="TZF58" s="12"/>
      <c r="TZG58" s="12"/>
      <c r="TZH58" s="12"/>
      <c r="TZI58" s="12"/>
      <c r="TZJ58" s="12"/>
      <c r="TZK58" s="12"/>
      <c r="TZL58" s="12"/>
      <c r="TZM58" s="12"/>
      <c r="TZN58" s="12"/>
      <c r="TZO58" s="12"/>
      <c r="TZP58" s="12"/>
      <c r="TZQ58" s="12"/>
      <c r="TZR58" s="12"/>
      <c r="TZS58" s="12"/>
      <c r="TZT58" s="12"/>
      <c r="TZU58" s="12"/>
      <c r="TZV58" s="12"/>
      <c r="TZW58" s="12"/>
      <c r="TZX58" s="12"/>
      <c r="TZY58" s="12"/>
      <c r="TZZ58" s="12"/>
      <c r="UAA58" s="12"/>
      <c r="UAB58" s="12"/>
      <c r="UAC58" s="12"/>
      <c r="UAD58" s="12"/>
      <c r="UAE58" s="12"/>
      <c r="UAF58" s="12"/>
      <c r="UAG58" s="12"/>
      <c r="UAH58" s="12"/>
      <c r="UAI58" s="12"/>
      <c r="UAJ58" s="12"/>
      <c r="UAK58" s="12"/>
      <c r="UAL58" s="12"/>
      <c r="UAM58" s="12"/>
      <c r="UAN58" s="12"/>
      <c r="UAO58" s="12"/>
      <c r="UAP58" s="12"/>
      <c r="UAQ58" s="12"/>
      <c r="UAR58" s="12"/>
      <c r="UAS58" s="12"/>
      <c r="UAT58" s="12"/>
      <c r="UAU58" s="12"/>
      <c r="UAV58" s="12"/>
      <c r="UAW58" s="12"/>
      <c r="UAX58" s="12"/>
      <c r="UAY58" s="12"/>
      <c r="UAZ58" s="12"/>
      <c r="UBA58" s="12"/>
      <c r="UBB58" s="12"/>
      <c r="UBC58" s="12"/>
      <c r="UBD58" s="12"/>
      <c r="UBE58" s="12"/>
      <c r="UBF58" s="12"/>
      <c r="UBG58" s="12"/>
      <c r="UBH58" s="12"/>
      <c r="UBI58" s="12"/>
      <c r="UBJ58" s="12"/>
      <c r="UBK58" s="12"/>
      <c r="UBL58" s="12"/>
      <c r="UBM58" s="12"/>
      <c r="UBN58" s="12"/>
      <c r="UBO58" s="12"/>
      <c r="UBP58" s="12"/>
      <c r="UBQ58" s="12"/>
      <c r="UBR58" s="12"/>
      <c r="UBS58" s="12"/>
      <c r="UBT58" s="12"/>
      <c r="UBU58" s="12"/>
      <c r="UBV58" s="12"/>
      <c r="UBW58" s="12"/>
      <c r="UBX58" s="12"/>
      <c r="UBY58" s="12"/>
      <c r="UBZ58" s="12"/>
      <c r="UCA58" s="12"/>
      <c r="UCB58" s="12"/>
      <c r="UCC58" s="12"/>
      <c r="UCD58" s="12"/>
      <c r="UCE58" s="12"/>
      <c r="UCF58" s="12"/>
      <c r="UCG58" s="12"/>
      <c r="UCH58" s="12"/>
      <c r="UCI58" s="12"/>
      <c r="UCJ58" s="12"/>
      <c r="UCK58" s="12"/>
      <c r="UCL58" s="12"/>
      <c r="UCM58" s="12"/>
      <c r="UCN58" s="12"/>
      <c r="UCO58" s="12"/>
      <c r="UCP58" s="12"/>
      <c r="UCQ58" s="12"/>
      <c r="UCR58" s="12"/>
      <c r="UCS58" s="12"/>
      <c r="UCT58" s="12"/>
      <c r="UCU58" s="12"/>
      <c r="UCV58" s="12"/>
      <c r="UCW58" s="12"/>
      <c r="UCX58" s="12"/>
      <c r="UCY58" s="12"/>
      <c r="UCZ58" s="12"/>
      <c r="UDA58" s="12"/>
      <c r="UDB58" s="12"/>
      <c r="UDC58" s="12"/>
      <c r="UDD58" s="12"/>
      <c r="UDE58" s="12"/>
      <c r="UDF58" s="12"/>
      <c r="UDG58" s="12"/>
      <c r="UDH58" s="12"/>
      <c r="UDI58" s="12"/>
      <c r="UDJ58" s="12"/>
      <c r="UDK58" s="12"/>
      <c r="UDL58" s="12"/>
      <c r="UDM58" s="12"/>
      <c r="UDN58" s="12"/>
      <c r="UDO58" s="12"/>
      <c r="UDP58" s="12"/>
      <c r="UDQ58" s="12"/>
      <c r="UDR58" s="12"/>
      <c r="UDS58" s="12"/>
      <c r="UDT58" s="12"/>
      <c r="UDU58" s="12"/>
      <c r="UDV58" s="12"/>
      <c r="UDW58" s="12"/>
      <c r="UDX58" s="12"/>
      <c r="UDY58" s="12"/>
      <c r="UDZ58" s="12"/>
      <c r="UEA58" s="12"/>
      <c r="UEB58" s="12"/>
      <c r="UEC58" s="12"/>
      <c r="UED58" s="12"/>
      <c r="UEE58" s="12"/>
      <c r="UEF58" s="12"/>
      <c r="UEG58" s="12"/>
      <c r="UEH58" s="12"/>
      <c r="UEI58" s="12"/>
      <c r="UEJ58" s="12"/>
      <c r="UEK58" s="12"/>
      <c r="UEL58" s="12"/>
      <c r="UEM58" s="12"/>
      <c r="UEN58" s="12"/>
      <c r="UEO58" s="12"/>
      <c r="UEP58" s="12"/>
      <c r="UEQ58" s="12"/>
      <c r="UER58" s="12"/>
      <c r="UES58" s="12"/>
      <c r="UET58" s="12"/>
      <c r="UEU58" s="12"/>
      <c r="UEV58" s="12"/>
      <c r="UEW58" s="12"/>
      <c r="UEX58" s="12"/>
      <c r="UEY58" s="12"/>
      <c r="UEZ58" s="12"/>
      <c r="UFA58" s="12"/>
      <c r="UFB58" s="12"/>
      <c r="UFC58" s="12"/>
      <c r="UFD58" s="12"/>
      <c r="UFE58" s="12"/>
      <c r="UFF58" s="12"/>
      <c r="UFG58" s="12"/>
      <c r="UFH58" s="12"/>
      <c r="UFI58" s="12"/>
      <c r="UFJ58" s="12"/>
      <c r="UFK58" s="12"/>
      <c r="UFL58" s="12"/>
      <c r="UFM58" s="12"/>
      <c r="UFN58" s="12"/>
      <c r="UFO58" s="12"/>
      <c r="UFP58" s="12"/>
      <c r="UFQ58" s="12"/>
      <c r="UFR58" s="12"/>
      <c r="UFS58" s="12"/>
      <c r="UFT58" s="12"/>
      <c r="UFU58" s="12"/>
      <c r="UFV58" s="12"/>
      <c r="UFW58" s="12"/>
      <c r="UFX58" s="12"/>
      <c r="UFY58" s="12"/>
      <c r="UFZ58" s="12"/>
      <c r="UGA58" s="12"/>
      <c r="UGB58" s="12"/>
      <c r="UGC58" s="12"/>
      <c r="UGD58" s="12"/>
      <c r="UGE58" s="12"/>
      <c r="UGF58" s="12"/>
      <c r="UGG58" s="12"/>
      <c r="UGH58" s="12"/>
      <c r="UGI58" s="12"/>
      <c r="UGJ58" s="12"/>
      <c r="UGK58" s="12"/>
      <c r="UGL58" s="12"/>
      <c r="UGM58" s="12"/>
      <c r="UGN58" s="12"/>
      <c r="UGO58" s="12"/>
      <c r="UGP58" s="12"/>
      <c r="UGQ58" s="12"/>
      <c r="UGR58" s="12"/>
      <c r="UGS58" s="12"/>
      <c r="UGT58" s="12"/>
      <c r="UGU58" s="12"/>
      <c r="UGV58" s="12"/>
      <c r="UGW58" s="12"/>
      <c r="UGX58" s="12"/>
      <c r="UGY58" s="12"/>
      <c r="UGZ58" s="12"/>
      <c r="UHA58" s="12"/>
      <c r="UHB58" s="12"/>
      <c r="UHC58" s="12"/>
      <c r="UHD58" s="12"/>
      <c r="UHE58" s="12"/>
      <c r="UHF58" s="12"/>
      <c r="UHG58" s="12"/>
      <c r="UHH58" s="12"/>
      <c r="UHI58" s="12"/>
      <c r="UHJ58" s="12"/>
      <c r="UHK58" s="12"/>
      <c r="UHL58" s="12"/>
      <c r="UHM58" s="12"/>
      <c r="UHN58" s="12"/>
      <c r="UHO58" s="12"/>
      <c r="UHP58" s="12"/>
      <c r="UHQ58" s="12"/>
      <c r="UHR58" s="12"/>
      <c r="UHS58" s="12"/>
      <c r="UHT58" s="12"/>
      <c r="UHU58" s="12"/>
      <c r="UHV58" s="12"/>
      <c r="UHW58" s="12"/>
      <c r="UHX58" s="12"/>
      <c r="UHY58" s="12"/>
      <c r="UHZ58" s="12"/>
      <c r="UIA58" s="12"/>
      <c r="UIB58" s="12"/>
      <c r="UIC58" s="12"/>
      <c r="UID58" s="12"/>
      <c r="UIE58" s="12"/>
      <c r="UIF58" s="12"/>
      <c r="UIG58" s="12"/>
      <c r="UIH58" s="12"/>
      <c r="UII58" s="12"/>
      <c r="UIJ58" s="12"/>
      <c r="UIK58" s="12"/>
      <c r="UIL58" s="12"/>
      <c r="UIM58" s="12"/>
      <c r="UIN58" s="12"/>
      <c r="UIO58" s="12"/>
      <c r="UIP58" s="12"/>
      <c r="UIQ58" s="12"/>
      <c r="UIR58" s="12"/>
      <c r="UIS58" s="12"/>
      <c r="UIT58" s="12"/>
      <c r="UIU58" s="12"/>
      <c r="UIV58" s="12"/>
      <c r="UIW58" s="12"/>
      <c r="UIX58" s="12"/>
      <c r="UIY58" s="12"/>
      <c r="UIZ58" s="12"/>
      <c r="UJA58" s="12"/>
      <c r="UJB58" s="12"/>
      <c r="UJC58" s="12"/>
      <c r="UJD58" s="12"/>
      <c r="UJE58" s="12"/>
      <c r="UJF58" s="12"/>
      <c r="UJG58" s="12"/>
      <c r="UJH58" s="12"/>
      <c r="UJI58" s="12"/>
      <c r="UJJ58" s="12"/>
      <c r="UJK58" s="12"/>
      <c r="UJL58" s="12"/>
      <c r="UJM58" s="12"/>
      <c r="UJN58" s="12"/>
      <c r="UJO58" s="12"/>
      <c r="UJP58" s="12"/>
      <c r="UJQ58" s="12"/>
      <c r="UJR58" s="12"/>
      <c r="UJS58" s="12"/>
      <c r="UJT58" s="12"/>
      <c r="UJU58" s="12"/>
      <c r="UJV58" s="12"/>
      <c r="UJW58" s="12"/>
      <c r="UJX58" s="12"/>
      <c r="UJY58" s="12"/>
      <c r="UJZ58" s="12"/>
      <c r="UKA58" s="12"/>
      <c r="UKB58" s="12"/>
      <c r="UKC58" s="12"/>
      <c r="UKD58" s="12"/>
      <c r="UKE58" s="12"/>
      <c r="UKF58" s="12"/>
      <c r="UKG58" s="12"/>
      <c r="UKH58" s="12"/>
      <c r="UKI58" s="12"/>
      <c r="UKJ58" s="12"/>
      <c r="UKK58" s="12"/>
      <c r="UKL58" s="12"/>
      <c r="UKM58" s="12"/>
      <c r="UKN58" s="12"/>
      <c r="UKO58" s="12"/>
      <c r="UKP58" s="12"/>
      <c r="UKQ58" s="12"/>
      <c r="UKR58" s="12"/>
      <c r="UKS58" s="12"/>
      <c r="UKT58" s="12"/>
      <c r="UKU58" s="12"/>
      <c r="UKV58" s="12"/>
      <c r="UKW58" s="12"/>
      <c r="UKX58" s="12"/>
      <c r="UKY58" s="12"/>
      <c r="UKZ58" s="12"/>
      <c r="ULA58" s="12"/>
      <c r="ULB58" s="12"/>
      <c r="ULC58" s="12"/>
      <c r="ULD58" s="12"/>
      <c r="ULE58" s="12"/>
      <c r="ULF58" s="12"/>
      <c r="ULG58" s="12"/>
      <c r="ULH58" s="12"/>
      <c r="ULI58" s="12"/>
      <c r="ULJ58" s="12"/>
      <c r="ULK58" s="12"/>
      <c r="ULL58" s="12"/>
      <c r="ULM58" s="12"/>
      <c r="ULN58" s="12"/>
      <c r="ULO58" s="12"/>
      <c r="ULP58" s="12"/>
      <c r="ULQ58" s="12"/>
      <c r="ULR58" s="12"/>
      <c r="ULS58" s="12"/>
      <c r="ULT58" s="12"/>
      <c r="ULU58" s="12"/>
      <c r="ULV58" s="12"/>
      <c r="ULW58" s="12"/>
      <c r="ULX58" s="12"/>
      <c r="ULY58" s="12"/>
      <c r="ULZ58" s="12"/>
      <c r="UMA58" s="12"/>
      <c r="UMB58" s="12"/>
      <c r="UMC58" s="12"/>
      <c r="UMD58" s="12"/>
      <c r="UME58" s="12"/>
      <c r="UMF58" s="12"/>
      <c r="UMG58" s="12"/>
      <c r="UMH58" s="12"/>
      <c r="UMI58" s="12"/>
      <c r="UMJ58" s="12"/>
      <c r="UMK58" s="12"/>
      <c r="UML58" s="12"/>
      <c r="UMM58" s="12"/>
      <c r="UMN58" s="12"/>
      <c r="UMO58" s="12"/>
      <c r="UMP58" s="12"/>
      <c r="UMQ58" s="12"/>
      <c r="UMR58" s="12"/>
      <c r="UMS58" s="12"/>
      <c r="UMT58" s="12"/>
      <c r="UMU58" s="12"/>
      <c r="UMV58" s="12"/>
      <c r="UMW58" s="12"/>
      <c r="UMX58" s="12"/>
      <c r="UMY58" s="12"/>
      <c r="UMZ58" s="12"/>
      <c r="UNA58" s="12"/>
      <c r="UNB58" s="12"/>
      <c r="UNC58" s="12"/>
      <c r="UND58" s="12"/>
      <c r="UNE58" s="12"/>
      <c r="UNF58" s="12"/>
      <c r="UNG58" s="12"/>
      <c r="UNH58" s="12"/>
      <c r="UNI58" s="12"/>
      <c r="UNJ58" s="12"/>
      <c r="UNK58" s="12"/>
      <c r="UNL58" s="12"/>
      <c r="UNM58" s="12"/>
      <c r="UNN58" s="12"/>
      <c r="UNO58" s="12"/>
      <c r="UNP58" s="12"/>
      <c r="UNQ58" s="12"/>
      <c r="UNR58" s="12"/>
      <c r="UNS58" s="12"/>
      <c r="UNT58" s="12"/>
      <c r="UNU58" s="12"/>
      <c r="UNV58" s="12"/>
      <c r="UNW58" s="12"/>
      <c r="UNX58" s="12"/>
      <c r="UNY58" s="12"/>
      <c r="UNZ58" s="12"/>
      <c r="UOA58" s="12"/>
      <c r="UOB58" s="12"/>
      <c r="UOC58" s="12"/>
      <c r="UOD58" s="12"/>
      <c r="UOE58" s="12"/>
      <c r="UOF58" s="12"/>
      <c r="UOG58" s="12"/>
      <c r="UOH58" s="12"/>
      <c r="UOI58" s="12"/>
      <c r="UOJ58" s="12"/>
      <c r="UOK58" s="12"/>
      <c r="UOL58" s="12"/>
      <c r="UOM58" s="12"/>
      <c r="UON58" s="12"/>
      <c r="UOO58" s="12"/>
      <c r="UOP58" s="12"/>
      <c r="UOQ58" s="12"/>
      <c r="UOR58" s="12"/>
      <c r="UOS58" s="12"/>
      <c r="UOT58" s="12"/>
      <c r="UOU58" s="12"/>
      <c r="UOV58" s="12"/>
      <c r="UOW58" s="12"/>
      <c r="UOX58" s="12"/>
      <c r="UOY58" s="12"/>
      <c r="UOZ58" s="12"/>
      <c r="UPA58" s="12"/>
      <c r="UPB58" s="12"/>
      <c r="UPC58" s="12"/>
      <c r="UPD58" s="12"/>
      <c r="UPE58" s="12"/>
      <c r="UPF58" s="12"/>
      <c r="UPG58" s="12"/>
      <c r="UPH58" s="12"/>
      <c r="UPI58" s="12"/>
      <c r="UPJ58" s="12"/>
      <c r="UPK58" s="12"/>
      <c r="UPL58" s="12"/>
      <c r="UPM58" s="12"/>
      <c r="UPN58" s="12"/>
      <c r="UPO58" s="12"/>
      <c r="UPP58" s="12"/>
      <c r="UPQ58" s="12"/>
      <c r="UPR58" s="12"/>
      <c r="UPS58" s="12"/>
      <c r="UPT58" s="12"/>
      <c r="UPU58" s="12"/>
      <c r="UPV58" s="12"/>
      <c r="UPW58" s="12"/>
      <c r="UPX58" s="12"/>
      <c r="UPY58" s="12"/>
      <c r="UPZ58" s="12"/>
      <c r="UQA58" s="12"/>
      <c r="UQB58" s="12"/>
      <c r="UQC58" s="12"/>
      <c r="UQD58" s="12"/>
      <c r="UQE58" s="12"/>
      <c r="UQF58" s="12"/>
      <c r="UQG58" s="12"/>
      <c r="UQH58" s="12"/>
      <c r="UQI58" s="12"/>
      <c r="UQJ58" s="12"/>
      <c r="UQK58" s="12"/>
      <c r="UQL58" s="12"/>
      <c r="UQM58" s="12"/>
      <c r="UQN58" s="12"/>
      <c r="UQO58" s="12"/>
      <c r="UQP58" s="12"/>
      <c r="UQQ58" s="12"/>
      <c r="UQR58" s="12"/>
      <c r="UQS58" s="12"/>
      <c r="UQT58" s="12"/>
      <c r="UQU58" s="12"/>
      <c r="UQV58" s="12"/>
      <c r="UQW58" s="12"/>
      <c r="UQX58" s="12"/>
      <c r="UQY58" s="12"/>
      <c r="UQZ58" s="12"/>
      <c r="URA58" s="12"/>
      <c r="URB58" s="12"/>
      <c r="URC58" s="12"/>
      <c r="URD58" s="12"/>
      <c r="URE58" s="12"/>
      <c r="URF58" s="12"/>
      <c r="URG58" s="12"/>
      <c r="URH58" s="12"/>
      <c r="URI58" s="12"/>
      <c r="URJ58" s="12"/>
      <c r="URK58" s="12"/>
      <c r="URL58" s="12"/>
      <c r="URM58" s="12"/>
      <c r="URN58" s="12"/>
      <c r="URO58" s="12"/>
      <c r="URP58" s="12"/>
      <c r="URQ58" s="12"/>
      <c r="URR58" s="12"/>
      <c r="URS58" s="12"/>
      <c r="URT58" s="12"/>
      <c r="URU58" s="12"/>
      <c r="URV58" s="12"/>
      <c r="URW58" s="12"/>
      <c r="URX58" s="12"/>
      <c r="URY58" s="12"/>
      <c r="URZ58" s="12"/>
      <c r="USA58" s="12"/>
      <c r="USB58" s="12"/>
      <c r="USC58" s="12"/>
      <c r="USD58" s="12"/>
      <c r="USE58" s="12"/>
      <c r="USF58" s="12"/>
      <c r="USG58" s="12"/>
      <c r="USH58" s="12"/>
      <c r="USI58" s="12"/>
      <c r="USJ58" s="12"/>
      <c r="USK58" s="12"/>
      <c r="USL58" s="12"/>
      <c r="USM58" s="12"/>
      <c r="USN58" s="12"/>
      <c r="USO58" s="12"/>
      <c r="USP58" s="12"/>
      <c r="USQ58" s="12"/>
      <c r="USR58" s="12"/>
      <c r="USS58" s="12"/>
      <c r="UST58" s="12"/>
      <c r="USU58" s="12"/>
      <c r="USV58" s="12"/>
      <c r="USW58" s="12"/>
      <c r="USX58" s="12"/>
      <c r="USY58" s="12"/>
      <c r="USZ58" s="12"/>
      <c r="UTA58" s="12"/>
      <c r="UTB58" s="12"/>
      <c r="UTC58" s="12"/>
      <c r="UTD58" s="12"/>
      <c r="UTE58" s="12"/>
      <c r="UTF58" s="12"/>
      <c r="UTG58" s="12"/>
      <c r="UTH58" s="12"/>
      <c r="UTI58" s="12"/>
      <c r="UTJ58" s="12"/>
      <c r="UTK58" s="12"/>
      <c r="UTL58" s="12"/>
      <c r="UTM58" s="12"/>
      <c r="UTN58" s="12"/>
      <c r="UTO58" s="12"/>
      <c r="UTP58" s="12"/>
      <c r="UTQ58" s="12"/>
      <c r="UTR58" s="12"/>
      <c r="UTS58" s="12"/>
      <c r="UTT58" s="12"/>
      <c r="UTU58" s="12"/>
      <c r="UTV58" s="12"/>
      <c r="UTW58" s="12"/>
      <c r="UTX58" s="12"/>
      <c r="UTY58" s="12"/>
      <c r="UTZ58" s="12"/>
      <c r="UUA58" s="12"/>
      <c r="UUB58" s="12"/>
      <c r="UUC58" s="12"/>
      <c r="UUD58" s="12"/>
      <c r="UUE58" s="12"/>
      <c r="UUF58" s="12"/>
      <c r="UUG58" s="12"/>
      <c r="UUH58" s="12"/>
      <c r="UUI58" s="12"/>
      <c r="UUJ58" s="12"/>
      <c r="UUK58" s="12"/>
      <c r="UUL58" s="12"/>
      <c r="UUM58" s="12"/>
      <c r="UUN58" s="12"/>
      <c r="UUO58" s="12"/>
      <c r="UUP58" s="12"/>
      <c r="UUQ58" s="12"/>
      <c r="UUR58" s="12"/>
      <c r="UUS58" s="12"/>
      <c r="UUT58" s="12"/>
      <c r="UUU58" s="12"/>
      <c r="UUV58" s="12"/>
      <c r="UUW58" s="12"/>
      <c r="UUX58" s="12"/>
      <c r="UUY58" s="12"/>
      <c r="UUZ58" s="12"/>
      <c r="UVA58" s="12"/>
      <c r="UVB58" s="12"/>
      <c r="UVC58" s="12"/>
      <c r="UVD58" s="12"/>
      <c r="UVE58" s="12"/>
      <c r="UVF58" s="12"/>
      <c r="UVG58" s="12"/>
      <c r="UVH58" s="12"/>
      <c r="UVI58" s="12"/>
      <c r="UVJ58" s="12"/>
      <c r="UVK58" s="12"/>
      <c r="UVL58" s="12"/>
      <c r="UVM58" s="12"/>
      <c r="UVN58" s="12"/>
      <c r="UVO58" s="12"/>
      <c r="UVP58" s="12"/>
      <c r="UVQ58" s="12"/>
      <c r="UVR58" s="12"/>
      <c r="UVS58" s="12"/>
      <c r="UVT58" s="12"/>
      <c r="UVU58" s="12"/>
      <c r="UVV58" s="12"/>
      <c r="UVW58" s="12"/>
      <c r="UVX58" s="12"/>
      <c r="UVY58" s="12"/>
      <c r="UVZ58" s="12"/>
      <c r="UWA58" s="12"/>
      <c r="UWB58" s="12"/>
      <c r="UWC58" s="12"/>
      <c r="UWD58" s="12"/>
      <c r="UWE58" s="12"/>
      <c r="UWF58" s="12"/>
      <c r="UWG58" s="12"/>
      <c r="UWH58" s="12"/>
      <c r="UWI58" s="12"/>
      <c r="UWJ58" s="12"/>
      <c r="UWK58" s="12"/>
      <c r="UWL58" s="12"/>
      <c r="UWM58" s="12"/>
      <c r="UWN58" s="12"/>
      <c r="UWO58" s="12"/>
      <c r="UWP58" s="12"/>
      <c r="UWQ58" s="12"/>
      <c r="UWR58" s="12"/>
      <c r="UWS58" s="12"/>
      <c r="UWT58" s="12"/>
      <c r="UWU58" s="12"/>
      <c r="UWV58" s="12"/>
      <c r="UWW58" s="12"/>
      <c r="UWX58" s="12"/>
      <c r="UWY58" s="12"/>
      <c r="UWZ58" s="12"/>
      <c r="UXA58" s="12"/>
      <c r="UXB58" s="12"/>
      <c r="UXC58" s="12"/>
      <c r="UXD58" s="12"/>
      <c r="UXE58" s="12"/>
      <c r="UXF58" s="12"/>
      <c r="UXG58" s="12"/>
      <c r="UXH58" s="12"/>
      <c r="UXI58" s="12"/>
      <c r="UXJ58" s="12"/>
      <c r="UXK58" s="12"/>
      <c r="UXL58" s="12"/>
      <c r="UXM58" s="12"/>
      <c r="UXN58" s="12"/>
      <c r="UXO58" s="12"/>
      <c r="UXP58" s="12"/>
      <c r="UXQ58" s="12"/>
      <c r="UXR58" s="12"/>
      <c r="UXS58" s="12"/>
      <c r="UXT58" s="12"/>
      <c r="UXU58" s="12"/>
      <c r="UXV58" s="12"/>
      <c r="UXW58" s="12"/>
      <c r="UXX58" s="12"/>
      <c r="UXY58" s="12"/>
      <c r="UXZ58" s="12"/>
      <c r="UYA58" s="12"/>
      <c r="UYB58" s="12"/>
      <c r="UYC58" s="12"/>
      <c r="UYD58" s="12"/>
      <c r="UYE58" s="12"/>
      <c r="UYF58" s="12"/>
      <c r="UYG58" s="12"/>
      <c r="UYH58" s="12"/>
      <c r="UYI58" s="12"/>
      <c r="UYJ58" s="12"/>
      <c r="UYK58" s="12"/>
      <c r="UYL58" s="12"/>
      <c r="UYM58" s="12"/>
      <c r="UYN58" s="12"/>
      <c r="UYO58" s="12"/>
      <c r="UYP58" s="12"/>
      <c r="UYQ58" s="12"/>
      <c r="UYR58" s="12"/>
      <c r="UYS58" s="12"/>
      <c r="UYT58" s="12"/>
      <c r="UYU58" s="12"/>
      <c r="UYV58" s="12"/>
      <c r="UYW58" s="12"/>
      <c r="UYX58" s="12"/>
      <c r="UYY58" s="12"/>
      <c r="UYZ58" s="12"/>
      <c r="UZA58" s="12"/>
      <c r="UZB58" s="12"/>
      <c r="UZC58" s="12"/>
      <c r="UZD58" s="12"/>
      <c r="UZE58" s="12"/>
      <c r="UZF58" s="12"/>
      <c r="UZG58" s="12"/>
      <c r="UZH58" s="12"/>
      <c r="UZI58" s="12"/>
      <c r="UZJ58" s="12"/>
      <c r="UZK58" s="12"/>
      <c r="UZL58" s="12"/>
      <c r="UZM58" s="12"/>
      <c r="UZN58" s="12"/>
      <c r="UZO58" s="12"/>
      <c r="UZP58" s="12"/>
      <c r="UZQ58" s="12"/>
      <c r="UZR58" s="12"/>
      <c r="UZS58" s="12"/>
      <c r="UZT58" s="12"/>
      <c r="UZU58" s="12"/>
      <c r="UZV58" s="12"/>
      <c r="UZW58" s="12"/>
      <c r="UZX58" s="12"/>
      <c r="UZY58" s="12"/>
      <c r="UZZ58" s="12"/>
      <c r="VAA58" s="12"/>
      <c r="VAB58" s="12"/>
      <c r="VAC58" s="12"/>
      <c r="VAD58" s="12"/>
      <c r="VAE58" s="12"/>
      <c r="VAF58" s="12"/>
      <c r="VAG58" s="12"/>
      <c r="VAH58" s="12"/>
      <c r="VAI58" s="12"/>
      <c r="VAJ58" s="12"/>
      <c r="VAK58" s="12"/>
      <c r="VAL58" s="12"/>
      <c r="VAM58" s="12"/>
      <c r="VAN58" s="12"/>
      <c r="VAO58" s="12"/>
      <c r="VAP58" s="12"/>
      <c r="VAQ58" s="12"/>
      <c r="VAR58" s="12"/>
      <c r="VAS58" s="12"/>
      <c r="VAT58" s="12"/>
      <c r="VAU58" s="12"/>
      <c r="VAV58" s="12"/>
      <c r="VAW58" s="12"/>
      <c r="VAX58" s="12"/>
      <c r="VAY58" s="12"/>
      <c r="VAZ58" s="12"/>
      <c r="VBA58" s="12"/>
      <c r="VBB58" s="12"/>
      <c r="VBC58" s="12"/>
      <c r="VBD58" s="12"/>
      <c r="VBE58" s="12"/>
      <c r="VBF58" s="12"/>
      <c r="VBG58" s="12"/>
      <c r="VBH58" s="12"/>
      <c r="VBI58" s="12"/>
      <c r="VBJ58" s="12"/>
      <c r="VBK58" s="12"/>
      <c r="VBL58" s="12"/>
      <c r="VBM58" s="12"/>
      <c r="VBN58" s="12"/>
      <c r="VBO58" s="12"/>
      <c r="VBP58" s="12"/>
      <c r="VBQ58" s="12"/>
      <c r="VBR58" s="12"/>
      <c r="VBS58" s="12"/>
      <c r="VBT58" s="12"/>
      <c r="VBU58" s="12"/>
      <c r="VBV58" s="12"/>
      <c r="VBW58" s="12"/>
      <c r="VBX58" s="12"/>
      <c r="VBY58" s="12"/>
      <c r="VBZ58" s="12"/>
      <c r="VCA58" s="12"/>
      <c r="VCB58" s="12"/>
      <c r="VCC58" s="12"/>
      <c r="VCD58" s="12"/>
      <c r="VCE58" s="12"/>
      <c r="VCF58" s="12"/>
      <c r="VCG58" s="12"/>
      <c r="VCH58" s="12"/>
      <c r="VCI58" s="12"/>
      <c r="VCJ58" s="12"/>
      <c r="VCK58" s="12"/>
      <c r="VCL58" s="12"/>
      <c r="VCM58" s="12"/>
      <c r="VCN58" s="12"/>
      <c r="VCO58" s="12"/>
      <c r="VCP58" s="12"/>
      <c r="VCQ58" s="12"/>
      <c r="VCR58" s="12"/>
      <c r="VCS58" s="12"/>
      <c r="VCT58" s="12"/>
      <c r="VCU58" s="12"/>
      <c r="VCV58" s="12"/>
      <c r="VCW58" s="12"/>
      <c r="VCX58" s="12"/>
      <c r="VCY58" s="12"/>
      <c r="VCZ58" s="12"/>
      <c r="VDA58" s="12"/>
      <c r="VDB58" s="12"/>
      <c r="VDC58" s="12"/>
      <c r="VDD58" s="12"/>
      <c r="VDE58" s="12"/>
      <c r="VDF58" s="12"/>
      <c r="VDG58" s="12"/>
      <c r="VDH58" s="12"/>
      <c r="VDI58" s="12"/>
      <c r="VDJ58" s="12"/>
      <c r="VDK58" s="12"/>
      <c r="VDL58" s="12"/>
      <c r="VDM58" s="12"/>
      <c r="VDN58" s="12"/>
      <c r="VDO58" s="12"/>
      <c r="VDP58" s="12"/>
      <c r="VDQ58" s="12"/>
      <c r="VDR58" s="12"/>
      <c r="VDS58" s="12"/>
      <c r="VDT58" s="12"/>
      <c r="VDU58" s="12"/>
      <c r="VDV58" s="12"/>
      <c r="VDW58" s="12"/>
      <c r="VDX58" s="12"/>
      <c r="VDY58" s="12"/>
      <c r="VDZ58" s="12"/>
      <c r="VEA58" s="12"/>
      <c r="VEB58" s="12"/>
      <c r="VEC58" s="12"/>
      <c r="VED58" s="12"/>
      <c r="VEE58" s="12"/>
      <c r="VEF58" s="12"/>
      <c r="VEG58" s="12"/>
      <c r="VEH58" s="12"/>
      <c r="VEI58" s="12"/>
      <c r="VEJ58" s="12"/>
      <c r="VEK58" s="12"/>
      <c r="VEL58" s="12"/>
      <c r="VEM58" s="12"/>
      <c r="VEN58" s="12"/>
      <c r="VEO58" s="12"/>
      <c r="VEP58" s="12"/>
      <c r="VEQ58" s="12"/>
      <c r="VER58" s="12"/>
      <c r="VES58" s="12"/>
      <c r="VET58" s="12"/>
      <c r="VEU58" s="12"/>
      <c r="VEV58" s="12"/>
      <c r="VEW58" s="12"/>
      <c r="VEX58" s="12"/>
      <c r="VEY58" s="12"/>
      <c r="VEZ58" s="12"/>
      <c r="VFA58" s="12"/>
      <c r="VFB58" s="12"/>
      <c r="VFC58" s="12"/>
      <c r="VFD58" s="12"/>
      <c r="VFE58" s="12"/>
      <c r="VFF58" s="12"/>
      <c r="VFG58" s="12"/>
      <c r="VFH58" s="12"/>
      <c r="VFI58" s="12"/>
      <c r="VFJ58" s="12"/>
      <c r="VFK58" s="12"/>
      <c r="VFL58" s="12"/>
      <c r="VFM58" s="12"/>
      <c r="VFN58" s="12"/>
      <c r="VFO58" s="12"/>
      <c r="VFP58" s="12"/>
      <c r="VFQ58" s="12"/>
      <c r="VFR58" s="12"/>
      <c r="VFS58" s="12"/>
      <c r="VFT58" s="12"/>
      <c r="VFU58" s="12"/>
      <c r="VFV58" s="12"/>
      <c r="VFW58" s="12"/>
      <c r="VFX58" s="12"/>
      <c r="VFY58" s="12"/>
      <c r="VFZ58" s="12"/>
      <c r="VGA58" s="12"/>
      <c r="VGB58" s="12"/>
      <c r="VGC58" s="12"/>
      <c r="VGD58" s="12"/>
      <c r="VGE58" s="12"/>
      <c r="VGF58" s="12"/>
      <c r="VGG58" s="12"/>
      <c r="VGH58" s="12"/>
      <c r="VGI58" s="12"/>
      <c r="VGJ58" s="12"/>
      <c r="VGK58" s="12"/>
      <c r="VGL58" s="12"/>
      <c r="VGM58" s="12"/>
      <c r="VGN58" s="12"/>
      <c r="VGO58" s="12"/>
      <c r="VGP58" s="12"/>
      <c r="VGQ58" s="12"/>
      <c r="VGR58" s="12"/>
      <c r="VGS58" s="12"/>
      <c r="VGT58" s="12"/>
      <c r="VGU58" s="12"/>
      <c r="VGV58" s="12"/>
      <c r="VGW58" s="12"/>
      <c r="VGX58" s="12"/>
      <c r="VGY58" s="12"/>
      <c r="VGZ58" s="12"/>
      <c r="VHA58" s="12"/>
      <c r="VHB58" s="12"/>
      <c r="VHC58" s="12"/>
      <c r="VHD58" s="12"/>
      <c r="VHE58" s="12"/>
      <c r="VHF58" s="12"/>
      <c r="VHG58" s="12"/>
      <c r="VHH58" s="12"/>
      <c r="VHI58" s="12"/>
      <c r="VHJ58" s="12"/>
      <c r="VHK58" s="12"/>
      <c r="VHL58" s="12"/>
      <c r="VHM58" s="12"/>
      <c r="VHN58" s="12"/>
      <c r="VHO58" s="12"/>
      <c r="VHP58" s="12"/>
      <c r="VHQ58" s="12"/>
      <c r="VHR58" s="12"/>
      <c r="VHS58" s="12"/>
      <c r="VHT58" s="12"/>
      <c r="VHU58" s="12"/>
      <c r="VHV58" s="12"/>
      <c r="VHW58" s="12"/>
      <c r="VHX58" s="12"/>
      <c r="VHY58" s="12"/>
      <c r="VHZ58" s="12"/>
      <c r="VIA58" s="12"/>
      <c r="VIB58" s="12"/>
      <c r="VIC58" s="12"/>
      <c r="VID58" s="12"/>
      <c r="VIE58" s="12"/>
      <c r="VIF58" s="12"/>
      <c r="VIG58" s="12"/>
      <c r="VIH58" s="12"/>
      <c r="VII58" s="12"/>
      <c r="VIJ58" s="12"/>
      <c r="VIK58" s="12"/>
      <c r="VIL58" s="12"/>
      <c r="VIM58" s="12"/>
      <c r="VIN58" s="12"/>
      <c r="VIO58" s="12"/>
      <c r="VIP58" s="12"/>
      <c r="VIQ58" s="12"/>
      <c r="VIR58" s="12"/>
      <c r="VIS58" s="12"/>
      <c r="VIT58" s="12"/>
      <c r="VIU58" s="12"/>
      <c r="VIV58" s="12"/>
      <c r="VIW58" s="12"/>
      <c r="VIX58" s="12"/>
      <c r="VIY58" s="12"/>
      <c r="VIZ58" s="12"/>
      <c r="VJA58" s="12"/>
      <c r="VJB58" s="12"/>
      <c r="VJC58" s="12"/>
      <c r="VJD58" s="12"/>
      <c r="VJE58" s="12"/>
      <c r="VJF58" s="12"/>
      <c r="VJG58" s="12"/>
      <c r="VJH58" s="12"/>
      <c r="VJI58" s="12"/>
      <c r="VJJ58" s="12"/>
      <c r="VJK58" s="12"/>
      <c r="VJL58" s="12"/>
      <c r="VJM58" s="12"/>
      <c r="VJN58" s="12"/>
      <c r="VJO58" s="12"/>
      <c r="VJP58" s="12"/>
      <c r="VJQ58" s="12"/>
      <c r="VJR58" s="12"/>
      <c r="VJS58" s="12"/>
      <c r="VJT58" s="12"/>
      <c r="VJU58" s="12"/>
      <c r="VJV58" s="12"/>
      <c r="VJW58" s="12"/>
      <c r="VJX58" s="12"/>
      <c r="VJY58" s="12"/>
      <c r="VJZ58" s="12"/>
      <c r="VKA58" s="12"/>
      <c r="VKB58" s="12"/>
      <c r="VKC58" s="12"/>
      <c r="VKD58" s="12"/>
      <c r="VKE58" s="12"/>
      <c r="VKF58" s="12"/>
      <c r="VKG58" s="12"/>
      <c r="VKH58" s="12"/>
      <c r="VKI58" s="12"/>
      <c r="VKJ58" s="12"/>
      <c r="VKK58" s="12"/>
      <c r="VKL58" s="12"/>
      <c r="VKM58" s="12"/>
      <c r="VKN58" s="12"/>
      <c r="VKO58" s="12"/>
      <c r="VKP58" s="12"/>
      <c r="VKQ58" s="12"/>
      <c r="VKR58" s="12"/>
      <c r="VKS58" s="12"/>
      <c r="VKT58" s="12"/>
      <c r="VKU58" s="12"/>
      <c r="VKV58" s="12"/>
      <c r="VKW58" s="12"/>
      <c r="VKX58" s="12"/>
      <c r="VKY58" s="12"/>
      <c r="VKZ58" s="12"/>
      <c r="VLA58" s="12"/>
      <c r="VLB58" s="12"/>
      <c r="VLC58" s="12"/>
      <c r="VLD58" s="12"/>
      <c r="VLE58" s="12"/>
      <c r="VLF58" s="12"/>
      <c r="VLG58" s="12"/>
      <c r="VLH58" s="12"/>
      <c r="VLI58" s="12"/>
      <c r="VLJ58" s="12"/>
      <c r="VLK58" s="12"/>
      <c r="VLL58" s="12"/>
      <c r="VLM58" s="12"/>
      <c r="VLN58" s="12"/>
      <c r="VLO58" s="12"/>
      <c r="VLP58" s="12"/>
      <c r="VLQ58" s="12"/>
      <c r="VLR58" s="12"/>
      <c r="VLS58" s="12"/>
      <c r="VLT58" s="12"/>
      <c r="VLU58" s="12"/>
      <c r="VLV58" s="12"/>
      <c r="VLW58" s="12"/>
      <c r="VLX58" s="12"/>
      <c r="VLY58" s="12"/>
      <c r="VLZ58" s="12"/>
      <c r="VMA58" s="12"/>
      <c r="VMB58" s="12"/>
      <c r="VMC58" s="12"/>
      <c r="VMD58" s="12"/>
      <c r="VME58" s="12"/>
      <c r="VMF58" s="12"/>
      <c r="VMG58" s="12"/>
      <c r="VMH58" s="12"/>
      <c r="VMI58" s="12"/>
      <c r="VMJ58" s="12"/>
      <c r="VMK58" s="12"/>
      <c r="VML58" s="12"/>
      <c r="VMM58" s="12"/>
      <c r="VMN58" s="12"/>
      <c r="VMO58" s="12"/>
      <c r="VMP58" s="12"/>
      <c r="VMQ58" s="12"/>
      <c r="VMR58" s="12"/>
      <c r="VMS58" s="12"/>
      <c r="VMT58" s="12"/>
      <c r="VMU58" s="12"/>
      <c r="VMV58" s="12"/>
      <c r="VMW58" s="12"/>
      <c r="VMX58" s="12"/>
      <c r="VMY58" s="12"/>
      <c r="VMZ58" s="12"/>
      <c r="VNA58" s="12"/>
      <c r="VNB58" s="12"/>
      <c r="VNC58" s="12"/>
      <c r="VND58" s="12"/>
      <c r="VNE58" s="12"/>
      <c r="VNF58" s="12"/>
      <c r="VNG58" s="12"/>
      <c r="VNH58" s="12"/>
      <c r="VNI58" s="12"/>
      <c r="VNJ58" s="12"/>
      <c r="VNK58" s="12"/>
      <c r="VNL58" s="12"/>
      <c r="VNM58" s="12"/>
      <c r="VNN58" s="12"/>
      <c r="VNO58" s="12"/>
      <c r="VNP58" s="12"/>
      <c r="VNQ58" s="12"/>
      <c r="VNR58" s="12"/>
      <c r="VNS58" s="12"/>
      <c r="VNT58" s="12"/>
      <c r="VNU58" s="12"/>
      <c r="VNV58" s="12"/>
      <c r="VNW58" s="12"/>
      <c r="VNX58" s="12"/>
      <c r="VNY58" s="12"/>
      <c r="VNZ58" s="12"/>
      <c r="VOA58" s="12"/>
      <c r="VOB58" s="12"/>
      <c r="VOC58" s="12"/>
      <c r="VOD58" s="12"/>
      <c r="VOE58" s="12"/>
      <c r="VOF58" s="12"/>
      <c r="VOG58" s="12"/>
      <c r="VOH58" s="12"/>
      <c r="VOI58" s="12"/>
      <c r="VOJ58" s="12"/>
      <c r="VOK58" s="12"/>
      <c r="VOL58" s="12"/>
      <c r="VOM58" s="12"/>
      <c r="VON58" s="12"/>
      <c r="VOO58" s="12"/>
      <c r="VOP58" s="12"/>
      <c r="VOQ58" s="12"/>
      <c r="VOR58" s="12"/>
      <c r="VOS58" s="12"/>
      <c r="VOT58" s="12"/>
      <c r="VOU58" s="12"/>
      <c r="VOV58" s="12"/>
      <c r="VOW58" s="12"/>
      <c r="VOX58" s="12"/>
      <c r="VOY58" s="12"/>
      <c r="VOZ58" s="12"/>
      <c r="VPA58" s="12"/>
      <c r="VPB58" s="12"/>
      <c r="VPC58" s="12"/>
      <c r="VPD58" s="12"/>
      <c r="VPE58" s="12"/>
      <c r="VPF58" s="12"/>
      <c r="VPG58" s="12"/>
      <c r="VPH58" s="12"/>
      <c r="VPI58" s="12"/>
      <c r="VPJ58" s="12"/>
      <c r="VPK58" s="12"/>
      <c r="VPL58" s="12"/>
      <c r="VPM58" s="12"/>
      <c r="VPN58" s="12"/>
      <c r="VPO58" s="12"/>
      <c r="VPP58" s="12"/>
      <c r="VPQ58" s="12"/>
      <c r="VPR58" s="12"/>
      <c r="VPS58" s="12"/>
      <c r="VPT58" s="12"/>
      <c r="VPU58" s="12"/>
      <c r="VPV58" s="12"/>
      <c r="VPW58" s="12"/>
      <c r="VPX58" s="12"/>
      <c r="VPY58" s="12"/>
      <c r="VPZ58" s="12"/>
      <c r="VQA58" s="12"/>
      <c r="VQB58" s="12"/>
      <c r="VQC58" s="12"/>
      <c r="VQD58" s="12"/>
      <c r="VQE58" s="12"/>
      <c r="VQF58" s="12"/>
      <c r="VQG58" s="12"/>
      <c r="VQH58" s="12"/>
      <c r="VQI58" s="12"/>
      <c r="VQJ58" s="12"/>
      <c r="VQK58" s="12"/>
      <c r="VQL58" s="12"/>
      <c r="VQM58" s="12"/>
      <c r="VQN58" s="12"/>
      <c r="VQO58" s="12"/>
      <c r="VQP58" s="12"/>
      <c r="VQQ58" s="12"/>
      <c r="VQR58" s="12"/>
      <c r="VQS58" s="12"/>
      <c r="VQT58" s="12"/>
      <c r="VQU58" s="12"/>
      <c r="VQV58" s="12"/>
      <c r="VQW58" s="12"/>
      <c r="VQX58" s="12"/>
      <c r="VQY58" s="12"/>
      <c r="VQZ58" s="12"/>
      <c r="VRA58" s="12"/>
      <c r="VRB58" s="12"/>
      <c r="VRC58" s="12"/>
      <c r="VRD58" s="12"/>
      <c r="VRE58" s="12"/>
      <c r="VRF58" s="12"/>
      <c r="VRG58" s="12"/>
      <c r="VRH58" s="12"/>
      <c r="VRI58" s="12"/>
      <c r="VRJ58" s="12"/>
      <c r="VRK58" s="12"/>
      <c r="VRL58" s="12"/>
      <c r="VRM58" s="12"/>
      <c r="VRN58" s="12"/>
      <c r="VRO58" s="12"/>
      <c r="VRP58" s="12"/>
      <c r="VRQ58" s="12"/>
      <c r="VRR58" s="12"/>
      <c r="VRS58" s="12"/>
      <c r="VRT58" s="12"/>
      <c r="VRU58" s="12"/>
      <c r="VRV58" s="12"/>
      <c r="VRW58" s="12"/>
      <c r="VRX58" s="12"/>
      <c r="VRY58" s="12"/>
      <c r="VRZ58" s="12"/>
      <c r="VSA58" s="12"/>
      <c r="VSB58" s="12"/>
      <c r="VSC58" s="12"/>
      <c r="VSD58" s="12"/>
      <c r="VSE58" s="12"/>
      <c r="VSF58" s="12"/>
      <c r="VSG58" s="12"/>
      <c r="VSH58" s="12"/>
      <c r="VSI58" s="12"/>
      <c r="VSJ58" s="12"/>
      <c r="VSK58" s="12"/>
      <c r="VSL58" s="12"/>
      <c r="VSM58" s="12"/>
      <c r="VSN58" s="12"/>
      <c r="VSO58" s="12"/>
      <c r="VSP58" s="12"/>
      <c r="VSQ58" s="12"/>
      <c r="VSR58" s="12"/>
      <c r="VSS58" s="12"/>
      <c r="VST58" s="12"/>
      <c r="VSU58" s="12"/>
      <c r="VSV58" s="12"/>
      <c r="VSW58" s="12"/>
      <c r="VSX58" s="12"/>
      <c r="VSY58" s="12"/>
      <c r="VSZ58" s="12"/>
      <c r="VTA58" s="12"/>
      <c r="VTB58" s="12"/>
      <c r="VTC58" s="12"/>
      <c r="VTD58" s="12"/>
      <c r="VTE58" s="12"/>
      <c r="VTF58" s="12"/>
      <c r="VTG58" s="12"/>
      <c r="VTH58" s="12"/>
      <c r="VTI58" s="12"/>
      <c r="VTJ58" s="12"/>
      <c r="VTK58" s="12"/>
      <c r="VTL58" s="12"/>
      <c r="VTM58" s="12"/>
      <c r="VTN58" s="12"/>
      <c r="VTO58" s="12"/>
      <c r="VTP58" s="12"/>
      <c r="VTQ58" s="12"/>
      <c r="VTR58" s="12"/>
      <c r="VTS58" s="12"/>
      <c r="VTT58" s="12"/>
      <c r="VTU58" s="12"/>
      <c r="VTV58" s="12"/>
      <c r="VTW58" s="12"/>
      <c r="VTX58" s="12"/>
      <c r="VTY58" s="12"/>
      <c r="VTZ58" s="12"/>
      <c r="VUA58" s="12"/>
      <c r="VUB58" s="12"/>
      <c r="VUC58" s="12"/>
      <c r="VUD58" s="12"/>
      <c r="VUE58" s="12"/>
      <c r="VUF58" s="12"/>
      <c r="VUG58" s="12"/>
      <c r="VUH58" s="12"/>
      <c r="VUI58" s="12"/>
      <c r="VUJ58" s="12"/>
      <c r="VUK58" s="12"/>
      <c r="VUL58" s="12"/>
      <c r="VUM58" s="12"/>
      <c r="VUN58" s="12"/>
      <c r="VUO58" s="12"/>
      <c r="VUP58" s="12"/>
      <c r="VUQ58" s="12"/>
      <c r="VUR58" s="12"/>
      <c r="VUS58" s="12"/>
      <c r="VUT58" s="12"/>
      <c r="VUU58" s="12"/>
      <c r="VUV58" s="12"/>
      <c r="VUW58" s="12"/>
      <c r="VUX58" s="12"/>
      <c r="VUY58" s="12"/>
      <c r="VUZ58" s="12"/>
      <c r="VVA58" s="12"/>
      <c r="VVB58" s="12"/>
      <c r="VVC58" s="12"/>
      <c r="VVD58" s="12"/>
      <c r="VVE58" s="12"/>
      <c r="VVF58" s="12"/>
      <c r="VVG58" s="12"/>
      <c r="VVH58" s="12"/>
      <c r="VVI58" s="12"/>
      <c r="VVJ58" s="12"/>
      <c r="VVK58" s="12"/>
      <c r="VVL58" s="12"/>
      <c r="VVM58" s="12"/>
      <c r="VVN58" s="12"/>
      <c r="VVO58" s="12"/>
      <c r="VVP58" s="12"/>
      <c r="VVQ58" s="12"/>
      <c r="VVR58" s="12"/>
      <c r="VVS58" s="12"/>
      <c r="VVT58" s="12"/>
      <c r="VVU58" s="12"/>
      <c r="VVV58" s="12"/>
      <c r="VVW58" s="12"/>
      <c r="VVX58" s="12"/>
      <c r="VVY58" s="12"/>
      <c r="VVZ58" s="12"/>
      <c r="VWA58" s="12"/>
      <c r="VWB58" s="12"/>
      <c r="VWC58" s="12"/>
      <c r="VWD58" s="12"/>
      <c r="VWE58" s="12"/>
      <c r="VWF58" s="12"/>
      <c r="VWG58" s="12"/>
      <c r="VWH58" s="12"/>
      <c r="VWI58" s="12"/>
      <c r="VWJ58" s="12"/>
      <c r="VWK58" s="12"/>
      <c r="VWL58" s="12"/>
      <c r="VWM58" s="12"/>
      <c r="VWN58" s="12"/>
      <c r="VWO58" s="12"/>
      <c r="VWP58" s="12"/>
      <c r="VWQ58" s="12"/>
      <c r="VWR58" s="12"/>
      <c r="VWS58" s="12"/>
      <c r="VWT58" s="12"/>
      <c r="VWU58" s="12"/>
      <c r="VWV58" s="12"/>
      <c r="VWW58" s="12"/>
      <c r="VWX58" s="12"/>
      <c r="VWY58" s="12"/>
      <c r="VWZ58" s="12"/>
      <c r="VXA58" s="12"/>
      <c r="VXB58" s="12"/>
      <c r="VXC58" s="12"/>
      <c r="VXD58" s="12"/>
      <c r="VXE58" s="12"/>
      <c r="VXF58" s="12"/>
      <c r="VXG58" s="12"/>
      <c r="VXH58" s="12"/>
      <c r="VXI58" s="12"/>
      <c r="VXJ58" s="12"/>
      <c r="VXK58" s="12"/>
      <c r="VXL58" s="12"/>
      <c r="VXM58" s="12"/>
      <c r="VXN58" s="12"/>
      <c r="VXO58" s="12"/>
      <c r="VXP58" s="12"/>
      <c r="VXQ58" s="12"/>
      <c r="VXR58" s="12"/>
      <c r="VXS58" s="12"/>
      <c r="VXT58" s="12"/>
      <c r="VXU58" s="12"/>
      <c r="VXV58" s="12"/>
      <c r="VXW58" s="12"/>
      <c r="VXX58" s="12"/>
      <c r="VXY58" s="12"/>
      <c r="VXZ58" s="12"/>
      <c r="VYA58" s="12"/>
      <c r="VYB58" s="12"/>
      <c r="VYC58" s="12"/>
      <c r="VYD58" s="12"/>
      <c r="VYE58" s="12"/>
      <c r="VYF58" s="12"/>
      <c r="VYG58" s="12"/>
      <c r="VYH58" s="12"/>
      <c r="VYI58" s="12"/>
      <c r="VYJ58" s="12"/>
      <c r="VYK58" s="12"/>
      <c r="VYL58" s="12"/>
      <c r="VYM58" s="12"/>
      <c r="VYN58" s="12"/>
      <c r="VYO58" s="12"/>
      <c r="VYP58" s="12"/>
      <c r="VYQ58" s="12"/>
      <c r="VYR58" s="12"/>
      <c r="VYS58" s="12"/>
      <c r="VYT58" s="12"/>
      <c r="VYU58" s="12"/>
      <c r="VYV58" s="12"/>
      <c r="VYW58" s="12"/>
      <c r="VYX58" s="12"/>
      <c r="VYY58" s="12"/>
      <c r="VYZ58" s="12"/>
      <c r="VZA58" s="12"/>
      <c r="VZB58" s="12"/>
      <c r="VZC58" s="12"/>
      <c r="VZD58" s="12"/>
      <c r="VZE58" s="12"/>
      <c r="VZF58" s="12"/>
      <c r="VZG58" s="12"/>
      <c r="VZH58" s="12"/>
      <c r="VZI58" s="12"/>
      <c r="VZJ58" s="12"/>
      <c r="VZK58" s="12"/>
      <c r="VZL58" s="12"/>
      <c r="VZM58" s="12"/>
      <c r="VZN58" s="12"/>
      <c r="VZO58" s="12"/>
      <c r="VZP58" s="12"/>
      <c r="VZQ58" s="12"/>
      <c r="VZR58" s="12"/>
      <c r="VZS58" s="12"/>
      <c r="VZT58" s="12"/>
      <c r="VZU58" s="12"/>
      <c r="VZV58" s="12"/>
      <c r="VZW58" s="12"/>
      <c r="VZX58" s="12"/>
      <c r="VZY58" s="12"/>
      <c r="VZZ58" s="12"/>
      <c r="WAA58" s="12"/>
      <c r="WAB58" s="12"/>
      <c r="WAC58" s="12"/>
      <c r="WAD58" s="12"/>
      <c r="WAE58" s="12"/>
      <c r="WAF58" s="12"/>
      <c r="WAG58" s="12"/>
      <c r="WAH58" s="12"/>
      <c r="WAI58" s="12"/>
      <c r="WAJ58" s="12"/>
      <c r="WAK58" s="12"/>
      <c r="WAL58" s="12"/>
      <c r="WAM58" s="12"/>
      <c r="WAN58" s="12"/>
      <c r="WAO58" s="12"/>
      <c r="WAP58" s="12"/>
      <c r="WAQ58" s="12"/>
      <c r="WAR58" s="12"/>
      <c r="WAS58" s="12"/>
      <c r="WAT58" s="12"/>
      <c r="WAU58" s="12"/>
      <c r="WAV58" s="12"/>
      <c r="WAW58" s="12"/>
      <c r="WAX58" s="12"/>
      <c r="WAY58" s="12"/>
      <c r="WAZ58" s="12"/>
      <c r="WBA58" s="12"/>
      <c r="WBB58" s="12"/>
      <c r="WBC58" s="12"/>
      <c r="WBD58" s="12"/>
      <c r="WBE58" s="12"/>
      <c r="WBF58" s="12"/>
      <c r="WBG58" s="12"/>
      <c r="WBH58" s="12"/>
      <c r="WBI58" s="12"/>
      <c r="WBJ58" s="12"/>
      <c r="WBK58" s="12"/>
      <c r="WBL58" s="12"/>
      <c r="WBM58" s="12"/>
      <c r="WBN58" s="12"/>
      <c r="WBO58" s="12"/>
      <c r="WBP58" s="12"/>
      <c r="WBQ58" s="12"/>
      <c r="WBR58" s="12"/>
      <c r="WBS58" s="12"/>
      <c r="WBT58" s="12"/>
      <c r="WBU58" s="12"/>
      <c r="WBV58" s="12"/>
      <c r="WBW58" s="12"/>
      <c r="WBX58" s="12"/>
      <c r="WBY58" s="12"/>
      <c r="WBZ58" s="12"/>
      <c r="WCA58" s="12"/>
      <c r="WCB58" s="12"/>
      <c r="WCC58" s="12"/>
      <c r="WCD58" s="12"/>
      <c r="WCE58" s="12"/>
      <c r="WCF58" s="12"/>
      <c r="WCG58" s="12"/>
      <c r="WCH58" s="12"/>
      <c r="WCI58" s="12"/>
      <c r="WCJ58" s="12"/>
      <c r="WCK58" s="12"/>
      <c r="WCL58" s="12"/>
      <c r="WCM58" s="12"/>
      <c r="WCN58" s="12"/>
      <c r="WCO58" s="12"/>
      <c r="WCP58" s="12"/>
      <c r="WCQ58" s="12"/>
      <c r="WCR58" s="12"/>
      <c r="WCS58" s="12"/>
      <c r="WCT58" s="12"/>
      <c r="WCU58" s="12"/>
      <c r="WCV58" s="12"/>
      <c r="WCW58" s="12"/>
      <c r="WCX58" s="12"/>
      <c r="WCY58" s="12"/>
      <c r="WCZ58" s="12"/>
      <c r="WDA58" s="12"/>
      <c r="WDB58" s="12"/>
      <c r="WDC58" s="12"/>
      <c r="WDD58" s="12"/>
      <c r="WDE58" s="12"/>
      <c r="WDF58" s="12"/>
      <c r="WDG58" s="12"/>
      <c r="WDH58" s="12"/>
      <c r="WDI58" s="12"/>
      <c r="WDJ58" s="12"/>
      <c r="WDK58" s="12"/>
      <c r="WDL58" s="12"/>
      <c r="WDM58" s="12"/>
      <c r="WDN58" s="12"/>
      <c r="WDO58" s="12"/>
      <c r="WDP58" s="12"/>
      <c r="WDQ58" s="12"/>
      <c r="WDR58" s="12"/>
      <c r="WDS58" s="12"/>
      <c r="WDT58" s="12"/>
      <c r="WDU58" s="12"/>
      <c r="WDV58" s="12"/>
      <c r="WDW58" s="12"/>
      <c r="WDX58" s="12"/>
      <c r="WDY58" s="12"/>
      <c r="WDZ58" s="12"/>
      <c r="WEA58" s="12"/>
      <c r="WEB58" s="12"/>
      <c r="WEC58" s="12"/>
      <c r="WED58" s="12"/>
      <c r="WEE58" s="12"/>
      <c r="WEF58" s="12"/>
      <c r="WEG58" s="12"/>
      <c r="WEH58" s="12"/>
      <c r="WEI58" s="12"/>
      <c r="WEJ58" s="12"/>
      <c r="WEK58" s="12"/>
      <c r="WEL58" s="12"/>
      <c r="WEM58" s="12"/>
      <c r="WEN58" s="12"/>
      <c r="WEO58" s="12"/>
      <c r="WEP58" s="12"/>
      <c r="WEQ58" s="12"/>
      <c r="WER58" s="12"/>
      <c r="WES58" s="12"/>
      <c r="WET58" s="12"/>
      <c r="WEU58" s="12"/>
      <c r="WEV58" s="12"/>
      <c r="WEW58" s="12"/>
      <c r="WEX58" s="12"/>
      <c r="WEY58" s="12"/>
      <c r="WEZ58" s="12"/>
      <c r="WFA58" s="12"/>
      <c r="WFB58" s="12"/>
      <c r="WFC58" s="12"/>
      <c r="WFD58" s="12"/>
      <c r="WFE58" s="12"/>
      <c r="WFF58" s="12"/>
      <c r="WFG58" s="12"/>
      <c r="WFH58" s="12"/>
      <c r="WFI58" s="12"/>
      <c r="WFJ58" s="12"/>
      <c r="WFK58" s="12"/>
      <c r="WFL58" s="12"/>
      <c r="WFM58" s="12"/>
      <c r="WFN58" s="12"/>
      <c r="WFO58" s="12"/>
      <c r="WFP58" s="12"/>
      <c r="WFQ58" s="12"/>
      <c r="WFR58" s="12"/>
      <c r="WFS58" s="12"/>
      <c r="WFT58" s="12"/>
      <c r="WFU58" s="12"/>
      <c r="WFV58" s="12"/>
      <c r="WFW58" s="12"/>
      <c r="WFX58" s="12"/>
      <c r="WFY58" s="12"/>
      <c r="WFZ58" s="12"/>
      <c r="WGA58" s="12"/>
      <c r="WGB58" s="12"/>
      <c r="WGC58" s="12"/>
      <c r="WGD58" s="12"/>
      <c r="WGE58" s="12"/>
      <c r="WGF58" s="12"/>
      <c r="WGG58" s="12"/>
      <c r="WGH58" s="12"/>
      <c r="WGI58" s="12"/>
      <c r="WGJ58" s="12"/>
      <c r="WGK58" s="12"/>
      <c r="WGL58" s="12"/>
      <c r="WGM58" s="12"/>
      <c r="WGN58" s="12"/>
      <c r="WGO58" s="12"/>
      <c r="WGP58" s="12"/>
      <c r="WGQ58" s="12"/>
      <c r="WGR58" s="12"/>
      <c r="WGS58" s="12"/>
      <c r="WGT58" s="12"/>
      <c r="WGU58" s="12"/>
      <c r="WGV58" s="12"/>
      <c r="WGW58" s="12"/>
      <c r="WGX58" s="12"/>
      <c r="WGY58" s="12"/>
      <c r="WGZ58" s="12"/>
      <c r="WHA58" s="12"/>
      <c r="WHB58" s="12"/>
      <c r="WHC58" s="12"/>
      <c r="WHD58" s="12"/>
      <c r="WHE58" s="12"/>
      <c r="WHF58" s="12"/>
      <c r="WHG58" s="12"/>
      <c r="WHH58" s="12"/>
      <c r="WHI58" s="12"/>
      <c r="WHJ58" s="12"/>
      <c r="WHK58" s="12"/>
      <c r="WHL58" s="12"/>
      <c r="WHM58" s="12"/>
      <c r="WHN58" s="12"/>
      <c r="WHO58" s="12"/>
      <c r="WHP58" s="12"/>
      <c r="WHQ58" s="12"/>
      <c r="WHR58" s="12"/>
      <c r="WHS58" s="12"/>
      <c r="WHT58" s="12"/>
      <c r="WHU58" s="12"/>
      <c r="WHV58" s="12"/>
      <c r="WHW58" s="12"/>
      <c r="WHX58" s="12"/>
      <c r="WHY58" s="12"/>
      <c r="WHZ58" s="12"/>
      <c r="WIA58" s="12"/>
      <c r="WIB58" s="12"/>
      <c r="WIC58" s="12"/>
      <c r="WID58" s="12"/>
      <c r="WIE58" s="12"/>
      <c r="WIF58" s="12"/>
      <c r="WIG58" s="12"/>
      <c r="WIH58" s="12"/>
      <c r="WII58" s="12"/>
      <c r="WIJ58" s="12"/>
      <c r="WIK58" s="12"/>
      <c r="WIL58" s="12"/>
      <c r="WIM58" s="12"/>
      <c r="WIN58" s="12"/>
      <c r="WIO58" s="12"/>
      <c r="WIP58" s="12"/>
      <c r="WIQ58" s="12"/>
      <c r="WIR58" s="12"/>
      <c r="WIS58" s="12"/>
      <c r="WIT58" s="12"/>
      <c r="WIU58" s="12"/>
      <c r="WIV58" s="12"/>
      <c r="WIW58" s="12"/>
      <c r="WIX58" s="12"/>
      <c r="WIY58" s="12"/>
      <c r="WIZ58" s="12"/>
      <c r="WJA58" s="12"/>
      <c r="WJB58" s="12"/>
      <c r="WJC58" s="12"/>
      <c r="WJD58" s="12"/>
      <c r="WJE58" s="12"/>
      <c r="WJF58" s="12"/>
      <c r="WJG58" s="12"/>
      <c r="WJH58" s="12"/>
      <c r="WJI58" s="12"/>
      <c r="WJJ58" s="12"/>
      <c r="WJK58" s="12"/>
      <c r="WJL58" s="12"/>
      <c r="WJM58" s="12"/>
      <c r="WJN58" s="12"/>
      <c r="WJO58" s="12"/>
      <c r="WJP58" s="12"/>
      <c r="WJQ58" s="12"/>
      <c r="WJR58" s="12"/>
      <c r="WJS58" s="12"/>
      <c r="WJT58" s="12"/>
      <c r="WJU58" s="12"/>
      <c r="WJV58" s="12"/>
      <c r="WJW58" s="12"/>
      <c r="WJX58" s="12"/>
      <c r="WJY58" s="12"/>
      <c r="WJZ58" s="12"/>
      <c r="WKA58" s="12"/>
      <c r="WKB58" s="12"/>
      <c r="WKC58" s="12"/>
      <c r="WKD58" s="12"/>
      <c r="WKE58" s="12"/>
      <c r="WKF58" s="12"/>
      <c r="WKG58" s="12"/>
      <c r="WKH58" s="12"/>
      <c r="WKI58" s="12"/>
      <c r="WKJ58" s="12"/>
      <c r="WKK58" s="12"/>
      <c r="WKL58" s="12"/>
      <c r="WKM58" s="12"/>
      <c r="WKN58" s="12"/>
      <c r="WKO58" s="12"/>
      <c r="WKP58" s="12"/>
      <c r="WKQ58" s="12"/>
      <c r="WKR58" s="12"/>
      <c r="WKS58" s="12"/>
      <c r="WKT58" s="12"/>
      <c r="WKU58" s="12"/>
      <c r="WKV58" s="12"/>
      <c r="WKW58" s="12"/>
      <c r="WKX58" s="12"/>
      <c r="WKY58" s="12"/>
      <c r="WKZ58" s="12"/>
      <c r="WLA58" s="12"/>
      <c r="WLB58" s="12"/>
      <c r="WLC58" s="12"/>
      <c r="WLD58" s="12"/>
      <c r="WLE58" s="12"/>
      <c r="WLF58" s="12"/>
      <c r="WLG58" s="12"/>
      <c r="WLH58" s="12"/>
      <c r="WLI58" s="12"/>
      <c r="WLJ58" s="12"/>
      <c r="WLK58" s="12"/>
      <c r="WLL58" s="12"/>
      <c r="WLM58" s="12"/>
      <c r="WLN58" s="12"/>
      <c r="WLO58" s="12"/>
      <c r="WLP58" s="12"/>
      <c r="WLQ58" s="12"/>
      <c r="WLR58" s="12"/>
      <c r="WLS58" s="12"/>
      <c r="WLT58" s="12"/>
      <c r="WLU58" s="12"/>
      <c r="WLV58" s="12"/>
      <c r="WLW58" s="12"/>
      <c r="WLX58" s="12"/>
      <c r="WLY58" s="12"/>
      <c r="WLZ58" s="12"/>
      <c r="WMA58" s="12"/>
      <c r="WMB58" s="12"/>
      <c r="WMC58" s="12"/>
      <c r="WMD58" s="12"/>
      <c r="WME58" s="12"/>
      <c r="WMF58" s="12"/>
      <c r="WMG58" s="12"/>
      <c r="WMH58" s="12"/>
      <c r="WMI58" s="12"/>
      <c r="WMJ58" s="12"/>
      <c r="WMK58" s="12"/>
      <c r="WML58" s="12"/>
      <c r="WMM58" s="12"/>
      <c r="WMN58" s="12"/>
      <c r="WMO58" s="12"/>
      <c r="WMP58" s="12"/>
      <c r="WMQ58" s="12"/>
      <c r="WMR58" s="12"/>
      <c r="WMS58" s="12"/>
      <c r="WMT58" s="12"/>
      <c r="WMU58" s="12"/>
      <c r="WMV58" s="12"/>
      <c r="WMW58" s="12"/>
      <c r="WMX58" s="12"/>
      <c r="WMY58" s="12"/>
      <c r="WMZ58" s="12"/>
      <c r="WNA58" s="12"/>
      <c r="WNB58" s="12"/>
      <c r="WNC58" s="12"/>
      <c r="WND58" s="12"/>
      <c r="WNE58" s="12"/>
      <c r="WNF58" s="12"/>
      <c r="WNG58" s="12"/>
      <c r="WNH58" s="12"/>
      <c r="WNI58" s="12"/>
      <c r="WNJ58" s="12"/>
      <c r="WNK58" s="12"/>
      <c r="WNL58" s="12"/>
      <c r="WNM58" s="12"/>
      <c r="WNN58" s="12"/>
      <c r="WNO58" s="12"/>
      <c r="WNP58" s="12"/>
      <c r="WNQ58" s="12"/>
      <c r="WNR58" s="12"/>
      <c r="WNS58" s="12"/>
      <c r="WNT58" s="12"/>
      <c r="WNU58" s="12"/>
      <c r="WNV58" s="12"/>
      <c r="WNW58" s="12"/>
      <c r="WNX58" s="12"/>
      <c r="WNY58" s="12"/>
      <c r="WNZ58" s="12"/>
      <c r="WOA58" s="12"/>
      <c r="WOB58" s="12"/>
      <c r="WOC58" s="12"/>
      <c r="WOD58" s="12"/>
      <c r="WOE58" s="12"/>
      <c r="WOF58" s="12"/>
      <c r="WOG58" s="12"/>
      <c r="WOH58" s="12"/>
      <c r="WOI58" s="12"/>
      <c r="WOJ58" s="12"/>
      <c r="WOK58" s="12"/>
      <c r="WOL58" s="12"/>
      <c r="WOM58" s="12"/>
      <c r="WON58" s="12"/>
      <c r="WOO58" s="12"/>
      <c r="WOP58" s="12"/>
      <c r="WOQ58" s="12"/>
      <c r="WOR58" s="12"/>
      <c r="WOS58" s="12"/>
      <c r="WOT58" s="12"/>
      <c r="WOU58" s="12"/>
      <c r="WOV58" s="12"/>
      <c r="WOW58" s="12"/>
      <c r="WOX58" s="12"/>
      <c r="WOY58" s="12"/>
      <c r="WOZ58" s="12"/>
      <c r="WPA58" s="12"/>
      <c r="WPB58" s="12"/>
      <c r="WPC58" s="12"/>
      <c r="WPD58" s="12"/>
      <c r="WPE58" s="12"/>
      <c r="WPF58" s="12"/>
      <c r="WPG58" s="12"/>
      <c r="WPH58" s="12"/>
      <c r="WPI58" s="12"/>
      <c r="WPJ58" s="12"/>
      <c r="WPK58" s="12"/>
      <c r="WPL58" s="12"/>
      <c r="WPM58" s="12"/>
      <c r="WPN58" s="12"/>
      <c r="WPO58" s="12"/>
      <c r="WPP58" s="12"/>
      <c r="WPQ58" s="12"/>
      <c r="WPR58" s="12"/>
      <c r="WPS58" s="12"/>
      <c r="WPT58" s="12"/>
      <c r="WPU58" s="12"/>
      <c r="WPV58" s="12"/>
      <c r="WPW58" s="12"/>
      <c r="WPX58" s="12"/>
      <c r="WPY58" s="12"/>
      <c r="WPZ58" s="12"/>
      <c r="WQA58" s="12"/>
      <c r="WQB58" s="12"/>
      <c r="WQC58" s="12"/>
      <c r="WQD58" s="12"/>
      <c r="WQE58" s="12"/>
      <c r="WQF58" s="12"/>
      <c r="WQG58" s="12"/>
      <c r="WQH58" s="12"/>
      <c r="WQI58" s="12"/>
      <c r="WQJ58" s="12"/>
      <c r="WQK58" s="12"/>
      <c r="WQL58" s="12"/>
      <c r="WQM58" s="12"/>
      <c r="WQN58" s="12"/>
      <c r="WQO58" s="12"/>
      <c r="WQP58" s="12"/>
      <c r="WQQ58" s="12"/>
      <c r="WQR58" s="12"/>
      <c r="WQS58" s="12"/>
      <c r="WQT58" s="12"/>
      <c r="WQU58" s="12"/>
      <c r="WQV58" s="12"/>
      <c r="WQW58" s="12"/>
      <c r="WQX58" s="12"/>
      <c r="WQY58" s="12"/>
      <c r="WQZ58" s="12"/>
      <c r="WRA58" s="12"/>
      <c r="WRB58" s="12"/>
      <c r="WRC58" s="12"/>
      <c r="WRD58" s="12"/>
      <c r="WRE58" s="12"/>
      <c r="WRF58" s="12"/>
      <c r="WRG58" s="12"/>
      <c r="WRH58" s="12"/>
      <c r="WRI58" s="12"/>
      <c r="WRJ58" s="12"/>
      <c r="WRK58" s="12"/>
      <c r="WRL58" s="12"/>
      <c r="WRM58" s="12"/>
      <c r="WRN58" s="12"/>
      <c r="WRO58" s="12"/>
      <c r="WRP58" s="12"/>
      <c r="WRQ58" s="12"/>
      <c r="WRR58" s="12"/>
      <c r="WRS58" s="12"/>
      <c r="WRT58" s="12"/>
      <c r="WRU58" s="12"/>
      <c r="WRV58" s="12"/>
      <c r="WRW58" s="12"/>
      <c r="WRX58" s="12"/>
      <c r="WRY58" s="12"/>
      <c r="WRZ58" s="12"/>
      <c r="WSA58" s="12"/>
      <c r="WSB58" s="12"/>
      <c r="WSC58" s="12"/>
      <c r="WSD58" s="12"/>
      <c r="WSE58" s="12"/>
      <c r="WSF58" s="12"/>
      <c r="WSG58" s="12"/>
      <c r="WSH58" s="12"/>
      <c r="WSI58" s="12"/>
      <c r="WSJ58" s="12"/>
      <c r="WSK58" s="12"/>
      <c r="WSL58" s="12"/>
      <c r="WSM58" s="12"/>
      <c r="WSN58" s="12"/>
      <c r="WSO58" s="12"/>
      <c r="WSP58" s="12"/>
      <c r="WSQ58" s="12"/>
      <c r="WSR58" s="12"/>
      <c r="WSS58" s="12"/>
      <c r="WST58" s="12"/>
      <c r="WSU58" s="12"/>
      <c r="WSV58" s="12"/>
      <c r="WSW58" s="12"/>
      <c r="WSX58" s="12"/>
      <c r="WSY58" s="12"/>
      <c r="WSZ58" s="12"/>
      <c r="WTA58" s="12"/>
      <c r="WTB58" s="12"/>
      <c r="WTC58" s="12"/>
      <c r="WTD58" s="12"/>
      <c r="WTE58" s="12"/>
      <c r="WTF58" s="12"/>
      <c r="WTG58" s="12"/>
      <c r="WTH58" s="12"/>
      <c r="WTI58" s="12"/>
      <c r="WTJ58" s="12"/>
      <c r="WTK58" s="12"/>
      <c r="WTL58" s="12"/>
      <c r="WTM58" s="12"/>
      <c r="WTN58" s="12"/>
      <c r="WTO58" s="12"/>
      <c r="WTP58" s="12"/>
      <c r="WTQ58" s="12"/>
      <c r="WTR58" s="12"/>
      <c r="WTS58" s="12"/>
      <c r="WTT58" s="12"/>
      <c r="WTU58" s="12"/>
      <c r="WTV58" s="12"/>
      <c r="WTW58" s="12"/>
      <c r="WTX58" s="12"/>
      <c r="WTY58" s="12"/>
      <c r="WTZ58" s="12"/>
      <c r="WUA58" s="12"/>
      <c r="WUB58" s="12"/>
      <c r="WUC58" s="12"/>
      <c r="WUD58" s="12"/>
      <c r="WUE58" s="12"/>
      <c r="WUF58" s="12"/>
      <c r="WUG58" s="12"/>
      <c r="WUH58" s="12"/>
      <c r="WUI58" s="12"/>
      <c r="WUJ58" s="12"/>
      <c r="WUK58" s="12"/>
      <c r="WUL58" s="12"/>
      <c r="WUM58" s="12"/>
      <c r="WUN58" s="12"/>
      <c r="WUO58" s="12"/>
      <c r="WUP58" s="12"/>
      <c r="WUQ58" s="12"/>
      <c r="WUR58" s="12"/>
      <c r="WUS58" s="12"/>
      <c r="WUT58" s="12"/>
      <c r="WUU58" s="12"/>
      <c r="WUV58" s="12"/>
      <c r="WUW58" s="12"/>
      <c r="WUX58" s="12"/>
      <c r="WUY58" s="12"/>
      <c r="WUZ58" s="12"/>
      <c r="WVA58" s="12"/>
      <c r="WVB58" s="12"/>
      <c r="WVC58" s="12"/>
      <c r="WVD58" s="12"/>
      <c r="WVE58" s="12"/>
      <c r="WVF58" s="12"/>
      <c r="WVG58" s="12"/>
      <c r="WVH58" s="12"/>
      <c r="WVI58" s="12"/>
      <c r="WVJ58" s="12"/>
      <c r="WVK58" s="12"/>
      <c r="WVL58" s="12"/>
      <c r="WVM58" s="12"/>
      <c r="WVN58" s="12"/>
      <c r="WVO58" s="12"/>
      <c r="WVP58" s="12"/>
      <c r="WVQ58" s="12"/>
      <c r="WVR58" s="12"/>
      <c r="WVS58" s="12"/>
      <c r="WVT58" s="12"/>
      <c r="WVU58" s="12"/>
      <c r="WVV58" s="12"/>
      <c r="WVW58" s="12"/>
      <c r="WVX58" s="12"/>
      <c r="WVY58" s="12"/>
      <c r="WVZ58" s="12"/>
      <c r="WWA58" s="12"/>
      <c r="WWB58" s="12"/>
      <c r="WWC58" s="12"/>
      <c r="WWD58" s="12"/>
      <c r="WWE58" s="12"/>
      <c r="WWF58" s="12"/>
      <c r="WWG58" s="12"/>
      <c r="WWH58" s="12"/>
      <c r="WWI58" s="12"/>
      <c r="WWJ58" s="12"/>
      <c r="WWK58" s="12"/>
      <c r="WWL58" s="12"/>
      <c r="WWM58" s="12"/>
      <c r="WWN58" s="12"/>
      <c r="WWO58" s="12"/>
      <c r="WWP58" s="12"/>
      <c r="WWQ58" s="12"/>
      <c r="WWR58" s="12"/>
      <c r="WWS58" s="12"/>
      <c r="WWT58" s="12"/>
      <c r="WWU58" s="12"/>
      <c r="WWV58" s="12"/>
      <c r="WWW58" s="12"/>
      <c r="WWX58" s="12"/>
      <c r="WWY58" s="12"/>
      <c r="WWZ58" s="12"/>
      <c r="WXA58" s="12"/>
      <c r="WXB58" s="12"/>
      <c r="WXC58" s="12"/>
      <c r="WXD58" s="12"/>
      <c r="WXE58" s="12"/>
      <c r="WXF58" s="12"/>
      <c r="WXG58" s="12"/>
      <c r="WXH58" s="12"/>
      <c r="WXI58" s="12"/>
      <c r="WXJ58" s="12"/>
      <c r="WXK58" s="12"/>
      <c r="WXL58" s="12"/>
      <c r="WXM58" s="12"/>
      <c r="WXN58" s="12"/>
      <c r="WXO58" s="12"/>
      <c r="WXP58" s="12"/>
      <c r="WXQ58" s="12"/>
      <c r="WXR58" s="12"/>
      <c r="WXS58" s="12"/>
      <c r="WXT58" s="12"/>
      <c r="WXU58" s="12"/>
      <c r="WXV58" s="12"/>
      <c r="WXW58" s="12"/>
      <c r="WXX58" s="12"/>
      <c r="WXY58" s="12"/>
      <c r="WXZ58" s="12"/>
      <c r="WYA58" s="12"/>
      <c r="WYB58" s="12"/>
      <c r="WYC58" s="12"/>
      <c r="WYD58" s="12"/>
      <c r="WYE58" s="12"/>
      <c r="WYF58" s="12"/>
      <c r="WYG58" s="12"/>
      <c r="WYH58" s="12"/>
      <c r="WYI58" s="12"/>
      <c r="WYJ58" s="12"/>
      <c r="WYK58" s="12"/>
      <c r="WYL58" s="12"/>
      <c r="WYM58" s="12"/>
      <c r="WYN58" s="12"/>
      <c r="WYO58" s="12"/>
      <c r="WYP58" s="12"/>
      <c r="WYQ58" s="12"/>
      <c r="WYR58" s="12"/>
      <c r="WYS58" s="12"/>
      <c r="WYT58" s="12"/>
      <c r="WYU58" s="12"/>
      <c r="WYV58" s="12"/>
      <c r="WYW58" s="12"/>
      <c r="WYX58" s="12"/>
      <c r="WYY58" s="12"/>
      <c r="WYZ58" s="12"/>
      <c r="WZA58" s="12"/>
      <c r="WZB58" s="12"/>
      <c r="WZC58" s="12"/>
      <c r="WZD58" s="12"/>
      <c r="WZE58" s="12"/>
      <c r="WZF58" s="12"/>
      <c r="WZG58" s="12"/>
      <c r="WZH58" s="12"/>
      <c r="WZI58" s="12"/>
      <c r="WZJ58" s="12"/>
      <c r="WZK58" s="12"/>
      <c r="WZL58" s="12"/>
      <c r="WZM58" s="12"/>
      <c r="WZN58" s="12"/>
      <c r="WZO58" s="12"/>
      <c r="WZP58" s="12"/>
      <c r="WZQ58" s="12"/>
      <c r="WZR58" s="12"/>
      <c r="WZS58" s="12"/>
      <c r="WZT58" s="12"/>
      <c r="WZU58" s="12"/>
      <c r="WZV58" s="12"/>
      <c r="WZW58" s="12"/>
      <c r="WZX58" s="12"/>
      <c r="WZY58" s="12"/>
      <c r="WZZ58" s="12"/>
      <c r="XAA58" s="12"/>
      <c r="XAB58" s="12"/>
      <c r="XAC58" s="12"/>
      <c r="XAD58" s="12"/>
      <c r="XAE58" s="12"/>
      <c r="XAF58" s="12"/>
      <c r="XAG58" s="12"/>
      <c r="XAH58" s="12"/>
      <c r="XAI58" s="12"/>
      <c r="XAJ58" s="12"/>
      <c r="XAK58" s="12"/>
      <c r="XAL58" s="12"/>
      <c r="XAM58" s="12"/>
      <c r="XAN58" s="12"/>
      <c r="XAO58" s="12"/>
      <c r="XAP58" s="12"/>
      <c r="XAQ58" s="12"/>
      <c r="XAR58" s="12"/>
      <c r="XAS58" s="12"/>
      <c r="XAT58" s="12"/>
      <c r="XAU58" s="12"/>
      <c r="XAV58" s="12"/>
      <c r="XAW58" s="12"/>
      <c r="XAX58" s="12"/>
      <c r="XAY58" s="12"/>
      <c r="XAZ58" s="12"/>
      <c r="XBA58" s="12"/>
      <c r="XBB58" s="12"/>
      <c r="XBC58" s="12"/>
      <c r="XBD58" s="12"/>
      <c r="XBE58" s="12"/>
      <c r="XBF58" s="12"/>
      <c r="XBG58" s="12"/>
      <c r="XBH58" s="12"/>
      <c r="XBI58" s="12"/>
      <c r="XBJ58" s="12"/>
      <c r="XBK58" s="12"/>
      <c r="XBL58" s="12"/>
      <c r="XBM58" s="12"/>
      <c r="XBN58" s="12"/>
      <c r="XBO58" s="12"/>
      <c r="XBP58" s="12"/>
      <c r="XBQ58" s="12"/>
      <c r="XBR58" s="12"/>
      <c r="XBS58" s="12"/>
      <c r="XBT58" s="12"/>
      <c r="XBU58" s="12"/>
      <c r="XBV58" s="12"/>
      <c r="XBW58" s="12"/>
      <c r="XBX58" s="12"/>
      <c r="XBY58" s="12"/>
      <c r="XBZ58" s="12"/>
      <c r="XCA58" s="12"/>
      <c r="XCB58" s="12"/>
      <c r="XCC58" s="12"/>
      <c r="XCD58" s="12"/>
      <c r="XCE58" s="12"/>
      <c r="XCF58" s="12"/>
      <c r="XCG58" s="12"/>
      <c r="XCH58" s="12"/>
    </row>
    <row r="59" spans="1:16310" s="115" customFormat="1" ht="10.199999999999999" x14ac:dyDescent="0.2">
      <c r="A59" s="122">
        <v>1</v>
      </c>
      <c r="C59" s="123"/>
      <c r="D59" s="116" t="str">
        <f>IF(ISERROR(VLOOKUP('Оценка трудоемкости'!$C59,Справочники!S:V,3,0))=TRUE,"",VLOOKUP('Оценка трудоемкости'!$C59,Справочники!S:V,3,0))</f>
        <v/>
      </c>
      <c r="E59" s="116">
        <f>IF(ISERROR(VLOOKUP('Оценка трудоемкости'!$C59,Справочники!S:V,4,0))=TRUE,0,VLOOKUP('Оценка трудоемкости'!$C59,Справочники!S:V,4,0))</f>
        <v>0</v>
      </c>
      <c r="F59" s="127"/>
      <c r="G59" s="116">
        <f t="shared" si="207"/>
        <v>0</v>
      </c>
      <c r="H59" s="12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16">
        <f t="shared" si="208"/>
        <v>0</v>
      </c>
      <c r="V59" s="12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  <c r="AH59" s="124"/>
      <c r="AI59" s="116">
        <f t="shared" si="209"/>
        <v>0</v>
      </c>
      <c r="AJ59" s="12"/>
      <c r="AK59" s="124"/>
      <c r="AL59" s="124"/>
      <c r="AM59" s="124"/>
      <c r="AN59" s="124"/>
      <c r="AO59" s="124"/>
      <c r="AP59" s="124"/>
      <c r="AQ59" s="124"/>
      <c r="AR59" s="124"/>
      <c r="AS59" s="124"/>
      <c r="AT59" s="124"/>
      <c r="AU59" s="124"/>
      <c r="AV59" s="124"/>
      <c r="AW59" s="116">
        <f t="shared" si="210"/>
        <v>0</v>
      </c>
      <c r="AX59" s="12"/>
      <c r="AY59" s="124"/>
      <c r="AZ59" s="124"/>
      <c r="BA59" s="124"/>
      <c r="BB59" s="124"/>
      <c r="BC59" s="124"/>
      <c r="BD59" s="124"/>
      <c r="BE59" s="124"/>
      <c r="BF59" s="124"/>
      <c r="BG59" s="124"/>
      <c r="BH59" s="124"/>
      <c r="BI59" s="124"/>
      <c r="BJ59" s="124"/>
      <c r="BK59" s="116">
        <f t="shared" si="211"/>
        <v>0</v>
      </c>
      <c r="BL59" s="12"/>
      <c r="BM59" s="124"/>
      <c r="BN59" s="124"/>
      <c r="BO59" s="124"/>
      <c r="BP59" s="124"/>
      <c r="BQ59" s="124"/>
      <c r="BR59" s="124"/>
      <c r="BS59" s="124"/>
      <c r="BT59" s="124"/>
      <c r="BU59" s="124"/>
      <c r="BV59" s="124"/>
      <c r="BW59" s="124"/>
      <c r="BX59" s="124"/>
      <c r="BY59" s="116">
        <f t="shared" si="212"/>
        <v>0</v>
      </c>
      <c r="BZ59" s="12"/>
      <c r="CA59" s="116">
        <f t="shared" si="213"/>
        <v>0</v>
      </c>
      <c r="CB59" s="12"/>
      <c r="CC59" s="118">
        <f t="shared" si="147"/>
        <v>0</v>
      </c>
      <c r="CD59" s="118">
        <f t="shared" si="148"/>
        <v>0</v>
      </c>
      <c r="CE59" s="118">
        <f t="shared" si="149"/>
        <v>0</v>
      </c>
      <c r="CF59" s="118">
        <f t="shared" si="150"/>
        <v>0</v>
      </c>
      <c r="CG59" s="118">
        <f t="shared" si="151"/>
        <v>0</v>
      </c>
      <c r="CH59" s="118">
        <f t="shared" si="152"/>
        <v>0</v>
      </c>
      <c r="CI59" s="118">
        <f t="shared" si="153"/>
        <v>0</v>
      </c>
      <c r="CJ59" s="118">
        <f t="shared" si="154"/>
        <v>0</v>
      </c>
      <c r="CK59" s="118">
        <f t="shared" si="155"/>
        <v>0</v>
      </c>
      <c r="CL59" s="118">
        <f t="shared" si="156"/>
        <v>0</v>
      </c>
      <c r="CM59" s="118">
        <f t="shared" si="157"/>
        <v>0</v>
      </c>
      <c r="CN59" s="118">
        <f t="shared" si="158"/>
        <v>0</v>
      </c>
      <c r="CO59" s="41">
        <f t="shared" si="219"/>
        <v>0</v>
      </c>
      <c r="CP59" s="12"/>
      <c r="CQ59" s="118">
        <f t="shared" si="159"/>
        <v>0</v>
      </c>
      <c r="CR59" s="118">
        <f t="shared" si="160"/>
        <v>0</v>
      </c>
      <c r="CS59" s="118">
        <f t="shared" si="161"/>
        <v>0</v>
      </c>
      <c r="CT59" s="118">
        <f t="shared" si="162"/>
        <v>0</v>
      </c>
      <c r="CU59" s="118">
        <f t="shared" si="163"/>
        <v>0</v>
      </c>
      <c r="CV59" s="118">
        <f t="shared" si="164"/>
        <v>0</v>
      </c>
      <c r="CW59" s="118">
        <f t="shared" si="165"/>
        <v>0</v>
      </c>
      <c r="CX59" s="118">
        <f t="shared" si="166"/>
        <v>0</v>
      </c>
      <c r="CY59" s="118">
        <f t="shared" si="167"/>
        <v>0</v>
      </c>
      <c r="CZ59" s="118">
        <f t="shared" si="168"/>
        <v>0</v>
      </c>
      <c r="DA59" s="118">
        <f t="shared" si="169"/>
        <v>0</v>
      </c>
      <c r="DB59" s="118">
        <f t="shared" si="170"/>
        <v>0</v>
      </c>
      <c r="DC59" s="41">
        <f t="shared" si="220"/>
        <v>0</v>
      </c>
      <c r="DD59" s="12"/>
      <c r="DE59" s="118">
        <f t="shared" si="171"/>
        <v>0</v>
      </c>
      <c r="DF59" s="118">
        <f t="shared" si="172"/>
        <v>0</v>
      </c>
      <c r="DG59" s="118">
        <f t="shared" si="173"/>
        <v>0</v>
      </c>
      <c r="DH59" s="118">
        <f t="shared" si="174"/>
        <v>0</v>
      </c>
      <c r="DI59" s="118">
        <f t="shared" si="175"/>
        <v>0</v>
      </c>
      <c r="DJ59" s="118">
        <f t="shared" si="176"/>
        <v>0</v>
      </c>
      <c r="DK59" s="118">
        <f t="shared" si="177"/>
        <v>0</v>
      </c>
      <c r="DL59" s="118">
        <f t="shared" si="178"/>
        <v>0</v>
      </c>
      <c r="DM59" s="118">
        <f t="shared" si="179"/>
        <v>0</v>
      </c>
      <c r="DN59" s="118">
        <f t="shared" si="180"/>
        <v>0</v>
      </c>
      <c r="DO59" s="118">
        <f t="shared" si="181"/>
        <v>0</v>
      </c>
      <c r="DP59" s="118">
        <f t="shared" si="182"/>
        <v>0</v>
      </c>
      <c r="DQ59" s="41">
        <f t="shared" si="221"/>
        <v>0</v>
      </c>
      <c r="DR59" s="12"/>
      <c r="DS59" s="118">
        <f t="shared" si="183"/>
        <v>0</v>
      </c>
      <c r="DT59" s="118">
        <f t="shared" si="184"/>
        <v>0</v>
      </c>
      <c r="DU59" s="118">
        <f t="shared" si="185"/>
        <v>0</v>
      </c>
      <c r="DV59" s="118">
        <f t="shared" si="186"/>
        <v>0</v>
      </c>
      <c r="DW59" s="118">
        <f t="shared" si="187"/>
        <v>0</v>
      </c>
      <c r="DX59" s="118">
        <f t="shared" si="188"/>
        <v>0</v>
      </c>
      <c r="DY59" s="118">
        <f t="shared" si="189"/>
        <v>0</v>
      </c>
      <c r="DZ59" s="118">
        <f t="shared" si="190"/>
        <v>0</v>
      </c>
      <c r="EA59" s="118">
        <f t="shared" si="191"/>
        <v>0</v>
      </c>
      <c r="EB59" s="118">
        <f t="shared" si="192"/>
        <v>0</v>
      </c>
      <c r="EC59" s="118">
        <f t="shared" si="193"/>
        <v>0</v>
      </c>
      <c r="ED59" s="118">
        <f t="shared" si="194"/>
        <v>0</v>
      </c>
      <c r="EE59" s="41">
        <f t="shared" si="222"/>
        <v>0</v>
      </c>
      <c r="EF59" s="12"/>
      <c r="EG59" s="118">
        <f t="shared" si="195"/>
        <v>0</v>
      </c>
      <c r="EH59" s="118">
        <f t="shared" si="196"/>
        <v>0</v>
      </c>
      <c r="EI59" s="118">
        <f t="shared" si="197"/>
        <v>0</v>
      </c>
      <c r="EJ59" s="118">
        <f t="shared" si="198"/>
        <v>0</v>
      </c>
      <c r="EK59" s="118">
        <f t="shared" si="199"/>
        <v>0</v>
      </c>
      <c r="EL59" s="118">
        <f t="shared" si="200"/>
        <v>0</v>
      </c>
      <c r="EM59" s="118">
        <f t="shared" si="201"/>
        <v>0</v>
      </c>
      <c r="EN59" s="118">
        <f t="shared" si="202"/>
        <v>0</v>
      </c>
      <c r="EO59" s="118">
        <f t="shared" si="203"/>
        <v>0</v>
      </c>
      <c r="EP59" s="118">
        <f t="shared" si="204"/>
        <v>0</v>
      </c>
      <c r="EQ59" s="118">
        <f t="shared" si="205"/>
        <v>0</v>
      </c>
      <c r="ER59" s="118">
        <f t="shared" si="206"/>
        <v>0</v>
      </c>
      <c r="ES59" s="41">
        <f t="shared" si="223"/>
        <v>0</v>
      </c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12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12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12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12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/>
      <c r="JB59" s="12"/>
      <c r="JC59" s="12"/>
      <c r="JD59" s="12"/>
      <c r="JE59" s="12"/>
      <c r="JF59" s="12"/>
      <c r="JG59" s="12"/>
      <c r="JH59" s="12"/>
      <c r="JI59" s="12"/>
      <c r="JJ59" s="12"/>
      <c r="JK59" s="12"/>
      <c r="JL59" s="12"/>
      <c r="JM59" s="12"/>
      <c r="JN59" s="12"/>
      <c r="JO59" s="12"/>
      <c r="JP59" s="12"/>
      <c r="JQ59" s="12"/>
      <c r="JR59" s="12"/>
      <c r="JS59" s="12"/>
      <c r="JT59" s="12"/>
      <c r="JU59" s="12"/>
      <c r="JV59" s="12"/>
      <c r="JW59" s="12"/>
      <c r="JX59" s="12"/>
      <c r="JY59" s="12"/>
      <c r="JZ59" s="12"/>
      <c r="KA59" s="12"/>
      <c r="KB59" s="12"/>
      <c r="KC59" s="12"/>
      <c r="KD59" s="12"/>
      <c r="KE59" s="12"/>
      <c r="KF59" s="12"/>
      <c r="KG59" s="12"/>
      <c r="KH59" s="12"/>
      <c r="KI59" s="12"/>
      <c r="KJ59" s="12"/>
      <c r="KK59" s="12"/>
      <c r="KL59" s="12"/>
      <c r="KM59" s="12"/>
      <c r="KN59" s="12"/>
      <c r="KO59" s="12"/>
      <c r="KP59" s="12"/>
      <c r="KQ59" s="12"/>
      <c r="KR59" s="12"/>
      <c r="KS59" s="12"/>
      <c r="KT59" s="12"/>
      <c r="KU59" s="12"/>
      <c r="KV59" s="12"/>
      <c r="KW59" s="12"/>
      <c r="KX59" s="12"/>
      <c r="KY59" s="12"/>
      <c r="KZ59" s="12"/>
      <c r="LA59" s="12"/>
      <c r="LB59" s="12"/>
      <c r="LC59" s="12"/>
      <c r="LD59" s="12"/>
      <c r="LE59" s="12"/>
      <c r="LF59" s="12"/>
      <c r="LG59" s="12"/>
      <c r="LH59" s="12"/>
      <c r="LI59" s="12"/>
      <c r="LJ59" s="12"/>
      <c r="LK59" s="12"/>
      <c r="LL59" s="12"/>
      <c r="LM59" s="12"/>
      <c r="LN59" s="12"/>
      <c r="LO59" s="12"/>
      <c r="LP59" s="12"/>
      <c r="LQ59" s="12"/>
      <c r="LR59" s="12"/>
      <c r="LS59" s="12"/>
      <c r="LT59" s="12"/>
      <c r="LU59" s="12"/>
      <c r="LV59" s="12"/>
      <c r="LW59" s="12"/>
      <c r="LX59" s="12"/>
      <c r="LY59" s="12"/>
      <c r="LZ59" s="12"/>
      <c r="MA59" s="12"/>
      <c r="MB59" s="12"/>
      <c r="MC59" s="12"/>
      <c r="MD59" s="12"/>
      <c r="ME59" s="12"/>
      <c r="MF59" s="12"/>
      <c r="MG59" s="12"/>
      <c r="MH59" s="12"/>
      <c r="MI59" s="12"/>
      <c r="MJ59" s="12"/>
      <c r="MK59" s="12"/>
      <c r="ML59" s="12"/>
      <c r="MM59" s="12"/>
      <c r="MN59" s="12"/>
      <c r="MO59" s="12"/>
      <c r="MP59" s="12"/>
      <c r="MQ59" s="12"/>
      <c r="MR59" s="12"/>
      <c r="MS59" s="12"/>
      <c r="MT59" s="12"/>
      <c r="MU59" s="12"/>
      <c r="MV59" s="12"/>
      <c r="MW59" s="12"/>
      <c r="MX59" s="12"/>
      <c r="MY59" s="12"/>
      <c r="MZ59" s="12"/>
      <c r="NA59" s="12"/>
      <c r="NB59" s="12"/>
      <c r="NC59" s="12"/>
      <c r="ND59" s="12"/>
      <c r="NE59" s="12"/>
      <c r="NF59" s="12"/>
      <c r="NG59" s="12"/>
      <c r="NH59" s="12"/>
      <c r="NI59" s="12"/>
      <c r="NJ59" s="12"/>
      <c r="NK59" s="12"/>
      <c r="NL59" s="12"/>
      <c r="NM59" s="12"/>
      <c r="NN59" s="12"/>
      <c r="NO59" s="12"/>
      <c r="NP59" s="12"/>
      <c r="NQ59" s="12"/>
      <c r="NR59" s="12"/>
      <c r="NS59" s="12"/>
      <c r="NT59" s="12"/>
      <c r="NU59" s="12"/>
      <c r="NV59" s="12"/>
      <c r="NW59" s="12"/>
      <c r="NX59" s="12"/>
      <c r="NY59" s="12"/>
      <c r="NZ59" s="12"/>
      <c r="OA59" s="12"/>
      <c r="OB59" s="12"/>
      <c r="OC59" s="12"/>
      <c r="OD59" s="12"/>
      <c r="OE59" s="12"/>
      <c r="OF59" s="12"/>
      <c r="OG59" s="12"/>
      <c r="OH59" s="12"/>
      <c r="OI59" s="12"/>
      <c r="OJ59" s="12"/>
      <c r="OK59" s="12"/>
      <c r="OL59" s="12"/>
      <c r="OM59" s="12"/>
      <c r="ON59" s="12"/>
      <c r="OO59" s="12"/>
      <c r="OP59" s="12"/>
      <c r="OQ59" s="12"/>
      <c r="OR59" s="12"/>
      <c r="OS59" s="12"/>
      <c r="OT59" s="12"/>
      <c r="OU59" s="12"/>
      <c r="OV59" s="12"/>
      <c r="OW59" s="12"/>
      <c r="OX59" s="12"/>
      <c r="OY59" s="12"/>
      <c r="OZ59" s="12"/>
      <c r="PA59" s="12"/>
      <c r="PB59" s="12"/>
      <c r="PC59" s="12"/>
      <c r="PD59" s="12"/>
      <c r="PE59" s="12"/>
      <c r="PF59" s="12"/>
      <c r="PG59" s="12"/>
      <c r="PH59" s="12"/>
      <c r="PI59" s="12"/>
      <c r="PJ59" s="12"/>
      <c r="PK59" s="12"/>
      <c r="PL59" s="12"/>
      <c r="PM59" s="12"/>
      <c r="PN59" s="12"/>
      <c r="PO59" s="12"/>
      <c r="PP59" s="12"/>
      <c r="PQ59" s="12"/>
      <c r="PR59" s="12"/>
      <c r="PS59" s="12"/>
      <c r="PT59" s="12"/>
      <c r="PU59" s="12"/>
      <c r="PV59" s="12"/>
      <c r="PW59" s="12"/>
      <c r="PX59" s="12"/>
      <c r="PY59" s="12"/>
      <c r="PZ59" s="12"/>
      <c r="QA59" s="12"/>
      <c r="QB59" s="12"/>
      <c r="QC59" s="12"/>
      <c r="QD59" s="12"/>
      <c r="QE59" s="12"/>
      <c r="QF59" s="12"/>
      <c r="QG59" s="12"/>
      <c r="QH59" s="12"/>
      <c r="QI59" s="12"/>
      <c r="QJ59" s="12"/>
      <c r="QK59" s="12"/>
      <c r="QL59" s="12"/>
      <c r="QM59" s="12"/>
      <c r="QN59" s="12"/>
      <c r="QO59" s="12"/>
      <c r="QP59" s="12"/>
      <c r="QQ59" s="12"/>
      <c r="QR59" s="12"/>
      <c r="QS59" s="12"/>
      <c r="QT59" s="12"/>
      <c r="QU59" s="12"/>
      <c r="QV59" s="12"/>
      <c r="QW59" s="12"/>
      <c r="QX59" s="12"/>
      <c r="QY59" s="12"/>
      <c r="QZ59" s="12"/>
      <c r="RA59" s="12"/>
      <c r="RB59" s="12"/>
      <c r="RC59" s="12"/>
      <c r="RD59" s="12"/>
      <c r="RE59" s="12"/>
      <c r="RF59" s="12"/>
      <c r="RG59" s="12"/>
      <c r="RH59" s="12"/>
      <c r="RI59" s="12"/>
      <c r="RJ59" s="12"/>
      <c r="RK59" s="12"/>
      <c r="RL59" s="12"/>
      <c r="RM59" s="12"/>
      <c r="RN59" s="12"/>
      <c r="RO59" s="12"/>
      <c r="RP59" s="12"/>
      <c r="RQ59" s="12"/>
      <c r="RR59" s="12"/>
      <c r="RS59" s="12"/>
      <c r="RT59" s="12"/>
      <c r="RU59" s="12"/>
      <c r="RV59" s="12"/>
      <c r="RW59" s="12"/>
      <c r="RX59" s="12"/>
      <c r="RY59" s="12"/>
      <c r="RZ59" s="12"/>
      <c r="SA59" s="12"/>
      <c r="SB59" s="12"/>
      <c r="SC59" s="12"/>
      <c r="SD59" s="12"/>
      <c r="SE59" s="12"/>
      <c r="SF59" s="12"/>
      <c r="SG59" s="12"/>
      <c r="SH59" s="12"/>
      <c r="SI59" s="12"/>
      <c r="SJ59" s="12"/>
      <c r="SK59" s="12"/>
      <c r="SL59" s="12"/>
      <c r="SM59" s="12"/>
      <c r="SN59" s="12"/>
      <c r="SO59" s="12"/>
      <c r="SP59" s="12"/>
      <c r="SQ59" s="12"/>
      <c r="SR59" s="12"/>
      <c r="SS59" s="12"/>
      <c r="ST59" s="12"/>
      <c r="SU59" s="12"/>
      <c r="SV59" s="12"/>
      <c r="SW59" s="12"/>
      <c r="SX59" s="12"/>
      <c r="SY59" s="12"/>
      <c r="SZ59" s="12"/>
      <c r="TA59" s="12"/>
      <c r="TB59" s="12"/>
      <c r="TC59" s="12"/>
      <c r="TD59" s="12"/>
      <c r="TE59" s="12"/>
      <c r="TF59" s="12"/>
      <c r="TG59" s="12"/>
      <c r="TH59" s="12"/>
      <c r="TI59" s="12"/>
      <c r="TJ59" s="12"/>
      <c r="TK59" s="12"/>
      <c r="TL59" s="12"/>
      <c r="TM59" s="12"/>
      <c r="TN59" s="12"/>
      <c r="TO59" s="12"/>
      <c r="TP59" s="12"/>
      <c r="TQ59" s="12"/>
      <c r="TR59" s="12"/>
      <c r="TS59" s="12"/>
      <c r="TT59" s="12"/>
      <c r="TU59" s="12"/>
      <c r="TV59" s="12"/>
      <c r="TW59" s="12"/>
      <c r="TX59" s="12"/>
      <c r="TY59" s="12"/>
      <c r="TZ59" s="12"/>
      <c r="UA59" s="12"/>
      <c r="UB59" s="12"/>
      <c r="UC59" s="12"/>
      <c r="UD59" s="12"/>
      <c r="UE59" s="12"/>
      <c r="UF59" s="12"/>
      <c r="UG59" s="12"/>
      <c r="UH59" s="12"/>
      <c r="UI59" s="12"/>
      <c r="UJ59" s="12"/>
      <c r="UK59" s="12"/>
      <c r="UL59" s="12"/>
      <c r="UM59" s="12"/>
      <c r="UN59" s="12"/>
      <c r="UO59" s="12"/>
      <c r="UP59" s="12"/>
      <c r="UQ59" s="12"/>
      <c r="UR59" s="12"/>
      <c r="US59" s="12"/>
      <c r="UT59" s="12"/>
      <c r="UU59" s="12"/>
      <c r="UV59" s="12"/>
      <c r="UW59" s="12"/>
      <c r="UX59" s="12"/>
      <c r="UY59" s="12"/>
      <c r="UZ59" s="12"/>
      <c r="VA59" s="12"/>
      <c r="VB59" s="12"/>
      <c r="VC59" s="12"/>
      <c r="VD59" s="12"/>
      <c r="VE59" s="12"/>
      <c r="VF59" s="12"/>
      <c r="VG59" s="12"/>
      <c r="VH59" s="12"/>
      <c r="VI59" s="12"/>
      <c r="VJ59" s="12"/>
      <c r="VK59" s="12"/>
      <c r="VL59" s="12"/>
      <c r="VM59" s="12"/>
      <c r="VN59" s="12"/>
      <c r="VO59" s="12"/>
      <c r="VP59" s="12"/>
      <c r="VQ59" s="12"/>
      <c r="VR59" s="12"/>
      <c r="VS59" s="12"/>
      <c r="VT59" s="12"/>
      <c r="VU59" s="12"/>
      <c r="VV59" s="12"/>
      <c r="VW59" s="12"/>
      <c r="VX59" s="12"/>
      <c r="VY59" s="12"/>
      <c r="VZ59" s="12"/>
      <c r="WA59" s="12"/>
      <c r="WB59" s="12"/>
      <c r="WC59" s="12"/>
      <c r="WD59" s="12"/>
      <c r="WE59" s="12"/>
      <c r="WF59" s="12"/>
      <c r="WG59" s="12"/>
      <c r="WH59" s="12"/>
      <c r="WI59" s="12"/>
      <c r="WJ59" s="12"/>
      <c r="WK59" s="12"/>
      <c r="WL59" s="12"/>
      <c r="WM59" s="12"/>
      <c r="WN59" s="12"/>
      <c r="WO59" s="12"/>
      <c r="WP59" s="12"/>
      <c r="WQ59" s="12"/>
      <c r="WR59" s="12"/>
      <c r="WS59" s="12"/>
      <c r="WT59" s="12"/>
      <c r="WU59" s="12"/>
      <c r="WV59" s="12"/>
      <c r="WW59" s="12"/>
      <c r="WX59" s="12"/>
      <c r="WY59" s="12"/>
      <c r="WZ59" s="12"/>
      <c r="XA59" s="12"/>
      <c r="XB59" s="12"/>
      <c r="XC59" s="12"/>
      <c r="XD59" s="12"/>
      <c r="XE59" s="12"/>
      <c r="XF59" s="12"/>
      <c r="XG59" s="12"/>
      <c r="XH59" s="12"/>
      <c r="XI59" s="12"/>
      <c r="XJ59" s="12"/>
      <c r="XK59" s="12"/>
      <c r="XL59" s="12"/>
      <c r="XM59" s="12"/>
      <c r="XN59" s="12"/>
      <c r="XO59" s="12"/>
      <c r="XP59" s="12"/>
      <c r="XQ59" s="12"/>
      <c r="XR59" s="12"/>
      <c r="XS59" s="12"/>
      <c r="XT59" s="12"/>
      <c r="XU59" s="12"/>
      <c r="XV59" s="12"/>
      <c r="XW59" s="12"/>
      <c r="XX59" s="12"/>
      <c r="XY59" s="12"/>
      <c r="XZ59" s="12"/>
      <c r="YA59" s="12"/>
      <c r="YB59" s="12"/>
      <c r="YC59" s="12"/>
      <c r="YD59" s="12"/>
      <c r="YE59" s="12"/>
      <c r="YF59" s="12"/>
      <c r="YG59" s="12"/>
      <c r="YH59" s="12"/>
      <c r="YI59" s="12"/>
      <c r="YJ59" s="12"/>
      <c r="YK59" s="12"/>
      <c r="YL59" s="12"/>
      <c r="YM59" s="12"/>
      <c r="YN59" s="12"/>
      <c r="YO59" s="12"/>
      <c r="YP59" s="12"/>
      <c r="YQ59" s="12"/>
      <c r="YR59" s="12"/>
      <c r="YS59" s="12"/>
      <c r="YT59" s="12"/>
      <c r="YU59" s="12"/>
      <c r="YV59" s="12"/>
      <c r="YW59" s="12"/>
      <c r="YX59" s="12"/>
      <c r="YY59" s="12"/>
      <c r="YZ59" s="12"/>
      <c r="ZA59" s="12"/>
      <c r="ZB59" s="12"/>
      <c r="ZC59" s="12"/>
      <c r="ZD59" s="12"/>
      <c r="ZE59" s="12"/>
      <c r="ZF59" s="12"/>
      <c r="ZG59" s="12"/>
      <c r="ZH59" s="12"/>
      <c r="ZI59" s="12"/>
      <c r="ZJ59" s="12"/>
      <c r="ZK59" s="12"/>
      <c r="ZL59" s="12"/>
      <c r="ZM59" s="12"/>
      <c r="ZN59" s="12"/>
      <c r="ZO59" s="12"/>
      <c r="ZP59" s="12"/>
      <c r="ZQ59" s="12"/>
      <c r="ZR59" s="12"/>
      <c r="ZS59" s="12"/>
      <c r="ZT59" s="12"/>
      <c r="ZU59" s="12"/>
      <c r="ZV59" s="12"/>
      <c r="ZW59" s="12"/>
      <c r="ZX59" s="12"/>
      <c r="ZY59" s="12"/>
      <c r="ZZ59" s="12"/>
      <c r="AAA59" s="12"/>
      <c r="AAB59" s="12"/>
      <c r="AAC59" s="12"/>
      <c r="AAD59" s="12"/>
      <c r="AAE59" s="12"/>
      <c r="AAF59" s="12"/>
      <c r="AAG59" s="12"/>
      <c r="AAH59" s="12"/>
      <c r="AAI59" s="12"/>
      <c r="AAJ59" s="12"/>
      <c r="AAK59" s="12"/>
      <c r="AAL59" s="12"/>
      <c r="AAM59" s="12"/>
      <c r="AAN59" s="12"/>
      <c r="AAO59" s="12"/>
      <c r="AAP59" s="12"/>
      <c r="AAQ59" s="12"/>
      <c r="AAR59" s="12"/>
      <c r="AAS59" s="12"/>
      <c r="AAT59" s="12"/>
      <c r="AAU59" s="12"/>
      <c r="AAV59" s="12"/>
      <c r="AAW59" s="12"/>
      <c r="AAX59" s="12"/>
      <c r="AAY59" s="12"/>
      <c r="AAZ59" s="12"/>
      <c r="ABA59" s="12"/>
      <c r="ABB59" s="12"/>
      <c r="ABC59" s="12"/>
      <c r="ABD59" s="12"/>
      <c r="ABE59" s="12"/>
      <c r="ABF59" s="12"/>
      <c r="ABG59" s="12"/>
      <c r="ABH59" s="12"/>
      <c r="ABI59" s="12"/>
      <c r="ABJ59" s="12"/>
      <c r="ABK59" s="12"/>
      <c r="ABL59" s="12"/>
      <c r="ABM59" s="12"/>
      <c r="ABN59" s="12"/>
      <c r="ABO59" s="12"/>
      <c r="ABP59" s="12"/>
      <c r="ABQ59" s="12"/>
      <c r="ABR59" s="12"/>
      <c r="ABS59" s="12"/>
      <c r="ABT59" s="12"/>
      <c r="ABU59" s="12"/>
      <c r="ABV59" s="12"/>
      <c r="ABW59" s="12"/>
      <c r="ABX59" s="12"/>
      <c r="ABY59" s="12"/>
      <c r="ABZ59" s="12"/>
      <c r="ACA59" s="12"/>
      <c r="ACB59" s="12"/>
      <c r="ACC59" s="12"/>
      <c r="ACD59" s="12"/>
      <c r="ACE59" s="12"/>
      <c r="ACF59" s="12"/>
      <c r="ACG59" s="12"/>
      <c r="ACH59" s="12"/>
      <c r="ACI59" s="12"/>
      <c r="ACJ59" s="12"/>
      <c r="ACK59" s="12"/>
      <c r="ACL59" s="12"/>
      <c r="ACM59" s="12"/>
      <c r="ACN59" s="12"/>
      <c r="ACO59" s="12"/>
      <c r="ACP59" s="12"/>
      <c r="ACQ59" s="12"/>
      <c r="ACR59" s="12"/>
      <c r="ACS59" s="12"/>
      <c r="ACT59" s="12"/>
      <c r="ACU59" s="12"/>
      <c r="ACV59" s="12"/>
      <c r="ACW59" s="12"/>
      <c r="ACX59" s="12"/>
      <c r="ACY59" s="12"/>
      <c r="ACZ59" s="12"/>
      <c r="ADA59" s="12"/>
      <c r="ADB59" s="12"/>
      <c r="ADC59" s="12"/>
      <c r="ADD59" s="12"/>
      <c r="ADE59" s="12"/>
      <c r="ADF59" s="12"/>
      <c r="ADG59" s="12"/>
      <c r="ADH59" s="12"/>
      <c r="ADI59" s="12"/>
      <c r="ADJ59" s="12"/>
      <c r="ADK59" s="12"/>
      <c r="ADL59" s="12"/>
      <c r="ADM59" s="12"/>
      <c r="ADN59" s="12"/>
      <c r="ADO59" s="12"/>
      <c r="ADP59" s="12"/>
      <c r="ADQ59" s="12"/>
      <c r="ADR59" s="12"/>
      <c r="ADS59" s="12"/>
      <c r="ADT59" s="12"/>
      <c r="ADU59" s="12"/>
      <c r="ADV59" s="12"/>
      <c r="ADW59" s="12"/>
      <c r="ADX59" s="12"/>
      <c r="ADY59" s="12"/>
      <c r="ADZ59" s="12"/>
      <c r="AEA59" s="12"/>
      <c r="AEB59" s="12"/>
      <c r="AEC59" s="12"/>
      <c r="AED59" s="12"/>
      <c r="AEE59" s="12"/>
      <c r="AEF59" s="12"/>
      <c r="AEG59" s="12"/>
      <c r="AEH59" s="12"/>
      <c r="AEI59" s="12"/>
      <c r="AEJ59" s="12"/>
      <c r="AEK59" s="12"/>
      <c r="AEL59" s="12"/>
      <c r="AEM59" s="12"/>
      <c r="AEN59" s="12"/>
      <c r="AEO59" s="12"/>
      <c r="AEP59" s="12"/>
      <c r="AEQ59" s="12"/>
      <c r="AER59" s="12"/>
      <c r="AES59" s="12"/>
      <c r="AET59" s="12"/>
      <c r="AEU59" s="12"/>
      <c r="AEV59" s="12"/>
      <c r="AEW59" s="12"/>
      <c r="AEX59" s="12"/>
      <c r="AEY59" s="12"/>
      <c r="AEZ59" s="12"/>
      <c r="AFA59" s="12"/>
      <c r="AFB59" s="12"/>
      <c r="AFC59" s="12"/>
      <c r="AFD59" s="12"/>
      <c r="AFE59" s="12"/>
      <c r="AFF59" s="12"/>
      <c r="AFG59" s="12"/>
      <c r="AFH59" s="12"/>
      <c r="AFI59" s="12"/>
      <c r="AFJ59" s="12"/>
      <c r="AFK59" s="12"/>
      <c r="AFL59" s="12"/>
      <c r="AFM59" s="12"/>
      <c r="AFN59" s="12"/>
      <c r="AFO59" s="12"/>
      <c r="AFP59" s="12"/>
      <c r="AFQ59" s="12"/>
      <c r="AFR59" s="12"/>
      <c r="AFS59" s="12"/>
      <c r="AFT59" s="12"/>
      <c r="AFU59" s="12"/>
      <c r="AFV59" s="12"/>
      <c r="AFW59" s="12"/>
      <c r="AFX59" s="12"/>
      <c r="AFY59" s="12"/>
      <c r="AFZ59" s="12"/>
      <c r="AGA59" s="12"/>
      <c r="AGB59" s="12"/>
      <c r="AGC59" s="12"/>
      <c r="AGD59" s="12"/>
      <c r="AGE59" s="12"/>
      <c r="AGF59" s="12"/>
      <c r="AGG59" s="12"/>
      <c r="AGH59" s="12"/>
      <c r="AGI59" s="12"/>
      <c r="AGJ59" s="12"/>
      <c r="AGK59" s="12"/>
      <c r="AGL59" s="12"/>
      <c r="AGM59" s="12"/>
      <c r="AGN59" s="12"/>
      <c r="AGO59" s="12"/>
      <c r="AGP59" s="12"/>
      <c r="AGQ59" s="12"/>
      <c r="AGR59" s="12"/>
      <c r="AGS59" s="12"/>
      <c r="AGT59" s="12"/>
      <c r="AGU59" s="12"/>
      <c r="AGV59" s="12"/>
      <c r="AGW59" s="12"/>
      <c r="AGX59" s="12"/>
      <c r="AGY59" s="12"/>
      <c r="AGZ59" s="12"/>
      <c r="AHA59" s="12"/>
      <c r="AHB59" s="12"/>
      <c r="AHC59" s="12"/>
      <c r="AHD59" s="12"/>
      <c r="AHE59" s="12"/>
      <c r="AHF59" s="12"/>
      <c r="AHG59" s="12"/>
      <c r="AHH59" s="12"/>
      <c r="AHI59" s="12"/>
      <c r="AHJ59" s="12"/>
      <c r="AHK59" s="12"/>
      <c r="AHL59" s="12"/>
      <c r="AHM59" s="12"/>
      <c r="AHN59" s="12"/>
      <c r="AHO59" s="12"/>
      <c r="AHP59" s="12"/>
      <c r="AHQ59" s="12"/>
      <c r="AHR59" s="12"/>
      <c r="AHS59" s="12"/>
      <c r="AHT59" s="12"/>
      <c r="AHU59" s="12"/>
      <c r="AHV59" s="12"/>
      <c r="AHW59" s="12"/>
      <c r="AHX59" s="12"/>
      <c r="AHY59" s="12"/>
      <c r="AHZ59" s="12"/>
      <c r="AIA59" s="12"/>
      <c r="AIB59" s="12"/>
      <c r="AIC59" s="12"/>
      <c r="AID59" s="12"/>
      <c r="AIE59" s="12"/>
      <c r="AIF59" s="12"/>
      <c r="AIG59" s="12"/>
      <c r="AIH59" s="12"/>
      <c r="AII59" s="12"/>
      <c r="AIJ59" s="12"/>
      <c r="AIK59" s="12"/>
      <c r="AIL59" s="12"/>
      <c r="AIM59" s="12"/>
      <c r="AIN59" s="12"/>
      <c r="AIO59" s="12"/>
      <c r="AIP59" s="12"/>
      <c r="AIQ59" s="12"/>
      <c r="AIR59" s="12"/>
      <c r="AIS59" s="12"/>
      <c r="AIT59" s="12"/>
      <c r="AIU59" s="12"/>
      <c r="AIV59" s="12"/>
      <c r="AIW59" s="12"/>
      <c r="AIX59" s="12"/>
      <c r="AIY59" s="12"/>
      <c r="AIZ59" s="12"/>
      <c r="AJA59" s="12"/>
      <c r="AJB59" s="12"/>
      <c r="AJC59" s="12"/>
      <c r="AJD59" s="12"/>
      <c r="AJE59" s="12"/>
      <c r="AJF59" s="12"/>
      <c r="AJG59" s="12"/>
      <c r="AJH59" s="12"/>
      <c r="AJI59" s="12"/>
      <c r="AJJ59" s="12"/>
      <c r="AJK59" s="12"/>
      <c r="AJL59" s="12"/>
      <c r="AJM59" s="12"/>
      <c r="AJN59" s="12"/>
      <c r="AJO59" s="12"/>
      <c r="AJP59" s="12"/>
      <c r="AJQ59" s="12"/>
      <c r="AJR59" s="12"/>
      <c r="AJS59" s="12"/>
      <c r="AJT59" s="12"/>
      <c r="AJU59" s="12"/>
      <c r="AJV59" s="12"/>
      <c r="AJW59" s="12"/>
      <c r="AJX59" s="12"/>
      <c r="AJY59" s="12"/>
      <c r="AJZ59" s="12"/>
      <c r="AKA59" s="12"/>
      <c r="AKB59" s="12"/>
      <c r="AKC59" s="12"/>
      <c r="AKD59" s="12"/>
      <c r="AKE59" s="12"/>
      <c r="AKF59" s="12"/>
      <c r="AKG59" s="12"/>
      <c r="AKH59" s="12"/>
      <c r="AKI59" s="12"/>
      <c r="AKJ59" s="12"/>
      <c r="AKK59" s="12"/>
      <c r="AKL59" s="12"/>
      <c r="AKM59" s="12"/>
      <c r="AKN59" s="12"/>
      <c r="AKO59" s="12"/>
      <c r="AKP59" s="12"/>
      <c r="AKQ59" s="12"/>
      <c r="AKR59" s="12"/>
      <c r="AKS59" s="12"/>
      <c r="AKT59" s="12"/>
      <c r="AKU59" s="12"/>
      <c r="AKV59" s="12"/>
      <c r="AKW59" s="12"/>
      <c r="AKX59" s="12"/>
      <c r="AKY59" s="12"/>
      <c r="AKZ59" s="12"/>
      <c r="ALA59" s="12"/>
      <c r="ALB59" s="12"/>
      <c r="ALC59" s="12"/>
      <c r="ALD59" s="12"/>
      <c r="ALE59" s="12"/>
      <c r="ALF59" s="12"/>
      <c r="ALG59" s="12"/>
      <c r="ALH59" s="12"/>
      <c r="ALI59" s="12"/>
      <c r="ALJ59" s="12"/>
      <c r="ALK59" s="12"/>
      <c r="ALL59" s="12"/>
      <c r="ALM59" s="12"/>
      <c r="ALN59" s="12"/>
      <c r="ALO59" s="12"/>
      <c r="ALP59" s="12"/>
      <c r="ALQ59" s="12"/>
      <c r="ALR59" s="12"/>
      <c r="ALS59" s="12"/>
      <c r="ALT59" s="12"/>
      <c r="ALU59" s="12"/>
      <c r="ALV59" s="12"/>
      <c r="ALW59" s="12"/>
      <c r="ALX59" s="12"/>
      <c r="ALY59" s="12"/>
      <c r="ALZ59" s="12"/>
      <c r="AMA59" s="12"/>
      <c r="AMB59" s="12"/>
      <c r="AMC59" s="12"/>
      <c r="AMD59" s="12"/>
      <c r="AME59" s="12"/>
      <c r="AMF59" s="12"/>
      <c r="AMG59" s="12"/>
      <c r="AMH59" s="12"/>
      <c r="AMI59" s="12"/>
      <c r="AMJ59" s="12"/>
      <c r="AMK59" s="12"/>
      <c r="AML59" s="12"/>
      <c r="AMM59" s="12"/>
      <c r="AMN59" s="12"/>
      <c r="AMO59" s="12"/>
      <c r="AMP59" s="12"/>
      <c r="AMQ59" s="12"/>
      <c r="AMR59" s="12"/>
      <c r="AMS59" s="12"/>
      <c r="AMT59" s="12"/>
      <c r="AMU59" s="12"/>
      <c r="AMV59" s="12"/>
      <c r="AMW59" s="12"/>
      <c r="AMX59" s="12"/>
      <c r="AMY59" s="12"/>
      <c r="AMZ59" s="12"/>
      <c r="ANA59" s="12"/>
      <c r="ANB59" s="12"/>
      <c r="ANC59" s="12"/>
      <c r="AND59" s="12"/>
      <c r="ANE59" s="12"/>
      <c r="ANF59" s="12"/>
      <c r="ANG59" s="12"/>
      <c r="ANH59" s="12"/>
      <c r="ANI59" s="12"/>
      <c r="ANJ59" s="12"/>
      <c r="ANK59" s="12"/>
      <c r="ANL59" s="12"/>
      <c r="ANM59" s="12"/>
      <c r="ANN59" s="12"/>
      <c r="ANO59" s="12"/>
      <c r="ANP59" s="12"/>
      <c r="ANQ59" s="12"/>
      <c r="ANR59" s="12"/>
      <c r="ANS59" s="12"/>
      <c r="ANT59" s="12"/>
      <c r="ANU59" s="12"/>
      <c r="ANV59" s="12"/>
      <c r="ANW59" s="12"/>
      <c r="ANX59" s="12"/>
      <c r="ANY59" s="12"/>
      <c r="ANZ59" s="12"/>
      <c r="AOA59" s="12"/>
      <c r="AOB59" s="12"/>
      <c r="AOC59" s="12"/>
      <c r="AOD59" s="12"/>
      <c r="AOE59" s="12"/>
      <c r="AOF59" s="12"/>
      <c r="AOG59" s="12"/>
      <c r="AOH59" s="12"/>
      <c r="AOI59" s="12"/>
      <c r="AOJ59" s="12"/>
      <c r="AOK59" s="12"/>
      <c r="AOL59" s="12"/>
      <c r="AOM59" s="12"/>
      <c r="AON59" s="12"/>
      <c r="AOO59" s="12"/>
      <c r="AOP59" s="12"/>
      <c r="AOQ59" s="12"/>
      <c r="AOR59" s="12"/>
      <c r="AOS59" s="12"/>
      <c r="AOT59" s="12"/>
      <c r="AOU59" s="12"/>
      <c r="AOV59" s="12"/>
      <c r="AOW59" s="12"/>
      <c r="AOX59" s="12"/>
      <c r="AOY59" s="12"/>
      <c r="AOZ59" s="12"/>
      <c r="APA59" s="12"/>
      <c r="APB59" s="12"/>
      <c r="APC59" s="12"/>
      <c r="APD59" s="12"/>
      <c r="APE59" s="12"/>
      <c r="APF59" s="12"/>
      <c r="APG59" s="12"/>
      <c r="APH59" s="12"/>
      <c r="API59" s="12"/>
      <c r="APJ59" s="12"/>
      <c r="APK59" s="12"/>
      <c r="APL59" s="12"/>
      <c r="APM59" s="12"/>
      <c r="APN59" s="12"/>
      <c r="APO59" s="12"/>
      <c r="APP59" s="12"/>
      <c r="APQ59" s="12"/>
      <c r="APR59" s="12"/>
      <c r="APS59" s="12"/>
      <c r="APT59" s="12"/>
      <c r="APU59" s="12"/>
      <c r="APV59" s="12"/>
      <c r="APW59" s="12"/>
      <c r="APX59" s="12"/>
      <c r="APY59" s="12"/>
      <c r="APZ59" s="12"/>
      <c r="AQA59" s="12"/>
      <c r="AQB59" s="12"/>
      <c r="AQC59" s="12"/>
      <c r="AQD59" s="12"/>
      <c r="AQE59" s="12"/>
      <c r="AQF59" s="12"/>
      <c r="AQG59" s="12"/>
      <c r="AQH59" s="12"/>
      <c r="AQI59" s="12"/>
      <c r="AQJ59" s="12"/>
      <c r="AQK59" s="12"/>
      <c r="AQL59" s="12"/>
      <c r="AQM59" s="12"/>
      <c r="AQN59" s="12"/>
      <c r="AQO59" s="12"/>
      <c r="AQP59" s="12"/>
      <c r="AQQ59" s="12"/>
      <c r="AQR59" s="12"/>
      <c r="AQS59" s="12"/>
      <c r="AQT59" s="12"/>
      <c r="AQU59" s="12"/>
      <c r="AQV59" s="12"/>
      <c r="AQW59" s="12"/>
      <c r="AQX59" s="12"/>
      <c r="AQY59" s="12"/>
      <c r="AQZ59" s="12"/>
      <c r="ARA59" s="12"/>
      <c r="ARB59" s="12"/>
      <c r="ARC59" s="12"/>
      <c r="ARD59" s="12"/>
      <c r="ARE59" s="12"/>
      <c r="ARF59" s="12"/>
      <c r="ARG59" s="12"/>
      <c r="ARH59" s="12"/>
      <c r="ARI59" s="12"/>
      <c r="ARJ59" s="12"/>
      <c r="ARK59" s="12"/>
      <c r="ARL59" s="12"/>
      <c r="ARM59" s="12"/>
      <c r="ARN59" s="12"/>
      <c r="ARO59" s="12"/>
      <c r="ARP59" s="12"/>
      <c r="ARQ59" s="12"/>
      <c r="ARR59" s="12"/>
      <c r="ARS59" s="12"/>
      <c r="ART59" s="12"/>
      <c r="ARU59" s="12"/>
      <c r="ARV59" s="12"/>
      <c r="ARW59" s="12"/>
      <c r="ARX59" s="12"/>
      <c r="ARY59" s="12"/>
      <c r="ARZ59" s="12"/>
      <c r="ASA59" s="12"/>
      <c r="ASB59" s="12"/>
      <c r="ASC59" s="12"/>
      <c r="ASD59" s="12"/>
      <c r="ASE59" s="12"/>
      <c r="ASF59" s="12"/>
      <c r="ASG59" s="12"/>
      <c r="ASH59" s="12"/>
      <c r="ASI59" s="12"/>
      <c r="ASJ59" s="12"/>
      <c r="ASK59" s="12"/>
      <c r="ASL59" s="12"/>
      <c r="ASM59" s="12"/>
      <c r="ASN59" s="12"/>
      <c r="ASO59" s="12"/>
      <c r="ASP59" s="12"/>
      <c r="ASQ59" s="12"/>
      <c r="ASR59" s="12"/>
      <c r="ASS59" s="12"/>
      <c r="AST59" s="12"/>
      <c r="ASU59" s="12"/>
      <c r="ASV59" s="12"/>
      <c r="ASW59" s="12"/>
      <c r="ASX59" s="12"/>
      <c r="ASY59" s="12"/>
      <c r="ASZ59" s="12"/>
      <c r="ATA59" s="12"/>
      <c r="ATB59" s="12"/>
      <c r="ATC59" s="12"/>
      <c r="ATD59" s="12"/>
      <c r="ATE59" s="12"/>
      <c r="ATF59" s="12"/>
      <c r="ATG59" s="12"/>
      <c r="ATH59" s="12"/>
      <c r="ATI59" s="12"/>
      <c r="ATJ59" s="12"/>
      <c r="ATK59" s="12"/>
      <c r="ATL59" s="12"/>
      <c r="ATM59" s="12"/>
      <c r="ATN59" s="12"/>
      <c r="ATO59" s="12"/>
      <c r="ATP59" s="12"/>
      <c r="ATQ59" s="12"/>
      <c r="ATR59" s="12"/>
      <c r="ATS59" s="12"/>
      <c r="ATT59" s="12"/>
      <c r="ATU59" s="12"/>
      <c r="ATV59" s="12"/>
      <c r="ATW59" s="12"/>
      <c r="ATX59" s="12"/>
      <c r="ATY59" s="12"/>
      <c r="ATZ59" s="12"/>
      <c r="AUA59" s="12"/>
      <c r="AUB59" s="12"/>
      <c r="AUC59" s="12"/>
      <c r="AUD59" s="12"/>
      <c r="AUE59" s="12"/>
      <c r="AUF59" s="12"/>
      <c r="AUG59" s="12"/>
      <c r="AUH59" s="12"/>
      <c r="AUI59" s="12"/>
      <c r="AUJ59" s="12"/>
      <c r="AUK59" s="12"/>
      <c r="AUL59" s="12"/>
      <c r="AUM59" s="12"/>
      <c r="AUN59" s="12"/>
      <c r="AUO59" s="12"/>
      <c r="AUP59" s="12"/>
      <c r="AUQ59" s="12"/>
      <c r="AUR59" s="12"/>
      <c r="AUS59" s="12"/>
      <c r="AUT59" s="12"/>
      <c r="AUU59" s="12"/>
      <c r="AUV59" s="12"/>
      <c r="AUW59" s="12"/>
      <c r="AUX59" s="12"/>
      <c r="AUY59" s="12"/>
      <c r="AUZ59" s="12"/>
      <c r="AVA59" s="12"/>
      <c r="AVB59" s="12"/>
      <c r="AVC59" s="12"/>
      <c r="AVD59" s="12"/>
      <c r="AVE59" s="12"/>
      <c r="AVF59" s="12"/>
      <c r="AVG59" s="12"/>
      <c r="AVH59" s="12"/>
      <c r="AVI59" s="12"/>
      <c r="AVJ59" s="12"/>
      <c r="AVK59" s="12"/>
      <c r="AVL59" s="12"/>
      <c r="AVM59" s="12"/>
      <c r="AVN59" s="12"/>
      <c r="AVO59" s="12"/>
      <c r="AVP59" s="12"/>
      <c r="AVQ59" s="12"/>
      <c r="AVR59" s="12"/>
      <c r="AVS59" s="12"/>
      <c r="AVT59" s="12"/>
      <c r="AVU59" s="12"/>
      <c r="AVV59" s="12"/>
      <c r="AVW59" s="12"/>
      <c r="AVX59" s="12"/>
      <c r="AVY59" s="12"/>
      <c r="AVZ59" s="12"/>
      <c r="AWA59" s="12"/>
      <c r="AWB59" s="12"/>
      <c r="AWC59" s="12"/>
      <c r="AWD59" s="12"/>
      <c r="AWE59" s="12"/>
      <c r="AWF59" s="12"/>
      <c r="AWG59" s="12"/>
      <c r="AWH59" s="12"/>
      <c r="AWI59" s="12"/>
      <c r="AWJ59" s="12"/>
      <c r="AWK59" s="12"/>
      <c r="AWL59" s="12"/>
      <c r="AWM59" s="12"/>
      <c r="AWN59" s="12"/>
      <c r="AWO59" s="12"/>
      <c r="AWP59" s="12"/>
      <c r="AWQ59" s="12"/>
      <c r="AWR59" s="12"/>
      <c r="AWS59" s="12"/>
      <c r="AWT59" s="12"/>
      <c r="AWU59" s="12"/>
      <c r="AWV59" s="12"/>
      <c r="AWW59" s="12"/>
      <c r="AWX59" s="12"/>
      <c r="AWY59" s="12"/>
      <c r="AWZ59" s="12"/>
      <c r="AXA59" s="12"/>
      <c r="AXB59" s="12"/>
      <c r="AXC59" s="12"/>
      <c r="AXD59" s="12"/>
      <c r="AXE59" s="12"/>
      <c r="AXF59" s="12"/>
      <c r="AXG59" s="12"/>
      <c r="AXH59" s="12"/>
      <c r="AXI59" s="12"/>
      <c r="AXJ59" s="12"/>
      <c r="AXK59" s="12"/>
      <c r="AXL59" s="12"/>
      <c r="AXM59" s="12"/>
      <c r="AXN59" s="12"/>
      <c r="AXO59" s="12"/>
      <c r="AXP59" s="12"/>
      <c r="AXQ59" s="12"/>
      <c r="AXR59" s="12"/>
      <c r="AXS59" s="12"/>
      <c r="AXT59" s="12"/>
      <c r="AXU59" s="12"/>
      <c r="AXV59" s="12"/>
      <c r="AXW59" s="12"/>
      <c r="AXX59" s="12"/>
      <c r="AXY59" s="12"/>
      <c r="AXZ59" s="12"/>
      <c r="AYA59" s="12"/>
      <c r="AYB59" s="12"/>
      <c r="AYC59" s="12"/>
      <c r="AYD59" s="12"/>
      <c r="AYE59" s="12"/>
      <c r="AYF59" s="12"/>
      <c r="AYG59" s="12"/>
      <c r="AYH59" s="12"/>
      <c r="AYI59" s="12"/>
      <c r="AYJ59" s="12"/>
      <c r="AYK59" s="12"/>
      <c r="AYL59" s="12"/>
      <c r="AYM59" s="12"/>
      <c r="AYN59" s="12"/>
      <c r="AYO59" s="12"/>
      <c r="AYP59" s="12"/>
      <c r="AYQ59" s="12"/>
      <c r="AYR59" s="12"/>
      <c r="AYS59" s="12"/>
      <c r="AYT59" s="12"/>
      <c r="AYU59" s="12"/>
      <c r="AYV59" s="12"/>
      <c r="AYW59" s="12"/>
      <c r="AYX59" s="12"/>
      <c r="AYY59" s="12"/>
      <c r="AYZ59" s="12"/>
      <c r="AZA59" s="12"/>
      <c r="AZB59" s="12"/>
      <c r="AZC59" s="12"/>
      <c r="AZD59" s="12"/>
      <c r="AZE59" s="12"/>
      <c r="AZF59" s="12"/>
      <c r="AZG59" s="12"/>
      <c r="AZH59" s="12"/>
      <c r="AZI59" s="12"/>
      <c r="AZJ59" s="12"/>
      <c r="AZK59" s="12"/>
      <c r="AZL59" s="12"/>
      <c r="AZM59" s="12"/>
      <c r="AZN59" s="12"/>
      <c r="AZO59" s="12"/>
      <c r="AZP59" s="12"/>
      <c r="AZQ59" s="12"/>
      <c r="AZR59" s="12"/>
      <c r="AZS59" s="12"/>
      <c r="AZT59" s="12"/>
      <c r="AZU59" s="12"/>
      <c r="AZV59" s="12"/>
      <c r="AZW59" s="12"/>
      <c r="AZX59" s="12"/>
      <c r="AZY59" s="12"/>
      <c r="AZZ59" s="12"/>
      <c r="BAA59" s="12"/>
      <c r="BAB59" s="12"/>
      <c r="BAC59" s="12"/>
      <c r="BAD59" s="12"/>
      <c r="BAE59" s="12"/>
      <c r="BAF59" s="12"/>
      <c r="BAG59" s="12"/>
      <c r="BAH59" s="12"/>
      <c r="BAI59" s="12"/>
      <c r="BAJ59" s="12"/>
      <c r="BAK59" s="12"/>
      <c r="BAL59" s="12"/>
      <c r="BAM59" s="12"/>
      <c r="BAN59" s="12"/>
      <c r="BAO59" s="12"/>
      <c r="BAP59" s="12"/>
      <c r="BAQ59" s="12"/>
      <c r="BAR59" s="12"/>
      <c r="BAS59" s="12"/>
      <c r="BAT59" s="12"/>
      <c r="BAU59" s="12"/>
      <c r="BAV59" s="12"/>
      <c r="BAW59" s="12"/>
      <c r="BAX59" s="12"/>
      <c r="BAY59" s="12"/>
      <c r="BAZ59" s="12"/>
      <c r="BBA59" s="12"/>
      <c r="BBB59" s="12"/>
      <c r="BBC59" s="12"/>
      <c r="BBD59" s="12"/>
      <c r="BBE59" s="12"/>
      <c r="BBF59" s="12"/>
      <c r="BBG59" s="12"/>
      <c r="BBH59" s="12"/>
      <c r="BBI59" s="12"/>
      <c r="BBJ59" s="12"/>
      <c r="BBK59" s="12"/>
      <c r="BBL59" s="12"/>
      <c r="BBM59" s="12"/>
      <c r="BBN59" s="12"/>
      <c r="BBO59" s="12"/>
      <c r="BBP59" s="12"/>
      <c r="BBQ59" s="12"/>
      <c r="BBR59" s="12"/>
      <c r="BBS59" s="12"/>
      <c r="BBT59" s="12"/>
      <c r="BBU59" s="12"/>
      <c r="BBV59" s="12"/>
      <c r="BBW59" s="12"/>
      <c r="BBX59" s="12"/>
      <c r="BBY59" s="12"/>
      <c r="BBZ59" s="12"/>
      <c r="BCA59" s="12"/>
      <c r="BCB59" s="12"/>
      <c r="BCC59" s="12"/>
      <c r="BCD59" s="12"/>
      <c r="BCE59" s="12"/>
      <c r="BCF59" s="12"/>
      <c r="BCG59" s="12"/>
      <c r="BCH59" s="12"/>
      <c r="BCI59" s="12"/>
      <c r="BCJ59" s="12"/>
      <c r="BCK59" s="12"/>
      <c r="BCL59" s="12"/>
      <c r="BCM59" s="12"/>
      <c r="BCN59" s="12"/>
      <c r="BCO59" s="12"/>
      <c r="BCP59" s="12"/>
      <c r="BCQ59" s="12"/>
      <c r="BCR59" s="12"/>
      <c r="BCS59" s="12"/>
      <c r="BCT59" s="12"/>
      <c r="BCU59" s="12"/>
      <c r="BCV59" s="12"/>
      <c r="BCW59" s="12"/>
      <c r="BCX59" s="12"/>
      <c r="BCY59" s="12"/>
      <c r="BCZ59" s="12"/>
      <c r="BDA59" s="12"/>
      <c r="BDB59" s="12"/>
      <c r="BDC59" s="12"/>
      <c r="BDD59" s="12"/>
      <c r="BDE59" s="12"/>
      <c r="BDF59" s="12"/>
      <c r="BDG59" s="12"/>
      <c r="BDH59" s="12"/>
      <c r="BDI59" s="12"/>
      <c r="BDJ59" s="12"/>
      <c r="BDK59" s="12"/>
      <c r="BDL59" s="12"/>
      <c r="BDM59" s="12"/>
      <c r="BDN59" s="12"/>
      <c r="BDO59" s="12"/>
      <c r="BDP59" s="12"/>
      <c r="BDQ59" s="12"/>
      <c r="BDR59" s="12"/>
      <c r="BDS59" s="12"/>
      <c r="BDT59" s="12"/>
      <c r="BDU59" s="12"/>
      <c r="BDV59" s="12"/>
      <c r="BDW59" s="12"/>
      <c r="BDX59" s="12"/>
      <c r="BDY59" s="12"/>
      <c r="BDZ59" s="12"/>
      <c r="BEA59" s="12"/>
      <c r="BEB59" s="12"/>
      <c r="BEC59" s="12"/>
      <c r="BED59" s="12"/>
      <c r="BEE59" s="12"/>
      <c r="BEF59" s="12"/>
      <c r="BEG59" s="12"/>
      <c r="BEH59" s="12"/>
      <c r="BEI59" s="12"/>
      <c r="BEJ59" s="12"/>
      <c r="BEK59" s="12"/>
      <c r="BEL59" s="12"/>
      <c r="BEM59" s="12"/>
      <c r="BEN59" s="12"/>
      <c r="BEO59" s="12"/>
      <c r="BEP59" s="12"/>
      <c r="BEQ59" s="12"/>
      <c r="BER59" s="12"/>
      <c r="BES59" s="12"/>
      <c r="BET59" s="12"/>
      <c r="BEU59" s="12"/>
      <c r="BEV59" s="12"/>
      <c r="BEW59" s="12"/>
      <c r="BEX59" s="12"/>
      <c r="BEY59" s="12"/>
      <c r="BEZ59" s="12"/>
      <c r="BFA59" s="12"/>
      <c r="BFB59" s="12"/>
      <c r="BFC59" s="12"/>
      <c r="BFD59" s="12"/>
      <c r="BFE59" s="12"/>
      <c r="BFF59" s="12"/>
      <c r="BFG59" s="12"/>
      <c r="BFH59" s="12"/>
      <c r="BFI59" s="12"/>
      <c r="BFJ59" s="12"/>
      <c r="BFK59" s="12"/>
      <c r="BFL59" s="12"/>
      <c r="BFM59" s="12"/>
      <c r="BFN59" s="12"/>
      <c r="BFO59" s="12"/>
      <c r="BFP59" s="12"/>
      <c r="BFQ59" s="12"/>
      <c r="BFR59" s="12"/>
      <c r="BFS59" s="12"/>
      <c r="BFT59" s="12"/>
      <c r="BFU59" s="12"/>
      <c r="BFV59" s="12"/>
      <c r="BFW59" s="12"/>
      <c r="BFX59" s="12"/>
      <c r="BFY59" s="12"/>
      <c r="BFZ59" s="12"/>
      <c r="BGA59" s="12"/>
      <c r="BGB59" s="12"/>
      <c r="BGC59" s="12"/>
      <c r="BGD59" s="12"/>
      <c r="BGE59" s="12"/>
      <c r="BGF59" s="12"/>
      <c r="BGG59" s="12"/>
      <c r="BGH59" s="12"/>
      <c r="BGI59" s="12"/>
      <c r="BGJ59" s="12"/>
      <c r="BGK59" s="12"/>
      <c r="BGL59" s="12"/>
      <c r="BGM59" s="12"/>
      <c r="BGN59" s="12"/>
      <c r="BGO59" s="12"/>
      <c r="BGP59" s="12"/>
      <c r="BGQ59" s="12"/>
      <c r="BGR59" s="12"/>
      <c r="BGS59" s="12"/>
      <c r="BGT59" s="12"/>
      <c r="BGU59" s="12"/>
      <c r="BGV59" s="12"/>
      <c r="BGW59" s="12"/>
      <c r="BGX59" s="12"/>
      <c r="BGY59" s="12"/>
      <c r="BGZ59" s="12"/>
      <c r="BHA59" s="12"/>
      <c r="BHB59" s="12"/>
      <c r="BHC59" s="12"/>
      <c r="BHD59" s="12"/>
      <c r="BHE59" s="12"/>
      <c r="BHF59" s="12"/>
      <c r="BHG59" s="12"/>
      <c r="BHH59" s="12"/>
      <c r="BHI59" s="12"/>
      <c r="BHJ59" s="12"/>
      <c r="BHK59" s="12"/>
      <c r="BHL59" s="12"/>
      <c r="BHM59" s="12"/>
      <c r="BHN59" s="12"/>
      <c r="BHO59" s="12"/>
      <c r="BHP59" s="12"/>
      <c r="BHQ59" s="12"/>
      <c r="BHR59" s="12"/>
      <c r="BHS59" s="12"/>
      <c r="BHT59" s="12"/>
      <c r="BHU59" s="12"/>
      <c r="BHV59" s="12"/>
      <c r="BHW59" s="12"/>
      <c r="BHX59" s="12"/>
      <c r="BHY59" s="12"/>
      <c r="BHZ59" s="12"/>
      <c r="BIA59" s="12"/>
      <c r="BIB59" s="12"/>
      <c r="BIC59" s="12"/>
      <c r="BID59" s="12"/>
      <c r="BIE59" s="12"/>
      <c r="BIF59" s="12"/>
      <c r="BIG59" s="12"/>
      <c r="BIH59" s="12"/>
      <c r="BII59" s="12"/>
      <c r="BIJ59" s="12"/>
      <c r="BIK59" s="12"/>
      <c r="BIL59" s="12"/>
      <c r="BIM59" s="12"/>
      <c r="BIN59" s="12"/>
      <c r="BIO59" s="12"/>
      <c r="BIP59" s="12"/>
      <c r="BIQ59" s="12"/>
      <c r="BIR59" s="12"/>
      <c r="BIS59" s="12"/>
      <c r="BIT59" s="12"/>
      <c r="BIU59" s="12"/>
      <c r="BIV59" s="12"/>
      <c r="BIW59" s="12"/>
      <c r="BIX59" s="12"/>
      <c r="BIY59" s="12"/>
      <c r="BIZ59" s="12"/>
      <c r="BJA59" s="12"/>
      <c r="BJB59" s="12"/>
      <c r="BJC59" s="12"/>
      <c r="BJD59" s="12"/>
      <c r="BJE59" s="12"/>
      <c r="BJF59" s="12"/>
      <c r="BJG59" s="12"/>
      <c r="BJH59" s="12"/>
      <c r="BJI59" s="12"/>
      <c r="BJJ59" s="12"/>
      <c r="BJK59" s="12"/>
      <c r="BJL59" s="12"/>
      <c r="BJM59" s="12"/>
      <c r="BJN59" s="12"/>
      <c r="BJO59" s="12"/>
      <c r="BJP59" s="12"/>
      <c r="BJQ59" s="12"/>
      <c r="BJR59" s="12"/>
      <c r="BJS59" s="12"/>
      <c r="BJT59" s="12"/>
      <c r="BJU59" s="12"/>
      <c r="BJV59" s="12"/>
      <c r="BJW59" s="12"/>
      <c r="BJX59" s="12"/>
      <c r="BJY59" s="12"/>
      <c r="BJZ59" s="12"/>
      <c r="BKA59" s="12"/>
      <c r="BKB59" s="12"/>
      <c r="BKC59" s="12"/>
      <c r="BKD59" s="12"/>
      <c r="BKE59" s="12"/>
      <c r="BKF59" s="12"/>
      <c r="BKG59" s="12"/>
      <c r="BKH59" s="12"/>
      <c r="BKI59" s="12"/>
      <c r="BKJ59" s="12"/>
      <c r="BKK59" s="12"/>
      <c r="BKL59" s="12"/>
      <c r="BKM59" s="12"/>
      <c r="BKN59" s="12"/>
      <c r="BKO59" s="12"/>
      <c r="BKP59" s="12"/>
      <c r="BKQ59" s="12"/>
      <c r="BKR59" s="12"/>
      <c r="BKS59" s="12"/>
      <c r="BKT59" s="12"/>
      <c r="BKU59" s="12"/>
      <c r="BKV59" s="12"/>
      <c r="BKW59" s="12"/>
      <c r="BKX59" s="12"/>
      <c r="BKY59" s="12"/>
      <c r="BKZ59" s="12"/>
      <c r="BLA59" s="12"/>
      <c r="BLB59" s="12"/>
      <c r="BLC59" s="12"/>
      <c r="BLD59" s="12"/>
      <c r="BLE59" s="12"/>
      <c r="BLF59" s="12"/>
      <c r="BLG59" s="12"/>
      <c r="BLH59" s="12"/>
      <c r="BLI59" s="12"/>
      <c r="BLJ59" s="12"/>
      <c r="BLK59" s="12"/>
      <c r="BLL59" s="12"/>
      <c r="BLM59" s="12"/>
      <c r="BLN59" s="12"/>
      <c r="BLO59" s="12"/>
      <c r="BLP59" s="12"/>
      <c r="BLQ59" s="12"/>
      <c r="BLR59" s="12"/>
      <c r="BLS59" s="12"/>
      <c r="BLT59" s="12"/>
      <c r="BLU59" s="12"/>
      <c r="BLV59" s="12"/>
      <c r="BLW59" s="12"/>
      <c r="BLX59" s="12"/>
      <c r="BLY59" s="12"/>
      <c r="BLZ59" s="12"/>
      <c r="BMA59" s="12"/>
      <c r="BMB59" s="12"/>
      <c r="BMC59" s="12"/>
      <c r="BMD59" s="12"/>
      <c r="BME59" s="12"/>
      <c r="BMF59" s="12"/>
      <c r="BMG59" s="12"/>
      <c r="BMH59" s="12"/>
      <c r="BMI59" s="12"/>
      <c r="BMJ59" s="12"/>
      <c r="BMK59" s="12"/>
      <c r="BML59" s="12"/>
      <c r="BMM59" s="12"/>
      <c r="BMN59" s="12"/>
      <c r="BMO59" s="12"/>
      <c r="BMP59" s="12"/>
      <c r="BMQ59" s="12"/>
      <c r="BMR59" s="12"/>
      <c r="BMS59" s="12"/>
      <c r="BMT59" s="12"/>
      <c r="BMU59" s="12"/>
      <c r="BMV59" s="12"/>
      <c r="BMW59" s="12"/>
      <c r="BMX59" s="12"/>
      <c r="BMY59" s="12"/>
      <c r="BMZ59" s="12"/>
      <c r="BNA59" s="12"/>
      <c r="BNB59" s="12"/>
      <c r="BNC59" s="12"/>
      <c r="BND59" s="12"/>
      <c r="BNE59" s="12"/>
      <c r="BNF59" s="12"/>
      <c r="BNG59" s="12"/>
      <c r="BNH59" s="12"/>
      <c r="BNI59" s="12"/>
      <c r="BNJ59" s="12"/>
      <c r="BNK59" s="12"/>
      <c r="BNL59" s="12"/>
      <c r="BNM59" s="12"/>
      <c r="BNN59" s="12"/>
      <c r="BNO59" s="12"/>
      <c r="BNP59" s="12"/>
      <c r="BNQ59" s="12"/>
      <c r="BNR59" s="12"/>
      <c r="BNS59" s="12"/>
      <c r="BNT59" s="12"/>
      <c r="BNU59" s="12"/>
      <c r="BNV59" s="12"/>
      <c r="BNW59" s="12"/>
      <c r="BNX59" s="12"/>
      <c r="BNY59" s="12"/>
      <c r="BNZ59" s="12"/>
      <c r="BOA59" s="12"/>
      <c r="BOB59" s="12"/>
      <c r="BOC59" s="12"/>
      <c r="BOD59" s="12"/>
      <c r="BOE59" s="12"/>
      <c r="BOF59" s="12"/>
      <c r="BOG59" s="12"/>
      <c r="BOH59" s="12"/>
      <c r="BOI59" s="12"/>
      <c r="BOJ59" s="12"/>
      <c r="BOK59" s="12"/>
      <c r="BOL59" s="12"/>
      <c r="BOM59" s="12"/>
      <c r="BON59" s="12"/>
      <c r="BOO59" s="12"/>
      <c r="BOP59" s="12"/>
      <c r="BOQ59" s="12"/>
      <c r="BOR59" s="12"/>
      <c r="BOS59" s="12"/>
      <c r="BOT59" s="12"/>
      <c r="BOU59" s="12"/>
      <c r="BOV59" s="12"/>
      <c r="BOW59" s="12"/>
      <c r="BOX59" s="12"/>
      <c r="BOY59" s="12"/>
      <c r="BOZ59" s="12"/>
      <c r="BPA59" s="12"/>
      <c r="BPB59" s="12"/>
      <c r="BPC59" s="12"/>
      <c r="BPD59" s="12"/>
      <c r="BPE59" s="12"/>
      <c r="BPF59" s="12"/>
      <c r="BPG59" s="12"/>
      <c r="BPH59" s="12"/>
      <c r="BPI59" s="12"/>
      <c r="BPJ59" s="12"/>
      <c r="BPK59" s="12"/>
      <c r="BPL59" s="12"/>
      <c r="BPM59" s="12"/>
      <c r="BPN59" s="12"/>
      <c r="BPO59" s="12"/>
      <c r="BPP59" s="12"/>
      <c r="BPQ59" s="12"/>
      <c r="BPR59" s="12"/>
      <c r="BPS59" s="12"/>
      <c r="BPT59" s="12"/>
      <c r="BPU59" s="12"/>
      <c r="BPV59" s="12"/>
      <c r="BPW59" s="12"/>
      <c r="BPX59" s="12"/>
      <c r="BPY59" s="12"/>
      <c r="BPZ59" s="12"/>
      <c r="BQA59" s="12"/>
      <c r="BQB59" s="12"/>
      <c r="BQC59" s="12"/>
      <c r="BQD59" s="12"/>
      <c r="BQE59" s="12"/>
      <c r="BQF59" s="12"/>
      <c r="BQG59" s="12"/>
      <c r="BQH59" s="12"/>
      <c r="BQI59" s="12"/>
      <c r="BQJ59" s="12"/>
      <c r="BQK59" s="12"/>
      <c r="BQL59" s="12"/>
      <c r="BQM59" s="12"/>
      <c r="BQN59" s="12"/>
      <c r="BQO59" s="12"/>
      <c r="BQP59" s="12"/>
      <c r="BQQ59" s="12"/>
      <c r="BQR59" s="12"/>
      <c r="BQS59" s="12"/>
      <c r="BQT59" s="12"/>
      <c r="BQU59" s="12"/>
      <c r="BQV59" s="12"/>
      <c r="BQW59" s="12"/>
      <c r="BQX59" s="12"/>
      <c r="BQY59" s="12"/>
      <c r="BQZ59" s="12"/>
      <c r="BRA59" s="12"/>
      <c r="BRB59" s="12"/>
      <c r="BRC59" s="12"/>
      <c r="BRD59" s="12"/>
      <c r="BRE59" s="12"/>
      <c r="BRF59" s="12"/>
      <c r="BRG59" s="12"/>
      <c r="BRH59" s="12"/>
      <c r="BRI59" s="12"/>
      <c r="BRJ59" s="12"/>
      <c r="BRK59" s="12"/>
      <c r="BRL59" s="12"/>
      <c r="BRM59" s="12"/>
      <c r="BRN59" s="12"/>
      <c r="BRO59" s="12"/>
      <c r="BRP59" s="12"/>
      <c r="BRQ59" s="12"/>
      <c r="BRR59" s="12"/>
      <c r="BRS59" s="12"/>
      <c r="BRT59" s="12"/>
      <c r="BRU59" s="12"/>
      <c r="BRV59" s="12"/>
      <c r="BRW59" s="12"/>
      <c r="BRX59" s="12"/>
      <c r="BRY59" s="12"/>
      <c r="BRZ59" s="12"/>
      <c r="BSA59" s="12"/>
      <c r="BSB59" s="12"/>
      <c r="BSC59" s="12"/>
      <c r="BSD59" s="12"/>
      <c r="BSE59" s="12"/>
      <c r="BSF59" s="12"/>
      <c r="BSG59" s="12"/>
      <c r="BSH59" s="12"/>
      <c r="BSI59" s="12"/>
      <c r="BSJ59" s="12"/>
      <c r="BSK59" s="12"/>
      <c r="BSL59" s="12"/>
      <c r="BSM59" s="12"/>
      <c r="BSN59" s="12"/>
      <c r="BSO59" s="12"/>
      <c r="BSP59" s="12"/>
      <c r="BSQ59" s="12"/>
      <c r="BSR59" s="12"/>
      <c r="BSS59" s="12"/>
      <c r="BST59" s="12"/>
      <c r="BSU59" s="12"/>
      <c r="BSV59" s="12"/>
      <c r="BSW59" s="12"/>
      <c r="BSX59" s="12"/>
      <c r="BSY59" s="12"/>
      <c r="BSZ59" s="12"/>
      <c r="BTA59" s="12"/>
      <c r="BTB59" s="12"/>
      <c r="BTC59" s="12"/>
      <c r="BTD59" s="12"/>
      <c r="BTE59" s="12"/>
      <c r="BTF59" s="12"/>
      <c r="BTG59" s="12"/>
      <c r="BTH59" s="12"/>
      <c r="BTI59" s="12"/>
      <c r="BTJ59" s="12"/>
      <c r="BTK59" s="12"/>
      <c r="BTL59" s="12"/>
      <c r="BTM59" s="12"/>
      <c r="BTN59" s="12"/>
      <c r="BTO59" s="12"/>
      <c r="BTP59" s="12"/>
      <c r="BTQ59" s="12"/>
      <c r="BTR59" s="12"/>
      <c r="BTS59" s="12"/>
      <c r="BTT59" s="12"/>
      <c r="BTU59" s="12"/>
      <c r="BTV59" s="12"/>
      <c r="BTW59" s="12"/>
      <c r="BTX59" s="12"/>
      <c r="BTY59" s="12"/>
      <c r="BTZ59" s="12"/>
      <c r="BUA59" s="12"/>
      <c r="BUB59" s="12"/>
      <c r="BUC59" s="12"/>
      <c r="BUD59" s="12"/>
      <c r="BUE59" s="12"/>
      <c r="BUF59" s="12"/>
      <c r="BUG59" s="12"/>
      <c r="BUH59" s="12"/>
      <c r="BUI59" s="12"/>
      <c r="BUJ59" s="12"/>
      <c r="BUK59" s="12"/>
      <c r="BUL59" s="12"/>
      <c r="BUM59" s="12"/>
      <c r="BUN59" s="12"/>
      <c r="BUO59" s="12"/>
      <c r="BUP59" s="12"/>
      <c r="BUQ59" s="12"/>
      <c r="BUR59" s="12"/>
      <c r="BUS59" s="12"/>
      <c r="BUT59" s="12"/>
      <c r="BUU59" s="12"/>
      <c r="BUV59" s="12"/>
      <c r="BUW59" s="12"/>
      <c r="BUX59" s="12"/>
      <c r="BUY59" s="12"/>
      <c r="BUZ59" s="12"/>
      <c r="BVA59" s="12"/>
      <c r="BVB59" s="12"/>
      <c r="BVC59" s="12"/>
      <c r="BVD59" s="12"/>
      <c r="BVE59" s="12"/>
      <c r="BVF59" s="12"/>
      <c r="BVG59" s="12"/>
      <c r="BVH59" s="12"/>
      <c r="BVI59" s="12"/>
      <c r="BVJ59" s="12"/>
      <c r="BVK59" s="12"/>
      <c r="BVL59" s="12"/>
      <c r="BVM59" s="12"/>
      <c r="BVN59" s="12"/>
      <c r="BVO59" s="12"/>
      <c r="BVP59" s="12"/>
      <c r="BVQ59" s="12"/>
      <c r="BVR59" s="12"/>
      <c r="BVS59" s="12"/>
      <c r="BVT59" s="12"/>
      <c r="BVU59" s="12"/>
      <c r="BVV59" s="12"/>
      <c r="BVW59" s="12"/>
      <c r="BVX59" s="12"/>
      <c r="BVY59" s="12"/>
      <c r="BVZ59" s="12"/>
      <c r="BWA59" s="12"/>
      <c r="BWB59" s="12"/>
      <c r="BWC59" s="12"/>
      <c r="BWD59" s="12"/>
      <c r="BWE59" s="12"/>
      <c r="BWF59" s="12"/>
      <c r="BWG59" s="12"/>
      <c r="BWH59" s="12"/>
      <c r="BWI59" s="12"/>
      <c r="BWJ59" s="12"/>
      <c r="BWK59" s="12"/>
      <c r="BWL59" s="12"/>
      <c r="BWM59" s="12"/>
      <c r="BWN59" s="12"/>
      <c r="BWO59" s="12"/>
      <c r="BWP59" s="12"/>
      <c r="BWQ59" s="12"/>
      <c r="BWR59" s="12"/>
      <c r="BWS59" s="12"/>
      <c r="BWT59" s="12"/>
      <c r="BWU59" s="12"/>
      <c r="BWV59" s="12"/>
      <c r="BWW59" s="12"/>
      <c r="BWX59" s="12"/>
      <c r="BWY59" s="12"/>
      <c r="BWZ59" s="12"/>
      <c r="BXA59" s="12"/>
      <c r="BXB59" s="12"/>
      <c r="BXC59" s="12"/>
      <c r="BXD59" s="12"/>
      <c r="BXE59" s="12"/>
      <c r="BXF59" s="12"/>
      <c r="BXG59" s="12"/>
      <c r="BXH59" s="12"/>
      <c r="BXI59" s="12"/>
      <c r="BXJ59" s="12"/>
      <c r="BXK59" s="12"/>
      <c r="BXL59" s="12"/>
      <c r="BXM59" s="12"/>
      <c r="BXN59" s="12"/>
      <c r="BXO59" s="12"/>
      <c r="BXP59" s="12"/>
      <c r="BXQ59" s="12"/>
      <c r="BXR59" s="12"/>
      <c r="BXS59" s="12"/>
      <c r="BXT59" s="12"/>
      <c r="BXU59" s="12"/>
      <c r="BXV59" s="12"/>
      <c r="BXW59" s="12"/>
      <c r="BXX59" s="12"/>
      <c r="BXY59" s="12"/>
      <c r="BXZ59" s="12"/>
      <c r="BYA59" s="12"/>
      <c r="BYB59" s="12"/>
      <c r="BYC59" s="12"/>
      <c r="BYD59" s="12"/>
      <c r="BYE59" s="12"/>
      <c r="BYF59" s="12"/>
      <c r="BYG59" s="12"/>
      <c r="BYH59" s="12"/>
      <c r="BYI59" s="12"/>
      <c r="BYJ59" s="12"/>
      <c r="BYK59" s="12"/>
      <c r="BYL59" s="12"/>
      <c r="BYM59" s="12"/>
      <c r="BYN59" s="12"/>
      <c r="BYO59" s="12"/>
      <c r="BYP59" s="12"/>
      <c r="BYQ59" s="12"/>
      <c r="BYR59" s="12"/>
      <c r="BYS59" s="12"/>
      <c r="BYT59" s="12"/>
      <c r="BYU59" s="12"/>
      <c r="BYV59" s="12"/>
      <c r="BYW59" s="12"/>
      <c r="BYX59" s="12"/>
      <c r="BYY59" s="12"/>
      <c r="BYZ59" s="12"/>
      <c r="BZA59" s="12"/>
      <c r="BZB59" s="12"/>
      <c r="BZC59" s="12"/>
      <c r="BZD59" s="12"/>
      <c r="BZE59" s="12"/>
      <c r="BZF59" s="12"/>
      <c r="BZG59" s="12"/>
      <c r="BZH59" s="12"/>
      <c r="BZI59" s="12"/>
      <c r="BZJ59" s="12"/>
      <c r="BZK59" s="12"/>
      <c r="BZL59" s="12"/>
      <c r="BZM59" s="12"/>
      <c r="BZN59" s="12"/>
      <c r="BZO59" s="12"/>
      <c r="BZP59" s="12"/>
      <c r="BZQ59" s="12"/>
      <c r="BZR59" s="12"/>
      <c r="BZS59" s="12"/>
      <c r="BZT59" s="12"/>
      <c r="BZU59" s="12"/>
      <c r="BZV59" s="12"/>
      <c r="BZW59" s="12"/>
      <c r="BZX59" s="12"/>
      <c r="BZY59" s="12"/>
      <c r="BZZ59" s="12"/>
      <c r="CAA59" s="12"/>
      <c r="CAB59" s="12"/>
      <c r="CAC59" s="12"/>
      <c r="CAD59" s="12"/>
      <c r="CAE59" s="12"/>
      <c r="CAF59" s="12"/>
      <c r="CAG59" s="12"/>
      <c r="CAH59" s="12"/>
      <c r="CAI59" s="12"/>
      <c r="CAJ59" s="12"/>
      <c r="CAK59" s="12"/>
      <c r="CAL59" s="12"/>
      <c r="CAM59" s="12"/>
      <c r="CAN59" s="12"/>
      <c r="CAO59" s="12"/>
      <c r="CAP59" s="12"/>
      <c r="CAQ59" s="12"/>
      <c r="CAR59" s="12"/>
      <c r="CAS59" s="12"/>
      <c r="CAT59" s="12"/>
      <c r="CAU59" s="12"/>
      <c r="CAV59" s="12"/>
      <c r="CAW59" s="12"/>
      <c r="CAX59" s="12"/>
      <c r="CAY59" s="12"/>
      <c r="CAZ59" s="12"/>
      <c r="CBA59" s="12"/>
      <c r="CBB59" s="12"/>
      <c r="CBC59" s="12"/>
      <c r="CBD59" s="12"/>
      <c r="CBE59" s="12"/>
      <c r="CBF59" s="12"/>
      <c r="CBG59" s="12"/>
      <c r="CBH59" s="12"/>
      <c r="CBI59" s="12"/>
      <c r="CBJ59" s="12"/>
      <c r="CBK59" s="12"/>
      <c r="CBL59" s="12"/>
      <c r="CBM59" s="12"/>
      <c r="CBN59" s="12"/>
      <c r="CBO59" s="12"/>
      <c r="CBP59" s="12"/>
      <c r="CBQ59" s="12"/>
      <c r="CBR59" s="12"/>
      <c r="CBS59" s="12"/>
      <c r="CBT59" s="12"/>
      <c r="CBU59" s="12"/>
      <c r="CBV59" s="12"/>
      <c r="CBW59" s="12"/>
      <c r="CBX59" s="12"/>
      <c r="CBY59" s="12"/>
      <c r="CBZ59" s="12"/>
      <c r="CCA59" s="12"/>
      <c r="CCB59" s="12"/>
      <c r="CCC59" s="12"/>
      <c r="CCD59" s="12"/>
      <c r="CCE59" s="12"/>
      <c r="CCF59" s="12"/>
      <c r="CCG59" s="12"/>
      <c r="CCH59" s="12"/>
      <c r="CCI59" s="12"/>
      <c r="CCJ59" s="12"/>
      <c r="CCK59" s="12"/>
      <c r="CCL59" s="12"/>
      <c r="CCM59" s="12"/>
      <c r="CCN59" s="12"/>
      <c r="CCO59" s="12"/>
      <c r="CCP59" s="12"/>
      <c r="CCQ59" s="12"/>
      <c r="CCR59" s="12"/>
      <c r="CCS59" s="12"/>
      <c r="CCT59" s="12"/>
      <c r="CCU59" s="12"/>
      <c r="CCV59" s="12"/>
      <c r="CCW59" s="12"/>
      <c r="CCX59" s="12"/>
      <c r="CCY59" s="12"/>
      <c r="CCZ59" s="12"/>
      <c r="CDA59" s="12"/>
      <c r="CDB59" s="12"/>
      <c r="CDC59" s="12"/>
      <c r="CDD59" s="12"/>
      <c r="CDE59" s="12"/>
      <c r="CDF59" s="12"/>
      <c r="CDG59" s="12"/>
      <c r="CDH59" s="12"/>
      <c r="CDI59" s="12"/>
      <c r="CDJ59" s="12"/>
      <c r="CDK59" s="12"/>
      <c r="CDL59" s="12"/>
      <c r="CDM59" s="12"/>
      <c r="CDN59" s="12"/>
      <c r="CDO59" s="12"/>
      <c r="CDP59" s="12"/>
      <c r="CDQ59" s="12"/>
      <c r="CDR59" s="12"/>
      <c r="CDS59" s="12"/>
      <c r="CDT59" s="12"/>
      <c r="CDU59" s="12"/>
      <c r="CDV59" s="12"/>
      <c r="CDW59" s="12"/>
      <c r="CDX59" s="12"/>
      <c r="CDY59" s="12"/>
      <c r="CDZ59" s="12"/>
      <c r="CEA59" s="12"/>
      <c r="CEB59" s="12"/>
      <c r="CEC59" s="12"/>
      <c r="CED59" s="12"/>
      <c r="CEE59" s="12"/>
      <c r="CEF59" s="12"/>
      <c r="CEG59" s="12"/>
      <c r="CEH59" s="12"/>
      <c r="CEI59" s="12"/>
      <c r="CEJ59" s="12"/>
      <c r="CEK59" s="12"/>
      <c r="CEL59" s="12"/>
      <c r="CEM59" s="12"/>
      <c r="CEN59" s="12"/>
      <c r="CEO59" s="12"/>
      <c r="CEP59" s="12"/>
      <c r="CEQ59" s="12"/>
      <c r="CER59" s="12"/>
      <c r="CES59" s="12"/>
      <c r="CET59" s="12"/>
      <c r="CEU59" s="12"/>
      <c r="CEV59" s="12"/>
      <c r="CEW59" s="12"/>
      <c r="CEX59" s="12"/>
      <c r="CEY59" s="12"/>
      <c r="CEZ59" s="12"/>
      <c r="CFA59" s="12"/>
      <c r="CFB59" s="12"/>
      <c r="CFC59" s="12"/>
      <c r="CFD59" s="12"/>
      <c r="CFE59" s="12"/>
      <c r="CFF59" s="12"/>
      <c r="CFG59" s="12"/>
      <c r="CFH59" s="12"/>
      <c r="CFI59" s="12"/>
      <c r="CFJ59" s="12"/>
      <c r="CFK59" s="12"/>
      <c r="CFL59" s="12"/>
      <c r="CFM59" s="12"/>
      <c r="CFN59" s="12"/>
      <c r="CFO59" s="12"/>
      <c r="CFP59" s="12"/>
      <c r="CFQ59" s="12"/>
      <c r="CFR59" s="12"/>
      <c r="CFS59" s="12"/>
      <c r="CFT59" s="12"/>
      <c r="CFU59" s="12"/>
      <c r="CFV59" s="12"/>
      <c r="CFW59" s="12"/>
      <c r="CFX59" s="12"/>
      <c r="CFY59" s="12"/>
      <c r="CFZ59" s="12"/>
      <c r="CGA59" s="12"/>
      <c r="CGB59" s="12"/>
      <c r="CGC59" s="12"/>
      <c r="CGD59" s="12"/>
      <c r="CGE59" s="12"/>
      <c r="CGF59" s="12"/>
      <c r="CGG59" s="12"/>
      <c r="CGH59" s="12"/>
      <c r="CGI59" s="12"/>
      <c r="CGJ59" s="12"/>
      <c r="CGK59" s="12"/>
      <c r="CGL59" s="12"/>
      <c r="CGM59" s="12"/>
      <c r="CGN59" s="12"/>
      <c r="CGO59" s="12"/>
      <c r="CGP59" s="12"/>
      <c r="CGQ59" s="12"/>
      <c r="CGR59" s="12"/>
      <c r="CGS59" s="12"/>
      <c r="CGT59" s="12"/>
      <c r="CGU59" s="12"/>
      <c r="CGV59" s="12"/>
      <c r="CGW59" s="12"/>
      <c r="CGX59" s="12"/>
      <c r="CGY59" s="12"/>
      <c r="CGZ59" s="12"/>
      <c r="CHA59" s="12"/>
      <c r="CHB59" s="12"/>
      <c r="CHC59" s="12"/>
      <c r="CHD59" s="12"/>
      <c r="CHE59" s="12"/>
      <c r="CHF59" s="12"/>
      <c r="CHG59" s="12"/>
      <c r="CHH59" s="12"/>
      <c r="CHI59" s="12"/>
      <c r="CHJ59" s="12"/>
      <c r="CHK59" s="12"/>
      <c r="CHL59" s="12"/>
      <c r="CHM59" s="12"/>
      <c r="CHN59" s="12"/>
      <c r="CHO59" s="12"/>
      <c r="CHP59" s="12"/>
      <c r="CHQ59" s="12"/>
      <c r="CHR59" s="12"/>
      <c r="CHS59" s="12"/>
      <c r="CHT59" s="12"/>
      <c r="CHU59" s="12"/>
      <c r="CHV59" s="12"/>
      <c r="CHW59" s="12"/>
      <c r="CHX59" s="12"/>
      <c r="CHY59" s="12"/>
      <c r="CHZ59" s="12"/>
      <c r="CIA59" s="12"/>
      <c r="CIB59" s="12"/>
      <c r="CIC59" s="12"/>
      <c r="CID59" s="12"/>
      <c r="CIE59" s="12"/>
      <c r="CIF59" s="12"/>
      <c r="CIG59" s="12"/>
      <c r="CIH59" s="12"/>
      <c r="CII59" s="12"/>
      <c r="CIJ59" s="12"/>
      <c r="CIK59" s="12"/>
      <c r="CIL59" s="12"/>
      <c r="CIM59" s="12"/>
      <c r="CIN59" s="12"/>
      <c r="CIO59" s="12"/>
      <c r="CIP59" s="12"/>
      <c r="CIQ59" s="12"/>
      <c r="CIR59" s="12"/>
      <c r="CIS59" s="12"/>
      <c r="CIT59" s="12"/>
      <c r="CIU59" s="12"/>
      <c r="CIV59" s="12"/>
      <c r="CIW59" s="12"/>
      <c r="CIX59" s="12"/>
      <c r="CIY59" s="12"/>
      <c r="CIZ59" s="12"/>
      <c r="CJA59" s="12"/>
      <c r="CJB59" s="12"/>
      <c r="CJC59" s="12"/>
      <c r="CJD59" s="12"/>
      <c r="CJE59" s="12"/>
      <c r="CJF59" s="12"/>
      <c r="CJG59" s="12"/>
      <c r="CJH59" s="12"/>
      <c r="CJI59" s="12"/>
      <c r="CJJ59" s="12"/>
      <c r="CJK59" s="12"/>
      <c r="CJL59" s="12"/>
      <c r="CJM59" s="12"/>
      <c r="CJN59" s="12"/>
      <c r="CJO59" s="12"/>
      <c r="CJP59" s="12"/>
      <c r="CJQ59" s="12"/>
      <c r="CJR59" s="12"/>
      <c r="CJS59" s="12"/>
      <c r="CJT59" s="12"/>
      <c r="CJU59" s="12"/>
      <c r="CJV59" s="12"/>
      <c r="CJW59" s="12"/>
      <c r="CJX59" s="12"/>
      <c r="CJY59" s="12"/>
      <c r="CJZ59" s="12"/>
      <c r="CKA59" s="12"/>
      <c r="CKB59" s="12"/>
      <c r="CKC59" s="12"/>
      <c r="CKD59" s="12"/>
      <c r="CKE59" s="12"/>
      <c r="CKF59" s="12"/>
      <c r="CKG59" s="12"/>
      <c r="CKH59" s="12"/>
      <c r="CKI59" s="12"/>
      <c r="CKJ59" s="12"/>
      <c r="CKK59" s="12"/>
      <c r="CKL59" s="12"/>
      <c r="CKM59" s="12"/>
      <c r="CKN59" s="12"/>
      <c r="CKO59" s="12"/>
      <c r="CKP59" s="12"/>
      <c r="CKQ59" s="12"/>
      <c r="CKR59" s="12"/>
      <c r="CKS59" s="12"/>
      <c r="CKT59" s="12"/>
      <c r="CKU59" s="12"/>
      <c r="CKV59" s="12"/>
      <c r="CKW59" s="12"/>
      <c r="CKX59" s="12"/>
      <c r="CKY59" s="12"/>
      <c r="CKZ59" s="12"/>
      <c r="CLA59" s="12"/>
      <c r="CLB59" s="12"/>
      <c r="CLC59" s="12"/>
      <c r="CLD59" s="12"/>
      <c r="CLE59" s="12"/>
      <c r="CLF59" s="12"/>
      <c r="CLG59" s="12"/>
      <c r="CLH59" s="12"/>
      <c r="CLI59" s="12"/>
      <c r="CLJ59" s="12"/>
      <c r="CLK59" s="12"/>
      <c r="CLL59" s="12"/>
      <c r="CLM59" s="12"/>
      <c r="CLN59" s="12"/>
      <c r="CLO59" s="12"/>
      <c r="CLP59" s="12"/>
      <c r="CLQ59" s="12"/>
      <c r="CLR59" s="12"/>
      <c r="CLS59" s="12"/>
      <c r="CLT59" s="12"/>
      <c r="CLU59" s="12"/>
      <c r="CLV59" s="12"/>
      <c r="CLW59" s="12"/>
      <c r="CLX59" s="12"/>
      <c r="CLY59" s="12"/>
      <c r="CLZ59" s="12"/>
      <c r="CMA59" s="12"/>
      <c r="CMB59" s="12"/>
      <c r="CMC59" s="12"/>
      <c r="CMD59" s="12"/>
      <c r="CME59" s="12"/>
      <c r="CMF59" s="12"/>
      <c r="CMG59" s="12"/>
      <c r="CMH59" s="12"/>
      <c r="CMI59" s="12"/>
      <c r="CMJ59" s="12"/>
      <c r="CMK59" s="12"/>
      <c r="CML59" s="12"/>
      <c r="CMM59" s="12"/>
      <c r="CMN59" s="12"/>
      <c r="CMO59" s="12"/>
      <c r="CMP59" s="12"/>
      <c r="CMQ59" s="12"/>
      <c r="CMR59" s="12"/>
      <c r="CMS59" s="12"/>
      <c r="CMT59" s="12"/>
      <c r="CMU59" s="12"/>
      <c r="CMV59" s="12"/>
      <c r="CMW59" s="12"/>
      <c r="CMX59" s="12"/>
      <c r="CMY59" s="12"/>
      <c r="CMZ59" s="12"/>
      <c r="CNA59" s="12"/>
      <c r="CNB59" s="12"/>
      <c r="CNC59" s="12"/>
      <c r="CND59" s="12"/>
      <c r="CNE59" s="12"/>
      <c r="CNF59" s="12"/>
      <c r="CNG59" s="12"/>
      <c r="CNH59" s="12"/>
      <c r="CNI59" s="12"/>
      <c r="CNJ59" s="12"/>
      <c r="CNK59" s="12"/>
      <c r="CNL59" s="12"/>
      <c r="CNM59" s="12"/>
      <c r="CNN59" s="12"/>
      <c r="CNO59" s="12"/>
      <c r="CNP59" s="12"/>
      <c r="CNQ59" s="12"/>
      <c r="CNR59" s="12"/>
      <c r="CNS59" s="12"/>
      <c r="CNT59" s="12"/>
      <c r="CNU59" s="12"/>
      <c r="CNV59" s="12"/>
      <c r="CNW59" s="12"/>
      <c r="CNX59" s="12"/>
      <c r="CNY59" s="12"/>
      <c r="CNZ59" s="12"/>
      <c r="COA59" s="12"/>
      <c r="COB59" s="12"/>
      <c r="COC59" s="12"/>
      <c r="COD59" s="12"/>
      <c r="COE59" s="12"/>
      <c r="COF59" s="12"/>
      <c r="COG59" s="12"/>
      <c r="COH59" s="12"/>
      <c r="COI59" s="12"/>
      <c r="COJ59" s="12"/>
      <c r="COK59" s="12"/>
      <c r="COL59" s="12"/>
      <c r="COM59" s="12"/>
      <c r="CON59" s="12"/>
      <c r="COO59" s="12"/>
      <c r="COP59" s="12"/>
      <c r="COQ59" s="12"/>
      <c r="COR59" s="12"/>
      <c r="COS59" s="12"/>
      <c r="COT59" s="12"/>
      <c r="COU59" s="12"/>
      <c r="COV59" s="12"/>
      <c r="COW59" s="12"/>
      <c r="COX59" s="12"/>
      <c r="COY59" s="12"/>
      <c r="COZ59" s="12"/>
      <c r="CPA59" s="12"/>
      <c r="CPB59" s="12"/>
      <c r="CPC59" s="12"/>
      <c r="CPD59" s="12"/>
      <c r="CPE59" s="12"/>
      <c r="CPF59" s="12"/>
      <c r="CPG59" s="12"/>
      <c r="CPH59" s="12"/>
      <c r="CPI59" s="12"/>
      <c r="CPJ59" s="12"/>
      <c r="CPK59" s="12"/>
      <c r="CPL59" s="12"/>
      <c r="CPM59" s="12"/>
      <c r="CPN59" s="12"/>
      <c r="CPO59" s="12"/>
      <c r="CPP59" s="12"/>
      <c r="CPQ59" s="12"/>
      <c r="CPR59" s="12"/>
      <c r="CPS59" s="12"/>
      <c r="CPT59" s="12"/>
      <c r="CPU59" s="12"/>
      <c r="CPV59" s="12"/>
      <c r="CPW59" s="12"/>
      <c r="CPX59" s="12"/>
      <c r="CPY59" s="12"/>
      <c r="CPZ59" s="12"/>
      <c r="CQA59" s="12"/>
      <c r="CQB59" s="12"/>
      <c r="CQC59" s="12"/>
      <c r="CQD59" s="12"/>
      <c r="CQE59" s="12"/>
      <c r="CQF59" s="12"/>
      <c r="CQG59" s="12"/>
      <c r="CQH59" s="12"/>
      <c r="CQI59" s="12"/>
      <c r="CQJ59" s="12"/>
      <c r="CQK59" s="12"/>
      <c r="CQL59" s="12"/>
      <c r="CQM59" s="12"/>
      <c r="CQN59" s="12"/>
      <c r="CQO59" s="12"/>
      <c r="CQP59" s="12"/>
      <c r="CQQ59" s="12"/>
      <c r="CQR59" s="12"/>
      <c r="CQS59" s="12"/>
      <c r="CQT59" s="12"/>
      <c r="CQU59" s="12"/>
      <c r="CQV59" s="12"/>
      <c r="CQW59" s="12"/>
      <c r="CQX59" s="12"/>
      <c r="CQY59" s="12"/>
      <c r="CQZ59" s="12"/>
      <c r="CRA59" s="12"/>
      <c r="CRB59" s="12"/>
      <c r="CRC59" s="12"/>
      <c r="CRD59" s="12"/>
      <c r="CRE59" s="12"/>
      <c r="CRF59" s="12"/>
      <c r="CRG59" s="12"/>
      <c r="CRH59" s="12"/>
      <c r="CRI59" s="12"/>
      <c r="CRJ59" s="12"/>
      <c r="CRK59" s="12"/>
      <c r="CRL59" s="12"/>
      <c r="CRM59" s="12"/>
      <c r="CRN59" s="12"/>
      <c r="CRO59" s="12"/>
      <c r="CRP59" s="12"/>
      <c r="CRQ59" s="12"/>
      <c r="CRR59" s="12"/>
      <c r="CRS59" s="12"/>
      <c r="CRT59" s="12"/>
      <c r="CRU59" s="12"/>
      <c r="CRV59" s="12"/>
      <c r="CRW59" s="12"/>
      <c r="CRX59" s="12"/>
      <c r="CRY59" s="12"/>
      <c r="CRZ59" s="12"/>
      <c r="CSA59" s="12"/>
      <c r="CSB59" s="12"/>
      <c r="CSC59" s="12"/>
      <c r="CSD59" s="12"/>
      <c r="CSE59" s="12"/>
      <c r="CSF59" s="12"/>
      <c r="CSG59" s="12"/>
      <c r="CSH59" s="12"/>
      <c r="CSI59" s="12"/>
      <c r="CSJ59" s="12"/>
      <c r="CSK59" s="12"/>
      <c r="CSL59" s="12"/>
      <c r="CSM59" s="12"/>
      <c r="CSN59" s="12"/>
      <c r="CSO59" s="12"/>
      <c r="CSP59" s="12"/>
      <c r="CSQ59" s="12"/>
      <c r="CSR59" s="12"/>
      <c r="CSS59" s="12"/>
      <c r="CST59" s="12"/>
      <c r="CSU59" s="12"/>
      <c r="CSV59" s="12"/>
      <c r="CSW59" s="12"/>
      <c r="CSX59" s="12"/>
      <c r="CSY59" s="12"/>
      <c r="CSZ59" s="12"/>
      <c r="CTA59" s="12"/>
      <c r="CTB59" s="12"/>
      <c r="CTC59" s="12"/>
      <c r="CTD59" s="12"/>
      <c r="CTE59" s="12"/>
      <c r="CTF59" s="12"/>
      <c r="CTG59" s="12"/>
      <c r="CTH59" s="12"/>
      <c r="CTI59" s="12"/>
      <c r="CTJ59" s="12"/>
      <c r="CTK59" s="12"/>
      <c r="CTL59" s="12"/>
      <c r="CTM59" s="12"/>
      <c r="CTN59" s="12"/>
      <c r="CTO59" s="12"/>
      <c r="CTP59" s="12"/>
      <c r="CTQ59" s="12"/>
      <c r="CTR59" s="12"/>
      <c r="CTS59" s="12"/>
      <c r="CTT59" s="12"/>
      <c r="CTU59" s="12"/>
      <c r="CTV59" s="12"/>
      <c r="CTW59" s="12"/>
      <c r="CTX59" s="12"/>
      <c r="CTY59" s="12"/>
      <c r="CTZ59" s="12"/>
      <c r="CUA59" s="12"/>
      <c r="CUB59" s="12"/>
      <c r="CUC59" s="12"/>
      <c r="CUD59" s="12"/>
      <c r="CUE59" s="12"/>
      <c r="CUF59" s="12"/>
      <c r="CUG59" s="12"/>
      <c r="CUH59" s="12"/>
      <c r="CUI59" s="12"/>
      <c r="CUJ59" s="12"/>
      <c r="CUK59" s="12"/>
      <c r="CUL59" s="12"/>
      <c r="CUM59" s="12"/>
      <c r="CUN59" s="12"/>
      <c r="CUO59" s="12"/>
      <c r="CUP59" s="12"/>
      <c r="CUQ59" s="12"/>
      <c r="CUR59" s="12"/>
      <c r="CUS59" s="12"/>
      <c r="CUT59" s="12"/>
      <c r="CUU59" s="12"/>
      <c r="CUV59" s="12"/>
      <c r="CUW59" s="12"/>
      <c r="CUX59" s="12"/>
      <c r="CUY59" s="12"/>
      <c r="CUZ59" s="12"/>
      <c r="CVA59" s="12"/>
      <c r="CVB59" s="12"/>
      <c r="CVC59" s="12"/>
      <c r="CVD59" s="12"/>
      <c r="CVE59" s="12"/>
      <c r="CVF59" s="12"/>
      <c r="CVG59" s="12"/>
      <c r="CVH59" s="12"/>
      <c r="CVI59" s="12"/>
      <c r="CVJ59" s="12"/>
      <c r="CVK59" s="12"/>
      <c r="CVL59" s="12"/>
      <c r="CVM59" s="12"/>
      <c r="CVN59" s="12"/>
      <c r="CVO59" s="12"/>
      <c r="CVP59" s="12"/>
      <c r="CVQ59" s="12"/>
      <c r="CVR59" s="12"/>
      <c r="CVS59" s="12"/>
      <c r="CVT59" s="12"/>
      <c r="CVU59" s="12"/>
      <c r="CVV59" s="12"/>
      <c r="CVW59" s="12"/>
      <c r="CVX59" s="12"/>
      <c r="CVY59" s="12"/>
      <c r="CVZ59" s="12"/>
      <c r="CWA59" s="12"/>
      <c r="CWB59" s="12"/>
      <c r="CWC59" s="12"/>
      <c r="CWD59" s="12"/>
      <c r="CWE59" s="12"/>
      <c r="CWF59" s="12"/>
      <c r="CWG59" s="12"/>
      <c r="CWH59" s="12"/>
      <c r="CWI59" s="12"/>
      <c r="CWJ59" s="12"/>
      <c r="CWK59" s="12"/>
      <c r="CWL59" s="12"/>
      <c r="CWM59" s="12"/>
      <c r="CWN59" s="12"/>
      <c r="CWO59" s="12"/>
      <c r="CWP59" s="12"/>
      <c r="CWQ59" s="12"/>
      <c r="CWR59" s="12"/>
      <c r="CWS59" s="12"/>
      <c r="CWT59" s="12"/>
      <c r="CWU59" s="12"/>
      <c r="CWV59" s="12"/>
      <c r="CWW59" s="12"/>
      <c r="CWX59" s="12"/>
      <c r="CWY59" s="12"/>
      <c r="CWZ59" s="12"/>
      <c r="CXA59" s="12"/>
      <c r="CXB59" s="12"/>
      <c r="CXC59" s="12"/>
      <c r="CXD59" s="12"/>
      <c r="CXE59" s="12"/>
      <c r="CXF59" s="12"/>
      <c r="CXG59" s="12"/>
      <c r="CXH59" s="12"/>
      <c r="CXI59" s="12"/>
      <c r="CXJ59" s="12"/>
      <c r="CXK59" s="12"/>
      <c r="CXL59" s="12"/>
      <c r="CXM59" s="12"/>
      <c r="CXN59" s="12"/>
      <c r="CXO59" s="12"/>
      <c r="CXP59" s="12"/>
      <c r="CXQ59" s="12"/>
      <c r="CXR59" s="12"/>
      <c r="CXS59" s="12"/>
      <c r="CXT59" s="12"/>
      <c r="CXU59" s="12"/>
      <c r="CXV59" s="12"/>
      <c r="CXW59" s="12"/>
      <c r="CXX59" s="12"/>
      <c r="CXY59" s="12"/>
      <c r="CXZ59" s="12"/>
      <c r="CYA59" s="12"/>
      <c r="CYB59" s="12"/>
      <c r="CYC59" s="12"/>
      <c r="CYD59" s="12"/>
      <c r="CYE59" s="12"/>
      <c r="CYF59" s="12"/>
      <c r="CYG59" s="12"/>
      <c r="CYH59" s="12"/>
      <c r="CYI59" s="12"/>
      <c r="CYJ59" s="12"/>
      <c r="CYK59" s="12"/>
      <c r="CYL59" s="12"/>
      <c r="CYM59" s="12"/>
      <c r="CYN59" s="12"/>
      <c r="CYO59" s="12"/>
      <c r="CYP59" s="12"/>
      <c r="CYQ59" s="12"/>
      <c r="CYR59" s="12"/>
      <c r="CYS59" s="12"/>
      <c r="CYT59" s="12"/>
      <c r="CYU59" s="12"/>
      <c r="CYV59" s="12"/>
      <c r="CYW59" s="12"/>
      <c r="CYX59" s="12"/>
      <c r="CYY59" s="12"/>
      <c r="CYZ59" s="12"/>
      <c r="CZA59" s="12"/>
      <c r="CZB59" s="12"/>
      <c r="CZC59" s="12"/>
      <c r="CZD59" s="12"/>
      <c r="CZE59" s="12"/>
      <c r="CZF59" s="12"/>
      <c r="CZG59" s="12"/>
      <c r="CZH59" s="12"/>
      <c r="CZI59" s="12"/>
      <c r="CZJ59" s="12"/>
      <c r="CZK59" s="12"/>
      <c r="CZL59" s="12"/>
      <c r="CZM59" s="12"/>
      <c r="CZN59" s="12"/>
      <c r="CZO59" s="12"/>
      <c r="CZP59" s="12"/>
      <c r="CZQ59" s="12"/>
      <c r="CZR59" s="12"/>
      <c r="CZS59" s="12"/>
      <c r="CZT59" s="12"/>
      <c r="CZU59" s="12"/>
      <c r="CZV59" s="12"/>
      <c r="CZW59" s="12"/>
      <c r="CZX59" s="12"/>
      <c r="CZY59" s="12"/>
      <c r="CZZ59" s="12"/>
      <c r="DAA59" s="12"/>
      <c r="DAB59" s="12"/>
      <c r="DAC59" s="12"/>
      <c r="DAD59" s="12"/>
      <c r="DAE59" s="12"/>
      <c r="DAF59" s="12"/>
      <c r="DAG59" s="12"/>
      <c r="DAH59" s="12"/>
      <c r="DAI59" s="12"/>
      <c r="DAJ59" s="12"/>
      <c r="DAK59" s="12"/>
      <c r="DAL59" s="12"/>
      <c r="DAM59" s="12"/>
      <c r="DAN59" s="12"/>
      <c r="DAO59" s="12"/>
      <c r="DAP59" s="12"/>
      <c r="DAQ59" s="12"/>
      <c r="DAR59" s="12"/>
      <c r="DAS59" s="12"/>
      <c r="DAT59" s="12"/>
      <c r="DAU59" s="12"/>
      <c r="DAV59" s="12"/>
      <c r="DAW59" s="12"/>
      <c r="DAX59" s="12"/>
      <c r="DAY59" s="12"/>
      <c r="DAZ59" s="12"/>
      <c r="DBA59" s="12"/>
      <c r="DBB59" s="12"/>
      <c r="DBC59" s="12"/>
      <c r="DBD59" s="12"/>
      <c r="DBE59" s="12"/>
      <c r="DBF59" s="12"/>
      <c r="DBG59" s="12"/>
      <c r="DBH59" s="12"/>
      <c r="DBI59" s="12"/>
      <c r="DBJ59" s="12"/>
      <c r="DBK59" s="12"/>
      <c r="DBL59" s="12"/>
      <c r="DBM59" s="12"/>
      <c r="DBN59" s="12"/>
      <c r="DBO59" s="12"/>
      <c r="DBP59" s="12"/>
      <c r="DBQ59" s="12"/>
      <c r="DBR59" s="12"/>
      <c r="DBS59" s="12"/>
      <c r="DBT59" s="12"/>
      <c r="DBU59" s="12"/>
      <c r="DBV59" s="12"/>
      <c r="DBW59" s="12"/>
      <c r="DBX59" s="12"/>
      <c r="DBY59" s="12"/>
      <c r="DBZ59" s="12"/>
      <c r="DCA59" s="12"/>
      <c r="DCB59" s="12"/>
      <c r="DCC59" s="12"/>
      <c r="DCD59" s="12"/>
      <c r="DCE59" s="12"/>
      <c r="DCF59" s="12"/>
      <c r="DCG59" s="12"/>
      <c r="DCH59" s="12"/>
      <c r="DCI59" s="12"/>
      <c r="DCJ59" s="12"/>
      <c r="DCK59" s="12"/>
      <c r="DCL59" s="12"/>
      <c r="DCM59" s="12"/>
      <c r="DCN59" s="12"/>
      <c r="DCO59" s="12"/>
      <c r="DCP59" s="12"/>
      <c r="DCQ59" s="12"/>
      <c r="DCR59" s="12"/>
      <c r="DCS59" s="12"/>
      <c r="DCT59" s="12"/>
      <c r="DCU59" s="12"/>
      <c r="DCV59" s="12"/>
      <c r="DCW59" s="12"/>
      <c r="DCX59" s="12"/>
      <c r="DCY59" s="12"/>
      <c r="DCZ59" s="12"/>
      <c r="DDA59" s="12"/>
      <c r="DDB59" s="12"/>
      <c r="DDC59" s="12"/>
      <c r="DDD59" s="12"/>
      <c r="DDE59" s="12"/>
      <c r="DDF59" s="12"/>
      <c r="DDG59" s="12"/>
      <c r="DDH59" s="12"/>
      <c r="DDI59" s="12"/>
      <c r="DDJ59" s="12"/>
      <c r="DDK59" s="12"/>
      <c r="DDL59" s="12"/>
      <c r="DDM59" s="12"/>
      <c r="DDN59" s="12"/>
      <c r="DDO59" s="12"/>
      <c r="DDP59" s="12"/>
      <c r="DDQ59" s="12"/>
      <c r="DDR59" s="12"/>
      <c r="DDS59" s="12"/>
      <c r="DDT59" s="12"/>
      <c r="DDU59" s="12"/>
      <c r="DDV59" s="12"/>
      <c r="DDW59" s="12"/>
      <c r="DDX59" s="12"/>
      <c r="DDY59" s="12"/>
      <c r="DDZ59" s="12"/>
      <c r="DEA59" s="12"/>
      <c r="DEB59" s="12"/>
      <c r="DEC59" s="12"/>
      <c r="DED59" s="12"/>
      <c r="DEE59" s="12"/>
      <c r="DEF59" s="12"/>
      <c r="DEG59" s="12"/>
      <c r="DEH59" s="12"/>
      <c r="DEI59" s="12"/>
      <c r="DEJ59" s="12"/>
      <c r="DEK59" s="12"/>
      <c r="DEL59" s="12"/>
      <c r="DEM59" s="12"/>
      <c r="DEN59" s="12"/>
      <c r="DEO59" s="12"/>
      <c r="DEP59" s="12"/>
      <c r="DEQ59" s="12"/>
      <c r="DER59" s="12"/>
      <c r="DES59" s="12"/>
      <c r="DET59" s="12"/>
      <c r="DEU59" s="12"/>
      <c r="DEV59" s="12"/>
      <c r="DEW59" s="12"/>
      <c r="DEX59" s="12"/>
      <c r="DEY59" s="12"/>
      <c r="DEZ59" s="12"/>
      <c r="DFA59" s="12"/>
      <c r="DFB59" s="12"/>
      <c r="DFC59" s="12"/>
      <c r="DFD59" s="12"/>
      <c r="DFE59" s="12"/>
      <c r="DFF59" s="12"/>
      <c r="DFG59" s="12"/>
      <c r="DFH59" s="12"/>
      <c r="DFI59" s="12"/>
      <c r="DFJ59" s="12"/>
      <c r="DFK59" s="12"/>
      <c r="DFL59" s="12"/>
      <c r="DFM59" s="12"/>
      <c r="DFN59" s="12"/>
      <c r="DFO59" s="12"/>
      <c r="DFP59" s="12"/>
      <c r="DFQ59" s="12"/>
      <c r="DFR59" s="12"/>
      <c r="DFS59" s="12"/>
      <c r="DFT59" s="12"/>
      <c r="DFU59" s="12"/>
      <c r="DFV59" s="12"/>
      <c r="DFW59" s="12"/>
      <c r="DFX59" s="12"/>
      <c r="DFY59" s="12"/>
      <c r="DFZ59" s="12"/>
      <c r="DGA59" s="12"/>
      <c r="DGB59" s="12"/>
      <c r="DGC59" s="12"/>
      <c r="DGD59" s="12"/>
      <c r="DGE59" s="12"/>
      <c r="DGF59" s="12"/>
      <c r="DGG59" s="12"/>
      <c r="DGH59" s="12"/>
      <c r="DGI59" s="12"/>
      <c r="DGJ59" s="12"/>
      <c r="DGK59" s="12"/>
      <c r="DGL59" s="12"/>
      <c r="DGM59" s="12"/>
      <c r="DGN59" s="12"/>
      <c r="DGO59" s="12"/>
      <c r="DGP59" s="12"/>
      <c r="DGQ59" s="12"/>
      <c r="DGR59" s="12"/>
      <c r="DGS59" s="12"/>
      <c r="DGT59" s="12"/>
      <c r="DGU59" s="12"/>
      <c r="DGV59" s="12"/>
      <c r="DGW59" s="12"/>
      <c r="DGX59" s="12"/>
      <c r="DGY59" s="12"/>
      <c r="DGZ59" s="12"/>
      <c r="DHA59" s="12"/>
      <c r="DHB59" s="12"/>
      <c r="DHC59" s="12"/>
      <c r="DHD59" s="12"/>
      <c r="DHE59" s="12"/>
      <c r="DHF59" s="12"/>
      <c r="DHG59" s="12"/>
      <c r="DHH59" s="12"/>
      <c r="DHI59" s="12"/>
      <c r="DHJ59" s="12"/>
      <c r="DHK59" s="12"/>
      <c r="DHL59" s="12"/>
      <c r="DHM59" s="12"/>
      <c r="DHN59" s="12"/>
      <c r="DHO59" s="12"/>
      <c r="DHP59" s="12"/>
      <c r="DHQ59" s="12"/>
      <c r="DHR59" s="12"/>
      <c r="DHS59" s="12"/>
      <c r="DHT59" s="12"/>
      <c r="DHU59" s="12"/>
      <c r="DHV59" s="12"/>
      <c r="DHW59" s="12"/>
      <c r="DHX59" s="12"/>
      <c r="DHY59" s="12"/>
      <c r="DHZ59" s="12"/>
      <c r="DIA59" s="12"/>
      <c r="DIB59" s="12"/>
      <c r="DIC59" s="12"/>
      <c r="DID59" s="12"/>
      <c r="DIE59" s="12"/>
      <c r="DIF59" s="12"/>
      <c r="DIG59" s="12"/>
      <c r="DIH59" s="12"/>
      <c r="DII59" s="12"/>
      <c r="DIJ59" s="12"/>
      <c r="DIK59" s="12"/>
      <c r="DIL59" s="12"/>
      <c r="DIM59" s="12"/>
      <c r="DIN59" s="12"/>
      <c r="DIO59" s="12"/>
      <c r="DIP59" s="12"/>
      <c r="DIQ59" s="12"/>
      <c r="DIR59" s="12"/>
      <c r="DIS59" s="12"/>
      <c r="DIT59" s="12"/>
      <c r="DIU59" s="12"/>
      <c r="DIV59" s="12"/>
      <c r="DIW59" s="12"/>
      <c r="DIX59" s="12"/>
      <c r="DIY59" s="12"/>
      <c r="DIZ59" s="12"/>
      <c r="DJA59" s="12"/>
      <c r="DJB59" s="12"/>
      <c r="DJC59" s="12"/>
      <c r="DJD59" s="12"/>
      <c r="DJE59" s="12"/>
      <c r="DJF59" s="12"/>
      <c r="DJG59" s="12"/>
      <c r="DJH59" s="12"/>
      <c r="DJI59" s="12"/>
      <c r="DJJ59" s="12"/>
      <c r="DJK59" s="12"/>
      <c r="DJL59" s="12"/>
      <c r="DJM59" s="12"/>
      <c r="DJN59" s="12"/>
      <c r="DJO59" s="12"/>
      <c r="DJP59" s="12"/>
      <c r="DJQ59" s="12"/>
      <c r="DJR59" s="12"/>
      <c r="DJS59" s="12"/>
      <c r="DJT59" s="12"/>
      <c r="DJU59" s="12"/>
      <c r="DJV59" s="12"/>
      <c r="DJW59" s="12"/>
      <c r="DJX59" s="12"/>
      <c r="DJY59" s="12"/>
      <c r="DJZ59" s="12"/>
      <c r="DKA59" s="12"/>
      <c r="DKB59" s="12"/>
      <c r="DKC59" s="12"/>
      <c r="DKD59" s="12"/>
      <c r="DKE59" s="12"/>
      <c r="DKF59" s="12"/>
      <c r="DKG59" s="12"/>
      <c r="DKH59" s="12"/>
      <c r="DKI59" s="12"/>
      <c r="DKJ59" s="12"/>
      <c r="DKK59" s="12"/>
      <c r="DKL59" s="12"/>
      <c r="DKM59" s="12"/>
      <c r="DKN59" s="12"/>
      <c r="DKO59" s="12"/>
      <c r="DKP59" s="12"/>
      <c r="DKQ59" s="12"/>
      <c r="DKR59" s="12"/>
      <c r="DKS59" s="12"/>
      <c r="DKT59" s="12"/>
      <c r="DKU59" s="12"/>
      <c r="DKV59" s="12"/>
      <c r="DKW59" s="12"/>
      <c r="DKX59" s="12"/>
      <c r="DKY59" s="12"/>
      <c r="DKZ59" s="12"/>
      <c r="DLA59" s="12"/>
      <c r="DLB59" s="12"/>
      <c r="DLC59" s="12"/>
      <c r="DLD59" s="12"/>
      <c r="DLE59" s="12"/>
      <c r="DLF59" s="12"/>
      <c r="DLG59" s="12"/>
      <c r="DLH59" s="12"/>
      <c r="DLI59" s="12"/>
      <c r="DLJ59" s="12"/>
      <c r="DLK59" s="12"/>
      <c r="DLL59" s="12"/>
      <c r="DLM59" s="12"/>
      <c r="DLN59" s="12"/>
      <c r="DLO59" s="12"/>
      <c r="DLP59" s="12"/>
      <c r="DLQ59" s="12"/>
      <c r="DLR59" s="12"/>
      <c r="DLS59" s="12"/>
      <c r="DLT59" s="12"/>
      <c r="DLU59" s="12"/>
      <c r="DLV59" s="12"/>
      <c r="DLW59" s="12"/>
      <c r="DLX59" s="12"/>
      <c r="DLY59" s="12"/>
      <c r="DLZ59" s="12"/>
      <c r="DMA59" s="12"/>
      <c r="DMB59" s="12"/>
      <c r="DMC59" s="12"/>
      <c r="DMD59" s="12"/>
      <c r="DME59" s="12"/>
      <c r="DMF59" s="12"/>
      <c r="DMG59" s="12"/>
      <c r="DMH59" s="12"/>
      <c r="DMI59" s="12"/>
      <c r="DMJ59" s="12"/>
      <c r="DMK59" s="12"/>
      <c r="DML59" s="12"/>
      <c r="DMM59" s="12"/>
      <c r="DMN59" s="12"/>
      <c r="DMO59" s="12"/>
      <c r="DMP59" s="12"/>
      <c r="DMQ59" s="12"/>
      <c r="DMR59" s="12"/>
      <c r="DMS59" s="12"/>
      <c r="DMT59" s="12"/>
      <c r="DMU59" s="12"/>
      <c r="DMV59" s="12"/>
      <c r="DMW59" s="12"/>
      <c r="DMX59" s="12"/>
      <c r="DMY59" s="12"/>
      <c r="DMZ59" s="12"/>
      <c r="DNA59" s="12"/>
      <c r="DNB59" s="12"/>
      <c r="DNC59" s="12"/>
      <c r="DND59" s="12"/>
      <c r="DNE59" s="12"/>
      <c r="DNF59" s="12"/>
      <c r="DNG59" s="12"/>
      <c r="DNH59" s="12"/>
      <c r="DNI59" s="12"/>
      <c r="DNJ59" s="12"/>
      <c r="DNK59" s="12"/>
      <c r="DNL59" s="12"/>
      <c r="DNM59" s="12"/>
      <c r="DNN59" s="12"/>
      <c r="DNO59" s="12"/>
      <c r="DNP59" s="12"/>
      <c r="DNQ59" s="12"/>
      <c r="DNR59" s="12"/>
      <c r="DNS59" s="12"/>
      <c r="DNT59" s="12"/>
      <c r="DNU59" s="12"/>
      <c r="DNV59" s="12"/>
      <c r="DNW59" s="12"/>
      <c r="DNX59" s="12"/>
      <c r="DNY59" s="12"/>
      <c r="DNZ59" s="12"/>
      <c r="DOA59" s="12"/>
      <c r="DOB59" s="12"/>
      <c r="DOC59" s="12"/>
      <c r="DOD59" s="12"/>
      <c r="DOE59" s="12"/>
      <c r="DOF59" s="12"/>
      <c r="DOG59" s="12"/>
      <c r="DOH59" s="12"/>
      <c r="DOI59" s="12"/>
      <c r="DOJ59" s="12"/>
      <c r="DOK59" s="12"/>
      <c r="DOL59" s="12"/>
      <c r="DOM59" s="12"/>
      <c r="DON59" s="12"/>
      <c r="DOO59" s="12"/>
      <c r="DOP59" s="12"/>
      <c r="DOQ59" s="12"/>
      <c r="DOR59" s="12"/>
      <c r="DOS59" s="12"/>
      <c r="DOT59" s="12"/>
      <c r="DOU59" s="12"/>
      <c r="DOV59" s="12"/>
      <c r="DOW59" s="12"/>
      <c r="DOX59" s="12"/>
      <c r="DOY59" s="12"/>
      <c r="DOZ59" s="12"/>
      <c r="DPA59" s="12"/>
      <c r="DPB59" s="12"/>
      <c r="DPC59" s="12"/>
      <c r="DPD59" s="12"/>
      <c r="DPE59" s="12"/>
      <c r="DPF59" s="12"/>
      <c r="DPG59" s="12"/>
      <c r="DPH59" s="12"/>
      <c r="DPI59" s="12"/>
      <c r="DPJ59" s="12"/>
      <c r="DPK59" s="12"/>
      <c r="DPL59" s="12"/>
      <c r="DPM59" s="12"/>
      <c r="DPN59" s="12"/>
      <c r="DPO59" s="12"/>
      <c r="DPP59" s="12"/>
      <c r="DPQ59" s="12"/>
      <c r="DPR59" s="12"/>
      <c r="DPS59" s="12"/>
      <c r="DPT59" s="12"/>
      <c r="DPU59" s="12"/>
      <c r="DPV59" s="12"/>
      <c r="DPW59" s="12"/>
      <c r="DPX59" s="12"/>
      <c r="DPY59" s="12"/>
      <c r="DPZ59" s="12"/>
      <c r="DQA59" s="12"/>
      <c r="DQB59" s="12"/>
      <c r="DQC59" s="12"/>
      <c r="DQD59" s="12"/>
      <c r="DQE59" s="12"/>
      <c r="DQF59" s="12"/>
      <c r="DQG59" s="12"/>
      <c r="DQH59" s="12"/>
      <c r="DQI59" s="12"/>
      <c r="DQJ59" s="12"/>
      <c r="DQK59" s="12"/>
      <c r="DQL59" s="12"/>
      <c r="DQM59" s="12"/>
      <c r="DQN59" s="12"/>
      <c r="DQO59" s="12"/>
      <c r="DQP59" s="12"/>
      <c r="DQQ59" s="12"/>
      <c r="DQR59" s="12"/>
      <c r="DQS59" s="12"/>
      <c r="DQT59" s="12"/>
      <c r="DQU59" s="12"/>
      <c r="DQV59" s="12"/>
      <c r="DQW59" s="12"/>
      <c r="DQX59" s="12"/>
      <c r="DQY59" s="12"/>
      <c r="DQZ59" s="12"/>
      <c r="DRA59" s="12"/>
      <c r="DRB59" s="12"/>
      <c r="DRC59" s="12"/>
      <c r="DRD59" s="12"/>
      <c r="DRE59" s="12"/>
      <c r="DRF59" s="12"/>
      <c r="DRG59" s="12"/>
      <c r="DRH59" s="12"/>
      <c r="DRI59" s="12"/>
      <c r="DRJ59" s="12"/>
      <c r="DRK59" s="12"/>
      <c r="DRL59" s="12"/>
      <c r="DRM59" s="12"/>
      <c r="DRN59" s="12"/>
      <c r="DRO59" s="12"/>
      <c r="DRP59" s="12"/>
      <c r="DRQ59" s="12"/>
      <c r="DRR59" s="12"/>
      <c r="DRS59" s="12"/>
      <c r="DRT59" s="12"/>
      <c r="DRU59" s="12"/>
      <c r="DRV59" s="12"/>
      <c r="DRW59" s="12"/>
      <c r="DRX59" s="12"/>
      <c r="DRY59" s="12"/>
      <c r="DRZ59" s="12"/>
      <c r="DSA59" s="12"/>
      <c r="DSB59" s="12"/>
      <c r="DSC59" s="12"/>
      <c r="DSD59" s="12"/>
      <c r="DSE59" s="12"/>
      <c r="DSF59" s="12"/>
      <c r="DSG59" s="12"/>
      <c r="DSH59" s="12"/>
      <c r="DSI59" s="12"/>
      <c r="DSJ59" s="12"/>
      <c r="DSK59" s="12"/>
      <c r="DSL59" s="12"/>
      <c r="DSM59" s="12"/>
      <c r="DSN59" s="12"/>
      <c r="DSO59" s="12"/>
      <c r="DSP59" s="12"/>
      <c r="DSQ59" s="12"/>
      <c r="DSR59" s="12"/>
      <c r="DSS59" s="12"/>
      <c r="DST59" s="12"/>
      <c r="DSU59" s="12"/>
      <c r="DSV59" s="12"/>
      <c r="DSW59" s="12"/>
      <c r="DSX59" s="12"/>
      <c r="DSY59" s="12"/>
      <c r="DSZ59" s="12"/>
      <c r="DTA59" s="12"/>
      <c r="DTB59" s="12"/>
      <c r="DTC59" s="12"/>
      <c r="DTD59" s="12"/>
      <c r="DTE59" s="12"/>
      <c r="DTF59" s="12"/>
      <c r="DTG59" s="12"/>
      <c r="DTH59" s="12"/>
      <c r="DTI59" s="12"/>
      <c r="DTJ59" s="12"/>
      <c r="DTK59" s="12"/>
      <c r="DTL59" s="12"/>
      <c r="DTM59" s="12"/>
      <c r="DTN59" s="12"/>
      <c r="DTO59" s="12"/>
      <c r="DTP59" s="12"/>
      <c r="DTQ59" s="12"/>
      <c r="DTR59" s="12"/>
      <c r="DTS59" s="12"/>
      <c r="DTT59" s="12"/>
      <c r="DTU59" s="12"/>
      <c r="DTV59" s="12"/>
      <c r="DTW59" s="12"/>
      <c r="DTX59" s="12"/>
      <c r="DTY59" s="12"/>
      <c r="DTZ59" s="12"/>
      <c r="DUA59" s="12"/>
      <c r="DUB59" s="12"/>
      <c r="DUC59" s="12"/>
      <c r="DUD59" s="12"/>
      <c r="DUE59" s="12"/>
      <c r="DUF59" s="12"/>
      <c r="DUG59" s="12"/>
      <c r="DUH59" s="12"/>
      <c r="DUI59" s="12"/>
      <c r="DUJ59" s="12"/>
      <c r="DUK59" s="12"/>
      <c r="DUL59" s="12"/>
      <c r="DUM59" s="12"/>
      <c r="DUN59" s="12"/>
      <c r="DUO59" s="12"/>
      <c r="DUP59" s="12"/>
      <c r="DUQ59" s="12"/>
      <c r="DUR59" s="12"/>
      <c r="DUS59" s="12"/>
      <c r="DUT59" s="12"/>
      <c r="DUU59" s="12"/>
      <c r="DUV59" s="12"/>
      <c r="DUW59" s="12"/>
      <c r="DUX59" s="12"/>
      <c r="DUY59" s="12"/>
      <c r="DUZ59" s="12"/>
      <c r="DVA59" s="12"/>
      <c r="DVB59" s="12"/>
      <c r="DVC59" s="12"/>
      <c r="DVD59" s="12"/>
      <c r="DVE59" s="12"/>
      <c r="DVF59" s="12"/>
      <c r="DVG59" s="12"/>
      <c r="DVH59" s="12"/>
      <c r="DVI59" s="12"/>
      <c r="DVJ59" s="12"/>
      <c r="DVK59" s="12"/>
      <c r="DVL59" s="12"/>
      <c r="DVM59" s="12"/>
      <c r="DVN59" s="12"/>
      <c r="DVO59" s="12"/>
      <c r="DVP59" s="12"/>
      <c r="DVQ59" s="12"/>
      <c r="DVR59" s="12"/>
      <c r="DVS59" s="12"/>
      <c r="DVT59" s="12"/>
      <c r="DVU59" s="12"/>
      <c r="DVV59" s="12"/>
      <c r="DVW59" s="12"/>
      <c r="DVX59" s="12"/>
      <c r="DVY59" s="12"/>
      <c r="DVZ59" s="12"/>
      <c r="DWA59" s="12"/>
      <c r="DWB59" s="12"/>
      <c r="DWC59" s="12"/>
      <c r="DWD59" s="12"/>
      <c r="DWE59" s="12"/>
      <c r="DWF59" s="12"/>
      <c r="DWG59" s="12"/>
      <c r="DWH59" s="12"/>
      <c r="DWI59" s="12"/>
      <c r="DWJ59" s="12"/>
      <c r="DWK59" s="12"/>
      <c r="DWL59" s="12"/>
      <c r="DWM59" s="12"/>
      <c r="DWN59" s="12"/>
      <c r="DWO59" s="12"/>
      <c r="DWP59" s="12"/>
      <c r="DWQ59" s="12"/>
      <c r="DWR59" s="12"/>
      <c r="DWS59" s="12"/>
      <c r="DWT59" s="12"/>
      <c r="DWU59" s="12"/>
      <c r="DWV59" s="12"/>
      <c r="DWW59" s="12"/>
      <c r="DWX59" s="12"/>
      <c r="DWY59" s="12"/>
      <c r="DWZ59" s="12"/>
      <c r="DXA59" s="12"/>
      <c r="DXB59" s="12"/>
      <c r="DXC59" s="12"/>
      <c r="DXD59" s="12"/>
      <c r="DXE59" s="12"/>
      <c r="DXF59" s="12"/>
      <c r="DXG59" s="12"/>
      <c r="DXH59" s="12"/>
      <c r="DXI59" s="12"/>
      <c r="DXJ59" s="12"/>
      <c r="DXK59" s="12"/>
      <c r="DXL59" s="12"/>
      <c r="DXM59" s="12"/>
      <c r="DXN59" s="12"/>
      <c r="DXO59" s="12"/>
      <c r="DXP59" s="12"/>
      <c r="DXQ59" s="12"/>
      <c r="DXR59" s="12"/>
      <c r="DXS59" s="12"/>
      <c r="DXT59" s="12"/>
      <c r="DXU59" s="12"/>
      <c r="DXV59" s="12"/>
      <c r="DXW59" s="12"/>
      <c r="DXX59" s="12"/>
      <c r="DXY59" s="12"/>
      <c r="DXZ59" s="12"/>
      <c r="DYA59" s="12"/>
      <c r="DYB59" s="12"/>
      <c r="DYC59" s="12"/>
      <c r="DYD59" s="12"/>
      <c r="DYE59" s="12"/>
      <c r="DYF59" s="12"/>
      <c r="DYG59" s="12"/>
      <c r="DYH59" s="12"/>
      <c r="DYI59" s="12"/>
      <c r="DYJ59" s="12"/>
      <c r="DYK59" s="12"/>
      <c r="DYL59" s="12"/>
      <c r="DYM59" s="12"/>
      <c r="DYN59" s="12"/>
      <c r="DYO59" s="12"/>
      <c r="DYP59" s="12"/>
      <c r="DYQ59" s="12"/>
      <c r="DYR59" s="12"/>
      <c r="DYS59" s="12"/>
      <c r="DYT59" s="12"/>
      <c r="DYU59" s="12"/>
      <c r="DYV59" s="12"/>
      <c r="DYW59" s="12"/>
      <c r="DYX59" s="12"/>
      <c r="DYY59" s="12"/>
      <c r="DYZ59" s="12"/>
      <c r="DZA59" s="12"/>
      <c r="DZB59" s="12"/>
      <c r="DZC59" s="12"/>
      <c r="DZD59" s="12"/>
      <c r="DZE59" s="12"/>
      <c r="DZF59" s="12"/>
      <c r="DZG59" s="12"/>
      <c r="DZH59" s="12"/>
      <c r="DZI59" s="12"/>
      <c r="DZJ59" s="12"/>
      <c r="DZK59" s="12"/>
      <c r="DZL59" s="12"/>
      <c r="DZM59" s="12"/>
      <c r="DZN59" s="12"/>
      <c r="DZO59" s="12"/>
      <c r="DZP59" s="12"/>
      <c r="DZQ59" s="12"/>
      <c r="DZR59" s="12"/>
      <c r="DZS59" s="12"/>
      <c r="DZT59" s="12"/>
      <c r="DZU59" s="12"/>
      <c r="DZV59" s="12"/>
      <c r="DZW59" s="12"/>
      <c r="DZX59" s="12"/>
      <c r="DZY59" s="12"/>
      <c r="DZZ59" s="12"/>
      <c r="EAA59" s="12"/>
      <c r="EAB59" s="12"/>
      <c r="EAC59" s="12"/>
      <c r="EAD59" s="12"/>
      <c r="EAE59" s="12"/>
      <c r="EAF59" s="12"/>
      <c r="EAG59" s="12"/>
      <c r="EAH59" s="12"/>
      <c r="EAI59" s="12"/>
      <c r="EAJ59" s="12"/>
      <c r="EAK59" s="12"/>
      <c r="EAL59" s="12"/>
      <c r="EAM59" s="12"/>
      <c r="EAN59" s="12"/>
      <c r="EAO59" s="12"/>
      <c r="EAP59" s="12"/>
      <c r="EAQ59" s="12"/>
      <c r="EAR59" s="12"/>
      <c r="EAS59" s="12"/>
      <c r="EAT59" s="12"/>
      <c r="EAU59" s="12"/>
      <c r="EAV59" s="12"/>
      <c r="EAW59" s="12"/>
      <c r="EAX59" s="12"/>
      <c r="EAY59" s="12"/>
      <c r="EAZ59" s="12"/>
      <c r="EBA59" s="12"/>
      <c r="EBB59" s="12"/>
      <c r="EBC59" s="12"/>
      <c r="EBD59" s="12"/>
      <c r="EBE59" s="12"/>
      <c r="EBF59" s="12"/>
      <c r="EBG59" s="12"/>
      <c r="EBH59" s="12"/>
      <c r="EBI59" s="12"/>
      <c r="EBJ59" s="12"/>
      <c r="EBK59" s="12"/>
      <c r="EBL59" s="12"/>
      <c r="EBM59" s="12"/>
      <c r="EBN59" s="12"/>
      <c r="EBO59" s="12"/>
      <c r="EBP59" s="12"/>
      <c r="EBQ59" s="12"/>
      <c r="EBR59" s="12"/>
      <c r="EBS59" s="12"/>
      <c r="EBT59" s="12"/>
      <c r="EBU59" s="12"/>
      <c r="EBV59" s="12"/>
      <c r="EBW59" s="12"/>
      <c r="EBX59" s="12"/>
      <c r="EBY59" s="12"/>
      <c r="EBZ59" s="12"/>
      <c r="ECA59" s="12"/>
      <c r="ECB59" s="12"/>
      <c r="ECC59" s="12"/>
      <c r="ECD59" s="12"/>
      <c r="ECE59" s="12"/>
      <c r="ECF59" s="12"/>
      <c r="ECG59" s="12"/>
      <c r="ECH59" s="12"/>
      <c r="ECI59" s="12"/>
      <c r="ECJ59" s="12"/>
      <c r="ECK59" s="12"/>
      <c r="ECL59" s="12"/>
      <c r="ECM59" s="12"/>
      <c r="ECN59" s="12"/>
      <c r="ECO59" s="12"/>
      <c r="ECP59" s="12"/>
      <c r="ECQ59" s="12"/>
      <c r="ECR59" s="12"/>
      <c r="ECS59" s="12"/>
      <c r="ECT59" s="12"/>
      <c r="ECU59" s="12"/>
      <c r="ECV59" s="12"/>
      <c r="ECW59" s="12"/>
      <c r="ECX59" s="12"/>
      <c r="ECY59" s="12"/>
      <c r="ECZ59" s="12"/>
      <c r="EDA59" s="12"/>
      <c r="EDB59" s="12"/>
      <c r="EDC59" s="12"/>
      <c r="EDD59" s="12"/>
      <c r="EDE59" s="12"/>
      <c r="EDF59" s="12"/>
      <c r="EDG59" s="12"/>
      <c r="EDH59" s="12"/>
      <c r="EDI59" s="12"/>
      <c r="EDJ59" s="12"/>
      <c r="EDK59" s="12"/>
      <c r="EDL59" s="12"/>
      <c r="EDM59" s="12"/>
      <c r="EDN59" s="12"/>
      <c r="EDO59" s="12"/>
      <c r="EDP59" s="12"/>
      <c r="EDQ59" s="12"/>
      <c r="EDR59" s="12"/>
      <c r="EDS59" s="12"/>
      <c r="EDT59" s="12"/>
      <c r="EDU59" s="12"/>
      <c r="EDV59" s="12"/>
      <c r="EDW59" s="12"/>
      <c r="EDX59" s="12"/>
      <c r="EDY59" s="12"/>
      <c r="EDZ59" s="12"/>
      <c r="EEA59" s="12"/>
      <c r="EEB59" s="12"/>
      <c r="EEC59" s="12"/>
      <c r="EED59" s="12"/>
      <c r="EEE59" s="12"/>
      <c r="EEF59" s="12"/>
      <c r="EEG59" s="12"/>
      <c r="EEH59" s="12"/>
      <c r="EEI59" s="12"/>
      <c r="EEJ59" s="12"/>
      <c r="EEK59" s="12"/>
      <c r="EEL59" s="12"/>
      <c r="EEM59" s="12"/>
      <c r="EEN59" s="12"/>
      <c r="EEO59" s="12"/>
      <c r="EEP59" s="12"/>
      <c r="EEQ59" s="12"/>
      <c r="EER59" s="12"/>
      <c r="EES59" s="12"/>
      <c r="EET59" s="12"/>
      <c r="EEU59" s="12"/>
      <c r="EEV59" s="12"/>
      <c r="EEW59" s="12"/>
      <c r="EEX59" s="12"/>
      <c r="EEY59" s="12"/>
      <c r="EEZ59" s="12"/>
      <c r="EFA59" s="12"/>
      <c r="EFB59" s="12"/>
      <c r="EFC59" s="12"/>
      <c r="EFD59" s="12"/>
      <c r="EFE59" s="12"/>
      <c r="EFF59" s="12"/>
      <c r="EFG59" s="12"/>
      <c r="EFH59" s="12"/>
      <c r="EFI59" s="12"/>
      <c r="EFJ59" s="12"/>
      <c r="EFK59" s="12"/>
      <c r="EFL59" s="12"/>
      <c r="EFM59" s="12"/>
      <c r="EFN59" s="12"/>
      <c r="EFO59" s="12"/>
      <c r="EFP59" s="12"/>
      <c r="EFQ59" s="12"/>
      <c r="EFR59" s="12"/>
      <c r="EFS59" s="12"/>
      <c r="EFT59" s="12"/>
      <c r="EFU59" s="12"/>
      <c r="EFV59" s="12"/>
      <c r="EFW59" s="12"/>
      <c r="EFX59" s="12"/>
      <c r="EFY59" s="12"/>
      <c r="EFZ59" s="12"/>
      <c r="EGA59" s="12"/>
      <c r="EGB59" s="12"/>
      <c r="EGC59" s="12"/>
      <c r="EGD59" s="12"/>
      <c r="EGE59" s="12"/>
      <c r="EGF59" s="12"/>
      <c r="EGG59" s="12"/>
      <c r="EGH59" s="12"/>
      <c r="EGI59" s="12"/>
      <c r="EGJ59" s="12"/>
      <c r="EGK59" s="12"/>
      <c r="EGL59" s="12"/>
      <c r="EGM59" s="12"/>
      <c r="EGN59" s="12"/>
      <c r="EGO59" s="12"/>
      <c r="EGP59" s="12"/>
      <c r="EGQ59" s="12"/>
      <c r="EGR59" s="12"/>
      <c r="EGS59" s="12"/>
      <c r="EGT59" s="12"/>
      <c r="EGU59" s="12"/>
      <c r="EGV59" s="12"/>
      <c r="EGW59" s="12"/>
      <c r="EGX59" s="12"/>
      <c r="EGY59" s="12"/>
      <c r="EGZ59" s="12"/>
      <c r="EHA59" s="12"/>
      <c r="EHB59" s="12"/>
      <c r="EHC59" s="12"/>
      <c r="EHD59" s="12"/>
      <c r="EHE59" s="12"/>
      <c r="EHF59" s="12"/>
      <c r="EHG59" s="12"/>
      <c r="EHH59" s="12"/>
      <c r="EHI59" s="12"/>
      <c r="EHJ59" s="12"/>
      <c r="EHK59" s="12"/>
      <c r="EHL59" s="12"/>
      <c r="EHM59" s="12"/>
      <c r="EHN59" s="12"/>
      <c r="EHO59" s="12"/>
      <c r="EHP59" s="12"/>
      <c r="EHQ59" s="12"/>
      <c r="EHR59" s="12"/>
      <c r="EHS59" s="12"/>
      <c r="EHT59" s="12"/>
      <c r="EHU59" s="12"/>
      <c r="EHV59" s="12"/>
      <c r="EHW59" s="12"/>
      <c r="EHX59" s="12"/>
      <c r="EHY59" s="12"/>
      <c r="EHZ59" s="12"/>
      <c r="EIA59" s="12"/>
      <c r="EIB59" s="12"/>
      <c r="EIC59" s="12"/>
      <c r="EID59" s="12"/>
      <c r="EIE59" s="12"/>
      <c r="EIF59" s="12"/>
      <c r="EIG59" s="12"/>
      <c r="EIH59" s="12"/>
      <c r="EII59" s="12"/>
      <c r="EIJ59" s="12"/>
      <c r="EIK59" s="12"/>
      <c r="EIL59" s="12"/>
      <c r="EIM59" s="12"/>
      <c r="EIN59" s="12"/>
      <c r="EIO59" s="12"/>
      <c r="EIP59" s="12"/>
      <c r="EIQ59" s="12"/>
      <c r="EIR59" s="12"/>
      <c r="EIS59" s="12"/>
      <c r="EIT59" s="12"/>
      <c r="EIU59" s="12"/>
      <c r="EIV59" s="12"/>
      <c r="EIW59" s="12"/>
      <c r="EIX59" s="12"/>
      <c r="EIY59" s="12"/>
      <c r="EIZ59" s="12"/>
      <c r="EJA59" s="12"/>
      <c r="EJB59" s="12"/>
      <c r="EJC59" s="12"/>
      <c r="EJD59" s="12"/>
      <c r="EJE59" s="12"/>
      <c r="EJF59" s="12"/>
      <c r="EJG59" s="12"/>
      <c r="EJH59" s="12"/>
      <c r="EJI59" s="12"/>
      <c r="EJJ59" s="12"/>
      <c r="EJK59" s="12"/>
      <c r="EJL59" s="12"/>
      <c r="EJM59" s="12"/>
      <c r="EJN59" s="12"/>
      <c r="EJO59" s="12"/>
      <c r="EJP59" s="12"/>
      <c r="EJQ59" s="12"/>
      <c r="EJR59" s="12"/>
      <c r="EJS59" s="12"/>
      <c r="EJT59" s="12"/>
      <c r="EJU59" s="12"/>
      <c r="EJV59" s="12"/>
      <c r="EJW59" s="12"/>
      <c r="EJX59" s="12"/>
      <c r="EJY59" s="12"/>
      <c r="EJZ59" s="12"/>
      <c r="EKA59" s="12"/>
      <c r="EKB59" s="12"/>
      <c r="EKC59" s="12"/>
      <c r="EKD59" s="12"/>
      <c r="EKE59" s="12"/>
      <c r="EKF59" s="12"/>
      <c r="EKG59" s="12"/>
      <c r="EKH59" s="12"/>
      <c r="EKI59" s="12"/>
      <c r="EKJ59" s="12"/>
      <c r="EKK59" s="12"/>
      <c r="EKL59" s="12"/>
      <c r="EKM59" s="12"/>
      <c r="EKN59" s="12"/>
      <c r="EKO59" s="12"/>
      <c r="EKP59" s="12"/>
      <c r="EKQ59" s="12"/>
      <c r="EKR59" s="12"/>
      <c r="EKS59" s="12"/>
      <c r="EKT59" s="12"/>
      <c r="EKU59" s="12"/>
      <c r="EKV59" s="12"/>
      <c r="EKW59" s="12"/>
      <c r="EKX59" s="12"/>
      <c r="EKY59" s="12"/>
      <c r="EKZ59" s="12"/>
      <c r="ELA59" s="12"/>
      <c r="ELB59" s="12"/>
      <c r="ELC59" s="12"/>
      <c r="ELD59" s="12"/>
      <c r="ELE59" s="12"/>
      <c r="ELF59" s="12"/>
      <c r="ELG59" s="12"/>
      <c r="ELH59" s="12"/>
      <c r="ELI59" s="12"/>
      <c r="ELJ59" s="12"/>
      <c r="ELK59" s="12"/>
      <c r="ELL59" s="12"/>
      <c r="ELM59" s="12"/>
      <c r="ELN59" s="12"/>
      <c r="ELO59" s="12"/>
      <c r="ELP59" s="12"/>
      <c r="ELQ59" s="12"/>
      <c r="ELR59" s="12"/>
      <c r="ELS59" s="12"/>
      <c r="ELT59" s="12"/>
      <c r="ELU59" s="12"/>
      <c r="ELV59" s="12"/>
      <c r="ELW59" s="12"/>
      <c r="ELX59" s="12"/>
      <c r="ELY59" s="12"/>
      <c r="ELZ59" s="12"/>
      <c r="EMA59" s="12"/>
      <c r="EMB59" s="12"/>
      <c r="EMC59" s="12"/>
      <c r="EMD59" s="12"/>
      <c r="EME59" s="12"/>
      <c r="EMF59" s="12"/>
      <c r="EMG59" s="12"/>
      <c r="EMH59" s="12"/>
      <c r="EMI59" s="12"/>
      <c r="EMJ59" s="12"/>
      <c r="EMK59" s="12"/>
      <c r="EML59" s="12"/>
      <c r="EMM59" s="12"/>
      <c r="EMN59" s="12"/>
      <c r="EMO59" s="12"/>
      <c r="EMP59" s="12"/>
      <c r="EMQ59" s="12"/>
      <c r="EMR59" s="12"/>
      <c r="EMS59" s="12"/>
      <c r="EMT59" s="12"/>
      <c r="EMU59" s="12"/>
      <c r="EMV59" s="12"/>
      <c r="EMW59" s="12"/>
      <c r="EMX59" s="12"/>
      <c r="EMY59" s="12"/>
      <c r="EMZ59" s="12"/>
      <c r="ENA59" s="12"/>
      <c r="ENB59" s="12"/>
      <c r="ENC59" s="12"/>
      <c r="END59" s="12"/>
      <c r="ENE59" s="12"/>
      <c r="ENF59" s="12"/>
      <c r="ENG59" s="12"/>
      <c r="ENH59" s="12"/>
      <c r="ENI59" s="12"/>
      <c r="ENJ59" s="12"/>
      <c r="ENK59" s="12"/>
      <c r="ENL59" s="12"/>
      <c r="ENM59" s="12"/>
      <c r="ENN59" s="12"/>
      <c r="ENO59" s="12"/>
      <c r="ENP59" s="12"/>
      <c r="ENQ59" s="12"/>
      <c r="ENR59" s="12"/>
      <c r="ENS59" s="12"/>
      <c r="ENT59" s="12"/>
      <c r="ENU59" s="12"/>
      <c r="ENV59" s="12"/>
      <c r="ENW59" s="12"/>
      <c r="ENX59" s="12"/>
      <c r="ENY59" s="12"/>
      <c r="ENZ59" s="12"/>
      <c r="EOA59" s="12"/>
      <c r="EOB59" s="12"/>
      <c r="EOC59" s="12"/>
      <c r="EOD59" s="12"/>
      <c r="EOE59" s="12"/>
      <c r="EOF59" s="12"/>
      <c r="EOG59" s="12"/>
      <c r="EOH59" s="12"/>
      <c r="EOI59" s="12"/>
      <c r="EOJ59" s="12"/>
      <c r="EOK59" s="12"/>
      <c r="EOL59" s="12"/>
      <c r="EOM59" s="12"/>
      <c r="EON59" s="12"/>
      <c r="EOO59" s="12"/>
      <c r="EOP59" s="12"/>
      <c r="EOQ59" s="12"/>
      <c r="EOR59" s="12"/>
      <c r="EOS59" s="12"/>
      <c r="EOT59" s="12"/>
      <c r="EOU59" s="12"/>
      <c r="EOV59" s="12"/>
      <c r="EOW59" s="12"/>
      <c r="EOX59" s="12"/>
      <c r="EOY59" s="12"/>
      <c r="EOZ59" s="12"/>
      <c r="EPA59" s="12"/>
      <c r="EPB59" s="12"/>
      <c r="EPC59" s="12"/>
      <c r="EPD59" s="12"/>
      <c r="EPE59" s="12"/>
      <c r="EPF59" s="12"/>
      <c r="EPG59" s="12"/>
      <c r="EPH59" s="12"/>
      <c r="EPI59" s="12"/>
      <c r="EPJ59" s="12"/>
      <c r="EPK59" s="12"/>
      <c r="EPL59" s="12"/>
      <c r="EPM59" s="12"/>
      <c r="EPN59" s="12"/>
      <c r="EPO59" s="12"/>
      <c r="EPP59" s="12"/>
      <c r="EPQ59" s="12"/>
      <c r="EPR59" s="12"/>
      <c r="EPS59" s="12"/>
      <c r="EPT59" s="12"/>
      <c r="EPU59" s="12"/>
      <c r="EPV59" s="12"/>
      <c r="EPW59" s="12"/>
      <c r="EPX59" s="12"/>
      <c r="EPY59" s="12"/>
      <c r="EPZ59" s="12"/>
      <c r="EQA59" s="12"/>
      <c r="EQB59" s="12"/>
      <c r="EQC59" s="12"/>
      <c r="EQD59" s="12"/>
      <c r="EQE59" s="12"/>
      <c r="EQF59" s="12"/>
      <c r="EQG59" s="12"/>
      <c r="EQH59" s="12"/>
      <c r="EQI59" s="12"/>
      <c r="EQJ59" s="12"/>
      <c r="EQK59" s="12"/>
      <c r="EQL59" s="12"/>
      <c r="EQM59" s="12"/>
      <c r="EQN59" s="12"/>
      <c r="EQO59" s="12"/>
      <c r="EQP59" s="12"/>
      <c r="EQQ59" s="12"/>
      <c r="EQR59" s="12"/>
      <c r="EQS59" s="12"/>
      <c r="EQT59" s="12"/>
      <c r="EQU59" s="12"/>
      <c r="EQV59" s="12"/>
      <c r="EQW59" s="12"/>
      <c r="EQX59" s="12"/>
      <c r="EQY59" s="12"/>
      <c r="EQZ59" s="12"/>
      <c r="ERA59" s="12"/>
      <c r="ERB59" s="12"/>
      <c r="ERC59" s="12"/>
      <c r="ERD59" s="12"/>
      <c r="ERE59" s="12"/>
      <c r="ERF59" s="12"/>
      <c r="ERG59" s="12"/>
      <c r="ERH59" s="12"/>
      <c r="ERI59" s="12"/>
      <c r="ERJ59" s="12"/>
      <c r="ERK59" s="12"/>
      <c r="ERL59" s="12"/>
      <c r="ERM59" s="12"/>
      <c r="ERN59" s="12"/>
      <c r="ERO59" s="12"/>
      <c r="ERP59" s="12"/>
      <c r="ERQ59" s="12"/>
      <c r="ERR59" s="12"/>
      <c r="ERS59" s="12"/>
      <c r="ERT59" s="12"/>
      <c r="ERU59" s="12"/>
      <c r="ERV59" s="12"/>
      <c r="ERW59" s="12"/>
      <c r="ERX59" s="12"/>
      <c r="ERY59" s="12"/>
      <c r="ERZ59" s="12"/>
      <c r="ESA59" s="12"/>
      <c r="ESB59" s="12"/>
      <c r="ESC59" s="12"/>
      <c r="ESD59" s="12"/>
      <c r="ESE59" s="12"/>
      <c r="ESF59" s="12"/>
      <c r="ESG59" s="12"/>
      <c r="ESH59" s="12"/>
      <c r="ESI59" s="12"/>
      <c r="ESJ59" s="12"/>
      <c r="ESK59" s="12"/>
      <c r="ESL59" s="12"/>
      <c r="ESM59" s="12"/>
      <c r="ESN59" s="12"/>
      <c r="ESO59" s="12"/>
      <c r="ESP59" s="12"/>
      <c r="ESQ59" s="12"/>
      <c r="ESR59" s="12"/>
      <c r="ESS59" s="12"/>
      <c r="EST59" s="12"/>
      <c r="ESU59" s="12"/>
      <c r="ESV59" s="12"/>
      <c r="ESW59" s="12"/>
      <c r="ESX59" s="12"/>
      <c r="ESY59" s="12"/>
      <c r="ESZ59" s="12"/>
      <c r="ETA59" s="12"/>
      <c r="ETB59" s="12"/>
      <c r="ETC59" s="12"/>
      <c r="ETD59" s="12"/>
      <c r="ETE59" s="12"/>
      <c r="ETF59" s="12"/>
      <c r="ETG59" s="12"/>
      <c r="ETH59" s="12"/>
      <c r="ETI59" s="12"/>
      <c r="ETJ59" s="12"/>
      <c r="ETK59" s="12"/>
      <c r="ETL59" s="12"/>
      <c r="ETM59" s="12"/>
      <c r="ETN59" s="12"/>
      <c r="ETO59" s="12"/>
      <c r="ETP59" s="12"/>
      <c r="ETQ59" s="12"/>
      <c r="ETR59" s="12"/>
      <c r="ETS59" s="12"/>
      <c r="ETT59" s="12"/>
      <c r="ETU59" s="12"/>
      <c r="ETV59" s="12"/>
      <c r="ETW59" s="12"/>
      <c r="ETX59" s="12"/>
      <c r="ETY59" s="12"/>
      <c r="ETZ59" s="12"/>
      <c r="EUA59" s="12"/>
      <c r="EUB59" s="12"/>
      <c r="EUC59" s="12"/>
      <c r="EUD59" s="12"/>
      <c r="EUE59" s="12"/>
      <c r="EUF59" s="12"/>
      <c r="EUG59" s="12"/>
      <c r="EUH59" s="12"/>
      <c r="EUI59" s="12"/>
      <c r="EUJ59" s="12"/>
      <c r="EUK59" s="12"/>
      <c r="EUL59" s="12"/>
      <c r="EUM59" s="12"/>
      <c r="EUN59" s="12"/>
      <c r="EUO59" s="12"/>
      <c r="EUP59" s="12"/>
      <c r="EUQ59" s="12"/>
      <c r="EUR59" s="12"/>
      <c r="EUS59" s="12"/>
      <c r="EUT59" s="12"/>
      <c r="EUU59" s="12"/>
      <c r="EUV59" s="12"/>
      <c r="EUW59" s="12"/>
      <c r="EUX59" s="12"/>
      <c r="EUY59" s="12"/>
      <c r="EUZ59" s="12"/>
      <c r="EVA59" s="12"/>
      <c r="EVB59" s="12"/>
      <c r="EVC59" s="12"/>
      <c r="EVD59" s="12"/>
      <c r="EVE59" s="12"/>
      <c r="EVF59" s="12"/>
      <c r="EVG59" s="12"/>
      <c r="EVH59" s="12"/>
      <c r="EVI59" s="12"/>
      <c r="EVJ59" s="12"/>
      <c r="EVK59" s="12"/>
      <c r="EVL59" s="12"/>
      <c r="EVM59" s="12"/>
      <c r="EVN59" s="12"/>
      <c r="EVO59" s="12"/>
      <c r="EVP59" s="12"/>
      <c r="EVQ59" s="12"/>
      <c r="EVR59" s="12"/>
      <c r="EVS59" s="12"/>
      <c r="EVT59" s="12"/>
      <c r="EVU59" s="12"/>
      <c r="EVV59" s="12"/>
      <c r="EVW59" s="12"/>
      <c r="EVX59" s="12"/>
      <c r="EVY59" s="12"/>
      <c r="EVZ59" s="12"/>
      <c r="EWA59" s="12"/>
      <c r="EWB59" s="12"/>
      <c r="EWC59" s="12"/>
      <c r="EWD59" s="12"/>
      <c r="EWE59" s="12"/>
      <c r="EWF59" s="12"/>
      <c r="EWG59" s="12"/>
      <c r="EWH59" s="12"/>
      <c r="EWI59" s="12"/>
      <c r="EWJ59" s="12"/>
      <c r="EWK59" s="12"/>
      <c r="EWL59" s="12"/>
      <c r="EWM59" s="12"/>
      <c r="EWN59" s="12"/>
      <c r="EWO59" s="12"/>
      <c r="EWP59" s="12"/>
      <c r="EWQ59" s="12"/>
      <c r="EWR59" s="12"/>
      <c r="EWS59" s="12"/>
      <c r="EWT59" s="12"/>
      <c r="EWU59" s="12"/>
      <c r="EWV59" s="12"/>
      <c r="EWW59" s="12"/>
      <c r="EWX59" s="12"/>
      <c r="EWY59" s="12"/>
      <c r="EWZ59" s="12"/>
      <c r="EXA59" s="12"/>
      <c r="EXB59" s="12"/>
      <c r="EXC59" s="12"/>
      <c r="EXD59" s="12"/>
      <c r="EXE59" s="12"/>
      <c r="EXF59" s="12"/>
      <c r="EXG59" s="12"/>
      <c r="EXH59" s="12"/>
      <c r="EXI59" s="12"/>
      <c r="EXJ59" s="12"/>
      <c r="EXK59" s="12"/>
      <c r="EXL59" s="12"/>
      <c r="EXM59" s="12"/>
      <c r="EXN59" s="12"/>
      <c r="EXO59" s="12"/>
      <c r="EXP59" s="12"/>
      <c r="EXQ59" s="12"/>
      <c r="EXR59" s="12"/>
      <c r="EXS59" s="12"/>
      <c r="EXT59" s="12"/>
      <c r="EXU59" s="12"/>
      <c r="EXV59" s="12"/>
      <c r="EXW59" s="12"/>
      <c r="EXX59" s="12"/>
      <c r="EXY59" s="12"/>
      <c r="EXZ59" s="12"/>
      <c r="EYA59" s="12"/>
      <c r="EYB59" s="12"/>
      <c r="EYC59" s="12"/>
      <c r="EYD59" s="12"/>
      <c r="EYE59" s="12"/>
      <c r="EYF59" s="12"/>
      <c r="EYG59" s="12"/>
      <c r="EYH59" s="12"/>
      <c r="EYI59" s="12"/>
      <c r="EYJ59" s="12"/>
      <c r="EYK59" s="12"/>
      <c r="EYL59" s="12"/>
      <c r="EYM59" s="12"/>
      <c r="EYN59" s="12"/>
      <c r="EYO59" s="12"/>
      <c r="EYP59" s="12"/>
      <c r="EYQ59" s="12"/>
      <c r="EYR59" s="12"/>
      <c r="EYS59" s="12"/>
      <c r="EYT59" s="12"/>
      <c r="EYU59" s="12"/>
      <c r="EYV59" s="12"/>
      <c r="EYW59" s="12"/>
      <c r="EYX59" s="12"/>
      <c r="EYY59" s="12"/>
      <c r="EYZ59" s="12"/>
      <c r="EZA59" s="12"/>
      <c r="EZB59" s="12"/>
      <c r="EZC59" s="12"/>
      <c r="EZD59" s="12"/>
      <c r="EZE59" s="12"/>
      <c r="EZF59" s="12"/>
      <c r="EZG59" s="12"/>
      <c r="EZH59" s="12"/>
      <c r="EZI59" s="12"/>
      <c r="EZJ59" s="12"/>
      <c r="EZK59" s="12"/>
      <c r="EZL59" s="12"/>
      <c r="EZM59" s="12"/>
      <c r="EZN59" s="12"/>
      <c r="EZO59" s="12"/>
      <c r="EZP59" s="12"/>
      <c r="EZQ59" s="12"/>
      <c r="EZR59" s="12"/>
      <c r="EZS59" s="12"/>
      <c r="EZT59" s="12"/>
      <c r="EZU59" s="12"/>
      <c r="EZV59" s="12"/>
      <c r="EZW59" s="12"/>
      <c r="EZX59" s="12"/>
      <c r="EZY59" s="12"/>
      <c r="EZZ59" s="12"/>
      <c r="FAA59" s="12"/>
      <c r="FAB59" s="12"/>
      <c r="FAC59" s="12"/>
      <c r="FAD59" s="12"/>
      <c r="FAE59" s="12"/>
      <c r="FAF59" s="12"/>
      <c r="FAG59" s="12"/>
      <c r="FAH59" s="12"/>
      <c r="FAI59" s="12"/>
      <c r="FAJ59" s="12"/>
      <c r="FAK59" s="12"/>
      <c r="FAL59" s="12"/>
      <c r="FAM59" s="12"/>
      <c r="FAN59" s="12"/>
      <c r="FAO59" s="12"/>
      <c r="FAP59" s="12"/>
      <c r="FAQ59" s="12"/>
      <c r="FAR59" s="12"/>
      <c r="FAS59" s="12"/>
      <c r="FAT59" s="12"/>
      <c r="FAU59" s="12"/>
      <c r="FAV59" s="12"/>
      <c r="FAW59" s="12"/>
      <c r="FAX59" s="12"/>
      <c r="FAY59" s="12"/>
      <c r="FAZ59" s="12"/>
      <c r="FBA59" s="12"/>
      <c r="FBB59" s="12"/>
      <c r="FBC59" s="12"/>
      <c r="FBD59" s="12"/>
      <c r="FBE59" s="12"/>
      <c r="FBF59" s="12"/>
      <c r="FBG59" s="12"/>
      <c r="FBH59" s="12"/>
      <c r="FBI59" s="12"/>
      <c r="FBJ59" s="12"/>
      <c r="FBK59" s="12"/>
      <c r="FBL59" s="12"/>
      <c r="FBM59" s="12"/>
      <c r="FBN59" s="12"/>
      <c r="FBO59" s="12"/>
      <c r="FBP59" s="12"/>
      <c r="FBQ59" s="12"/>
      <c r="FBR59" s="12"/>
      <c r="FBS59" s="12"/>
      <c r="FBT59" s="12"/>
      <c r="FBU59" s="12"/>
      <c r="FBV59" s="12"/>
      <c r="FBW59" s="12"/>
      <c r="FBX59" s="12"/>
      <c r="FBY59" s="12"/>
      <c r="FBZ59" s="12"/>
      <c r="FCA59" s="12"/>
      <c r="FCB59" s="12"/>
      <c r="FCC59" s="12"/>
      <c r="FCD59" s="12"/>
      <c r="FCE59" s="12"/>
      <c r="FCF59" s="12"/>
      <c r="FCG59" s="12"/>
      <c r="FCH59" s="12"/>
      <c r="FCI59" s="12"/>
      <c r="FCJ59" s="12"/>
      <c r="FCK59" s="12"/>
      <c r="FCL59" s="12"/>
      <c r="FCM59" s="12"/>
      <c r="FCN59" s="12"/>
      <c r="FCO59" s="12"/>
      <c r="FCP59" s="12"/>
      <c r="FCQ59" s="12"/>
      <c r="FCR59" s="12"/>
      <c r="FCS59" s="12"/>
      <c r="FCT59" s="12"/>
      <c r="FCU59" s="12"/>
      <c r="FCV59" s="12"/>
      <c r="FCW59" s="12"/>
      <c r="FCX59" s="12"/>
      <c r="FCY59" s="12"/>
      <c r="FCZ59" s="12"/>
      <c r="FDA59" s="12"/>
      <c r="FDB59" s="12"/>
      <c r="FDC59" s="12"/>
      <c r="FDD59" s="12"/>
      <c r="FDE59" s="12"/>
      <c r="FDF59" s="12"/>
      <c r="FDG59" s="12"/>
      <c r="FDH59" s="12"/>
      <c r="FDI59" s="12"/>
      <c r="FDJ59" s="12"/>
      <c r="FDK59" s="12"/>
      <c r="FDL59" s="12"/>
      <c r="FDM59" s="12"/>
      <c r="FDN59" s="12"/>
      <c r="FDO59" s="12"/>
      <c r="FDP59" s="12"/>
      <c r="FDQ59" s="12"/>
      <c r="FDR59" s="12"/>
      <c r="FDS59" s="12"/>
      <c r="FDT59" s="12"/>
      <c r="FDU59" s="12"/>
      <c r="FDV59" s="12"/>
      <c r="FDW59" s="12"/>
      <c r="FDX59" s="12"/>
      <c r="FDY59" s="12"/>
      <c r="FDZ59" s="12"/>
      <c r="FEA59" s="12"/>
      <c r="FEB59" s="12"/>
      <c r="FEC59" s="12"/>
      <c r="FED59" s="12"/>
      <c r="FEE59" s="12"/>
      <c r="FEF59" s="12"/>
      <c r="FEG59" s="12"/>
      <c r="FEH59" s="12"/>
      <c r="FEI59" s="12"/>
      <c r="FEJ59" s="12"/>
      <c r="FEK59" s="12"/>
      <c r="FEL59" s="12"/>
      <c r="FEM59" s="12"/>
      <c r="FEN59" s="12"/>
      <c r="FEO59" s="12"/>
      <c r="FEP59" s="12"/>
      <c r="FEQ59" s="12"/>
      <c r="FER59" s="12"/>
      <c r="FES59" s="12"/>
      <c r="FET59" s="12"/>
      <c r="FEU59" s="12"/>
      <c r="FEV59" s="12"/>
      <c r="FEW59" s="12"/>
      <c r="FEX59" s="12"/>
      <c r="FEY59" s="12"/>
      <c r="FEZ59" s="12"/>
      <c r="FFA59" s="12"/>
      <c r="FFB59" s="12"/>
      <c r="FFC59" s="12"/>
      <c r="FFD59" s="12"/>
      <c r="FFE59" s="12"/>
      <c r="FFF59" s="12"/>
      <c r="FFG59" s="12"/>
      <c r="FFH59" s="12"/>
      <c r="FFI59" s="12"/>
      <c r="FFJ59" s="12"/>
      <c r="FFK59" s="12"/>
      <c r="FFL59" s="12"/>
      <c r="FFM59" s="12"/>
      <c r="FFN59" s="12"/>
      <c r="FFO59" s="12"/>
      <c r="FFP59" s="12"/>
      <c r="FFQ59" s="12"/>
      <c r="FFR59" s="12"/>
      <c r="FFS59" s="12"/>
      <c r="FFT59" s="12"/>
      <c r="FFU59" s="12"/>
      <c r="FFV59" s="12"/>
      <c r="FFW59" s="12"/>
      <c r="FFX59" s="12"/>
      <c r="FFY59" s="12"/>
      <c r="FFZ59" s="12"/>
      <c r="FGA59" s="12"/>
      <c r="FGB59" s="12"/>
      <c r="FGC59" s="12"/>
      <c r="FGD59" s="12"/>
      <c r="FGE59" s="12"/>
      <c r="FGF59" s="12"/>
      <c r="FGG59" s="12"/>
      <c r="FGH59" s="12"/>
      <c r="FGI59" s="12"/>
      <c r="FGJ59" s="12"/>
      <c r="FGK59" s="12"/>
      <c r="FGL59" s="12"/>
      <c r="FGM59" s="12"/>
      <c r="FGN59" s="12"/>
      <c r="FGO59" s="12"/>
      <c r="FGP59" s="12"/>
      <c r="FGQ59" s="12"/>
      <c r="FGR59" s="12"/>
      <c r="FGS59" s="12"/>
      <c r="FGT59" s="12"/>
      <c r="FGU59" s="12"/>
      <c r="FGV59" s="12"/>
      <c r="FGW59" s="12"/>
      <c r="FGX59" s="12"/>
      <c r="FGY59" s="12"/>
      <c r="FGZ59" s="12"/>
      <c r="FHA59" s="12"/>
      <c r="FHB59" s="12"/>
      <c r="FHC59" s="12"/>
      <c r="FHD59" s="12"/>
      <c r="FHE59" s="12"/>
      <c r="FHF59" s="12"/>
      <c r="FHG59" s="12"/>
      <c r="FHH59" s="12"/>
      <c r="FHI59" s="12"/>
      <c r="FHJ59" s="12"/>
      <c r="FHK59" s="12"/>
      <c r="FHL59" s="12"/>
      <c r="FHM59" s="12"/>
      <c r="FHN59" s="12"/>
      <c r="FHO59" s="12"/>
      <c r="FHP59" s="12"/>
      <c r="FHQ59" s="12"/>
      <c r="FHR59" s="12"/>
      <c r="FHS59" s="12"/>
      <c r="FHT59" s="12"/>
      <c r="FHU59" s="12"/>
      <c r="FHV59" s="12"/>
      <c r="FHW59" s="12"/>
      <c r="FHX59" s="12"/>
      <c r="FHY59" s="12"/>
      <c r="FHZ59" s="12"/>
      <c r="FIA59" s="12"/>
      <c r="FIB59" s="12"/>
      <c r="FIC59" s="12"/>
      <c r="FID59" s="12"/>
      <c r="FIE59" s="12"/>
      <c r="FIF59" s="12"/>
      <c r="FIG59" s="12"/>
      <c r="FIH59" s="12"/>
      <c r="FII59" s="12"/>
      <c r="FIJ59" s="12"/>
      <c r="FIK59" s="12"/>
      <c r="FIL59" s="12"/>
      <c r="FIM59" s="12"/>
      <c r="FIN59" s="12"/>
      <c r="FIO59" s="12"/>
      <c r="FIP59" s="12"/>
      <c r="FIQ59" s="12"/>
      <c r="FIR59" s="12"/>
      <c r="FIS59" s="12"/>
      <c r="FIT59" s="12"/>
      <c r="FIU59" s="12"/>
      <c r="FIV59" s="12"/>
      <c r="FIW59" s="12"/>
      <c r="FIX59" s="12"/>
      <c r="FIY59" s="12"/>
      <c r="FIZ59" s="12"/>
      <c r="FJA59" s="12"/>
      <c r="FJB59" s="12"/>
      <c r="FJC59" s="12"/>
      <c r="FJD59" s="12"/>
      <c r="FJE59" s="12"/>
      <c r="FJF59" s="12"/>
      <c r="FJG59" s="12"/>
      <c r="FJH59" s="12"/>
      <c r="FJI59" s="12"/>
      <c r="FJJ59" s="12"/>
      <c r="FJK59" s="12"/>
      <c r="FJL59" s="12"/>
      <c r="FJM59" s="12"/>
      <c r="FJN59" s="12"/>
      <c r="FJO59" s="12"/>
      <c r="FJP59" s="12"/>
      <c r="FJQ59" s="12"/>
      <c r="FJR59" s="12"/>
      <c r="FJS59" s="12"/>
      <c r="FJT59" s="12"/>
      <c r="FJU59" s="12"/>
      <c r="FJV59" s="12"/>
      <c r="FJW59" s="12"/>
      <c r="FJX59" s="12"/>
      <c r="FJY59" s="12"/>
      <c r="FJZ59" s="12"/>
      <c r="FKA59" s="12"/>
      <c r="FKB59" s="12"/>
      <c r="FKC59" s="12"/>
      <c r="FKD59" s="12"/>
      <c r="FKE59" s="12"/>
      <c r="FKF59" s="12"/>
      <c r="FKG59" s="12"/>
      <c r="FKH59" s="12"/>
      <c r="FKI59" s="12"/>
      <c r="FKJ59" s="12"/>
      <c r="FKK59" s="12"/>
      <c r="FKL59" s="12"/>
      <c r="FKM59" s="12"/>
      <c r="FKN59" s="12"/>
      <c r="FKO59" s="12"/>
      <c r="FKP59" s="12"/>
      <c r="FKQ59" s="12"/>
      <c r="FKR59" s="12"/>
      <c r="FKS59" s="12"/>
      <c r="FKT59" s="12"/>
      <c r="FKU59" s="12"/>
      <c r="FKV59" s="12"/>
      <c r="FKW59" s="12"/>
      <c r="FKX59" s="12"/>
      <c r="FKY59" s="12"/>
      <c r="FKZ59" s="12"/>
      <c r="FLA59" s="12"/>
      <c r="FLB59" s="12"/>
      <c r="FLC59" s="12"/>
      <c r="FLD59" s="12"/>
      <c r="FLE59" s="12"/>
      <c r="FLF59" s="12"/>
      <c r="FLG59" s="12"/>
      <c r="FLH59" s="12"/>
      <c r="FLI59" s="12"/>
      <c r="FLJ59" s="12"/>
      <c r="FLK59" s="12"/>
      <c r="FLL59" s="12"/>
      <c r="FLM59" s="12"/>
      <c r="FLN59" s="12"/>
      <c r="FLO59" s="12"/>
      <c r="FLP59" s="12"/>
      <c r="FLQ59" s="12"/>
      <c r="FLR59" s="12"/>
      <c r="FLS59" s="12"/>
      <c r="FLT59" s="12"/>
      <c r="FLU59" s="12"/>
      <c r="FLV59" s="12"/>
      <c r="FLW59" s="12"/>
      <c r="FLX59" s="12"/>
      <c r="FLY59" s="12"/>
      <c r="FLZ59" s="12"/>
      <c r="FMA59" s="12"/>
      <c r="FMB59" s="12"/>
      <c r="FMC59" s="12"/>
      <c r="FMD59" s="12"/>
      <c r="FME59" s="12"/>
      <c r="FMF59" s="12"/>
      <c r="FMG59" s="12"/>
      <c r="FMH59" s="12"/>
      <c r="FMI59" s="12"/>
      <c r="FMJ59" s="12"/>
      <c r="FMK59" s="12"/>
      <c r="FML59" s="12"/>
      <c r="FMM59" s="12"/>
      <c r="FMN59" s="12"/>
      <c r="FMO59" s="12"/>
      <c r="FMP59" s="12"/>
      <c r="FMQ59" s="12"/>
      <c r="FMR59" s="12"/>
      <c r="FMS59" s="12"/>
      <c r="FMT59" s="12"/>
      <c r="FMU59" s="12"/>
      <c r="FMV59" s="12"/>
      <c r="FMW59" s="12"/>
      <c r="FMX59" s="12"/>
      <c r="FMY59" s="12"/>
      <c r="FMZ59" s="12"/>
      <c r="FNA59" s="12"/>
      <c r="FNB59" s="12"/>
      <c r="FNC59" s="12"/>
      <c r="FND59" s="12"/>
      <c r="FNE59" s="12"/>
      <c r="FNF59" s="12"/>
      <c r="FNG59" s="12"/>
      <c r="FNH59" s="12"/>
      <c r="FNI59" s="12"/>
      <c r="FNJ59" s="12"/>
      <c r="FNK59" s="12"/>
      <c r="FNL59" s="12"/>
      <c r="FNM59" s="12"/>
      <c r="FNN59" s="12"/>
      <c r="FNO59" s="12"/>
      <c r="FNP59" s="12"/>
      <c r="FNQ59" s="12"/>
      <c r="FNR59" s="12"/>
      <c r="FNS59" s="12"/>
      <c r="FNT59" s="12"/>
      <c r="FNU59" s="12"/>
      <c r="FNV59" s="12"/>
      <c r="FNW59" s="12"/>
      <c r="FNX59" s="12"/>
      <c r="FNY59" s="12"/>
      <c r="FNZ59" s="12"/>
      <c r="FOA59" s="12"/>
      <c r="FOB59" s="12"/>
      <c r="FOC59" s="12"/>
      <c r="FOD59" s="12"/>
      <c r="FOE59" s="12"/>
      <c r="FOF59" s="12"/>
      <c r="FOG59" s="12"/>
      <c r="FOH59" s="12"/>
      <c r="FOI59" s="12"/>
      <c r="FOJ59" s="12"/>
      <c r="FOK59" s="12"/>
      <c r="FOL59" s="12"/>
      <c r="FOM59" s="12"/>
      <c r="FON59" s="12"/>
      <c r="FOO59" s="12"/>
      <c r="FOP59" s="12"/>
      <c r="FOQ59" s="12"/>
      <c r="FOR59" s="12"/>
      <c r="FOS59" s="12"/>
      <c r="FOT59" s="12"/>
      <c r="FOU59" s="12"/>
      <c r="FOV59" s="12"/>
      <c r="FOW59" s="12"/>
      <c r="FOX59" s="12"/>
      <c r="FOY59" s="12"/>
      <c r="FOZ59" s="12"/>
      <c r="FPA59" s="12"/>
      <c r="FPB59" s="12"/>
      <c r="FPC59" s="12"/>
      <c r="FPD59" s="12"/>
      <c r="FPE59" s="12"/>
      <c r="FPF59" s="12"/>
      <c r="FPG59" s="12"/>
      <c r="FPH59" s="12"/>
      <c r="FPI59" s="12"/>
      <c r="FPJ59" s="12"/>
      <c r="FPK59" s="12"/>
      <c r="FPL59" s="12"/>
      <c r="FPM59" s="12"/>
      <c r="FPN59" s="12"/>
      <c r="FPO59" s="12"/>
      <c r="FPP59" s="12"/>
      <c r="FPQ59" s="12"/>
      <c r="FPR59" s="12"/>
      <c r="FPS59" s="12"/>
      <c r="FPT59" s="12"/>
      <c r="FPU59" s="12"/>
      <c r="FPV59" s="12"/>
      <c r="FPW59" s="12"/>
      <c r="FPX59" s="12"/>
      <c r="FPY59" s="12"/>
      <c r="FPZ59" s="12"/>
      <c r="FQA59" s="12"/>
      <c r="FQB59" s="12"/>
      <c r="FQC59" s="12"/>
      <c r="FQD59" s="12"/>
      <c r="FQE59" s="12"/>
      <c r="FQF59" s="12"/>
      <c r="FQG59" s="12"/>
      <c r="FQH59" s="12"/>
      <c r="FQI59" s="12"/>
      <c r="FQJ59" s="12"/>
      <c r="FQK59" s="12"/>
      <c r="FQL59" s="12"/>
      <c r="FQM59" s="12"/>
      <c r="FQN59" s="12"/>
      <c r="FQO59" s="12"/>
      <c r="FQP59" s="12"/>
      <c r="FQQ59" s="12"/>
      <c r="FQR59" s="12"/>
      <c r="FQS59" s="12"/>
      <c r="FQT59" s="12"/>
      <c r="FQU59" s="12"/>
      <c r="FQV59" s="12"/>
      <c r="FQW59" s="12"/>
      <c r="FQX59" s="12"/>
      <c r="FQY59" s="12"/>
      <c r="FQZ59" s="12"/>
      <c r="FRA59" s="12"/>
      <c r="FRB59" s="12"/>
      <c r="FRC59" s="12"/>
      <c r="FRD59" s="12"/>
      <c r="FRE59" s="12"/>
      <c r="FRF59" s="12"/>
      <c r="FRG59" s="12"/>
      <c r="FRH59" s="12"/>
      <c r="FRI59" s="12"/>
      <c r="FRJ59" s="12"/>
      <c r="FRK59" s="12"/>
      <c r="FRL59" s="12"/>
      <c r="FRM59" s="12"/>
      <c r="FRN59" s="12"/>
      <c r="FRO59" s="12"/>
      <c r="FRP59" s="12"/>
      <c r="FRQ59" s="12"/>
      <c r="FRR59" s="12"/>
      <c r="FRS59" s="12"/>
      <c r="FRT59" s="12"/>
      <c r="FRU59" s="12"/>
      <c r="FRV59" s="12"/>
      <c r="FRW59" s="12"/>
      <c r="FRX59" s="12"/>
      <c r="FRY59" s="12"/>
      <c r="FRZ59" s="12"/>
      <c r="FSA59" s="12"/>
      <c r="FSB59" s="12"/>
      <c r="FSC59" s="12"/>
      <c r="FSD59" s="12"/>
      <c r="FSE59" s="12"/>
      <c r="FSF59" s="12"/>
      <c r="FSG59" s="12"/>
      <c r="FSH59" s="12"/>
      <c r="FSI59" s="12"/>
      <c r="FSJ59" s="12"/>
      <c r="FSK59" s="12"/>
      <c r="FSL59" s="12"/>
      <c r="FSM59" s="12"/>
      <c r="FSN59" s="12"/>
      <c r="FSO59" s="12"/>
      <c r="FSP59" s="12"/>
      <c r="FSQ59" s="12"/>
      <c r="FSR59" s="12"/>
      <c r="FSS59" s="12"/>
      <c r="FST59" s="12"/>
      <c r="FSU59" s="12"/>
      <c r="FSV59" s="12"/>
      <c r="FSW59" s="12"/>
      <c r="FSX59" s="12"/>
      <c r="FSY59" s="12"/>
      <c r="FSZ59" s="12"/>
      <c r="FTA59" s="12"/>
      <c r="FTB59" s="12"/>
      <c r="FTC59" s="12"/>
      <c r="FTD59" s="12"/>
      <c r="FTE59" s="12"/>
      <c r="FTF59" s="12"/>
      <c r="FTG59" s="12"/>
      <c r="FTH59" s="12"/>
      <c r="FTI59" s="12"/>
      <c r="FTJ59" s="12"/>
      <c r="FTK59" s="12"/>
      <c r="FTL59" s="12"/>
      <c r="FTM59" s="12"/>
      <c r="FTN59" s="12"/>
      <c r="FTO59" s="12"/>
      <c r="FTP59" s="12"/>
      <c r="FTQ59" s="12"/>
      <c r="FTR59" s="12"/>
      <c r="FTS59" s="12"/>
      <c r="FTT59" s="12"/>
      <c r="FTU59" s="12"/>
      <c r="FTV59" s="12"/>
      <c r="FTW59" s="12"/>
      <c r="FTX59" s="12"/>
      <c r="FTY59" s="12"/>
      <c r="FTZ59" s="12"/>
      <c r="FUA59" s="12"/>
      <c r="FUB59" s="12"/>
      <c r="FUC59" s="12"/>
      <c r="FUD59" s="12"/>
      <c r="FUE59" s="12"/>
      <c r="FUF59" s="12"/>
      <c r="FUG59" s="12"/>
      <c r="FUH59" s="12"/>
      <c r="FUI59" s="12"/>
      <c r="FUJ59" s="12"/>
      <c r="FUK59" s="12"/>
      <c r="FUL59" s="12"/>
      <c r="FUM59" s="12"/>
      <c r="FUN59" s="12"/>
      <c r="FUO59" s="12"/>
      <c r="FUP59" s="12"/>
      <c r="FUQ59" s="12"/>
      <c r="FUR59" s="12"/>
      <c r="FUS59" s="12"/>
      <c r="FUT59" s="12"/>
      <c r="FUU59" s="12"/>
      <c r="FUV59" s="12"/>
      <c r="FUW59" s="12"/>
      <c r="FUX59" s="12"/>
      <c r="FUY59" s="12"/>
      <c r="FUZ59" s="12"/>
      <c r="FVA59" s="12"/>
      <c r="FVB59" s="12"/>
      <c r="FVC59" s="12"/>
      <c r="FVD59" s="12"/>
      <c r="FVE59" s="12"/>
      <c r="FVF59" s="12"/>
      <c r="FVG59" s="12"/>
      <c r="FVH59" s="12"/>
      <c r="FVI59" s="12"/>
      <c r="FVJ59" s="12"/>
      <c r="FVK59" s="12"/>
      <c r="FVL59" s="12"/>
      <c r="FVM59" s="12"/>
      <c r="FVN59" s="12"/>
      <c r="FVO59" s="12"/>
      <c r="FVP59" s="12"/>
      <c r="FVQ59" s="12"/>
      <c r="FVR59" s="12"/>
      <c r="FVS59" s="12"/>
      <c r="FVT59" s="12"/>
      <c r="FVU59" s="12"/>
      <c r="FVV59" s="12"/>
      <c r="FVW59" s="12"/>
      <c r="FVX59" s="12"/>
      <c r="FVY59" s="12"/>
      <c r="FVZ59" s="12"/>
      <c r="FWA59" s="12"/>
      <c r="FWB59" s="12"/>
      <c r="FWC59" s="12"/>
      <c r="FWD59" s="12"/>
      <c r="FWE59" s="12"/>
      <c r="FWF59" s="12"/>
      <c r="FWG59" s="12"/>
      <c r="FWH59" s="12"/>
      <c r="FWI59" s="12"/>
      <c r="FWJ59" s="12"/>
      <c r="FWK59" s="12"/>
      <c r="FWL59" s="12"/>
      <c r="FWM59" s="12"/>
      <c r="FWN59" s="12"/>
      <c r="FWO59" s="12"/>
      <c r="FWP59" s="12"/>
      <c r="FWQ59" s="12"/>
      <c r="FWR59" s="12"/>
      <c r="FWS59" s="12"/>
      <c r="FWT59" s="12"/>
      <c r="FWU59" s="12"/>
      <c r="FWV59" s="12"/>
      <c r="FWW59" s="12"/>
      <c r="FWX59" s="12"/>
      <c r="FWY59" s="12"/>
      <c r="FWZ59" s="12"/>
      <c r="FXA59" s="12"/>
      <c r="FXB59" s="12"/>
      <c r="FXC59" s="12"/>
      <c r="FXD59" s="12"/>
      <c r="FXE59" s="12"/>
      <c r="FXF59" s="12"/>
      <c r="FXG59" s="12"/>
      <c r="FXH59" s="12"/>
      <c r="FXI59" s="12"/>
      <c r="FXJ59" s="12"/>
      <c r="FXK59" s="12"/>
      <c r="FXL59" s="12"/>
      <c r="FXM59" s="12"/>
      <c r="FXN59" s="12"/>
      <c r="FXO59" s="12"/>
      <c r="FXP59" s="12"/>
      <c r="FXQ59" s="12"/>
      <c r="FXR59" s="12"/>
      <c r="FXS59" s="12"/>
      <c r="FXT59" s="12"/>
      <c r="FXU59" s="12"/>
      <c r="FXV59" s="12"/>
      <c r="FXW59" s="12"/>
      <c r="FXX59" s="12"/>
      <c r="FXY59" s="12"/>
      <c r="FXZ59" s="12"/>
      <c r="FYA59" s="12"/>
      <c r="FYB59" s="12"/>
      <c r="FYC59" s="12"/>
      <c r="FYD59" s="12"/>
      <c r="FYE59" s="12"/>
      <c r="FYF59" s="12"/>
      <c r="FYG59" s="12"/>
      <c r="FYH59" s="12"/>
      <c r="FYI59" s="12"/>
      <c r="FYJ59" s="12"/>
      <c r="FYK59" s="12"/>
      <c r="FYL59" s="12"/>
      <c r="FYM59" s="12"/>
      <c r="FYN59" s="12"/>
      <c r="FYO59" s="12"/>
      <c r="FYP59" s="12"/>
      <c r="FYQ59" s="12"/>
      <c r="FYR59" s="12"/>
      <c r="FYS59" s="12"/>
      <c r="FYT59" s="12"/>
      <c r="FYU59" s="12"/>
      <c r="FYV59" s="12"/>
      <c r="FYW59" s="12"/>
      <c r="FYX59" s="12"/>
      <c r="FYY59" s="12"/>
      <c r="FYZ59" s="12"/>
      <c r="FZA59" s="12"/>
      <c r="FZB59" s="12"/>
      <c r="FZC59" s="12"/>
      <c r="FZD59" s="12"/>
      <c r="FZE59" s="12"/>
      <c r="FZF59" s="12"/>
      <c r="FZG59" s="12"/>
      <c r="FZH59" s="12"/>
      <c r="FZI59" s="12"/>
      <c r="FZJ59" s="12"/>
      <c r="FZK59" s="12"/>
      <c r="FZL59" s="12"/>
      <c r="FZM59" s="12"/>
      <c r="FZN59" s="12"/>
      <c r="FZO59" s="12"/>
      <c r="FZP59" s="12"/>
      <c r="FZQ59" s="12"/>
      <c r="FZR59" s="12"/>
      <c r="FZS59" s="12"/>
      <c r="FZT59" s="12"/>
      <c r="FZU59" s="12"/>
      <c r="FZV59" s="12"/>
      <c r="FZW59" s="12"/>
      <c r="FZX59" s="12"/>
      <c r="FZY59" s="12"/>
      <c r="FZZ59" s="12"/>
      <c r="GAA59" s="12"/>
      <c r="GAB59" s="12"/>
      <c r="GAC59" s="12"/>
      <c r="GAD59" s="12"/>
      <c r="GAE59" s="12"/>
      <c r="GAF59" s="12"/>
      <c r="GAG59" s="12"/>
      <c r="GAH59" s="12"/>
      <c r="GAI59" s="12"/>
      <c r="GAJ59" s="12"/>
      <c r="GAK59" s="12"/>
      <c r="GAL59" s="12"/>
      <c r="GAM59" s="12"/>
      <c r="GAN59" s="12"/>
      <c r="GAO59" s="12"/>
      <c r="GAP59" s="12"/>
      <c r="GAQ59" s="12"/>
      <c r="GAR59" s="12"/>
      <c r="GAS59" s="12"/>
      <c r="GAT59" s="12"/>
      <c r="GAU59" s="12"/>
      <c r="GAV59" s="12"/>
      <c r="GAW59" s="12"/>
      <c r="GAX59" s="12"/>
      <c r="GAY59" s="12"/>
      <c r="GAZ59" s="12"/>
      <c r="GBA59" s="12"/>
      <c r="GBB59" s="12"/>
      <c r="GBC59" s="12"/>
      <c r="GBD59" s="12"/>
      <c r="GBE59" s="12"/>
      <c r="GBF59" s="12"/>
      <c r="GBG59" s="12"/>
      <c r="GBH59" s="12"/>
      <c r="GBI59" s="12"/>
      <c r="GBJ59" s="12"/>
      <c r="GBK59" s="12"/>
      <c r="GBL59" s="12"/>
      <c r="GBM59" s="12"/>
      <c r="GBN59" s="12"/>
      <c r="GBO59" s="12"/>
      <c r="GBP59" s="12"/>
      <c r="GBQ59" s="12"/>
      <c r="GBR59" s="12"/>
      <c r="GBS59" s="12"/>
      <c r="GBT59" s="12"/>
      <c r="GBU59" s="12"/>
      <c r="GBV59" s="12"/>
      <c r="GBW59" s="12"/>
      <c r="GBX59" s="12"/>
      <c r="GBY59" s="12"/>
      <c r="GBZ59" s="12"/>
      <c r="GCA59" s="12"/>
      <c r="GCB59" s="12"/>
      <c r="GCC59" s="12"/>
      <c r="GCD59" s="12"/>
      <c r="GCE59" s="12"/>
      <c r="GCF59" s="12"/>
      <c r="GCG59" s="12"/>
      <c r="GCH59" s="12"/>
      <c r="GCI59" s="12"/>
      <c r="GCJ59" s="12"/>
      <c r="GCK59" s="12"/>
      <c r="GCL59" s="12"/>
      <c r="GCM59" s="12"/>
      <c r="GCN59" s="12"/>
      <c r="GCO59" s="12"/>
      <c r="GCP59" s="12"/>
      <c r="GCQ59" s="12"/>
      <c r="GCR59" s="12"/>
      <c r="GCS59" s="12"/>
      <c r="GCT59" s="12"/>
      <c r="GCU59" s="12"/>
      <c r="GCV59" s="12"/>
      <c r="GCW59" s="12"/>
      <c r="GCX59" s="12"/>
      <c r="GCY59" s="12"/>
      <c r="GCZ59" s="12"/>
      <c r="GDA59" s="12"/>
      <c r="GDB59" s="12"/>
      <c r="GDC59" s="12"/>
      <c r="GDD59" s="12"/>
      <c r="GDE59" s="12"/>
      <c r="GDF59" s="12"/>
      <c r="GDG59" s="12"/>
      <c r="GDH59" s="12"/>
      <c r="GDI59" s="12"/>
      <c r="GDJ59" s="12"/>
      <c r="GDK59" s="12"/>
      <c r="GDL59" s="12"/>
      <c r="GDM59" s="12"/>
      <c r="GDN59" s="12"/>
      <c r="GDO59" s="12"/>
      <c r="GDP59" s="12"/>
      <c r="GDQ59" s="12"/>
      <c r="GDR59" s="12"/>
      <c r="GDS59" s="12"/>
      <c r="GDT59" s="12"/>
      <c r="GDU59" s="12"/>
      <c r="GDV59" s="12"/>
      <c r="GDW59" s="12"/>
      <c r="GDX59" s="12"/>
      <c r="GDY59" s="12"/>
      <c r="GDZ59" s="12"/>
      <c r="GEA59" s="12"/>
      <c r="GEB59" s="12"/>
      <c r="GEC59" s="12"/>
      <c r="GED59" s="12"/>
      <c r="GEE59" s="12"/>
      <c r="GEF59" s="12"/>
      <c r="GEG59" s="12"/>
      <c r="GEH59" s="12"/>
      <c r="GEI59" s="12"/>
      <c r="GEJ59" s="12"/>
      <c r="GEK59" s="12"/>
      <c r="GEL59" s="12"/>
      <c r="GEM59" s="12"/>
      <c r="GEN59" s="12"/>
      <c r="GEO59" s="12"/>
      <c r="GEP59" s="12"/>
      <c r="GEQ59" s="12"/>
      <c r="GER59" s="12"/>
      <c r="GES59" s="12"/>
      <c r="GET59" s="12"/>
      <c r="GEU59" s="12"/>
      <c r="GEV59" s="12"/>
      <c r="GEW59" s="12"/>
      <c r="GEX59" s="12"/>
      <c r="GEY59" s="12"/>
      <c r="GEZ59" s="12"/>
      <c r="GFA59" s="12"/>
      <c r="GFB59" s="12"/>
      <c r="GFC59" s="12"/>
      <c r="GFD59" s="12"/>
      <c r="GFE59" s="12"/>
      <c r="GFF59" s="12"/>
      <c r="GFG59" s="12"/>
      <c r="GFH59" s="12"/>
      <c r="GFI59" s="12"/>
      <c r="GFJ59" s="12"/>
      <c r="GFK59" s="12"/>
      <c r="GFL59" s="12"/>
      <c r="GFM59" s="12"/>
      <c r="GFN59" s="12"/>
      <c r="GFO59" s="12"/>
      <c r="GFP59" s="12"/>
      <c r="GFQ59" s="12"/>
      <c r="GFR59" s="12"/>
      <c r="GFS59" s="12"/>
      <c r="GFT59" s="12"/>
      <c r="GFU59" s="12"/>
      <c r="GFV59" s="12"/>
      <c r="GFW59" s="12"/>
      <c r="GFX59" s="12"/>
      <c r="GFY59" s="12"/>
      <c r="GFZ59" s="12"/>
      <c r="GGA59" s="12"/>
      <c r="GGB59" s="12"/>
      <c r="GGC59" s="12"/>
      <c r="GGD59" s="12"/>
      <c r="GGE59" s="12"/>
      <c r="GGF59" s="12"/>
      <c r="GGG59" s="12"/>
      <c r="GGH59" s="12"/>
      <c r="GGI59" s="12"/>
      <c r="GGJ59" s="12"/>
      <c r="GGK59" s="12"/>
      <c r="GGL59" s="12"/>
      <c r="GGM59" s="12"/>
      <c r="GGN59" s="12"/>
      <c r="GGO59" s="12"/>
      <c r="GGP59" s="12"/>
      <c r="GGQ59" s="12"/>
      <c r="GGR59" s="12"/>
      <c r="GGS59" s="12"/>
      <c r="GGT59" s="12"/>
      <c r="GGU59" s="12"/>
      <c r="GGV59" s="12"/>
      <c r="GGW59" s="12"/>
      <c r="GGX59" s="12"/>
      <c r="GGY59" s="12"/>
      <c r="GGZ59" s="12"/>
      <c r="GHA59" s="12"/>
      <c r="GHB59" s="12"/>
      <c r="GHC59" s="12"/>
      <c r="GHD59" s="12"/>
      <c r="GHE59" s="12"/>
      <c r="GHF59" s="12"/>
      <c r="GHG59" s="12"/>
      <c r="GHH59" s="12"/>
      <c r="GHI59" s="12"/>
      <c r="GHJ59" s="12"/>
      <c r="GHK59" s="12"/>
      <c r="GHL59" s="12"/>
      <c r="GHM59" s="12"/>
      <c r="GHN59" s="12"/>
      <c r="GHO59" s="12"/>
      <c r="GHP59" s="12"/>
      <c r="GHQ59" s="12"/>
      <c r="GHR59" s="12"/>
      <c r="GHS59" s="12"/>
      <c r="GHT59" s="12"/>
      <c r="GHU59" s="12"/>
      <c r="GHV59" s="12"/>
      <c r="GHW59" s="12"/>
      <c r="GHX59" s="12"/>
      <c r="GHY59" s="12"/>
      <c r="GHZ59" s="12"/>
      <c r="GIA59" s="12"/>
      <c r="GIB59" s="12"/>
      <c r="GIC59" s="12"/>
      <c r="GID59" s="12"/>
      <c r="GIE59" s="12"/>
      <c r="GIF59" s="12"/>
      <c r="GIG59" s="12"/>
      <c r="GIH59" s="12"/>
      <c r="GII59" s="12"/>
      <c r="GIJ59" s="12"/>
      <c r="GIK59" s="12"/>
      <c r="GIL59" s="12"/>
      <c r="GIM59" s="12"/>
      <c r="GIN59" s="12"/>
      <c r="GIO59" s="12"/>
      <c r="GIP59" s="12"/>
      <c r="GIQ59" s="12"/>
      <c r="GIR59" s="12"/>
      <c r="GIS59" s="12"/>
      <c r="GIT59" s="12"/>
      <c r="GIU59" s="12"/>
      <c r="GIV59" s="12"/>
      <c r="GIW59" s="12"/>
      <c r="GIX59" s="12"/>
      <c r="GIY59" s="12"/>
      <c r="GIZ59" s="12"/>
      <c r="GJA59" s="12"/>
      <c r="GJB59" s="12"/>
      <c r="GJC59" s="12"/>
      <c r="GJD59" s="12"/>
      <c r="GJE59" s="12"/>
      <c r="GJF59" s="12"/>
      <c r="GJG59" s="12"/>
      <c r="GJH59" s="12"/>
      <c r="GJI59" s="12"/>
      <c r="GJJ59" s="12"/>
      <c r="GJK59" s="12"/>
      <c r="GJL59" s="12"/>
      <c r="GJM59" s="12"/>
      <c r="GJN59" s="12"/>
      <c r="GJO59" s="12"/>
      <c r="GJP59" s="12"/>
      <c r="GJQ59" s="12"/>
      <c r="GJR59" s="12"/>
      <c r="GJS59" s="12"/>
      <c r="GJT59" s="12"/>
      <c r="GJU59" s="12"/>
      <c r="GJV59" s="12"/>
      <c r="GJW59" s="12"/>
      <c r="GJX59" s="12"/>
      <c r="GJY59" s="12"/>
      <c r="GJZ59" s="12"/>
      <c r="GKA59" s="12"/>
      <c r="GKB59" s="12"/>
      <c r="GKC59" s="12"/>
      <c r="GKD59" s="12"/>
      <c r="GKE59" s="12"/>
      <c r="GKF59" s="12"/>
      <c r="GKG59" s="12"/>
      <c r="GKH59" s="12"/>
      <c r="GKI59" s="12"/>
      <c r="GKJ59" s="12"/>
      <c r="GKK59" s="12"/>
      <c r="GKL59" s="12"/>
      <c r="GKM59" s="12"/>
      <c r="GKN59" s="12"/>
      <c r="GKO59" s="12"/>
      <c r="GKP59" s="12"/>
      <c r="GKQ59" s="12"/>
      <c r="GKR59" s="12"/>
      <c r="GKS59" s="12"/>
      <c r="GKT59" s="12"/>
      <c r="GKU59" s="12"/>
      <c r="GKV59" s="12"/>
      <c r="GKW59" s="12"/>
      <c r="GKX59" s="12"/>
      <c r="GKY59" s="12"/>
      <c r="GKZ59" s="12"/>
      <c r="GLA59" s="12"/>
      <c r="GLB59" s="12"/>
      <c r="GLC59" s="12"/>
      <c r="GLD59" s="12"/>
      <c r="GLE59" s="12"/>
      <c r="GLF59" s="12"/>
      <c r="GLG59" s="12"/>
      <c r="GLH59" s="12"/>
      <c r="GLI59" s="12"/>
      <c r="GLJ59" s="12"/>
      <c r="GLK59" s="12"/>
      <c r="GLL59" s="12"/>
      <c r="GLM59" s="12"/>
      <c r="GLN59" s="12"/>
      <c r="GLO59" s="12"/>
      <c r="GLP59" s="12"/>
      <c r="GLQ59" s="12"/>
      <c r="GLR59" s="12"/>
      <c r="GLS59" s="12"/>
      <c r="GLT59" s="12"/>
      <c r="GLU59" s="12"/>
      <c r="GLV59" s="12"/>
      <c r="GLW59" s="12"/>
      <c r="GLX59" s="12"/>
      <c r="GLY59" s="12"/>
      <c r="GLZ59" s="12"/>
      <c r="GMA59" s="12"/>
      <c r="GMB59" s="12"/>
      <c r="GMC59" s="12"/>
      <c r="GMD59" s="12"/>
      <c r="GME59" s="12"/>
      <c r="GMF59" s="12"/>
      <c r="GMG59" s="12"/>
      <c r="GMH59" s="12"/>
      <c r="GMI59" s="12"/>
      <c r="GMJ59" s="12"/>
      <c r="GMK59" s="12"/>
      <c r="GML59" s="12"/>
      <c r="GMM59" s="12"/>
      <c r="GMN59" s="12"/>
      <c r="GMO59" s="12"/>
      <c r="GMP59" s="12"/>
      <c r="GMQ59" s="12"/>
      <c r="GMR59" s="12"/>
      <c r="GMS59" s="12"/>
      <c r="GMT59" s="12"/>
      <c r="GMU59" s="12"/>
      <c r="GMV59" s="12"/>
      <c r="GMW59" s="12"/>
      <c r="GMX59" s="12"/>
      <c r="GMY59" s="12"/>
      <c r="GMZ59" s="12"/>
      <c r="GNA59" s="12"/>
      <c r="GNB59" s="12"/>
      <c r="GNC59" s="12"/>
      <c r="GND59" s="12"/>
      <c r="GNE59" s="12"/>
      <c r="GNF59" s="12"/>
      <c r="GNG59" s="12"/>
      <c r="GNH59" s="12"/>
      <c r="GNI59" s="12"/>
      <c r="GNJ59" s="12"/>
      <c r="GNK59" s="12"/>
      <c r="GNL59" s="12"/>
      <c r="GNM59" s="12"/>
      <c r="GNN59" s="12"/>
      <c r="GNO59" s="12"/>
      <c r="GNP59" s="12"/>
      <c r="GNQ59" s="12"/>
      <c r="GNR59" s="12"/>
      <c r="GNS59" s="12"/>
      <c r="GNT59" s="12"/>
      <c r="GNU59" s="12"/>
      <c r="GNV59" s="12"/>
      <c r="GNW59" s="12"/>
      <c r="GNX59" s="12"/>
      <c r="GNY59" s="12"/>
      <c r="GNZ59" s="12"/>
      <c r="GOA59" s="12"/>
      <c r="GOB59" s="12"/>
      <c r="GOC59" s="12"/>
      <c r="GOD59" s="12"/>
      <c r="GOE59" s="12"/>
      <c r="GOF59" s="12"/>
      <c r="GOG59" s="12"/>
      <c r="GOH59" s="12"/>
      <c r="GOI59" s="12"/>
      <c r="GOJ59" s="12"/>
      <c r="GOK59" s="12"/>
      <c r="GOL59" s="12"/>
      <c r="GOM59" s="12"/>
      <c r="GON59" s="12"/>
      <c r="GOO59" s="12"/>
      <c r="GOP59" s="12"/>
      <c r="GOQ59" s="12"/>
      <c r="GOR59" s="12"/>
      <c r="GOS59" s="12"/>
      <c r="GOT59" s="12"/>
      <c r="GOU59" s="12"/>
      <c r="GOV59" s="12"/>
      <c r="GOW59" s="12"/>
      <c r="GOX59" s="12"/>
      <c r="GOY59" s="12"/>
      <c r="GOZ59" s="12"/>
      <c r="GPA59" s="12"/>
      <c r="GPB59" s="12"/>
      <c r="GPC59" s="12"/>
      <c r="GPD59" s="12"/>
      <c r="GPE59" s="12"/>
      <c r="GPF59" s="12"/>
      <c r="GPG59" s="12"/>
      <c r="GPH59" s="12"/>
      <c r="GPI59" s="12"/>
      <c r="GPJ59" s="12"/>
      <c r="GPK59" s="12"/>
      <c r="GPL59" s="12"/>
      <c r="GPM59" s="12"/>
      <c r="GPN59" s="12"/>
      <c r="GPO59" s="12"/>
      <c r="GPP59" s="12"/>
      <c r="GPQ59" s="12"/>
      <c r="GPR59" s="12"/>
      <c r="GPS59" s="12"/>
      <c r="GPT59" s="12"/>
      <c r="GPU59" s="12"/>
      <c r="GPV59" s="12"/>
      <c r="GPW59" s="12"/>
      <c r="GPX59" s="12"/>
      <c r="GPY59" s="12"/>
      <c r="GPZ59" s="12"/>
      <c r="GQA59" s="12"/>
      <c r="GQB59" s="12"/>
      <c r="GQC59" s="12"/>
      <c r="GQD59" s="12"/>
      <c r="GQE59" s="12"/>
      <c r="GQF59" s="12"/>
      <c r="GQG59" s="12"/>
      <c r="GQH59" s="12"/>
      <c r="GQI59" s="12"/>
      <c r="GQJ59" s="12"/>
      <c r="GQK59" s="12"/>
      <c r="GQL59" s="12"/>
      <c r="GQM59" s="12"/>
      <c r="GQN59" s="12"/>
      <c r="GQO59" s="12"/>
      <c r="GQP59" s="12"/>
      <c r="GQQ59" s="12"/>
      <c r="GQR59" s="12"/>
      <c r="GQS59" s="12"/>
      <c r="GQT59" s="12"/>
      <c r="GQU59" s="12"/>
      <c r="GQV59" s="12"/>
      <c r="GQW59" s="12"/>
      <c r="GQX59" s="12"/>
      <c r="GQY59" s="12"/>
      <c r="GQZ59" s="12"/>
      <c r="GRA59" s="12"/>
      <c r="GRB59" s="12"/>
      <c r="GRC59" s="12"/>
      <c r="GRD59" s="12"/>
      <c r="GRE59" s="12"/>
      <c r="GRF59" s="12"/>
      <c r="GRG59" s="12"/>
      <c r="GRH59" s="12"/>
      <c r="GRI59" s="12"/>
      <c r="GRJ59" s="12"/>
      <c r="GRK59" s="12"/>
      <c r="GRL59" s="12"/>
      <c r="GRM59" s="12"/>
      <c r="GRN59" s="12"/>
      <c r="GRO59" s="12"/>
      <c r="GRP59" s="12"/>
      <c r="GRQ59" s="12"/>
      <c r="GRR59" s="12"/>
      <c r="GRS59" s="12"/>
      <c r="GRT59" s="12"/>
      <c r="GRU59" s="12"/>
      <c r="GRV59" s="12"/>
      <c r="GRW59" s="12"/>
      <c r="GRX59" s="12"/>
      <c r="GRY59" s="12"/>
      <c r="GRZ59" s="12"/>
      <c r="GSA59" s="12"/>
      <c r="GSB59" s="12"/>
      <c r="GSC59" s="12"/>
      <c r="GSD59" s="12"/>
      <c r="GSE59" s="12"/>
      <c r="GSF59" s="12"/>
      <c r="GSG59" s="12"/>
      <c r="GSH59" s="12"/>
      <c r="GSI59" s="12"/>
      <c r="GSJ59" s="12"/>
      <c r="GSK59" s="12"/>
      <c r="GSL59" s="12"/>
      <c r="GSM59" s="12"/>
      <c r="GSN59" s="12"/>
      <c r="GSO59" s="12"/>
      <c r="GSP59" s="12"/>
      <c r="GSQ59" s="12"/>
      <c r="GSR59" s="12"/>
      <c r="GSS59" s="12"/>
      <c r="GST59" s="12"/>
      <c r="GSU59" s="12"/>
      <c r="GSV59" s="12"/>
      <c r="GSW59" s="12"/>
      <c r="GSX59" s="12"/>
      <c r="GSY59" s="12"/>
      <c r="GSZ59" s="12"/>
      <c r="GTA59" s="12"/>
      <c r="GTB59" s="12"/>
      <c r="GTC59" s="12"/>
      <c r="GTD59" s="12"/>
      <c r="GTE59" s="12"/>
      <c r="GTF59" s="12"/>
      <c r="GTG59" s="12"/>
      <c r="GTH59" s="12"/>
      <c r="GTI59" s="12"/>
      <c r="GTJ59" s="12"/>
      <c r="GTK59" s="12"/>
      <c r="GTL59" s="12"/>
      <c r="GTM59" s="12"/>
      <c r="GTN59" s="12"/>
      <c r="GTO59" s="12"/>
      <c r="GTP59" s="12"/>
      <c r="GTQ59" s="12"/>
      <c r="GTR59" s="12"/>
      <c r="GTS59" s="12"/>
      <c r="GTT59" s="12"/>
      <c r="GTU59" s="12"/>
      <c r="GTV59" s="12"/>
      <c r="GTW59" s="12"/>
      <c r="GTX59" s="12"/>
      <c r="GTY59" s="12"/>
      <c r="GTZ59" s="12"/>
      <c r="GUA59" s="12"/>
      <c r="GUB59" s="12"/>
      <c r="GUC59" s="12"/>
      <c r="GUD59" s="12"/>
      <c r="GUE59" s="12"/>
      <c r="GUF59" s="12"/>
      <c r="GUG59" s="12"/>
      <c r="GUH59" s="12"/>
      <c r="GUI59" s="12"/>
      <c r="GUJ59" s="12"/>
      <c r="GUK59" s="12"/>
      <c r="GUL59" s="12"/>
      <c r="GUM59" s="12"/>
      <c r="GUN59" s="12"/>
      <c r="GUO59" s="12"/>
      <c r="GUP59" s="12"/>
      <c r="GUQ59" s="12"/>
      <c r="GUR59" s="12"/>
      <c r="GUS59" s="12"/>
      <c r="GUT59" s="12"/>
      <c r="GUU59" s="12"/>
      <c r="GUV59" s="12"/>
      <c r="GUW59" s="12"/>
      <c r="GUX59" s="12"/>
      <c r="GUY59" s="12"/>
      <c r="GUZ59" s="12"/>
      <c r="GVA59" s="12"/>
      <c r="GVB59" s="12"/>
      <c r="GVC59" s="12"/>
      <c r="GVD59" s="12"/>
      <c r="GVE59" s="12"/>
      <c r="GVF59" s="12"/>
      <c r="GVG59" s="12"/>
      <c r="GVH59" s="12"/>
      <c r="GVI59" s="12"/>
      <c r="GVJ59" s="12"/>
      <c r="GVK59" s="12"/>
      <c r="GVL59" s="12"/>
      <c r="GVM59" s="12"/>
      <c r="GVN59" s="12"/>
      <c r="GVO59" s="12"/>
      <c r="GVP59" s="12"/>
      <c r="GVQ59" s="12"/>
      <c r="GVR59" s="12"/>
      <c r="GVS59" s="12"/>
      <c r="GVT59" s="12"/>
      <c r="GVU59" s="12"/>
      <c r="GVV59" s="12"/>
      <c r="GVW59" s="12"/>
      <c r="GVX59" s="12"/>
      <c r="GVY59" s="12"/>
      <c r="GVZ59" s="12"/>
      <c r="GWA59" s="12"/>
      <c r="GWB59" s="12"/>
      <c r="GWC59" s="12"/>
      <c r="GWD59" s="12"/>
      <c r="GWE59" s="12"/>
      <c r="GWF59" s="12"/>
      <c r="GWG59" s="12"/>
      <c r="GWH59" s="12"/>
      <c r="GWI59" s="12"/>
      <c r="GWJ59" s="12"/>
      <c r="GWK59" s="12"/>
      <c r="GWL59" s="12"/>
      <c r="GWM59" s="12"/>
      <c r="GWN59" s="12"/>
      <c r="GWO59" s="12"/>
      <c r="GWP59" s="12"/>
      <c r="GWQ59" s="12"/>
      <c r="GWR59" s="12"/>
      <c r="GWS59" s="12"/>
      <c r="GWT59" s="12"/>
      <c r="GWU59" s="12"/>
      <c r="GWV59" s="12"/>
      <c r="GWW59" s="12"/>
      <c r="GWX59" s="12"/>
      <c r="GWY59" s="12"/>
      <c r="GWZ59" s="12"/>
      <c r="GXA59" s="12"/>
      <c r="GXB59" s="12"/>
      <c r="GXC59" s="12"/>
      <c r="GXD59" s="12"/>
      <c r="GXE59" s="12"/>
      <c r="GXF59" s="12"/>
      <c r="GXG59" s="12"/>
      <c r="GXH59" s="12"/>
      <c r="GXI59" s="12"/>
      <c r="GXJ59" s="12"/>
      <c r="GXK59" s="12"/>
      <c r="GXL59" s="12"/>
      <c r="GXM59" s="12"/>
      <c r="GXN59" s="12"/>
      <c r="GXO59" s="12"/>
      <c r="GXP59" s="12"/>
      <c r="GXQ59" s="12"/>
      <c r="GXR59" s="12"/>
      <c r="GXS59" s="12"/>
      <c r="GXT59" s="12"/>
      <c r="GXU59" s="12"/>
      <c r="GXV59" s="12"/>
      <c r="GXW59" s="12"/>
      <c r="GXX59" s="12"/>
      <c r="GXY59" s="12"/>
      <c r="GXZ59" s="12"/>
      <c r="GYA59" s="12"/>
      <c r="GYB59" s="12"/>
      <c r="GYC59" s="12"/>
      <c r="GYD59" s="12"/>
      <c r="GYE59" s="12"/>
      <c r="GYF59" s="12"/>
      <c r="GYG59" s="12"/>
      <c r="GYH59" s="12"/>
      <c r="GYI59" s="12"/>
      <c r="GYJ59" s="12"/>
      <c r="GYK59" s="12"/>
      <c r="GYL59" s="12"/>
      <c r="GYM59" s="12"/>
      <c r="GYN59" s="12"/>
      <c r="GYO59" s="12"/>
      <c r="GYP59" s="12"/>
      <c r="GYQ59" s="12"/>
      <c r="GYR59" s="12"/>
      <c r="GYS59" s="12"/>
      <c r="GYT59" s="12"/>
      <c r="GYU59" s="12"/>
      <c r="GYV59" s="12"/>
      <c r="GYW59" s="12"/>
      <c r="GYX59" s="12"/>
      <c r="GYY59" s="12"/>
      <c r="GYZ59" s="12"/>
      <c r="GZA59" s="12"/>
      <c r="GZB59" s="12"/>
      <c r="GZC59" s="12"/>
      <c r="GZD59" s="12"/>
      <c r="GZE59" s="12"/>
      <c r="GZF59" s="12"/>
      <c r="GZG59" s="12"/>
      <c r="GZH59" s="12"/>
      <c r="GZI59" s="12"/>
      <c r="GZJ59" s="12"/>
      <c r="GZK59" s="12"/>
      <c r="GZL59" s="12"/>
      <c r="GZM59" s="12"/>
      <c r="GZN59" s="12"/>
      <c r="GZO59" s="12"/>
      <c r="GZP59" s="12"/>
      <c r="GZQ59" s="12"/>
      <c r="GZR59" s="12"/>
      <c r="GZS59" s="12"/>
      <c r="GZT59" s="12"/>
      <c r="GZU59" s="12"/>
      <c r="GZV59" s="12"/>
      <c r="GZW59" s="12"/>
      <c r="GZX59" s="12"/>
      <c r="GZY59" s="12"/>
      <c r="GZZ59" s="12"/>
      <c r="HAA59" s="12"/>
      <c r="HAB59" s="12"/>
      <c r="HAC59" s="12"/>
      <c r="HAD59" s="12"/>
      <c r="HAE59" s="12"/>
      <c r="HAF59" s="12"/>
      <c r="HAG59" s="12"/>
      <c r="HAH59" s="12"/>
      <c r="HAI59" s="12"/>
      <c r="HAJ59" s="12"/>
      <c r="HAK59" s="12"/>
      <c r="HAL59" s="12"/>
      <c r="HAM59" s="12"/>
      <c r="HAN59" s="12"/>
      <c r="HAO59" s="12"/>
      <c r="HAP59" s="12"/>
      <c r="HAQ59" s="12"/>
      <c r="HAR59" s="12"/>
      <c r="HAS59" s="12"/>
      <c r="HAT59" s="12"/>
      <c r="HAU59" s="12"/>
      <c r="HAV59" s="12"/>
      <c r="HAW59" s="12"/>
      <c r="HAX59" s="12"/>
      <c r="HAY59" s="12"/>
      <c r="HAZ59" s="12"/>
      <c r="HBA59" s="12"/>
      <c r="HBB59" s="12"/>
      <c r="HBC59" s="12"/>
      <c r="HBD59" s="12"/>
      <c r="HBE59" s="12"/>
      <c r="HBF59" s="12"/>
      <c r="HBG59" s="12"/>
      <c r="HBH59" s="12"/>
      <c r="HBI59" s="12"/>
      <c r="HBJ59" s="12"/>
      <c r="HBK59" s="12"/>
      <c r="HBL59" s="12"/>
      <c r="HBM59" s="12"/>
      <c r="HBN59" s="12"/>
      <c r="HBO59" s="12"/>
      <c r="HBP59" s="12"/>
      <c r="HBQ59" s="12"/>
      <c r="HBR59" s="12"/>
      <c r="HBS59" s="12"/>
      <c r="HBT59" s="12"/>
      <c r="HBU59" s="12"/>
      <c r="HBV59" s="12"/>
      <c r="HBW59" s="12"/>
      <c r="HBX59" s="12"/>
      <c r="HBY59" s="12"/>
      <c r="HBZ59" s="12"/>
      <c r="HCA59" s="12"/>
      <c r="HCB59" s="12"/>
      <c r="HCC59" s="12"/>
      <c r="HCD59" s="12"/>
      <c r="HCE59" s="12"/>
      <c r="HCF59" s="12"/>
      <c r="HCG59" s="12"/>
      <c r="HCH59" s="12"/>
      <c r="HCI59" s="12"/>
      <c r="HCJ59" s="12"/>
      <c r="HCK59" s="12"/>
      <c r="HCL59" s="12"/>
      <c r="HCM59" s="12"/>
      <c r="HCN59" s="12"/>
      <c r="HCO59" s="12"/>
      <c r="HCP59" s="12"/>
      <c r="HCQ59" s="12"/>
      <c r="HCR59" s="12"/>
      <c r="HCS59" s="12"/>
      <c r="HCT59" s="12"/>
      <c r="HCU59" s="12"/>
      <c r="HCV59" s="12"/>
      <c r="HCW59" s="12"/>
      <c r="HCX59" s="12"/>
      <c r="HCY59" s="12"/>
      <c r="HCZ59" s="12"/>
      <c r="HDA59" s="12"/>
      <c r="HDB59" s="12"/>
      <c r="HDC59" s="12"/>
      <c r="HDD59" s="12"/>
      <c r="HDE59" s="12"/>
      <c r="HDF59" s="12"/>
      <c r="HDG59" s="12"/>
      <c r="HDH59" s="12"/>
      <c r="HDI59" s="12"/>
      <c r="HDJ59" s="12"/>
      <c r="HDK59" s="12"/>
      <c r="HDL59" s="12"/>
      <c r="HDM59" s="12"/>
      <c r="HDN59" s="12"/>
      <c r="HDO59" s="12"/>
      <c r="HDP59" s="12"/>
      <c r="HDQ59" s="12"/>
      <c r="HDR59" s="12"/>
      <c r="HDS59" s="12"/>
      <c r="HDT59" s="12"/>
      <c r="HDU59" s="12"/>
      <c r="HDV59" s="12"/>
      <c r="HDW59" s="12"/>
      <c r="HDX59" s="12"/>
      <c r="HDY59" s="12"/>
      <c r="HDZ59" s="12"/>
      <c r="HEA59" s="12"/>
      <c r="HEB59" s="12"/>
      <c r="HEC59" s="12"/>
      <c r="HED59" s="12"/>
      <c r="HEE59" s="12"/>
      <c r="HEF59" s="12"/>
      <c r="HEG59" s="12"/>
      <c r="HEH59" s="12"/>
      <c r="HEI59" s="12"/>
      <c r="HEJ59" s="12"/>
      <c r="HEK59" s="12"/>
      <c r="HEL59" s="12"/>
      <c r="HEM59" s="12"/>
      <c r="HEN59" s="12"/>
      <c r="HEO59" s="12"/>
      <c r="HEP59" s="12"/>
      <c r="HEQ59" s="12"/>
      <c r="HER59" s="12"/>
      <c r="HES59" s="12"/>
      <c r="HET59" s="12"/>
      <c r="HEU59" s="12"/>
      <c r="HEV59" s="12"/>
      <c r="HEW59" s="12"/>
      <c r="HEX59" s="12"/>
      <c r="HEY59" s="12"/>
      <c r="HEZ59" s="12"/>
      <c r="HFA59" s="12"/>
      <c r="HFB59" s="12"/>
      <c r="HFC59" s="12"/>
      <c r="HFD59" s="12"/>
      <c r="HFE59" s="12"/>
      <c r="HFF59" s="12"/>
      <c r="HFG59" s="12"/>
      <c r="HFH59" s="12"/>
      <c r="HFI59" s="12"/>
      <c r="HFJ59" s="12"/>
      <c r="HFK59" s="12"/>
      <c r="HFL59" s="12"/>
      <c r="HFM59" s="12"/>
      <c r="HFN59" s="12"/>
      <c r="HFO59" s="12"/>
      <c r="HFP59" s="12"/>
      <c r="HFQ59" s="12"/>
      <c r="HFR59" s="12"/>
      <c r="HFS59" s="12"/>
      <c r="HFT59" s="12"/>
      <c r="HFU59" s="12"/>
      <c r="HFV59" s="12"/>
      <c r="HFW59" s="12"/>
      <c r="HFX59" s="12"/>
      <c r="HFY59" s="12"/>
      <c r="HFZ59" s="12"/>
      <c r="HGA59" s="12"/>
      <c r="HGB59" s="12"/>
      <c r="HGC59" s="12"/>
      <c r="HGD59" s="12"/>
      <c r="HGE59" s="12"/>
      <c r="HGF59" s="12"/>
      <c r="HGG59" s="12"/>
      <c r="HGH59" s="12"/>
      <c r="HGI59" s="12"/>
      <c r="HGJ59" s="12"/>
      <c r="HGK59" s="12"/>
      <c r="HGL59" s="12"/>
      <c r="HGM59" s="12"/>
      <c r="HGN59" s="12"/>
      <c r="HGO59" s="12"/>
      <c r="HGP59" s="12"/>
      <c r="HGQ59" s="12"/>
      <c r="HGR59" s="12"/>
      <c r="HGS59" s="12"/>
      <c r="HGT59" s="12"/>
      <c r="HGU59" s="12"/>
      <c r="HGV59" s="12"/>
      <c r="HGW59" s="12"/>
      <c r="HGX59" s="12"/>
      <c r="HGY59" s="12"/>
      <c r="HGZ59" s="12"/>
      <c r="HHA59" s="12"/>
      <c r="HHB59" s="12"/>
      <c r="HHC59" s="12"/>
      <c r="HHD59" s="12"/>
      <c r="HHE59" s="12"/>
      <c r="HHF59" s="12"/>
      <c r="HHG59" s="12"/>
      <c r="HHH59" s="12"/>
      <c r="HHI59" s="12"/>
      <c r="HHJ59" s="12"/>
      <c r="HHK59" s="12"/>
      <c r="HHL59" s="12"/>
      <c r="HHM59" s="12"/>
      <c r="HHN59" s="12"/>
      <c r="HHO59" s="12"/>
      <c r="HHP59" s="12"/>
      <c r="HHQ59" s="12"/>
      <c r="HHR59" s="12"/>
      <c r="HHS59" s="12"/>
      <c r="HHT59" s="12"/>
      <c r="HHU59" s="12"/>
      <c r="HHV59" s="12"/>
      <c r="HHW59" s="12"/>
      <c r="HHX59" s="12"/>
      <c r="HHY59" s="12"/>
      <c r="HHZ59" s="12"/>
      <c r="HIA59" s="12"/>
      <c r="HIB59" s="12"/>
      <c r="HIC59" s="12"/>
      <c r="HID59" s="12"/>
      <c r="HIE59" s="12"/>
      <c r="HIF59" s="12"/>
      <c r="HIG59" s="12"/>
      <c r="HIH59" s="12"/>
      <c r="HII59" s="12"/>
      <c r="HIJ59" s="12"/>
      <c r="HIK59" s="12"/>
      <c r="HIL59" s="12"/>
      <c r="HIM59" s="12"/>
      <c r="HIN59" s="12"/>
      <c r="HIO59" s="12"/>
      <c r="HIP59" s="12"/>
      <c r="HIQ59" s="12"/>
      <c r="HIR59" s="12"/>
      <c r="HIS59" s="12"/>
      <c r="HIT59" s="12"/>
      <c r="HIU59" s="12"/>
      <c r="HIV59" s="12"/>
      <c r="HIW59" s="12"/>
      <c r="HIX59" s="12"/>
      <c r="HIY59" s="12"/>
      <c r="HIZ59" s="12"/>
      <c r="HJA59" s="12"/>
      <c r="HJB59" s="12"/>
      <c r="HJC59" s="12"/>
      <c r="HJD59" s="12"/>
      <c r="HJE59" s="12"/>
      <c r="HJF59" s="12"/>
      <c r="HJG59" s="12"/>
      <c r="HJH59" s="12"/>
      <c r="HJI59" s="12"/>
      <c r="HJJ59" s="12"/>
      <c r="HJK59" s="12"/>
      <c r="HJL59" s="12"/>
      <c r="HJM59" s="12"/>
      <c r="HJN59" s="12"/>
      <c r="HJO59" s="12"/>
      <c r="HJP59" s="12"/>
      <c r="HJQ59" s="12"/>
      <c r="HJR59" s="12"/>
      <c r="HJS59" s="12"/>
      <c r="HJT59" s="12"/>
      <c r="HJU59" s="12"/>
      <c r="HJV59" s="12"/>
      <c r="HJW59" s="12"/>
      <c r="HJX59" s="12"/>
      <c r="HJY59" s="12"/>
      <c r="HJZ59" s="12"/>
      <c r="HKA59" s="12"/>
      <c r="HKB59" s="12"/>
      <c r="HKC59" s="12"/>
      <c r="HKD59" s="12"/>
      <c r="HKE59" s="12"/>
      <c r="HKF59" s="12"/>
      <c r="HKG59" s="12"/>
      <c r="HKH59" s="12"/>
      <c r="HKI59" s="12"/>
      <c r="HKJ59" s="12"/>
      <c r="HKK59" s="12"/>
      <c r="HKL59" s="12"/>
      <c r="HKM59" s="12"/>
      <c r="HKN59" s="12"/>
      <c r="HKO59" s="12"/>
      <c r="HKP59" s="12"/>
      <c r="HKQ59" s="12"/>
      <c r="HKR59" s="12"/>
      <c r="HKS59" s="12"/>
      <c r="HKT59" s="12"/>
      <c r="HKU59" s="12"/>
      <c r="HKV59" s="12"/>
      <c r="HKW59" s="12"/>
      <c r="HKX59" s="12"/>
      <c r="HKY59" s="12"/>
      <c r="HKZ59" s="12"/>
      <c r="HLA59" s="12"/>
      <c r="HLB59" s="12"/>
      <c r="HLC59" s="12"/>
      <c r="HLD59" s="12"/>
      <c r="HLE59" s="12"/>
      <c r="HLF59" s="12"/>
      <c r="HLG59" s="12"/>
      <c r="HLH59" s="12"/>
      <c r="HLI59" s="12"/>
      <c r="HLJ59" s="12"/>
      <c r="HLK59" s="12"/>
      <c r="HLL59" s="12"/>
      <c r="HLM59" s="12"/>
      <c r="HLN59" s="12"/>
      <c r="HLO59" s="12"/>
      <c r="HLP59" s="12"/>
      <c r="HLQ59" s="12"/>
      <c r="HLR59" s="12"/>
      <c r="HLS59" s="12"/>
      <c r="HLT59" s="12"/>
      <c r="HLU59" s="12"/>
      <c r="HLV59" s="12"/>
      <c r="HLW59" s="12"/>
      <c r="HLX59" s="12"/>
      <c r="HLY59" s="12"/>
      <c r="HLZ59" s="12"/>
      <c r="HMA59" s="12"/>
      <c r="HMB59" s="12"/>
      <c r="HMC59" s="12"/>
      <c r="HMD59" s="12"/>
      <c r="HME59" s="12"/>
      <c r="HMF59" s="12"/>
      <c r="HMG59" s="12"/>
      <c r="HMH59" s="12"/>
      <c r="HMI59" s="12"/>
      <c r="HMJ59" s="12"/>
      <c r="HMK59" s="12"/>
      <c r="HML59" s="12"/>
      <c r="HMM59" s="12"/>
      <c r="HMN59" s="12"/>
      <c r="HMO59" s="12"/>
      <c r="HMP59" s="12"/>
      <c r="HMQ59" s="12"/>
      <c r="HMR59" s="12"/>
      <c r="HMS59" s="12"/>
      <c r="HMT59" s="12"/>
      <c r="HMU59" s="12"/>
      <c r="HMV59" s="12"/>
      <c r="HMW59" s="12"/>
      <c r="HMX59" s="12"/>
      <c r="HMY59" s="12"/>
      <c r="HMZ59" s="12"/>
      <c r="HNA59" s="12"/>
      <c r="HNB59" s="12"/>
      <c r="HNC59" s="12"/>
      <c r="HND59" s="12"/>
      <c r="HNE59" s="12"/>
      <c r="HNF59" s="12"/>
      <c r="HNG59" s="12"/>
      <c r="HNH59" s="12"/>
      <c r="HNI59" s="12"/>
      <c r="HNJ59" s="12"/>
      <c r="HNK59" s="12"/>
      <c r="HNL59" s="12"/>
      <c r="HNM59" s="12"/>
      <c r="HNN59" s="12"/>
      <c r="HNO59" s="12"/>
      <c r="HNP59" s="12"/>
      <c r="HNQ59" s="12"/>
      <c r="HNR59" s="12"/>
      <c r="HNS59" s="12"/>
      <c r="HNT59" s="12"/>
      <c r="HNU59" s="12"/>
      <c r="HNV59" s="12"/>
      <c r="HNW59" s="12"/>
      <c r="HNX59" s="12"/>
      <c r="HNY59" s="12"/>
      <c r="HNZ59" s="12"/>
      <c r="HOA59" s="12"/>
      <c r="HOB59" s="12"/>
      <c r="HOC59" s="12"/>
      <c r="HOD59" s="12"/>
      <c r="HOE59" s="12"/>
      <c r="HOF59" s="12"/>
      <c r="HOG59" s="12"/>
      <c r="HOH59" s="12"/>
      <c r="HOI59" s="12"/>
      <c r="HOJ59" s="12"/>
      <c r="HOK59" s="12"/>
      <c r="HOL59" s="12"/>
      <c r="HOM59" s="12"/>
      <c r="HON59" s="12"/>
      <c r="HOO59" s="12"/>
      <c r="HOP59" s="12"/>
      <c r="HOQ59" s="12"/>
      <c r="HOR59" s="12"/>
      <c r="HOS59" s="12"/>
      <c r="HOT59" s="12"/>
      <c r="HOU59" s="12"/>
      <c r="HOV59" s="12"/>
      <c r="HOW59" s="12"/>
      <c r="HOX59" s="12"/>
      <c r="HOY59" s="12"/>
      <c r="HOZ59" s="12"/>
      <c r="HPA59" s="12"/>
      <c r="HPB59" s="12"/>
      <c r="HPC59" s="12"/>
      <c r="HPD59" s="12"/>
      <c r="HPE59" s="12"/>
      <c r="HPF59" s="12"/>
      <c r="HPG59" s="12"/>
      <c r="HPH59" s="12"/>
      <c r="HPI59" s="12"/>
      <c r="HPJ59" s="12"/>
      <c r="HPK59" s="12"/>
      <c r="HPL59" s="12"/>
      <c r="HPM59" s="12"/>
      <c r="HPN59" s="12"/>
      <c r="HPO59" s="12"/>
      <c r="HPP59" s="12"/>
      <c r="HPQ59" s="12"/>
      <c r="HPR59" s="12"/>
      <c r="HPS59" s="12"/>
      <c r="HPT59" s="12"/>
      <c r="HPU59" s="12"/>
      <c r="HPV59" s="12"/>
      <c r="HPW59" s="12"/>
      <c r="HPX59" s="12"/>
      <c r="HPY59" s="12"/>
      <c r="HPZ59" s="12"/>
      <c r="HQA59" s="12"/>
      <c r="HQB59" s="12"/>
      <c r="HQC59" s="12"/>
      <c r="HQD59" s="12"/>
      <c r="HQE59" s="12"/>
      <c r="HQF59" s="12"/>
      <c r="HQG59" s="12"/>
      <c r="HQH59" s="12"/>
      <c r="HQI59" s="12"/>
      <c r="HQJ59" s="12"/>
      <c r="HQK59" s="12"/>
      <c r="HQL59" s="12"/>
      <c r="HQM59" s="12"/>
      <c r="HQN59" s="12"/>
      <c r="HQO59" s="12"/>
      <c r="HQP59" s="12"/>
      <c r="HQQ59" s="12"/>
      <c r="HQR59" s="12"/>
      <c r="HQS59" s="12"/>
      <c r="HQT59" s="12"/>
      <c r="HQU59" s="12"/>
      <c r="HQV59" s="12"/>
      <c r="HQW59" s="12"/>
      <c r="HQX59" s="12"/>
      <c r="HQY59" s="12"/>
      <c r="HQZ59" s="12"/>
      <c r="HRA59" s="12"/>
      <c r="HRB59" s="12"/>
      <c r="HRC59" s="12"/>
      <c r="HRD59" s="12"/>
      <c r="HRE59" s="12"/>
      <c r="HRF59" s="12"/>
      <c r="HRG59" s="12"/>
      <c r="HRH59" s="12"/>
      <c r="HRI59" s="12"/>
      <c r="HRJ59" s="12"/>
      <c r="HRK59" s="12"/>
      <c r="HRL59" s="12"/>
      <c r="HRM59" s="12"/>
      <c r="HRN59" s="12"/>
      <c r="HRO59" s="12"/>
      <c r="HRP59" s="12"/>
      <c r="HRQ59" s="12"/>
      <c r="HRR59" s="12"/>
      <c r="HRS59" s="12"/>
      <c r="HRT59" s="12"/>
      <c r="HRU59" s="12"/>
      <c r="HRV59" s="12"/>
      <c r="HRW59" s="12"/>
      <c r="HRX59" s="12"/>
      <c r="HRY59" s="12"/>
      <c r="HRZ59" s="12"/>
      <c r="HSA59" s="12"/>
      <c r="HSB59" s="12"/>
      <c r="HSC59" s="12"/>
      <c r="HSD59" s="12"/>
      <c r="HSE59" s="12"/>
      <c r="HSF59" s="12"/>
      <c r="HSG59" s="12"/>
      <c r="HSH59" s="12"/>
      <c r="HSI59" s="12"/>
      <c r="HSJ59" s="12"/>
      <c r="HSK59" s="12"/>
      <c r="HSL59" s="12"/>
      <c r="HSM59" s="12"/>
      <c r="HSN59" s="12"/>
      <c r="HSO59" s="12"/>
      <c r="HSP59" s="12"/>
      <c r="HSQ59" s="12"/>
      <c r="HSR59" s="12"/>
      <c r="HSS59" s="12"/>
      <c r="HST59" s="12"/>
      <c r="HSU59" s="12"/>
      <c r="HSV59" s="12"/>
      <c r="HSW59" s="12"/>
      <c r="HSX59" s="12"/>
      <c r="HSY59" s="12"/>
      <c r="HSZ59" s="12"/>
      <c r="HTA59" s="12"/>
      <c r="HTB59" s="12"/>
      <c r="HTC59" s="12"/>
      <c r="HTD59" s="12"/>
      <c r="HTE59" s="12"/>
      <c r="HTF59" s="12"/>
      <c r="HTG59" s="12"/>
      <c r="HTH59" s="12"/>
      <c r="HTI59" s="12"/>
      <c r="HTJ59" s="12"/>
      <c r="HTK59" s="12"/>
      <c r="HTL59" s="12"/>
      <c r="HTM59" s="12"/>
      <c r="HTN59" s="12"/>
      <c r="HTO59" s="12"/>
      <c r="HTP59" s="12"/>
      <c r="HTQ59" s="12"/>
      <c r="HTR59" s="12"/>
      <c r="HTS59" s="12"/>
      <c r="HTT59" s="12"/>
      <c r="HTU59" s="12"/>
      <c r="HTV59" s="12"/>
      <c r="HTW59" s="12"/>
      <c r="HTX59" s="12"/>
      <c r="HTY59" s="12"/>
      <c r="HTZ59" s="12"/>
      <c r="HUA59" s="12"/>
      <c r="HUB59" s="12"/>
      <c r="HUC59" s="12"/>
      <c r="HUD59" s="12"/>
      <c r="HUE59" s="12"/>
      <c r="HUF59" s="12"/>
      <c r="HUG59" s="12"/>
      <c r="HUH59" s="12"/>
      <c r="HUI59" s="12"/>
      <c r="HUJ59" s="12"/>
      <c r="HUK59" s="12"/>
      <c r="HUL59" s="12"/>
      <c r="HUM59" s="12"/>
      <c r="HUN59" s="12"/>
      <c r="HUO59" s="12"/>
      <c r="HUP59" s="12"/>
      <c r="HUQ59" s="12"/>
      <c r="HUR59" s="12"/>
      <c r="HUS59" s="12"/>
      <c r="HUT59" s="12"/>
      <c r="HUU59" s="12"/>
      <c r="HUV59" s="12"/>
      <c r="HUW59" s="12"/>
      <c r="HUX59" s="12"/>
      <c r="HUY59" s="12"/>
      <c r="HUZ59" s="12"/>
      <c r="HVA59" s="12"/>
      <c r="HVB59" s="12"/>
      <c r="HVC59" s="12"/>
      <c r="HVD59" s="12"/>
      <c r="HVE59" s="12"/>
      <c r="HVF59" s="12"/>
      <c r="HVG59" s="12"/>
      <c r="HVH59" s="12"/>
      <c r="HVI59" s="12"/>
      <c r="HVJ59" s="12"/>
      <c r="HVK59" s="12"/>
      <c r="HVL59" s="12"/>
      <c r="HVM59" s="12"/>
      <c r="HVN59" s="12"/>
      <c r="HVO59" s="12"/>
      <c r="HVP59" s="12"/>
      <c r="HVQ59" s="12"/>
      <c r="HVR59" s="12"/>
      <c r="HVS59" s="12"/>
      <c r="HVT59" s="12"/>
      <c r="HVU59" s="12"/>
      <c r="HVV59" s="12"/>
      <c r="HVW59" s="12"/>
      <c r="HVX59" s="12"/>
      <c r="HVY59" s="12"/>
      <c r="HVZ59" s="12"/>
      <c r="HWA59" s="12"/>
      <c r="HWB59" s="12"/>
      <c r="HWC59" s="12"/>
      <c r="HWD59" s="12"/>
      <c r="HWE59" s="12"/>
      <c r="HWF59" s="12"/>
      <c r="HWG59" s="12"/>
      <c r="HWH59" s="12"/>
      <c r="HWI59" s="12"/>
      <c r="HWJ59" s="12"/>
      <c r="HWK59" s="12"/>
      <c r="HWL59" s="12"/>
      <c r="HWM59" s="12"/>
      <c r="HWN59" s="12"/>
      <c r="HWO59" s="12"/>
      <c r="HWP59" s="12"/>
      <c r="HWQ59" s="12"/>
      <c r="HWR59" s="12"/>
      <c r="HWS59" s="12"/>
      <c r="HWT59" s="12"/>
      <c r="HWU59" s="12"/>
      <c r="HWV59" s="12"/>
      <c r="HWW59" s="12"/>
      <c r="HWX59" s="12"/>
      <c r="HWY59" s="12"/>
      <c r="HWZ59" s="12"/>
      <c r="HXA59" s="12"/>
      <c r="HXB59" s="12"/>
      <c r="HXC59" s="12"/>
      <c r="HXD59" s="12"/>
      <c r="HXE59" s="12"/>
      <c r="HXF59" s="12"/>
      <c r="HXG59" s="12"/>
      <c r="HXH59" s="12"/>
      <c r="HXI59" s="12"/>
      <c r="HXJ59" s="12"/>
      <c r="HXK59" s="12"/>
      <c r="HXL59" s="12"/>
      <c r="HXM59" s="12"/>
      <c r="HXN59" s="12"/>
      <c r="HXO59" s="12"/>
      <c r="HXP59" s="12"/>
      <c r="HXQ59" s="12"/>
      <c r="HXR59" s="12"/>
      <c r="HXS59" s="12"/>
      <c r="HXT59" s="12"/>
      <c r="HXU59" s="12"/>
      <c r="HXV59" s="12"/>
      <c r="HXW59" s="12"/>
      <c r="HXX59" s="12"/>
      <c r="HXY59" s="12"/>
      <c r="HXZ59" s="12"/>
      <c r="HYA59" s="12"/>
      <c r="HYB59" s="12"/>
      <c r="HYC59" s="12"/>
      <c r="HYD59" s="12"/>
      <c r="HYE59" s="12"/>
      <c r="HYF59" s="12"/>
      <c r="HYG59" s="12"/>
      <c r="HYH59" s="12"/>
      <c r="HYI59" s="12"/>
      <c r="HYJ59" s="12"/>
      <c r="HYK59" s="12"/>
      <c r="HYL59" s="12"/>
      <c r="HYM59" s="12"/>
      <c r="HYN59" s="12"/>
      <c r="HYO59" s="12"/>
      <c r="HYP59" s="12"/>
      <c r="HYQ59" s="12"/>
      <c r="HYR59" s="12"/>
      <c r="HYS59" s="12"/>
      <c r="HYT59" s="12"/>
      <c r="HYU59" s="12"/>
      <c r="HYV59" s="12"/>
      <c r="HYW59" s="12"/>
      <c r="HYX59" s="12"/>
      <c r="HYY59" s="12"/>
      <c r="HYZ59" s="12"/>
      <c r="HZA59" s="12"/>
      <c r="HZB59" s="12"/>
      <c r="HZC59" s="12"/>
      <c r="HZD59" s="12"/>
      <c r="HZE59" s="12"/>
      <c r="HZF59" s="12"/>
      <c r="HZG59" s="12"/>
      <c r="HZH59" s="12"/>
      <c r="HZI59" s="12"/>
      <c r="HZJ59" s="12"/>
      <c r="HZK59" s="12"/>
      <c r="HZL59" s="12"/>
      <c r="HZM59" s="12"/>
      <c r="HZN59" s="12"/>
      <c r="HZO59" s="12"/>
      <c r="HZP59" s="12"/>
      <c r="HZQ59" s="12"/>
      <c r="HZR59" s="12"/>
      <c r="HZS59" s="12"/>
      <c r="HZT59" s="12"/>
      <c r="HZU59" s="12"/>
      <c r="HZV59" s="12"/>
      <c r="HZW59" s="12"/>
      <c r="HZX59" s="12"/>
      <c r="HZY59" s="12"/>
      <c r="HZZ59" s="12"/>
      <c r="IAA59" s="12"/>
      <c r="IAB59" s="12"/>
      <c r="IAC59" s="12"/>
      <c r="IAD59" s="12"/>
      <c r="IAE59" s="12"/>
      <c r="IAF59" s="12"/>
      <c r="IAG59" s="12"/>
      <c r="IAH59" s="12"/>
      <c r="IAI59" s="12"/>
      <c r="IAJ59" s="12"/>
      <c r="IAK59" s="12"/>
      <c r="IAL59" s="12"/>
      <c r="IAM59" s="12"/>
      <c r="IAN59" s="12"/>
      <c r="IAO59" s="12"/>
      <c r="IAP59" s="12"/>
      <c r="IAQ59" s="12"/>
      <c r="IAR59" s="12"/>
      <c r="IAS59" s="12"/>
      <c r="IAT59" s="12"/>
      <c r="IAU59" s="12"/>
      <c r="IAV59" s="12"/>
      <c r="IAW59" s="12"/>
      <c r="IAX59" s="12"/>
      <c r="IAY59" s="12"/>
      <c r="IAZ59" s="12"/>
      <c r="IBA59" s="12"/>
      <c r="IBB59" s="12"/>
      <c r="IBC59" s="12"/>
      <c r="IBD59" s="12"/>
      <c r="IBE59" s="12"/>
      <c r="IBF59" s="12"/>
      <c r="IBG59" s="12"/>
      <c r="IBH59" s="12"/>
      <c r="IBI59" s="12"/>
      <c r="IBJ59" s="12"/>
      <c r="IBK59" s="12"/>
      <c r="IBL59" s="12"/>
      <c r="IBM59" s="12"/>
      <c r="IBN59" s="12"/>
      <c r="IBO59" s="12"/>
      <c r="IBP59" s="12"/>
      <c r="IBQ59" s="12"/>
      <c r="IBR59" s="12"/>
      <c r="IBS59" s="12"/>
      <c r="IBT59" s="12"/>
      <c r="IBU59" s="12"/>
      <c r="IBV59" s="12"/>
      <c r="IBW59" s="12"/>
      <c r="IBX59" s="12"/>
      <c r="IBY59" s="12"/>
      <c r="IBZ59" s="12"/>
      <c r="ICA59" s="12"/>
      <c r="ICB59" s="12"/>
      <c r="ICC59" s="12"/>
      <c r="ICD59" s="12"/>
      <c r="ICE59" s="12"/>
      <c r="ICF59" s="12"/>
      <c r="ICG59" s="12"/>
      <c r="ICH59" s="12"/>
      <c r="ICI59" s="12"/>
      <c r="ICJ59" s="12"/>
      <c r="ICK59" s="12"/>
      <c r="ICL59" s="12"/>
      <c r="ICM59" s="12"/>
      <c r="ICN59" s="12"/>
      <c r="ICO59" s="12"/>
      <c r="ICP59" s="12"/>
      <c r="ICQ59" s="12"/>
      <c r="ICR59" s="12"/>
      <c r="ICS59" s="12"/>
      <c r="ICT59" s="12"/>
      <c r="ICU59" s="12"/>
      <c r="ICV59" s="12"/>
      <c r="ICW59" s="12"/>
      <c r="ICX59" s="12"/>
      <c r="ICY59" s="12"/>
      <c r="ICZ59" s="12"/>
      <c r="IDA59" s="12"/>
      <c r="IDB59" s="12"/>
      <c r="IDC59" s="12"/>
      <c r="IDD59" s="12"/>
      <c r="IDE59" s="12"/>
      <c r="IDF59" s="12"/>
      <c r="IDG59" s="12"/>
      <c r="IDH59" s="12"/>
      <c r="IDI59" s="12"/>
      <c r="IDJ59" s="12"/>
      <c r="IDK59" s="12"/>
      <c r="IDL59" s="12"/>
      <c r="IDM59" s="12"/>
      <c r="IDN59" s="12"/>
      <c r="IDO59" s="12"/>
      <c r="IDP59" s="12"/>
      <c r="IDQ59" s="12"/>
      <c r="IDR59" s="12"/>
      <c r="IDS59" s="12"/>
      <c r="IDT59" s="12"/>
      <c r="IDU59" s="12"/>
      <c r="IDV59" s="12"/>
      <c r="IDW59" s="12"/>
      <c r="IDX59" s="12"/>
      <c r="IDY59" s="12"/>
      <c r="IDZ59" s="12"/>
      <c r="IEA59" s="12"/>
      <c r="IEB59" s="12"/>
      <c r="IEC59" s="12"/>
      <c r="IED59" s="12"/>
      <c r="IEE59" s="12"/>
      <c r="IEF59" s="12"/>
      <c r="IEG59" s="12"/>
      <c r="IEH59" s="12"/>
      <c r="IEI59" s="12"/>
      <c r="IEJ59" s="12"/>
      <c r="IEK59" s="12"/>
      <c r="IEL59" s="12"/>
      <c r="IEM59" s="12"/>
      <c r="IEN59" s="12"/>
      <c r="IEO59" s="12"/>
      <c r="IEP59" s="12"/>
      <c r="IEQ59" s="12"/>
      <c r="IER59" s="12"/>
      <c r="IES59" s="12"/>
      <c r="IET59" s="12"/>
      <c r="IEU59" s="12"/>
      <c r="IEV59" s="12"/>
      <c r="IEW59" s="12"/>
      <c r="IEX59" s="12"/>
      <c r="IEY59" s="12"/>
      <c r="IEZ59" s="12"/>
      <c r="IFA59" s="12"/>
      <c r="IFB59" s="12"/>
      <c r="IFC59" s="12"/>
      <c r="IFD59" s="12"/>
      <c r="IFE59" s="12"/>
      <c r="IFF59" s="12"/>
      <c r="IFG59" s="12"/>
      <c r="IFH59" s="12"/>
      <c r="IFI59" s="12"/>
      <c r="IFJ59" s="12"/>
      <c r="IFK59" s="12"/>
      <c r="IFL59" s="12"/>
      <c r="IFM59" s="12"/>
      <c r="IFN59" s="12"/>
      <c r="IFO59" s="12"/>
      <c r="IFP59" s="12"/>
      <c r="IFQ59" s="12"/>
      <c r="IFR59" s="12"/>
      <c r="IFS59" s="12"/>
      <c r="IFT59" s="12"/>
      <c r="IFU59" s="12"/>
      <c r="IFV59" s="12"/>
      <c r="IFW59" s="12"/>
      <c r="IFX59" s="12"/>
      <c r="IFY59" s="12"/>
      <c r="IFZ59" s="12"/>
      <c r="IGA59" s="12"/>
      <c r="IGB59" s="12"/>
      <c r="IGC59" s="12"/>
      <c r="IGD59" s="12"/>
      <c r="IGE59" s="12"/>
      <c r="IGF59" s="12"/>
      <c r="IGG59" s="12"/>
      <c r="IGH59" s="12"/>
      <c r="IGI59" s="12"/>
      <c r="IGJ59" s="12"/>
      <c r="IGK59" s="12"/>
      <c r="IGL59" s="12"/>
      <c r="IGM59" s="12"/>
      <c r="IGN59" s="12"/>
      <c r="IGO59" s="12"/>
      <c r="IGP59" s="12"/>
      <c r="IGQ59" s="12"/>
      <c r="IGR59" s="12"/>
      <c r="IGS59" s="12"/>
      <c r="IGT59" s="12"/>
      <c r="IGU59" s="12"/>
      <c r="IGV59" s="12"/>
      <c r="IGW59" s="12"/>
      <c r="IGX59" s="12"/>
      <c r="IGY59" s="12"/>
      <c r="IGZ59" s="12"/>
      <c r="IHA59" s="12"/>
      <c r="IHB59" s="12"/>
      <c r="IHC59" s="12"/>
      <c r="IHD59" s="12"/>
      <c r="IHE59" s="12"/>
      <c r="IHF59" s="12"/>
      <c r="IHG59" s="12"/>
      <c r="IHH59" s="12"/>
      <c r="IHI59" s="12"/>
      <c r="IHJ59" s="12"/>
      <c r="IHK59" s="12"/>
      <c r="IHL59" s="12"/>
      <c r="IHM59" s="12"/>
      <c r="IHN59" s="12"/>
      <c r="IHO59" s="12"/>
      <c r="IHP59" s="12"/>
      <c r="IHQ59" s="12"/>
      <c r="IHR59" s="12"/>
      <c r="IHS59" s="12"/>
      <c r="IHT59" s="12"/>
      <c r="IHU59" s="12"/>
      <c r="IHV59" s="12"/>
      <c r="IHW59" s="12"/>
      <c r="IHX59" s="12"/>
      <c r="IHY59" s="12"/>
      <c r="IHZ59" s="12"/>
      <c r="IIA59" s="12"/>
      <c r="IIB59" s="12"/>
      <c r="IIC59" s="12"/>
      <c r="IID59" s="12"/>
      <c r="IIE59" s="12"/>
      <c r="IIF59" s="12"/>
      <c r="IIG59" s="12"/>
      <c r="IIH59" s="12"/>
      <c r="III59" s="12"/>
      <c r="IIJ59" s="12"/>
      <c r="IIK59" s="12"/>
      <c r="IIL59" s="12"/>
      <c r="IIM59" s="12"/>
      <c r="IIN59" s="12"/>
      <c r="IIO59" s="12"/>
      <c r="IIP59" s="12"/>
      <c r="IIQ59" s="12"/>
      <c r="IIR59" s="12"/>
      <c r="IIS59" s="12"/>
      <c r="IIT59" s="12"/>
      <c r="IIU59" s="12"/>
      <c r="IIV59" s="12"/>
      <c r="IIW59" s="12"/>
      <c r="IIX59" s="12"/>
      <c r="IIY59" s="12"/>
      <c r="IIZ59" s="12"/>
      <c r="IJA59" s="12"/>
      <c r="IJB59" s="12"/>
      <c r="IJC59" s="12"/>
      <c r="IJD59" s="12"/>
      <c r="IJE59" s="12"/>
      <c r="IJF59" s="12"/>
      <c r="IJG59" s="12"/>
      <c r="IJH59" s="12"/>
      <c r="IJI59" s="12"/>
      <c r="IJJ59" s="12"/>
      <c r="IJK59" s="12"/>
      <c r="IJL59" s="12"/>
      <c r="IJM59" s="12"/>
      <c r="IJN59" s="12"/>
      <c r="IJO59" s="12"/>
      <c r="IJP59" s="12"/>
      <c r="IJQ59" s="12"/>
      <c r="IJR59" s="12"/>
      <c r="IJS59" s="12"/>
      <c r="IJT59" s="12"/>
      <c r="IJU59" s="12"/>
      <c r="IJV59" s="12"/>
      <c r="IJW59" s="12"/>
      <c r="IJX59" s="12"/>
      <c r="IJY59" s="12"/>
      <c r="IJZ59" s="12"/>
      <c r="IKA59" s="12"/>
      <c r="IKB59" s="12"/>
      <c r="IKC59" s="12"/>
      <c r="IKD59" s="12"/>
      <c r="IKE59" s="12"/>
      <c r="IKF59" s="12"/>
      <c r="IKG59" s="12"/>
      <c r="IKH59" s="12"/>
      <c r="IKI59" s="12"/>
      <c r="IKJ59" s="12"/>
      <c r="IKK59" s="12"/>
      <c r="IKL59" s="12"/>
      <c r="IKM59" s="12"/>
      <c r="IKN59" s="12"/>
      <c r="IKO59" s="12"/>
      <c r="IKP59" s="12"/>
      <c r="IKQ59" s="12"/>
      <c r="IKR59" s="12"/>
      <c r="IKS59" s="12"/>
      <c r="IKT59" s="12"/>
      <c r="IKU59" s="12"/>
      <c r="IKV59" s="12"/>
      <c r="IKW59" s="12"/>
      <c r="IKX59" s="12"/>
      <c r="IKY59" s="12"/>
      <c r="IKZ59" s="12"/>
      <c r="ILA59" s="12"/>
      <c r="ILB59" s="12"/>
      <c r="ILC59" s="12"/>
      <c r="ILD59" s="12"/>
      <c r="ILE59" s="12"/>
      <c r="ILF59" s="12"/>
      <c r="ILG59" s="12"/>
      <c r="ILH59" s="12"/>
      <c r="ILI59" s="12"/>
      <c r="ILJ59" s="12"/>
      <c r="ILK59" s="12"/>
      <c r="ILL59" s="12"/>
      <c r="ILM59" s="12"/>
      <c r="ILN59" s="12"/>
      <c r="ILO59" s="12"/>
      <c r="ILP59" s="12"/>
      <c r="ILQ59" s="12"/>
      <c r="ILR59" s="12"/>
      <c r="ILS59" s="12"/>
      <c r="ILT59" s="12"/>
      <c r="ILU59" s="12"/>
      <c r="ILV59" s="12"/>
      <c r="ILW59" s="12"/>
      <c r="ILX59" s="12"/>
      <c r="ILY59" s="12"/>
      <c r="ILZ59" s="12"/>
      <c r="IMA59" s="12"/>
      <c r="IMB59" s="12"/>
      <c r="IMC59" s="12"/>
      <c r="IMD59" s="12"/>
      <c r="IME59" s="12"/>
      <c r="IMF59" s="12"/>
      <c r="IMG59" s="12"/>
      <c r="IMH59" s="12"/>
      <c r="IMI59" s="12"/>
      <c r="IMJ59" s="12"/>
      <c r="IMK59" s="12"/>
      <c r="IML59" s="12"/>
      <c r="IMM59" s="12"/>
      <c r="IMN59" s="12"/>
      <c r="IMO59" s="12"/>
      <c r="IMP59" s="12"/>
      <c r="IMQ59" s="12"/>
      <c r="IMR59" s="12"/>
      <c r="IMS59" s="12"/>
      <c r="IMT59" s="12"/>
      <c r="IMU59" s="12"/>
      <c r="IMV59" s="12"/>
      <c r="IMW59" s="12"/>
      <c r="IMX59" s="12"/>
      <c r="IMY59" s="12"/>
      <c r="IMZ59" s="12"/>
      <c r="INA59" s="12"/>
      <c r="INB59" s="12"/>
      <c r="INC59" s="12"/>
      <c r="IND59" s="12"/>
      <c r="INE59" s="12"/>
      <c r="INF59" s="12"/>
      <c r="ING59" s="12"/>
      <c r="INH59" s="12"/>
      <c r="INI59" s="12"/>
      <c r="INJ59" s="12"/>
      <c r="INK59" s="12"/>
      <c r="INL59" s="12"/>
      <c r="INM59" s="12"/>
      <c r="INN59" s="12"/>
      <c r="INO59" s="12"/>
      <c r="INP59" s="12"/>
      <c r="INQ59" s="12"/>
      <c r="INR59" s="12"/>
      <c r="INS59" s="12"/>
      <c r="INT59" s="12"/>
      <c r="INU59" s="12"/>
      <c r="INV59" s="12"/>
      <c r="INW59" s="12"/>
      <c r="INX59" s="12"/>
      <c r="INY59" s="12"/>
      <c r="INZ59" s="12"/>
      <c r="IOA59" s="12"/>
      <c r="IOB59" s="12"/>
      <c r="IOC59" s="12"/>
      <c r="IOD59" s="12"/>
      <c r="IOE59" s="12"/>
      <c r="IOF59" s="12"/>
      <c r="IOG59" s="12"/>
      <c r="IOH59" s="12"/>
      <c r="IOI59" s="12"/>
      <c r="IOJ59" s="12"/>
      <c r="IOK59" s="12"/>
      <c r="IOL59" s="12"/>
      <c r="IOM59" s="12"/>
      <c r="ION59" s="12"/>
      <c r="IOO59" s="12"/>
      <c r="IOP59" s="12"/>
      <c r="IOQ59" s="12"/>
      <c r="IOR59" s="12"/>
      <c r="IOS59" s="12"/>
      <c r="IOT59" s="12"/>
      <c r="IOU59" s="12"/>
      <c r="IOV59" s="12"/>
      <c r="IOW59" s="12"/>
      <c r="IOX59" s="12"/>
      <c r="IOY59" s="12"/>
      <c r="IOZ59" s="12"/>
      <c r="IPA59" s="12"/>
      <c r="IPB59" s="12"/>
      <c r="IPC59" s="12"/>
      <c r="IPD59" s="12"/>
      <c r="IPE59" s="12"/>
      <c r="IPF59" s="12"/>
      <c r="IPG59" s="12"/>
      <c r="IPH59" s="12"/>
      <c r="IPI59" s="12"/>
      <c r="IPJ59" s="12"/>
      <c r="IPK59" s="12"/>
      <c r="IPL59" s="12"/>
      <c r="IPM59" s="12"/>
      <c r="IPN59" s="12"/>
      <c r="IPO59" s="12"/>
      <c r="IPP59" s="12"/>
      <c r="IPQ59" s="12"/>
      <c r="IPR59" s="12"/>
      <c r="IPS59" s="12"/>
      <c r="IPT59" s="12"/>
      <c r="IPU59" s="12"/>
      <c r="IPV59" s="12"/>
      <c r="IPW59" s="12"/>
      <c r="IPX59" s="12"/>
      <c r="IPY59" s="12"/>
      <c r="IPZ59" s="12"/>
      <c r="IQA59" s="12"/>
      <c r="IQB59" s="12"/>
      <c r="IQC59" s="12"/>
      <c r="IQD59" s="12"/>
      <c r="IQE59" s="12"/>
      <c r="IQF59" s="12"/>
      <c r="IQG59" s="12"/>
      <c r="IQH59" s="12"/>
      <c r="IQI59" s="12"/>
      <c r="IQJ59" s="12"/>
      <c r="IQK59" s="12"/>
      <c r="IQL59" s="12"/>
      <c r="IQM59" s="12"/>
      <c r="IQN59" s="12"/>
      <c r="IQO59" s="12"/>
      <c r="IQP59" s="12"/>
      <c r="IQQ59" s="12"/>
      <c r="IQR59" s="12"/>
      <c r="IQS59" s="12"/>
      <c r="IQT59" s="12"/>
      <c r="IQU59" s="12"/>
      <c r="IQV59" s="12"/>
      <c r="IQW59" s="12"/>
      <c r="IQX59" s="12"/>
      <c r="IQY59" s="12"/>
      <c r="IQZ59" s="12"/>
      <c r="IRA59" s="12"/>
      <c r="IRB59" s="12"/>
      <c r="IRC59" s="12"/>
      <c r="IRD59" s="12"/>
      <c r="IRE59" s="12"/>
      <c r="IRF59" s="12"/>
      <c r="IRG59" s="12"/>
      <c r="IRH59" s="12"/>
      <c r="IRI59" s="12"/>
      <c r="IRJ59" s="12"/>
      <c r="IRK59" s="12"/>
      <c r="IRL59" s="12"/>
      <c r="IRM59" s="12"/>
      <c r="IRN59" s="12"/>
      <c r="IRO59" s="12"/>
      <c r="IRP59" s="12"/>
      <c r="IRQ59" s="12"/>
      <c r="IRR59" s="12"/>
      <c r="IRS59" s="12"/>
      <c r="IRT59" s="12"/>
      <c r="IRU59" s="12"/>
      <c r="IRV59" s="12"/>
      <c r="IRW59" s="12"/>
      <c r="IRX59" s="12"/>
      <c r="IRY59" s="12"/>
      <c r="IRZ59" s="12"/>
      <c r="ISA59" s="12"/>
      <c r="ISB59" s="12"/>
      <c r="ISC59" s="12"/>
      <c r="ISD59" s="12"/>
      <c r="ISE59" s="12"/>
      <c r="ISF59" s="12"/>
      <c r="ISG59" s="12"/>
      <c r="ISH59" s="12"/>
      <c r="ISI59" s="12"/>
      <c r="ISJ59" s="12"/>
      <c r="ISK59" s="12"/>
      <c r="ISL59" s="12"/>
      <c r="ISM59" s="12"/>
      <c r="ISN59" s="12"/>
      <c r="ISO59" s="12"/>
      <c r="ISP59" s="12"/>
      <c r="ISQ59" s="12"/>
      <c r="ISR59" s="12"/>
      <c r="ISS59" s="12"/>
      <c r="IST59" s="12"/>
      <c r="ISU59" s="12"/>
      <c r="ISV59" s="12"/>
      <c r="ISW59" s="12"/>
      <c r="ISX59" s="12"/>
      <c r="ISY59" s="12"/>
      <c r="ISZ59" s="12"/>
      <c r="ITA59" s="12"/>
      <c r="ITB59" s="12"/>
      <c r="ITC59" s="12"/>
      <c r="ITD59" s="12"/>
      <c r="ITE59" s="12"/>
      <c r="ITF59" s="12"/>
      <c r="ITG59" s="12"/>
      <c r="ITH59" s="12"/>
      <c r="ITI59" s="12"/>
      <c r="ITJ59" s="12"/>
      <c r="ITK59" s="12"/>
      <c r="ITL59" s="12"/>
      <c r="ITM59" s="12"/>
      <c r="ITN59" s="12"/>
      <c r="ITO59" s="12"/>
      <c r="ITP59" s="12"/>
      <c r="ITQ59" s="12"/>
      <c r="ITR59" s="12"/>
      <c r="ITS59" s="12"/>
      <c r="ITT59" s="12"/>
      <c r="ITU59" s="12"/>
      <c r="ITV59" s="12"/>
      <c r="ITW59" s="12"/>
      <c r="ITX59" s="12"/>
      <c r="ITY59" s="12"/>
      <c r="ITZ59" s="12"/>
      <c r="IUA59" s="12"/>
      <c r="IUB59" s="12"/>
      <c r="IUC59" s="12"/>
      <c r="IUD59" s="12"/>
      <c r="IUE59" s="12"/>
      <c r="IUF59" s="12"/>
      <c r="IUG59" s="12"/>
      <c r="IUH59" s="12"/>
      <c r="IUI59" s="12"/>
      <c r="IUJ59" s="12"/>
      <c r="IUK59" s="12"/>
      <c r="IUL59" s="12"/>
      <c r="IUM59" s="12"/>
      <c r="IUN59" s="12"/>
      <c r="IUO59" s="12"/>
      <c r="IUP59" s="12"/>
      <c r="IUQ59" s="12"/>
      <c r="IUR59" s="12"/>
      <c r="IUS59" s="12"/>
      <c r="IUT59" s="12"/>
      <c r="IUU59" s="12"/>
      <c r="IUV59" s="12"/>
      <c r="IUW59" s="12"/>
      <c r="IUX59" s="12"/>
      <c r="IUY59" s="12"/>
      <c r="IUZ59" s="12"/>
      <c r="IVA59" s="12"/>
      <c r="IVB59" s="12"/>
      <c r="IVC59" s="12"/>
      <c r="IVD59" s="12"/>
      <c r="IVE59" s="12"/>
      <c r="IVF59" s="12"/>
      <c r="IVG59" s="12"/>
      <c r="IVH59" s="12"/>
      <c r="IVI59" s="12"/>
      <c r="IVJ59" s="12"/>
      <c r="IVK59" s="12"/>
      <c r="IVL59" s="12"/>
      <c r="IVM59" s="12"/>
      <c r="IVN59" s="12"/>
      <c r="IVO59" s="12"/>
      <c r="IVP59" s="12"/>
      <c r="IVQ59" s="12"/>
      <c r="IVR59" s="12"/>
      <c r="IVS59" s="12"/>
      <c r="IVT59" s="12"/>
      <c r="IVU59" s="12"/>
      <c r="IVV59" s="12"/>
      <c r="IVW59" s="12"/>
      <c r="IVX59" s="12"/>
      <c r="IVY59" s="12"/>
      <c r="IVZ59" s="12"/>
      <c r="IWA59" s="12"/>
      <c r="IWB59" s="12"/>
      <c r="IWC59" s="12"/>
      <c r="IWD59" s="12"/>
      <c r="IWE59" s="12"/>
      <c r="IWF59" s="12"/>
      <c r="IWG59" s="12"/>
      <c r="IWH59" s="12"/>
      <c r="IWI59" s="12"/>
      <c r="IWJ59" s="12"/>
      <c r="IWK59" s="12"/>
      <c r="IWL59" s="12"/>
      <c r="IWM59" s="12"/>
      <c r="IWN59" s="12"/>
      <c r="IWO59" s="12"/>
      <c r="IWP59" s="12"/>
      <c r="IWQ59" s="12"/>
      <c r="IWR59" s="12"/>
      <c r="IWS59" s="12"/>
      <c r="IWT59" s="12"/>
      <c r="IWU59" s="12"/>
      <c r="IWV59" s="12"/>
      <c r="IWW59" s="12"/>
      <c r="IWX59" s="12"/>
      <c r="IWY59" s="12"/>
      <c r="IWZ59" s="12"/>
      <c r="IXA59" s="12"/>
      <c r="IXB59" s="12"/>
      <c r="IXC59" s="12"/>
      <c r="IXD59" s="12"/>
      <c r="IXE59" s="12"/>
      <c r="IXF59" s="12"/>
      <c r="IXG59" s="12"/>
      <c r="IXH59" s="12"/>
      <c r="IXI59" s="12"/>
      <c r="IXJ59" s="12"/>
      <c r="IXK59" s="12"/>
      <c r="IXL59" s="12"/>
      <c r="IXM59" s="12"/>
      <c r="IXN59" s="12"/>
      <c r="IXO59" s="12"/>
      <c r="IXP59" s="12"/>
      <c r="IXQ59" s="12"/>
      <c r="IXR59" s="12"/>
      <c r="IXS59" s="12"/>
      <c r="IXT59" s="12"/>
      <c r="IXU59" s="12"/>
      <c r="IXV59" s="12"/>
      <c r="IXW59" s="12"/>
      <c r="IXX59" s="12"/>
      <c r="IXY59" s="12"/>
      <c r="IXZ59" s="12"/>
      <c r="IYA59" s="12"/>
      <c r="IYB59" s="12"/>
      <c r="IYC59" s="12"/>
      <c r="IYD59" s="12"/>
      <c r="IYE59" s="12"/>
      <c r="IYF59" s="12"/>
      <c r="IYG59" s="12"/>
      <c r="IYH59" s="12"/>
      <c r="IYI59" s="12"/>
      <c r="IYJ59" s="12"/>
      <c r="IYK59" s="12"/>
      <c r="IYL59" s="12"/>
      <c r="IYM59" s="12"/>
      <c r="IYN59" s="12"/>
      <c r="IYO59" s="12"/>
      <c r="IYP59" s="12"/>
      <c r="IYQ59" s="12"/>
      <c r="IYR59" s="12"/>
      <c r="IYS59" s="12"/>
      <c r="IYT59" s="12"/>
      <c r="IYU59" s="12"/>
      <c r="IYV59" s="12"/>
      <c r="IYW59" s="12"/>
      <c r="IYX59" s="12"/>
      <c r="IYY59" s="12"/>
      <c r="IYZ59" s="12"/>
      <c r="IZA59" s="12"/>
      <c r="IZB59" s="12"/>
      <c r="IZC59" s="12"/>
      <c r="IZD59" s="12"/>
      <c r="IZE59" s="12"/>
      <c r="IZF59" s="12"/>
      <c r="IZG59" s="12"/>
      <c r="IZH59" s="12"/>
      <c r="IZI59" s="12"/>
      <c r="IZJ59" s="12"/>
      <c r="IZK59" s="12"/>
      <c r="IZL59" s="12"/>
      <c r="IZM59" s="12"/>
      <c r="IZN59" s="12"/>
      <c r="IZO59" s="12"/>
      <c r="IZP59" s="12"/>
      <c r="IZQ59" s="12"/>
      <c r="IZR59" s="12"/>
      <c r="IZS59" s="12"/>
      <c r="IZT59" s="12"/>
      <c r="IZU59" s="12"/>
      <c r="IZV59" s="12"/>
      <c r="IZW59" s="12"/>
      <c r="IZX59" s="12"/>
      <c r="IZY59" s="12"/>
      <c r="IZZ59" s="12"/>
      <c r="JAA59" s="12"/>
      <c r="JAB59" s="12"/>
      <c r="JAC59" s="12"/>
      <c r="JAD59" s="12"/>
      <c r="JAE59" s="12"/>
      <c r="JAF59" s="12"/>
      <c r="JAG59" s="12"/>
      <c r="JAH59" s="12"/>
      <c r="JAI59" s="12"/>
      <c r="JAJ59" s="12"/>
      <c r="JAK59" s="12"/>
      <c r="JAL59" s="12"/>
      <c r="JAM59" s="12"/>
      <c r="JAN59" s="12"/>
      <c r="JAO59" s="12"/>
      <c r="JAP59" s="12"/>
      <c r="JAQ59" s="12"/>
      <c r="JAR59" s="12"/>
      <c r="JAS59" s="12"/>
      <c r="JAT59" s="12"/>
      <c r="JAU59" s="12"/>
      <c r="JAV59" s="12"/>
      <c r="JAW59" s="12"/>
      <c r="JAX59" s="12"/>
      <c r="JAY59" s="12"/>
      <c r="JAZ59" s="12"/>
      <c r="JBA59" s="12"/>
      <c r="JBB59" s="12"/>
      <c r="JBC59" s="12"/>
      <c r="JBD59" s="12"/>
      <c r="JBE59" s="12"/>
      <c r="JBF59" s="12"/>
      <c r="JBG59" s="12"/>
      <c r="JBH59" s="12"/>
      <c r="JBI59" s="12"/>
      <c r="JBJ59" s="12"/>
      <c r="JBK59" s="12"/>
      <c r="JBL59" s="12"/>
      <c r="JBM59" s="12"/>
      <c r="JBN59" s="12"/>
      <c r="JBO59" s="12"/>
      <c r="JBP59" s="12"/>
      <c r="JBQ59" s="12"/>
      <c r="JBR59" s="12"/>
      <c r="JBS59" s="12"/>
      <c r="JBT59" s="12"/>
      <c r="JBU59" s="12"/>
      <c r="JBV59" s="12"/>
      <c r="JBW59" s="12"/>
      <c r="JBX59" s="12"/>
      <c r="JBY59" s="12"/>
      <c r="JBZ59" s="12"/>
      <c r="JCA59" s="12"/>
      <c r="JCB59" s="12"/>
      <c r="JCC59" s="12"/>
      <c r="JCD59" s="12"/>
      <c r="JCE59" s="12"/>
      <c r="JCF59" s="12"/>
      <c r="JCG59" s="12"/>
      <c r="JCH59" s="12"/>
      <c r="JCI59" s="12"/>
      <c r="JCJ59" s="12"/>
      <c r="JCK59" s="12"/>
      <c r="JCL59" s="12"/>
      <c r="JCM59" s="12"/>
      <c r="JCN59" s="12"/>
      <c r="JCO59" s="12"/>
      <c r="JCP59" s="12"/>
      <c r="JCQ59" s="12"/>
      <c r="JCR59" s="12"/>
      <c r="JCS59" s="12"/>
      <c r="JCT59" s="12"/>
      <c r="JCU59" s="12"/>
      <c r="JCV59" s="12"/>
      <c r="JCW59" s="12"/>
      <c r="JCX59" s="12"/>
      <c r="JCY59" s="12"/>
      <c r="JCZ59" s="12"/>
      <c r="JDA59" s="12"/>
      <c r="JDB59" s="12"/>
      <c r="JDC59" s="12"/>
      <c r="JDD59" s="12"/>
      <c r="JDE59" s="12"/>
      <c r="JDF59" s="12"/>
      <c r="JDG59" s="12"/>
      <c r="JDH59" s="12"/>
      <c r="JDI59" s="12"/>
      <c r="JDJ59" s="12"/>
      <c r="JDK59" s="12"/>
      <c r="JDL59" s="12"/>
      <c r="JDM59" s="12"/>
      <c r="JDN59" s="12"/>
      <c r="JDO59" s="12"/>
      <c r="JDP59" s="12"/>
      <c r="JDQ59" s="12"/>
      <c r="JDR59" s="12"/>
      <c r="JDS59" s="12"/>
      <c r="JDT59" s="12"/>
      <c r="JDU59" s="12"/>
      <c r="JDV59" s="12"/>
      <c r="JDW59" s="12"/>
      <c r="JDX59" s="12"/>
      <c r="JDY59" s="12"/>
      <c r="JDZ59" s="12"/>
      <c r="JEA59" s="12"/>
      <c r="JEB59" s="12"/>
      <c r="JEC59" s="12"/>
      <c r="JED59" s="12"/>
      <c r="JEE59" s="12"/>
      <c r="JEF59" s="12"/>
      <c r="JEG59" s="12"/>
      <c r="JEH59" s="12"/>
      <c r="JEI59" s="12"/>
      <c r="JEJ59" s="12"/>
      <c r="JEK59" s="12"/>
      <c r="JEL59" s="12"/>
      <c r="JEM59" s="12"/>
      <c r="JEN59" s="12"/>
      <c r="JEO59" s="12"/>
      <c r="JEP59" s="12"/>
      <c r="JEQ59" s="12"/>
      <c r="JER59" s="12"/>
      <c r="JES59" s="12"/>
      <c r="JET59" s="12"/>
      <c r="JEU59" s="12"/>
      <c r="JEV59" s="12"/>
      <c r="JEW59" s="12"/>
      <c r="JEX59" s="12"/>
      <c r="JEY59" s="12"/>
      <c r="JEZ59" s="12"/>
      <c r="JFA59" s="12"/>
      <c r="JFB59" s="12"/>
      <c r="JFC59" s="12"/>
      <c r="JFD59" s="12"/>
      <c r="JFE59" s="12"/>
      <c r="JFF59" s="12"/>
      <c r="JFG59" s="12"/>
      <c r="JFH59" s="12"/>
      <c r="JFI59" s="12"/>
      <c r="JFJ59" s="12"/>
      <c r="JFK59" s="12"/>
      <c r="JFL59" s="12"/>
      <c r="JFM59" s="12"/>
      <c r="JFN59" s="12"/>
      <c r="JFO59" s="12"/>
      <c r="JFP59" s="12"/>
      <c r="JFQ59" s="12"/>
      <c r="JFR59" s="12"/>
      <c r="JFS59" s="12"/>
      <c r="JFT59" s="12"/>
      <c r="JFU59" s="12"/>
      <c r="JFV59" s="12"/>
      <c r="JFW59" s="12"/>
      <c r="JFX59" s="12"/>
      <c r="JFY59" s="12"/>
      <c r="JFZ59" s="12"/>
      <c r="JGA59" s="12"/>
      <c r="JGB59" s="12"/>
      <c r="JGC59" s="12"/>
      <c r="JGD59" s="12"/>
      <c r="JGE59" s="12"/>
      <c r="JGF59" s="12"/>
      <c r="JGG59" s="12"/>
      <c r="JGH59" s="12"/>
      <c r="JGI59" s="12"/>
      <c r="JGJ59" s="12"/>
      <c r="JGK59" s="12"/>
      <c r="JGL59" s="12"/>
      <c r="JGM59" s="12"/>
      <c r="JGN59" s="12"/>
      <c r="JGO59" s="12"/>
      <c r="JGP59" s="12"/>
      <c r="JGQ59" s="12"/>
      <c r="JGR59" s="12"/>
      <c r="JGS59" s="12"/>
      <c r="JGT59" s="12"/>
      <c r="JGU59" s="12"/>
      <c r="JGV59" s="12"/>
      <c r="JGW59" s="12"/>
      <c r="JGX59" s="12"/>
      <c r="JGY59" s="12"/>
      <c r="JGZ59" s="12"/>
      <c r="JHA59" s="12"/>
      <c r="JHB59" s="12"/>
      <c r="JHC59" s="12"/>
      <c r="JHD59" s="12"/>
      <c r="JHE59" s="12"/>
      <c r="JHF59" s="12"/>
      <c r="JHG59" s="12"/>
      <c r="JHH59" s="12"/>
      <c r="JHI59" s="12"/>
      <c r="JHJ59" s="12"/>
      <c r="JHK59" s="12"/>
      <c r="JHL59" s="12"/>
      <c r="JHM59" s="12"/>
      <c r="JHN59" s="12"/>
      <c r="JHO59" s="12"/>
      <c r="JHP59" s="12"/>
      <c r="JHQ59" s="12"/>
      <c r="JHR59" s="12"/>
      <c r="JHS59" s="12"/>
      <c r="JHT59" s="12"/>
      <c r="JHU59" s="12"/>
      <c r="JHV59" s="12"/>
      <c r="JHW59" s="12"/>
      <c r="JHX59" s="12"/>
      <c r="JHY59" s="12"/>
      <c r="JHZ59" s="12"/>
      <c r="JIA59" s="12"/>
      <c r="JIB59" s="12"/>
      <c r="JIC59" s="12"/>
      <c r="JID59" s="12"/>
      <c r="JIE59" s="12"/>
      <c r="JIF59" s="12"/>
      <c r="JIG59" s="12"/>
      <c r="JIH59" s="12"/>
      <c r="JII59" s="12"/>
      <c r="JIJ59" s="12"/>
      <c r="JIK59" s="12"/>
      <c r="JIL59" s="12"/>
      <c r="JIM59" s="12"/>
      <c r="JIN59" s="12"/>
      <c r="JIO59" s="12"/>
      <c r="JIP59" s="12"/>
      <c r="JIQ59" s="12"/>
      <c r="JIR59" s="12"/>
      <c r="JIS59" s="12"/>
      <c r="JIT59" s="12"/>
      <c r="JIU59" s="12"/>
      <c r="JIV59" s="12"/>
      <c r="JIW59" s="12"/>
      <c r="JIX59" s="12"/>
      <c r="JIY59" s="12"/>
      <c r="JIZ59" s="12"/>
      <c r="JJA59" s="12"/>
      <c r="JJB59" s="12"/>
      <c r="JJC59" s="12"/>
      <c r="JJD59" s="12"/>
      <c r="JJE59" s="12"/>
      <c r="JJF59" s="12"/>
      <c r="JJG59" s="12"/>
      <c r="JJH59" s="12"/>
      <c r="JJI59" s="12"/>
      <c r="JJJ59" s="12"/>
      <c r="JJK59" s="12"/>
      <c r="JJL59" s="12"/>
      <c r="JJM59" s="12"/>
      <c r="JJN59" s="12"/>
      <c r="JJO59" s="12"/>
      <c r="JJP59" s="12"/>
      <c r="JJQ59" s="12"/>
      <c r="JJR59" s="12"/>
      <c r="JJS59" s="12"/>
      <c r="JJT59" s="12"/>
      <c r="JJU59" s="12"/>
      <c r="JJV59" s="12"/>
      <c r="JJW59" s="12"/>
      <c r="JJX59" s="12"/>
      <c r="JJY59" s="12"/>
      <c r="JJZ59" s="12"/>
      <c r="JKA59" s="12"/>
      <c r="JKB59" s="12"/>
      <c r="JKC59" s="12"/>
      <c r="JKD59" s="12"/>
      <c r="JKE59" s="12"/>
      <c r="JKF59" s="12"/>
      <c r="JKG59" s="12"/>
      <c r="JKH59" s="12"/>
      <c r="JKI59" s="12"/>
      <c r="JKJ59" s="12"/>
      <c r="JKK59" s="12"/>
      <c r="JKL59" s="12"/>
      <c r="JKM59" s="12"/>
      <c r="JKN59" s="12"/>
      <c r="JKO59" s="12"/>
      <c r="JKP59" s="12"/>
      <c r="JKQ59" s="12"/>
      <c r="JKR59" s="12"/>
      <c r="JKS59" s="12"/>
      <c r="JKT59" s="12"/>
      <c r="JKU59" s="12"/>
      <c r="JKV59" s="12"/>
      <c r="JKW59" s="12"/>
      <c r="JKX59" s="12"/>
      <c r="JKY59" s="12"/>
      <c r="JKZ59" s="12"/>
      <c r="JLA59" s="12"/>
      <c r="JLB59" s="12"/>
      <c r="JLC59" s="12"/>
      <c r="JLD59" s="12"/>
      <c r="JLE59" s="12"/>
      <c r="JLF59" s="12"/>
      <c r="JLG59" s="12"/>
      <c r="JLH59" s="12"/>
      <c r="JLI59" s="12"/>
      <c r="JLJ59" s="12"/>
      <c r="JLK59" s="12"/>
      <c r="JLL59" s="12"/>
      <c r="JLM59" s="12"/>
      <c r="JLN59" s="12"/>
      <c r="JLO59" s="12"/>
      <c r="JLP59" s="12"/>
      <c r="JLQ59" s="12"/>
      <c r="JLR59" s="12"/>
      <c r="JLS59" s="12"/>
      <c r="JLT59" s="12"/>
      <c r="JLU59" s="12"/>
      <c r="JLV59" s="12"/>
      <c r="JLW59" s="12"/>
      <c r="JLX59" s="12"/>
      <c r="JLY59" s="12"/>
      <c r="JLZ59" s="12"/>
      <c r="JMA59" s="12"/>
      <c r="JMB59" s="12"/>
      <c r="JMC59" s="12"/>
      <c r="JMD59" s="12"/>
      <c r="JME59" s="12"/>
      <c r="JMF59" s="12"/>
      <c r="JMG59" s="12"/>
      <c r="JMH59" s="12"/>
      <c r="JMI59" s="12"/>
      <c r="JMJ59" s="12"/>
      <c r="JMK59" s="12"/>
      <c r="JML59" s="12"/>
      <c r="JMM59" s="12"/>
      <c r="JMN59" s="12"/>
      <c r="JMO59" s="12"/>
      <c r="JMP59" s="12"/>
      <c r="JMQ59" s="12"/>
      <c r="JMR59" s="12"/>
      <c r="JMS59" s="12"/>
      <c r="JMT59" s="12"/>
      <c r="JMU59" s="12"/>
      <c r="JMV59" s="12"/>
      <c r="JMW59" s="12"/>
      <c r="JMX59" s="12"/>
      <c r="JMY59" s="12"/>
      <c r="JMZ59" s="12"/>
      <c r="JNA59" s="12"/>
      <c r="JNB59" s="12"/>
      <c r="JNC59" s="12"/>
      <c r="JND59" s="12"/>
      <c r="JNE59" s="12"/>
      <c r="JNF59" s="12"/>
      <c r="JNG59" s="12"/>
      <c r="JNH59" s="12"/>
      <c r="JNI59" s="12"/>
      <c r="JNJ59" s="12"/>
      <c r="JNK59" s="12"/>
      <c r="JNL59" s="12"/>
      <c r="JNM59" s="12"/>
      <c r="JNN59" s="12"/>
      <c r="JNO59" s="12"/>
      <c r="JNP59" s="12"/>
      <c r="JNQ59" s="12"/>
      <c r="JNR59" s="12"/>
      <c r="JNS59" s="12"/>
      <c r="JNT59" s="12"/>
      <c r="JNU59" s="12"/>
      <c r="JNV59" s="12"/>
      <c r="JNW59" s="12"/>
      <c r="JNX59" s="12"/>
      <c r="JNY59" s="12"/>
      <c r="JNZ59" s="12"/>
      <c r="JOA59" s="12"/>
      <c r="JOB59" s="12"/>
      <c r="JOC59" s="12"/>
      <c r="JOD59" s="12"/>
      <c r="JOE59" s="12"/>
      <c r="JOF59" s="12"/>
      <c r="JOG59" s="12"/>
      <c r="JOH59" s="12"/>
      <c r="JOI59" s="12"/>
      <c r="JOJ59" s="12"/>
      <c r="JOK59" s="12"/>
      <c r="JOL59" s="12"/>
      <c r="JOM59" s="12"/>
      <c r="JON59" s="12"/>
      <c r="JOO59" s="12"/>
      <c r="JOP59" s="12"/>
      <c r="JOQ59" s="12"/>
      <c r="JOR59" s="12"/>
      <c r="JOS59" s="12"/>
      <c r="JOT59" s="12"/>
      <c r="JOU59" s="12"/>
      <c r="JOV59" s="12"/>
      <c r="JOW59" s="12"/>
      <c r="JOX59" s="12"/>
      <c r="JOY59" s="12"/>
      <c r="JOZ59" s="12"/>
      <c r="JPA59" s="12"/>
      <c r="JPB59" s="12"/>
      <c r="JPC59" s="12"/>
      <c r="JPD59" s="12"/>
      <c r="JPE59" s="12"/>
      <c r="JPF59" s="12"/>
      <c r="JPG59" s="12"/>
      <c r="JPH59" s="12"/>
      <c r="JPI59" s="12"/>
      <c r="JPJ59" s="12"/>
      <c r="JPK59" s="12"/>
      <c r="JPL59" s="12"/>
      <c r="JPM59" s="12"/>
      <c r="JPN59" s="12"/>
      <c r="JPO59" s="12"/>
      <c r="JPP59" s="12"/>
      <c r="JPQ59" s="12"/>
      <c r="JPR59" s="12"/>
      <c r="JPS59" s="12"/>
      <c r="JPT59" s="12"/>
      <c r="JPU59" s="12"/>
      <c r="JPV59" s="12"/>
      <c r="JPW59" s="12"/>
      <c r="JPX59" s="12"/>
      <c r="JPY59" s="12"/>
      <c r="JPZ59" s="12"/>
      <c r="JQA59" s="12"/>
      <c r="JQB59" s="12"/>
      <c r="JQC59" s="12"/>
      <c r="JQD59" s="12"/>
      <c r="JQE59" s="12"/>
      <c r="JQF59" s="12"/>
      <c r="JQG59" s="12"/>
      <c r="JQH59" s="12"/>
      <c r="JQI59" s="12"/>
      <c r="JQJ59" s="12"/>
      <c r="JQK59" s="12"/>
      <c r="JQL59" s="12"/>
      <c r="JQM59" s="12"/>
      <c r="JQN59" s="12"/>
      <c r="JQO59" s="12"/>
      <c r="JQP59" s="12"/>
      <c r="JQQ59" s="12"/>
      <c r="JQR59" s="12"/>
      <c r="JQS59" s="12"/>
      <c r="JQT59" s="12"/>
      <c r="JQU59" s="12"/>
      <c r="JQV59" s="12"/>
      <c r="JQW59" s="12"/>
      <c r="JQX59" s="12"/>
      <c r="JQY59" s="12"/>
      <c r="JQZ59" s="12"/>
      <c r="JRA59" s="12"/>
      <c r="JRB59" s="12"/>
      <c r="JRC59" s="12"/>
      <c r="JRD59" s="12"/>
      <c r="JRE59" s="12"/>
      <c r="JRF59" s="12"/>
      <c r="JRG59" s="12"/>
      <c r="JRH59" s="12"/>
      <c r="JRI59" s="12"/>
      <c r="JRJ59" s="12"/>
      <c r="JRK59" s="12"/>
      <c r="JRL59" s="12"/>
      <c r="JRM59" s="12"/>
      <c r="JRN59" s="12"/>
      <c r="JRO59" s="12"/>
      <c r="JRP59" s="12"/>
      <c r="JRQ59" s="12"/>
      <c r="JRR59" s="12"/>
      <c r="JRS59" s="12"/>
      <c r="JRT59" s="12"/>
      <c r="JRU59" s="12"/>
      <c r="JRV59" s="12"/>
      <c r="JRW59" s="12"/>
      <c r="JRX59" s="12"/>
      <c r="JRY59" s="12"/>
      <c r="JRZ59" s="12"/>
      <c r="JSA59" s="12"/>
      <c r="JSB59" s="12"/>
      <c r="JSC59" s="12"/>
      <c r="JSD59" s="12"/>
      <c r="JSE59" s="12"/>
      <c r="JSF59" s="12"/>
      <c r="JSG59" s="12"/>
      <c r="JSH59" s="12"/>
      <c r="JSI59" s="12"/>
      <c r="JSJ59" s="12"/>
      <c r="JSK59" s="12"/>
      <c r="JSL59" s="12"/>
      <c r="JSM59" s="12"/>
      <c r="JSN59" s="12"/>
      <c r="JSO59" s="12"/>
      <c r="JSP59" s="12"/>
      <c r="JSQ59" s="12"/>
      <c r="JSR59" s="12"/>
      <c r="JSS59" s="12"/>
      <c r="JST59" s="12"/>
      <c r="JSU59" s="12"/>
      <c r="JSV59" s="12"/>
      <c r="JSW59" s="12"/>
      <c r="JSX59" s="12"/>
      <c r="JSY59" s="12"/>
      <c r="JSZ59" s="12"/>
      <c r="JTA59" s="12"/>
      <c r="JTB59" s="12"/>
      <c r="JTC59" s="12"/>
      <c r="JTD59" s="12"/>
      <c r="JTE59" s="12"/>
      <c r="JTF59" s="12"/>
      <c r="JTG59" s="12"/>
      <c r="JTH59" s="12"/>
      <c r="JTI59" s="12"/>
      <c r="JTJ59" s="12"/>
      <c r="JTK59" s="12"/>
      <c r="JTL59" s="12"/>
      <c r="JTM59" s="12"/>
      <c r="JTN59" s="12"/>
      <c r="JTO59" s="12"/>
      <c r="JTP59" s="12"/>
      <c r="JTQ59" s="12"/>
      <c r="JTR59" s="12"/>
      <c r="JTS59" s="12"/>
      <c r="JTT59" s="12"/>
      <c r="JTU59" s="12"/>
      <c r="JTV59" s="12"/>
      <c r="JTW59" s="12"/>
      <c r="JTX59" s="12"/>
      <c r="JTY59" s="12"/>
      <c r="JTZ59" s="12"/>
      <c r="JUA59" s="12"/>
      <c r="JUB59" s="12"/>
      <c r="JUC59" s="12"/>
      <c r="JUD59" s="12"/>
      <c r="JUE59" s="12"/>
      <c r="JUF59" s="12"/>
      <c r="JUG59" s="12"/>
      <c r="JUH59" s="12"/>
      <c r="JUI59" s="12"/>
      <c r="JUJ59" s="12"/>
      <c r="JUK59" s="12"/>
      <c r="JUL59" s="12"/>
      <c r="JUM59" s="12"/>
      <c r="JUN59" s="12"/>
      <c r="JUO59" s="12"/>
      <c r="JUP59" s="12"/>
      <c r="JUQ59" s="12"/>
      <c r="JUR59" s="12"/>
      <c r="JUS59" s="12"/>
      <c r="JUT59" s="12"/>
      <c r="JUU59" s="12"/>
      <c r="JUV59" s="12"/>
      <c r="JUW59" s="12"/>
      <c r="JUX59" s="12"/>
      <c r="JUY59" s="12"/>
      <c r="JUZ59" s="12"/>
      <c r="JVA59" s="12"/>
      <c r="JVB59" s="12"/>
      <c r="JVC59" s="12"/>
      <c r="JVD59" s="12"/>
      <c r="JVE59" s="12"/>
      <c r="JVF59" s="12"/>
      <c r="JVG59" s="12"/>
      <c r="JVH59" s="12"/>
      <c r="JVI59" s="12"/>
      <c r="JVJ59" s="12"/>
      <c r="JVK59" s="12"/>
      <c r="JVL59" s="12"/>
      <c r="JVM59" s="12"/>
      <c r="JVN59" s="12"/>
      <c r="JVO59" s="12"/>
      <c r="JVP59" s="12"/>
      <c r="JVQ59" s="12"/>
      <c r="JVR59" s="12"/>
      <c r="JVS59" s="12"/>
      <c r="JVT59" s="12"/>
      <c r="JVU59" s="12"/>
      <c r="JVV59" s="12"/>
      <c r="JVW59" s="12"/>
      <c r="JVX59" s="12"/>
      <c r="JVY59" s="12"/>
      <c r="JVZ59" s="12"/>
      <c r="JWA59" s="12"/>
      <c r="JWB59" s="12"/>
      <c r="JWC59" s="12"/>
      <c r="JWD59" s="12"/>
      <c r="JWE59" s="12"/>
      <c r="JWF59" s="12"/>
      <c r="JWG59" s="12"/>
      <c r="JWH59" s="12"/>
      <c r="JWI59" s="12"/>
      <c r="JWJ59" s="12"/>
      <c r="JWK59" s="12"/>
      <c r="JWL59" s="12"/>
      <c r="JWM59" s="12"/>
      <c r="JWN59" s="12"/>
      <c r="JWO59" s="12"/>
      <c r="JWP59" s="12"/>
      <c r="JWQ59" s="12"/>
      <c r="JWR59" s="12"/>
      <c r="JWS59" s="12"/>
      <c r="JWT59" s="12"/>
      <c r="JWU59" s="12"/>
      <c r="JWV59" s="12"/>
      <c r="JWW59" s="12"/>
      <c r="JWX59" s="12"/>
      <c r="JWY59" s="12"/>
      <c r="JWZ59" s="12"/>
      <c r="JXA59" s="12"/>
      <c r="JXB59" s="12"/>
      <c r="JXC59" s="12"/>
      <c r="JXD59" s="12"/>
      <c r="JXE59" s="12"/>
      <c r="JXF59" s="12"/>
      <c r="JXG59" s="12"/>
      <c r="JXH59" s="12"/>
      <c r="JXI59" s="12"/>
      <c r="JXJ59" s="12"/>
      <c r="JXK59" s="12"/>
      <c r="JXL59" s="12"/>
      <c r="JXM59" s="12"/>
      <c r="JXN59" s="12"/>
      <c r="JXO59" s="12"/>
      <c r="JXP59" s="12"/>
      <c r="JXQ59" s="12"/>
      <c r="JXR59" s="12"/>
      <c r="JXS59" s="12"/>
      <c r="JXT59" s="12"/>
      <c r="JXU59" s="12"/>
      <c r="JXV59" s="12"/>
      <c r="JXW59" s="12"/>
      <c r="JXX59" s="12"/>
      <c r="JXY59" s="12"/>
      <c r="JXZ59" s="12"/>
      <c r="JYA59" s="12"/>
      <c r="JYB59" s="12"/>
      <c r="JYC59" s="12"/>
      <c r="JYD59" s="12"/>
      <c r="JYE59" s="12"/>
      <c r="JYF59" s="12"/>
      <c r="JYG59" s="12"/>
      <c r="JYH59" s="12"/>
      <c r="JYI59" s="12"/>
      <c r="JYJ59" s="12"/>
      <c r="JYK59" s="12"/>
      <c r="JYL59" s="12"/>
      <c r="JYM59" s="12"/>
      <c r="JYN59" s="12"/>
      <c r="JYO59" s="12"/>
      <c r="JYP59" s="12"/>
      <c r="JYQ59" s="12"/>
      <c r="JYR59" s="12"/>
      <c r="JYS59" s="12"/>
      <c r="JYT59" s="12"/>
      <c r="JYU59" s="12"/>
      <c r="JYV59" s="12"/>
      <c r="JYW59" s="12"/>
      <c r="JYX59" s="12"/>
      <c r="JYY59" s="12"/>
      <c r="JYZ59" s="12"/>
      <c r="JZA59" s="12"/>
      <c r="JZB59" s="12"/>
      <c r="JZC59" s="12"/>
      <c r="JZD59" s="12"/>
      <c r="JZE59" s="12"/>
      <c r="JZF59" s="12"/>
      <c r="JZG59" s="12"/>
      <c r="JZH59" s="12"/>
      <c r="JZI59" s="12"/>
      <c r="JZJ59" s="12"/>
      <c r="JZK59" s="12"/>
      <c r="JZL59" s="12"/>
      <c r="JZM59" s="12"/>
      <c r="JZN59" s="12"/>
      <c r="JZO59" s="12"/>
      <c r="JZP59" s="12"/>
      <c r="JZQ59" s="12"/>
      <c r="JZR59" s="12"/>
      <c r="JZS59" s="12"/>
      <c r="JZT59" s="12"/>
      <c r="JZU59" s="12"/>
      <c r="JZV59" s="12"/>
      <c r="JZW59" s="12"/>
      <c r="JZX59" s="12"/>
      <c r="JZY59" s="12"/>
      <c r="JZZ59" s="12"/>
      <c r="KAA59" s="12"/>
      <c r="KAB59" s="12"/>
      <c r="KAC59" s="12"/>
      <c r="KAD59" s="12"/>
      <c r="KAE59" s="12"/>
      <c r="KAF59" s="12"/>
      <c r="KAG59" s="12"/>
      <c r="KAH59" s="12"/>
      <c r="KAI59" s="12"/>
      <c r="KAJ59" s="12"/>
      <c r="KAK59" s="12"/>
      <c r="KAL59" s="12"/>
      <c r="KAM59" s="12"/>
      <c r="KAN59" s="12"/>
      <c r="KAO59" s="12"/>
      <c r="KAP59" s="12"/>
      <c r="KAQ59" s="12"/>
      <c r="KAR59" s="12"/>
      <c r="KAS59" s="12"/>
      <c r="KAT59" s="12"/>
      <c r="KAU59" s="12"/>
      <c r="KAV59" s="12"/>
      <c r="KAW59" s="12"/>
      <c r="KAX59" s="12"/>
      <c r="KAY59" s="12"/>
      <c r="KAZ59" s="12"/>
      <c r="KBA59" s="12"/>
      <c r="KBB59" s="12"/>
      <c r="KBC59" s="12"/>
      <c r="KBD59" s="12"/>
      <c r="KBE59" s="12"/>
      <c r="KBF59" s="12"/>
      <c r="KBG59" s="12"/>
      <c r="KBH59" s="12"/>
      <c r="KBI59" s="12"/>
      <c r="KBJ59" s="12"/>
      <c r="KBK59" s="12"/>
      <c r="KBL59" s="12"/>
      <c r="KBM59" s="12"/>
      <c r="KBN59" s="12"/>
      <c r="KBO59" s="12"/>
      <c r="KBP59" s="12"/>
      <c r="KBQ59" s="12"/>
      <c r="KBR59" s="12"/>
      <c r="KBS59" s="12"/>
      <c r="KBT59" s="12"/>
      <c r="KBU59" s="12"/>
      <c r="KBV59" s="12"/>
      <c r="KBW59" s="12"/>
      <c r="KBX59" s="12"/>
      <c r="KBY59" s="12"/>
      <c r="KBZ59" s="12"/>
      <c r="KCA59" s="12"/>
      <c r="KCB59" s="12"/>
      <c r="KCC59" s="12"/>
      <c r="KCD59" s="12"/>
      <c r="KCE59" s="12"/>
      <c r="KCF59" s="12"/>
      <c r="KCG59" s="12"/>
      <c r="KCH59" s="12"/>
      <c r="KCI59" s="12"/>
      <c r="KCJ59" s="12"/>
      <c r="KCK59" s="12"/>
      <c r="KCL59" s="12"/>
      <c r="KCM59" s="12"/>
      <c r="KCN59" s="12"/>
      <c r="KCO59" s="12"/>
      <c r="KCP59" s="12"/>
      <c r="KCQ59" s="12"/>
      <c r="KCR59" s="12"/>
      <c r="KCS59" s="12"/>
      <c r="KCT59" s="12"/>
      <c r="KCU59" s="12"/>
      <c r="KCV59" s="12"/>
      <c r="KCW59" s="12"/>
      <c r="KCX59" s="12"/>
      <c r="KCY59" s="12"/>
      <c r="KCZ59" s="12"/>
      <c r="KDA59" s="12"/>
      <c r="KDB59" s="12"/>
      <c r="KDC59" s="12"/>
      <c r="KDD59" s="12"/>
      <c r="KDE59" s="12"/>
      <c r="KDF59" s="12"/>
      <c r="KDG59" s="12"/>
      <c r="KDH59" s="12"/>
      <c r="KDI59" s="12"/>
      <c r="KDJ59" s="12"/>
      <c r="KDK59" s="12"/>
      <c r="KDL59" s="12"/>
      <c r="KDM59" s="12"/>
      <c r="KDN59" s="12"/>
      <c r="KDO59" s="12"/>
      <c r="KDP59" s="12"/>
      <c r="KDQ59" s="12"/>
      <c r="KDR59" s="12"/>
      <c r="KDS59" s="12"/>
      <c r="KDT59" s="12"/>
      <c r="KDU59" s="12"/>
      <c r="KDV59" s="12"/>
      <c r="KDW59" s="12"/>
      <c r="KDX59" s="12"/>
      <c r="KDY59" s="12"/>
      <c r="KDZ59" s="12"/>
      <c r="KEA59" s="12"/>
      <c r="KEB59" s="12"/>
      <c r="KEC59" s="12"/>
      <c r="KED59" s="12"/>
      <c r="KEE59" s="12"/>
      <c r="KEF59" s="12"/>
      <c r="KEG59" s="12"/>
      <c r="KEH59" s="12"/>
      <c r="KEI59" s="12"/>
      <c r="KEJ59" s="12"/>
      <c r="KEK59" s="12"/>
      <c r="KEL59" s="12"/>
      <c r="KEM59" s="12"/>
      <c r="KEN59" s="12"/>
      <c r="KEO59" s="12"/>
      <c r="KEP59" s="12"/>
      <c r="KEQ59" s="12"/>
      <c r="KER59" s="12"/>
      <c r="KES59" s="12"/>
      <c r="KET59" s="12"/>
      <c r="KEU59" s="12"/>
      <c r="KEV59" s="12"/>
      <c r="KEW59" s="12"/>
      <c r="KEX59" s="12"/>
      <c r="KEY59" s="12"/>
      <c r="KEZ59" s="12"/>
      <c r="KFA59" s="12"/>
      <c r="KFB59" s="12"/>
      <c r="KFC59" s="12"/>
      <c r="KFD59" s="12"/>
      <c r="KFE59" s="12"/>
      <c r="KFF59" s="12"/>
      <c r="KFG59" s="12"/>
      <c r="KFH59" s="12"/>
      <c r="KFI59" s="12"/>
      <c r="KFJ59" s="12"/>
      <c r="KFK59" s="12"/>
      <c r="KFL59" s="12"/>
      <c r="KFM59" s="12"/>
      <c r="KFN59" s="12"/>
      <c r="KFO59" s="12"/>
      <c r="KFP59" s="12"/>
      <c r="KFQ59" s="12"/>
      <c r="KFR59" s="12"/>
      <c r="KFS59" s="12"/>
      <c r="KFT59" s="12"/>
      <c r="KFU59" s="12"/>
      <c r="KFV59" s="12"/>
      <c r="KFW59" s="12"/>
      <c r="KFX59" s="12"/>
      <c r="KFY59" s="12"/>
      <c r="KFZ59" s="12"/>
      <c r="KGA59" s="12"/>
      <c r="KGB59" s="12"/>
      <c r="KGC59" s="12"/>
      <c r="KGD59" s="12"/>
      <c r="KGE59" s="12"/>
      <c r="KGF59" s="12"/>
      <c r="KGG59" s="12"/>
      <c r="KGH59" s="12"/>
      <c r="KGI59" s="12"/>
      <c r="KGJ59" s="12"/>
      <c r="KGK59" s="12"/>
      <c r="KGL59" s="12"/>
      <c r="KGM59" s="12"/>
      <c r="KGN59" s="12"/>
      <c r="KGO59" s="12"/>
      <c r="KGP59" s="12"/>
      <c r="KGQ59" s="12"/>
      <c r="KGR59" s="12"/>
      <c r="KGS59" s="12"/>
      <c r="KGT59" s="12"/>
      <c r="KGU59" s="12"/>
      <c r="KGV59" s="12"/>
      <c r="KGW59" s="12"/>
      <c r="KGX59" s="12"/>
      <c r="KGY59" s="12"/>
      <c r="KGZ59" s="12"/>
      <c r="KHA59" s="12"/>
      <c r="KHB59" s="12"/>
      <c r="KHC59" s="12"/>
      <c r="KHD59" s="12"/>
      <c r="KHE59" s="12"/>
      <c r="KHF59" s="12"/>
      <c r="KHG59" s="12"/>
      <c r="KHH59" s="12"/>
      <c r="KHI59" s="12"/>
      <c r="KHJ59" s="12"/>
      <c r="KHK59" s="12"/>
      <c r="KHL59" s="12"/>
      <c r="KHM59" s="12"/>
      <c r="KHN59" s="12"/>
      <c r="KHO59" s="12"/>
      <c r="KHP59" s="12"/>
      <c r="KHQ59" s="12"/>
      <c r="KHR59" s="12"/>
      <c r="KHS59" s="12"/>
      <c r="KHT59" s="12"/>
      <c r="KHU59" s="12"/>
      <c r="KHV59" s="12"/>
      <c r="KHW59" s="12"/>
      <c r="KHX59" s="12"/>
      <c r="KHY59" s="12"/>
      <c r="KHZ59" s="12"/>
      <c r="KIA59" s="12"/>
      <c r="KIB59" s="12"/>
      <c r="KIC59" s="12"/>
      <c r="KID59" s="12"/>
      <c r="KIE59" s="12"/>
      <c r="KIF59" s="12"/>
      <c r="KIG59" s="12"/>
      <c r="KIH59" s="12"/>
      <c r="KII59" s="12"/>
      <c r="KIJ59" s="12"/>
      <c r="KIK59" s="12"/>
      <c r="KIL59" s="12"/>
      <c r="KIM59" s="12"/>
      <c r="KIN59" s="12"/>
      <c r="KIO59" s="12"/>
      <c r="KIP59" s="12"/>
      <c r="KIQ59" s="12"/>
      <c r="KIR59" s="12"/>
      <c r="KIS59" s="12"/>
      <c r="KIT59" s="12"/>
      <c r="KIU59" s="12"/>
      <c r="KIV59" s="12"/>
      <c r="KIW59" s="12"/>
      <c r="KIX59" s="12"/>
      <c r="KIY59" s="12"/>
      <c r="KIZ59" s="12"/>
      <c r="KJA59" s="12"/>
      <c r="KJB59" s="12"/>
      <c r="KJC59" s="12"/>
      <c r="KJD59" s="12"/>
      <c r="KJE59" s="12"/>
      <c r="KJF59" s="12"/>
      <c r="KJG59" s="12"/>
      <c r="KJH59" s="12"/>
      <c r="KJI59" s="12"/>
      <c r="KJJ59" s="12"/>
      <c r="KJK59" s="12"/>
      <c r="KJL59" s="12"/>
      <c r="KJM59" s="12"/>
      <c r="KJN59" s="12"/>
      <c r="KJO59" s="12"/>
      <c r="KJP59" s="12"/>
      <c r="KJQ59" s="12"/>
      <c r="KJR59" s="12"/>
      <c r="KJS59" s="12"/>
      <c r="KJT59" s="12"/>
      <c r="KJU59" s="12"/>
      <c r="KJV59" s="12"/>
      <c r="KJW59" s="12"/>
      <c r="KJX59" s="12"/>
      <c r="KJY59" s="12"/>
      <c r="KJZ59" s="12"/>
      <c r="KKA59" s="12"/>
      <c r="KKB59" s="12"/>
      <c r="KKC59" s="12"/>
      <c r="KKD59" s="12"/>
      <c r="KKE59" s="12"/>
      <c r="KKF59" s="12"/>
      <c r="KKG59" s="12"/>
      <c r="KKH59" s="12"/>
      <c r="KKI59" s="12"/>
      <c r="KKJ59" s="12"/>
      <c r="KKK59" s="12"/>
      <c r="KKL59" s="12"/>
      <c r="KKM59" s="12"/>
      <c r="KKN59" s="12"/>
      <c r="KKO59" s="12"/>
      <c r="KKP59" s="12"/>
      <c r="KKQ59" s="12"/>
      <c r="KKR59" s="12"/>
      <c r="KKS59" s="12"/>
      <c r="KKT59" s="12"/>
      <c r="KKU59" s="12"/>
      <c r="KKV59" s="12"/>
      <c r="KKW59" s="12"/>
      <c r="KKX59" s="12"/>
      <c r="KKY59" s="12"/>
      <c r="KKZ59" s="12"/>
      <c r="KLA59" s="12"/>
      <c r="KLB59" s="12"/>
      <c r="KLC59" s="12"/>
      <c r="KLD59" s="12"/>
      <c r="KLE59" s="12"/>
      <c r="KLF59" s="12"/>
      <c r="KLG59" s="12"/>
      <c r="KLH59" s="12"/>
      <c r="KLI59" s="12"/>
      <c r="KLJ59" s="12"/>
      <c r="KLK59" s="12"/>
      <c r="KLL59" s="12"/>
      <c r="KLM59" s="12"/>
      <c r="KLN59" s="12"/>
      <c r="KLO59" s="12"/>
      <c r="KLP59" s="12"/>
      <c r="KLQ59" s="12"/>
      <c r="KLR59" s="12"/>
      <c r="KLS59" s="12"/>
      <c r="KLT59" s="12"/>
      <c r="KLU59" s="12"/>
      <c r="KLV59" s="12"/>
      <c r="KLW59" s="12"/>
      <c r="KLX59" s="12"/>
      <c r="KLY59" s="12"/>
      <c r="KLZ59" s="12"/>
      <c r="KMA59" s="12"/>
      <c r="KMB59" s="12"/>
      <c r="KMC59" s="12"/>
      <c r="KMD59" s="12"/>
      <c r="KME59" s="12"/>
      <c r="KMF59" s="12"/>
      <c r="KMG59" s="12"/>
      <c r="KMH59" s="12"/>
      <c r="KMI59" s="12"/>
      <c r="KMJ59" s="12"/>
      <c r="KMK59" s="12"/>
      <c r="KML59" s="12"/>
      <c r="KMM59" s="12"/>
      <c r="KMN59" s="12"/>
      <c r="KMO59" s="12"/>
      <c r="KMP59" s="12"/>
      <c r="KMQ59" s="12"/>
      <c r="KMR59" s="12"/>
      <c r="KMS59" s="12"/>
      <c r="KMT59" s="12"/>
      <c r="KMU59" s="12"/>
      <c r="KMV59" s="12"/>
      <c r="KMW59" s="12"/>
      <c r="KMX59" s="12"/>
      <c r="KMY59" s="12"/>
      <c r="KMZ59" s="12"/>
      <c r="KNA59" s="12"/>
      <c r="KNB59" s="12"/>
      <c r="KNC59" s="12"/>
      <c r="KND59" s="12"/>
      <c r="KNE59" s="12"/>
      <c r="KNF59" s="12"/>
      <c r="KNG59" s="12"/>
      <c r="KNH59" s="12"/>
      <c r="KNI59" s="12"/>
      <c r="KNJ59" s="12"/>
      <c r="KNK59" s="12"/>
      <c r="KNL59" s="12"/>
      <c r="KNM59" s="12"/>
      <c r="KNN59" s="12"/>
      <c r="KNO59" s="12"/>
      <c r="KNP59" s="12"/>
      <c r="KNQ59" s="12"/>
      <c r="KNR59" s="12"/>
      <c r="KNS59" s="12"/>
      <c r="KNT59" s="12"/>
      <c r="KNU59" s="12"/>
      <c r="KNV59" s="12"/>
      <c r="KNW59" s="12"/>
      <c r="KNX59" s="12"/>
      <c r="KNY59" s="12"/>
      <c r="KNZ59" s="12"/>
      <c r="KOA59" s="12"/>
      <c r="KOB59" s="12"/>
      <c r="KOC59" s="12"/>
      <c r="KOD59" s="12"/>
      <c r="KOE59" s="12"/>
      <c r="KOF59" s="12"/>
      <c r="KOG59" s="12"/>
      <c r="KOH59" s="12"/>
      <c r="KOI59" s="12"/>
      <c r="KOJ59" s="12"/>
      <c r="KOK59" s="12"/>
      <c r="KOL59" s="12"/>
      <c r="KOM59" s="12"/>
      <c r="KON59" s="12"/>
      <c r="KOO59" s="12"/>
      <c r="KOP59" s="12"/>
      <c r="KOQ59" s="12"/>
      <c r="KOR59" s="12"/>
      <c r="KOS59" s="12"/>
      <c r="KOT59" s="12"/>
      <c r="KOU59" s="12"/>
      <c r="KOV59" s="12"/>
      <c r="KOW59" s="12"/>
      <c r="KOX59" s="12"/>
      <c r="KOY59" s="12"/>
      <c r="KOZ59" s="12"/>
      <c r="KPA59" s="12"/>
      <c r="KPB59" s="12"/>
      <c r="KPC59" s="12"/>
      <c r="KPD59" s="12"/>
      <c r="KPE59" s="12"/>
      <c r="KPF59" s="12"/>
      <c r="KPG59" s="12"/>
      <c r="KPH59" s="12"/>
      <c r="KPI59" s="12"/>
      <c r="KPJ59" s="12"/>
      <c r="KPK59" s="12"/>
      <c r="KPL59" s="12"/>
      <c r="KPM59" s="12"/>
      <c r="KPN59" s="12"/>
      <c r="KPO59" s="12"/>
      <c r="KPP59" s="12"/>
      <c r="KPQ59" s="12"/>
      <c r="KPR59" s="12"/>
      <c r="KPS59" s="12"/>
      <c r="KPT59" s="12"/>
      <c r="KPU59" s="12"/>
      <c r="KPV59" s="12"/>
      <c r="KPW59" s="12"/>
      <c r="KPX59" s="12"/>
      <c r="KPY59" s="12"/>
      <c r="KPZ59" s="12"/>
      <c r="KQA59" s="12"/>
      <c r="KQB59" s="12"/>
      <c r="KQC59" s="12"/>
      <c r="KQD59" s="12"/>
      <c r="KQE59" s="12"/>
      <c r="KQF59" s="12"/>
      <c r="KQG59" s="12"/>
      <c r="KQH59" s="12"/>
      <c r="KQI59" s="12"/>
      <c r="KQJ59" s="12"/>
      <c r="KQK59" s="12"/>
      <c r="KQL59" s="12"/>
      <c r="KQM59" s="12"/>
      <c r="KQN59" s="12"/>
      <c r="KQO59" s="12"/>
      <c r="KQP59" s="12"/>
      <c r="KQQ59" s="12"/>
      <c r="KQR59" s="12"/>
      <c r="KQS59" s="12"/>
      <c r="KQT59" s="12"/>
      <c r="KQU59" s="12"/>
      <c r="KQV59" s="12"/>
      <c r="KQW59" s="12"/>
      <c r="KQX59" s="12"/>
      <c r="KQY59" s="12"/>
      <c r="KQZ59" s="12"/>
      <c r="KRA59" s="12"/>
      <c r="KRB59" s="12"/>
      <c r="KRC59" s="12"/>
      <c r="KRD59" s="12"/>
      <c r="KRE59" s="12"/>
      <c r="KRF59" s="12"/>
      <c r="KRG59" s="12"/>
      <c r="KRH59" s="12"/>
      <c r="KRI59" s="12"/>
      <c r="KRJ59" s="12"/>
      <c r="KRK59" s="12"/>
      <c r="KRL59" s="12"/>
      <c r="KRM59" s="12"/>
      <c r="KRN59" s="12"/>
      <c r="KRO59" s="12"/>
      <c r="KRP59" s="12"/>
      <c r="KRQ59" s="12"/>
      <c r="KRR59" s="12"/>
      <c r="KRS59" s="12"/>
      <c r="KRT59" s="12"/>
      <c r="KRU59" s="12"/>
      <c r="KRV59" s="12"/>
      <c r="KRW59" s="12"/>
      <c r="KRX59" s="12"/>
      <c r="KRY59" s="12"/>
      <c r="KRZ59" s="12"/>
      <c r="KSA59" s="12"/>
      <c r="KSB59" s="12"/>
      <c r="KSC59" s="12"/>
      <c r="KSD59" s="12"/>
      <c r="KSE59" s="12"/>
      <c r="KSF59" s="12"/>
      <c r="KSG59" s="12"/>
      <c r="KSH59" s="12"/>
      <c r="KSI59" s="12"/>
      <c r="KSJ59" s="12"/>
      <c r="KSK59" s="12"/>
      <c r="KSL59" s="12"/>
      <c r="KSM59" s="12"/>
      <c r="KSN59" s="12"/>
      <c r="KSO59" s="12"/>
      <c r="KSP59" s="12"/>
      <c r="KSQ59" s="12"/>
      <c r="KSR59" s="12"/>
      <c r="KSS59" s="12"/>
      <c r="KST59" s="12"/>
      <c r="KSU59" s="12"/>
      <c r="KSV59" s="12"/>
      <c r="KSW59" s="12"/>
      <c r="KSX59" s="12"/>
      <c r="KSY59" s="12"/>
      <c r="KSZ59" s="12"/>
      <c r="KTA59" s="12"/>
      <c r="KTB59" s="12"/>
      <c r="KTC59" s="12"/>
      <c r="KTD59" s="12"/>
      <c r="KTE59" s="12"/>
      <c r="KTF59" s="12"/>
      <c r="KTG59" s="12"/>
      <c r="KTH59" s="12"/>
      <c r="KTI59" s="12"/>
      <c r="KTJ59" s="12"/>
      <c r="KTK59" s="12"/>
      <c r="KTL59" s="12"/>
      <c r="KTM59" s="12"/>
      <c r="KTN59" s="12"/>
      <c r="KTO59" s="12"/>
      <c r="KTP59" s="12"/>
      <c r="KTQ59" s="12"/>
      <c r="KTR59" s="12"/>
      <c r="KTS59" s="12"/>
      <c r="KTT59" s="12"/>
      <c r="KTU59" s="12"/>
      <c r="KTV59" s="12"/>
      <c r="KTW59" s="12"/>
      <c r="KTX59" s="12"/>
      <c r="KTY59" s="12"/>
      <c r="KTZ59" s="12"/>
      <c r="KUA59" s="12"/>
      <c r="KUB59" s="12"/>
      <c r="KUC59" s="12"/>
      <c r="KUD59" s="12"/>
      <c r="KUE59" s="12"/>
      <c r="KUF59" s="12"/>
      <c r="KUG59" s="12"/>
      <c r="KUH59" s="12"/>
      <c r="KUI59" s="12"/>
      <c r="KUJ59" s="12"/>
      <c r="KUK59" s="12"/>
      <c r="KUL59" s="12"/>
      <c r="KUM59" s="12"/>
      <c r="KUN59" s="12"/>
      <c r="KUO59" s="12"/>
      <c r="KUP59" s="12"/>
      <c r="KUQ59" s="12"/>
      <c r="KUR59" s="12"/>
      <c r="KUS59" s="12"/>
      <c r="KUT59" s="12"/>
      <c r="KUU59" s="12"/>
      <c r="KUV59" s="12"/>
      <c r="KUW59" s="12"/>
      <c r="KUX59" s="12"/>
      <c r="KUY59" s="12"/>
      <c r="KUZ59" s="12"/>
      <c r="KVA59" s="12"/>
      <c r="KVB59" s="12"/>
      <c r="KVC59" s="12"/>
      <c r="KVD59" s="12"/>
      <c r="KVE59" s="12"/>
      <c r="KVF59" s="12"/>
      <c r="KVG59" s="12"/>
      <c r="KVH59" s="12"/>
      <c r="KVI59" s="12"/>
      <c r="KVJ59" s="12"/>
      <c r="KVK59" s="12"/>
      <c r="KVL59" s="12"/>
      <c r="KVM59" s="12"/>
      <c r="KVN59" s="12"/>
      <c r="KVO59" s="12"/>
      <c r="KVP59" s="12"/>
      <c r="KVQ59" s="12"/>
      <c r="KVR59" s="12"/>
      <c r="KVS59" s="12"/>
      <c r="KVT59" s="12"/>
      <c r="KVU59" s="12"/>
      <c r="KVV59" s="12"/>
      <c r="KVW59" s="12"/>
      <c r="KVX59" s="12"/>
      <c r="KVY59" s="12"/>
      <c r="KVZ59" s="12"/>
      <c r="KWA59" s="12"/>
      <c r="KWB59" s="12"/>
      <c r="KWC59" s="12"/>
      <c r="KWD59" s="12"/>
      <c r="KWE59" s="12"/>
      <c r="KWF59" s="12"/>
      <c r="KWG59" s="12"/>
      <c r="KWH59" s="12"/>
      <c r="KWI59" s="12"/>
      <c r="KWJ59" s="12"/>
      <c r="KWK59" s="12"/>
      <c r="KWL59" s="12"/>
      <c r="KWM59" s="12"/>
      <c r="KWN59" s="12"/>
      <c r="KWO59" s="12"/>
      <c r="KWP59" s="12"/>
      <c r="KWQ59" s="12"/>
      <c r="KWR59" s="12"/>
      <c r="KWS59" s="12"/>
      <c r="KWT59" s="12"/>
      <c r="KWU59" s="12"/>
      <c r="KWV59" s="12"/>
      <c r="KWW59" s="12"/>
      <c r="KWX59" s="12"/>
      <c r="KWY59" s="12"/>
      <c r="KWZ59" s="12"/>
      <c r="KXA59" s="12"/>
      <c r="KXB59" s="12"/>
      <c r="KXC59" s="12"/>
      <c r="KXD59" s="12"/>
      <c r="KXE59" s="12"/>
      <c r="KXF59" s="12"/>
      <c r="KXG59" s="12"/>
      <c r="KXH59" s="12"/>
      <c r="KXI59" s="12"/>
      <c r="KXJ59" s="12"/>
      <c r="KXK59" s="12"/>
      <c r="KXL59" s="12"/>
      <c r="KXM59" s="12"/>
      <c r="KXN59" s="12"/>
      <c r="KXO59" s="12"/>
      <c r="KXP59" s="12"/>
      <c r="KXQ59" s="12"/>
      <c r="KXR59" s="12"/>
      <c r="KXS59" s="12"/>
      <c r="KXT59" s="12"/>
      <c r="KXU59" s="12"/>
      <c r="KXV59" s="12"/>
      <c r="KXW59" s="12"/>
      <c r="KXX59" s="12"/>
      <c r="KXY59" s="12"/>
      <c r="KXZ59" s="12"/>
      <c r="KYA59" s="12"/>
      <c r="KYB59" s="12"/>
      <c r="KYC59" s="12"/>
      <c r="KYD59" s="12"/>
      <c r="KYE59" s="12"/>
      <c r="KYF59" s="12"/>
      <c r="KYG59" s="12"/>
      <c r="KYH59" s="12"/>
      <c r="KYI59" s="12"/>
      <c r="KYJ59" s="12"/>
      <c r="KYK59" s="12"/>
      <c r="KYL59" s="12"/>
      <c r="KYM59" s="12"/>
      <c r="KYN59" s="12"/>
      <c r="KYO59" s="12"/>
      <c r="KYP59" s="12"/>
      <c r="KYQ59" s="12"/>
      <c r="KYR59" s="12"/>
      <c r="KYS59" s="12"/>
      <c r="KYT59" s="12"/>
      <c r="KYU59" s="12"/>
      <c r="KYV59" s="12"/>
      <c r="KYW59" s="12"/>
      <c r="KYX59" s="12"/>
      <c r="KYY59" s="12"/>
      <c r="KYZ59" s="12"/>
      <c r="KZA59" s="12"/>
      <c r="KZB59" s="12"/>
      <c r="KZC59" s="12"/>
      <c r="KZD59" s="12"/>
      <c r="KZE59" s="12"/>
      <c r="KZF59" s="12"/>
      <c r="KZG59" s="12"/>
      <c r="KZH59" s="12"/>
      <c r="KZI59" s="12"/>
      <c r="KZJ59" s="12"/>
      <c r="KZK59" s="12"/>
      <c r="KZL59" s="12"/>
      <c r="KZM59" s="12"/>
      <c r="KZN59" s="12"/>
      <c r="KZO59" s="12"/>
      <c r="KZP59" s="12"/>
      <c r="KZQ59" s="12"/>
      <c r="KZR59" s="12"/>
      <c r="KZS59" s="12"/>
      <c r="KZT59" s="12"/>
      <c r="KZU59" s="12"/>
      <c r="KZV59" s="12"/>
      <c r="KZW59" s="12"/>
      <c r="KZX59" s="12"/>
      <c r="KZY59" s="12"/>
      <c r="KZZ59" s="12"/>
      <c r="LAA59" s="12"/>
      <c r="LAB59" s="12"/>
      <c r="LAC59" s="12"/>
      <c r="LAD59" s="12"/>
      <c r="LAE59" s="12"/>
      <c r="LAF59" s="12"/>
      <c r="LAG59" s="12"/>
      <c r="LAH59" s="12"/>
      <c r="LAI59" s="12"/>
      <c r="LAJ59" s="12"/>
      <c r="LAK59" s="12"/>
      <c r="LAL59" s="12"/>
      <c r="LAM59" s="12"/>
      <c r="LAN59" s="12"/>
      <c r="LAO59" s="12"/>
      <c r="LAP59" s="12"/>
      <c r="LAQ59" s="12"/>
      <c r="LAR59" s="12"/>
      <c r="LAS59" s="12"/>
      <c r="LAT59" s="12"/>
      <c r="LAU59" s="12"/>
      <c r="LAV59" s="12"/>
      <c r="LAW59" s="12"/>
      <c r="LAX59" s="12"/>
      <c r="LAY59" s="12"/>
      <c r="LAZ59" s="12"/>
      <c r="LBA59" s="12"/>
      <c r="LBB59" s="12"/>
      <c r="LBC59" s="12"/>
      <c r="LBD59" s="12"/>
      <c r="LBE59" s="12"/>
      <c r="LBF59" s="12"/>
      <c r="LBG59" s="12"/>
      <c r="LBH59" s="12"/>
      <c r="LBI59" s="12"/>
      <c r="LBJ59" s="12"/>
      <c r="LBK59" s="12"/>
      <c r="LBL59" s="12"/>
      <c r="LBM59" s="12"/>
      <c r="LBN59" s="12"/>
      <c r="LBO59" s="12"/>
      <c r="LBP59" s="12"/>
      <c r="LBQ59" s="12"/>
      <c r="LBR59" s="12"/>
      <c r="LBS59" s="12"/>
      <c r="LBT59" s="12"/>
      <c r="LBU59" s="12"/>
      <c r="LBV59" s="12"/>
      <c r="LBW59" s="12"/>
      <c r="LBX59" s="12"/>
      <c r="LBY59" s="12"/>
      <c r="LBZ59" s="12"/>
      <c r="LCA59" s="12"/>
      <c r="LCB59" s="12"/>
      <c r="LCC59" s="12"/>
      <c r="LCD59" s="12"/>
      <c r="LCE59" s="12"/>
      <c r="LCF59" s="12"/>
      <c r="LCG59" s="12"/>
      <c r="LCH59" s="12"/>
      <c r="LCI59" s="12"/>
      <c r="LCJ59" s="12"/>
      <c r="LCK59" s="12"/>
      <c r="LCL59" s="12"/>
      <c r="LCM59" s="12"/>
      <c r="LCN59" s="12"/>
      <c r="LCO59" s="12"/>
      <c r="LCP59" s="12"/>
      <c r="LCQ59" s="12"/>
      <c r="LCR59" s="12"/>
      <c r="LCS59" s="12"/>
      <c r="LCT59" s="12"/>
      <c r="LCU59" s="12"/>
      <c r="LCV59" s="12"/>
      <c r="LCW59" s="12"/>
      <c r="LCX59" s="12"/>
      <c r="LCY59" s="12"/>
      <c r="LCZ59" s="12"/>
      <c r="LDA59" s="12"/>
      <c r="LDB59" s="12"/>
      <c r="LDC59" s="12"/>
      <c r="LDD59" s="12"/>
      <c r="LDE59" s="12"/>
      <c r="LDF59" s="12"/>
      <c r="LDG59" s="12"/>
      <c r="LDH59" s="12"/>
      <c r="LDI59" s="12"/>
      <c r="LDJ59" s="12"/>
      <c r="LDK59" s="12"/>
      <c r="LDL59" s="12"/>
      <c r="LDM59" s="12"/>
      <c r="LDN59" s="12"/>
      <c r="LDO59" s="12"/>
      <c r="LDP59" s="12"/>
      <c r="LDQ59" s="12"/>
      <c r="LDR59" s="12"/>
      <c r="LDS59" s="12"/>
      <c r="LDT59" s="12"/>
      <c r="LDU59" s="12"/>
      <c r="LDV59" s="12"/>
      <c r="LDW59" s="12"/>
      <c r="LDX59" s="12"/>
      <c r="LDY59" s="12"/>
      <c r="LDZ59" s="12"/>
      <c r="LEA59" s="12"/>
      <c r="LEB59" s="12"/>
      <c r="LEC59" s="12"/>
      <c r="LED59" s="12"/>
      <c r="LEE59" s="12"/>
      <c r="LEF59" s="12"/>
      <c r="LEG59" s="12"/>
      <c r="LEH59" s="12"/>
      <c r="LEI59" s="12"/>
      <c r="LEJ59" s="12"/>
      <c r="LEK59" s="12"/>
      <c r="LEL59" s="12"/>
      <c r="LEM59" s="12"/>
      <c r="LEN59" s="12"/>
      <c r="LEO59" s="12"/>
      <c r="LEP59" s="12"/>
      <c r="LEQ59" s="12"/>
      <c r="LER59" s="12"/>
      <c r="LES59" s="12"/>
      <c r="LET59" s="12"/>
      <c r="LEU59" s="12"/>
      <c r="LEV59" s="12"/>
      <c r="LEW59" s="12"/>
      <c r="LEX59" s="12"/>
      <c r="LEY59" s="12"/>
      <c r="LEZ59" s="12"/>
      <c r="LFA59" s="12"/>
      <c r="LFB59" s="12"/>
      <c r="LFC59" s="12"/>
      <c r="LFD59" s="12"/>
      <c r="LFE59" s="12"/>
      <c r="LFF59" s="12"/>
      <c r="LFG59" s="12"/>
      <c r="LFH59" s="12"/>
      <c r="LFI59" s="12"/>
      <c r="LFJ59" s="12"/>
      <c r="LFK59" s="12"/>
      <c r="LFL59" s="12"/>
      <c r="LFM59" s="12"/>
      <c r="LFN59" s="12"/>
      <c r="LFO59" s="12"/>
      <c r="LFP59" s="12"/>
      <c r="LFQ59" s="12"/>
      <c r="LFR59" s="12"/>
      <c r="LFS59" s="12"/>
      <c r="LFT59" s="12"/>
      <c r="LFU59" s="12"/>
      <c r="LFV59" s="12"/>
      <c r="LFW59" s="12"/>
      <c r="LFX59" s="12"/>
      <c r="LFY59" s="12"/>
      <c r="LFZ59" s="12"/>
      <c r="LGA59" s="12"/>
      <c r="LGB59" s="12"/>
      <c r="LGC59" s="12"/>
      <c r="LGD59" s="12"/>
      <c r="LGE59" s="12"/>
      <c r="LGF59" s="12"/>
      <c r="LGG59" s="12"/>
      <c r="LGH59" s="12"/>
      <c r="LGI59" s="12"/>
      <c r="LGJ59" s="12"/>
      <c r="LGK59" s="12"/>
      <c r="LGL59" s="12"/>
      <c r="LGM59" s="12"/>
      <c r="LGN59" s="12"/>
      <c r="LGO59" s="12"/>
      <c r="LGP59" s="12"/>
      <c r="LGQ59" s="12"/>
      <c r="LGR59" s="12"/>
      <c r="LGS59" s="12"/>
      <c r="LGT59" s="12"/>
      <c r="LGU59" s="12"/>
      <c r="LGV59" s="12"/>
      <c r="LGW59" s="12"/>
      <c r="LGX59" s="12"/>
      <c r="LGY59" s="12"/>
      <c r="LGZ59" s="12"/>
      <c r="LHA59" s="12"/>
      <c r="LHB59" s="12"/>
      <c r="LHC59" s="12"/>
      <c r="LHD59" s="12"/>
      <c r="LHE59" s="12"/>
      <c r="LHF59" s="12"/>
      <c r="LHG59" s="12"/>
      <c r="LHH59" s="12"/>
      <c r="LHI59" s="12"/>
      <c r="LHJ59" s="12"/>
      <c r="LHK59" s="12"/>
      <c r="LHL59" s="12"/>
      <c r="LHM59" s="12"/>
      <c r="LHN59" s="12"/>
      <c r="LHO59" s="12"/>
      <c r="LHP59" s="12"/>
      <c r="LHQ59" s="12"/>
      <c r="LHR59" s="12"/>
      <c r="LHS59" s="12"/>
      <c r="LHT59" s="12"/>
      <c r="LHU59" s="12"/>
      <c r="LHV59" s="12"/>
      <c r="LHW59" s="12"/>
      <c r="LHX59" s="12"/>
      <c r="LHY59" s="12"/>
      <c r="LHZ59" s="12"/>
      <c r="LIA59" s="12"/>
      <c r="LIB59" s="12"/>
      <c r="LIC59" s="12"/>
      <c r="LID59" s="12"/>
      <c r="LIE59" s="12"/>
      <c r="LIF59" s="12"/>
      <c r="LIG59" s="12"/>
      <c r="LIH59" s="12"/>
      <c r="LII59" s="12"/>
      <c r="LIJ59" s="12"/>
      <c r="LIK59" s="12"/>
      <c r="LIL59" s="12"/>
      <c r="LIM59" s="12"/>
      <c r="LIN59" s="12"/>
      <c r="LIO59" s="12"/>
      <c r="LIP59" s="12"/>
      <c r="LIQ59" s="12"/>
      <c r="LIR59" s="12"/>
      <c r="LIS59" s="12"/>
      <c r="LIT59" s="12"/>
      <c r="LIU59" s="12"/>
      <c r="LIV59" s="12"/>
      <c r="LIW59" s="12"/>
      <c r="LIX59" s="12"/>
      <c r="LIY59" s="12"/>
      <c r="LIZ59" s="12"/>
      <c r="LJA59" s="12"/>
      <c r="LJB59" s="12"/>
      <c r="LJC59" s="12"/>
      <c r="LJD59" s="12"/>
      <c r="LJE59" s="12"/>
      <c r="LJF59" s="12"/>
      <c r="LJG59" s="12"/>
      <c r="LJH59" s="12"/>
      <c r="LJI59" s="12"/>
      <c r="LJJ59" s="12"/>
      <c r="LJK59" s="12"/>
      <c r="LJL59" s="12"/>
      <c r="LJM59" s="12"/>
      <c r="LJN59" s="12"/>
      <c r="LJO59" s="12"/>
      <c r="LJP59" s="12"/>
      <c r="LJQ59" s="12"/>
      <c r="LJR59" s="12"/>
      <c r="LJS59" s="12"/>
      <c r="LJT59" s="12"/>
      <c r="LJU59" s="12"/>
      <c r="LJV59" s="12"/>
      <c r="LJW59" s="12"/>
      <c r="LJX59" s="12"/>
      <c r="LJY59" s="12"/>
      <c r="LJZ59" s="12"/>
      <c r="LKA59" s="12"/>
      <c r="LKB59" s="12"/>
      <c r="LKC59" s="12"/>
      <c r="LKD59" s="12"/>
      <c r="LKE59" s="12"/>
      <c r="LKF59" s="12"/>
      <c r="LKG59" s="12"/>
      <c r="LKH59" s="12"/>
      <c r="LKI59" s="12"/>
      <c r="LKJ59" s="12"/>
      <c r="LKK59" s="12"/>
      <c r="LKL59" s="12"/>
      <c r="LKM59" s="12"/>
      <c r="LKN59" s="12"/>
      <c r="LKO59" s="12"/>
      <c r="LKP59" s="12"/>
      <c r="LKQ59" s="12"/>
      <c r="LKR59" s="12"/>
      <c r="LKS59" s="12"/>
      <c r="LKT59" s="12"/>
      <c r="LKU59" s="12"/>
      <c r="LKV59" s="12"/>
      <c r="LKW59" s="12"/>
      <c r="LKX59" s="12"/>
      <c r="LKY59" s="12"/>
      <c r="LKZ59" s="12"/>
      <c r="LLA59" s="12"/>
      <c r="LLB59" s="12"/>
      <c r="LLC59" s="12"/>
      <c r="LLD59" s="12"/>
      <c r="LLE59" s="12"/>
      <c r="LLF59" s="12"/>
      <c r="LLG59" s="12"/>
      <c r="LLH59" s="12"/>
      <c r="LLI59" s="12"/>
      <c r="LLJ59" s="12"/>
      <c r="LLK59" s="12"/>
      <c r="LLL59" s="12"/>
      <c r="LLM59" s="12"/>
      <c r="LLN59" s="12"/>
      <c r="LLO59" s="12"/>
      <c r="LLP59" s="12"/>
      <c r="LLQ59" s="12"/>
      <c r="LLR59" s="12"/>
      <c r="LLS59" s="12"/>
      <c r="LLT59" s="12"/>
      <c r="LLU59" s="12"/>
      <c r="LLV59" s="12"/>
      <c r="LLW59" s="12"/>
      <c r="LLX59" s="12"/>
      <c r="LLY59" s="12"/>
      <c r="LLZ59" s="12"/>
      <c r="LMA59" s="12"/>
      <c r="LMB59" s="12"/>
      <c r="LMC59" s="12"/>
      <c r="LMD59" s="12"/>
      <c r="LME59" s="12"/>
      <c r="LMF59" s="12"/>
      <c r="LMG59" s="12"/>
      <c r="LMH59" s="12"/>
      <c r="LMI59" s="12"/>
      <c r="LMJ59" s="12"/>
      <c r="LMK59" s="12"/>
      <c r="LML59" s="12"/>
      <c r="LMM59" s="12"/>
      <c r="LMN59" s="12"/>
      <c r="LMO59" s="12"/>
      <c r="LMP59" s="12"/>
      <c r="LMQ59" s="12"/>
      <c r="LMR59" s="12"/>
      <c r="LMS59" s="12"/>
      <c r="LMT59" s="12"/>
      <c r="LMU59" s="12"/>
      <c r="LMV59" s="12"/>
      <c r="LMW59" s="12"/>
      <c r="LMX59" s="12"/>
      <c r="LMY59" s="12"/>
      <c r="LMZ59" s="12"/>
      <c r="LNA59" s="12"/>
      <c r="LNB59" s="12"/>
      <c r="LNC59" s="12"/>
      <c r="LND59" s="12"/>
      <c r="LNE59" s="12"/>
      <c r="LNF59" s="12"/>
      <c r="LNG59" s="12"/>
      <c r="LNH59" s="12"/>
      <c r="LNI59" s="12"/>
      <c r="LNJ59" s="12"/>
      <c r="LNK59" s="12"/>
      <c r="LNL59" s="12"/>
      <c r="LNM59" s="12"/>
      <c r="LNN59" s="12"/>
      <c r="LNO59" s="12"/>
      <c r="LNP59" s="12"/>
      <c r="LNQ59" s="12"/>
      <c r="LNR59" s="12"/>
      <c r="LNS59" s="12"/>
      <c r="LNT59" s="12"/>
      <c r="LNU59" s="12"/>
      <c r="LNV59" s="12"/>
      <c r="LNW59" s="12"/>
      <c r="LNX59" s="12"/>
      <c r="LNY59" s="12"/>
      <c r="LNZ59" s="12"/>
      <c r="LOA59" s="12"/>
      <c r="LOB59" s="12"/>
      <c r="LOC59" s="12"/>
      <c r="LOD59" s="12"/>
      <c r="LOE59" s="12"/>
      <c r="LOF59" s="12"/>
      <c r="LOG59" s="12"/>
      <c r="LOH59" s="12"/>
      <c r="LOI59" s="12"/>
      <c r="LOJ59" s="12"/>
      <c r="LOK59" s="12"/>
      <c r="LOL59" s="12"/>
      <c r="LOM59" s="12"/>
      <c r="LON59" s="12"/>
      <c r="LOO59" s="12"/>
      <c r="LOP59" s="12"/>
      <c r="LOQ59" s="12"/>
      <c r="LOR59" s="12"/>
      <c r="LOS59" s="12"/>
      <c r="LOT59" s="12"/>
      <c r="LOU59" s="12"/>
      <c r="LOV59" s="12"/>
      <c r="LOW59" s="12"/>
      <c r="LOX59" s="12"/>
      <c r="LOY59" s="12"/>
      <c r="LOZ59" s="12"/>
      <c r="LPA59" s="12"/>
      <c r="LPB59" s="12"/>
      <c r="LPC59" s="12"/>
      <c r="LPD59" s="12"/>
      <c r="LPE59" s="12"/>
      <c r="LPF59" s="12"/>
      <c r="LPG59" s="12"/>
      <c r="LPH59" s="12"/>
      <c r="LPI59" s="12"/>
      <c r="LPJ59" s="12"/>
      <c r="LPK59" s="12"/>
      <c r="LPL59" s="12"/>
      <c r="LPM59" s="12"/>
      <c r="LPN59" s="12"/>
      <c r="LPO59" s="12"/>
      <c r="LPP59" s="12"/>
      <c r="LPQ59" s="12"/>
      <c r="LPR59" s="12"/>
      <c r="LPS59" s="12"/>
      <c r="LPT59" s="12"/>
      <c r="LPU59" s="12"/>
      <c r="LPV59" s="12"/>
      <c r="LPW59" s="12"/>
      <c r="LPX59" s="12"/>
      <c r="LPY59" s="12"/>
      <c r="LPZ59" s="12"/>
      <c r="LQA59" s="12"/>
      <c r="LQB59" s="12"/>
      <c r="LQC59" s="12"/>
      <c r="LQD59" s="12"/>
      <c r="LQE59" s="12"/>
      <c r="LQF59" s="12"/>
      <c r="LQG59" s="12"/>
      <c r="LQH59" s="12"/>
      <c r="LQI59" s="12"/>
      <c r="LQJ59" s="12"/>
      <c r="LQK59" s="12"/>
      <c r="LQL59" s="12"/>
      <c r="LQM59" s="12"/>
      <c r="LQN59" s="12"/>
      <c r="LQO59" s="12"/>
      <c r="LQP59" s="12"/>
      <c r="LQQ59" s="12"/>
      <c r="LQR59" s="12"/>
      <c r="LQS59" s="12"/>
      <c r="LQT59" s="12"/>
      <c r="LQU59" s="12"/>
      <c r="LQV59" s="12"/>
      <c r="LQW59" s="12"/>
      <c r="LQX59" s="12"/>
      <c r="LQY59" s="12"/>
      <c r="LQZ59" s="12"/>
      <c r="LRA59" s="12"/>
      <c r="LRB59" s="12"/>
      <c r="LRC59" s="12"/>
      <c r="LRD59" s="12"/>
      <c r="LRE59" s="12"/>
      <c r="LRF59" s="12"/>
      <c r="LRG59" s="12"/>
      <c r="LRH59" s="12"/>
      <c r="LRI59" s="12"/>
      <c r="LRJ59" s="12"/>
      <c r="LRK59" s="12"/>
      <c r="LRL59" s="12"/>
      <c r="LRM59" s="12"/>
      <c r="LRN59" s="12"/>
      <c r="LRO59" s="12"/>
      <c r="LRP59" s="12"/>
      <c r="LRQ59" s="12"/>
      <c r="LRR59" s="12"/>
      <c r="LRS59" s="12"/>
      <c r="LRT59" s="12"/>
      <c r="LRU59" s="12"/>
      <c r="LRV59" s="12"/>
      <c r="LRW59" s="12"/>
      <c r="LRX59" s="12"/>
      <c r="LRY59" s="12"/>
      <c r="LRZ59" s="12"/>
      <c r="LSA59" s="12"/>
      <c r="LSB59" s="12"/>
      <c r="LSC59" s="12"/>
      <c r="LSD59" s="12"/>
      <c r="LSE59" s="12"/>
      <c r="LSF59" s="12"/>
      <c r="LSG59" s="12"/>
      <c r="LSH59" s="12"/>
      <c r="LSI59" s="12"/>
      <c r="LSJ59" s="12"/>
      <c r="LSK59" s="12"/>
      <c r="LSL59" s="12"/>
      <c r="LSM59" s="12"/>
      <c r="LSN59" s="12"/>
      <c r="LSO59" s="12"/>
      <c r="LSP59" s="12"/>
      <c r="LSQ59" s="12"/>
      <c r="LSR59" s="12"/>
      <c r="LSS59" s="12"/>
      <c r="LST59" s="12"/>
      <c r="LSU59" s="12"/>
      <c r="LSV59" s="12"/>
      <c r="LSW59" s="12"/>
      <c r="LSX59" s="12"/>
      <c r="LSY59" s="12"/>
      <c r="LSZ59" s="12"/>
      <c r="LTA59" s="12"/>
      <c r="LTB59" s="12"/>
      <c r="LTC59" s="12"/>
      <c r="LTD59" s="12"/>
      <c r="LTE59" s="12"/>
      <c r="LTF59" s="12"/>
      <c r="LTG59" s="12"/>
      <c r="LTH59" s="12"/>
      <c r="LTI59" s="12"/>
      <c r="LTJ59" s="12"/>
      <c r="LTK59" s="12"/>
      <c r="LTL59" s="12"/>
      <c r="LTM59" s="12"/>
      <c r="LTN59" s="12"/>
      <c r="LTO59" s="12"/>
      <c r="LTP59" s="12"/>
      <c r="LTQ59" s="12"/>
      <c r="LTR59" s="12"/>
      <c r="LTS59" s="12"/>
      <c r="LTT59" s="12"/>
      <c r="LTU59" s="12"/>
      <c r="LTV59" s="12"/>
      <c r="LTW59" s="12"/>
      <c r="LTX59" s="12"/>
      <c r="LTY59" s="12"/>
      <c r="LTZ59" s="12"/>
      <c r="LUA59" s="12"/>
      <c r="LUB59" s="12"/>
      <c r="LUC59" s="12"/>
      <c r="LUD59" s="12"/>
      <c r="LUE59" s="12"/>
      <c r="LUF59" s="12"/>
      <c r="LUG59" s="12"/>
      <c r="LUH59" s="12"/>
      <c r="LUI59" s="12"/>
      <c r="LUJ59" s="12"/>
      <c r="LUK59" s="12"/>
      <c r="LUL59" s="12"/>
      <c r="LUM59" s="12"/>
      <c r="LUN59" s="12"/>
      <c r="LUO59" s="12"/>
      <c r="LUP59" s="12"/>
      <c r="LUQ59" s="12"/>
      <c r="LUR59" s="12"/>
      <c r="LUS59" s="12"/>
      <c r="LUT59" s="12"/>
      <c r="LUU59" s="12"/>
      <c r="LUV59" s="12"/>
      <c r="LUW59" s="12"/>
      <c r="LUX59" s="12"/>
      <c r="LUY59" s="12"/>
      <c r="LUZ59" s="12"/>
      <c r="LVA59" s="12"/>
      <c r="LVB59" s="12"/>
      <c r="LVC59" s="12"/>
      <c r="LVD59" s="12"/>
      <c r="LVE59" s="12"/>
      <c r="LVF59" s="12"/>
      <c r="LVG59" s="12"/>
      <c r="LVH59" s="12"/>
      <c r="LVI59" s="12"/>
      <c r="LVJ59" s="12"/>
      <c r="LVK59" s="12"/>
      <c r="LVL59" s="12"/>
      <c r="LVM59" s="12"/>
      <c r="LVN59" s="12"/>
      <c r="LVO59" s="12"/>
      <c r="LVP59" s="12"/>
      <c r="LVQ59" s="12"/>
      <c r="LVR59" s="12"/>
      <c r="LVS59" s="12"/>
      <c r="LVT59" s="12"/>
      <c r="LVU59" s="12"/>
      <c r="LVV59" s="12"/>
      <c r="LVW59" s="12"/>
      <c r="LVX59" s="12"/>
      <c r="LVY59" s="12"/>
      <c r="LVZ59" s="12"/>
      <c r="LWA59" s="12"/>
      <c r="LWB59" s="12"/>
      <c r="LWC59" s="12"/>
      <c r="LWD59" s="12"/>
      <c r="LWE59" s="12"/>
      <c r="LWF59" s="12"/>
      <c r="LWG59" s="12"/>
      <c r="LWH59" s="12"/>
      <c r="LWI59" s="12"/>
      <c r="LWJ59" s="12"/>
      <c r="LWK59" s="12"/>
      <c r="LWL59" s="12"/>
      <c r="LWM59" s="12"/>
      <c r="LWN59" s="12"/>
      <c r="LWO59" s="12"/>
      <c r="LWP59" s="12"/>
      <c r="LWQ59" s="12"/>
      <c r="LWR59" s="12"/>
      <c r="LWS59" s="12"/>
      <c r="LWT59" s="12"/>
      <c r="LWU59" s="12"/>
      <c r="LWV59" s="12"/>
      <c r="LWW59" s="12"/>
      <c r="LWX59" s="12"/>
      <c r="LWY59" s="12"/>
      <c r="LWZ59" s="12"/>
      <c r="LXA59" s="12"/>
      <c r="LXB59" s="12"/>
      <c r="LXC59" s="12"/>
      <c r="LXD59" s="12"/>
      <c r="LXE59" s="12"/>
      <c r="LXF59" s="12"/>
      <c r="LXG59" s="12"/>
      <c r="LXH59" s="12"/>
      <c r="LXI59" s="12"/>
      <c r="LXJ59" s="12"/>
      <c r="LXK59" s="12"/>
      <c r="LXL59" s="12"/>
      <c r="LXM59" s="12"/>
      <c r="LXN59" s="12"/>
      <c r="LXO59" s="12"/>
      <c r="LXP59" s="12"/>
      <c r="LXQ59" s="12"/>
      <c r="LXR59" s="12"/>
      <c r="LXS59" s="12"/>
      <c r="LXT59" s="12"/>
      <c r="LXU59" s="12"/>
      <c r="LXV59" s="12"/>
      <c r="LXW59" s="12"/>
      <c r="LXX59" s="12"/>
      <c r="LXY59" s="12"/>
      <c r="LXZ59" s="12"/>
      <c r="LYA59" s="12"/>
      <c r="LYB59" s="12"/>
      <c r="LYC59" s="12"/>
      <c r="LYD59" s="12"/>
      <c r="LYE59" s="12"/>
      <c r="LYF59" s="12"/>
      <c r="LYG59" s="12"/>
      <c r="LYH59" s="12"/>
      <c r="LYI59" s="12"/>
      <c r="LYJ59" s="12"/>
      <c r="LYK59" s="12"/>
      <c r="LYL59" s="12"/>
      <c r="LYM59" s="12"/>
      <c r="LYN59" s="12"/>
      <c r="LYO59" s="12"/>
      <c r="LYP59" s="12"/>
      <c r="LYQ59" s="12"/>
      <c r="LYR59" s="12"/>
      <c r="LYS59" s="12"/>
      <c r="LYT59" s="12"/>
      <c r="LYU59" s="12"/>
      <c r="LYV59" s="12"/>
      <c r="LYW59" s="12"/>
      <c r="LYX59" s="12"/>
      <c r="LYY59" s="12"/>
      <c r="LYZ59" s="12"/>
      <c r="LZA59" s="12"/>
      <c r="LZB59" s="12"/>
      <c r="LZC59" s="12"/>
      <c r="LZD59" s="12"/>
      <c r="LZE59" s="12"/>
      <c r="LZF59" s="12"/>
      <c r="LZG59" s="12"/>
      <c r="LZH59" s="12"/>
      <c r="LZI59" s="12"/>
      <c r="LZJ59" s="12"/>
      <c r="LZK59" s="12"/>
      <c r="LZL59" s="12"/>
      <c r="LZM59" s="12"/>
      <c r="LZN59" s="12"/>
      <c r="LZO59" s="12"/>
      <c r="LZP59" s="12"/>
      <c r="LZQ59" s="12"/>
      <c r="LZR59" s="12"/>
      <c r="LZS59" s="12"/>
      <c r="LZT59" s="12"/>
      <c r="LZU59" s="12"/>
      <c r="LZV59" s="12"/>
      <c r="LZW59" s="12"/>
      <c r="LZX59" s="12"/>
      <c r="LZY59" s="12"/>
      <c r="LZZ59" s="12"/>
      <c r="MAA59" s="12"/>
      <c r="MAB59" s="12"/>
      <c r="MAC59" s="12"/>
      <c r="MAD59" s="12"/>
      <c r="MAE59" s="12"/>
      <c r="MAF59" s="12"/>
      <c r="MAG59" s="12"/>
      <c r="MAH59" s="12"/>
      <c r="MAI59" s="12"/>
      <c r="MAJ59" s="12"/>
      <c r="MAK59" s="12"/>
      <c r="MAL59" s="12"/>
      <c r="MAM59" s="12"/>
      <c r="MAN59" s="12"/>
      <c r="MAO59" s="12"/>
      <c r="MAP59" s="12"/>
      <c r="MAQ59" s="12"/>
      <c r="MAR59" s="12"/>
      <c r="MAS59" s="12"/>
      <c r="MAT59" s="12"/>
      <c r="MAU59" s="12"/>
      <c r="MAV59" s="12"/>
      <c r="MAW59" s="12"/>
      <c r="MAX59" s="12"/>
      <c r="MAY59" s="12"/>
      <c r="MAZ59" s="12"/>
      <c r="MBA59" s="12"/>
      <c r="MBB59" s="12"/>
      <c r="MBC59" s="12"/>
      <c r="MBD59" s="12"/>
      <c r="MBE59" s="12"/>
      <c r="MBF59" s="12"/>
      <c r="MBG59" s="12"/>
      <c r="MBH59" s="12"/>
      <c r="MBI59" s="12"/>
      <c r="MBJ59" s="12"/>
      <c r="MBK59" s="12"/>
      <c r="MBL59" s="12"/>
      <c r="MBM59" s="12"/>
      <c r="MBN59" s="12"/>
      <c r="MBO59" s="12"/>
      <c r="MBP59" s="12"/>
      <c r="MBQ59" s="12"/>
      <c r="MBR59" s="12"/>
      <c r="MBS59" s="12"/>
      <c r="MBT59" s="12"/>
      <c r="MBU59" s="12"/>
      <c r="MBV59" s="12"/>
      <c r="MBW59" s="12"/>
      <c r="MBX59" s="12"/>
      <c r="MBY59" s="12"/>
      <c r="MBZ59" s="12"/>
      <c r="MCA59" s="12"/>
      <c r="MCB59" s="12"/>
      <c r="MCC59" s="12"/>
      <c r="MCD59" s="12"/>
      <c r="MCE59" s="12"/>
      <c r="MCF59" s="12"/>
      <c r="MCG59" s="12"/>
      <c r="MCH59" s="12"/>
      <c r="MCI59" s="12"/>
      <c r="MCJ59" s="12"/>
      <c r="MCK59" s="12"/>
      <c r="MCL59" s="12"/>
      <c r="MCM59" s="12"/>
      <c r="MCN59" s="12"/>
      <c r="MCO59" s="12"/>
      <c r="MCP59" s="12"/>
      <c r="MCQ59" s="12"/>
      <c r="MCR59" s="12"/>
      <c r="MCS59" s="12"/>
      <c r="MCT59" s="12"/>
      <c r="MCU59" s="12"/>
      <c r="MCV59" s="12"/>
      <c r="MCW59" s="12"/>
      <c r="MCX59" s="12"/>
      <c r="MCY59" s="12"/>
      <c r="MCZ59" s="12"/>
      <c r="MDA59" s="12"/>
      <c r="MDB59" s="12"/>
      <c r="MDC59" s="12"/>
      <c r="MDD59" s="12"/>
      <c r="MDE59" s="12"/>
      <c r="MDF59" s="12"/>
      <c r="MDG59" s="12"/>
      <c r="MDH59" s="12"/>
      <c r="MDI59" s="12"/>
      <c r="MDJ59" s="12"/>
      <c r="MDK59" s="12"/>
      <c r="MDL59" s="12"/>
      <c r="MDM59" s="12"/>
      <c r="MDN59" s="12"/>
      <c r="MDO59" s="12"/>
      <c r="MDP59" s="12"/>
      <c r="MDQ59" s="12"/>
      <c r="MDR59" s="12"/>
      <c r="MDS59" s="12"/>
      <c r="MDT59" s="12"/>
      <c r="MDU59" s="12"/>
      <c r="MDV59" s="12"/>
      <c r="MDW59" s="12"/>
      <c r="MDX59" s="12"/>
      <c r="MDY59" s="12"/>
      <c r="MDZ59" s="12"/>
      <c r="MEA59" s="12"/>
      <c r="MEB59" s="12"/>
      <c r="MEC59" s="12"/>
      <c r="MED59" s="12"/>
      <c r="MEE59" s="12"/>
      <c r="MEF59" s="12"/>
      <c r="MEG59" s="12"/>
      <c r="MEH59" s="12"/>
      <c r="MEI59" s="12"/>
      <c r="MEJ59" s="12"/>
      <c r="MEK59" s="12"/>
      <c r="MEL59" s="12"/>
      <c r="MEM59" s="12"/>
      <c r="MEN59" s="12"/>
      <c r="MEO59" s="12"/>
      <c r="MEP59" s="12"/>
      <c r="MEQ59" s="12"/>
      <c r="MER59" s="12"/>
      <c r="MES59" s="12"/>
      <c r="MET59" s="12"/>
      <c r="MEU59" s="12"/>
      <c r="MEV59" s="12"/>
      <c r="MEW59" s="12"/>
      <c r="MEX59" s="12"/>
      <c r="MEY59" s="12"/>
      <c r="MEZ59" s="12"/>
      <c r="MFA59" s="12"/>
      <c r="MFB59" s="12"/>
      <c r="MFC59" s="12"/>
      <c r="MFD59" s="12"/>
      <c r="MFE59" s="12"/>
      <c r="MFF59" s="12"/>
      <c r="MFG59" s="12"/>
      <c r="MFH59" s="12"/>
      <c r="MFI59" s="12"/>
      <c r="MFJ59" s="12"/>
      <c r="MFK59" s="12"/>
      <c r="MFL59" s="12"/>
      <c r="MFM59" s="12"/>
      <c r="MFN59" s="12"/>
      <c r="MFO59" s="12"/>
      <c r="MFP59" s="12"/>
      <c r="MFQ59" s="12"/>
      <c r="MFR59" s="12"/>
      <c r="MFS59" s="12"/>
      <c r="MFT59" s="12"/>
      <c r="MFU59" s="12"/>
      <c r="MFV59" s="12"/>
      <c r="MFW59" s="12"/>
      <c r="MFX59" s="12"/>
      <c r="MFY59" s="12"/>
      <c r="MFZ59" s="12"/>
      <c r="MGA59" s="12"/>
      <c r="MGB59" s="12"/>
      <c r="MGC59" s="12"/>
      <c r="MGD59" s="12"/>
      <c r="MGE59" s="12"/>
      <c r="MGF59" s="12"/>
      <c r="MGG59" s="12"/>
      <c r="MGH59" s="12"/>
      <c r="MGI59" s="12"/>
      <c r="MGJ59" s="12"/>
      <c r="MGK59" s="12"/>
      <c r="MGL59" s="12"/>
      <c r="MGM59" s="12"/>
      <c r="MGN59" s="12"/>
      <c r="MGO59" s="12"/>
      <c r="MGP59" s="12"/>
      <c r="MGQ59" s="12"/>
      <c r="MGR59" s="12"/>
      <c r="MGS59" s="12"/>
      <c r="MGT59" s="12"/>
      <c r="MGU59" s="12"/>
      <c r="MGV59" s="12"/>
      <c r="MGW59" s="12"/>
      <c r="MGX59" s="12"/>
      <c r="MGY59" s="12"/>
      <c r="MGZ59" s="12"/>
      <c r="MHA59" s="12"/>
      <c r="MHB59" s="12"/>
      <c r="MHC59" s="12"/>
      <c r="MHD59" s="12"/>
      <c r="MHE59" s="12"/>
      <c r="MHF59" s="12"/>
      <c r="MHG59" s="12"/>
      <c r="MHH59" s="12"/>
      <c r="MHI59" s="12"/>
      <c r="MHJ59" s="12"/>
      <c r="MHK59" s="12"/>
      <c r="MHL59" s="12"/>
      <c r="MHM59" s="12"/>
      <c r="MHN59" s="12"/>
      <c r="MHO59" s="12"/>
      <c r="MHP59" s="12"/>
      <c r="MHQ59" s="12"/>
      <c r="MHR59" s="12"/>
      <c r="MHS59" s="12"/>
      <c r="MHT59" s="12"/>
      <c r="MHU59" s="12"/>
      <c r="MHV59" s="12"/>
      <c r="MHW59" s="12"/>
      <c r="MHX59" s="12"/>
      <c r="MHY59" s="12"/>
      <c r="MHZ59" s="12"/>
      <c r="MIA59" s="12"/>
      <c r="MIB59" s="12"/>
      <c r="MIC59" s="12"/>
      <c r="MID59" s="12"/>
      <c r="MIE59" s="12"/>
      <c r="MIF59" s="12"/>
      <c r="MIG59" s="12"/>
      <c r="MIH59" s="12"/>
      <c r="MII59" s="12"/>
      <c r="MIJ59" s="12"/>
      <c r="MIK59" s="12"/>
      <c r="MIL59" s="12"/>
      <c r="MIM59" s="12"/>
      <c r="MIN59" s="12"/>
      <c r="MIO59" s="12"/>
      <c r="MIP59" s="12"/>
      <c r="MIQ59" s="12"/>
      <c r="MIR59" s="12"/>
      <c r="MIS59" s="12"/>
      <c r="MIT59" s="12"/>
      <c r="MIU59" s="12"/>
      <c r="MIV59" s="12"/>
      <c r="MIW59" s="12"/>
      <c r="MIX59" s="12"/>
      <c r="MIY59" s="12"/>
      <c r="MIZ59" s="12"/>
      <c r="MJA59" s="12"/>
      <c r="MJB59" s="12"/>
      <c r="MJC59" s="12"/>
      <c r="MJD59" s="12"/>
      <c r="MJE59" s="12"/>
      <c r="MJF59" s="12"/>
      <c r="MJG59" s="12"/>
      <c r="MJH59" s="12"/>
      <c r="MJI59" s="12"/>
      <c r="MJJ59" s="12"/>
      <c r="MJK59" s="12"/>
      <c r="MJL59" s="12"/>
      <c r="MJM59" s="12"/>
      <c r="MJN59" s="12"/>
      <c r="MJO59" s="12"/>
      <c r="MJP59" s="12"/>
      <c r="MJQ59" s="12"/>
      <c r="MJR59" s="12"/>
      <c r="MJS59" s="12"/>
      <c r="MJT59" s="12"/>
      <c r="MJU59" s="12"/>
      <c r="MJV59" s="12"/>
      <c r="MJW59" s="12"/>
      <c r="MJX59" s="12"/>
      <c r="MJY59" s="12"/>
      <c r="MJZ59" s="12"/>
      <c r="MKA59" s="12"/>
      <c r="MKB59" s="12"/>
      <c r="MKC59" s="12"/>
      <c r="MKD59" s="12"/>
      <c r="MKE59" s="12"/>
      <c r="MKF59" s="12"/>
      <c r="MKG59" s="12"/>
      <c r="MKH59" s="12"/>
      <c r="MKI59" s="12"/>
      <c r="MKJ59" s="12"/>
      <c r="MKK59" s="12"/>
      <c r="MKL59" s="12"/>
      <c r="MKM59" s="12"/>
      <c r="MKN59" s="12"/>
      <c r="MKO59" s="12"/>
      <c r="MKP59" s="12"/>
      <c r="MKQ59" s="12"/>
      <c r="MKR59" s="12"/>
      <c r="MKS59" s="12"/>
      <c r="MKT59" s="12"/>
      <c r="MKU59" s="12"/>
      <c r="MKV59" s="12"/>
      <c r="MKW59" s="12"/>
      <c r="MKX59" s="12"/>
      <c r="MKY59" s="12"/>
      <c r="MKZ59" s="12"/>
      <c r="MLA59" s="12"/>
      <c r="MLB59" s="12"/>
      <c r="MLC59" s="12"/>
      <c r="MLD59" s="12"/>
      <c r="MLE59" s="12"/>
      <c r="MLF59" s="12"/>
      <c r="MLG59" s="12"/>
      <c r="MLH59" s="12"/>
      <c r="MLI59" s="12"/>
      <c r="MLJ59" s="12"/>
      <c r="MLK59" s="12"/>
      <c r="MLL59" s="12"/>
      <c r="MLM59" s="12"/>
      <c r="MLN59" s="12"/>
      <c r="MLO59" s="12"/>
      <c r="MLP59" s="12"/>
      <c r="MLQ59" s="12"/>
      <c r="MLR59" s="12"/>
      <c r="MLS59" s="12"/>
      <c r="MLT59" s="12"/>
      <c r="MLU59" s="12"/>
      <c r="MLV59" s="12"/>
      <c r="MLW59" s="12"/>
      <c r="MLX59" s="12"/>
      <c r="MLY59" s="12"/>
      <c r="MLZ59" s="12"/>
      <c r="MMA59" s="12"/>
      <c r="MMB59" s="12"/>
      <c r="MMC59" s="12"/>
      <c r="MMD59" s="12"/>
      <c r="MME59" s="12"/>
      <c r="MMF59" s="12"/>
      <c r="MMG59" s="12"/>
      <c r="MMH59" s="12"/>
      <c r="MMI59" s="12"/>
      <c r="MMJ59" s="12"/>
      <c r="MMK59" s="12"/>
      <c r="MML59" s="12"/>
      <c r="MMM59" s="12"/>
      <c r="MMN59" s="12"/>
      <c r="MMO59" s="12"/>
      <c r="MMP59" s="12"/>
      <c r="MMQ59" s="12"/>
      <c r="MMR59" s="12"/>
      <c r="MMS59" s="12"/>
      <c r="MMT59" s="12"/>
      <c r="MMU59" s="12"/>
      <c r="MMV59" s="12"/>
      <c r="MMW59" s="12"/>
      <c r="MMX59" s="12"/>
      <c r="MMY59" s="12"/>
      <c r="MMZ59" s="12"/>
      <c r="MNA59" s="12"/>
      <c r="MNB59" s="12"/>
      <c r="MNC59" s="12"/>
      <c r="MND59" s="12"/>
      <c r="MNE59" s="12"/>
      <c r="MNF59" s="12"/>
      <c r="MNG59" s="12"/>
      <c r="MNH59" s="12"/>
      <c r="MNI59" s="12"/>
      <c r="MNJ59" s="12"/>
      <c r="MNK59" s="12"/>
      <c r="MNL59" s="12"/>
      <c r="MNM59" s="12"/>
      <c r="MNN59" s="12"/>
      <c r="MNO59" s="12"/>
      <c r="MNP59" s="12"/>
      <c r="MNQ59" s="12"/>
      <c r="MNR59" s="12"/>
      <c r="MNS59" s="12"/>
      <c r="MNT59" s="12"/>
      <c r="MNU59" s="12"/>
      <c r="MNV59" s="12"/>
      <c r="MNW59" s="12"/>
      <c r="MNX59" s="12"/>
      <c r="MNY59" s="12"/>
      <c r="MNZ59" s="12"/>
      <c r="MOA59" s="12"/>
      <c r="MOB59" s="12"/>
      <c r="MOC59" s="12"/>
      <c r="MOD59" s="12"/>
      <c r="MOE59" s="12"/>
      <c r="MOF59" s="12"/>
      <c r="MOG59" s="12"/>
      <c r="MOH59" s="12"/>
      <c r="MOI59" s="12"/>
      <c r="MOJ59" s="12"/>
      <c r="MOK59" s="12"/>
      <c r="MOL59" s="12"/>
      <c r="MOM59" s="12"/>
      <c r="MON59" s="12"/>
      <c r="MOO59" s="12"/>
      <c r="MOP59" s="12"/>
      <c r="MOQ59" s="12"/>
      <c r="MOR59" s="12"/>
      <c r="MOS59" s="12"/>
      <c r="MOT59" s="12"/>
      <c r="MOU59" s="12"/>
      <c r="MOV59" s="12"/>
      <c r="MOW59" s="12"/>
      <c r="MOX59" s="12"/>
      <c r="MOY59" s="12"/>
      <c r="MOZ59" s="12"/>
      <c r="MPA59" s="12"/>
      <c r="MPB59" s="12"/>
      <c r="MPC59" s="12"/>
      <c r="MPD59" s="12"/>
      <c r="MPE59" s="12"/>
      <c r="MPF59" s="12"/>
      <c r="MPG59" s="12"/>
      <c r="MPH59" s="12"/>
      <c r="MPI59" s="12"/>
      <c r="MPJ59" s="12"/>
      <c r="MPK59" s="12"/>
      <c r="MPL59" s="12"/>
      <c r="MPM59" s="12"/>
      <c r="MPN59" s="12"/>
      <c r="MPO59" s="12"/>
      <c r="MPP59" s="12"/>
      <c r="MPQ59" s="12"/>
      <c r="MPR59" s="12"/>
      <c r="MPS59" s="12"/>
      <c r="MPT59" s="12"/>
      <c r="MPU59" s="12"/>
      <c r="MPV59" s="12"/>
      <c r="MPW59" s="12"/>
      <c r="MPX59" s="12"/>
      <c r="MPY59" s="12"/>
      <c r="MPZ59" s="12"/>
      <c r="MQA59" s="12"/>
      <c r="MQB59" s="12"/>
      <c r="MQC59" s="12"/>
      <c r="MQD59" s="12"/>
      <c r="MQE59" s="12"/>
      <c r="MQF59" s="12"/>
      <c r="MQG59" s="12"/>
      <c r="MQH59" s="12"/>
      <c r="MQI59" s="12"/>
      <c r="MQJ59" s="12"/>
      <c r="MQK59" s="12"/>
      <c r="MQL59" s="12"/>
      <c r="MQM59" s="12"/>
      <c r="MQN59" s="12"/>
      <c r="MQO59" s="12"/>
      <c r="MQP59" s="12"/>
      <c r="MQQ59" s="12"/>
      <c r="MQR59" s="12"/>
      <c r="MQS59" s="12"/>
      <c r="MQT59" s="12"/>
      <c r="MQU59" s="12"/>
      <c r="MQV59" s="12"/>
      <c r="MQW59" s="12"/>
      <c r="MQX59" s="12"/>
      <c r="MQY59" s="12"/>
      <c r="MQZ59" s="12"/>
      <c r="MRA59" s="12"/>
      <c r="MRB59" s="12"/>
      <c r="MRC59" s="12"/>
      <c r="MRD59" s="12"/>
      <c r="MRE59" s="12"/>
      <c r="MRF59" s="12"/>
      <c r="MRG59" s="12"/>
      <c r="MRH59" s="12"/>
      <c r="MRI59" s="12"/>
      <c r="MRJ59" s="12"/>
      <c r="MRK59" s="12"/>
      <c r="MRL59" s="12"/>
      <c r="MRM59" s="12"/>
      <c r="MRN59" s="12"/>
      <c r="MRO59" s="12"/>
      <c r="MRP59" s="12"/>
      <c r="MRQ59" s="12"/>
      <c r="MRR59" s="12"/>
      <c r="MRS59" s="12"/>
      <c r="MRT59" s="12"/>
      <c r="MRU59" s="12"/>
      <c r="MRV59" s="12"/>
      <c r="MRW59" s="12"/>
      <c r="MRX59" s="12"/>
      <c r="MRY59" s="12"/>
      <c r="MRZ59" s="12"/>
      <c r="MSA59" s="12"/>
      <c r="MSB59" s="12"/>
      <c r="MSC59" s="12"/>
      <c r="MSD59" s="12"/>
      <c r="MSE59" s="12"/>
      <c r="MSF59" s="12"/>
      <c r="MSG59" s="12"/>
      <c r="MSH59" s="12"/>
      <c r="MSI59" s="12"/>
      <c r="MSJ59" s="12"/>
      <c r="MSK59" s="12"/>
      <c r="MSL59" s="12"/>
      <c r="MSM59" s="12"/>
      <c r="MSN59" s="12"/>
      <c r="MSO59" s="12"/>
      <c r="MSP59" s="12"/>
      <c r="MSQ59" s="12"/>
      <c r="MSR59" s="12"/>
      <c r="MSS59" s="12"/>
      <c r="MST59" s="12"/>
      <c r="MSU59" s="12"/>
      <c r="MSV59" s="12"/>
      <c r="MSW59" s="12"/>
      <c r="MSX59" s="12"/>
      <c r="MSY59" s="12"/>
      <c r="MSZ59" s="12"/>
      <c r="MTA59" s="12"/>
      <c r="MTB59" s="12"/>
      <c r="MTC59" s="12"/>
      <c r="MTD59" s="12"/>
      <c r="MTE59" s="12"/>
      <c r="MTF59" s="12"/>
      <c r="MTG59" s="12"/>
      <c r="MTH59" s="12"/>
      <c r="MTI59" s="12"/>
      <c r="MTJ59" s="12"/>
      <c r="MTK59" s="12"/>
      <c r="MTL59" s="12"/>
      <c r="MTM59" s="12"/>
      <c r="MTN59" s="12"/>
      <c r="MTO59" s="12"/>
      <c r="MTP59" s="12"/>
      <c r="MTQ59" s="12"/>
      <c r="MTR59" s="12"/>
      <c r="MTS59" s="12"/>
      <c r="MTT59" s="12"/>
      <c r="MTU59" s="12"/>
      <c r="MTV59" s="12"/>
      <c r="MTW59" s="12"/>
      <c r="MTX59" s="12"/>
      <c r="MTY59" s="12"/>
      <c r="MTZ59" s="12"/>
      <c r="MUA59" s="12"/>
      <c r="MUB59" s="12"/>
      <c r="MUC59" s="12"/>
      <c r="MUD59" s="12"/>
      <c r="MUE59" s="12"/>
      <c r="MUF59" s="12"/>
      <c r="MUG59" s="12"/>
      <c r="MUH59" s="12"/>
      <c r="MUI59" s="12"/>
      <c r="MUJ59" s="12"/>
      <c r="MUK59" s="12"/>
      <c r="MUL59" s="12"/>
      <c r="MUM59" s="12"/>
      <c r="MUN59" s="12"/>
      <c r="MUO59" s="12"/>
      <c r="MUP59" s="12"/>
      <c r="MUQ59" s="12"/>
      <c r="MUR59" s="12"/>
      <c r="MUS59" s="12"/>
      <c r="MUT59" s="12"/>
      <c r="MUU59" s="12"/>
      <c r="MUV59" s="12"/>
      <c r="MUW59" s="12"/>
      <c r="MUX59" s="12"/>
      <c r="MUY59" s="12"/>
      <c r="MUZ59" s="12"/>
      <c r="MVA59" s="12"/>
      <c r="MVB59" s="12"/>
      <c r="MVC59" s="12"/>
      <c r="MVD59" s="12"/>
      <c r="MVE59" s="12"/>
      <c r="MVF59" s="12"/>
      <c r="MVG59" s="12"/>
      <c r="MVH59" s="12"/>
      <c r="MVI59" s="12"/>
      <c r="MVJ59" s="12"/>
      <c r="MVK59" s="12"/>
      <c r="MVL59" s="12"/>
      <c r="MVM59" s="12"/>
      <c r="MVN59" s="12"/>
      <c r="MVO59" s="12"/>
      <c r="MVP59" s="12"/>
      <c r="MVQ59" s="12"/>
      <c r="MVR59" s="12"/>
      <c r="MVS59" s="12"/>
      <c r="MVT59" s="12"/>
      <c r="MVU59" s="12"/>
      <c r="MVV59" s="12"/>
      <c r="MVW59" s="12"/>
      <c r="MVX59" s="12"/>
      <c r="MVY59" s="12"/>
      <c r="MVZ59" s="12"/>
      <c r="MWA59" s="12"/>
      <c r="MWB59" s="12"/>
      <c r="MWC59" s="12"/>
      <c r="MWD59" s="12"/>
      <c r="MWE59" s="12"/>
      <c r="MWF59" s="12"/>
      <c r="MWG59" s="12"/>
      <c r="MWH59" s="12"/>
      <c r="MWI59" s="12"/>
      <c r="MWJ59" s="12"/>
      <c r="MWK59" s="12"/>
      <c r="MWL59" s="12"/>
      <c r="MWM59" s="12"/>
      <c r="MWN59" s="12"/>
      <c r="MWO59" s="12"/>
      <c r="MWP59" s="12"/>
      <c r="MWQ59" s="12"/>
      <c r="MWR59" s="12"/>
      <c r="MWS59" s="12"/>
      <c r="MWT59" s="12"/>
      <c r="MWU59" s="12"/>
      <c r="MWV59" s="12"/>
      <c r="MWW59" s="12"/>
      <c r="MWX59" s="12"/>
      <c r="MWY59" s="12"/>
      <c r="MWZ59" s="12"/>
      <c r="MXA59" s="12"/>
      <c r="MXB59" s="12"/>
      <c r="MXC59" s="12"/>
      <c r="MXD59" s="12"/>
      <c r="MXE59" s="12"/>
      <c r="MXF59" s="12"/>
      <c r="MXG59" s="12"/>
      <c r="MXH59" s="12"/>
      <c r="MXI59" s="12"/>
      <c r="MXJ59" s="12"/>
      <c r="MXK59" s="12"/>
      <c r="MXL59" s="12"/>
      <c r="MXM59" s="12"/>
      <c r="MXN59" s="12"/>
      <c r="MXO59" s="12"/>
      <c r="MXP59" s="12"/>
      <c r="MXQ59" s="12"/>
      <c r="MXR59" s="12"/>
      <c r="MXS59" s="12"/>
      <c r="MXT59" s="12"/>
      <c r="MXU59" s="12"/>
      <c r="MXV59" s="12"/>
      <c r="MXW59" s="12"/>
      <c r="MXX59" s="12"/>
      <c r="MXY59" s="12"/>
      <c r="MXZ59" s="12"/>
      <c r="MYA59" s="12"/>
      <c r="MYB59" s="12"/>
      <c r="MYC59" s="12"/>
      <c r="MYD59" s="12"/>
      <c r="MYE59" s="12"/>
      <c r="MYF59" s="12"/>
      <c r="MYG59" s="12"/>
      <c r="MYH59" s="12"/>
      <c r="MYI59" s="12"/>
      <c r="MYJ59" s="12"/>
      <c r="MYK59" s="12"/>
      <c r="MYL59" s="12"/>
      <c r="MYM59" s="12"/>
      <c r="MYN59" s="12"/>
      <c r="MYO59" s="12"/>
      <c r="MYP59" s="12"/>
      <c r="MYQ59" s="12"/>
      <c r="MYR59" s="12"/>
      <c r="MYS59" s="12"/>
      <c r="MYT59" s="12"/>
      <c r="MYU59" s="12"/>
      <c r="MYV59" s="12"/>
      <c r="MYW59" s="12"/>
      <c r="MYX59" s="12"/>
      <c r="MYY59" s="12"/>
      <c r="MYZ59" s="12"/>
      <c r="MZA59" s="12"/>
      <c r="MZB59" s="12"/>
      <c r="MZC59" s="12"/>
      <c r="MZD59" s="12"/>
      <c r="MZE59" s="12"/>
      <c r="MZF59" s="12"/>
      <c r="MZG59" s="12"/>
      <c r="MZH59" s="12"/>
      <c r="MZI59" s="12"/>
      <c r="MZJ59" s="12"/>
      <c r="MZK59" s="12"/>
      <c r="MZL59" s="12"/>
      <c r="MZM59" s="12"/>
      <c r="MZN59" s="12"/>
      <c r="MZO59" s="12"/>
      <c r="MZP59" s="12"/>
      <c r="MZQ59" s="12"/>
      <c r="MZR59" s="12"/>
      <c r="MZS59" s="12"/>
      <c r="MZT59" s="12"/>
      <c r="MZU59" s="12"/>
      <c r="MZV59" s="12"/>
      <c r="MZW59" s="12"/>
      <c r="MZX59" s="12"/>
      <c r="MZY59" s="12"/>
      <c r="MZZ59" s="12"/>
      <c r="NAA59" s="12"/>
      <c r="NAB59" s="12"/>
      <c r="NAC59" s="12"/>
      <c r="NAD59" s="12"/>
      <c r="NAE59" s="12"/>
      <c r="NAF59" s="12"/>
      <c r="NAG59" s="12"/>
      <c r="NAH59" s="12"/>
      <c r="NAI59" s="12"/>
      <c r="NAJ59" s="12"/>
      <c r="NAK59" s="12"/>
      <c r="NAL59" s="12"/>
      <c r="NAM59" s="12"/>
      <c r="NAN59" s="12"/>
      <c r="NAO59" s="12"/>
      <c r="NAP59" s="12"/>
      <c r="NAQ59" s="12"/>
      <c r="NAR59" s="12"/>
      <c r="NAS59" s="12"/>
      <c r="NAT59" s="12"/>
      <c r="NAU59" s="12"/>
      <c r="NAV59" s="12"/>
      <c r="NAW59" s="12"/>
      <c r="NAX59" s="12"/>
      <c r="NAY59" s="12"/>
      <c r="NAZ59" s="12"/>
      <c r="NBA59" s="12"/>
      <c r="NBB59" s="12"/>
      <c r="NBC59" s="12"/>
      <c r="NBD59" s="12"/>
      <c r="NBE59" s="12"/>
      <c r="NBF59" s="12"/>
      <c r="NBG59" s="12"/>
      <c r="NBH59" s="12"/>
      <c r="NBI59" s="12"/>
      <c r="NBJ59" s="12"/>
      <c r="NBK59" s="12"/>
      <c r="NBL59" s="12"/>
      <c r="NBM59" s="12"/>
      <c r="NBN59" s="12"/>
      <c r="NBO59" s="12"/>
      <c r="NBP59" s="12"/>
      <c r="NBQ59" s="12"/>
      <c r="NBR59" s="12"/>
      <c r="NBS59" s="12"/>
      <c r="NBT59" s="12"/>
      <c r="NBU59" s="12"/>
      <c r="NBV59" s="12"/>
      <c r="NBW59" s="12"/>
      <c r="NBX59" s="12"/>
      <c r="NBY59" s="12"/>
      <c r="NBZ59" s="12"/>
      <c r="NCA59" s="12"/>
      <c r="NCB59" s="12"/>
      <c r="NCC59" s="12"/>
      <c r="NCD59" s="12"/>
      <c r="NCE59" s="12"/>
      <c r="NCF59" s="12"/>
      <c r="NCG59" s="12"/>
      <c r="NCH59" s="12"/>
      <c r="NCI59" s="12"/>
      <c r="NCJ59" s="12"/>
      <c r="NCK59" s="12"/>
      <c r="NCL59" s="12"/>
      <c r="NCM59" s="12"/>
      <c r="NCN59" s="12"/>
      <c r="NCO59" s="12"/>
      <c r="NCP59" s="12"/>
      <c r="NCQ59" s="12"/>
      <c r="NCR59" s="12"/>
      <c r="NCS59" s="12"/>
      <c r="NCT59" s="12"/>
      <c r="NCU59" s="12"/>
      <c r="NCV59" s="12"/>
      <c r="NCW59" s="12"/>
      <c r="NCX59" s="12"/>
      <c r="NCY59" s="12"/>
      <c r="NCZ59" s="12"/>
      <c r="NDA59" s="12"/>
      <c r="NDB59" s="12"/>
      <c r="NDC59" s="12"/>
      <c r="NDD59" s="12"/>
      <c r="NDE59" s="12"/>
      <c r="NDF59" s="12"/>
      <c r="NDG59" s="12"/>
      <c r="NDH59" s="12"/>
      <c r="NDI59" s="12"/>
      <c r="NDJ59" s="12"/>
      <c r="NDK59" s="12"/>
      <c r="NDL59" s="12"/>
      <c r="NDM59" s="12"/>
      <c r="NDN59" s="12"/>
      <c r="NDO59" s="12"/>
      <c r="NDP59" s="12"/>
      <c r="NDQ59" s="12"/>
      <c r="NDR59" s="12"/>
      <c r="NDS59" s="12"/>
      <c r="NDT59" s="12"/>
      <c r="NDU59" s="12"/>
      <c r="NDV59" s="12"/>
      <c r="NDW59" s="12"/>
      <c r="NDX59" s="12"/>
      <c r="NDY59" s="12"/>
      <c r="NDZ59" s="12"/>
      <c r="NEA59" s="12"/>
      <c r="NEB59" s="12"/>
      <c r="NEC59" s="12"/>
      <c r="NED59" s="12"/>
      <c r="NEE59" s="12"/>
      <c r="NEF59" s="12"/>
      <c r="NEG59" s="12"/>
      <c r="NEH59" s="12"/>
      <c r="NEI59" s="12"/>
      <c r="NEJ59" s="12"/>
      <c r="NEK59" s="12"/>
      <c r="NEL59" s="12"/>
      <c r="NEM59" s="12"/>
      <c r="NEN59" s="12"/>
      <c r="NEO59" s="12"/>
      <c r="NEP59" s="12"/>
      <c r="NEQ59" s="12"/>
      <c r="NER59" s="12"/>
      <c r="NES59" s="12"/>
      <c r="NET59" s="12"/>
      <c r="NEU59" s="12"/>
      <c r="NEV59" s="12"/>
      <c r="NEW59" s="12"/>
      <c r="NEX59" s="12"/>
      <c r="NEY59" s="12"/>
      <c r="NEZ59" s="12"/>
      <c r="NFA59" s="12"/>
      <c r="NFB59" s="12"/>
      <c r="NFC59" s="12"/>
      <c r="NFD59" s="12"/>
      <c r="NFE59" s="12"/>
      <c r="NFF59" s="12"/>
      <c r="NFG59" s="12"/>
      <c r="NFH59" s="12"/>
      <c r="NFI59" s="12"/>
      <c r="NFJ59" s="12"/>
      <c r="NFK59" s="12"/>
      <c r="NFL59" s="12"/>
      <c r="NFM59" s="12"/>
      <c r="NFN59" s="12"/>
      <c r="NFO59" s="12"/>
      <c r="NFP59" s="12"/>
      <c r="NFQ59" s="12"/>
      <c r="NFR59" s="12"/>
      <c r="NFS59" s="12"/>
      <c r="NFT59" s="12"/>
      <c r="NFU59" s="12"/>
      <c r="NFV59" s="12"/>
      <c r="NFW59" s="12"/>
      <c r="NFX59" s="12"/>
      <c r="NFY59" s="12"/>
      <c r="NFZ59" s="12"/>
      <c r="NGA59" s="12"/>
      <c r="NGB59" s="12"/>
      <c r="NGC59" s="12"/>
      <c r="NGD59" s="12"/>
      <c r="NGE59" s="12"/>
      <c r="NGF59" s="12"/>
      <c r="NGG59" s="12"/>
      <c r="NGH59" s="12"/>
      <c r="NGI59" s="12"/>
      <c r="NGJ59" s="12"/>
      <c r="NGK59" s="12"/>
      <c r="NGL59" s="12"/>
      <c r="NGM59" s="12"/>
      <c r="NGN59" s="12"/>
      <c r="NGO59" s="12"/>
      <c r="NGP59" s="12"/>
      <c r="NGQ59" s="12"/>
      <c r="NGR59" s="12"/>
      <c r="NGS59" s="12"/>
      <c r="NGT59" s="12"/>
      <c r="NGU59" s="12"/>
      <c r="NGV59" s="12"/>
      <c r="NGW59" s="12"/>
      <c r="NGX59" s="12"/>
      <c r="NGY59" s="12"/>
      <c r="NGZ59" s="12"/>
      <c r="NHA59" s="12"/>
      <c r="NHB59" s="12"/>
      <c r="NHC59" s="12"/>
      <c r="NHD59" s="12"/>
      <c r="NHE59" s="12"/>
      <c r="NHF59" s="12"/>
      <c r="NHG59" s="12"/>
      <c r="NHH59" s="12"/>
      <c r="NHI59" s="12"/>
      <c r="NHJ59" s="12"/>
      <c r="NHK59" s="12"/>
      <c r="NHL59" s="12"/>
      <c r="NHM59" s="12"/>
      <c r="NHN59" s="12"/>
      <c r="NHO59" s="12"/>
      <c r="NHP59" s="12"/>
      <c r="NHQ59" s="12"/>
      <c r="NHR59" s="12"/>
      <c r="NHS59" s="12"/>
      <c r="NHT59" s="12"/>
      <c r="NHU59" s="12"/>
      <c r="NHV59" s="12"/>
      <c r="NHW59" s="12"/>
      <c r="NHX59" s="12"/>
      <c r="NHY59" s="12"/>
      <c r="NHZ59" s="12"/>
      <c r="NIA59" s="12"/>
      <c r="NIB59" s="12"/>
      <c r="NIC59" s="12"/>
      <c r="NID59" s="12"/>
      <c r="NIE59" s="12"/>
      <c r="NIF59" s="12"/>
      <c r="NIG59" s="12"/>
      <c r="NIH59" s="12"/>
      <c r="NII59" s="12"/>
      <c r="NIJ59" s="12"/>
      <c r="NIK59" s="12"/>
      <c r="NIL59" s="12"/>
      <c r="NIM59" s="12"/>
      <c r="NIN59" s="12"/>
      <c r="NIO59" s="12"/>
      <c r="NIP59" s="12"/>
      <c r="NIQ59" s="12"/>
      <c r="NIR59" s="12"/>
      <c r="NIS59" s="12"/>
      <c r="NIT59" s="12"/>
      <c r="NIU59" s="12"/>
      <c r="NIV59" s="12"/>
      <c r="NIW59" s="12"/>
      <c r="NIX59" s="12"/>
      <c r="NIY59" s="12"/>
      <c r="NIZ59" s="12"/>
      <c r="NJA59" s="12"/>
      <c r="NJB59" s="12"/>
      <c r="NJC59" s="12"/>
      <c r="NJD59" s="12"/>
      <c r="NJE59" s="12"/>
      <c r="NJF59" s="12"/>
      <c r="NJG59" s="12"/>
      <c r="NJH59" s="12"/>
      <c r="NJI59" s="12"/>
      <c r="NJJ59" s="12"/>
      <c r="NJK59" s="12"/>
      <c r="NJL59" s="12"/>
      <c r="NJM59" s="12"/>
      <c r="NJN59" s="12"/>
      <c r="NJO59" s="12"/>
      <c r="NJP59" s="12"/>
      <c r="NJQ59" s="12"/>
      <c r="NJR59" s="12"/>
      <c r="NJS59" s="12"/>
      <c r="NJT59" s="12"/>
      <c r="NJU59" s="12"/>
      <c r="NJV59" s="12"/>
      <c r="NJW59" s="12"/>
      <c r="NJX59" s="12"/>
      <c r="NJY59" s="12"/>
      <c r="NJZ59" s="12"/>
      <c r="NKA59" s="12"/>
      <c r="NKB59" s="12"/>
      <c r="NKC59" s="12"/>
      <c r="NKD59" s="12"/>
      <c r="NKE59" s="12"/>
      <c r="NKF59" s="12"/>
      <c r="NKG59" s="12"/>
      <c r="NKH59" s="12"/>
      <c r="NKI59" s="12"/>
      <c r="NKJ59" s="12"/>
      <c r="NKK59" s="12"/>
      <c r="NKL59" s="12"/>
      <c r="NKM59" s="12"/>
      <c r="NKN59" s="12"/>
      <c r="NKO59" s="12"/>
      <c r="NKP59" s="12"/>
      <c r="NKQ59" s="12"/>
      <c r="NKR59" s="12"/>
      <c r="NKS59" s="12"/>
      <c r="NKT59" s="12"/>
      <c r="NKU59" s="12"/>
      <c r="NKV59" s="12"/>
      <c r="NKW59" s="12"/>
      <c r="NKX59" s="12"/>
      <c r="NKY59" s="12"/>
      <c r="NKZ59" s="12"/>
      <c r="NLA59" s="12"/>
      <c r="NLB59" s="12"/>
      <c r="NLC59" s="12"/>
      <c r="NLD59" s="12"/>
      <c r="NLE59" s="12"/>
      <c r="NLF59" s="12"/>
      <c r="NLG59" s="12"/>
      <c r="NLH59" s="12"/>
      <c r="NLI59" s="12"/>
      <c r="NLJ59" s="12"/>
      <c r="NLK59" s="12"/>
      <c r="NLL59" s="12"/>
      <c r="NLM59" s="12"/>
      <c r="NLN59" s="12"/>
      <c r="NLO59" s="12"/>
      <c r="NLP59" s="12"/>
      <c r="NLQ59" s="12"/>
      <c r="NLR59" s="12"/>
      <c r="NLS59" s="12"/>
      <c r="NLT59" s="12"/>
      <c r="NLU59" s="12"/>
      <c r="NLV59" s="12"/>
      <c r="NLW59" s="12"/>
      <c r="NLX59" s="12"/>
      <c r="NLY59" s="12"/>
      <c r="NLZ59" s="12"/>
      <c r="NMA59" s="12"/>
      <c r="NMB59" s="12"/>
      <c r="NMC59" s="12"/>
      <c r="NMD59" s="12"/>
      <c r="NME59" s="12"/>
      <c r="NMF59" s="12"/>
      <c r="NMG59" s="12"/>
      <c r="NMH59" s="12"/>
      <c r="NMI59" s="12"/>
      <c r="NMJ59" s="12"/>
      <c r="NMK59" s="12"/>
      <c r="NML59" s="12"/>
      <c r="NMM59" s="12"/>
      <c r="NMN59" s="12"/>
      <c r="NMO59" s="12"/>
      <c r="NMP59" s="12"/>
      <c r="NMQ59" s="12"/>
      <c r="NMR59" s="12"/>
      <c r="NMS59" s="12"/>
      <c r="NMT59" s="12"/>
      <c r="NMU59" s="12"/>
      <c r="NMV59" s="12"/>
      <c r="NMW59" s="12"/>
      <c r="NMX59" s="12"/>
      <c r="NMY59" s="12"/>
      <c r="NMZ59" s="12"/>
      <c r="NNA59" s="12"/>
      <c r="NNB59" s="12"/>
      <c r="NNC59" s="12"/>
      <c r="NND59" s="12"/>
      <c r="NNE59" s="12"/>
      <c r="NNF59" s="12"/>
      <c r="NNG59" s="12"/>
      <c r="NNH59" s="12"/>
      <c r="NNI59" s="12"/>
      <c r="NNJ59" s="12"/>
      <c r="NNK59" s="12"/>
      <c r="NNL59" s="12"/>
      <c r="NNM59" s="12"/>
      <c r="NNN59" s="12"/>
      <c r="NNO59" s="12"/>
      <c r="NNP59" s="12"/>
      <c r="NNQ59" s="12"/>
      <c r="NNR59" s="12"/>
      <c r="NNS59" s="12"/>
      <c r="NNT59" s="12"/>
      <c r="NNU59" s="12"/>
      <c r="NNV59" s="12"/>
      <c r="NNW59" s="12"/>
      <c r="NNX59" s="12"/>
      <c r="NNY59" s="12"/>
      <c r="NNZ59" s="12"/>
      <c r="NOA59" s="12"/>
      <c r="NOB59" s="12"/>
      <c r="NOC59" s="12"/>
      <c r="NOD59" s="12"/>
      <c r="NOE59" s="12"/>
      <c r="NOF59" s="12"/>
      <c r="NOG59" s="12"/>
      <c r="NOH59" s="12"/>
      <c r="NOI59" s="12"/>
      <c r="NOJ59" s="12"/>
      <c r="NOK59" s="12"/>
      <c r="NOL59" s="12"/>
      <c r="NOM59" s="12"/>
      <c r="NON59" s="12"/>
      <c r="NOO59" s="12"/>
      <c r="NOP59" s="12"/>
      <c r="NOQ59" s="12"/>
      <c r="NOR59" s="12"/>
      <c r="NOS59" s="12"/>
      <c r="NOT59" s="12"/>
      <c r="NOU59" s="12"/>
      <c r="NOV59" s="12"/>
      <c r="NOW59" s="12"/>
      <c r="NOX59" s="12"/>
      <c r="NOY59" s="12"/>
      <c r="NOZ59" s="12"/>
      <c r="NPA59" s="12"/>
      <c r="NPB59" s="12"/>
      <c r="NPC59" s="12"/>
      <c r="NPD59" s="12"/>
      <c r="NPE59" s="12"/>
      <c r="NPF59" s="12"/>
      <c r="NPG59" s="12"/>
      <c r="NPH59" s="12"/>
      <c r="NPI59" s="12"/>
      <c r="NPJ59" s="12"/>
      <c r="NPK59" s="12"/>
      <c r="NPL59" s="12"/>
      <c r="NPM59" s="12"/>
      <c r="NPN59" s="12"/>
      <c r="NPO59" s="12"/>
      <c r="NPP59" s="12"/>
      <c r="NPQ59" s="12"/>
      <c r="NPR59" s="12"/>
      <c r="NPS59" s="12"/>
      <c r="NPT59" s="12"/>
      <c r="NPU59" s="12"/>
      <c r="NPV59" s="12"/>
      <c r="NPW59" s="12"/>
      <c r="NPX59" s="12"/>
      <c r="NPY59" s="12"/>
      <c r="NPZ59" s="12"/>
      <c r="NQA59" s="12"/>
      <c r="NQB59" s="12"/>
      <c r="NQC59" s="12"/>
      <c r="NQD59" s="12"/>
      <c r="NQE59" s="12"/>
      <c r="NQF59" s="12"/>
      <c r="NQG59" s="12"/>
      <c r="NQH59" s="12"/>
      <c r="NQI59" s="12"/>
      <c r="NQJ59" s="12"/>
      <c r="NQK59" s="12"/>
      <c r="NQL59" s="12"/>
      <c r="NQM59" s="12"/>
      <c r="NQN59" s="12"/>
      <c r="NQO59" s="12"/>
      <c r="NQP59" s="12"/>
      <c r="NQQ59" s="12"/>
      <c r="NQR59" s="12"/>
      <c r="NQS59" s="12"/>
      <c r="NQT59" s="12"/>
      <c r="NQU59" s="12"/>
      <c r="NQV59" s="12"/>
      <c r="NQW59" s="12"/>
      <c r="NQX59" s="12"/>
      <c r="NQY59" s="12"/>
      <c r="NQZ59" s="12"/>
      <c r="NRA59" s="12"/>
      <c r="NRB59" s="12"/>
      <c r="NRC59" s="12"/>
      <c r="NRD59" s="12"/>
      <c r="NRE59" s="12"/>
      <c r="NRF59" s="12"/>
      <c r="NRG59" s="12"/>
      <c r="NRH59" s="12"/>
      <c r="NRI59" s="12"/>
      <c r="NRJ59" s="12"/>
      <c r="NRK59" s="12"/>
      <c r="NRL59" s="12"/>
      <c r="NRM59" s="12"/>
      <c r="NRN59" s="12"/>
      <c r="NRO59" s="12"/>
      <c r="NRP59" s="12"/>
      <c r="NRQ59" s="12"/>
      <c r="NRR59" s="12"/>
      <c r="NRS59" s="12"/>
      <c r="NRT59" s="12"/>
      <c r="NRU59" s="12"/>
      <c r="NRV59" s="12"/>
      <c r="NRW59" s="12"/>
      <c r="NRX59" s="12"/>
      <c r="NRY59" s="12"/>
      <c r="NRZ59" s="12"/>
      <c r="NSA59" s="12"/>
      <c r="NSB59" s="12"/>
      <c r="NSC59" s="12"/>
      <c r="NSD59" s="12"/>
      <c r="NSE59" s="12"/>
      <c r="NSF59" s="12"/>
      <c r="NSG59" s="12"/>
      <c r="NSH59" s="12"/>
      <c r="NSI59" s="12"/>
      <c r="NSJ59" s="12"/>
      <c r="NSK59" s="12"/>
      <c r="NSL59" s="12"/>
      <c r="NSM59" s="12"/>
      <c r="NSN59" s="12"/>
      <c r="NSO59" s="12"/>
      <c r="NSP59" s="12"/>
      <c r="NSQ59" s="12"/>
      <c r="NSR59" s="12"/>
      <c r="NSS59" s="12"/>
      <c r="NST59" s="12"/>
      <c r="NSU59" s="12"/>
      <c r="NSV59" s="12"/>
      <c r="NSW59" s="12"/>
      <c r="NSX59" s="12"/>
      <c r="NSY59" s="12"/>
      <c r="NSZ59" s="12"/>
      <c r="NTA59" s="12"/>
      <c r="NTB59" s="12"/>
      <c r="NTC59" s="12"/>
      <c r="NTD59" s="12"/>
      <c r="NTE59" s="12"/>
      <c r="NTF59" s="12"/>
      <c r="NTG59" s="12"/>
      <c r="NTH59" s="12"/>
      <c r="NTI59" s="12"/>
      <c r="NTJ59" s="12"/>
      <c r="NTK59" s="12"/>
      <c r="NTL59" s="12"/>
      <c r="NTM59" s="12"/>
      <c r="NTN59" s="12"/>
      <c r="NTO59" s="12"/>
      <c r="NTP59" s="12"/>
      <c r="NTQ59" s="12"/>
      <c r="NTR59" s="12"/>
      <c r="NTS59" s="12"/>
      <c r="NTT59" s="12"/>
      <c r="NTU59" s="12"/>
      <c r="NTV59" s="12"/>
      <c r="NTW59" s="12"/>
      <c r="NTX59" s="12"/>
      <c r="NTY59" s="12"/>
      <c r="NTZ59" s="12"/>
      <c r="NUA59" s="12"/>
      <c r="NUB59" s="12"/>
      <c r="NUC59" s="12"/>
      <c r="NUD59" s="12"/>
      <c r="NUE59" s="12"/>
      <c r="NUF59" s="12"/>
      <c r="NUG59" s="12"/>
      <c r="NUH59" s="12"/>
      <c r="NUI59" s="12"/>
      <c r="NUJ59" s="12"/>
      <c r="NUK59" s="12"/>
      <c r="NUL59" s="12"/>
      <c r="NUM59" s="12"/>
      <c r="NUN59" s="12"/>
      <c r="NUO59" s="12"/>
      <c r="NUP59" s="12"/>
      <c r="NUQ59" s="12"/>
      <c r="NUR59" s="12"/>
      <c r="NUS59" s="12"/>
      <c r="NUT59" s="12"/>
      <c r="NUU59" s="12"/>
      <c r="NUV59" s="12"/>
      <c r="NUW59" s="12"/>
      <c r="NUX59" s="12"/>
      <c r="NUY59" s="12"/>
      <c r="NUZ59" s="12"/>
      <c r="NVA59" s="12"/>
      <c r="NVB59" s="12"/>
      <c r="NVC59" s="12"/>
      <c r="NVD59" s="12"/>
      <c r="NVE59" s="12"/>
      <c r="NVF59" s="12"/>
      <c r="NVG59" s="12"/>
      <c r="NVH59" s="12"/>
      <c r="NVI59" s="12"/>
      <c r="NVJ59" s="12"/>
      <c r="NVK59" s="12"/>
      <c r="NVL59" s="12"/>
      <c r="NVM59" s="12"/>
      <c r="NVN59" s="12"/>
      <c r="NVO59" s="12"/>
      <c r="NVP59" s="12"/>
      <c r="NVQ59" s="12"/>
      <c r="NVR59" s="12"/>
      <c r="NVS59" s="12"/>
      <c r="NVT59" s="12"/>
      <c r="NVU59" s="12"/>
      <c r="NVV59" s="12"/>
      <c r="NVW59" s="12"/>
      <c r="NVX59" s="12"/>
      <c r="NVY59" s="12"/>
      <c r="NVZ59" s="12"/>
      <c r="NWA59" s="12"/>
      <c r="NWB59" s="12"/>
      <c r="NWC59" s="12"/>
      <c r="NWD59" s="12"/>
      <c r="NWE59" s="12"/>
      <c r="NWF59" s="12"/>
      <c r="NWG59" s="12"/>
      <c r="NWH59" s="12"/>
      <c r="NWI59" s="12"/>
      <c r="NWJ59" s="12"/>
      <c r="NWK59" s="12"/>
      <c r="NWL59" s="12"/>
      <c r="NWM59" s="12"/>
      <c r="NWN59" s="12"/>
      <c r="NWO59" s="12"/>
      <c r="NWP59" s="12"/>
      <c r="NWQ59" s="12"/>
      <c r="NWR59" s="12"/>
      <c r="NWS59" s="12"/>
      <c r="NWT59" s="12"/>
      <c r="NWU59" s="12"/>
      <c r="NWV59" s="12"/>
      <c r="NWW59" s="12"/>
      <c r="NWX59" s="12"/>
      <c r="NWY59" s="12"/>
      <c r="NWZ59" s="12"/>
      <c r="NXA59" s="12"/>
      <c r="NXB59" s="12"/>
      <c r="NXC59" s="12"/>
      <c r="NXD59" s="12"/>
      <c r="NXE59" s="12"/>
      <c r="NXF59" s="12"/>
      <c r="NXG59" s="12"/>
      <c r="NXH59" s="12"/>
      <c r="NXI59" s="12"/>
      <c r="NXJ59" s="12"/>
      <c r="NXK59" s="12"/>
      <c r="NXL59" s="12"/>
      <c r="NXM59" s="12"/>
      <c r="NXN59" s="12"/>
      <c r="NXO59" s="12"/>
      <c r="NXP59" s="12"/>
      <c r="NXQ59" s="12"/>
      <c r="NXR59" s="12"/>
      <c r="NXS59" s="12"/>
      <c r="NXT59" s="12"/>
      <c r="NXU59" s="12"/>
      <c r="NXV59" s="12"/>
      <c r="NXW59" s="12"/>
      <c r="NXX59" s="12"/>
      <c r="NXY59" s="12"/>
      <c r="NXZ59" s="12"/>
      <c r="NYA59" s="12"/>
      <c r="NYB59" s="12"/>
      <c r="NYC59" s="12"/>
      <c r="NYD59" s="12"/>
      <c r="NYE59" s="12"/>
      <c r="NYF59" s="12"/>
      <c r="NYG59" s="12"/>
      <c r="NYH59" s="12"/>
      <c r="NYI59" s="12"/>
      <c r="NYJ59" s="12"/>
      <c r="NYK59" s="12"/>
      <c r="NYL59" s="12"/>
      <c r="NYM59" s="12"/>
      <c r="NYN59" s="12"/>
      <c r="NYO59" s="12"/>
      <c r="NYP59" s="12"/>
      <c r="NYQ59" s="12"/>
      <c r="NYR59" s="12"/>
      <c r="NYS59" s="12"/>
      <c r="NYT59" s="12"/>
      <c r="NYU59" s="12"/>
      <c r="NYV59" s="12"/>
      <c r="NYW59" s="12"/>
      <c r="NYX59" s="12"/>
      <c r="NYY59" s="12"/>
      <c r="NYZ59" s="12"/>
      <c r="NZA59" s="12"/>
      <c r="NZB59" s="12"/>
      <c r="NZC59" s="12"/>
      <c r="NZD59" s="12"/>
      <c r="NZE59" s="12"/>
      <c r="NZF59" s="12"/>
      <c r="NZG59" s="12"/>
      <c r="NZH59" s="12"/>
      <c r="NZI59" s="12"/>
      <c r="NZJ59" s="12"/>
      <c r="NZK59" s="12"/>
      <c r="NZL59" s="12"/>
      <c r="NZM59" s="12"/>
      <c r="NZN59" s="12"/>
      <c r="NZO59" s="12"/>
      <c r="NZP59" s="12"/>
      <c r="NZQ59" s="12"/>
      <c r="NZR59" s="12"/>
      <c r="NZS59" s="12"/>
      <c r="NZT59" s="12"/>
      <c r="NZU59" s="12"/>
      <c r="NZV59" s="12"/>
      <c r="NZW59" s="12"/>
      <c r="NZX59" s="12"/>
      <c r="NZY59" s="12"/>
      <c r="NZZ59" s="12"/>
      <c r="OAA59" s="12"/>
      <c r="OAB59" s="12"/>
      <c r="OAC59" s="12"/>
      <c r="OAD59" s="12"/>
      <c r="OAE59" s="12"/>
      <c r="OAF59" s="12"/>
      <c r="OAG59" s="12"/>
      <c r="OAH59" s="12"/>
      <c r="OAI59" s="12"/>
      <c r="OAJ59" s="12"/>
      <c r="OAK59" s="12"/>
      <c r="OAL59" s="12"/>
      <c r="OAM59" s="12"/>
      <c r="OAN59" s="12"/>
      <c r="OAO59" s="12"/>
      <c r="OAP59" s="12"/>
      <c r="OAQ59" s="12"/>
      <c r="OAR59" s="12"/>
      <c r="OAS59" s="12"/>
      <c r="OAT59" s="12"/>
      <c r="OAU59" s="12"/>
      <c r="OAV59" s="12"/>
      <c r="OAW59" s="12"/>
      <c r="OAX59" s="12"/>
      <c r="OAY59" s="12"/>
      <c r="OAZ59" s="12"/>
      <c r="OBA59" s="12"/>
      <c r="OBB59" s="12"/>
      <c r="OBC59" s="12"/>
      <c r="OBD59" s="12"/>
      <c r="OBE59" s="12"/>
      <c r="OBF59" s="12"/>
      <c r="OBG59" s="12"/>
      <c r="OBH59" s="12"/>
      <c r="OBI59" s="12"/>
      <c r="OBJ59" s="12"/>
      <c r="OBK59" s="12"/>
      <c r="OBL59" s="12"/>
      <c r="OBM59" s="12"/>
      <c r="OBN59" s="12"/>
      <c r="OBO59" s="12"/>
      <c r="OBP59" s="12"/>
      <c r="OBQ59" s="12"/>
      <c r="OBR59" s="12"/>
      <c r="OBS59" s="12"/>
      <c r="OBT59" s="12"/>
      <c r="OBU59" s="12"/>
      <c r="OBV59" s="12"/>
      <c r="OBW59" s="12"/>
      <c r="OBX59" s="12"/>
      <c r="OBY59" s="12"/>
      <c r="OBZ59" s="12"/>
      <c r="OCA59" s="12"/>
      <c r="OCB59" s="12"/>
      <c r="OCC59" s="12"/>
      <c r="OCD59" s="12"/>
      <c r="OCE59" s="12"/>
      <c r="OCF59" s="12"/>
      <c r="OCG59" s="12"/>
      <c r="OCH59" s="12"/>
      <c r="OCI59" s="12"/>
      <c r="OCJ59" s="12"/>
      <c r="OCK59" s="12"/>
      <c r="OCL59" s="12"/>
      <c r="OCM59" s="12"/>
      <c r="OCN59" s="12"/>
      <c r="OCO59" s="12"/>
      <c r="OCP59" s="12"/>
      <c r="OCQ59" s="12"/>
      <c r="OCR59" s="12"/>
      <c r="OCS59" s="12"/>
      <c r="OCT59" s="12"/>
      <c r="OCU59" s="12"/>
      <c r="OCV59" s="12"/>
      <c r="OCW59" s="12"/>
      <c r="OCX59" s="12"/>
      <c r="OCY59" s="12"/>
      <c r="OCZ59" s="12"/>
      <c r="ODA59" s="12"/>
      <c r="ODB59" s="12"/>
      <c r="ODC59" s="12"/>
      <c r="ODD59" s="12"/>
      <c r="ODE59" s="12"/>
      <c r="ODF59" s="12"/>
      <c r="ODG59" s="12"/>
      <c r="ODH59" s="12"/>
      <c r="ODI59" s="12"/>
      <c r="ODJ59" s="12"/>
      <c r="ODK59" s="12"/>
      <c r="ODL59" s="12"/>
      <c r="ODM59" s="12"/>
      <c r="ODN59" s="12"/>
      <c r="ODO59" s="12"/>
      <c r="ODP59" s="12"/>
      <c r="ODQ59" s="12"/>
      <c r="ODR59" s="12"/>
      <c r="ODS59" s="12"/>
      <c r="ODT59" s="12"/>
      <c r="ODU59" s="12"/>
      <c r="ODV59" s="12"/>
      <c r="ODW59" s="12"/>
      <c r="ODX59" s="12"/>
      <c r="ODY59" s="12"/>
      <c r="ODZ59" s="12"/>
      <c r="OEA59" s="12"/>
      <c r="OEB59" s="12"/>
      <c r="OEC59" s="12"/>
      <c r="OED59" s="12"/>
      <c r="OEE59" s="12"/>
      <c r="OEF59" s="12"/>
      <c r="OEG59" s="12"/>
      <c r="OEH59" s="12"/>
      <c r="OEI59" s="12"/>
      <c r="OEJ59" s="12"/>
      <c r="OEK59" s="12"/>
      <c r="OEL59" s="12"/>
      <c r="OEM59" s="12"/>
      <c r="OEN59" s="12"/>
      <c r="OEO59" s="12"/>
      <c r="OEP59" s="12"/>
      <c r="OEQ59" s="12"/>
      <c r="OER59" s="12"/>
      <c r="OES59" s="12"/>
      <c r="OET59" s="12"/>
      <c r="OEU59" s="12"/>
      <c r="OEV59" s="12"/>
      <c r="OEW59" s="12"/>
      <c r="OEX59" s="12"/>
      <c r="OEY59" s="12"/>
      <c r="OEZ59" s="12"/>
      <c r="OFA59" s="12"/>
      <c r="OFB59" s="12"/>
      <c r="OFC59" s="12"/>
      <c r="OFD59" s="12"/>
      <c r="OFE59" s="12"/>
      <c r="OFF59" s="12"/>
      <c r="OFG59" s="12"/>
      <c r="OFH59" s="12"/>
      <c r="OFI59" s="12"/>
      <c r="OFJ59" s="12"/>
      <c r="OFK59" s="12"/>
      <c r="OFL59" s="12"/>
      <c r="OFM59" s="12"/>
      <c r="OFN59" s="12"/>
      <c r="OFO59" s="12"/>
      <c r="OFP59" s="12"/>
      <c r="OFQ59" s="12"/>
      <c r="OFR59" s="12"/>
      <c r="OFS59" s="12"/>
      <c r="OFT59" s="12"/>
      <c r="OFU59" s="12"/>
      <c r="OFV59" s="12"/>
      <c r="OFW59" s="12"/>
      <c r="OFX59" s="12"/>
      <c r="OFY59" s="12"/>
      <c r="OFZ59" s="12"/>
      <c r="OGA59" s="12"/>
      <c r="OGB59" s="12"/>
      <c r="OGC59" s="12"/>
      <c r="OGD59" s="12"/>
      <c r="OGE59" s="12"/>
      <c r="OGF59" s="12"/>
      <c r="OGG59" s="12"/>
      <c r="OGH59" s="12"/>
      <c r="OGI59" s="12"/>
      <c r="OGJ59" s="12"/>
      <c r="OGK59" s="12"/>
      <c r="OGL59" s="12"/>
      <c r="OGM59" s="12"/>
      <c r="OGN59" s="12"/>
      <c r="OGO59" s="12"/>
      <c r="OGP59" s="12"/>
      <c r="OGQ59" s="12"/>
      <c r="OGR59" s="12"/>
      <c r="OGS59" s="12"/>
      <c r="OGT59" s="12"/>
      <c r="OGU59" s="12"/>
      <c r="OGV59" s="12"/>
      <c r="OGW59" s="12"/>
      <c r="OGX59" s="12"/>
      <c r="OGY59" s="12"/>
      <c r="OGZ59" s="12"/>
      <c r="OHA59" s="12"/>
      <c r="OHB59" s="12"/>
      <c r="OHC59" s="12"/>
      <c r="OHD59" s="12"/>
      <c r="OHE59" s="12"/>
      <c r="OHF59" s="12"/>
      <c r="OHG59" s="12"/>
      <c r="OHH59" s="12"/>
      <c r="OHI59" s="12"/>
      <c r="OHJ59" s="12"/>
      <c r="OHK59" s="12"/>
      <c r="OHL59" s="12"/>
      <c r="OHM59" s="12"/>
      <c r="OHN59" s="12"/>
      <c r="OHO59" s="12"/>
      <c r="OHP59" s="12"/>
      <c r="OHQ59" s="12"/>
      <c r="OHR59" s="12"/>
      <c r="OHS59" s="12"/>
      <c r="OHT59" s="12"/>
      <c r="OHU59" s="12"/>
      <c r="OHV59" s="12"/>
      <c r="OHW59" s="12"/>
      <c r="OHX59" s="12"/>
      <c r="OHY59" s="12"/>
      <c r="OHZ59" s="12"/>
      <c r="OIA59" s="12"/>
      <c r="OIB59" s="12"/>
      <c r="OIC59" s="12"/>
      <c r="OID59" s="12"/>
      <c r="OIE59" s="12"/>
      <c r="OIF59" s="12"/>
      <c r="OIG59" s="12"/>
      <c r="OIH59" s="12"/>
      <c r="OII59" s="12"/>
      <c r="OIJ59" s="12"/>
      <c r="OIK59" s="12"/>
      <c r="OIL59" s="12"/>
      <c r="OIM59" s="12"/>
      <c r="OIN59" s="12"/>
      <c r="OIO59" s="12"/>
      <c r="OIP59" s="12"/>
      <c r="OIQ59" s="12"/>
      <c r="OIR59" s="12"/>
      <c r="OIS59" s="12"/>
      <c r="OIT59" s="12"/>
      <c r="OIU59" s="12"/>
      <c r="OIV59" s="12"/>
      <c r="OIW59" s="12"/>
      <c r="OIX59" s="12"/>
      <c r="OIY59" s="12"/>
      <c r="OIZ59" s="12"/>
      <c r="OJA59" s="12"/>
      <c r="OJB59" s="12"/>
      <c r="OJC59" s="12"/>
      <c r="OJD59" s="12"/>
      <c r="OJE59" s="12"/>
      <c r="OJF59" s="12"/>
      <c r="OJG59" s="12"/>
      <c r="OJH59" s="12"/>
      <c r="OJI59" s="12"/>
      <c r="OJJ59" s="12"/>
      <c r="OJK59" s="12"/>
      <c r="OJL59" s="12"/>
      <c r="OJM59" s="12"/>
      <c r="OJN59" s="12"/>
      <c r="OJO59" s="12"/>
      <c r="OJP59" s="12"/>
      <c r="OJQ59" s="12"/>
      <c r="OJR59" s="12"/>
      <c r="OJS59" s="12"/>
      <c r="OJT59" s="12"/>
      <c r="OJU59" s="12"/>
      <c r="OJV59" s="12"/>
      <c r="OJW59" s="12"/>
      <c r="OJX59" s="12"/>
      <c r="OJY59" s="12"/>
      <c r="OJZ59" s="12"/>
      <c r="OKA59" s="12"/>
      <c r="OKB59" s="12"/>
      <c r="OKC59" s="12"/>
      <c r="OKD59" s="12"/>
      <c r="OKE59" s="12"/>
      <c r="OKF59" s="12"/>
      <c r="OKG59" s="12"/>
      <c r="OKH59" s="12"/>
      <c r="OKI59" s="12"/>
      <c r="OKJ59" s="12"/>
      <c r="OKK59" s="12"/>
      <c r="OKL59" s="12"/>
      <c r="OKM59" s="12"/>
      <c r="OKN59" s="12"/>
      <c r="OKO59" s="12"/>
      <c r="OKP59" s="12"/>
      <c r="OKQ59" s="12"/>
      <c r="OKR59" s="12"/>
      <c r="OKS59" s="12"/>
      <c r="OKT59" s="12"/>
      <c r="OKU59" s="12"/>
      <c r="OKV59" s="12"/>
      <c r="OKW59" s="12"/>
      <c r="OKX59" s="12"/>
      <c r="OKY59" s="12"/>
      <c r="OKZ59" s="12"/>
      <c r="OLA59" s="12"/>
      <c r="OLB59" s="12"/>
      <c r="OLC59" s="12"/>
      <c r="OLD59" s="12"/>
      <c r="OLE59" s="12"/>
      <c r="OLF59" s="12"/>
      <c r="OLG59" s="12"/>
      <c r="OLH59" s="12"/>
      <c r="OLI59" s="12"/>
      <c r="OLJ59" s="12"/>
      <c r="OLK59" s="12"/>
      <c r="OLL59" s="12"/>
      <c r="OLM59" s="12"/>
      <c r="OLN59" s="12"/>
      <c r="OLO59" s="12"/>
      <c r="OLP59" s="12"/>
      <c r="OLQ59" s="12"/>
      <c r="OLR59" s="12"/>
      <c r="OLS59" s="12"/>
      <c r="OLT59" s="12"/>
      <c r="OLU59" s="12"/>
      <c r="OLV59" s="12"/>
      <c r="OLW59" s="12"/>
      <c r="OLX59" s="12"/>
      <c r="OLY59" s="12"/>
      <c r="OLZ59" s="12"/>
      <c r="OMA59" s="12"/>
      <c r="OMB59" s="12"/>
      <c r="OMC59" s="12"/>
      <c r="OMD59" s="12"/>
      <c r="OME59" s="12"/>
      <c r="OMF59" s="12"/>
      <c r="OMG59" s="12"/>
      <c r="OMH59" s="12"/>
      <c r="OMI59" s="12"/>
      <c r="OMJ59" s="12"/>
      <c r="OMK59" s="12"/>
      <c r="OML59" s="12"/>
      <c r="OMM59" s="12"/>
      <c r="OMN59" s="12"/>
      <c r="OMO59" s="12"/>
      <c r="OMP59" s="12"/>
      <c r="OMQ59" s="12"/>
      <c r="OMR59" s="12"/>
      <c r="OMS59" s="12"/>
      <c r="OMT59" s="12"/>
      <c r="OMU59" s="12"/>
      <c r="OMV59" s="12"/>
      <c r="OMW59" s="12"/>
      <c r="OMX59" s="12"/>
      <c r="OMY59" s="12"/>
      <c r="OMZ59" s="12"/>
      <c r="ONA59" s="12"/>
      <c r="ONB59" s="12"/>
      <c r="ONC59" s="12"/>
      <c r="OND59" s="12"/>
      <c r="ONE59" s="12"/>
      <c r="ONF59" s="12"/>
      <c r="ONG59" s="12"/>
      <c r="ONH59" s="12"/>
      <c r="ONI59" s="12"/>
      <c r="ONJ59" s="12"/>
      <c r="ONK59" s="12"/>
      <c r="ONL59" s="12"/>
      <c r="ONM59" s="12"/>
      <c r="ONN59" s="12"/>
      <c r="ONO59" s="12"/>
      <c r="ONP59" s="12"/>
      <c r="ONQ59" s="12"/>
      <c r="ONR59" s="12"/>
      <c r="ONS59" s="12"/>
      <c r="ONT59" s="12"/>
      <c r="ONU59" s="12"/>
      <c r="ONV59" s="12"/>
      <c r="ONW59" s="12"/>
      <c r="ONX59" s="12"/>
      <c r="ONY59" s="12"/>
      <c r="ONZ59" s="12"/>
      <c r="OOA59" s="12"/>
      <c r="OOB59" s="12"/>
      <c r="OOC59" s="12"/>
      <c r="OOD59" s="12"/>
      <c r="OOE59" s="12"/>
      <c r="OOF59" s="12"/>
      <c r="OOG59" s="12"/>
      <c r="OOH59" s="12"/>
      <c r="OOI59" s="12"/>
      <c r="OOJ59" s="12"/>
      <c r="OOK59" s="12"/>
      <c r="OOL59" s="12"/>
      <c r="OOM59" s="12"/>
      <c r="OON59" s="12"/>
      <c r="OOO59" s="12"/>
      <c r="OOP59" s="12"/>
      <c r="OOQ59" s="12"/>
      <c r="OOR59" s="12"/>
      <c r="OOS59" s="12"/>
      <c r="OOT59" s="12"/>
      <c r="OOU59" s="12"/>
      <c r="OOV59" s="12"/>
      <c r="OOW59" s="12"/>
      <c r="OOX59" s="12"/>
      <c r="OOY59" s="12"/>
      <c r="OOZ59" s="12"/>
      <c r="OPA59" s="12"/>
      <c r="OPB59" s="12"/>
      <c r="OPC59" s="12"/>
      <c r="OPD59" s="12"/>
      <c r="OPE59" s="12"/>
      <c r="OPF59" s="12"/>
      <c r="OPG59" s="12"/>
      <c r="OPH59" s="12"/>
      <c r="OPI59" s="12"/>
      <c r="OPJ59" s="12"/>
      <c r="OPK59" s="12"/>
      <c r="OPL59" s="12"/>
      <c r="OPM59" s="12"/>
      <c r="OPN59" s="12"/>
      <c r="OPO59" s="12"/>
      <c r="OPP59" s="12"/>
      <c r="OPQ59" s="12"/>
      <c r="OPR59" s="12"/>
      <c r="OPS59" s="12"/>
      <c r="OPT59" s="12"/>
      <c r="OPU59" s="12"/>
      <c r="OPV59" s="12"/>
      <c r="OPW59" s="12"/>
      <c r="OPX59" s="12"/>
      <c r="OPY59" s="12"/>
      <c r="OPZ59" s="12"/>
      <c r="OQA59" s="12"/>
      <c r="OQB59" s="12"/>
      <c r="OQC59" s="12"/>
      <c r="OQD59" s="12"/>
      <c r="OQE59" s="12"/>
      <c r="OQF59" s="12"/>
      <c r="OQG59" s="12"/>
      <c r="OQH59" s="12"/>
      <c r="OQI59" s="12"/>
      <c r="OQJ59" s="12"/>
      <c r="OQK59" s="12"/>
      <c r="OQL59" s="12"/>
      <c r="OQM59" s="12"/>
      <c r="OQN59" s="12"/>
      <c r="OQO59" s="12"/>
      <c r="OQP59" s="12"/>
      <c r="OQQ59" s="12"/>
      <c r="OQR59" s="12"/>
      <c r="OQS59" s="12"/>
      <c r="OQT59" s="12"/>
      <c r="OQU59" s="12"/>
      <c r="OQV59" s="12"/>
      <c r="OQW59" s="12"/>
      <c r="OQX59" s="12"/>
      <c r="OQY59" s="12"/>
      <c r="OQZ59" s="12"/>
      <c r="ORA59" s="12"/>
      <c r="ORB59" s="12"/>
      <c r="ORC59" s="12"/>
      <c r="ORD59" s="12"/>
      <c r="ORE59" s="12"/>
      <c r="ORF59" s="12"/>
      <c r="ORG59" s="12"/>
      <c r="ORH59" s="12"/>
      <c r="ORI59" s="12"/>
      <c r="ORJ59" s="12"/>
      <c r="ORK59" s="12"/>
      <c r="ORL59" s="12"/>
      <c r="ORM59" s="12"/>
      <c r="ORN59" s="12"/>
      <c r="ORO59" s="12"/>
      <c r="ORP59" s="12"/>
      <c r="ORQ59" s="12"/>
      <c r="ORR59" s="12"/>
      <c r="ORS59" s="12"/>
      <c r="ORT59" s="12"/>
      <c r="ORU59" s="12"/>
      <c r="ORV59" s="12"/>
      <c r="ORW59" s="12"/>
      <c r="ORX59" s="12"/>
      <c r="ORY59" s="12"/>
      <c r="ORZ59" s="12"/>
      <c r="OSA59" s="12"/>
      <c r="OSB59" s="12"/>
      <c r="OSC59" s="12"/>
      <c r="OSD59" s="12"/>
      <c r="OSE59" s="12"/>
      <c r="OSF59" s="12"/>
      <c r="OSG59" s="12"/>
      <c r="OSH59" s="12"/>
      <c r="OSI59" s="12"/>
      <c r="OSJ59" s="12"/>
      <c r="OSK59" s="12"/>
      <c r="OSL59" s="12"/>
      <c r="OSM59" s="12"/>
      <c r="OSN59" s="12"/>
      <c r="OSO59" s="12"/>
      <c r="OSP59" s="12"/>
      <c r="OSQ59" s="12"/>
      <c r="OSR59" s="12"/>
      <c r="OSS59" s="12"/>
      <c r="OST59" s="12"/>
      <c r="OSU59" s="12"/>
      <c r="OSV59" s="12"/>
      <c r="OSW59" s="12"/>
      <c r="OSX59" s="12"/>
      <c r="OSY59" s="12"/>
      <c r="OSZ59" s="12"/>
      <c r="OTA59" s="12"/>
      <c r="OTB59" s="12"/>
      <c r="OTC59" s="12"/>
      <c r="OTD59" s="12"/>
      <c r="OTE59" s="12"/>
      <c r="OTF59" s="12"/>
      <c r="OTG59" s="12"/>
      <c r="OTH59" s="12"/>
      <c r="OTI59" s="12"/>
      <c r="OTJ59" s="12"/>
      <c r="OTK59" s="12"/>
      <c r="OTL59" s="12"/>
      <c r="OTM59" s="12"/>
      <c r="OTN59" s="12"/>
      <c r="OTO59" s="12"/>
      <c r="OTP59" s="12"/>
      <c r="OTQ59" s="12"/>
      <c r="OTR59" s="12"/>
      <c r="OTS59" s="12"/>
      <c r="OTT59" s="12"/>
      <c r="OTU59" s="12"/>
      <c r="OTV59" s="12"/>
      <c r="OTW59" s="12"/>
      <c r="OTX59" s="12"/>
      <c r="OTY59" s="12"/>
      <c r="OTZ59" s="12"/>
      <c r="OUA59" s="12"/>
      <c r="OUB59" s="12"/>
      <c r="OUC59" s="12"/>
      <c r="OUD59" s="12"/>
      <c r="OUE59" s="12"/>
      <c r="OUF59" s="12"/>
      <c r="OUG59" s="12"/>
      <c r="OUH59" s="12"/>
      <c r="OUI59" s="12"/>
      <c r="OUJ59" s="12"/>
      <c r="OUK59" s="12"/>
      <c r="OUL59" s="12"/>
      <c r="OUM59" s="12"/>
      <c r="OUN59" s="12"/>
      <c r="OUO59" s="12"/>
      <c r="OUP59" s="12"/>
      <c r="OUQ59" s="12"/>
      <c r="OUR59" s="12"/>
      <c r="OUS59" s="12"/>
      <c r="OUT59" s="12"/>
      <c r="OUU59" s="12"/>
      <c r="OUV59" s="12"/>
      <c r="OUW59" s="12"/>
      <c r="OUX59" s="12"/>
      <c r="OUY59" s="12"/>
      <c r="OUZ59" s="12"/>
      <c r="OVA59" s="12"/>
      <c r="OVB59" s="12"/>
      <c r="OVC59" s="12"/>
      <c r="OVD59" s="12"/>
      <c r="OVE59" s="12"/>
      <c r="OVF59" s="12"/>
      <c r="OVG59" s="12"/>
      <c r="OVH59" s="12"/>
      <c r="OVI59" s="12"/>
      <c r="OVJ59" s="12"/>
      <c r="OVK59" s="12"/>
      <c r="OVL59" s="12"/>
      <c r="OVM59" s="12"/>
      <c r="OVN59" s="12"/>
      <c r="OVO59" s="12"/>
      <c r="OVP59" s="12"/>
      <c r="OVQ59" s="12"/>
      <c r="OVR59" s="12"/>
      <c r="OVS59" s="12"/>
      <c r="OVT59" s="12"/>
      <c r="OVU59" s="12"/>
      <c r="OVV59" s="12"/>
      <c r="OVW59" s="12"/>
      <c r="OVX59" s="12"/>
      <c r="OVY59" s="12"/>
      <c r="OVZ59" s="12"/>
      <c r="OWA59" s="12"/>
      <c r="OWB59" s="12"/>
      <c r="OWC59" s="12"/>
      <c r="OWD59" s="12"/>
      <c r="OWE59" s="12"/>
      <c r="OWF59" s="12"/>
      <c r="OWG59" s="12"/>
      <c r="OWH59" s="12"/>
      <c r="OWI59" s="12"/>
      <c r="OWJ59" s="12"/>
      <c r="OWK59" s="12"/>
      <c r="OWL59" s="12"/>
      <c r="OWM59" s="12"/>
      <c r="OWN59" s="12"/>
      <c r="OWO59" s="12"/>
      <c r="OWP59" s="12"/>
      <c r="OWQ59" s="12"/>
      <c r="OWR59" s="12"/>
      <c r="OWS59" s="12"/>
      <c r="OWT59" s="12"/>
      <c r="OWU59" s="12"/>
      <c r="OWV59" s="12"/>
      <c r="OWW59" s="12"/>
      <c r="OWX59" s="12"/>
      <c r="OWY59" s="12"/>
      <c r="OWZ59" s="12"/>
      <c r="OXA59" s="12"/>
      <c r="OXB59" s="12"/>
      <c r="OXC59" s="12"/>
      <c r="OXD59" s="12"/>
      <c r="OXE59" s="12"/>
      <c r="OXF59" s="12"/>
      <c r="OXG59" s="12"/>
      <c r="OXH59" s="12"/>
      <c r="OXI59" s="12"/>
      <c r="OXJ59" s="12"/>
      <c r="OXK59" s="12"/>
      <c r="OXL59" s="12"/>
      <c r="OXM59" s="12"/>
      <c r="OXN59" s="12"/>
      <c r="OXO59" s="12"/>
      <c r="OXP59" s="12"/>
      <c r="OXQ59" s="12"/>
      <c r="OXR59" s="12"/>
      <c r="OXS59" s="12"/>
      <c r="OXT59" s="12"/>
      <c r="OXU59" s="12"/>
      <c r="OXV59" s="12"/>
      <c r="OXW59" s="12"/>
      <c r="OXX59" s="12"/>
      <c r="OXY59" s="12"/>
      <c r="OXZ59" s="12"/>
      <c r="OYA59" s="12"/>
      <c r="OYB59" s="12"/>
      <c r="OYC59" s="12"/>
      <c r="OYD59" s="12"/>
      <c r="OYE59" s="12"/>
      <c r="OYF59" s="12"/>
      <c r="OYG59" s="12"/>
      <c r="OYH59" s="12"/>
      <c r="OYI59" s="12"/>
      <c r="OYJ59" s="12"/>
      <c r="OYK59" s="12"/>
      <c r="OYL59" s="12"/>
      <c r="OYM59" s="12"/>
      <c r="OYN59" s="12"/>
      <c r="OYO59" s="12"/>
      <c r="OYP59" s="12"/>
      <c r="OYQ59" s="12"/>
      <c r="OYR59" s="12"/>
      <c r="OYS59" s="12"/>
      <c r="OYT59" s="12"/>
      <c r="OYU59" s="12"/>
      <c r="OYV59" s="12"/>
      <c r="OYW59" s="12"/>
      <c r="OYX59" s="12"/>
      <c r="OYY59" s="12"/>
      <c r="OYZ59" s="12"/>
      <c r="OZA59" s="12"/>
      <c r="OZB59" s="12"/>
      <c r="OZC59" s="12"/>
      <c r="OZD59" s="12"/>
      <c r="OZE59" s="12"/>
      <c r="OZF59" s="12"/>
      <c r="OZG59" s="12"/>
      <c r="OZH59" s="12"/>
      <c r="OZI59" s="12"/>
      <c r="OZJ59" s="12"/>
      <c r="OZK59" s="12"/>
      <c r="OZL59" s="12"/>
      <c r="OZM59" s="12"/>
      <c r="OZN59" s="12"/>
      <c r="OZO59" s="12"/>
      <c r="OZP59" s="12"/>
      <c r="OZQ59" s="12"/>
      <c r="OZR59" s="12"/>
      <c r="OZS59" s="12"/>
      <c r="OZT59" s="12"/>
      <c r="OZU59" s="12"/>
      <c r="OZV59" s="12"/>
      <c r="OZW59" s="12"/>
      <c r="OZX59" s="12"/>
      <c r="OZY59" s="12"/>
      <c r="OZZ59" s="12"/>
      <c r="PAA59" s="12"/>
      <c r="PAB59" s="12"/>
      <c r="PAC59" s="12"/>
      <c r="PAD59" s="12"/>
      <c r="PAE59" s="12"/>
      <c r="PAF59" s="12"/>
      <c r="PAG59" s="12"/>
      <c r="PAH59" s="12"/>
      <c r="PAI59" s="12"/>
      <c r="PAJ59" s="12"/>
      <c r="PAK59" s="12"/>
      <c r="PAL59" s="12"/>
      <c r="PAM59" s="12"/>
      <c r="PAN59" s="12"/>
      <c r="PAO59" s="12"/>
      <c r="PAP59" s="12"/>
      <c r="PAQ59" s="12"/>
      <c r="PAR59" s="12"/>
      <c r="PAS59" s="12"/>
      <c r="PAT59" s="12"/>
      <c r="PAU59" s="12"/>
      <c r="PAV59" s="12"/>
      <c r="PAW59" s="12"/>
      <c r="PAX59" s="12"/>
      <c r="PAY59" s="12"/>
      <c r="PAZ59" s="12"/>
      <c r="PBA59" s="12"/>
      <c r="PBB59" s="12"/>
      <c r="PBC59" s="12"/>
      <c r="PBD59" s="12"/>
      <c r="PBE59" s="12"/>
      <c r="PBF59" s="12"/>
      <c r="PBG59" s="12"/>
      <c r="PBH59" s="12"/>
      <c r="PBI59" s="12"/>
      <c r="PBJ59" s="12"/>
      <c r="PBK59" s="12"/>
      <c r="PBL59" s="12"/>
      <c r="PBM59" s="12"/>
      <c r="PBN59" s="12"/>
      <c r="PBO59" s="12"/>
      <c r="PBP59" s="12"/>
      <c r="PBQ59" s="12"/>
      <c r="PBR59" s="12"/>
      <c r="PBS59" s="12"/>
      <c r="PBT59" s="12"/>
      <c r="PBU59" s="12"/>
      <c r="PBV59" s="12"/>
      <c r="PBW59" s="12"/>
      <c r="PBX59" s="12"/>
      <c r="PBY59" s="12"/>
      <c r="PBZ59" s="12"/>
      <c r="PCA59" s="12"/>
      <c r="PCB59" s="12"/>
      <c r="PCC59" s="12"/>
      <c r="PCD59" s="12"/>
      <c r="PCE59" s="12"/>
      <c r="PCF59" s="12"/>
      <c r="PCG59" s="12"/>
      <c r="PCH59" s="12"/>
      <c r="PCI59" s="12"/>
      <c r="PCJ59" s="12"/>
      <c r="PCK59" s="12"/>
      <c r="PCL59" s="12"/>
      <c r="PCM59" s="12"/>
      <c r="PCN59" s="12"/>
      <c r="PCO59" s="12"/>
      <c r="PCP59" s="12"/>
      <c r="PCQ59" s="12"/>
      <c r="PCR59" s="12"/>
      <c r="PCS59" s="12"/>
      <c r="PCT59" s="12"/>
      <c r="PCU59" s="12"/>
      <c r="PCV59" s="12"/>
      <c r="PCW59" s="12"/>
      <c r="PCX59" s="12"/>
      <c r="PCY59" s="12"/>
      <c r="PCZ59" s="12"/>
      <c r="PDA59" s="12"/>
      <c r="PDB59" s="12"/>
      <c r="PDC59" s="12"/>
      <c r="PDD59" s="12"/>
      <c r="PDE59" s="12"/>
      <c r="PDF59" s="12"/>
      <c r="PDG59" s="12"/>
      <c r="PDH59" s="12"/>
      <c r="PDI59" s="12"/>
      <c r="PDJ59" s="12"/>
      <c r="PDK59" s="12"/>
      <c r="PDL59" s="12"/>
      <c r="PDM59" s="12"/>
      <c r="PDN59" s="12"/>
      <c r="PDO59" s="12"/>
      <c r="PDP59" s="12"/>
      <c r="PDQ59" s="12"/>
      <c r="PDR59" s="12"/>
      <c r="PDS59" s="12"/>
      <c r="PDT59" s="12"/>
      <c r="PDU59" s="12"/>
      <c r="PDV59" s="12"/>
      <c r="PDW59" s="12"/>
      <c r="PDX59" s="12"/>
      <c r="PDY59" s="12"/>
      <c r="PDZ59" s="12"/>
      <c r="PEA59" s="12"/>
      <c r="PEB59" s="12"/>
      <c r="PEC59" s="12"/>
      <c r="PED59" s="12"/>
      <c r="PEE59" s="12"/>
      <c r="PEF59" s="12"/>
      <c r="PEG59" s="12"/>
      <c r="PEH59" s="12"/>
      <c r="PEI59" s="12"/>
      <c r="PEJ59" s="12"/>
      <c r="PEK59" s="12"/>
      <c r="PEL59" s="12"/>
      <c r="PEM59" s="12"/>
      <c r="PEN59" s="12"/>
      <c r="PEO59" s="12"/>
      <c r="PEP59" s="12"/>
      <c r="PEQ59" s="12"/>
      <c r="PER59" s="12"/>
      <c r="PES59" s="12"/>
      <c r="PET59" s="12"/>
      <c r="PEU59" s="12"/>
      <c r="PEV59" s="12"/>
      <c r="PEW59" s="12"/>
      <c r="PEX59" s="12"/>
      <c r="PEY59" s="12"/>
      <c r="PEZ59" s="12"/>
      <c r="PFA59" s="12"/>
      <c r="PFB59" s="12"/>
      <c r="PFC59" s="12"/>
      <c r="PFD59" s="12"/>
      <c r="PFE59" s="12"/>
      <c r="PFF59" s="12"/>
      <c r="PFG59" s="12"/>
      <c r="PFH59" s="12"/>
      <c r="PFI59" s="12"/>
      <c r="PFJ59" s="12"/>
      <c r="PFK59" s="12"/>
      <c r="PFL59" s="12"/>
      <c r="PFM59" s="12"/>
      <c r="PFN59" s="12"/>
      <c r="PFO59" s="12"/>
      <c r="PFP59" s="12"/>
      <c r="PFQ59" s="12"/>
      <c r="PFR59" s="12"/>
      <c r="PFS59" s="12"/>
      <c r="PFT59" s="12"/>
      <c r="PFU59" s="12"/>
      <c r="PFV59" s="12"/>
      <c r="PFW59" s="12"/>
      <c r="PFX59" s="12"/>
      <c r="PFY59" s="12"/>
      <c r="PFZ59" s="12"/>
      <c r="PGA59" s="12"/>
      <c r="PGB59" s="12"/>
      <c r="PGC59" s="12"/>
      <c r="PGD59" s="12"/>
      <c r="PGE59" s="12"/>
      <c r="PGF59" s="12"/>
      <c r="PGG59" s="12"/>
      <c r="PGH59" s="12"/>
      <c r="PGI59" s="12"/>
      <c r="PGJ59" s="12"/>
      <c r="PGK59" s="12"/>
      <c r="PGL59" s="12"/>
      <c r="PGM59" s="12"/>
      <c r="PGN59" s="12"/>
      <c r="PGO59" s="12"/>
      <c r="PGP59" s="12"/>
      <c r="PGQ59" s="12"/>
      <c r="PGR59" s="12"/>
      <c r="PGS59" s="12"/>
      <c r="PGT59" s="12"/>
      <c r="PGU59" s="12"/>
      <c r="PGV59" s="12"/>
      <c r="PGW59" s="12"/>
      <c r="PGX59" s="12"/>
      <c r="PGY59" s="12"/>
      <c r="PGZ59" s="12"/>
      <c r="PHA59" s="12"/>
      <c r="PHB59" s="12"/>
      <c r="PHC59" s="12"/>
      <c r="PHD59" s="12"/>
      <c r="PHE59" s="12"/>
      <c r="PHF59" s="12"/>
      <c r="PHG59" s="12"/>
      <c r="PHH59" s="12"/>
      <c r="PHI59" s="12"/>
      <c r="PHJ59" s="12"/>
      <c r="PHK59" s="12"/>
      <c r="PHL59" s="12"/>
      <c r="PHM59" s="12"/>
      <c r="PHN59" s="12"/>
      <c r="PHO59" s="12"/>
      <c r="PHP59" s="12"/>
      <c r="PHQ59" s="12"/>
      <c r="PHR59" s="12"/>
      <c r="PHS59" s="12"/>
      <c r="PHT59" s="12"/>
      <c r="PHU59" s="12"/>
      <c r="PHV59" s="12"/>
      <c r="PHW59" s="12"/>
      <c r="PHX59" s="12"/>
      <c r="PHY59" s="12"/>
      <c r="PHZ59" s="12"/>
      <c r="PIA59" s="12"/>
      <c r="PIB59" s="12"/>
      <c r="PIC59" s="12"/>
      <c r="PID59" s="12"/>
      <c r="PIE59" s="12"/>
      <c r="PIF59" s="12"/>
      <c r="PIG59" s="12"/>
      <c r="PIH59" s="12"/>
      <c r="PII59" s="12"/>
      <c r="PIJ59" s="12"/>
      <c r="PIK59" s="12"/>
      <c r="PIL59" s="12"/>
      <c r="PIM59" s="12"/>
      <c r="PIN59" s="12"/>
      <c r="PIO59" s="12"/>
      <c r="PIP59" s="12"/>
      <c r="PIQ59" s="12"/>
      <c r="PIR59" s="12"/>
      <c r="PIS59" s="12"/>
      <c r="PIT59" s="12"/>
      <c r="PIU59" s="12"/>
      <c r="PIV59" s="12"/>
      <c r="PIW59" s="12"/>
      <c r="PIX59" s="12"/>
      <c r="PIY59" s="12"/>
      <c r="PIZ59" s="12"/>
      <c r="PJA59" s="12"/>
      <c r="PJB59" s="12"/>
      <c r="PJC59" s="12"/>
      <c r="PJD59" s="12"/>
      <c r="PJE59" s="12"/>
      <c r="PJF59" s="12"/>
      <c r="PJG59" s="12"/>
      <c r="PJH59" s="12"/>
      <c r="PJI59" s="12"/>
      <c r="PJJ59" s="12"/>
      <c r="PJK59" s="12"/>
      <c r="PJL59" s="12"/>
      <c r="PJM59" s="12"/>
      <c r="PJN59" s="12"/>
      <c r="PJO59" s="12"/>
      <c r="PJP59" s="12"/>
      <c r="PJQ59" s="12"/>
      <c r="PJR59" s="12"/>
      <c r="PJS59" s="12"/>
      <c r="PJT59" s="12"/>
      <c r="PJU59" s="12"/>
      <c r="PJV59" s="12"/>
      <c r="PJW59" s="12"/>
      <c r="PJX59" s="12"/>
      <c r="PJY59" s="12"/>
      <c r="PJZ59" s="12"/>
      <c r="PKA59" s="12"/>
      <c r="PKB59" s="12"/>
      <c r="PKC59" s="12"/>
      <c r="PKD59" s="12"/>
      <c r="PKE59" s="12"/>
      <c r="PKF59" s="12"/>
      <c r="PKG59" s="12"/>
      <c r="PKH59" s="12"/>
      <c r="PKI59" s="12"/>
      <c r="PKJ59" s="12"/>
      <c r="PKK59" s="12"/>
      <c r="PKL59" s="12"/>
      <c r="PKM59" s="12"/>
      <c r="PKN59" s="12"/>
      <c r="PKO59" s="12"/>
      <c r="PKP59" s="12"/>
      <c r="PKQ59" s="12"/>
      <c r="PKR59" s="12"/>
      <c r="PKS59" s="12"/>
      <c r="PKT59" s="12"/>
      <c r="PKU59" s="12"/>
      <c r="PKV59" s="12"/>
      <c r="PKW59" s="12"/>
      <c r="PKX59" s="12"/>
      <c r="PKY59" s="12"/>
      <c r="PKZ59" s="12"/>
      <c r="PLA59" s="12"/>
      <c r="PLB59" s="12"/>
      <c r="PLC59" s="12"/>
      <c r="PLD59" s="12"/>
      <c r="PLE59" s="12"/>
      <c r="PLF59" s="12"/>
      <c r="PLG59" s="12"/>
      <c r="PLH59" s="12"/>
      <c r="PLI59" s="12"/>
      <c r="PLJ59" s="12"/>
      <c r="PLK59" s="12"/>
      <c r="PLL59" s="12"/>
      <c r="PLM59" s="12"/>
      <c r="PLN59" s="12"/>
      <c r="PLO59" s="12"/>
      <c r="PLP59" s="12"/>
      <c r="PLQ59" s="12"/>
      <c r="PLR59" s="12"/>
      <c r="PLS59" s="12"/>
      <c r="PLT59" s="12"/>
      <c r="PLU59" s="12"/>
      <c r="PLV59" s="12"/>
      <c r="PLW59" s="12"/>
      <c r="PLX59" s="12"/>
      <c r="PLY59" s="12"/>
      <c r="PLZ59" s="12"/>
      <c r="PMA59" s="12"/>
      <c r="PMB59" s="12"/>
      <c r="PMC59" s="12"/>
      <c r="PMD59" s="12"/>
      <c r="PME59" s="12"/>
      <c r="PMF59" s="12"/>
      <c r="PMG59" s="12"/>
      <c r="PMH59" s="12"/>
      <c r="PMI59" s="12"/>
      <c r="PMJ59" s="12"/>
      <c r="PMK59" s="12"/>
      <c r="PML59" s="12"/>
      <c r="PMM59" s="12"/>
      <c r="PMN59" s="12"/>
      <c r="PMO59" s="12"/>
      <c r="PMP59" s="12"/>
      <c r="PMQ59" s="12"/>
      <c r="PMR59" s="12"/>
      <c r="PMS59" s="12"/>
      <c r="PMT59" s="12"/>
      <c r="PMU59" s="12"/>
      <c r="PMV59" s="12"/>
      <c r="PMW59" s="12"/>
      <c r="PMX59" s="12"/>
      <c r="PMY59" s="12"/>
      <c r="PMZ59" s="12"/>
      <c r="PNA59" s="12"/>
      <c r="PNB59" s="12"/>
      <c r="PNC59" s="12"/>
      <c r="PND59" s="12"/>
      <c r="PNE59" s="12"/>
      <c r="PNF59" s="12"/>
      <c r="PNG59" s="12"/>
      <c r="PNH59" s="12"/>
      <c r="PNI59" s="12"/>
      <c r="PNJ59" s="12"/>
      <c r="PNK59" s="12"/>
      <c r="PNL59" s="12"/>
      <c r="PNM59" s="12"/>
      <c r="PNN59" s="12"/>
      <c r="PNO59" s="12"/>
      <c r="PNP59" s="12"/>
      <c r="PNQ59" s="12"/>
      <c r="PNR59" s="12"/>
      <c r="PNS59" s="12"/>
      <c r="PNT59" s="12"/>
      <c r="PNU59" s="12"/>
      <c r="PNV59" s="12"/>
      <c r="PNW59" s="12"/>
      <c r="PNX59" s="12"/>
      <c r="PNY59" s="12"/>
      <c r="PNZ59" s="12"/>
      <c r="POA59" s="12"/>
      <c r="POB59" s="12"/>
      <c r="POC59" s="12"/>
      <c r="POD59" s="12"/>
      <c r="POE59" s="12"/>
      <c r="POF59" s="12"/>
      <c r="POG59" s="12"/>
      <c r="POH59" s="12"/>
      <c r="POI59" s="12"/>
      <c r="POJ59" s="12"/>
      <c r="POK59" s="12"/>
      <c r="POL59" s="12"/>
      <c r="POM59" s="12"/>
      <c r="PON59" s="12"/>
      <c r="POO59" s="12"/>
      <c r="POP59" s="12"/>
      <c r="POQ59" s="12"/>
      <c r="POR59" s="12"/>
      <c r="POS59" s="12"/>
      <c r="POT59" s="12"/>
      <c r="POU59" s="12"/>
      <c r="POV59" s="12"/>
      <c r="POW59" s="12"/>
      <c r="POX59" s="12"/>
      <c r="POY59" s="12"/>
      <c r="POZ59" s="12"/>
      <c r="PPA59" s="12"/>
      <c r="PPB59" s="12"/>
      <c r="PPC59" s="12"/>
      <c r="PPD59" s="12"/>
      <c r="PPE59" s="12"/>
      <c r="PPF59" s="12"/>
      <c r="PPG59" s="12"/>
      <c r="PPH59" s="12"/>
      <c r="PPI59" s="12"/>
      <c r="PPJ59" s="12"/>
      <c r="PPK59" s="12"/>
      <c r="PPL59" s="12"/>
      <c r="PPM59" s="12"/>
      <c r="PPN59" s="12"/>
      <c r="PPO59" s="12"/>
      <c r="PPP59" s="12"/>
      <c r="PPQ59" s="12"/>
      <c r="PPR59" s="12"/>
      <c r="PPS59" s="12"/>
      <c r="PPT59" s="12"/>
      <c r="PPU59" s="12"/>
      <c r="PPV59" s="12"/>
      <c r="PPW59" s="12"/>
      <c r="PPX59" s="12"/>
      <c r="PPY59" s="12"/>
      <c r="PPZ59" s="12"/>
      <c r="PQA59" s="12"/>
      <c r="PQB59" s="12"/>
      <c r="PQC59" s="12"/>
      <c r="PQD59" s="12"/>
      <c r="PQE59" s="12"/>
      <c r="PQF59" s="12"/>
      <c r="PQG59" s="12"/>
      <c r="PQH59" s="12"/>
      <c r="PQI59" s="12"/>
      <c r="PQJ59" s="12"/>
      <c r="PQK59" s="12"/>
      <c r="PQL59" s="12"/>
      <c r="PQM59" s="12"/>
      <c r="PQN59" s="12"/>
      <c r="PQO59" s="12"/>
      <c r="PQP59" s="12"/>
      <c r="PQQ59" s="12"/>
      <c r="PQR59" s="12"/>
      <c r="PQS59" s="12"/>
      <c r="PQT59" s="12"/>
      <c r="PQU59" s="12"/>
      <c r="PQV59" s="12"/>
      <c r="PQW59" s="12"/>
      <c r="PQX59" s="12"/>
      <c r="PQY59" s="12"/>
      <c r="PQZ59" s="12"/>
      <c r="PRA59" s="12"/>
      <c r="PRB59" s="12"/>
      <c r="PRC59" s="12"/>
      <c r="PRD59" s="12"/>
      <c r="PRE59" s="12"/>
      <c r="PRF59" s="12"/>
      <c r="PRG59" s="12"/>
      <c r="PRH59" s="12"/>
      <c r="PRI59" s="12"/>
      <c r="PRJ59" s="12"/>
      <c r="PRK59" s="12"/>
      <c r="PRL59" s="12"/>
      <c r="PRM59" s="12"/>
      <c r="PRN59" s="12"/>
      <c r="PRO59" s="12"/>
      <c r="PRP59" s="12"/>
      <c r="PRQ59" s="12"/>
      <c r="PRR59" s="12"/>
      <c r="PRS59" s="12"/>
      <c r="PRT59" s="12"/>
      <c r="PRU59" s="12"/>
      <c r="PRV59" s="12"/>
      <c r="PRW59" s="12"/>
      <c r="PRX59" s="12"/>
      <c r="PRY59" s="12"/>
      <c r="PRZ59" s="12"/>
      <c r="PSA59" s="12"/>
      <c r="PSB59" s="12"/>
      <c r="PSC59" s="12"/>
      <c r="PSD59" s="12"/>
      <c r="PSE59" s="12"/>
      <c r="PSF59" s="12"/>
      <c r="PSG59" s="12"/>
      <c r="PSH59" s="12"/>
      <c r="PSI59" s="12"/>
      <c r="PSJ59" s="12"/>
      <c r="PSK59" s="12"/>
      <c r="PSL59" s="12"/>
      <c r="PSM59" s="12"/>
      <c r="PSN59" s="12"/>
      <c r="PSO59" s="12"/>
      <c r="PSP59" s="12"/>
      <c r="PSQ59" s="12"/>
      <c r="PSR59" s="12"/>
      <c r="PSS59" s="12"/>
      <c r="PST59" s="12"/>
      <c r="PSU59" s="12"/>
      <c r="PSV59" s="12"/>
      <c r="PSW59" s="12"/>
      <c r="PSX59" s="12"/>
      <c r="PSY59" s="12"/>
      <c r="PSZ59" s="12"/>
      <c r="PTA59" s="12"/>
      <c r="PTB59" s="12"/>
      <c r="PTC59" s="12"/>
      <c r="PTD59" s="12"/>
      <c r="PTE59" s="12"/>
      <c r="PTF59" s="12"/>
      <c r="PTG59" s="12"/>
      <c r="PTH59" s="12"/>
      <c r="PTI59" s="12"/>
      <c r="PTJ59" s="12"/>
      <c r="PTK59" s="12"/>
      <c r="PTL59" s="12"/>
      <c r="PTM59" s="12"/>
      <c r="PTN59" s="12"/>
      <c r="PTO59" s="12"/>
      <c r="PTP59" s="12"/>
      <c r="PTQ59" s="12"/>
      <c r="PTR59" s="12"/>
      <c r="PTS59" s="12"/>
      <c r="PTT59" s="12"/>
      <c r="PTU59" s="12"/>
      <c r="PTV59" s="12"/>
      <c r="PTW59" s="12"/>
      <c r="PTX59" s="12"/>
      <c r="PTY59" s="12"/>
      <c r="PTZ59" s="12"/>
      <c r="PUA59" s="12"/>
      <c r="PUB59" s="12"/>
      <c r="PUC59" s="12"/>
      <c r="PUD59" s="12"/>
      <c r="PUE59" s="12"/>
      <c r="PUF59" s="12"/>
      <c r="PUG59" s="12"/>
      <c r="PUH59" s="12"/>
      <c r="PUI59" s="12"/>
      <c r="PUJ59" s="12"/>
      <c r="PUK59" s="12"/>
      <c r="PUL59" s="12"/>
      <c r="PUM59" s="12"/>
      <c r="PUN59" s="12"/>
      <c r="PUO59" s="12"/>
      <c r="PUP59" s="12"/>
      <c r="PUQ59" s="12"/>
      <c r="PUR59" s="12"/>
      <c r="PUS59" s="12"/>
      <c r="PUT59" s="12"/>
      <c r="PUU59" s="12"/>
      <c r="PUV59" s="12"/>
      <c r="PUW59" s="12"/>
      <c r="PUX59" s="12"/>
      <c r="PUY59" s="12"/>
      <c r="PUZ59" s="12"/>
      <c r="PVA59" s="12"/>
      <c r="PVB59" s="12"/>
      <c r="PVC59" s="12"/>
      <c r="PVD59" s="12"/>
      <c r="PVE59" s="12"/>
      <c r="PVF59" s="12"/>
      <c r="PVG59" s="12"/>
      <c r="PVH59" s="12"/>
      <c r="PVI59" s="12"/>
      <c r="PVJ59" s="12"/>
      <c r="PVK59" s="12"/>
      <c r="PVL59" s="12"/>
      <c r="PVM59" s="12"/>
      <c r="PVN59" s="12"/>
      <c r="PVO59" s="12"/>
      <c r="PVP59" s="12"/>
      <c r="PVQ59" s="12"/>
      <c r="PVR59" s="12"/>
      <c r="PVS59" s="12"/>
      <c r="PVT59" s="12"/>
      <c r="PVU59" s="12"/>
      <c r="PVV59" s="12"/>
      <c r="PVW59" s="12"/>
      <c r="PVX59" s="12"/>
      <c r="PVY59" s="12"/>
      <c r="PVZ59" s="12"/>
      <c r="PWA59" s="12"/>
      <c r="PWB59" s="12"/>
      <c r="PWC59" s="12"/>
      <c r="PWD59" s="12"/>
      <c r="PWE59" s="12"/>
      <c r="PWF59" s="12"/>
      <c r="PWG59" s="12"/>
      <c r="PWH59" s="12"/>
      <c r="PWI59" s="12"/>
      <c r="PWJ59" s="12"/>
      <c r="PWK59" s="12"/>
      <c r="PWL59" s="12"/>
      <c r="PWM59" s="12"/>
      <c r="PWN59" s="12"/>
      <c r="PWO59" s="12"/>
      <c r="PWP59" s="12"/>
      <c r="PWQ59" s="12"/>
      <c r="PWR59" s="12"/>
      <c r="PWS59" s="12"/>
      <c r="PWT59" s="12"/>
      <c r="PWU59" s="12"/>
      <c r="PWV59" s="12"/>
      <c r="PWW59" s="12"/>
      <c r="PWX59" s="12"/>
      <c r="PWY59" s="12"/>
      <c r="PWZ59" s="12"/>
      <c r="PXA59" s="12"/>
      <c r="PXB59" s="12"/>
      <c r="PXC59" s="12"/>
      <c r="PXD59" s="12"/>
      <c r="PXE59" s="12"/>
      <c r="PXF59" s="12"/>
      <c r="PXG59" s="12"/>
      <c r="PXH59" s="12"/>
      <c r="PXI59" s="12"/>
      <c r="PXJ59" s="12"/>
      <c r="PXK59" s="12"/>
      <c r="PXL59" s="12"/>
      <c r="PXM59" s="12"/>
      <c r="PXN59" s="12"/>
      <c r="PXO59" s="12"/>
      <c r="PXP59" s="12"/>
      <c r="PXQ59" s="12"/>
      <c r="PXR59" s="12"/>
      <c r="PXS59" s="12"/>
      <c r="PXT59" s="12"/>
      <c r="PXU59" s="12"/>
      <c r="PXV59" s="12"/>
      <c r="PXW59" s="12"/>
      <c r="PXX59" s="12"/>
      <c r="PXY59" s="12"/>
      <c r="PXZ59" s="12"/>
      <c r="PYA59" s="12"/>
      <c r="PYB59" s="12"/>
      <c r="PYC59" s="12"/>
      <c r="PYD59" s="12"/>
      <c r="PYE59" s="12"/>
      <c r="PYF59" s="12"/>
      <c r="PYG59" s="12"/>
      <c r="PYH59" s="12"/>
      <c r="PYI59" s="12"/>
      <c r="PYJ59" s="12"/>
      <c r="PYK59" s="12"/>
      <c r="PYL59" s="12"/>
      <c r="PYM59" s="12"/>
      <c r="PYN59" s="12"/>
      <c r="PYO59" s="12"/>
      <c r="PYP59" s="12"/>
      <c r="PYQ59" s="12"/>
      <c r="PYR59" s="12"/>
      <c r="PYS59" s="12"/>
      <c r="PYT59" s="12"/>
      <c r="PYU59" s="12"/>
      <c r="PYV59" s="12"/>
      <c r="PYW59" s="12"/>
      <c r="PYX59" s="12"/>
      <c r="PYY59" s="12"/>
      <c r="PYZ59" s="12"/>
      <c r="PZA59" s="12"/>
      <c r="PZB59" s="12"/>
      <c r="PZC59" s="12"/>
      <c r="PZD59" s="12"/>
      <c r="PZE59" s="12"/>
      <c r="PZF59" s="12"/>
      <c r="PZG59" s="12"/>
      <c r="PZH59" s="12"/>
      <c r="PZI59" s="12"/>
      <c r="PZJ59" s="12"/>
      <c r="PZK59" s="12"/>
      <c r="PZL59" s="12"/>
      <c r="PZM59" s="12"/>
      <c r="PZN59" s="12"/>
      <c r="PZO59" s="12"/>
      <c r="PZP59" s="12"/>
      <c r="PZQ59" s="12"/>
      <c r="PZR59" s="12"/>
      <c r="PZS59" s="12"/>
      <c r="PZT59" s="12"/>
      <c r="PZU59" s="12"/>
      <c r="PZV59" s="12"/>
      <c r="PZW59" s="12"/>
      <c r="PZX59" s="12"/>
      <c r="PZY59" s="12"/>
      <c r="PZZ59" s="12"/>
      <c r="QAA59" s="12"/>
      <c r="QAB59" s="12"/>
      <c r="QAC59" s="12"/>
      <c r="QAD59" s="12"/>
      <c r="QAE59" s="12"/>
      <c r="QAF59" s="12"/>
      <c r="QAG59" s="12"/>
      <c r="QAH59" s="12"/>
      <c r="QAI59" s="12"/>
      <c r="QAJ59" s="12"/>
      <c r="QAK59" s="12"/>
      <c r="QAL59" s="12"/>
      <c r="QAM59" s="12"/>
      <c r="QAN59" s="12"/>
      <c r="QAO59" s="12"/>
      <c r="QAP59" s="12"/>
      <c r="QAQ59" s="12"/>
      <c r="QAR59" s="12"/>
      <c r="QAS59" s="12"/>
      <c r="QAT59" s="12"/>
      <c r="QAU59" s="12"/>
      <c r="QAV59" s="12"/>
      <c r="QAW59" s="12"/>
      <c r="QAX59" s="12"/>
      <c r="QAY59" s="12"/>
      <c r="QAZ59" s="12"/>
      <c r="QBA59" s="12"/>
      <c r="QBB59" s="12"/>
      <c r="QBC59" s="12"/>
      <c r="QBD59" s="12"/>
      <c r="QBE59" s="12"/>
      <c r="QBF59" s="12"/>
      <c r="QBG59" s="12"/>
      <c r="QBH59" s="12"/>
      <c r="QBI59" s="12"/>
      <c r="QBJ59" s="12"/>
      <c r="QBK59" s="12"/>
      <c r="QBL59" s="12"/>
      <c r="QBM59" s="12"/>
      <c r="QBN59" s="12"/>
      <c r="QBO59" s="12"/>
      <c r="QBP59" s="12"/>
      <c r="QBQ59" s="12"/>
      <c r="QBR59" s="12"/>
      <c r="QBS59" s="12"/>
      <c r="QBT59" s="12"/>
      <c r="QBU59" s="12"/>
      <c r="QBV59" s="12"/>
      <c r="QBW59" s="12"/>
      <c r="QBX59" s="12"/>
      <c r="QBY59" s="12"/>
      <c r="QBZ59" s="12"/>
      <c r="QCA59" s="12"/>
      <c r="QCB59" s="12"/>
      <c r="QCC59" s="12"/>
      <c r="QCD59" s="12"/>
      <c r="QCE59" s="12"/>
      <c r="QCF59" s="12"/>
      <c r="QCG59" s="12"/>
      <c r="QCH59" s="12"/>
      <c r="QCI59" s="12"/>
      <c r="QCJ59" s="12"/>
      <c r="QCK59" s="12"/>
      <c r="QCL59" s="12"/>
      <c r="QCM59" s="12"/>
      <c r="QCN59" s="12"/>
      <c r="QCO59" s="12"/>
      <c r="QCP59" s="12"/>
      <c r="QCQ59" s="12"/>
      <c r="QCR59" s="12"/>
      <c r="QCS59" s="12"/>
      <c r="QCT59" s="12"/>
      <c r="QCU59" s="12"/>
      <c r="QCV59" s="12"/>
      <c r="QCW59" s="12"/>
      <c r="QCX59" s="12"/>
      <c r="QCY59" s="12"/>
      <c r="QCZ59" s="12"/>
      <c r="QDA59" s="12"/>
      <c r="QDB59" s="12"/>
      <c r="QDC59" s="12"/>
      <c r="QDD59" s="12"/>
      <c r="QDE59" s="12"/>
      <c r="QDF59" s="12"/>
      <c r="QDG59" s="12"/>
      <c r="QDH59" s="12"/>
      <c r="QDI59" s="12"/>
      <c r="QDJ59" s="12"/>
      <c r="QDK59" s="12"/>
      <c r="QDL59" s="12"/>
      <c r="QDM59" s="12"/>
      <c r="QDN59" s="12"/>
      <c r="QDO59" s="12"/>
      <c r="QDP59" s="12"/>
      <c r="QDQ59" s="12"/>
      <c r="QDR59" s="12"/>
      <c r="QDS59" s="12"/>
      <c r="QDT59" s="12"/>
      <c r="QDU59" s="12"/>
      <c r="QDV59" s="12"/>
      <c r="QDW59" s="12"/>
      <c r="QDX59" s="12"/>
      <c r="QDY59" s="12"/>
      <c r="QDZ59" s="12"/>
      <c r="QEA59" s="12"/>
      <c r="QEB59" s="12"/>
      <c r="QEC59" s="12"/>
      <c r="QED59" s="12"/>
      <c r="QEE59" s="12"/>
      <c r="QEF59" s="12"/>
      <c r="QEG59" s="12"/>
      <c r="QEH59" s="12"/>
      <c r="QEI59" s="12"/>
      <c r="QEJ59" s="12"/>
      <c r="QEK59" s="12"/>
      <c r="QEL59" s="12"/>
      <c r="QEM59" s="12"/>
      <c r="QEN59" s="12"/>
      <c r="QEO59" s="12"/>
      <c r="QEP59" s="12"/>
      <c r="QEQ59" s="12"/>
      <c r="QER59" s="12"/>
      <c r="QES59" s="12"/>
      <c r="QET59" s="12"/>
      <c r="QEU59" s="12"/>
      <c r="QEV59" s="12"/>
      <c r="QEW59" s="12"/>
      <c r="QEX59" s="12"/>
      <c r="QEY59" s="12"/>
      <c r="QEZ59" s="12"/>
      <c r="QFA59" s="12"/>
      <c r="QFB59" s="12"/>
      <c r="QFC59" s="12"/>
      <c r="QFD59" s="12"/>
      <c r="QFE59" s="12"/>
      <c r="QFF59" s="12"/>
      <c r="QFG59" s="12"/>
      <c r="QFH59" s="12"/>
      <c r="QFI59" s="12"/>
      <c r="QFJ59" s="12"/>
      <c r="QFK59" s="12"/>
      <c r="QFL59" s="12"/>
      <c r="QFM59" s="12"/>
      <c r="QFN59" s="12"/>
      <c r="QFO59" s="12"/>
      <c r="QFP59" s="12"/>
      <c r="QFQ59" s="12"/>
      <c r="QFR59" s="12"/>
      <c r="QFS59" s="12"/>
      <c r="QFT59" s="12"/>
      <c r="QFU59" s="12"/>
      <c r="QFV59" s="12"/>
      <c r="QFW59" s="12"/>
      <c r="QFX59" s="12"/>
      <c r="QFY59" s="12"/>
      <c r="QFZ59" s="12"/>
      <c r="QGA59" s="12"/>
      <c r="QGB59" s="12"/>
      <c r="QGC59" s="12"/>
      <c r="QGD59" s="12"/>
      <c r="QGE59" s="12"/>
      <c r="QGF59" s="12"/>
      <c r="QGG59" s="12"/>
      <c r="QGH59" s="12"/>
      <c r="QGI59" s="12"/>
      <c r="QGJ59" s="12"/>
      <c r="QGK59" s="12"/>
      <c r="QGL59" s="12"/>
      <c r="QGM59" s="12"/>
      <c r="QGN59" s="12"/>
      <c r="QGO59" s="12"/>
      <c r="QGP59" s="12"/>
      <c r="QGQ59" s="12"/>
      <c r="QGR59" s="12"/>
      <c r="QGS59" s="12"/>
      <c r="QGT59" s="12"/>
      <c r="QGU59" s="12"/>
      <c r="QGV59" s="12"/>
      <c r="QGW59" s="12"/>
      <c r="QGX59" s="12"/>
      <c r="QGY59" s="12"/>
      <c r="QGZ59" s="12"/>
      <c r="QHA59" s="12"/>
      <c r="QHB59" s="12"/>
      <c r="QHC59" s="12"/>
      <c r="QHD59" s="12"/>
      <c r="QHE59" s="12"/>
      <c r="QHF59" s="12"/>
      <c r="QHG59" s="12"/>
      <c r="QHH59" s="12"/>
      <c r="QHI59" s="12"/>
      <c r="QHJ59" s="12"/>
      <c r="QHK59" s="12"/>
      <c r="QHL59" s="12"/>
      <c r="QHM59" s="12"/>
      <c r="QHN59" s="12"/>
      <c r="QHO59" s="12"/>
      <c r="QHP59" s="12"/>
      <c r="QHQ59" s="12"/>
      <c r="QHR59" s="12"/>
      <c r="QHS59" s="12"/>
      <c r="QHT59" s="12"/>
      <c r="QHU59" s="12"/>
      <c r="QHV59" s="12"/>
      <c r="QHW59" s="12"/>
      <c r="QHX59" s="12"/>
      <c r="QHY59" s="12"/>
      <c r="QHZ59" s="12"/>
      <c r="QIA59" s="12"/>
      <c r="QIB59" s="12"/>
      <c r="QIC59" s="12"/>
      <c r="QID59" s="12"/>
      <c r="QIE59" s="12"/>
      <c r="QIF59" s="12"/>
      <c r="QIG59" s="12"/>
      <c r="QIH59" s="12"/>
      <c r="QII59" s="12"/>
      <c r="QIJ59" s="12"/>
      <c r="QIK59" s="12"/>
      <c r="QIL59" s="12"/>
      <c r="QIM59" s="12"/>
      <c r="QIN59" s="12"/>
      <c r="QIO59" s="12"/>
      <c r="QIP59" s="12"/>
      <c r="QIQ59" s="12"/>
      <c r="QIR59" s="12"/>
      <c r="QIS59" s="12"/>
      <c r="QIT59" s="12"/>
      <c r="QIU59" s="12"/>
      <c r="QIV59" s="12"/>
      <c r="QIW59" s="12"/>
      <c r="QIX59" s="12"/>
      <c r="QIY59" s="12"/>
      <c r="QIZ59" s="12"/>
      <c r="QJA59" s="12"/>
      <c r="QJB59" s="12"/>
      <c r="QJC59" s="12"/>
      <c r="QJD59" s="12"/>
      <c r="QJE59" s="12"/>
      <c r="QJF59" s="12"/>
      <c r="QJG59" s="12"/>
      <c r="QJH59" s="12"/>
      <c r="QJI59" s="12"/>
      <c r="QJJ59" s="12"/>
      <c r="QJK59" s="12"/>
      <c r="QJL59" s="12"/>
      <c r="QJM59" s="12"/>
      <c r="QJN59" s="12"/>
      <c r="QJO59" s="12"/>
      <c r="QJP59" s="12"/>
      <c r="QJQ59" s="12"/>
      <c r="QJR59" s="12"/>
      <c r="QJS59" s="12"/>
      <c r="QJT59" s="12"/>
      <c r="QJU59" s="12"/>
      <c r="QJV59" s="12"/>
      <c r="QJW59" s="12"/>
      <c r="QJX59" s="12"/>
      <c r="QJY59" s="12"/>
      <c r="QJZ59" s="12"/>
      <c r="QKA59" s="12"/>
      <c r="QKB59" s="12"/>
      <c r="QKC59" s="12"/>
      <c r="QKD59" s="12"/>
      <c r="QKE59" s="12"/>
      <c r="QKF59" s="12"/>
      <c r="QKG59" s="12"/>
      <c r="QKH59" s="12"/>
      <c r="QKI59" s="12"/>
      <c r="QKJ59" s="12"/>
      <c r="QKK59" s="12"/>
      <c r="QKL59" s="12"/>
      <c r="QKM59" s="12"/>
      <c r="QKN59" s="12"/>
      <c r="QKO59" s="12"/>
      <c r="QKP59" s="12"/>
      <c r="QKQ59" s="12"/>
      <c r="QKR59" s="12"/>
      <c r="QKS59" s="12"/>
      <c r="QKT59" s="12"/>
      <c r="QKU59" s="12"/>
      <c r="QKV59" s="12"/>
      <c r="QKW59" s="12"/>
      <c r="QKX59" s="12"/>
      <c r="QKY59" s="12"/>
      <c r="QKZ59" s="12"/>
      <c r="QLA59" s="12"/>
      <c r="QLB59" s="12"/>
      <c r="QLC59" s="12"/>
      <c r="QLD59" s="12"/>
      <c r="QLE59" s="12"/>
      <c r="QLF59" s="12"/>
      <c r="QLG59" s="12"/>
      <c r="QLH59" s="12"/>
      <c r="QLI59" s="12"/>
      <c r="QLJ59" s="12"/>
      <c r="QLK59" s="12"/>
      <c r="QLL59" s="12"/>
      <c r="QLM59" s="12"/>
      <c r="QLN59" s="12"/>
      <c r="QLO59" s="12"/>
      <c r="QLP59" s="12"/>
      <c r="QLQ59" s="12"/>
      <c r="QLR59" s="12"/>
      <c r="QLS59" s="12"/>
      <c r="QLT59" s="12"/>
      <c r="QLU59" s="12"/>
      <c r="QLV59" s="12"/>
      <c r="QLW59" s="12"/>
      <c r="QLX59" s="12"/>
      <c r="QLY59" s="12"/>
      <c r="QLZ59" s="12"/>
      <c r="QMA59" s="12"/>
      <c r="QMB59" s="12"/>
      <c r="QMC59" s="12"/>
      <c r="QMD59" s="12"/>
      <c r="QME59" s="12"/>
      <c r="QMF59" s="12"/>
      <c r="QMG59" s="12"/>
      <c r="QMH59" s="12"/>
      <c r="QMI59" s="12"/>
      <c r="QMJ59" s="12"/>
      <c r="QMK59" s="12"/>
      <c r="QML59" s="12"/>
      <c r="QMM59" s="12"/>
      <c r="QMN59" s="12"/>
      <c r="QMO59" s="12"/>
      <c r="QMP59" s="12"/>
      <c r="QMQ59" s="12"/>
      <c r="QMR59" s="12"/>
      <c r="QMS59" s="12"/>
      <c r="QMT59" s="12"/>
      <c r="QMU59" s="12"/>
      <c r="QMV59" s="12"/>
      <c r="QMW59" s="12"/>
      <c r="QMX59" s="12"/>
      <c r="QMY59" s="12"/>
      <c r="QMZ59" s="12"/>
      <c r="QNA59" s="12"/>
      <c r="QNB59" s="12"/>
      <c r="QNC59" s="12"/>
      <c r="QND59" s="12"/>
      <c r="QNE59" s="12"/>
      <c r="QNF59" s="12"/>
      <c r="QNG59" s="12"/>
      <c r="QNH59" s="12"/>
      <c r="QNI59" s="12"/>
      <c r="QNJ59" s="12"/>
      <c r="QNK59" s="12"/>
      <c r="QNL59" s="12"/>
      <c r="QNM59" s="12"/>
      <c r="QNN59" s="12"/>
      <c r="QNO59" s="12"/>
      <c r="QNP59" s="12"/>
      <c r="QNQ59" s="12"/>
      <c r="QNR59" s="12"/>
      <c r="QNS59" s="12"/>
      <c r="QNT59" s="12"/>
      <c r="QNU59" s="12"/>
      <c r="QNV59" s="12"/>
      <c r="QNW59" s="12"/>
      <c r="QNX59" s="12"/>
      <c r="QNY59" s="12"/>
      <c r="QNZ59" s="12"/>
      <c r="QOA59" s="12"/>
      <c r="QOB59" s="12"/>
      <c r="QOC59" s="12"/>
      <c r="QOD59" s="12"/>
      <c r="QOE59" s="12"/>
      <c r="QOF59" s="12"/>
      <c r="QOG59" s="12"/>
      <c r="QOH59" s="12"/>
      <c r="QOI59" s="12"/>
      <c r="QOJ59" s="12"/>
      <c r="QOK59" s="12"/>
      <c r="QOL59" s="12"/>
      <c r="QOM59" s="12"/>
      <c r="QON59" s="12"/>
      <c r="QOO59" s="12"/>
      <c r="QOP59" s="12"/>
      <c r="QOQ59" s="12"/>
      <c r="QOR59" s="12"/>
      <c r="QOS59" s="12"/>
      <c r="QOT59" s="12"/>
      <c r="QOU59" s="12"/>
      <c r="QOV59" s="12"/>
      <c r="QOW59" s="12"/>
      <c r="QOX59" s="12"/>
      <c r="QOY59" s="12"/>
      <c r="QOZ59" s="12"/>
      <c r="QPA59" s="12"/>
      <c r="QPB59" s="12"/>
      <c r="QPC59" s="12"/>
      <c r="QPD59" s="12"/>
      <c r="QPE59" s="12"/>
      <c r="QPF59" s="12"/>
      <c r="QPG59" s="12"/>
      <c r="QPH59" s="12"/>
      <c r="QPI59" s="12"/>
      <c r="QPJ59" s="12"/>
      <c r="QPK59" s="12"/>
      <c r="QPL59" s="12"/>
      <c r="QPM59" s="12"/>
      <c r="QPN59" s="12"/>
      <c r="QPO59" s="12"/>
      <c r="QPP59" s="12"/>
      <c r="QPQ59" s="12"/>
      <c r="QPR59" s="12"/>
      <c r="QPS59" s="12"/>
      <c r="QPT59" s="12"/>
      <c r="QPU59" s="12"/>
      <c r="QPV59" s="12"/>
      <c r="QPW59" s="12"/>
      <c r="QPX59" s="12"/>
      <c r="QPY59" s="12"/>
      <c r="QPZ59" s="12"/>
      <c r="QQA59" s="12"/>
      <c r="QQB59" s="12"/>
      <c r="QQC59" s="12"/>
      <c r="QQD59" s="12"/>
      <c r="QQE59" s="12"/>
      <c r="QQF59" s="12"/>
      <c r="QQG59" s="12"/>
      <c r="QQH59" s="12"/>
      <c r="QQI59" s="12"/>
      <c r="QQJ59" s="12"/>
      <c r="QQK59" s="12"/>
      <c r="QQL59" s="12"/>
      <c r="QQM59" s="12"/>
      <c r="QQN59" s="12"/>
      <c r="QQO59" s="12"/>
      <c r="QQP59" s="12"/>
      <c r="QQQ59" s="12"/>
      <c r="QQR59" s="12"/>
      <c r="QQS59" s="12"/>
      <c r="QQT59" s="12"/>
      <c r="QQU59" s="12"/>
      <c r="QQV59" s="12"/>
      <c r="QQW59" s="12"/>
      <c r="QQX59" s="12"/>
      <c r="QQY59" s="12"/>
      <c r="QQZ59" s="12"/>
      <c r="QRA59" s="12"/>
      <c r="QRB59" s="12"/>
      <c r="QRC59" s="12"/>
      <c r="QRD59" s="12"/>
      <c r="QRE59" s="12"/>
      <c r="QRF59" s="12"/>
      <c r="QRG59" s="12"/>
      <c r="QRH59" s="12"/>
      <c r="QRI59" s="12"/>
      <c r="QRJ59" s="12"/>
      <c r="QRK59" s="12"/>
      <c r="QRL59" s="12"/>
      <c r="QRM59" s="12"/>
      <c r="QRN59" s="12"/>
      <c r="QRO59" s="12"/>
      <c r="QRP59" s="12"/>
      <c r="QRQ59" s="12"/>
      <c r="QRR59" s="12"/>
      <c r="QRS59" s="12"/>
      <c r="QRT59" s="12"/>
      <c r="QRU59" s="12"/>
      <c r="QRV59" s="12"/>
      <c r="QRW59" s="12"/>
      <c r="QRX59" s="12"/>
      <c r="QRY59" s="12"/>
      <c r="QRZ59" s="12"/>
      <c r="QSA59" s="12"/>
      <c r="QSB59" s="12"/>
      <c r="QSC59" s="12"/>
      <c r="QSD59" s="12"/>
      <c r="QSE59" s="12"/>
      <c r="QSF59" s="12"/>
      <c r="QSG59" s="12"/>
      <c r="QSH59" s="12"/>
      <c r="QSI59" s="12"/>
      <c r="QSJ59" s="12"/>
      <c r="QSK59" s="12"/>
      <c r="QSL59" s="12"/>
      <c r="QSM59" s="12"/>
      <c r="QSN59" s="12"/>
      <c r="QSO59" s="12"/>
      <c r="QSP59" s="12"/>
      <c r="QSQ59" s="12"/>
      <c r="QSR59" s="12"/>
      <c r="QSS59" s="12"/>
      <c r="QST59" s="12"/>
      <c r="QSU59" s="12"/>
      <c r="QSV59" s="12"/>
      <c r="QSW59" s="12"/>
      <c r="QSX59" s="12"/>
      <c r="QSY59" s="12"/>
      <c r="QSZ59" s="12"/>
      <c r="QTA59" s="12"/>
      <c r="QTB59" s="12"/>
      <c r="QTC59" s="12"/>
      <c r="QTD59" s="12"/>
      <c r="QTE59" s="12"/>
      <c r="QTF59" s="12"/>
      <c r="QTG59" s="12"/>
      <c r="QTH59" s="12"/>
      <c r="QTI59" s="12"/>
      <c r="QTJ59" s="12"/>
      <c r="QTK59" s="12"/>
      <c r="QTL59" s="12"/>
      <c r="QTM59" s="12"/>
      <c r="QTN59" s="12"/>
      <c r="QTO59" s="12"/>
      <c r="QTP59" s="12"/>
      <c r="QTQ59" s="12"/>
      <c r="QTR59" s="12"/>
      <c r="QTS59" s="12"/>
      <c r="QTT59" s="12"/>
      <c r="QTU59" s="12"/>
      <c r="QTV59" s="12"/>
      <c r="QTW59" s="12"/>
      <c r="QTX59" s="12"/>
      <c r="QTY59" s="12"/>
      <c r="QTZ59" s="12"/>
      <c r="QUA59" s="12"/>
      <c r="QUB59" s="12"/>
      <c r="QUC59" s="12"/>
      <c r="QUD59" s="12"/>
      <c r="QUE59" s="12"/>
      <c r="QUF59" s="12"/>
      <c r="QUG59" s="12"/>
      <c r="QUH59" s="12"/>
      <c r="QUI59" s="12"/>
      <c r="QUJ59" s="12"/>
      <c r="QUK59" s="12"/>
      <c r="QUL59" s="12"/>
      <c r="QUM59" s="12"/>
      <c r="QUN59" s="12"/>
      <c r="QUO59" s="12"/>
      <c r="QUP59" s="12"/>
      <c r="QUQ59" s="12"/>
      <c r="QUR59" s="12"/>
      <c r="QUS59" s="12"/>
      <c r="QUT59" s="12"/>
      <c r="QUU59" s="12"/>
      <c r="QUV59" s="12"/>
      <c r="QUW59" s="12"/>
      <c r="QUX59" s="12"/>
      <c r="QUY59" s="12"/>
      <c r="QUZ59" s="12"/>
      <c r="QVA59" s="12"/>
      <c r="QVB59" s="12"/>
      <c r="QVC59" s="12"/>
      <c r="QVD59" s="12"/>
      <c r="QVE59" s="12"/>
      <c r="QVF59" s="12"/>
      <c r="QVG59" s="12"/>
      <c r="QVH59" s="12"/>
      <c r="QVI59" s="12"/>
      <c r="QVJ59" s="12"/>
      <c r="QVK59" s="12"/>
      <c r="QVL59" s="12"/>
      <c r="QVM59" s="12"/>
      <c r="QVN59" s="12"/>
      <c r="QVO59" s="12"/>
      <c r="QVP59" s="12"/>
      <c r="QVQ59" s="12"/>
      <c r="QVR59" s="12"/>
      <c r="QVS59" s="12"/>
      <c r="QVT59" s="12"/>
      <c r="QVU59" s="12"/>
      <c r="QVV59" s="12"/>
      <c r="QVW59" s="12"/>
      <c r="QVX59" s="12"/>
      <c r="QVY59" s="12"/>
      <c r="QVZ59" s="12"/>
      <c r="QWA59" s="12"/>
      <c r="QWB59" s="12"/>
      <c r="QWC59" s="12"/>
      <c r="QWD59" s="12"/>
      <c r="QWE59" s="12"/>
      <c r="QWF59" s="12"/>
      <c r="QWG59" s="12"/>
      <c r="QWH59" s="12"/>
      <c r="QWI59" s="12"/>
      <c r="QWJ59" s="12"/>
      <c r="QWK59" s="12"/>
      <c r="QWL59" s="12"/>
      <c r="QWM59" s="12"/>
      <c r="QWN59" s="12"/>
      <c r="QWO59" s="12"/>
      <c r="QWP59" s="12"/>
      <c r="QWQ59" s="12"/>
      <c r="QWR59" s="12"/>
      <c r="QWS59" s="12"/>
      <c r="QWT59" s="12"/>
      <c r="QWU59" s="12"/>
      <c r="QWV59" s="12"/>
      <c r="QWW59" s="12"/>
      <c r="QWX59" s="12"/>
      <c r="QWY59" s="12"/>
      <c r="QWZ59" s="12"/>
      <c r="QXA59" s="12"/>
      <c r="QXB59" s="12"/>
      <c r="QXC59" s="12"/>
      <c r="QXD59" s="12"/>
      <c r="QXE59" s="12"/>
      <c r="QXF59" s="12"/>
      <c r="QXG59" s="12"/>
      <c r="QXH59" s="12"/>
      <c r="QXI59" s="12"/>
      <c r="QXJ59" s="12"/>
      <c r="QXK59" s="12"/>
      <c r="QXL59" s="12"/>
      <c r="QXM59" s="12"/>
      <c r="QXN59" s="12"/>
      <c r="QXO59" s="12"/>
      <c r="QXP59" s="12"/>
      <c r="QXQ59" s="12"/>
      <c r="QXR59" s="12"/>
      <c r="QXS59" s="12"/>
      <c r="QXT59" s="12"/>
      <c r="QXU59" s="12"/>
      <c r="QXV59" s="12"/>
      <c r="QXW59" s="12"/>
      <c r="QXX59" s="12"/>
      <c r="QXY59" s="12"/>
      <c r="QXZ59" s="12"/>
      <c r="QYA59" s="12"/>
      <c r="QYB59" s="12"/>
      <c r="QYC59" s="12"/>
      <c r="QYD59" s="12"/>
      <c r="QYE59" s="12"/>
      <c r="QYF59" s="12"/>
      <c r="QYG59" s="12"/>
      <c r="QYH59" s="12"/>
      <c r="QYI59" s="12"/>
      <c r="QYJ59" s="12"/>
      <c r="QYK59" s="12"/>
      <c r="QYL59" s="12"/>
      <c r="QYM59" s="12"/>
      <c r="QYN59" s="12"/>
      <c r="QYO59" s="12"/>
      <c r="QYP59" s="12"/>
      <c r="QYQ59" s="12"/>
      <c r="QYR59" s="12"/>
      <c r="QYS59" s="12"/>
      <c r="QYT59" s="12"/>
      <c r="QYU59" s="12"/>
      <c r="QYV59" s="12"/>
      <c r="QYW59" s="12"/>
      <c r="QYX59" s="12"/>
      <c r="QYY59" s="12"/>
      <c r="QYZ59" s="12"/>
      <c r="QZA59" s="12"/>
      <c r="QZB59" s="12"/>
      <c r="QZC59" s="12"/>
      <c r="QZD59" s="12"/>
      <c r="QZE59" s="12"/>
      <c r="QZF59" s="12"/>
      <c r="QZG59" s="12"/>
      <c r="QZH59" s="12"/>
      <c r="QZI59" s="12"/>
      <c r="QZJ59" s="12"/>
      <c r="QZK59" s="12"/>
      <c r="QZL59" s="12"/>
      <c r="QZM59" s="12"/>
      <c r="QZN59" s="12"/>
      <c r="QZO59" s="12"/>
      <c r="QZP59" s="12"/>
      <c r="QZQ59" s="12"/>
      <c r="QZR59" s="12"/>
      <c r="QZS59" s="12"/>
      <c r="QZT59" s="12"/>
      <c r="QZU59" s="12"/>
      <c r="QZV59" s="12"/>
      <c r="QZW59" s="12"/>
      <c r="QZX59" s="12"/>
      <c r="QZY59" s="12"/>
      <c r="QZZ59" s="12"/>
      <c r="RAA59" s="12"/>
      <c r="RAB59" s="12"/>
      <c r="RAC59" s="12"/>
      <c r="RAD59" s="12"/>
      <c r="RAE59" s="12"/>
      <c r="RAF59" s="12"/>
      <c r="RAG59" s="12"/>
      <c r="RAH59" s="12"/>
      <c r="RAI59" s="12"/>
      <c r="RAJ59" s="12"/>
      <c r="RAK59" s="12"/>
      <c r="RAL59" s="12"/>
      <c r="RAM59" s="12"/>
      <c r="RAN59" s="12"/>
      <c r="RAO59" s="12"/>
      <c r="RAP59" s="12"/>
      <c r="RAQ59" s="12"/>
      <c r="RAR59" s="12"/>
      <c r="RAS59" s="12"/>
      <c r="RAT59" s="12"/>
      <c r="RAU59" s="12"/>
      <c r="RAV59" s="12"/>
      <c r="RAW59" s="12"/>
      <c r="RAX59" s="12"/>
      <c r="RAY59" s="12"/>
      <c r="RAZ59" s="12"/>
      <c r="RBA59" s="12"/>
      <c r="RBB59" s="12"/>
      <c r="RBC59" s="12"/>
      <c r="RBD59" s="12"/>
      <c r="RBE59" s="12"/>
      <c r="RBF59" s="12"/>
      <c r="RBG59" s="12"/>
      <c r="RBH59" s="12"/>
      <c r="RBI59" s="12"/>
      <c r="RBJ59" s="12"/>
      <c r="RBK59" s="12"/>
      <c r="RBL59" s="12"/>
      <c r="RBM59" s="12"/>
      <c r="RBN59" s="12"/>
      <c r="RBO59" s="12"/>
      <c r="RBP59" s="12"/>
      <c r="RBQ59" s="12"/>
      <c r="RBR59" s="12"/>
      <c r="RBS59" s="12"/>
      <c r="RBT59" s="12"/>
      <c r="RBU59" s="12"/>
      <c r="RBV59" s="12"/>
      <c r="RBW59" s="12"/>
      <c r="RBX59" s="12"/>
      <c r="RBY59" s="12"/>
      <c r="RBZ59" s="12"/>
      <c r="RCA59" s="12"/>
      <c r="RCB59" s="12"/>
      <c r="RCC59" s="12"/>
      <c r="RCD59" s="12"/>
      <c r="RCE59" s="12"/>
      <c r="RCF59" s="12"/>
      <c r="RCG59" s="12"/>
      <c r="RCH59" s="12"/>
      <c r="RCI59" s="12"/>
      <c r="RCJ59" s="12"/>
      <c r="RCK59" s="12"/>
      <c r="RCL59" s="12"/>
      <c r="RCM59" s="12"/>
      <c r="RCN59" s="12"/>
      <c r="RCO59" s="12"/>
      <c r="RCP59" s="12"/>
      <c r="RCQ59" s="12"/>
      <c r="RCR59" s="12"/>
      <c r="RCS59" s="12"/>
      <c r="RCT59" s="12"/>
      <c r="RCU59" s="12"/>
      <c r="RCV59" s="12"/>
      <c r="RCW59" s="12"/>
      <c r="RCX59" s="12"/>
      <c r="RCY59" s="12"/>
      <c r="RCZ59" s="12"/>
      <c r="RDA59" s="12"/>
      <c r="RDB59" s="12"/>
      <c r="RDC59" s="12"/>
      <c r="RDD59" s="12"/>
      <c r="RDE59" s="12"/>
      <c r="RDF59" s="12"/>
      <c r="RDG59" s="12"/>
      <c r="RDH59" s="12"/>
      <c r="RDI59" s="12"/>
      <c r="RDJ59" s="12"/>
      <c r="RDK59" s="12"/>
      <c r="RDL59" s="12"/>
      <c r="RDM59" s="12"/>
      <c r="RDN59" s="12"/>
      <c r="RDO59" s="12"/>
      <c r="RDP59" s="12"/>
      <c r="RDQ59" s="12"/>
      <c r="RDR59" s="12"/>
      <c r="RDS59" s="12"/>
      <c r="RDT59" s="12"/>
      <c r="RDU59" s="12"/>
      <c r="RDV59" s="12"/>
      <c r="RDW59" s="12"/>
      <c r="RDX59" s="12"/>
      <c r="RDY59" s="12"/>
      <c r="RDZ59" s="12"/>
      <c r="REA59" s="12"/>
      <c r="REB59" s="12"/>
      <c r="REC59" s="12"/>
      <c r="RED59" s="12"/>
      <c r="REE59" s="12"/>
      <c r="REF59" s="12"/>
      <c r="REG59" s="12"/>
      <c r="REH59" s="12"/>
      <c r="REI59" s="12"/>
      <c r="REJ59" s="12"/>
      <c r="REK59" s="12"/>
      <c r="REL59" s="12"/>
      <c r="REM59" s="12"/>
      <c r="REN59" s="12"/>
      <c r="REO59" s="12"/>
      <c r="REP59" s="12"/>
      <c r="REQ59" s="12"/>
      <c r="RER59" s="12"/>
      <c r="RES59" s="12"/>
      <c r="RET59" s="12"/>
      <c r="REU59" s="12"/>
      <c r="REV59" s="12"/>
      <c r="REW59" s="12"/>
      <c r="REX59" s="12"/>
      <c r="REY59" s="12"/>
      <c r="REZ59" s="12"/>
      <c r="RFA59" s="12"/>
      <c r="RFB59" s="12"/>
      <c r="RFC59" s="12"/>
      <c r="RFD59" s="12"/>
      <c r="RFE59" s="12"/>
      <c r="RFF59" s="12"/>
      <c r="RFG59" s="12"/>
      <c r="RFH59" s="12"/>
      <c r="RFI59" s="12"/>
      <c r="RFJ59" s="12"/>
      <c r="RFK59" s="12"/>
      <c r="RFL59" s="12"/>
      <c r="RFM59" s="12"/>
      <c r="RFN59" s="12"/>
      <c r="RFO59" s="12"/>
      <c r="RFP59" s="12"/>
      <c r="RFQ59" s="12"/>
      <c r="RFR59" s="12"/>
      <c r="RFS59" s="12"/>
      <c r="RFT59" s="12"/>
      <c r="RFU59" s="12"/>
      <c r="RFV59" s="12"/>
      <c r="RFW59" s="12"/>
      <c r="RFX59" s="12"/>
      <c r="RFY59" s="12"/>
      <c r="RFZ59" s="12"/>
      <c r="RGA59" s="12"/>
      <c r="RGB59" s="12"/>
      <c r="RGC59" s="12"/>
      <c r="RGD59" s="12"/>
      <c r="RGE59" s="12"/>
      <c r="RGF59" s="12"/>
      <c r="RGG59" s="12"/>
      <c r="RGH59" s="12"/>
      <c r="RGI59" s="12"/>
      <c r="RGJ59" s="12"/>
      <c r="RGK59" s="12"/>
      <c r="RGL59" s="12"/>
      <c r="RGM59" s="12"/>
      <c r="RGN59" s="12"/>
      <c r="RGO59" s="12"/>
      <c r="RGP59" s="12"/>
      <c r="RGQ59" s="12"/>
      <c r="RGR59" s="12"/>
      <c r="RGS59" s="12"/>
      <c r="RGT59" s="12"/>
      <c r="RGU59" s="12"/>
      <c r="RGV59" s="12"/>
      <c r="RGW59" s="12"/>
      <c r="RGX59" s="12"/>
      <c r="RGY59" s="12"/>
      <c r="RGZ59" s="12"/>
      <c r="RHA59" s="12"/>
      <c r="RHB59" s="12"/>
      <c r="RHC59" s="12"/>
      <c r="RHD59" s="12"/>
      <c r="RHE59" s="12"/>
      <c r="RHF59" s="12"/>
      <c r="RHG59" s="12"/>
      <c r="RHH59" s="12"/>
      <c r="RHI59" s="12"/>
      <c r="RHJ59" s="12"/>
      <c r="RHK59" s="12"/>
      <c r="RHL59" s="12"/>
      <c r="RHM59" s="12"/>
      <c r="RHN59" s="12"/>
      <c r="RHO59" s="12"/>
      <c r="RHP59" s="12"/>
      <c r="RHQ59" s="12"/>
      <c r="RHR59" s="12"/>
      <c r="RHS59" s="12"/>
      <c r="RHT59" s="12"/>
      <c r="RHU59" s="12"/>
      <c r="RHV59" s="12"/>
      <c r="RHW59" s="12"/>
      <c r="RHX59" s="12"/>
      <c r="RHY59" s="12"/>
      <c r="RHZ59" s="12"/>
      <c r="RIA59" s="12"/>
      <c r="RIB59" s="12"/>
      <c r="RIC59" s="12"/>
      <c r="RID59" s="12"/>
      <c r="RIE59" s="12"/>
      <c r="RIF59" s="12"/>
      <c r="RIG59" s="12"/>
      <c r="RIH59" s="12"/>
      <c r="RII59" s="12"/>
      <c r="RIJ59" s="12"/>
      <c r="RIK59" s="12"/>
      <c r="RIL59" s="12"/>
      <c r="RIM59" s="12"/>
      <c r="RIN59" s="12"/>
      <c r="RIO59" s="12"/>
      <c r="RIP59" s="12"/>
      <c r="RIQ59" s="12"/>
      <c r="RIR59" s="12"/>
      <c r="RIS59" s="12"/>
      <c r="RIT59" s="12"/>
      <c r="RIU59" s="12"/>
      <c r="RIV59" s="12"/>
      <c r="RIW59" s="12"/>
      <c r="RIX59" s="12"/>
      <c r="RIY59" s="12"/>
      <c r="RIZ59" s="12"/>
      <c r="RJA59" s="12"/>
      <c r="RJB59" s="12"/>
      <c r="RJC59" s="12"/>
      <c r="RJD59" s="12"/>
      <c r="RJE59" s="12"/>
      <c r="RJF59" s="12"/>
      <c r="RJG59" s="12"/>
      <c r="RJH59" s="12"/>
      <c r="RJI59" s="12"/>
      <c r="RJJ59" s="12"/>
      <c r="RJK59" s="12"/>
      <c r="RJL59" s="12"/>
      <c r="RJM59" s="12"/>
      <c r="RJN59" s="12"/>
      <c r="RJO59" s="12"/>
      <c r="RJP59" s="12"/>
      <c r="RJQ59" s="12"/>
      <c r="RJR59" s="12"/>
      <c r="RJS59" s="12"/>
      <c r="RJT59" s="12"/>
      <c r="RJU59" s="12"/>
      <c r="RJV59" s="12"/>
      <c r="RJW59" s="12"/>
      <c r="RJX59" s="12"/>
      <c r="RJY59" s="12"/>
      <c r="RJZ59" s="12"/>
      <c r="RKA59" s="12"/>
      <c r="RKB59" s="12"/>
      <c r="RKC59" s="12"/>
      <c r="RKD59" s="12"/>
      <c r="RKE59" s="12"/>
      <c r="RKF59" s="12"/>
      <c r="RKG59" s="12"/>
      <c r="RKH59" s="12"/>
      <c r="RKI59" s="12"/>
      <c r="RKJ59" s="12"/>
      <c r="RKK59" s="12"/>
      <c r="RKL59" s="12"/>
      <c r="RKM59" s="12"/>
      <c r="RKN59" s="12"/>
      <c r="RKO59" s="12"/>
      <c r="RKP59" s="12"/>
      <c r="RKQ59" s="12"/>
      <c r="RKR59" s="12"/>
      <c r="RKS59" s="12"/>
      <c r="RKT59" s="12"/>
      <c r="RKU59" s="12"/>
      <c r="RKV59" s="12"/>
      <c r="RKW59" s="12"/>
      <c r="RKX59" s="12"/>
      <c r="RKY59" s="12"/>
      <c r="RKZ59" s="12"/>
      <c r="RLA59" s="12"/>
      <c r="RLB59" s="12"/>
      <c r="RLC59" s="12"/>
      <c r="RLD59" s="12"/>
      <c r="RLE59" s="12"/>
      <c r="RLF59" s="12"/>
      <c r="RLG59" s="12"/>
      <c r="RLH59" s="12"/>
      <c r="RLI59" s="12"/>
      <c r="RLJ59" s="12"/>
      <c r="RLK59" s="12"/>
      <c r="RLL59" s="12"/>
      <c r="RLM59" s="12"/>
      <c r="RLN59" s="12"/>
      <c r="RLO59" s="12"/>
      <c r="RLP59" s="12"/>
      <c r="RLQ59" s="12"/>
      <c r="RLR59" s="12"/>
      <c r="RLS59" s="12"/>
      <c r="RLT59" s="12"/>
      <c r="RLU59" s="12"/>
      <c r="RLV59" s="12"/>
      <c r="RLW59" s="12"/>
      <c r="RLX59" s="12"/>
      <c r="RLY59" s="12"/>
      <c r="RLZ59" s="12"/>
      <c r="RMA59" s="12"/>
      <c r="RMB59" s="12"/>
      <c r="RMC59" s="12"/>
      <c r="RMD59" s="12"/>
      <c r="RME59" s="12"/>
      <c r="RMF59" s="12"/>
      <c r="RMG59" s="12"/>
      <c r="RMH59" s="12"/>
      <c r="RMI59" s="12"/>
      <c r="RMJ59" s="12"/>
      <c r="RMK59" s="12"/>
      <c r="RML59" s="12"/>
      <c r="RMM59" s="12"/>
      <c r="RMN59" s="12"/>
      <c r="RMO59" s="12"/>
      <c r="RMP59" s="12"/>
      <c r="RMQ59" s="12"/>
      <c r="RMR59" s="12"/>
      <c r="RMS59" s="12"/>
      <c r="RMT59" s="12"/>
      <c r="RMU59" s="12"/>
      <c r="RMV59" s="12"/>
      <c r="RMW59" s="12"/>
      <c r="RMX59" s="12"/>
      <c r="RMY59" s="12"/>
      <c r="RMZ59" s="12"/>
      <c r="RNA59" s="12"/>
      <c r="RNB59" s="12"/>
      <c r="RNC59" s="12"/>
      <c r="RND59" s="12"/>
      <c r="RNE59" s="12"/>
      <c r="RNF59" s="12"/>
      <c r="RNG59" s="12"/>
      <c r="RNH59" s="12"/>
      <c r="RNI59" s="12"/>
      <c r="RNJ59" s="12"/>
      <c r="RNK59" s="12"/>
      <c r="RNL59" s="12"/>
      <c r="RNM59" s="12"/>
      <c r="RNN59" s="12"/>
      <c r="RNO59" s="12"/>
      <c r="RNP59" s="12"/>
      <c r="RNQ59" s="12"/>
      <c r="RNR59" s="12"/>
      <c r="RNS59" s="12"/>
      <c r="RNT59" s="12"/>
      <c r="RNU59" s="12"/>
      <c r="RNV59" s="12"/>
      <c r="RNW59" s="12"/>
      <c r="RNX59" s="12"/>
      <c r="RNY59" s="12"/>
      <c r="RNZ59" s="12"/>
      <c r="ROA59" s="12"/>
      <c r="ROB59" s="12"/>
      <c r="ROC59" s="12"/>
      <c r="ROD59" s="12"/>
      <c r="ROE59" s="12"/>
      <c r="ROF59" s="12"/>
      <c r="ROG59" s="12"/>
      <c r="ROH59" s="12"/>
      <c r="ROI59" s="12"/>
      <c r="ROJ59" s="12"/>
      <c r="ROK59" s="12"/>
      <c r="ROL59" s="12"/>
      <c r="ROM59" s="12"/>
      <c r="RON59" s="12"/>
      <c r="ROO59" s="12"/>
      <c r="ROP59" s="12"/>
      <c r="ROQ59" s="12"/>
      <c r="ROR59" s="12"/>
      <c r="ROS59" s="12"/>
      <c r="ROT59" s="12"/>
      <c r="ROU59" s="12"/>
      <c r="ROV59" s="12"/>
      <c r="ROW59" s="12"/>
      <c r="ROX59" s="12"/>
      <c r="ROY59" s="12"/>
      <c r="ROZ59" s="12"/>
      <c r="RPA59" s="12"/>
      <c r="RPB59" s="12"/>
      <c r="RPC59" s="12"/>
      <c r="RPD59" s="12"/>
      <c r="RPE59" s="12"/>
      <c r="RPF59" s="12"/>
      <c r="RPG59" s="12"/>
      <c r="RPH59" s="12"/>
      <c r="RPI59" s="12"/>
      <c r="RPJ59" s="12"/>
      <c r="RPK59" s="12"/>
      <c r="RPL59" s="12"/>
      <c r="RPM59" s="12"/>
      <c r="RPN59" s="12"/>
      <c r="RPO59" s="12"/>
      <c r="RPP59" s="12"/>
      <c r="RPQ59" s="12"/>
      <c r="RPR59" s="12"/>
      <c r="RPS59" s="12"/>
      <c r="RPT59" s="12"/>
      <c r="RPU59" s="12"/>
      <c r="RPV59" s="12"/>
      <c r="RPW59" s="12"/>
      <c r="RPX59" s="12"/>
      <c r="RPY59" s="12"/>
      <c r="RPZ59" s="12"/>
      <c r="RQA59" s="12"/>
      <c r="RQB59" s="12"/>
      <c r="RQC59" s="12"/>
      <c r="RQD59" s="12"/>
      <c r="RQE59" s="12"/>
      <c r="RQF59" s="12"/>
      <c r="RQG59" s="12"/>
      <c r="RQH59" s="12"/>
      <c r="RQI59" s="12"/>
      <c r="RQJ59" s="12"/>
      <c r="RQK59" s="12"/>
      <c r="RQL59" s="12"/>
      <c r="RQM59" s="12"/>
      <c r="RQN59" s="12"/>
      <c r="RQO59" s="12"/>
      <c r="RQP59" s="12"/>
      <c r="RQQ59" s="12"/>
      <c r="RQR59" s="12"/>
      <c r="RQS59" s="12"/>
      <c r="RQT59" s="12"/>
      <c r="RQU59" s="12"/>
      <c r="RQV59" s="12"/>
      <c r="RQW59" s="12"/>
      <c r="RQX59" s="12"/>
      <c r="RQY59" s="12"/>
      <c r="RQZ59" s="12"/>
      <c r="RRA59" s="12"/>
      <c r="RRB59" s="12"/>
      <c r="RRC59" s="12"/>
      <c r="RRD59" s="12"/>
      <c r="RRE59" s="12"/>
      <c r="RRF59" s="12"/>
      <c r="RRG59" s="12"/>
      <c r="RRH59" s="12"/>
      <c r="RRI59" s="12"/>
      <c r="RRJ59" s="12"/>
      <c r="RRK59" s="12"/>
      <c r="RRL59" s="12"/>
      <c r="RRM59" s="12"/>
      <c r="RRN59" s="12"/>
      <c r="RRO59" s="12"/>
      <c r="RRP59" s="12"/>
      <c r="RRQ59" s="12"/>
      <c r="RRR59" s="12"/>
      <c r="RRS59" s="12"/>
      <c r="RRT59" s="12"/>
      <c r="RRU59" s="12"/>
      <c r="RRV59" s="12"/>
      <c r="RRW59" s="12"/>
      <c r="RRX59" s="12"/>
      <c r="RRY59" s="12"/>
      <c r="RRZ59" s="12"/>
      <c r="RSA59" s="12"/>
      <c r="RSB59" s="12"/>
      <c r="RSC59" s="12"/>
      <c r="RSD59" s="12"/>
      <c r="RSE59" s="12"/>
      <c r="RSF59" s="12"/>
      <c r="RSG59" s="12"/>
      <c r="RSH59" s="12"/>
      <c r="RSI59" s="12"/>
      <c r="RSJ59" s="12"/>
      <c r="RSK59" s="12"/>
      <c r="RSL59" s="12"/>
      <c r="RSM59" s="12"/>
      <c r="RSN59" s="12"/>
      <c r="RSO59" s="12"/>
      <c r="RSP59" s="12"/>
      <c r="RSQ59" s="12"/>
      <c r="RSR59" s="12"/>
      <c r="RSS59" s="12"/>
      <c r="RST59" s="12"/>
      <c r="RSU59" s="12"/>
      <c r="RSV59" s="12"/>
      <c r="RSW59" s="12"/>
      <c r="RSX59" s="12"/>
      <c r="RSY59" s="12"/>
      <c r="RSZ59" s="12"/>
      <c r="RTA59" s="12"/>
      <c r="RTB59" s="12"/>
      <c r="RTC59" s="12"/>
      <c r="RTD59" s="12"/>
      <c r="RTE59" s="12"/>
      <c r="RTF59" s="12"/>
      <c r="RTG59" s="12"/>
      <c r="RTH59" s="12"/>
      <c r="RTI59" s="12"/>
      <c r="RTJ59" s="12"/>
      <c r="RTK59" s="12"/>
      <c r="RTL59" s="12"/>
      <c r="RTM59" s="12"/>
      <c r="RTN59" s="12"/>
      <c r="RTO59" s="12"/>
      <c r="RTP59" s="12"/>
      <c r="RTQ59" s="12"/>
      <c r="RTR59" s="12"/>
      <c r="RTS59" s="12"/>
      <c r="RTT59" s="12"/>
      <c r="RTU59" s="12"/>
      <c r="RTV59" s="12"/>
      <c r="RTW59" s="12"/>
      <c r="RTX59" s="12"/>
      <c r="RTY59" s="12"/>
      <c r="RTZ59" s="12"/>
      <c r="RUA59" s="12"/>
      <c r="RUB59" s="12"/>
      <c r="RUC59" s="12"/>
      <c r="RUD59" s="12"/>
      <c r="RUE59" s="12"/>
      <c r="RUF59" s="12"/>
      <c r="RUG59" s="12"/>
      <c r="RUH59" s="12"/>
      <c r="RUI59" s="12"/>
      <c r="RUJ59" s="12"/>
      <c r="RUK59" s="12"/>
      <c r="RUL59" s="12"/>
      <c r="RUM59" s="12"/>
      <c r="RUN59" s="12"/>
      <c r="RUO59" s="12"/>
      <c r="RUP59" s="12"/>
      <c r="RUQ59" s="12"/>
      <c r="RUR59" s="12"/>
      <c r="RUS59" s="12"/>
      <c r="RUT59" s="12"/>
      <c r="RUU59" s="12"/>
      <c r="RUV59" s="12"/>
      <c r="RUW59" s="12"/>
      <c r="RUX59" s="12"/>
      <c r="RUY59" s="12"/>
      <c r="RUZ59" s="12"/>
      <c r="RVA59" s="12"/>
      <c r="RVB59" s="12"/>
      <c r="RVC59" s="12"/>
      <c r="RVD59" s="12"/>
      <c r="RVE59" s="12"/>
      <c r="RVF59" s="12"/>
      <c r="RVG59" s="12"/>
      <c r="RVH59" s="12"/>
      <c r="RVI59" s="12"/>
      <c r="RVJ59" s="12"/>
      <c r="RVK59" s="12"/>
      <c r="RVL59" s="12"/>
      <c r="RVM59" s="12"/>
      <c r="RVN59" s="12"/>
      <c r="RVO59" s="12"/>
      <c r="RVP59" s="12"/>
      <c r="RVQ59" s="12"/>
      <c r="RVR59" s="12"/>
      <c r="RVS59" s="12"/>
      <c r="RVT59" s="12"/>
      <c r="RVU59" s="12"/>
      <c r="RVV59" s="12"/>
      <c r="RVW59" s="12"/>
      <c r="RVX59" s="12"/>
      <c r="RVY59" s="12"/>
      <c r="RVZ59" s="12"/>
      <c r="RWA59" s="12"/>
      <c r="RWB59" s="12"/>
      <c r="RWC59" s="12"/>
      <c r="RWD59" s="12"/>
      <c r="RWE59" s="12"/>
      <c r="RWF59" s="12"/>
      <c r="RWG59" s="12"/>
      <c r="RWH59" s="12"/>
      <c r="RWI59" s="12"/>
      <c r="RWJ59" s="12"/>
      <c r="RWK59" s="12"/>
      <c r="RWL59" s="12"/>
      <c r="RWM59" s="12"/>
      <c r="RWN59" s="12"/>
      <c r="RWO59" s="12"/>
      <c r="RWP59" s="12"/>
      <c r="RWQ59" s="12"/>
      <c r="RWR59" s="12"/>
      <c r="RWS59" s="12"/>
      <c r="RWT59" s="12"/>
      <c r="RWU59" s="12"/>
      <c r="RWV59" s="12"/>
      <c r="RWW59" s="12"/>
      <c r="RWX59" s="12"/>
      <c r="RWY59" s="12"/>
      <c r="RWZ59" s="12"/>
      <c r="RXA59" s="12"/>
      <c r="RXB59" s="12"/>
      <c r="RXC59" s="12"/>
      <c r="RXD59" s="12"/>
      <c r="RXE59" s="12"/>
      <c r="RXF59" s="12"/>
      <c r="RXG59" s="12"/>
      <c r="RXH59" s="12"/>
      <c r="RXI59" s="12"/>
      <c r="RXJ59" s="12"/>
      <c r="RXK59" s="12"/>
      <c r="RXL59" s="12"/>
      <c r="RXM59" s="12"/>
      <c r="RXN59" s="12"/>
      <c r="RXO59" s="12"/>
      <c r="RXP59" s="12"/>
      <c r="RXQ59" s="12"/>
      <c r="RXR59" s="12"/>
      <c r="RXS59" s="12"/>
      <c r="RXT59" s="12"/>
      <c r="RXU59" s="12"/>
      <c r="RXV59" s="12"/>
      <c r="RXW59" s="12"/>
      <c r="RXX59" s="12"/>
      <c r="RXY59" s="12"/>
      <c r="RXZ59" s="12"/>
      <c r="RYA59" s="12"/>
      <c r="RYB59" s="12"/>
      <c r="RYC59" s="12"/>
      <c r="RYD59" s="12"/>
      <c r="RYE59" s="12"/>
      <c r="RYF59" s="12"/>
      <c r="RYG59" s="12"/>
      <c r="RYH59" s="12"/>
      <c r="RYI59" s="12"/>
      <c r="RYJ59" s="12"/>
      <c r="RYK59" s="12"/>
      <c r="RYL59" s="12"/>
      <c r="RYM59" s="12"/>
      <c r="RYN59" s="12"/>
      <c r="RYO59" s="12"/>
      <c r="RYP59" s="12"/>
      <c r="RYQ59" s="12"/>
      <c r="RYR59" s="12"/>
      <c r="RYS59" s="12"/>
      <c r="RYT59" s="12"/>
      <c r="RYU59" s="12"/>
      <c r="RYV59" s="12"/>
      <c r="RYW59" s="12"/>
      <c r="RYX59" s="12"/>
      <c r="RYY59" s="12"/>
      <c r="RYZ59" s="12"/>
      <c r="RZA59" s="12"/>
      <c r="RZB59" s="12"/>
      <c r="RZC59" s="12"/>
      <c r="RZD59" s="12"/>
      <c r="RZE59" s="12"/>
      <c r="RZF59" s="12"/>
      <c r="RZG59" s="12"/>
      <c r="RZH59" s="12"/>
      <c r="RZI59" s="12"/>
      <c r="RZJ59" s="12"/>
      <c r="RZK59" s="12"/>
      <c r="RZL59" s="12"/>
      <c r="RZM59" s="12"/>
      <c r="RZN59" s="12"/>
      <c r="RZO59" s="12"/>
      <c r="RZP59" s="12"/>
      <c r="RZQ59" s="12"/>
      <c r="RZR59" s="12"/>
      <c r="RZS59" s="12"/>
      <c r="RZT59" s="12"/>
      <c r="RZU59" s="12"/>
      <c r="RZV59" s="12"/>
      <c r="RZW59" s="12"/>
      <c r="RZX59" s="12"/>
      <c r="RZY59" s="12"/>
      <c r="RZZ59" s="12"/>
      <c r="SAA59" s="12"/>
      <c r="SAB59" s="12"/>
      <c r="SAC59" s="12"/>
      <c r="SAD59" s="12"/>
      <c r="SAE59" s="12"/>
      <c r="SAF59" s="12"/>
      <c r="SAG59" s="12"/>
      <c r="SAH59" s="12"/>
      <c r="SAI59" s="12"/>
      <c r="SAJ59" s="12"/>
      <c r="SAK59" s="12"/>
      <c r="SAL59" s="12"/>
      <c r="SAM59" s="12"/>
      <c r="SAN59" s="12"/>
      <c r="SAO59" s="12"/>
      <c r="SAP59" s="12"/>
      <c r="SAQ59" s="12"/>
      <c r="SAR59" s="12"/>
      <c r="SAS59" s="12"/>
      <c r="SAT59" s="12"/>
      <c r="SAU59" s="12"/>
      <c r="SAV59" s="12"/>
      <c r="SAW59" s="12"/>
      <c r="SAX59" s="12"/>
      <c r="SAY59" s="12"/>
      <c r="SAZ59" s="12"/>
      <c r="SBA59" s="12"/>
      <c r="SBB59" s="12"/>
      <c r="SBC59" s="12"/>
      <c r="SBD59" s="12"/>
      <c r="SBE59" s="12"/>
      <c r="SBF59" s="12"/>
      <c r="SBG59" s="12"/>
      <c r="SBH59" s="12"/>
      <c r="SBI59" s="12"/>
      <c r="SBJ59" s="12"/>
      <c r="SBK59" s="12"/>
      <c r="SBL59" s="12"/>
      <c r="SBM59" s="12"/>
      <c r="SBN59" s="12"/>
      <c r="SBO59" s="12"/>
      <c r="SBP59" s="12"/>
      <c r="SBQ59" s="12"/>
      <c r="SBR59" s="12"/>
      <c r="SBS59" s="12"/>
      <c r="SBT59" s="12"/>
      <c r="SBU59" s="12"/>
      <c r="SBV59" s="12"/>
      <c r="SBW59" s="12"/>
      <c r="SBX59" s="12"/>
      <c r="SBY59" s="12"/>
      <c r="SBZ59" s="12"/>
      <c r="SCA59" s="12"/>
      <c r="SCB59" s="12"/>
      <c r="SCC59" s="12"/>
      <c r="SCD59" s="12"/>
      <c r="SCE59" s="12"/>
      <c r="SCF59" s="12"/>
      <c r="SCG59" s="12"/>
      <c r="SCH59" s="12"/>
      <c r="SCI59" s="12"/>
      <c r="SCJ59" s="12"/>
      <c r="SCK59" s="12"/>
      <c r="SCL59" s="12"/>
      <c r="SCM59" s="12"/>
      <c r="SCN59" s="12"/>
      <c r="SCO59" s="12"/>
      <c r="SCP59" s="12"/>
      <c r="SCQ59" s="12"/>
      <c r="SCR59" s="12"/>
      <c r="SCS59" s="12"/>
      <c r="SCT59" s="12"/>
      <c r="SCU59" s="12"/>
      <c r="SCV59" s="12"/>
      <c r="SCW59" s="12"/>
      <c r="SCX59" s="12"/>
      <c r="SCY59" s="12"/>
      <c r="SCZ59" s="12"/>
      <c r="SDA59" s="12"/>
      <c r="SDB59" s="12"/>
      <c r="SDC59" s="12"/>
      <c r="SDD59" s="12"/>
      <c r="SDE59" s="12"/>
      <c r="SDF59" s="12"/>
      <c r="SDG59" s="12"/>
      <c r="SDH59" s="12"/>
      <c r="SDI59" s="12"/>
      <c r="SDJ59" s="12"/>
      <c r="SDK59" s="12"/>
      <c r="SDL59" s="12"/>
      <c r="SDM59" s="12"/>
      <c r="SDN59" s="12"/>
      <c r="SDO59" s="12"/>
      <c r="SDP59" s="12"/>
      <c r="SDQ59" s="12"/>
      <c r="SDR59" s="12"/>
      <c r="SDS59" s="12"/>
      <c r="SDT59" s="12"/>
      <c r="SDU59" s="12"/>
      <c r="SDV59" s="12"/>
      <c r="SDW59" s="12"/>
      <c r="SDX59" s="12"/>
      <c r="SDY59" s="12"/>
      <c r="SDZ59" s="12"/>
      <c r="SEA59" s="12"/>
      <c r="SEB59" s="12"/>
      <c r="SEC59" s="12"/>
      <c r="SED59" s="12"/>
      <c r="SEE59" s="12"/>
      <c r="SEF59" s="12"/>
      <c r="SEG59" s="12"/>
      <c r="SEH59" s="12"/>
      <c r="SEI59" s="12"/>
      <c r="SEJ59" s="12"/>
      <c r="SEK59" s="12"/>
      <c r="SEL59" s="12"/>
      <c r="SEM59" s="12"/>
      <c r="SEN59" s="12"/>
      <c r="SEO59" s="12"/>
      <c r="SEP59" s="12"/>
      <c r="SEQ59" s="12"/>
      <c r="SER59" s="12"/>
      <c r="SES59" s="12"/>
      <c r="SET59" s="12"/>
      <c r="SEU59" s="12"/>
      <c r="SEV59" s="12"/>
      <c r="SEW59" s="12"/>
      <c r="SEX59" s="12"/>
      <c r="SEY59" s="12"/>
      <c r="SEZ59" s="12"/>
      <c r="SFA59" s="12"/>
      <c r="SFB59" s="12"/>
      <c r="SFC59" s="12"/>
      <c r="SFD59" s="12"/>
      <c r="SFE59" s="12"/>
      <c r="SFF59" s="12"/>
      <c r="SFG59" s="12"/>
      <c r="SFH59" s="12"/>
      <c r="SFI59" s="12"/>
      <c r="SFJ59" s="12"/>
      <c r="SFK59" s="12"/>
      <c r="SFL59" s="12"/>
      <c r="SFM59" s="12"/>
      <c r="SFN59" s="12"/>
      <c r="SFO59" s="12"/>
      <c r="SFP59" s="12"/>
      <c r="SFQ59" s="12"/>
      <c r="SFR59" s="12"/>
      <c r="SFS59" s="12"/>
      <c r="SFT59" s="12"/>
      <c r="SFU59" s="12"/>
      <c r="SFV59" s="12"/>
      <c r="SFW59" s="12"/>
      <c r="SFX59" s="12"/>
      <c r="SFY59" s="12"/>
      <c r="SFZ59" s="12"/>
      <c r="SGA59" s="12"/>
      <c r="SGB59" s="12"/>
      <c r="SGC59" s="12"/>
      <c r="SGD59" s="12"/>
      <c r="SGE59" s="12"/>
      <c r="SGF59" s="12"/>
      <c r="SGG59" s="12"/>
      <c r="SGH59" s="12"/>
      <c r="SGI59" s="12"/>
      <c r="SGJ59" s="12"/>
      <c r="SGK59" s="12"/>
      <c r="SGL59" s="12"/>
      <c r="SGM59" s="12"/>
      <c r="SGN59" s="12"/>
      <c r="SGO59" s="12"/>
      <c r="SGP59" s="12"/>
      <c r="SGQ59" s="12"/>
      <c r="SGR59" s="12"/>
      <c r="SGS59" s="12"/>
      <c r="SGT59" s="12"/>
      <c r="SGU59" s="12"/>
      <c r="SGV59" s="12"/>
      <c r="SGW59" s="12"/>
      <c r="SGX59" s="12"/>
      <c r="SGY59" s="12"/>
      <c r="SGZ59" s="12"/>
      <c r="SHA59" s="12"/>
      <c r="SHB59" s="12"/>
      <c r="SHC59" s="12"/>
      <c r="SHD59" s="12"/>
      <c r="SHE59" s="12"/>
      <c r="SHF59" s="12"/>
      <c r="SHG59" s="12"/>
      <c r="SHH59" s="12"/>
      <c r="SHI59" s="12"/>
      <c r="SHJ59" s="12"/>
      <c r="SHK59" s="12"/>
      <c r="SHL59" s="12"/>
      <c r="SHM59" s="12"/>
      <c r="SHN59" s="12"/>
      <c r="SHO59" s="12"/>
      <c r="SHP59" s="12"/>
      <c r="SHQ59" s="12"/>
      <c r="SHR59" s="12"/>
      <c r="SHS59" s="12"/>
      <c r="SHT59" s="12"/>
      <c r="SHU59" s="12"/>
      <c r="SHV59" s="12"/>
      <c r="SHW59" s="12"/>
      <c r="SHX59" s="12"/>
      <c r="SHY59" s="12"/>
      <c r="SHZ59" s="12"/>
      <c r="SIA59" s="12"/>
      <c r="SIB59" s="12"/>
      <c r="SIC59" s="12"/>
      <c r="SID59" s="12"/>
      <c r="SIE59" s="12"/>
      <c r="SIF59" s="12"/>
      <c r="SIG59" s="12"/>
      <c r="SIH59" s="12"/>
      <c r="SII59" s="12"/>
      <c r="SIJ59" s="12"/>
      <c r="SIK59" s="12"/>
      <c r="SIL59" s="12"/>
      <c r="SIM59" s="12"/>
      <c r="SIN59" s="12"/>
      <c r="SIO59" s="12"/>
      <c r="SIP59" s="12"/>
      <c r="SIQ59" s="12"/>
      <c r="SIR59" s="12"/>
      <c r="SIS59" s="12"/>
      <c r="SIT59" s="12"/>
      <c r="SIU59" s="12"/>
      <c r="SIV59" s="12"/>
      <c r="SIW59" s="12"/>
      <c r="SIX59" s="12"/>
      <c r="SIY59" s="12"/>
      <c r="SIZ59" s="12"/>
      <c r="SJA59" s="12"/>
      <c r="SJB59" s="12"/>
      <c r="SJC59" s="12"/>
      <c r="SJD59" s="12"/>
      <c r="SJE59" s="12"/>
      <c r="SJF59" s="12"/>
      <c r="SJG59" s="12"/>
      <c r="SJH59" s="12"/>
      <c r="SJI59" s="12"/>
      <c r="SJJ59" s="12"/>
      <c r="SJK59" s="12"/>
      <c r="SJL59" s="12"/>
      <c r="SJM59" s="12"/>
      <c r="SJN59" s="12"/>
      <c r="SJO59" s="12"/>
      <c r="SJP59" s="12"/>
      <c r="SJQ59" s="12"/>
      <c r="SJR59" s="12"/>
      <c r="SJS59" s="12"/>
      <c r="SJT59" s="12"/>
      <c r="SJU59" s="12"/>
      <c r="SJV59" s="12"/>
      <c r="SJW59" s="12"/>
      <c r="SJX59" s="12"/>
      <c r="SJY59" s="12"/>
      <c r="SJZ59" s="12"/>
      <c r="SKA59" s="12"/>
      <c r="SKB59" s="12"/>
      <c r="SKC59" s="12"/>
      <c r="SKD59" s="12"/>
      <c r="SKE59" s="12"/>
      <c r="SKF59" s="12"/>
      <c r="SKG59" s="12"/>
      <c r="SKH59" s="12"/>
      <c r="SKI59" s="12"/>
      <c r="SKJ59" s="12"/>
      <c r="SKK59" s="12"/>
      <c r="SKL59" s="12"/>
      <c r="SKM59" s="12"/>
      <c r="SKN59" s="12"/>
      <c r="SKO59" s="12"/>
      <c r="SKP59" s="12"/>
      <c r="SKQ59" s="12"/>
      <c r="SKR59" s="12"/>
      <c r="SKS59" s="12"/>
      <c r="SKT59" s="12"/>
      <c r="SKU59" s="12"/>
      <c r="SKV59" s="12"/>
      <c r="SKW59" s="12"/>
      <c r="SKX59" s="12"/>
      <c r="SKY59" s="12"/>
      <c r="SKZ59" s="12"/>
      <c r="SLA59" s="12"/>
      <c r="SLB59" s="12"/>
      <c r="SLC59" s="12"/>
      <c r="SLD59" s="12"/>
      <c r="SLE59" s="12"/>
      <c r="SLF59" s="12"/>
      <c r="SLG59" s="12"/>
      <c r="SLH59" s="12"/>
      <c r="SLI59" s="12"/>
      <c r="SLJ59" s="12"/>
      <c r="SLK59" s="12"/>
      <c r="SLL59" s="12"/>
      <c r="SLM59" s="12"/>
      <c r="SLN59" s="12"/>
      <c r="SLO59" s="12"/>
      <c r="SLP59" s="12"/>
      <c r="SLQ59" s="12"/>
      <c r="SLR59" s="12"/>
      <c r="SLS59" s="12"/>
      <c r="SLT59" s="12"/>
      <c r="SLU59" s="12"/>
      <c r="SLV59" s="12"/>
      <c r="SLW59" s="12"/>
      <c r="SLX59" s="12"/>
      <c r="SLY59" s="12"/>
      <c r="SLZ59" s="12"/>
      <c r="SMA59" s="12"/>
      <c r="SMB59" s="12"/>
      <c r="SMC59" s="12"/>
      <c r="SMD59" s="12"/>
      <c r="SME59" s="12"/>
      <c r="SMF59" s="12"/>
      <c r="SMG59" s="12"/>
      <c r="SMH59" s="12"/>
      <c r="SMI59" s="12"/>
      <c r="SMJ59" s="12"/>
      <c r="SMK59" s="12"/>
      <c r="SML59" s="12"/>
      <c r="SMM59" s="12"/>
      <c r="SMN59" s="12"/>
      <c r="SMO59" s="12"/>
      <c r="SMP59" s="12"/>
      <c r="SMQ59" s="12"/>
      <c r="SMR59" s="12"/>
      <c r="SMS59" s="12"/>
      <c r="SMT59" s="12"/>
      <c r="SMU59" s="12"/>
      <c r="SMV59" s="12"/>
      <c r="SMW59" s="12"/>
      <c r="SMX59" s="12"/>
      <c r="SMY59" s="12"/>
      <c r="SMZ59" s="12"/>
      <c r="SNA59" s="12"/>
      <c r="SNB59" s="12"/>
      <c r="SNC59" s="12"/>
      <c r="SND59" s="12"/>
      <c r="SNE59" s="12"/>
      <c r="SNF59" s="12"/>
      <c r="SNG59" s="12"/>
      <c r="SNH59" s="12"/>
      <c r="SNI59" s="12"/>
      <c r="SNJ59" s="12"/>
      <c r="SNK59" s="12"/>
      <c r="SNL59" s="12"/>
      <c r="SNM59" s="12"/>
      <c r="SNN59" s="12"/>
      <c r="SNO59" s="12"/>
      <c r="SNP59" s="12"/>
      <c r="SNQ59" s="12"/>
      <c r="SNR59" s="12"/>
      <c r="SNS59" s="12"/>
      <c r="SNT59" s="12"/>
      <c r="SNU59" s="12"/>
      <c r="SNV59" s="12"/>
      <c r="SNW59" s="12"/>
      <c r="SNX59" s="12"/>
      <c r="SNY59" s="12"/>
      <c r="SNZ59" s="12"/>
      <c r="SOA59" s="12"/>
      <c r="SOB59" s="12"/>
      <c r="SOC59" s="12"/>
      <c r="SOD59" s="12"/>
      <c r="SOE59" s="12"/>
      <c r="SOF59" s="12"/>
      <c r="SOG59" s="12"/>
      <c r="SOH59" s="12"/>
      <c r="SOI59" s="12"/>
      <c r="SOJ59" s="12"/>
      <c r="SOK59" s="12"/>
      <c r="SOL59" s="12"/>
      <c r="SOM59" s="12"/>
      <c r="SON59" s="12"/>
      <c r="SOO59" s="12"/>
      <c r="SOP59" s="12"/>
      <c r="SOQ59" s="12"/>
      <c r="SOR59" s="12"/>
      <c r="SOS59" s="12"/>
      <c r="SOT59" s="12"/>
      <c r="SOU59" s="12"/>
      <c r="SOV59" s="12"/>
      <c r="SOW59" s="12"/>
      <c r="SOX59" s="12"/>
      <c r="SOY59" s="12"/>
      <c r="SOZ59" s="12"/>
      <c r="SPA59" s="12"/>
      <c r="SPB59" s="12"/>
      <c r="SPC59" s="12"/>
      <c r="SPD59" s="12"/>
      <c r="SPE59" s="12"/>
      <c r="SPF59" s="12"/>
      <c r="SPG59" s="12"/>
      <c r="SPH59" s="12"/>
      <c r="SPI59" s="12"/>
      <c r="SPJ59" s="12"/>
      <c r="SPK59" s="12"/>
      <c r="SPL59" s="12"/>
      <c r="SPM59" s="12"/>
      <c r="SPN59" s="12"/>
      <c r="SPO59" s="12"/>
      <c r="SPP59" s="12"/>
      <c r="SPQ59" s="12"/>
      <c r="SPR59" s="12"/>
      <c r="SPS59" s="12"/>
      <c r="SPT59" s="12"/>
      <c r="SPU59" s="12"/>
      <c r="SPV59" s="12"/>
      <c r="SPW59" s="12"/>
      <c r="SPX59" s="12"/>
      <c r="SPY59" s="12"/>
      <c r="SPZ59" s="12"/>
      <c r="SQA59" s="12"/>
      <c r="SQB59" s="12"/>
      <c r="SQC59" s="12"/>
      <c r="SQD59" s="12"/>
      <c r="SQE59" s="12"/>
      <c r="SQF59" s="12"/>
      <c r="SQG59" s="12"/>
      <c r="SQH59" s="12"/>
      <c r="SQI59" s="12"/>
      <c r="SQJ59" s="12"/>
      <c r="SQK59" s="12"/>
      <c r="SQL59" s="12"/>
      <c r="SQM59" s="12"/>
      <c r="SQN59" s="12"/>
      <c r="SQO59" s="12"/>
      <c r="SQP59" s="12"/>
      <c r="SQQ59" s="12"/>
      <c r="SQR59" s="12"/>
      <c r="SQS59" s="12"/>
      <c r="SQT59" s="12"/>
      <c r="SQU59" s="12"/>
      <c r="SQV59" s="12"/>
      <c r="SQW59" s="12"/>
      <c r="SQX59" s="12"/>
      <c r="SQY59" s="12"/>
      <c r="SQZ59" s="12"/>
      <c r="SRA59" s="12"/>
      <c r="SRB59" s="12"/>
      <c r="SRC59" s="12"/>
      <c r="SRD59" s="12"/>
      <c r="SRE59" s="12"/>
      <c r="SRF59" s="12"/>
      <c r="SRG59" s="12"/>
      <c r="SRH59" s="12"/>
      <c r="SRI59" s="12"/>
      <c r="SRJ59" s="12"/>
      <c r="SRK59" s="12"/>
      <c r="SRL59" s="12"/>
      <c r="SRM59" s="12"/>
      <c r="SRN59" s="12"/>
      <c r="SRO59" s="12"/>
      <c r="SRP59" s="12"/>
      <c r="SRQ59" s="12"/>
      <c r="SRR59" s="12"/>
      <c r="SRS59" s="12"/>
      <c r="SRT59" s="12"/>
      <c r="SRU59" s="12"/>
      <c r="SRV59" s="12"/>
      <c r="SRW59" s="12"/>
      <c r="SRX59" s="12"/>
      <c r="SRY59" s="12"/>
      <c r="SRZ59" s="12"/>
      <c r="SSA59" s="12"/>
      <c r="SSB59" s="12"/>
      <c r="SSC59" s="12"/>
      <c r="SSD59" s="12"/>
      <c r="SSE59" s="12"/>
      <c r="SSF59" s="12"/>
      <c r="SSG59" s="12"/>
      <c r="SSH59" s="12"/>
      <c r="SSI59" s="12"/>
      <c r="SSJ59" s="12"/>
      <c r="SSK59" s="12"/>
      <c r="SSL59" s="12"/>
      <c r="SSM59" s="12"/>
      <c r="SSN59" s="12"/>
      <c r="SSO59" s="12"/>
      <c r="SSP59" s="12"/>
      <c r="SSQ59" s="12"/>
      <c r="SSR59" s="12"/>
      <c r="SSS59" s="12"/>
      <c r="SST59" s="12"/>
      <c r="SSU59" s="12"/>
      <c r="SSV59" s="12"/>
      <c r="SSW59" s="12"/>
      <c r="SSX59" s="12"/>
      <c r="SSY59" s="12"/>
      <c r="SSZ59" s="12"/>
      <c r="STA59" s="12"/>
      <c r="STB59" s="12"/>
      <c r="STC59" s="12"/>
      <c r="STD59" s="12"/>
      <c r="STE59" s="12"/>
      <c r="STF59" s="12"/>
      <c r="STG59" s="12"/>
      <c r="STH59" s="12"/>
      <c r="STI59" s="12"/>
      <c r="STJ59" s="12"/>
      <c r="STK59" s="12"/>
      <c r="STL59" s="12"/>
      <c r="STM59" s="12"/>
      <c r="STN59" s="12"/>
      <c r="STO59" s="12"/>
      <c r="STP59" s="12"/>
      <c r="STQ59" s="12"/>
      <c r="STR59" s="12"/>
      <c r="STS59" s="12"/>
      <c r="STT59" s="12"/>
      <c r="STU59" s="12"/>
      <c r="STV59" s="12"/>
      <c r="STW59" s="12"/>
      <c r="STX59" s="12"/>
      <c r="STY59" s="12"/>
      <c r="STZ59" s="12"/>
      <c r="SUA59" s="12"/>
      <c r="SUB59" s="12"/>
      <c r="SUC59" s="12"/>
      <c r="SUD59" s="12"/>
      <c r="SUE59" s="12"/>
      <c r="SUF59" s="12"/>
      <c r="SUG59" s="12"/>
      <c r="SUH59" s="12"/>
      <c r="SUI59" s="12"/>
      <c r="SUJ59" s="12"/>
      <c r="SUK59" s="12"/>
      <c r="SUL59" s="12"/>
      <c r="SUM59" s="12"/>
      <c r="SUN59" s="12"/>
      <c r="SUO59" s="12"/>
      <c r="SUP59" s="12"/>
      <c r="SUQ59" s="12"/>
      <c r="SUR59" s="12"/>
      <c r="SUS59" s="12"/>
      <c r="SUT59" s="12"/>
      <c r="SUU59" s="12"/>
      <c r="SUV59" s="12"/>
      <c r="SUW59" s="12"/>
      <c r="SUX59" s="12"/>
      <c r="SUY59" s="12"/>
      <c r="SUZ59" s="12"/>
      <c r="SVA59" s="12"/>
      <c r="SVB59" s="12"/>
      <c r="SVC59" s="12"/>
      <c r="SVD59" s="12"/>
      <c r="SVE59" s="12"/>
      <c r="SVF59" s="12"/>
      <c r="SVG59" s="12"/>
      <c r="SVH59" s="12"/>
      <c r="SVI59" s="12"/>
      <c r="SVJ59" s="12"/>
      <c r="SVK59" s="12"/>
      <c r="SVL59" s="12"/>
      <c r="SVM59" s="12"/>
      <c r="SVN59" s="12"/>
      <c r="SVO59" s="12"/>
      <c r="SVP59" s="12"/>
      <c r="SVQ59" s="12"/>
      <c r="SVR59" s="12"/>
      <c r="SVS59" s="12"/>
      <c r="SVT59" s="12"/>
      <c r="SVU59" s="12"/>
      <c r="SVV59" s="12"/>
      <c r="SVW59" s="12"/>
      <c r="SVX59" s="12"/>
      <c r="SVY59" s="12"/>
      <c r="SVZ59" s="12"/>
      <c r="SWA59" s="12"/>
      <c r="SWB59" s="12"/>
      <c r="SWC59" s="12"/>
      <c r="SWD59" s="12"/>
      <c r="SWE59" s="12"/>
      <c r="SWF59" s="12"/>
      <c r="SWG59" s="12"/>
      <c r="SWH59" s="12"/>
      <c r="SWI59" s="12"/>
      <c r="SWJ59" s="12"/>
      <c r="SWK59" s="12"/>
      <c r="SWL59" s="12"/>
      <c r="SWM59" s="12"/>
      <c r="SWN59" s="12"/>
      <c r="SWO59" s="12"/>
      <c r="SWP59" s="12"/>
      <c r="SWQ59" s="12"/>
      <c r="SWR59" s="12"/>
      <c r="SWS59" s="12"/>
      <c r="SWT59" s="12"/>
      <c r="SWU59" s="12"/>
      <c r="SWV59" s="12"/>
      <c r="SWW59" s="12"/>
      <c r="SWX59" s="12"/>
      <c r="SWY59" s="12"/>
      <c r="SWZ59" s="12"/>
      <c r="SXA59" s="12"/>
      <c r="SXB59" s="12"/>
      <c r="SXC59" s="12"/>
      <c r="SXD59" s="12"/>
      <c r="SXE59" s="12"/>
      <c r="SXF59" s="12"/>
      <c r="SXG59" s="12"/>
      <c r="SXH59" s="12"/>
      <c r="SXI59" s="12"/>
      <c r="SXJ59" s="12"/>
      <c r="SXK59" s="12"/>
      <c r="SXL59" s="12"/>
      <c r="SXM59" s="12"/>
      <c r="SXN59" s="12"/>
      <c r="SXO59" s="12"/>
      <c r="SXP59" s="12"/>
      <c r="SXQ59" s="12"/>
      <c r="SXR59" s="12"/>
      <c r="SXS59" s="12"/>
      <c r="SXT59" s="12"/>
      <c r="SXU59" s="12"/>
      <c r="SXV59" s="12"/>
      <c r="SXW59" s="12"/>
      <c r="SXX59" s="12"/>
      <c r="SXY59" s="12"/>
      <c r="SXZ59" s="12"/>
      <c r="SYA59" s="12"/>
      <c r="SYB59" s="12"/>
      <c r="SYC59" s="12"/>
      <c r="SYD59" s="12"/>
      <c r="SYE59" s="12"/>
      <c r="SYF59" s="12"/>
      <c r="SYG59" s="12"/>
      <c r="SYH59" s="12"/>
      <c r="SYI59" s="12"/>
      <c r="SYJ59" s="12"/>
      <c r="SYK59" s="12"/>
      <c r="SYL59" s="12"/>
      <c r="SYM59" s="12"/>
      <c r="SYN59" s="12"/>
      <c r="SYO59" s="12"/>
      <c r="SYP59" s="12"/>
      <c r="SYQ59" s="12"/>
      <c r="SYR59" s="12"/>
      <c r="SYS59" s="12"/>
      <c r="SYT59" s="12"/>
      <c r="SYU59" s="12"/>
      <c r="SYV59" s="12"/>
      <c r="SYW59" s="12"/>
      <c r="SYX59" s="12"/>
      <c r="SYY59" s="12"/>
      <c r="SYZ59" s="12"/>
      <c r="SZA59" s="12"/>
      <c r="SZB59" s="12"/>
      <c r="SZC59" s="12"/>
      <c r="SZD59" s="12"/>
      <c r="SZE59" s="12"/>
      <c r="SZF59" s="12"/>
      <c r="SZG59" s="12"/>
      <c r="SZH59" s="12"/>
      <c r="SZI59" s="12"/>
      <c r="SZJ59" s="12"/>
      <c r="SZK59" s="12"/>
      <c r="SZL59" s="12"/>
      <c r="SZM59" s="12"/>
      <c r="SZN59" s="12"/>
      <c r="SZO59" s="12"/>
      <c r="SZP59" s="12"/>
      <c r="SZQ59" s="12"/>
      <c r="SZR59" s="12"/>
      <c r="SZS59" s="12"/>
      <c r="SZT59" s="12"/>
      <c r="SZU59" s="12"/>
      <c r="SZV59" s="12"/>
      <c r="SZW59" s="12"/>
      <c r="SZX59" s="12"/>
      <c r="SZY59" s="12"/>
      <c r="SZZ59" s="12"/>
      <c r="TAA59" s="12"/>
      <c r="TAB59" s="12"/>
      <c r="TAC59" s="12"/>
      <c r="TAD59" s="12"/>
      <c r="TAE59" s="12"/>
      <c r="TAF59" s="12"/>
      <c r="TAG59" s="12"/>
      <c r="TAH59" s="12"/>
      <c r="TAI59" s="12"/>
      <c r="TAJ59" s="12"/>
      <c r="TAK59" s="12"/>
      <c r="TAL59" s="12"/>
      <c r="TAM59" s="12"/>
      <c r="TAN59" s="12"/>
      <c r="TAO59" s="12"/>
      <c r="TAP59" s="12"/>
      <c r="TAQ59" s="12"/>
      <c r="TAR59" s="12"/>
      <c r="TAS59" s="12"/>
      <c r="TAT59" s="12"/>
      <c r="TAU59" s="12"/>
      <c r="TAV59" s="12"/>
      <c r="TAW59" s="12"/>
      <c r="TAX59" s="12"/>
      <c r="TAY59" s="12"/>
      <c r="TAZ59" s="12"/>
      <c r="TBA59" s="12"/>
      <c r="TBB59" s="12"/>
      <c r="TBC59" s="12"/>
      <c r="TBD59" s="12"/>
      <c r="TBE59" s="12"/>
      <c r="TBF59" s="12"/>
      <c r="TBG59" s="12"/>
      <c r="TBH59" s="12"/>
      <c r="TBI59" s="12"/>
      <c r="TBJ59" s="12"/>
      <c r="TBK59" s="12"/>
      <c r="TBL59" s="12"/>
      <c r="TBM59" s="12"/>
      <c r="TBN59" s="12"/>
      <c r="TBO59" s="12"/>
      <c r="TBP59" s="12"/>
      <c r="TBQ59" s="12"/>
      <c r="TBR59" s="12"/>
      <c r="TBS59" s="12"/>
      <c r="TBT59" s="12"/>
      <c r="TBU59" s="12"/>
      <c r="TBV59" s="12"/>
      <c r="TBW59" s="12"/>
      <c r="TBX59" s="12"/>
      <c r="TBY59" s="12"/>
      <c r="TBZ59" s="12"/>
      <c r="TCA59" s="12"/>
      <c r="TCB59" s="12"/>
      <c r="TCC59" s="12"/>
      <c r="TCD59" s="12"/>
      <c r="TCE59" s="12"/>
      <c r="TCF59" s="12"/>
      <c r="TCG59" s="12"/>
      <c r="TCH59" s="12"/>
      <c r="TCI59" s="12"/>
      <c r="TCJ59" s="12"/>
      <c r="TCK59" s="12"/>
      <c r="TCL59" s="12"/>
      <c r="TCM59" s="12"/>
      <c r="TCN59" s="12"/>
      <c r="TCO59" s="12"/>
      <c r="TCP59" s="12"/>
      <c r="TCQ59" s="12"/>
      <c r="TCR59" s="12"/>
      <c r="TCS59" s="12"/>
      <c r="TCT59" s="12"/>
      <c r="TCU59" s="12"/>
      <c r="TCV59" s="12"/>
      <c r="TCW59" s="12"/>
      <c r="TCX59" s="12"/>
      <c r="TCY59" s="12"/>
      <c r="TCZ59" s="12"/>
      <c r="TDA59" s="12"/>
      <c r="TDB59" s="12"/>
      <c r="TDC59" s="12"/>
      <c r="TDD59" s="12"/>
      <c r="TDE59" s="12"/>
      <c r="TDF59" s="12"/>
      <c r="TDG59" s="12"/>
      <c r="TDH59" s="12"/>
      <c r="TDI59" s="12"/>
      <c r="TDJ59" s="12"/>
      <c r="TDK59" s="12"/>
      <c r="TDL59" s="12"/>
      <c r="TDM59" s="12"/>
      <c r="TDN59" s="12"/>
      <c r="TDO59" s="12"/>
      <c r="TDP59" s="12"/>
      <c r="TDQ59" s="12"/>
      <c r="TDR59" s="12"/>
      <c r="TDS59" s="12"/>
      <c r="TDT59" s="12"/>
      <c r="TDU59" s="12"/>
      <c r="TDV59" s="12"/>
      <c r="TDW59" s="12"/>
      <c r="TDX59" s="12"/>
      <c r="TDY59" s="12"/>
      <c r="TDZ59" s="12"/>
      <c r="TEA59" s="12"/>
      <c r="TEB59" s="12"/>
      <c r="TEC59" s="12"/>
      <c r="TED59" s="12"/>
      <c r="TEE59" s="12"/>
      <c r="TEF59" s="12"/>
      <c r="TEG59" s="12"/>
      <c r="TEH59" s="12"/>
      <c r="TEI59" s="12"/>
      <c r="TEJ59" s="12"/>
      <c r="TEK59" s="12"/>
      <c r="TEL59" s="12"/>
      <c r="TEM59" s="12"/>
      <c r="TEN59" s="12"/>
      <c r="TEO59" s="12"/>
      <c r="TEP59" s="12"/>
      <c r="TEQ59" s="12"/>
      <c r="TER59" s="12"/>
      <c r="TES59" s="12"/>
      <c r="TET59" s="12"/>
      <c r="TEU59" s="12"/>
      <c r="TEV59" s="12"/>
      <c r="TEW59" s="12"/>
      <c r="TEX59" s="12"/>
      <c r="TEY59" s="12"/>
      <c r="TEZ59" s="12"/>
      <c r="TFA59" s="12"/>
      <c r="TFB59" s="12"/>
      <c r="TFC59" s="12"/>
      <c r="TFD59" s="12"/>
      <c r="TFE59" s="12"/>
      <c r="TFF59" s="12"/>
      <c r="TFG59" s="12"/>
      <c r="TFH59" s="12"/>
      <c r="TFI59" s="12"/>
      <c r="TFJ59" s="12"/>
      <c r="TFK59" s="12"/>
      <c r="TFL59" s="12"/>
      <c r="TFM59" s="12"/>
      <c r="TFN59" s="12"/>
      <c r="TFO59" s="12"/>
      <c r="TFP59" s="12"/>
      <c r="TFQ59" s="12"/>
      <c r="TFR59" s="12"/>
      <c r="TFS59" s="12"/>
      <c r="TFT59" s="12"/>
      <c r="TFU59" s="12"/>
      <c r="TFV59" s="12"/>
      <c r="TFW59" s="12"/>
      <c r="TFX59" s="12"/>
      <c r="TFY59" s="12"/>
      <c r="TFZ59" s="12"/>
      <c r="TGA59" s="12"/>
      <c r="TGB59" s="12"/>
      <c r="TGC59" s="12"/>
      <c r="TGD59" s="12"/>
      <c r="TGE59" s="12"/>
      <c r="TGF59" s="12"/>
      <c r="TGG59" s="12"/>
      <c r="TGH59" s="12"/>
      <c r="TGI59" s="12"/>
      <c r="TGJ59" s="12"/>
      <c r="TGK59" s="12"/>
      <c r="TGL59" s="12"/>
      <c r="TGM59" s="12"/>
      <c r="TGN59" s="12"/>
      <c r="TGO59" s="12"/>
      <c r="TGP59" s="12"/>
      <c r="TGQ59" s="12"/>
      <c r="TGR59" s="12"/>
      <c r="TGS59" s="12"/>
      <c r="TGT59" s="12"/>
      <c r="TGU59" s="12"/>
      <c r="TGV59" s="12"/>
      <c r="TGW59" s="12"/>
      <c r="TGX59" s="12"/>
      <c r="TGY59" s="12"/>
      <c r="TGZ59" s="12"/>
      <c r="THA59" s="12"/>
      <c r="THB59" s="12"/>
      <c r="THC59" s="12"/>
      <c r="THD59" s="12"/>
      <c r="THE59" s="12"/>
      <c r="THF59" s="12"/>
      <c r="THG59" s="12"/>
      <c r="THH59" s="12"/>
      <c r="THI59" s="12"/>
      <c r="THJ59" s="12"/>
      <c r="THK59" s="12"/>
      <c r="THL59" s="12"/>
      <c r="THM59" s="12"/>
      <c r="THN59" s="12"/>
      <c r="THO59" s="12"/>
      <c r="THP59" s="12"/>
      <c r="THQ59" s="12"/>
      <c r="THR59" s="12"/>
      <c r="THS59" s="12"/>
      <c r="THT59" s="12"/>
      <c r="THU59" s="12"/>
      <c r="THV59" s="12"/>
      <c r="THW59" s="12"/>
      <c r="THX59" s="12"/>
      <c r="THY59" s="12"/>
      <c r="THZ59" s="12"/>
      <c r="TIA59" s="12"/>
      <c r="TIB59" s="12"/>
      <c r="TIC59" s="12"/>
      <c r="TID59" s="12"/>
      <c r="TIE59" s="12"/>
      <c r="TIF59" s="12"/>
      <c r="TIG59" s="12"/>
      <c r="TIH59" s="12"/>
      <c r="TII59" s="12"/>
      <c r="TIJ59" s="12"/>
      <c r="TIK59" s="12"/>
      <c r="TIL59" s="12"/>
      <c r="TIM59" s="12"/>
      <c r="TIN59" s="12"/>
      <c r="TIO59" s="12"/>
      <c r="TIP59" s="12"/>
      <c r="TIQ59" s="12"/>
      <c r="TIR59" s="12"/>
      <c r="TIS59" s="12"/>
      <c r="TIT59" s="12"/>
      <c r="TIU59" s="12"/>
      <c r="TIV59" s="12"/>
      <c r="TIW59" s="12"/>
      <c r="TIX59" s="12"/>
      <c r="TIY59" s="12"/>
      <c r="TIZ59" s="12"/>
      <c r="TJA59" s="12"/>
      <c r="TJB59" s="12"/>
      <c r="TJC59" s="12"/>
      <c r="TJD59" s="12"/>
      <c r="TJE59" s="12"/>
      <c r="TJF59" s="12"/>
      <c r="TJG59" s="12"/>
      <c r="TJH59" s="12"/>
      <c r="TJI59" s="12"/>
      <c r="TJJ59" s="12"/>
      <c r="TJK59" s="12"/>
      <c r="TJL59" s="12"/>
      <c r="TJM59" s="12"/>
      <c r="TJN59" s="12"/>
      <c r="TJO59" s="12"/>
      <c r="TJP59" s="12"/>
      <c r="TJQ59" s="12"/>
      <c r="TJR59" s="12"/>
      <c r="TJS59" s="12"/>
      <c r="TJT59" s="12"/>
      <c r="TJU59" s="12"/>
      <c r="TJV59" s="12"/>
      <c r="TJW59" s="12"/>
      <c r="TJX59" s="12"/>
      <c r="TJY59" s="12"/>
      <c r="TJZ59" s="12"/>
      <c r="TKA59" s="12"/>
      <c r="TKB59" s="12"/>
      <c r="TKC59" s="12"/>
      <c r="TKD59" s="12"/>
      <c r="TKE59" s="12"/>
      <c r="TKF59" s="12"/>
      <c r="TKG59" s="12"/>
      <c r="TKH59" s="12"/>
      <c r="TKI59" s="12"/>
      <c r="TKJ59" s="12"/>
      <c r="TKK59" s="12"/>
      <c r="TKL59" s="12"/>
      <c r="TKM59" s="12"/>
      <c r="TKN59" s="12"/>
      <c r="TKO59" s="12"/>
      <c r="TKP59" s="12"/>
      <c r="TKQ59" s="12"/>
      <c r="TKR59" s="12"/>
      <c r="TKS59" s="12"/>
      <c r="TKT59" s="12"/>
      <c r="TKU59" s="12"/>
      <c r="TKV59" s="12"/>
      <c r="TKW59" s="12"/>
      <c r="TKX59" s="12"/>
      <c r="TKY59" s="12"/>
      <c r="TKZ59" s="12"/>
      <c r="TLA59" s="12"/>
      <c r="TLB59" s="12"/>
      <c r="TLC59" s="12"/>
      <c r="TLD59" s="12"/>
      <c r="TLE59" s="12"/>
      <c r="TLF59" s="12"/>
      <c r="TLG59" s="12"/>
      <c r="TLH59" s="12"/>
      <c r="TLI59" s="12"/>
      <c r="TLJ59" s="12"/>
      <c r="TLK59" s="12"/>
      <c r="TLL59" s="12"/>
      <c r="TLM59" s="12"/>
      <c r="TLN59" s="12"/>
      <c r="TLO59" s="12"/>
      <c r="TLP59" s="12"/>
      <c r="TLQ59" s="12"/>
      <c r="TLR59" s="12"/>
      <c r="TLS59" s="12"/>
      <c r="TLT59" s="12"/>
      <c r="TLU59" s="12"/>
      <c r="TLV59" s="12"/>
      <c r="TLW59" s="12"/>
      <c r="TLX59" s="12"/>
      <c r="TLY59" s="12"/>
      <c r="TLZ59" s="12"/>
      <c r="TMA59" s="12"/>
      <c r="TMB59" s="12"/>
      <c r="TMC59" s="12"/>
      <c r="TMD59" s="12"/>
      <c r="TME59" s="12"/>
      <c r="TMF59" s="12"/>
      <c r="TMG59" s="12"/>
      <c r="TMH59" s="12"/>
      <c r="TMI59" s="12"/>
      <c r="TMJ59" s="12"/>
      <c r="TMK59" s="12"/>
      <c r="TML59" s="12"/>
      <c r="TMM59" s="12"/>
      <c r="TMN59" s="12"/>
      <c r="TMO59" s="12"/>
      <c r="TMP59" s="12"/>
      <c r="TMQ59" s="12"/>
      <c r="TMR59" s="12"/>
      <c r="TMS59" s="12"/>
      <c r="TMT59" s="12"/>
      <c r="TMU59" s="12"/>
      <c r="TMV59" s="12"/>
      <c r="TMW59" s="12"/>
      <c r="TMX59" s="12"/>
      <c r="TMY59" s="12"/>
      <c r="TMZ59" s="12"/>
      <c r="TNA59" s="12"/>
      <c r="TNB59" s="12"/>
      <c r="TNC59" s="12"/>
      <c r="TND59" s="12"/>
      <c r="TNE59" s="12"/>
      <c r="TNF59" s="12"/>
      <c r="TNG59" s="12"/>
      <c r="TNH59" s="12"/>
      <c r="TNI59" s="12"/>
      <c r="TNJ59" s="12"/>
      <c r="TNK59" s="12"/>
      <c r="TNL59" s="12"/>
      <c r="TNM59" s="12"/>
      <c r="TNN59" s="12"/>
      <c r="TNO59" s="12"/>
      <c r="TNP59" s="12"/>
      <c r="TNQ59" s="12"/>
      <c r="TNR59" s="12"/>
      <c r="TNS59" s="12"/>
      <c r="TNT59" s="12"/>
      <c r="TNU59" s="12"/>
      <c r="TNV59" s="12"/>
      <c r="TNW59" s="12"/>
      <c r="TNX59" s="12"/>
      <c r="TNY59" s="12"/>
      <c r="TNZ59" s="12"/>
      <c r="TOA59" s="12"/>
      <c r="TOB59" s="12"/>
      <c r="TOC59" s="12"/>
      <c r="TOD59" s="12"/>
      <c r="TOE59" s="12"/>
      <c r="TOF59" s="12"/>
      <c r="TOG59" s="12"/>
      <c r="TOH59" s="12"/>
      <c r="TOI59" s="12"/>
      <c r="TOJ59" s="12"/>
      <c r="TOK59" s="12"/>
      <c r="TOL59" s="12"/>
      <c r="TOM59" s="12"/>
      <c r="TON59" s="12"/>
      <c r="TOO59" s="12"/>
      <c r="TOP59" s="12"/>
      <c r="TOQ59" s="12"/>
      <c r="TOR59" s="12"/>
      <c r="TOS59" s="12"/>
      <c r="TOT59" s="12"/>
      <c r="TOU59" s="12"/>
      <c r="TOV59" s="12"/>
      <c r="TOW59" s="12"/>
      <c r="TOX59" s="12"/>
      <c r="TOY59" s="12"/>
      <c r="TOZ59" s="12"/>
      <c r="TPA59" s="12"/>
      <c r="TPB59" s="12"/>
      <c r="TPC59" s="12"/>
      <c r="TPD59" s="12"/>
      <c r="TPE59" s="12"/>
      <c r="TPF59" s="12"/>
      <c r="TPG59" s="12"/>
      <c r="TPH59" s="12"/>
      <c r="TPI59" s="12"/>
      <c r="TPJ59" s="12"/>
      <c r="TPK59" s="12"/>
      <c r="TPL59" s="12"/>
      <c r="TPM59" s="12"/>
      <c r="TPN59" s="12"/>
      <c r="TPO59" s="12"/>
      <c r="TPP59" s="12"/>
      <c r="TPQ59" s="12"/>
      <c r="TPR59" s="12"/>
      <c r="TPS59" s="12"/>
      <c r="TPT59" s="12"/>
      <c r="TPU59" s="12"/>
      <c r="TPV59" s="12"/>
      <c r="TPW59" s="12"/>
      <c r="TPX59" s="12"/>
      <c r="TPY59" s="12"/>
      <c r="TPZ59" s="12"/>
      <c r="TQA59" s="12"/>
      <c r="TQB59" s="12"/>
      <c r="TQC59" s="12"/>
      <c r="TQD59" s="12"/>
      <c r="TQE59" s="12"/>
      <c r="TQF59" s="12"/>
      <c r="TQG59" s="12"/>
      <c r="TQH59" s="12"/>
      <c r="TQI59" s="12"/>
      <c r="TQJ59" s="12"/>
      <c r="TQK59" s="12"/>
      <c r="TQL59" s="12"/>
      <c r="TQM59" s="12"/>
      <c r="TQN59" s="12"/>
      <c r="TQO59" s="12"/>
      <c r="TQP59" s="12"/>
      <c r="TQQ59" s="12"/>
      <c r="TQR59" s="12"/>
      <c r="TQS59" s="12"/>
      <c r="TQT59" s="12"/>
      <c r="TQU59" s="12"/>
      <c r="TQV59" s="12"/>
      <c r="TQW59" s="12"/>
      <c r="TQX59" s="12"/>
      <c r="TQY59" s="12"/>
      <c r="TQZ59" s="12"/>
      <c r="TRA59" s="12"/>
      <c r="TRB59" s="12"/>
      <c r="TRC59" s="12"/>
      <c r="TRD59" s="12"/>
      <c r="TRE59" s="12"/>
      <c r="TRF59" s="12"/>
      <c r="TRG59" s="12"/>
      <c r="TRH59" s="12"/>
      <c r="TRI59" s="12"/>
      <c r="TRJ59" s="12"/>
      <c r="TRK59" s="12"/>
      <c r="TRL59" s="12"/>
      <c r="TRM59" s="12"/>
      <c r="TRN59" s="12"/>
      <c r="TRO59" s="12"/>
      <c r="TRP59" s="12"/>
      <c r="TRQ59" s="12"/>
      <c r="TRR59" s="12"/>
      <c r="TRS59" s="12"/>
      <c r="TRT59" s="12"/>
      <c r="TRU59" s="12"/>
      <c r="TRV59" s="12"/>
      <c r="TRW59" s="12"/>
      <c r="TRX59" s="12"/>
      <c r="TRY59" s="12"/>
      <c r="TRZ59" s="12"/>
      <c r="TSA59" s="12"/>
      <c r="TSB59" s="12"/>
      <c r="TSC59" s="12"/>
      <c r="TSD59" s="12"/>
      <c r="TSE59" s="12"/>
      <c r="TSF59" s="12"/>
      <c r="TSG59" s="12"/>
      <c r="TSH59" s="12"/>
      <c r="TSI59" s="12"/>
      <c r="TSJ59" s="12"/>
      <c r="TSK59" s="12"/>
      <c r="TSL59" s="12"/>
      <c r="TSM59" s="12"/>
      <c r="TSN59" s="12"/>
      <c r="TSO59" s="12"/>
      <c r="TSP59" s="12"/>
      <c r="TSQ59" s="12"/>
      <c r="TSR59" s="12"/>
      <c r="TSS59" s="12"/>
      <c r="TST59" s="12"/>
      <c r="TSU59" s="12"/>
      <c r="TSV59" s="12"/>
      <c r="TSW59" s="12"/>
      <c r="TSX59" s="12"/>
      <c r="TSY59" s="12"/>
      <c r="TSZ59" s="12"/>
      <c r="TTA59" s="12"/>
      <c r="TTB59" s="12"/>
      <c r="TTC59" s="12"/>
      <c r="TTD59" s="12"/>
      <c r="TTE59" s="12"/>
      <c r="TTF59" s="12"/>
      <c r="TTG59" s="12"/>
      <c r="TTH59" s="12"/>
      <c r="TTI59" s="12"/>
      <c r="TTJ59" s="12"/>
      <c r="TTK59" s="12"/>
      <c r="TTL59" s="12"/>
      <c r="TTM59" s="12"/>
      <c r="TTN59" s="12"/>
      <c r="TTO59" s="12"/>
      <c r="TTP59" s="12"/>
      <c r="TTQ59" s="12"/>
      <c r="TTR59" s="12"/>
      <c r="TTS59" s="12"/>
      <c r="TTT59" s="12"/>
      <c r="TTU59" s="12"/>
      <c r="TTV59" s="12"/>
      <c r="TTW59" s="12"/>
      <c r="TTX59" s="12"/>
      <c r="TTY59" s="12"/>
      <c r="TTZ59" s="12"/>
      <c r="TUA59" s="12"/>
      <c r="TUB59" s="12"/>
      <c r="TUC59" s="12"/>
      <c r="TUD59" s="12"/>
      <c r="TUE59" s="12"/>
      <c r="TUF59" s="12"/>
      <c r="TUG59" s="12"/>
      <c r="TUH59" s="12"/>
      <c r="TUI59" s="12"/>
      <c r="TUJ59" s="12"/>
      <c r="TUK59" s="12"/>
      <c r="TUL59" s="12"/>
      <c r="TUM59" s="12"/>
      <c r="TUN59" s="12"/>
      <c r="TUO59" s="12"/>
      <c r="TUP59" s="12"/>
      <c r="TUQ59" s="12"/>
      <c r="TUR59" s="12"/>
      <c r="TUS59" s="12"/>
      <c r="TUT59" s="12"/>
      <c r="TUU59" s="12"/>
      <c r="TUV59" s="12"/>
      <c r="TUW59" s="12"/>
      <c r="TUX59" s="12"/>
      <c r="TUY59" s="12"/>
      <c r="TUZ59" s="12"/>
      <c r="TVA59" s="12"/>
      <c r="TVB59" s="12"/>
      <c r="TVC59" s="12"/>
      <c r="TVD59" s="12"/>
      <c r="TVE59" s="12"/>
      <c r="TVF59" s="12"/>
      <c r="TVG59" s="12"/>
      <c r="TVH59" s="12"/>
      <c r="TVI59" s="12"/>
      <c r="TVJ59" s="12"/>
      <c r="TVK59" s="12"/>
      <c r="TVL59" s="12"/>
      <c r="TVM59" s="12"/>
      <c r="TVN59" s="12"/>
      <c r="TVO59" s="12"/>
      <c r="TVP59" s="12"/>
      <c r="TVQ59" s="12"/>
      <c r="TVR59" s="12"/>
      <c r="TVS59" s="12"/>
      <c r="TVT59" s="12"/>
      <c r="TVU59" s="12"/>
      <c r="TVV59" s="12"/>
      <c r="TVW59" s="12"/>
      <c r="TVX59" s="12"/>
      <c r="TVY59" s="12"/>
      <c r="TVZ59" s="12"/>
      <c r="TWA59" s="12"/>
      <c r="TWB59" s="12"/>
      <c r="TWC59" s="12"/>
      <c r="TWD59" s="12"/>
      <c r="TWE59" s="12"/>
      <c r="TWF59" s="12"/>
      <c r="TWG59" s="12"/>
      <c r="TWH59" s="12"/>
      <c r="TWI59" s="12"/>
      <c r="TWJ59" s="12"/>
      <c r="TWK59" s="12"/>
      <c r="TWL59" s="12"/>
      <c r="TWM59" s="12"/>
      <c r="TWN59" s="12"/>
      <c r="TWO59" s="12"/>
      <c r="TWP59" s="12"/>
      <c r="TWQ59" s="12"/>
      <c r="TWR59" s="12"/>
      <c r="TWS59" s="12"/>
      <c r="TWT59" s="12"/>
      <c r="TWU59" s="12"/>
      <c r="TWV59" s="12"/>
      <c r="TWW59" s="12"/>
      <c r="TWX59" s="12"/>
      <c r="TWY59" s="12"/>
      <c r="TWZ59" s="12"/>
      <c r="TXA59" s="12"/>
      <c r="TXB59" s="12"/>
      <c r="TXC59" s="12"/>
      <c r="TXD59" s="12"/>
      <c r="TXE59" s="12"/>
      <c r="TXF59" s="12"/>
      <c r="TXG59" s="12"/>
      <c r="TXH59" s="12"/>
      <c r="TXI59" s="12"/>
      <c r="TXJ59" s="12"/>
      <c r="TXK59" s="12"/>
      <c r="TXL59" s="12"/>
      <c r="TXM59" s="12"/>
      <c r="TXN59" s="12"/>
      <c r="TXO59" s="12"/>
      <c r="TXP59" s="12"/>
      <c r="TXQ59" s="12"/>
      <c r="TXR59" s="12"/>
      <c r="TXS59" s="12"/>
      <c r="TXT59" s="12"/>
      <c r="TXU59" s="12"/>
      <c r="TXV59" s="12"/>
      <c r="TXW59" s="12"/>
      <c r="TXX59" s="12"/>
      <c r="TXY59" s="12"/>
      <c r="TXZ59" s="12"/>
      <c r="TYA59" s="12"/>
      <c r="TYB59" s="12"/>
      <c r="TYC59" s="12"/>
      <c r="TYD59" s="12"/>
      <c r="TYE59" s="12"/>
      <c r="TYF59" s="12"/>
      <c r="TYG59" s="12"/>
      <c r="TYH59" s="12"/>
      <c r="TYI59" s="12"/>
      <c r="TYJ59" s="12"/>
      <c r="TYK59" s="12"/>
      <c r="TYL59" s="12"/>
      <c r="TYM59" s="12"/>
      <c r="TYN59" s="12"/>
      <c r="TYO59" s="12"/>
      <c r="TYP59" s="12"/>
      <c r="TYQ59" s="12"/>
      <c r="TYR59" s="12"/>
      <c r="TYS59" s="12"/>
      <c r="TYT59" s="12"/>
      <c r="TYU59" s="12"/>
      <c r="TYV59" s="12"/>
      <c r="TYW59" s="12"/>
      <c r="TYX59" s="12"/>
      <c r="TYY59" s="12"/>
      <c r="TYZ59" s="12"/>
      <c r="TZA59" s="12"/>
      <c r="TZB59" s="12"/>
      <c r="TZC59" s="12"/>
      <c r="TZD59" s="12"/>
      <c r="TZE59" s="12"/>
      <c r="TZF59" s="12"/>
      <c r="TZG59" s="12"/>
      <c r="TZH59" s="12"/>
      <c r="TZI59" s="12"/>
      <c r="TZJ59" s="12"/>
      <c r="TZK59" s="12"/>
      <c r="TZL59" s="12"/>
      <c r="TZM59" s="12"/>
      <c r="TZN59" s="12"/>
      <c r="TZO59" s="12"/>
      <c r="TZP59" s="12"/>
      <c r="TZQ59" s="12"/>
      <c r="TZR59" s="12"/>
      <c r="TZS59" s="12"/>
      <c r="TZT59" s="12"/>
      <c r="TZU59" s="12"/>
      <c r="TZV59" s="12"/>
      <c r="TZW59" s="12"/>
      <c r="TZX59" s="12"/>
      <c r="TZY59" s="12"/>
      <c r="TZZ59" s="12"/>
      <c r="UAA59" s="12"/>
      <c r="UAB59" s="12"/>
      <c r="UAC59" s="12"/>
      <c r="UAD59" s="12"/>
      <c r="UAE59" s="12"/>
      <c r="UAF59" s="12"/>
      <c r="UAG59" s="12"/>
      <c r="UAH59" s="12"/>
      <c r="UAI59" s="12"/>
      <c r="UAJ59" s="12"/>
      <c r="UAK59" s="12"/>
      <c r="UAL59" s="12"/>
      <c r="UAM59" s="12"/>
      <c r="UAN59" s="12"/>
      <c r="UAO59" s="12"/>
      <c r="UAP59" s="12"/>
      <c r="UAQ59" s="12"/>
      <c r="UAR59" s="12"/>
      <c r="UAS59" s="12"/>
      <c r="UAT59" s="12"/>
      <c r="UAU59" s="12"/>
      <c r="UAV59" s="12"/>
      <c r="UAW59" s="12"/>
      <c r="UAX59" s="12"/>
      <c r="UAY59" s="12"/>
      <c r="UAZ59" s="12"/>
      <c r="UBA59" s="12"/>
      <c r="UBB59" s="12"/>
      <c r="UBC59" s="12"/>
      <c r="UBD59" s="12"/>
      <c r="UBE59" s="12"/>
      <c r="UBF59" s="12"/>
      <c r="UBG59" s="12"/>
      <c r="UBH59" s="12"/>
      <c r="UBI59" s="12"/>
      <c r="UBJ59" s="12"/>
      <c r="UBK59" s="12"/>
      <c r="UBL59" s="12"/>
      <c r="UBM59" s="12"/>
      <c r="UBN59" s="12"/>
      <c r="UBO59" s="12"/>
      <c r="UBP59" s="12"/>
      <c r="UBQ59" s="12"/>
      <c r="UBR59" s="12"/>
      <c r="UBS59" s="12"/>
      <c r="UBT59" s="12"/>
      <c r="UBU59" s="12"/>
      <c r="UBV59" s="12"/>
      <c r="UBW59" s="12"/>
      <c r="UBX59" s="12"/>
      <c r="UBY59" s="12"/>
      <c r="UBZ59" s="12"/>
      <c r="UCA59" s="12"/>
      <c r="UCB59" s="12"/>
      <c r="UCC59" s="12"/>
      <c r="UCD59" s="12"/>
      <c r="UCE59" s="12"/>
      <c r="UCF59" s="12"/>
      <c r="UCG59" s="12"/>
      <c r="UCH59" s="12"/>
      <c r="UCI59" s="12"/>
      <c r="UCJ59" s="12"/>
      <c r="UCK59" s="12"/>
      <c r="UCL59" s="12"/>
      <c r="UCM59" s="12"/>
      <c r="UCN59" s="12"/>
      <c r="UCO59" s="12"/>
      <c r="UCP59" s="12"/>
      <c r="UCQ59" s="12"/>
      <c r="UCR59" s="12"/>
      <c r="UCS59" s="12"/>
      <c r="UCT59" s="12"/>
      <c r="UCU59" s="12"/>
      <c r="UCV59" s="12"/>
      <c r="UCW59" s="12"/>
      <c r="UCX59" s="12"/>
      <c r="UCY59" s="12"/>
      <c r="UCZ59" s="12"/>
      <c r="UDA59" s="12"/>
      <c r="UDB59" s="12"/>
      <c r="UDC59" s="12"/>
      <c r="UDD59" s="12"/>
      <c r="UDE59" s="12"/>
      <c r="UDF59" s="12"/>
      <c r="UDG59" s="12"/>
      <c r="UDH59" s="12"/>
      <c r="UDI59" s="12"/>
      <c r="UDJ59" s="12"/>
      <c r="UDK59" s="12"/>
      <c r="UDL59" s="12"/>
      <c r="UDM59" s="12"/>
      <c r="UDN59" s="12"/>
      <c r="UDO59" s="12"/>
      <c r="UDP59" s="12"/>
      <c r="UDQ59" s="12"/>
      <c r="UDR59" s="12"/>
      <c r="UDS59" s="12"/>
      <c r="UDT59" s="12"/>
      <c r="UDU59" s="12"/>
      <c r="UDV59" s="12"/>
      <c r="UDW59" s="12"/>
      <c r="UDX59" s="12"/>
      <c r="UDY59" s="12"/>
      <c r="UDZ59" s="12"/>
      <c r="UEA59" s="12"/>
      <c r="UEB59" s="12"/>
      <c r="UEC59" s="12"/>
      <c r="UED59" s="12"/>
      <c r="UEE59" s="12"/>
      <c r="UEF59" s="12"/>
      <c r="UEG59" s="12"/>
      <c r="UEH59" s="12"/>
      <c r="UEI59" s="12"/>
      <c r="UEJ59" s="12"/>
      <c r="UEK59" s="12"/>
      <c r="UEL59" s="12"/>
      <c r="UEM59" s="12"/>
      <c r="UEN59" s="12"/>
      <c r="UEO59" s="12"/>
      <c r="UEP59" s="12"/>
      <c r="UEQ59" s="12"/>
      <c r="UER59" s="12"/>
      <c r="UES59" s="12"/>
      <c r="UET59" s="12"/>
      <c r="UEU59" s="12"/>
      <c r="UEV59" s="12"/>
      <c r="UEW59" s="12"/>
      <c r="UEX59" s="12"/>
      <c r="UEY59" s="12"/>
      <c r="UEZ59" s="12"/>
      <c r="UFA59" s="12"/>
      <c r="UFB59" s="12"/>
      <c r="UFC59" s="12"/>
      <c r="UFD59" s="12"/>
      <c r="UFE59" s="12"/>
      <c r="UFF59" s="12"/>
      <c r="UFG59" s="12"/>
      <c r="UFH59" s="12"/>
      <c r="UFI59" s="12"/>
      <c r="UFJ59" s="12"/>
      <c r="UFK59" s="12"/>
      <c r="UFL59" s="12"/>
      <c r="UFM59" s="12"/>
      <c r="UFN59" s="12"/>
      <c r="UFO59" s="12"/>
      <c r="UFP59" s="12"/>
      <c r="UFQ59" s="12"/>
      <c r="UFR59" s="12"/>
      <c r="UFS59" s="12"/>
      <c r="UFT59" s="12"/>
      <c r="UFU59" s="12"/>
      <c r="UFV59" s="12"/>
      <c r="UFW59" s="12"/>
      <c r="UFX59" s="12"/>
      <c r="UFY59" s="12"/>
      <c r="UFZ59" s="12"/>
      <c r="UGA59" s="12"/>
      <c r="UGB59" s="12"/>
      <c r="UGC59" s="12"/>
      <c r="UGD59" s="12"/>
      <c r="UGE59" s="12"/>
      <c r="UGF59" s="12"/>
      <c r="UGG59" s="12"/>
      <c r="UGH59" s="12"/>
      <c r="UGI59" s="12"/>
      <c r="UGJ59" s="12"/>
      <c r="UGK59" s="12"/>
      <c r="UGL59" s="12"/>
      <c r="UGM59" s="12"/>
      <c r="UGN59" s="12"/>
      <c r="UGO59" s="12"/>
      <c r="UGP59" s="12"/>
      <c r="UGQ59" s="12"/>
      <c r="UGR59" s="12"/>
      <c r="UGS59" s="12"/>
      <c r="UGT59" s="12"/>
      <c r="UGU59" s="12"/>
      <c r="UGV59" s="12"/>
      <c r="UGW59" s="12"/>
      <c r="UGX59" s="12"/>
      <c r="UGY59" s="12"/>
      <c r="UGZ59" s="12"/>
      <c r="UHA59" s="12"/>
      <c r="UHB59" s="12"/>
      <c r="UHC59" s="12"/>
      <c r="UHD59" s="12"/>
      <c r="UHE59" s="12"/>
      <c r="UHF59" s="12"/>
      <c r="UHG59" s="12"/>
      <c r="UHH59" s="12"/>
      <c r="UHI59" s="12"/>
      <c r="UHJ59" s="12"/>
      <c r="UHK59" s="12"/>
      <c r="UHL59" s="12"/>
      <c r="UHM59" s="12"/>
      <c r="UHN59" s="12"/>
      <c r="UHO59" s="12"/>
      <c r="UHP59" s="12"/>
      <c r="UHQ59" s="12"/>
      <c r="UHR59" s="12"/>
      <c r="UHS59" s="12"/>
      <c r="UHT59" s="12"/>
      <c r="UHU59" s="12"/>
      <c r="UHV59" s="12"/>
      <c r="UHW59" s="12"/>
      <c r="UHX59" s="12"/>
      <c r="UHY59" s="12"/>
      <c r="UHZ59" s="12"/>
      <c r="UIA59" s="12"/>
      <c r="UIB59" s="12"/>
      <c r="UIC59" s="12"/>
      <c r="UID59" s="12"/>
      <c r="UIE59" s="12"/>
      <c r="UIF59" s="12"/>
      <c r="UIG59" s="12"/>
      <c r="UIH59" s="12"/>
      <c r="UII59" s="12"/>
      <c r="UIJ59" s="12"/>
      <c r="UIK59" s="12"/>
      <c r="UIL59" s="12"/>
      <c r="UIM59" s="12"/>
      <c r="UIN59" s="12"/>
      <c r="UIO59" s="12"/>
      <c r="UIP59" s="12"/>
      <c r="UIQ59" s="12"/>
      <c r="UIR59" s="12"/>
      <c r="UIS59" s="12"/>
      <c r="UIT59" s="12"/>
      <c r="UIU59" s="12"/>
      <c r="UIV59" s="12"/>
      <c r="UIW59" s="12"/>
      <c r="UIX59" s="12"/>
      <c r="UIY59" s="12"/>
      <c r="UIZ59" s="12"/>
      <c r="UJA59" s="12"/>
      <c r="UJB59" s="12"/>
      <c r="UJC59" s="12"/>
      <c r="UJD59" s="12"/>
      <c r="UJE59" s="12"/>
      <c r="UJF59" s="12"/>
      <c r="UJG59" s="12"/>
      <c r="UJH59" s="12"/>
      <c r="UJI59" s="12"/>
      <c r="UJJ59" s="12"/>
      <c r="UJK59" s="12"/>
      <c r="UJL59" s="12"/>
      <c r="UJM59" s="12"/>
      <c r="UJN59" s="12"/>
      <c r="UJO59" s="12"/>
      <c r="UJP59" s="12"/>
      <c r="UJQ59" s="12"/>
      <c r="UJR59" s="12"/>
      <c r="UJS59" s="12"/>
      <c r="UJT59" s="12"/>
      <c r="UJU59" s="12"/>
      <c r="UJV59" s="12"/>
      <c r="UJW59" s="12"/>
      <c r="UJX59" s="12"/>
      <c r="UJY59" s="12"/>
      <c r="UJZ59" s="12"/>
      <c r="UKA59" s="12"/>
      <c r="UKB59" s="12"/>
      <c r="UKC59" s="12"/>
      <c r="UKD59" s="12"/>
      <c r="UKE59" s="12"/>
      <c r="UKF59" s="12"/>
      <c r="UKG59" s="12"/>
      <c r="UKH59" s="12"/>
      <c r="UKI59" s="12"/>
      <c r="UKJ59" s="12"/>
      <c r="UKK59" s="12"/>
      <c r="UKL59" s="12"/>
      <c r="UKM59" s="12"/>
      <c r="UKN59" s="12"/>
      <c r="UKO59" s="12"/>
      <c r="UKP59" s="12"/>
      <c r="UKQ59" s="12"/>
      <c r="UKR59" s="12"/>
      <c r="UKS59" s="12"/>
      <c r="UKT59" s="12"/>
      <c r="UKU59" s="12"/>
      <c r="UKV59" s="12"/>
      <c r="UKW59" s="12"/>
      <c r="UKX59" s="12"/>
      <c r="UKY59" s="12"/>
      <c r="UKZ59" s="12"/>
      <c r="ULA59" s="12"/>
      <c r="ULB59" s="12"/>
      <c r="ULC59" s="12"/>
      <c r="ULD59" s="12"/>
      <c r="ULE59" s="12"/>
      <c r="ULF59" s="12"/>
      <c r="ULG59" s="12"/>
      <c r="ULH59" s="12"/>
      <c r="ULI59" s="12"/>
      <c r="ULJ59" s="12"/>
      <c r="ULK59" s="12"/>
      <c r="ULL59" s="12"/>
      <c r="ULM59" s="12"/>
      <c r="ULN59" s="12"/>
      <c r="ULO59" s="12"/>
      <c r="ULP59" s="12"/>
      <c r="ULQ59" s="12"/>
      <c r="ULR59" s="12"/>
      <c r="ULS59" s="12"/>
      <c r="ULT59" s="12"/>
      <c r="ULU59" s="12"/>
      <c r="ULV59" s="12"/>
      <c r="ULW59" s="12"/>
      <c r="ULX59" s="12"/>
      <c r="ULY59" s="12"/>
      <c r="ULZ59" s="12"/>
      <c r="UMA59" s="12"/>
      <c r="UMB59" s="12"/>
      <c r="UMC59" s="12"/>
      <c r="UMD59" s="12"/>
      <c r="UME59" s="12"/>
      <c r="UMF59" s="12"/>
      <c r="UMG59" s="12"/>
      <c r="UMH59" s="12"/>
      <c r="UMI59" s="12"/>
      <c r="UMJ59" s="12"/>
      <c r="UMK59" s="12"/>
      <c r="UML59" s="12"/>
      <c r="UMM59" s="12"/>
      <c r="UMN59" s="12"/>
      <c r="UMO59" s="12"/>
      <c r="UMP59" s="12"/>
      <c r="UMQ59" s="12"/>
      <c r="UMR59" s="12"/>
      <c r="UMS59" s="12"/>
      <c r="UMT59" s="12"/>
      <c r="UMU59" s="12"/>
      <c r="UMV59" s="12"/>
      <c r="UMW59" s="12"/>
      <c r="UMX59" s="12"/>
      <c r="UMY59" s="12"/>
      <c r="UMZ59" s="12"/>
      <c r="UNA59" s="12"/>
      <c r="UNB59" s="12"/>
      <c r="UNC59" s="12"/>
      <c r="UND59" s="12"/>
      <c r="UNE59" s="12"/>
      <c r="UNF59" s="12"/>
      <c r="UNG59" s="12"/>
      <c r="UNH59" s="12"/>
      <c r="UNI59" s="12"/>
      <c r="UNJ59" s="12"/>
      <c r="UNK59" s="12"/>
      <c r="UNL59" s="12"/>
      <c r="UNM59" s="12"/>
      <c r="UNN59" s="12"/>
      <c r="UNO59" s="12"/>
      <c r="UNP59" s="12"/>
      <c r="UNQ59" s="12"/>
      <c r="UNR59" s="12"/>
      <c r="UNS59" s="12"/>
      <c r="UNT59" s="12"/>
      <c r="UNU59" s="12"/>
      <c r="UNV59" s="12"/>
      <c r="UNW59" s="12"/>
      <c r="UNX59" s="12"/>
      <c r="UNY59" s="12"/>
      <c r="UNZ59" s="12"/>
      <c r="UOA59" s="12"/>
      <c r="UOB59" s="12"/>
      <c r="UOC59" s="12"/>
      <c r="UOD59" s="12"/>
      <c r="UOE59" s="12"/>
      <c r="UOF59" s="12"/>
      <c r="UOG59" s="12"/>
      <c r="UOH59" s="12"/>
      <c r="UOI59" s="12"/>
      <c r="UOJ59" s="12"/>
      <c r="UOK59" s="12"/>
      <c r="UOL59" s="12"/>
      <c r="UOM59" s="12"/>
      <c r="UON59" s="12"/>
      <c r="UOO59" s="12"/>
      <c r="UOP59" s="12"/>
      <c r="UOQ59" s="12"/>
      <c r="UOR59" s="12"/>
      <c r="UOS59" s="12"/>
      <c r="UOT59" s="12"/>
      <c r="UOU59" s="12"/>
      <c r="UOV59" s="12"/>
      <c r="UOW59" s="12"/>
      <c r="UOX59" s="12"/>
      <c r="UOY59" s="12"/>
      <c r="UOZ59" s="12"/>
      <c r="UPA59" s="12"/>
      <c r="UPB59" s="12"/>
      <c r="UPC59" s="12"/>
      <c r="UPD59" s="12"/>
      <c r="UPE59" s="12"/>
      <c r="UPF59" s="12"/>
      <c r="UPG59" s="12"/>
      <c r="UPH59" s="12"/>
      <c r="UPI59" s="12"/>
      <c r="UPJ59" s="12"/>
      <c r="UPK59" s="12"/>
      <c r="UPL59" s="12"/>
      <c r="UPM59" s="12"/>
      <c r="UPN59" s="12"/>
      <c r="UPO59" s="12"/>
      <c r="UPP59" s="12"/>
      <c r="UPQ59" s="12"/>
      <c r="UPR59" s="12"/>
      <c r="UPS59" s="12"/>
      <c r="UPT59" s="12"/>
      <c r="UPU59" s="12"/>
      <c r="UPV59" s="12"/>
      <c r="UPW59" s="12"/>
      <c r="UPX59" s="12"/>
      <c r="UPY59" s="12"/>
      <c r="UPZ59" s="12"/>
      <c r="UQA59" s="12"/>
      <c r="UQB59" s="12"/>
      <c r="UQC59" s="12"/>
      <c r="UQD59" s="12"/>
      <c r="UQE59" s="12"/>
      <c r="UQF59" s="12"/>
      <c r="UQG59" s="12"/>
      <c r="UQH59" s="12"/>
      <c r="UQI59" s="12"/>
      <c r="UQJ59" s="12"/>
      <c r="UQK59" s="12"/>
      <c r="UQL59" s="12"/>
      <c r="UQM59" s="12"/>
      <c r="UQN59" s="12"/>
      <c r="UQO59" s="12"/>
      <c r="UQP59" s="12"/>
      <c r="UQQ59" s="12"/>
      <c r="UQR59" s="12"/>
      <c r="UQS59" s="12"/>
      <c r="UQT59" s="12"/>
      <c r="UQU59" s="12"/>
      <c r="UQV59" s="12"/>
      <c r="UQW59" s="12"/>
      <c r="UQX59" s="12"/>
      <c r="UQY59" s="12"/>
      <c r="UQZ59" s="12"/>
      <c r="URA59" s="12"/>
      <c r="URB59" s="12"/>
      <c r="URC59" s="12"/>
      <c r="URD59" s="12"/>
      <c r="URE59" s="12"/>
      <c r="URF59" s="12"/>
      <c r="URG59" s="12"/>
      <c r="URH59" s="12"/>
      <c r="URI59" s="12"/>
      <c r="URJ59" s="12"/>
      <c r="URK59" s="12"/>
      <c r="URL59" s="12"/>
      <c r="URM59" s="12"/>
      <c r="URN59" s="12"/>
      <c r="URO59" s="12"/>
      <c r="URP59" s="12"/>
      <c r="URQ59" s="12"/>
      <c r="URR59" s="12"/>
      <c r="URS59" s="12"/>
      <c r="URT59" s="12"/>
      <c r="URU59" s="12"/>
      <c r="URV59" s="12"/>
      <c r="URW59" s="12"/>
      <c r="URX59" s="12"/>
      <c r="URY59" s="12"/>
      <c r="URZ59" s="12"/>
      <c r="USA59" s="12"/>
      <c r="USB59" s="12"/>
      <c r="USC59" s="12"/>
      <c r="USD59" s="12"/>
      <c r="USE59" s="12"/>
      <c r="USF59" s="12"/>
      <c r="USG59" s="12"/>
      <c r="USH59" s="12"/>
      <c r="USI59" s="12"/>
      <c r="USJ59" s="12"/>
      <c r="USK59" s="12"/>
      <c r="USL59" s="12"/>
      <c r="USM59" s="12"/>
      <c r="USN59" s="12"/>
      <c r="USO59" s="12"/>
      <c r="USP59" s="12"/>
      <c r="USQ59" s="12"/>
      <c r="USR59" s="12"/>
      <c r="USS59" s="12"/>
      <c r="UST59" s="12"/>
      <c r="USU59" s="12"/>
      <c r="USV59" s="12"/>
      <c r="USW59" s="12"/>
      <c r="USX59" s="12"/>
      <c r="USY59" s="12"/>
      <c r="USZ59" s="12"/>
      <c r="UTA59" s="12"/>
      <c r="UTB59" s="12"/>
      <c r="UTC59" s="12"/>
      <c r="UTD59" s="12"/>
      <c r="UTE59" s="12"/>
      <c r="UTF59" s="12"/>
      <c r="UTG59" s="12"/>
      <c r="UTH59" s="12"/>
      <c r="UTI59" s="12"/>
      <c r="UTJ59" s="12"/>
      <c r="UTK59" s="12"/>
      <c r="UTL59" s="12"/>
      <c r="UTM59" s="12"/>
      <c r="UTN59" s="12"/>
      <c r="UTO59" s="12"/>
      <c r="UTP59" s="12"/>
      <c r="UTQ59" s="12"/>
      <c r="UTR59" s="12"/>
      <c r="UTS59" s="12"/>
      <c r="UTT59" s="12"/>
      <c r="UTU59" s="12"/>
      <c r="UTV59" s="12"/>
      <c r="UTW59" s="12"/>
      <c r="UTX59" s="12"/>
      <c r="UTY59" s="12"/>
      <c r="UTZ59" s="12"/>
      <c r="UUA59" s="12"/>
      <c r="UUB59" s="12"/>
      <c r="UUC59" s="12"/>
      <c r="UUD59" s="12"/>
      <c r="UUE59" s="12"/>
      <c r="UUF59" s="12"/>
      <c r="UUG59" s="12"/>
      <c r="UUH59" s="12"/>
      <c r="UUI59" s="12"/>
      <c r="UUJ59" s="12"/>
      <c r="UUK59" s="12"/>
      <c r="UUL59" s="12"/>
      <c r="UUM59" s="12"/>
      <c r="UUN59" s="12"/>
      <c r="UUO59" s="12"/>
      <c r="UUP59" s="12"/>
      <c r="UUQ59" s="12"/>
      <c r="UUR59" s="12"/>
      <c r="UUS59" s="12"/>
      <c r="UUT59" s="12"/>
      <c r="UUU59" s="12"/>
      <c r="UUV59" s="12"/>
      <c r="UUW59" s="12"/>
      <c r="UUX59" s="12"/>
      <c r="UUY59" s="12"/>
      <c r="UUZ59" s="12"/>
      <c r="UVA59" s="12"/>
      <c r="UVB59" s="12"/>
      <c r="UVC59" s="12"/>
      <c r="UVD59" s="12"/>
      <c r="UVE59" s="12"/>
      <c r="UVF59" s="12"/>
      <c r="UVG59" s="12"/>
      <c r="UVH59" s="12"/>
      <c r="UVI59" s="12"/>
      <c r="UVJ59" s="12"/>
      <c r="UVK59" s="12"/>
      <c r="UVL59" s="12"/>
      <c r="UVM59" s="12"/>
      <c r="UVN59" s="12"/>
      <c r="UVO59" s="12"/>
      <c r="UVP59" s="12"/>
      <c r="UVQ59" s="12"/>
      <c r="UVR59" s="12"/>
      <c r="UVS59" s="12"/>
      <c r="UVT59" s="12"/>
      <c r="UVU59" s="12"/>
      <c r="UVV59" s="12"/>
      <c r="UVW59" s="12"/>
      <c r="UVX59" s="12"/>
      <c r="UVY59" s="12"/>
      <c r="UVZ59" s="12"/>
      <c r="UWA59" s="12"/>
      <c r="UWB59" s="12"/>
      <c r="UWC59" s="12"/>
      <c r="UWD59" s="12"/>
      <c r="UWE59" s="12"/>
      <c r="UWF59" s="12"/>
      <c r="UWG59" s="12"/>
      <c r="UWH59" s="12"/>
      <c r="UWI59" s="12"/>
      <c r="UWJ59" s="12"/>
      <c r="UWK59" s="12"/>
      <c r="UWL59" s="12"/>
      <c r="UWM59" s="12"/>
      <c r="UWN59" s="12"/>
      <c r="UWO59" s="12"/>
      <c r="UWP59" s="12"/>
      <c r="UWQ59" s="12"/>
      <c r="UWR59" s="12"/>
      <c r="UWS59" s="12"/>
      <c r="UWT59" s="12"/>
      <c r="UWU59" s="12"/>
      <c r="UWV59" s="12"/>
      <c r="UWW59" s="12"/>
      <c r="UWX59" s="12"/>
      <c r="UWY59" s="12"/>
      <c r="UWZ59" s="12"/>
      <c r="UXA59" s="12"/>
      <c r="UXB59" s="12"/>
      <c r="UXC59" s="12"/>
      <c r="UXD59" s="12"/>
      <c r="UXE59" s="12"/>
      <c r="UXF59" s="12"/>
      <c r="UXG59" s="12"/>
      <c r="UXH59" s="12"/>
      <c r="UXI59" s="12"/>
      <c r="UXJ59" s="12"/>
      <c r="UXK59" s="12"/>
      <c r="UXL59" s="12"/>
      <c r="UXM59" s="12"/>
      <c r="UXN59" s="12"/>
      <c r="UXO59" s="12"/>
      <c r="UXP59" s="12"/>
      <c r="UXQ59" s="12"/>
      <c r="UXR59" s="12"/>
      <c r="UXS59" s="12"/>
      <c r="UXT59" s="12"/>
      <c r="UXU59" s="12"/>
      <c r="UXV59" s="12"/>
      <c r="UXW59" s="12"/>
      <c r="UXX59" s="12"/>
      <c r="UXY59" s="12"/>
      <c r="UXZ59" s="12"/>
      <c r="UYA59" s="12"/>
      <c r="UYB59" s="12"/>
      <c r="UYC59" s="12"/>
      <c r="UYD59" s="12"/>
      <c r="UYE59" s="12"/>
      <c r="UYF59" s="12"/>
      <c r="UYG59" s="12"/>
      <c r="UYH59" s="12"/>
      <c r="UYI59" s="12"/>
      <c r="UYJ59" s="12"/>
      <c r="UYK59" s="12"/>
      <c r="UYL59" s="12"/>
      <c r="UYM59" s="12"/>
      <c r="UYN59" s="12"/>
      <c r="UYO59" s="12"/>
      <c r="UYP59" s="12"/>
      <c r="UYQ59" s="12"/>
      <c r="UYR59" s="12"/>
      <c r="UYS59" s="12"/>
      <c r="UYT59" s="12"/>
      <c r="UYU59" s="12"/>
      <c r="UYV59" s="12"/>
      <c r="UYW59" s="12"/>
      <c r="UYX59" s="12"/>
      <c r="UYY59" s="12"/>
      <c r="UYZ59" s="12"/>
      <c r="UZA59" s="12"/>
      <c r="UZB59" s="12"/>
      <c r="UZC59" s="12"/>
      <c r="UZD59" s="12"/>
      <c r="UZE59" s="12"/>
      <c r="UZF59" s="12"/>
      <c r="UZG59" s="12"/>
      <c r="UZH59" s="12"/>
      <c r="UZI59" s="12"/>
      <c r="UZJ59" s="12"/>
      <c r="UZK59" s="12"/>
      <c r="UZL59" s="12"/>
      <c r="UZM59" s="12"/>
      <c r="UZN59" s="12"/>
      <c r="UZO59" s="12"/>
      <c r="UZP59" s="12"/>
      <c r="UZQ59" s="12"/>
      <c r="UZR59" s="12"/>
      <c r="UZS59" s="12"/>
      <c r="UZT59" s="12"/>
      <c r="UZU59" s="12"/>
      <c r="UZV59" s="12"/>
      <c r="UZW59" s="12"/>
      <c r="UZX59" s="12"/>
      <c r="UZY59" s="12"/>
      <c r="UZZ59" s="12"/>
      <c r="VAA59" s="12"/>
      <c r="VAB59" s="12"/>
      <c r="VAC59" s="12"/>
      <c r="VAD59" s="12"/>
      <c r="VAE59" s="12"/>
      <c r="VAF59" s="12"/>
      <c r="VAG59" s="12"/>
      <c r="VAH59" s="12"/>
      <c r="VAI59" s="12"/>
      <c r="VAJ59" s="12"/>
      <c r="VAK59" s="12"/>
      <c r="VAL59" s="12"/>
      <c r="VAM59" s="12"/>
      <c r="VAN59" s="12"/>
      <c r="VAO59" s="12"/>
      <c r="VAP59" s="12"/>
      <c r="VAQ59" s="12"/>
      <c r="VAR59" s="12"/>
      <c r="VAS59" s="12"/>
      <c r="VAT59" s="12"/>
      <c r="VAU59" s="12"/>
      <c r="VAV59" s="12"/>
      <c r="VAW59" s="12"/>
      <c r="VAX59" s="12"/>
      <c r="VAY59" s="12"/>
      <c r="VAZ59" s="12"/>
      <c r="VBA59" s="12"/>
      <c r="VBB59" s="12"/>
      <c r="VBC59" s="12"/>
      <c r="VBD59" s="12"/>
      <c r="VBE59" s="12"/>
      <c r="VBF59" s="12"/>
      <c r="VBG59" s="12"/>
      <c r="VBH59" s="12"/>
      <c r="VBI59" s="12"/>
      <c r="VBJ59" s="12"/>
      <c r="VBK59" s="12"/>
      <c r="VBL59" s="12"/>
      <c r="VBM59" s="12"/>
      <c r="VBN59" s="12"/>
      <c r="VBO59" s="12"/>
      <c r="VBP59" s="12"/>
      <c r="VBQ59" s="12"/>
      <c r="VBR59" s="12"/>
      <c r="VBS59" s="12"/>
      <c r="VBT59" s="12"/>
      <c r="VBU59" s="12"/>
      <c r="VBV59" s="12"/>
      <c r="VBW59" s="12"/>
      <c r="VBX59" s="12"/>
      <c r="VBY59" s="12"/>
      <c r="VBZ59" s="12"/>
      <c r="VCA59" s="12"/>
      <c r="VCB59" s="12"/>
      <c r="VCC59" s="12"/>
      <c r="VCD59" s="12"/>
      <c r="VCE59" s="12"/>
      <c r="VCF59" s="12"/>
      <c r="VCG59" s="12"/>
      <c r="VCH59" s="12"/>
      <c r="VCI59" s="12"/>
      <c r="VCJ59" s="12"/>
      <c r="VCK59" s="12"/>
      <c r="VCL59" s="12"/>
      <c r="VCM59" s="12"/>
      <c r="VCN59" s="12"/>
      <c r="VCO59" s="12"/>
      <c r="VCP59" s="12"/>
      <c r="VCQ59" s="12"/>
      <c r="VCR59" s="12"/>
      <c r="VCS59" s="12"/>
      <c r="VCT59" s="12"/>
      <c r="VCU59" s="12"/>
      <c r="VCV59" s="12"/>
      <c r="VCW59" s="12"/>
      <c r="VCX59" s="12"/>
      <c r="VCY59" s="12"/>
      <c r="VCZ59" s="12"/>
      <c r="VDA59" s="12"/>
      <c r="VDB59" s="12"/>
      <c r="VDC59" s="12"/>
      <c r="VDD59" s="12"/>
      <c r="VDE59" s="12"/>
      <c r="VDF59" s="12"/>
      <c r="VDG59" s="12"/>
      <c r="VDH59" s="12"/>
      <c r="VDI59" s="12"/>
      <c r="VDJ59" s="12"/>
      <c r="VDK59" s="12"/>
      <c r="VDL59" s="12"/>
      <c r="VDM59" s="12"/>
      <c r="VDN59" s="12"/>
      <c r="VDO59" s="12"/>
      <c r="VDP59" s="12"/>
      <c r="VDQ59" s="12"/>
      <c r="VDR59" s="12"/>
      <c r="VDS59" s="12"/>
      <c r="VDT59" s="12"/>
      <c r="VDU59" s="12"/>
      <c r="VDV59" s="12"/>
      <c r="VDW59" s="12"/>
      <c r="VDX59" s="12"/>
      <c r="VDY59" s="12"/>
      <c r="VDZ59" s="12"/>
      <c r="VEA59" s="12"/>
      <c r="VEB59" s="12"/>
      <c r="VEC59" s="12"/>
      <c r="VED59" s="12"/>
      <c r="VEE59" s="12"/>
      <c r="VEF59" s="12"/>
      <c r="VEG59" s="12"/>
      <c r="VEH59" s="12"/>
      <c r="VEI59" s="12"/>
      <c r="VEJ59" s="12"/>
      <c r="VEK59" s="12"/>
      <c r="VEL59" s="12"/>
      <c r="VEM59" s="12"/>
      <c r="VEN59" s="12"/>
      <c r="VEO59" s="12"/>
      <c r="VEP59" s="12"/>
      <c r="VEQ59" s="12"/>
      <c r="VER59" s="12"/>
      <c r="VES59" s="12"/>
      <c r="VET59" s="12"/>
      <c r="VEU59" s="12"/>
      <c r="VEV59" s="12"/>
      <c r="VEW59" s="12"/>
      <c r="VEX59" s="12"/>
      <c r="VEY59" s="12"/>
      <c r="VEZ59" s="12"/>
      <c r="VFA59" s="12"/>
      <c r="VFB59" s="12"/>
      <c r="VFC59" s="12"/>
      <c r="VFD59" s="12"/>
      <c r="VFE59" s="12"/>
      <c r="VFF59" s="12"/>
      <c r="VFG59" s="12"/>
      <c r="VFH59" s="12"/>
      <c r="VFI59" s="12"/>
      <c r="VFJ59" s="12"/>
      <c r="VFK59" s="12"/>
      <c r="VFL59" s="12"/>
      <c r="VFM59" s="12"/>
      <c r="VFN59" s="12"/>
      <c r="VFO59" s="12"/>
      <c r="VFP59" s="12"/>
      <c r="VFQ59" s="12"/>
      <c r="VFR59" s="12"/>
      <c r="VFS59" s="12"/>
      <c r="VFT59" s="12"/>
      <c r="VFU59" s="12"/>
      <c r="VFV59" s="12"/>
      <c r="VFW59" s="12"/>
      <c r="VFX59" s="12"/>
      <c r="VFY59" s="12"/>
      <c r="VFZ59" s="12"/>
      <c r="VGA59" s="12"/>
      <c r="VGB59" s="12"/>
      <c r="VGC59" s="12"/>
      <c r="VGD59" s="12"/>
      <c r="VGE59" s="12"/>
      <c r="VGF59" s="12"/>
      <c r="VGG59" s="12"/>
      <c r="VGH59" s="12"/>
      <c r="VGI59" s="12"/>
      <c r="VGJ59" s="12"/>
      <c r="VGK59" s="12"/>
      <c r="VGL59" s="12"/>
      <c r="VGM59" s="12"/>
      <c r="VGN59" s="12"/>
      <c r="VGO59" s="12"/>
      <c r="VGP59" s="12"/>
      <c r="VGQ59" s="12"/>
      <c r="VGR59" s="12"/>
      <c r="VGS59" s="12"/>
      <c r="VGT59" s="12"/>
      <c r="VGU59" s="12"/>
      <c r="VGV59" s="12"/>
      <c r="VGW59" s="12"/>
      <c r="VGX59" s="12"/>
      <c r="VGY59" s="12"/>
      <c r="VGZ59" s="12"/>
      <c r="VHA59" s="12"/>
      <c r="VHB59" s="12"/>
      <c r="VHC59" s="12"/>
      <c r="VHD59" s="12"/>
      <c r="VHE59" s="12"/>
      <c r="VHF59" s="12"/>
      <c r="VHG59" s="12"/>
      <c r="VHH59" s="12"/>
      <c r="VHI59" s="12"/>
      <c r="VHJ59" s="12"/>
      <c r="VHK59" s="12"/>
      <c r="VHL59" s="12"/>
      <c r="VHM59" s="12"/>
      <c r="VHN59" s="12"/>
      <c r="VHO59" s="12"/>
      <c r="VHP59" s="12"/>
      <c r="VHQ59" s="12"/>
      <c r="VHR59" s="12"/>
      <c r="VHS59" s="12"/>
      <c r="VHT59" s="12"/>
      <c r="VHU59" s="12"/>
      <c r="VHV59" s="12"/>
      <c r="VHW59" s="12"/>
      <c r="VHX59" s="12"/>
      <c r="VHY59" s="12"/>
      <c r="VHZ59" s="12"/>
      <c r="VIA59" s="12"/>
      <c r="VIB59" s="12"/>
      <c r="VIC59" s="12"/>
      <c r="VID59" s="12"/>
      <c r="VIE59" s="12"/>
      <c r="VIF59" s="12"/>
      <c r="VIG59" s="12"/>
      <c r="VIH59" s="12"/>
      <c r="VII59" s="12"/>
      <c r="VIJ59" s="12"/>
      <c r="VIK59" s="12"/>
      <c r="VIL59" s="12"/>
      <c r="VIM59" s="12"/>
      <c r="VIN59" s="12"/>
      <c r="VIO59" s="12"/>
      <c r="VIP59" s="12"/>
      <c r="VIQ59" s="12"/>
      <c r="VIR59" s="12"/>
      <c r="VIS59" s="12"/>
      <c r="VIT59" s="12"/>
      <c r="VIU59" s="12"/>
      <c r="VIV59" s="12"/>
      <c r="VIW59" s="12"/>
      <c r="VIX59" s="12"/>
      <c r="VIY59" s="12"/>
      <c r="VIZ59" s="12"/>
      <c r="VJA59" s="12"/>
      <c r="VJB59" s="12"/>
      <c r="VJC59" s="12"/>
      <c r="VJD59" s="12"/>
      <c r="VJE59" s="12"/>
      <c r="VJF59" s="12"/>
      <c r="VJG59" s="12"/>
      <c r="VJH59" s="12"/>
      <c r="VJI59" s="12"/>
      <c r="VJJ59" s="12"/>
      <c r="VJK59" s="12"/>
      <c r="VJL59" s="12"/>
      <c r="VJM59" s="12"/>
      <c r="VJN59" s="12"/>
      <c r="VJO59" s="12"/>
      <c r="VJP59" s="12"/>
      <c r="VJQ59" s="12"/>
      <c r="VJR59" s="12"/>
      <c r="VJS59" s="12"/>
      <c r="VJT59" s="12"/>
      <c r="VJU59" s="12"/>
      <c r="VJV59" s="12"/>
      <c r="VJW59" s="12"/>
      <c r="VJX59" s="12"/>
      <c r="VJY59" s="12"/>
      <c r="VJZ59" s="12"/>
      <c r="VKA59" s="12"/>
      <c r="VKB59" s="12"/>
      <c r="VKC59" s="12"/>
      <c r="VKD59" s="12"/>
      <c r="VKE59" s="12"/>
      <c r="VKF59" s="12"/>
      <c r="VKG59" s="12"/>
      <c r="VKH59" s="12"/>
      <c r="VKI59" s="12"/>
      <c r="VKJ59" s="12"/>
      <c r="VKK59" s="12"/>
      <c r="VKL59" s="12"/>
      <c r="VKM59" s="12"/>
      <c r="VKN59" s="12"/>
      <c r="VKO59" s="12"/>
      <c r="VKP59" s="12"/>
      <c r="VKQ59" s="12"/>
      <c r="VKR59" s="12"/>
      <c r="VKS59" s="12"/>
      <c r="VKT59" s="12"/>
      <c r="VKU59" s="12"/>
      <c r="VKV59" s="12"/>
      <c r="VKW59" s="12"/>
      <c r="VKX59" s="12"/>
      <c r="VKY59" s="12"/>
      <c r="VKZ59" s="12"/>
      <c r="VLA59" s="12"/>
      <c r="VLB59" s="12"/>
      <c r="VLC59" s="12"/>
      <c r="VLD59" s="12"/>
      <c r="VLE59" s="12"/>
      <c r="VLF59" s="12"/>
      <c r="VLG59" s="12"/>
      <c r="VLH59" s="12"/>
      <c r="VLI59" s="12"/>
      <c r="VLJ59" s="12"/>
      <c r="VLK59" s="12"/>
      <c r="VLL59" s="12"/>
      <c r="VLM59" s="12"/>
      <c r="VLN59" s="12"/>
      <c r="VLO59" s="12"/>
      <c r="VLP59" s="12"/>
      <c r="VLQ59" s="12"/>
      <c r="VLR59" s="12"/>
      <c r="VLS59" s="12"/>
      <c r="VLT59" s="12"/>
      <c r="VLU59" s="12"/>
      <c r="VLV59" s="12"/>
      <c r="VLW59" s="12"/>
      <c r="VLX59" s="12"/>
      <c r="VLY59" s="12"/>
      <c r="VLZ59" s="12"/>
      <c r="VMA59" s="12"/>
      <c r="VMB59" s="12"/>
      <c r="VMC59" s="12"/>
      <c r="VMD59" s="12"/>
      <c r="VME59" s="12"/>
      <c r="VMF59" s="12"/>
      <c r="VMG59" s="12"/>
      <c r="VMH59" s="12"/>
      <c r="VMI59" s="12"/>
      <c r="VMJ59" s="12"/>
      <c r="VMK59" s="12"/>
      <c r="VML59" s="12"/>
      <c r="VMM59" s="12"/>
      <c r="VMN59" s="12"/>
      <c r="VMO59" s="12"/>
      <c r="VMP59" s="12"/>
      <c r="VMQ59" s="12"/>
      <c r="VMR59" s="12"/>
      <c r="VMS59" s="12"/>
      <c r="VMT59" s="12"/>
      <c r="VMU59" s="12"/>
      <c r="VMV59" s="12"/>
      <c r="VMW59" s="12"/>
      <c r="VMX59" s="12"/>
      <c r="VMY59" s="12"/>
      <c r="VMZ59" s="12"/>
      <c r="VNA59" s="12"/>
      <c r="VNB59" s="12"/>
      <c r="VNC59" s="12"/>
      <c r="VND59" s="12"/>
      <c r="VNE59" s="12"/>
      <c r="VNF59" s="12"/>
      <c r="VNG59" s="12"/>
      <c r="VNH59" s="12"/>
      <c r="VNI59" s="12"/>
      <c r="VNJ59" s="12"/>
      <c r="VNK59" s="12"/>
      <c r="VNL59" s="12"/>
      <c r="VNM59" s="12"/>
      <c r="VNN59" s="12"/>
      <c r="VNO59" s="12"/>
      <c r="VNP59" s="12"/>
      <c r="VNQ59" s="12"/>
      <c r="VNR59" s="12"/>
      <c r="VNS59" s="12"/>
      <c r="VNT59" s="12"/>
      <c r="VNU59" s="12"/>
      <c r="VNV59" s="12"/>
      <c r="VNW59" s="12"/>
      <c r="VNX59" s="12"/>
      <c r="VNY59" s="12"/>
      <c r="VNZ59" s="12"/>
      <c r="VOA59" s="12"/>
      <c r="VOB59" s="12"/>
      <c r="VOC59" s="12"/>
      <c r="VOD59" s="12"/>
      <c r="VOE59" s="12"/>
      <c r="VOF59" s="12"/>
      <c r="VOG59" s="12"/>
      <c r="VOH59" s="12"/>
      <c r="VOI59" s="12"/>
      <c r="VOJ59" s="12"/>
      <c r="VOK59" s="12"/>
      <c r="VOL59" s="12"/>
      <c r="VOM59" s="12"/>
      <c r="VON59" s="12"/>
      <c r="VOO59" s="12"/>
      <c r="VOP59" s="12"/>
      <c r="VOQ59" s="12"/>
      <c r="VOR59" s="12"/>
      <c r="VOS59" s="12"/>
      <c r="VOT59" s="12"/>
      <c r="VOU59" s="12"/>
      <c r="VOV59" s="12"/>
      <c r="VOW59" s="12"/>
      <c r="VOX59" s="12"/>
      <c r="VOY59" s="12"/>
      <c r="VOZ59" s="12"/>
      <c r="VPA59" s="12"/>
      <c r="VPB59" s="12"/>
      <c r="VPC59" s="12"/>
      <c r="VPD59" s="12"/>
      <c r="VPE59" s="12"/>
      <c r="VPF59" s="12"/>
      <c r="VPG59" s="12"/>
      <c r="VPH59" s="12"/>
      <c r="VPI59" s="12"/>
      <c r="VPJ59" s="12"/>
      <c r="VPK59" s="12"/>
      <c r="VPL59" s="12"/>
      <c r="VPM59" s="12"/>
      <c r="VPN59" s="12"/>
      <c r="VPO59" s="12"/>
      <c r="VPP59" s="12"/>
      <c r="VPQ59" s="12"/>
      <c r="VPR59" s="12"/>
      <c r="VPS59" s="12"/>
      <c r="VPT59" s="12"/>
      <c r="VPU59" s="12"/>
      <c r="VPV59" s="12"/>
      <c r="VPW59" s="12"/>
      <c r="VPX59" s="12"/>
      <c r="VPY59" s="12"/>
      <c r="VPZ59" s="12"/>
      <c r="VQA59" s="12"/>
      <c r="VQB59" s="12"/>
      <c r="VQC59" s="12"/>
      <c r="VQD59" s="12"/>
      <c r="VQE59" s="12"/>
      <c r="VQF59" s="12"/>
      <c r="VQG59" s="12"/>
      <c r="VQH59" s="12"/>
      <c r="VQI59" s="12"/>
      <c r="VQJ59" s="12"/>
      <c r="VQK59" s="12"/>
      <c r="VQL59" s="12"/>
      <c r="VQM59" s="12"/>
      <c r="VQN59" s="12"/>
      <c r="VQO59" s="12"/>
      <c r="VQP59" s="12"/>
      <c r="VQQ59" s="12"/>
      <c r="VQR59" s="12"/>
      <c r="VQS59" s="12"/>
      <c r="VQT59" s="12"/>
      <c r="VQU59" s="12"/>
      <c r="VQV59" s="12"/>
      <c r="VQW59" s="12"/>
      <c r="VQX59" s="12"/>
      <c r="VQY59" s="12"/>
      <c r="VQZ59" s="12"/>
      <c r="VRA59" s="12"/>
      <c r="VRB59" s="12"/>
      <c r="VRC59" s="12"/>
      <c r="VRD59" s="12"/>
      <c r="VRE59" s="12"/>
      <c r="VRF59" s="12"/>
      <c r="VRG59" s="12"/>
      <c r="VRH59" s="12"/>
      <c r="VRI59" s="12"/>
      <c r="VRJ59" s="12"/>
      <c r="VRK59" s="12"/>
      <c r="VRL59" s="12"/>
      <c r="VRM59" s="12"/>
      <c r="VRN59" s="12"/>
      <c r="VRO59" s="12"/>
      <c r="VRP59" s="12"/>
      <c r="VRQ59" s="12"/>
      <c r="VRR59" s="12"/>
      <c r="VRS59" s="12"/>
      <c r="VRT59" s="12"/>
      <c r="VRU59" s="12"/>
      <c r="VRV59" s="12"/>
      <c r="VRW59" s="12"/>
      <c r="VRX59" s="12"/>
      <c r="VRY59" s="12"/>
      <c r="VRZ59" s="12"/>
      <c r="VSA59" s="12"/>
      <c r="VSB59" s="12"/>
      <c r="VSC59" s="12"/>
      <c r="VSD59" s="12"/>
      <c r="VSE59" s="12"/>
      <c r="VSF59" s="12"/>
      <c r="VSG59" s="12"/>
      <c r="VSH59" s="12"/>
      <c r="VSI59" s="12"/>
      <c r="VSJ59" s="12"/>
      <c r="VSK59" s="12"/>
      <c r="VSL59" s="12"/>
      <c r="VSM59" s="12"/>
      <c r="VSN59" s="12"/>
      <c r="VSO59" s="12"/>
      <c r="VSP59" s="12"/>
      <c r="VSQ59" s="12"/>
      <c r="VSR59" s="12"/>
      <c r="VSS59" s="12"/>
      <c r="VST59" s="12"/>
      <c r="VSU59" s="12"/>
      <c r="VSV59" s="12"/>
      <c r="VSW59" s="12"/>
      <c r="VSX59" s="12"/>
      <c r="VSY59" s="12"/>
      <c r="VSZ59" s="12"/>
      <c r="VTA59" s="12"/>
      <c r="VTB59" s="12"/>
      <c r="VTC59" s="12"/>
      <c r="VTD59" s="12"/>
      <c r="VTE59" s="12"/>
      <c r="VTF59" s="12"/>
      <c r="VTG59" s="12"/>
      <c r="VTH59" s="12"/>
      <c r="VTI59" s="12"/>
      <c r="VTJ59" s="12"/>
      <c r="VTK59" s="12"/>
      <c r="VTL59" s="12"/>
      <c r="VTM59" s="12"/>
      <c r="VTN59" s="12"/>
      <c r="VTO59" s="12"/>
      <c r="VTP59" s="12"/>
      <c r="VTQ59" s="12"/>
      <c r="VTR59" s="12"/>
      <c r="VTS59" s="12"/>
      <c r="VTT59" s="12"/>
      <c r="VTU59" s="12"/>
      <c r="VTV59" s="12"/>
      <c r="VTW59" s="12"/>
      <c r="VTX59" s="12"/>
      <c r="VTY59" s="12"/>
      <c r="VTZ59" s="12"/>
      <c r="VUA59" s="12"/>
      <c r="VUB59" s="12"/>
      <c r="VUC59" s="12"/>
      <c r="VUD59" s="12"/>
      <c r="VUE59" s="12"/>
      <c r="VUF59" s="12"/>
      <c r="VUG59" s="12"/>
      <c r="VUH59" s="12"/>
      <c r="VUI59" s="12"/>
      <c r="VUJ59" s="12"/>
      <c r="VUK59" s="12"/>
      <c r="VUL59" s="12"/>
      <c r="VUM59" s="12"/>
      <c r="VUN59" s="12"/>
      <c r="VUO59" s="12"/>
      <c r="VUP59" s="12"/>
      <c r="VUQ59" s="12"/>
      <c r="VUR59" s="12"/>
      <c r="VUS59" s="12"/>
      <c r="VUT59" s="12"/>
      <c r="VUU59" s="12"/>
      <c r="VUV59" s="12"/>
      <c r="VUW59" s="12"/>
      <c r="VUX59" s="12"/>
      <c r="VUY59" s="12"/>
      <c r="VUZ59" s="12"/>
      <c r="VVA59" s="12"/>
      <c r="VVB59" s="12"/>
      <c r="VVC59" s="12"/>
      <c r="VVD59" s="12"/>
      <c r="VVE59" s="12"/>
      <c r="VVF59" s="12"/>
      <c r="VVG59" s="12"/>
      <c r="VVH59" s="12"/>
      <c r="VVI59" s="12"/>
      <c r="VVJ59" s="12"/>
      <c r="VVK59" s="12"/>
      <c r="VVL59" s="12"/>
      <c r="VVM59" s="12"/>
      <c r="VVN59" s="12"/>
      <c r="VVO59" s="12"/>
      <c r="VVP59" s="12"/>
      <c r="VVQ59" s="12"/>
      <c r="VVR59" s="12"/>
      <c r="VVS59" s="12"/>
      <c r="VVT59" s="12"/>
      <c r="VVU59" s="12"/>
      <c r="VVV59" s="12"/>
      <c r="VVW59" s="12"/>
      <c r="VVX59" s="12"/>
      <c r="VVY59" s="12"/>
      <c r="VVZ59" s="12"/>
      <c r="VWA59" s="12"/>
      <c r="VWB59" s="12"/>
      <c r="VWC59" s="12"/>
      <c r="VWD59" s="12"/>
      <c r="VWE59" s="12"/>
      <c r="VWF59" s="12"/>
      <c r="VWG59" s="12"/>
      <c r="VWH59" s="12"/>
      <c r="VWI59" s="12"/>
      <c r="VWJ59" s="12"/>
      <c r="VWK59" s="12"/>
      <c r="VWL59" s="12"/>
      <c r="VWM59" s="12"/>
      <c r="VWN59" s="12"/>
      <c r="VWO59" s="12"/>
      <c r="VWP59" s="12"/>
      <c r="VWQ59" s="12"/>
      <c r="VWR59" s="12"/>
      <c r="VWS59" s="12"/>
      <c r="VWT59" s="12"/>
      <c r="VWU59" s="12"/>
      <c r="VWV59" s="12"/>
      <c r="VWW59" s="12"/>
      <c r="VWX59" s="12"/>
      <c r="VWY59" s="12"/>
      <c r="VWZ59" s="12"/>
      <c r="VXA59" s="12"/>
      <c r="VXB59" s="12"/>
      <c r="VXC59" s="12"/>
      <c r="VXD59" s="12"/>
      <c r="VXE59" s="12"/>
      <c r="VXF59" s="12"/>
      <c r="VXG59" s="12"/>
      <c r="VXH59" s="12"/>
      <c r="VXI59" s="12"/>
      <c r="VXJ59" s="12"/>
      <c r="VXK59" s="12"/>
      <c r="VXL59" s="12"/>
      <c r="VXM59" s="12"/>
      <c r="VXN59" s="12"/>
      <c r="VXO59" s="12"/>
      <c r="VXP59" s="12"/>
      <c r="VXQ59" s="12"/>
      <c r="VXR59" s="12"/>
      <c r="VXS59" s="12"/>
      <c r="VXT59" s="12"/>
      <c r="VXU59" s="12"/>
      <c r="VXV59" s="12"/>
      <c r="VXW59" s="12"/>
      <c r="VXX59" s="12"/>
      <c r="VXY59" s="12"/>
      <c r="VXZ59" s="12"/>
      <c r="VYA59" s="12"/>
      <c r="VYB59" s="12"/>
      <c r="VYC59" s="12"/>
      <c r="VYD59" s="12"/>
      <c r="VYE59" s="12"/>
      <c r="VYF59" s="12"/>
      <c r="VYG59" s="12"/>
      <c r="VYH59" s="12"/>
      <c r="VYI59" s="12"/>
      <c r="VYJ59" s="12"/>
      <c r="VYK59" s="12"/>
      <c r="VYL59" s="12"/>
      <c r="VYM59" s="12"/>
      <c r="VYN59" s="12"/>
      <c r="VYO59" s="12"/>
      <c r="VYP59" s="12"/>
      <c r="VYQ59" s="12"/>
      <c r="VYR59" s="12"/>
      <c r="VYS59" s="12"/>
      <c r="VYT59" s="12"/>
      <c r="VYU59" s="12"/>
      <c r="VYV59" s="12"/>
      <c r="VYW59" s="12"/>
      <c r="VYX59" s="12"/>
      <c r="VYY59" s="12"/>
      <c r="VYZ59" s="12"/>
      <c r="VZA59" s="12"/>
      <c r="VZB59" s="12"/>
      <c r="VZC59" s="12"/>
      <c r="VZD59" s="12"/>
      <c r="VZE59" s="12"/>
      <c r="VZF59" s="12"/>
      <c r="VZG59" s="12"/>
      <c r="VZH59" s="12"/>
      <c r="VZI59" s="12"/>
      <c r="VZJ59" s="12"/>
      <c r="VZK59" s="12"/>
      <c r="VZL59" s="12"/>
      <c r="VZM59" s="12"/>
      <c r="VZN59" s="12"/>
      <c r="VZO59" s="12"/>
      <c r="VZP59" s="12"/>
      <c r="VZQ59" s="12"/>
      <c r="VZR59" s="12"/>
      <c r="VZS59" s="12"/>
      <c r="VZT59" s="12"/>
      <c r="VZU59" s="12"/>
      <c r="VZV59" s="12"/>
      <c r="VZW59" s="12"/>
      <c r="VZX59" s="12"/>
      <c r="VZY59" s="12"/>
      <c r="VZZ59" s="12"/>
      <c r="WAA59" s="12"/>
      <c r="WAB59" s="12"/>
      <c r="WAC59" s="12"/>
      <c r="WAD59" s="12"/>
      <c r="WAE59" s="12"/>
      <c r="WAF59" s="12"/>
      <c r="WAG59" s="12"/>
      <c r="WAH59" s="12"/>
      <c r="WAI59" s="12"/>
      <c r="WAJ59" s="12"/>
      <c r="WAK59" s="12"/>
      <c r="WAL59" s="12"/>
      <c r="WAM59" s="12"/>
      <c r="WAN59" s="12"/>
      <c r="WAO59" s="12"/>
      <c r="WAP59" s="12"/>
      <c r="WAQ59" s="12"/>
      <c r="WAR59" s="12"/>
      <c r="WAS59" s="12"/>
      <c r="WAT59" s="12"/>
      <c r="WAU59" s="12"/>
      <c r="WAV59" s="12"/>
      <c r="WAW59" s="12"/>
      <c r="WAX59" s="12"/>
      <c r="WAY59" s="12"/>
      <c r="WAZ59" s="12"/>
      <c r="WBA59" s="12"/>
      <c r="WBB59" s="12"/>
      <c r="WBC59" s="12"/>
      <c r="WBD59" s="12"/>
      <c r="WBE59" s="12"/>
      <c r="WBF59" s="12"/>
      <c r="WBG59" s="12"/>
      <c r="WBH59" s="12"/>
      <c r="WBI59" s="12"/>
      <c r="WBJ59" s="12"/>
      <c r="WBK59" s="12"/>
      <c r="WBL59" s="12"/>
      <c r="WBM59" s="12"/>
      <c r="WBN59" s="12"/>
      <c r="WBO59" s="12"/>
      <c r="WBP59" s="12"/>
      <c r="WBQ59" s="12"/>
      <c r="WBR59" s="12"/>
      <c r="WBS59" s="12"/>
      <c r="WBT59" s="12"/>
      <c r="WBU59" s="12"/>
      <c r="WBV59" s="12"/>
      <c r="WBW59" s="12"/>
      <c r="WBX59" s="12"/>
      <c r="WBY59" s="12"/>
      <c r="WBZ59" s="12"/>
      <c r="WCA59" s="12"/>
      <c r="WCB59" s="12"/>
      <c r="WCC59" s="12"/>
      <c r="WCD59" s="12"/>
      <c r="WCE59" s="12"/>
      <c r="WCF59" s="12"/>
      <c r="WCG59" s="12"/>
      <c r="WCH59" s="12"/>
      <c r="WCI59" s="12"/>
      <c r="WCJ59" s="12"/>
      <c r="WCK59" s="12"/>
      <c r="WCL59" s="12"/>
      <c r="WCM59" s="12"/>
      <c r="WCN59" s="12"/>
      <c r="WCO59" s="12"/>
      <c r="WCP59" s="12"/>
      <c r="WCQ59" s="12"/>
      <c r="WCR59" s="12"/>
      <c r="WCS59" s="12"/>
      <c r="WCT59" s="12"/>
      <c r="WCU59" s="12"/>
      <c r="WCV59" s="12"/>
      <c r="WCW59" s="12"/>
      <c r="WCX59" s="12"/>
      <c r="WCY59" s="12"/>
      <c r="WCZ59" s="12"/>
      <c r="WDA59" s="12"/>
      <c r="WDB59" s="12"/>
      <c r="WDC59" s="12"/>
      <c r="WDD59" s="12"/>
      <c r="WDE59" s="12"/>
      <c r="WDF59" s="12"/>
      <c r="WDG59" s="12"/>
      <c r="WDH59" s="12"/>
      <c r="WDI59" s="12"/>
      <c r="WDJ59" s="12"/>
      <c r="WDK59" s="12"/>
      <c r="WDL59" s="12"/>
      <c r="WDM59" s="12"/>
      <c r="WDN59" s="12"/>
      <c r="WDO59" s="12"/>
      <c r="WDP59" s="12"/>
      <c r="WDQ59" s="12"/>
      <c r="WDR59" s="12"/>
      <c r="WDS59" s="12"/>
      <c r="WDT59" s="12"/>
      <c r="WDU59" s="12"/>
      <c r="WDV59" s="12"/>
      <c r="WDW59" s="12"/>
      <c r="WDX59" s="12"/>
      <c r="WDY59" s="12"/>
      <c r="WDZ59" s="12"/>
      <c r="WEA59" s="12"/>
      <c r="WEB59" s="12"/>
      <c r="WEC59" s="12"/>
      <c r="WED59" s="12"/>
      <c r="WEE59" s="12"/>
      <c r="WEF59" s="12"/>
      <c r="WEG59" s="12"/>
      <c r="WEH59" s="12"/>
      <c r="WEI59" s="12"/>
      <c r="WEJ59" s="12"/>
      <c r="WEK59" s="12"/>
      <c r="WEL59" s="12"/>
      <c r="WEM59" s="12"/>
      <c r="WEN59" s="12"/>
      <c r="WEO59" s="12"/>
      <c r="WEP59" s="12"/>
      <c r="WEQ59" s="12"/>
      <c r="WER59" s="12"/>
      <c r="WES59" s="12"/>
      <c r="WET59" s="12"/>
      <c r="WEU59" s="12"/>
      <c r="WEV59" s="12"/>
      <c r="WEW59" s="12"/>
      <c r="WEX59" s="12"/>
      <c r="WEY59" s="12"/>
      <c r="WEZ59" s="12"/>
      <c r="WFA59" s="12"/>
      <c r="WFB59" s="12"/>
      <c r="WFC59" s="12"/>
      <c r="WFD59" s="12"/>
      <c r="WFE59" s="12"/>
      <c r="WFF59" s="12"/>
      <c r="WFG59" s="12"/>
      <c r="WFH59" s="12"/>
      <c r="WFI59" s="12"/>
      <c r="WFJ59" s="12"/>
      <c r="WFK59" s="12"/>
      <c r="WFL59" s="12"/>
      <c r="WFM59" s="12"/>
      <c r="WFN59" s="12"/>
      <c r="WFO59" s="12"/>
      <c r="WFP59" s="12"/>
      <c r="WFQ59" s="12"/>
      <c r="WFR59" s="12"/>
      <c r="WFS59" s="12"/>
      <c r="WFT59" s="12"/>
      <c r="WFU59" s="12"/>
      <c r="WFV59" s="12"/>
      <c r="WFW59" s="12"/>
      <c r="WFX59" s="12"/>
      <c r="WFY59" s="12"/>
      <c r="WFZ59" s="12"/>
      <c r="WGA59" s="12"/>
      <c r="WGB59" s="12"/>
      <c r="WGC59" s="12"/>
      <c r="WGD59" s="12"/>
      <c r="WGE59" s="12"/>
      <c r="WGF59" s="12"/>
      <c r="WGG59" s="12"/>
      <c r="WGH59" s="12"/>
      <c r="WGI59" s="12"/>
      <c r="WGJ59" s="12"/>
      <c r="WGK59" s="12"/>
      <c r="WGL59" s="12"/>
      <c r="WGM59" s="12"/>
      <c r="WGN59" s="12"/>
      <c r="WGO59" s="12"/>
      <c r="WGP59" s="12"/>
      <c r="WGQ59" s="12"/>
      <c r="WGR59" s="12"/>
      <c r="WGS59" s="12"/>
      <c r="WGT59" s="12"/>
      <c r="WGU59" s="12"/>
      <c r="WGV59" s="12"/>
      <c r="WGW59" s="12"/>
      <c r="WGX59" s="12"/>
      <c r="WGY59" s="12"/>
      <c r="WGZ59" s="12"/>
      <c r="WHA59" s="12"/>
      <c r="WHB59" s="12"/>
      <c r="WHC59" s="12"/>
      <c r="WHD59" s="12"/>
      <c r="WHE59" s="12"/>
      <c r="WHF59" s="12"/>
      <c r="WHG59" s="12"/>
      <c r="WHH59" s="12"/>
      <c r="WHI59" s="12"/>
      <c r="WHJ59" s="12"/>
      <c r="WHK59" s="12"/>
      <c r="WHL59" s="12"/>
      <c r="WHM59" s="12"/>
      <c r="WHN59" s="12"/>
      <c r="WHO59" s="12"/>
      <c r="WHP59" s="12"/>
      <c r="WHQ59" s="12"/>
      <c r="WHR59" s="12"/>
      <c r="WHS59" s="12"/>
      <c r="WHT59" s="12"/>
      <c r="WHU59" s="12"/>
      <c r="WHV59" s="12"/>
      <c r="WHW59" s="12"/>
      <c r="WHX59" s="12"/>
      <c r="WHY59" s="12"/>
      <c r="WHZ59" s="12"/>
      <c r="WIA59" s="12"/>
      <c r="WIB59" s="12"/>
      <c r="WIC59" s="12"/>
      <c r="WID59" s="12"/>
      <c r="WIE59" s="12"/>
      <c r="WIF59" s="12"/>
      <c r="WIG59" s="12"/>
      <c r="WIH59" s="12"/>
      <c r="WII59" s="12"/>
      <c r="WIJ59" s="12"/>
      <c r="WIK59" s="12"/>
      <c r="WIL59" s="12"/>
      <c r="WIM59" s="12"/>
      <c r="WIN59" s="12"/>
      <c r="WIO59" s="12"/>
      <c r="WIP59" s="12"/>
      <c r="WIQ59" s="12"/>
      <c r="WIR59" s="12"/>
      <c r="WIS59" s="12"/>
      <c r="WIT59" s="12"/>
      <c r="WIU59" s="12"/>
      <c r="WIV59" s="12"/>
      <c r="WIW59" s="12"/>
      <c r="WIX59" s="12"/>
      <c r="WIY59" s="12"/>
      <c r="WIZ59" s="12"/>
      <c r="WJA59" s="12"/>
      <c r="WJB59" s="12"/>
      <c r="WJC59" s="12"/>
      <c r="WJD59" s="12"/>
      <c r="WJE59" s="12"/>
      <c r="WJF59" s="12"/>
      <c r="WJG59" s="12"/>
      <c r="WJH59" s="12"/>
      <c r="WJI59" s="12"/>
      <c r="WJJ59" s="12"/>
      <c r="WJK59" s="12"/>
      <c r="WJL59" s="12"/>
      <c r="WJM59" s="12"/>
      <c r="WJN59" s="12"/>
      <c r="WJO59" s="12"/>
      <c r="WJP59" s="12"/>
      <c r="WJQ59" s="12"/>
      <c r="WJR59" s="12"/>
      <c r="WJS59" s="12"/>
      <c r="WJT59" s="12"/>
      <c r="WJU59" s="12"/>
      <c r="WJV59" s="12"/>
      <c r="WJW59" s="12"/>
      <c r="WJX59" s="12"/>
      <c r="WJY59" s="12"/>
      <c r="WJZ59" s="12"/>
      <c r="WKA59" s="12"/>
      <c r="WKB59" s="12"/>
      <c r="WKC59" s="12"/>
      <c r="WKD59" s="12"/>
      <c r="WKE59" s="12"/>
      <c r="WKF59" s="12"/>
      <c r="WKG59" s="12"/>
      <c r="WKH59" s="12"/>
      <c r="WKI59" s="12"/>
      <c r="WKJ59" s="12"/>
      <c r="WKK59" s="12"/>
      <c r="WKL59" s="12"/>
      <c r="WKM59" s="12"/>
      <c r="WKN59" s="12"/>
      <c r="WKO59" s="12"/>
      <c r="WKP59" s="12"/>
      <c r="WKQ59" s="12"/>
      <c r="WKR59" s="12"/>
      <c r="WKS59" s="12"/>
      <c r="WKT59" s="12"/>
      <c r="WKU59" s="12"/>
      <c r="WKV59" s="12"/>
      <c r="WKW59" s="12"/>
      <c r="WKX59" s="12"/>
      <c r="WKY59" s="12"/>
      <c r="WKZ59" s="12"/>
      <c r="WLA59" s="12"/>
      <c r="WLB59" s="12"/>
      <c r="WLC59" s="12"/>
      <c r="WLD59" s="12"/>
      <c r="WLE59" s="12"/>
      <c r="WLF59" s="12"/>
      <c r="WLG59" s="12"/>
      <c r="WLH59" s="12"/>
      <c r="WLI59" s="12"/>
      <c r="WLJ59" s="12"/>
      <c r="WLK59" s="12"/>
      <c r="WLL59" s="12"/>
      <c r="WLM59" s="12"/>
      <c r="WLN59" s="12"/>
      <c r="WLO59" s="12"/>
      <c r="WLP59" s="12"/>
      <c r="WLQ59" s="12"/>
      <c r="WLR59" s="12"/>
      <c r="WLS59" s="12"/>
      <c r="WLT59" s="12"/>
      <c r="WLU59" s="12"/>
      <c r="WLV59" s="12"/>
      <c r="WLW59" s="12"/>
      <c r="WLX59" s="12"/>
      <c r="WLY59" s="12"/>
      <c r="WLZ59" s="12"/>
      <c r="WMA59" s="12"/>
      <c r="WMB59" s="12"/>
      <c r="WMC59" s="12"/>
      <c r="WMD59" s="12"/>
      <c r="WME59" s="12"/>
      <c r="WMF59" s="12"/>
      <c r="WMG59" s="12"/>
      <c r="WMH59" s="12"/>
      <c r="WMI59" s="12"/>
      <c r="WMJ59" s="12"/>
      <c r="WMK59" s="12"/>
      <c r="WML59" s="12"/>
      <c r="WMM59" s="12"/>
      <c r="WMN59" s="12"/>
      <c r="WMO59" s="12"/>
      <c r="WMP59" s="12"/>
      <c r="WMQ59" s="12"/>
      <c r="WMR59" s="12"/>
      <c r="WMS59" s="12"/>
      <c r="WMT59" s="12"/>
      <c r="WMU59" s="12"/>
      <c r="WMV59" s="12"/>
      <c r="WMW59" s="12"/>
      <c r="WMX59" s="12"/>
      <c r="WMY59" s="12"/>
      <c r="WMZ59" s="12"/>
      <c r="WNA59" s="12"/>
      <c r="WNB59" s="12"/>
      <c r="WNC59" s="12"/>
      <c r="WND59" s="12"/>
      <c r="WNE59" s="12"/>
      <c r="WNF59" s="12"/>
      <c r="WNG59" s="12"/>
      <c r="WNH59" s="12"/>
      <c r="WNI59" s="12"/>
      <c r="WNJ59" s="12"/>
      <c r="WNK59" s="12"/>
      <c r="WNL59" s="12"/>
      <c r="WNM59" s="12"/>
      <c r="WNN59" s="12"/>
      <c r="WNO59" s="12"/>
      <c r="WNP59" s="12"/>
      <c r="WNQ59" s="12"/>
      <c r="WNR59" s="12"/>
      <c r="WNS59" s="12"/>
      <c r="WNT59" s="12"/>
      <c r="WNU59" s="12"/>
      <c r="WNV59" s="12"/>
      <c r="WNW59" s="12"/>
      <c r="WNX59" s="12"/>
      <c r="WNY59" s="12"/>
      <c r="WNZ59" s="12"/>
      <c r="WOA59" s="12"/>
      <c r="WOB59" s="12"/>
      <c r="WOC59" s="12"/>
      <c r="WOD59" s="12"/>
      <c r="WOE59" s="12"/>
      <c r="WOF59" s="12"/>
      <c r="WOG59" s="12"/>
      <c r="WOH59" s="12"/>
      <c r="WOI59" s="12"/>
      <c r="WOJ59" s="12"/>
      <c r="WOK59" s="12"/>
      <c r="WOL59" s="12"/>
      <c r="WOM59" s="12"/>
      <c r="WON59" s="12"/>
      <c r="WOO59" s="12"/>
      <c r="WOP59" s="12"/>
      <c r="WOQ59" s="12"/>
      <c r="WOR59" s="12"/>
      <c r="WOS59" s="12"/>
      <c r="WOT59" s="12"/>
      <c r="WOU59" s="12"/>
      <c r="WOV59" s="12"/>
      <c r="WOW59" s="12"/>
      <c r="WOX59" s="12"/>
      <c r="WOY59" s="12"/>
      <c r="WOZ59" s="12"/>
      <c r="WPA59" s="12"/>
      <c r="WPB59" s="12"/>
      <c r="WPC59" s="12"/>
      <c r="WPD59" s="12"/>
      <c r="WPE59" s="12"/>
      <c r="WPF59" s="12"/>
      <c r="WPG59" s="12"/>
      <c r="WPH59" s="12"/>
      <c r="WPI59" s="12"/>
      <c r="WPJ59" s="12"/>
      <c r="WPK59" s="12"/>
      <c r="WPL59" s="12"/>
      <c r="WPM59" s="12"/>
      <c r="WPN59" s="12"/>
      <c r="WPO59" s="12"/>
      <c r="WPP59" s="12"/>
      <c r="WPQ59" s="12"/>
      <c r="WPR59" s="12"/>
      <c r="WPS59" s="12"/>
      <c r="WPT59" s="12"/>
      <c r="WPU59" s="12"/>
      <c r="WPV59" s="12"/>
      <c r="WPW59" s="12"/>
      <c r="WPX59" s="12"/>
      <c r="WPY59" s="12"/>
      <c r="WPZ59" s="12"/>
      <c r="WQA59" s="12"/>
      <c r="WQB59" s="12"/>
      <c r="WQC59" s="12"/>
      <c r="WQD59" s="12"/>
      <c r="WQE59" s="12"/>
      <c r="WQF59" s="12"/>
      <c r="WQG59" s="12"/>
      <c r="WQH59" s="12"/>
      <c r="WQI59" s="12"/>
      <c r="WQJ59" s="12"/>
      <c r="WQK59" s="12"/>
      <c r="WQL59" s="12"/>
      <c r="WQM59" s="12"/>
      <c r="WQN59" s="12"/>
      <c r="WQO59" s="12"/>
      <c r="WQP59" s="12"/>
      <c r="WQQ59" s="12"/>
      <c r="WQR59" s="12"/>
      <c r="WQS59" s="12"/>
      <c r="WQT59" s="12"/>
      <c r="WQU59" s="12"/>
      <c r="WQV59" s="12"/>
      <c r="WQW59" s="12"/>
      <c r="WQX59" s="12"/>
      <c r="WQY59" s="12"/>
      <c r="WQZ59" s="12"/>
      <c r="WRA59" s="12"/>
      <c r="WRB59" s="12"/>
      <c r="WRC59" s="12"/>
      <c r="WRD59" s="12"/>
      <c r="WRE59" s="12"/>
      <c r="WRF59" s="12"/>
      <c r="WRG59" s="12"/>
      <c r="WRH59" s="12"/>
      <c r="WRI59" s="12"/>
      <c r="WRJ59" s="12"/>
      <c r="WRK59" s="12"/>
      <c r="WRL59" s="12"/>
      <c r="WRM59" s="12"/>
      <c r="WRN59" s="12"/>
      <c r="WRO59" s="12"/>
      <c r="WRP59" s="12"/>
      <c r="WRQ59" s="12"/>
      <c r="WRR59" s="12"/>
      <c r="WRS59" s="12"/>
      <c r="WRT59" s="12"/>
      <c r="WRU59" s="12"/>
      <c r="WRV59" s="12"/>
      <c r="WRW59" s="12"/>
      <c r="WRX59" s="12"/>
      <c r="WRY59" s="12"/>
      <c r="WRZ59" s="12"/>
      <c r="WSA59" s="12"/>
      <c r="WSB59" s="12"/>
      <c r="WSC59" s="12"/>
      <c r="WSD59" s="12"/>
      <c r="WSE59" s="12"/>
      <c r="WSF59" s="12"/>
      <c r="WSG59" s="12"/>
      <c r="WSH59" s="12"/>
      <c r="WSI59" s="12"/>
      <c r="WSJ59" s="12"/>
      <c r="WSK59" s="12"/>
      <c r="WSL59" s="12"/>
      <c r="WSM59" s="12"/>
      <c r="WSN59" s="12"/>
      <c r="WSO59" s="12"/>
      <c r="WSP59" s="12"/>
      <c r="WSQ59" s="12"/>
      <c r="WSR59" s="12"/>
      <c r="WSS59" s="12"/>
      <c r="WST59" s="12"/>
      <c r="WSU59" s="12"/>
      <c r="WSV59" s="12"/>
      <c r="WSW59" s="12"/>
      <c r="WSX59" s="12"/>
      <c r="WSY59" s="12"/>
      <c r="WSZ59" s="12"/>
      <c r="WTA59" s="12"/>
      <c r="WTB59" s="12"/>
      <c r="WTC59" s="12"/>
      <c r="WTD59" s="12"/>
      <c r="WTE59" s="12"/>
      <c r="WTF59" s="12"/>
      <c r="WTG59" s="12"/>
      <c r="WTH59" s="12"/>
      <c r="WTI59" s="12"/>
      <c r="WTJ59" s="12"/>
      <c r="WTK59" s="12"/>
      <c r="WTL59" s="12"/>
      <c r="WTM59" s="12"/>
      <c r="WTN59" s="12"/>
      <c r="WTO59" s="12"/>
      <c r="WTP59" s="12"/>
      <c r="WTQ59" s="12"/>
      <c r="WTR59" s="12"/>
      <c r="WTS59" s="12"/>
      <c r="WTT59" s="12"/>
      <c r="WTU59" s="12"/>
      <c r="WTV59" s="12"/>
      <c r="WTW59" s="12"/>
      <c r="WTX59" s="12"/>
      <c r="WTY59" s="12"/>
      <c r="WTZ59" s="12"/>
      <c r="WUA59" s="12"/>
      <c r="WUB59" s="12"/>
      <c r="WUC59" s="12"/>
      <c r="WUD59" s="12"/>
      <c r="WUE59" s="12"/>
      <c r="WUF59" s="12"/>
      <c r="WUG59" s="12"/>
      <c r="WUH59" s="12"/>
      <c r="WUI59" s="12"/>
      <c r="WUJ59" s="12"/>
      <c r="WUK59" s="12"/>
      <c r="WUL59" s="12"/>
      <c r="WUM59" s="12"/>
      <c r="WUN59" s="12"/>
      <c r="WUO59" s="12"/>
      <c r="WUP59" s="12"/>
      <c r="WUQ59" s="12"/>
      <c r="WUR59" s="12"/>
      <c r="WUS59" s="12"/>
      <c r="WUT59" s="12"/>
      <c r="WUU59" s="12"/>
      <c r="WUV59" s="12"/>
      <c r="WUW59" s="12"/>
      <c r="WUX59" s="12"/>
      <c r="WUY59" s="12"/>
      <c r="WUZ59" s="12"/>
      <c r="WVA59" s="12"/>
      <c r="WVB59" s="12"/>
      <c r="WVC59" s="12"/>
      <c r="WVD59" s="12"/>
      <c r="WVE59" s="12"/>
      <c r="WVF59" s="12"/>
      <c r="WVG59" s="12"/>
      <c r="WVH59" s="12"/>
      <c r="WVI59" s="12"/>
      <c r="WVJ59" s="12"/>
      <c r="WVK59" s="12"/>
      <c r="WVL59" s="12"/>
      <c r="WVM59" s="12"/>
      <c r="WVN59" s="12"/>
      <c r="WVO59" s="12"/>
      <c r="WVP59" s="12"/>
      <c r="WVQ59" s="12"/>
      <c r="WVR59" s="12"/>
      <c r="WVS59" s="12"/>
      <c r="WVT59" s="12"/>
      <c r="WVU59" s="12"/>
      <c r="WVV59" s="12"/>
      <c r="WVW59" s="12"/>
      <c r="WVX59" s="12"/>
      <c r="WVY59" s="12"/>
      <c r="WVZ59" s="12"/>
      <c r="WWA59" s="12"/>
      <c r="WWB59" s="12"/>
      <c r="WWC59" s="12"/>
      <c r="WWD59" s="12"/>
      <c r="WWE59" s="12"/>
      <c r="WWF59" s="12"/>
      <c r="WWG59" s="12"/>
      <c r="WWH59" s="12"/>
      <c r="WWI59" s="12"/>
      <c r="WWJ59" s="12"/>
      <c r="WWK59" s="12"/>
      <c r="WWL59" s="12"/>
      <c r="WWM59" s="12"/>
      <c r="WWN59" s="12"/>
      <c r="WWO59" s="12"/>
      <c r="WWP59" s="12"/>
      <c r="WWQ59" s="12"/>
      <c r="WWR59" s="12"/>
      <c r="WWS59" s="12"/>
      <c r="WWT59" s="12"/>
      <c r="WWU59" s="12"/>
      <c r="WWV59" s="12"/>
      <c r="WWW59" s="12"/>
      <c r="WWX59" s="12"/>
      <c r="WWY59" s="12"/>
      <c r="WWZ59" s="12"/>
      <c r="WXA59" s="12"/>
      <c r="WXB59" s="12"/>
      <c r="WXC59" s="12"/>
      <c r="WXD59" s="12"/>
      <c r="WXE59" s="12"/>
      <c r="WXF59" s="12"/>
      <c r="WXG59" s="12"/>
      <c r="WXH59" s="12"/>
      <c r="WXI59" s="12"/>
      <c r="WXJ59" s="12"/>
      <c r="WXK59" s="12"/>
      <c r="WXL59" s="12"/>
      <c r="WXM59" s="12"/>
      <c r="WXN59" s="12"/>
      <c r="WXO59" s="12"/>
      <c r="WXP59" s="12"/>
      <c r="WXQ59" s="12"/>
      <c r="WXR59" s="12"/>
      <c r="WXS59" s="12"/>
      <c r="WXT59" s="12"/>
      <c r="WXU59" s="12"/>
      <c r="WXV59" s="12"/>
      <c r="WXW59" s="12"/>
      <c r="WXX59" s="12"/>
      <c r="WXY59" s="12"/>
      <c r="WXZ59" s="12"/>
      <c r="WYA59" s="12"/>
      <c r="WYB59" s="12"/>
      <c r="WYC59" s="12"/>
      <c r="WYD59" s="12"/>
      <c r="WYE59" s="12"/>
      <c r="WYF59" s="12"/>
      <c r="WYG59" s="12"/>
      <c r="WYH59" s="12"/>
      <c r="WYI59" s="12"/>
      <c r="WYJ59" s="12"/>
      <c r="WYK59" s="12"/>
      <c r="WYL59" s="12"/>
      <c r="WYM59" s="12"/>
      <c r="WYN59" s="12"/>
      <c r="WYO59" s="12"/>
      <c r="WYP59" s="12"/>
      <c r="WYQ59" s="12"/>
      <c r="WYR59" s="12"/>
      <c r="WYS59" s="12"/>
      <c r="WYT59" s="12"/>
      <c r="WYU59" s="12"/>
      <c r="WYV59" s="12"/>
      <c r="WYW59" s="12"/>
      <c r="WYX59" s="12"/>
      <c r="WYY59" s="12"/>
      <c r="WYZ59" s="12"/>
      <c r="WZA59" s="12"/>
      <c r="WZB59" s="12"/>
      <c r="WZC59" s="12"/>
      <c r="WZD59" s="12"/>
      <c r="WZE59" s="12"/>
      <c r="WZF59" s="12"/>
      <c r="WZG59" s="12"/>
      <c r="WZH59" s="12"/>
      <c r="WZI59" s="12"/>
      <c r="WZJ59" s="12"/>
      <c r="WZK59" s="12"/>
      <c r="WZL59" s="12"/>
      <c r="WZM59" s="12"/>
      <c r="WZN59" s="12"/>
      <c r="WZO59" s="12"/>
      <c r="WZP59" s="12"/>
      <c r="WZQ59" s="12"/>
      <c r="WZR59" s="12"/>
      <c r="WZS59" s="12"/>
      <c r="WZT59" s="12"/>
      <c r="WZU59" s="12"/>
      <c r="WZV59" s="12"/>
      <c r="WZW59" s="12"/>
      <c r="WZX59" s="12"/>
      <c r="WZY59" s="12"/>
      <c r="WZZ59" s="12"/>
      <c r="XAA59" s="12"/>
      <c r="XAB59" s="12"/>
      <c r="XAC59" s="12"/>
      <c r="XAD59" s="12"/>
      <c r="XAE59" s="12"/>
      <c r="XAF59" s="12"/>
      <c r="XAG59" s="12"/>
      <c r="XAH59" s="12"/>
      <c r="XAI59" s="12"/>
      <c r="XAJ59" s="12"/>
      <c r="XAK59" s="12"/>
      <c r="XAL59" s="12"/>
      <c r="XAM59" s="12"/>
      <c r="XAN59" s="12"/>
      <c r="XAO59" s="12"/>
      <c r="XAP59" s="12"/>
      <c r="XAQ59" s="12"/>
      <c r="XAR59" s="12"/>
      <c r="XAS59" s="12"/>
      <c r="XAT59" s="12"/>
      <c r="XAU59" s="12"/>
      <c r="XAV59" s="12"/>
      <c r="XAW59" s="12"/>
      <c r="XAX59" s="12"/>
      <c r="XAY59" s="12"/>
      <c r="XAZ59" s="12"/>
      <c r="XBA59" s="12"/>
      <c r="XBB59" s="12"/>
      <c r="XBC59" s="12"/>
      <c r="XBD59" s="12"/>
      <c r="XBE59" s="12"/>
      <c r="XBF59" s="12"/>
      <c r="XBG59" s="12"/>
      <c r="XBH59" s="12"/>
      <c r="XBI59" s="12"/>
      <c r="XBJ59" s="12"/>
      <c r="XBK59" s="12"/>
      <c r="XBL59" s="12"/>
      <c r="XBM59" s="12"/>
      <c r="XBN59" s="12"/>
      <c r="XBO59" s="12"/>
      <c r="XBP59" s="12"/>
      <c r="XBQ59" s="12"/>
      <c r="XBR59" s="12"/>
      <c r="XBS59" s="12"/>
      <c r="XBT59" s="12"/>
      <c r="XBU59" s="12"/>
      <c r="XBV59" s="12"/>
      <c r="XBW59" s="12"/>
      <c r="XBX59" s="12"/>
      <c r="XBY59" s="12"/>
      <c r="XBZ59" s="12"/>
      <c r="XCA59" s="12"/>
      <c r="XCB59" s="12"/>
      <c r="XCC59" s="12"/>
      <c r="XCD59" s="12"/>
      <c r="XCE59" s="12"/>
      <c r="XCF59" s="12"/>
      <c r="XCG59" s="12"/>
      <c r="XCH59" s="12"/>
    </row>
    <row r="60" spans="1:16310" s="115" customFormat="1" ht="10.199999999999999" hidden="1" x14ac:dyDescent="0.2">
      <c r="A60" s="122">
        <v>1</v>
      </c>
      <c r="C60" s="123"/>
      <c r="D60" s="116" t="str">
        <f>IF(ISERROR(VLOOKUP('Оценка трудоемкости'!$C60,Справочники!S:V,3,0))=TRUE,"",VLOOKUP('Оценка трудоемкости'!$C60,Справочники!S:V,3,0))</f>
        <v/>
      </c>
      <c r="E60" s="116">
        <f>IF(ISERROR(VLOOKUP('Оценка трудоемкости'!$C60,Справочники!S:V,4,0))=TRUE,0,VLOOKUP('Оценка трудоемкости'!$C60,Справочники!S:V,4,0))</f>
        <v>0</v>
      </c>
      <c r="F60" s="127"/>
      <c r="G60" s="116">
        <f t="shared" si="122"/>
        <v>0</v>
      </c>
      <c r="H60" s="12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116">
        <f t="shared" si="123"/>
        <v>0</v>
      </c>
      <c r="V60" s="12"/>
      <c r="W60" s="124"/>
      <c r="X60" s="124"/>
      <c r="Y60" s="124"/>
      <c r="Z60" s="124"/>
      <c r="AA60" s="124"/>
      <c r="AB60" s="124"/>
      <c r="AC60" s="124"/>
      <c r="AD60" s="124"/>
      <c r="AE60" s="124"/>
      <c r="AF60" s="124"/>
      <c r="AG60" s="124"/>
      <c r="AH60" s="124"/>
      <c r="AI60" s="116">
        <f t="shared" si="124"/>
        <v>0</v>
      </c>
      <c r="AJ60" s="12"/>
      <c r="AK60" s="124"/>
      <c r="AL60" s="124"/>
      <c r="AM60" s="124"/>
      <c r="AN60" s="124"/>
      <c r="AO60" s="124"/>
      <c r="AP60" s="124"/>
      <c r="AQ60" s="124"/>
      <c r="AR60" s="124"/>
      <c r="AS60" s="124"/>
      <c r="AT60" s="124"/>
      <c r="AU60" s="124"/>
      <c r="AV60" s="124"/>
      <c r="AW60" s="116">
        <f t="shared" si="125"/>
        <v>0</v>
      </c>
      <c r="AX60" s="12"/>
      <c r="AY60" s="124"/>
      <c r="AZ60" s="124"/>
      <c r="BA60" s="124"/>
      <c r="BB60" s="124"/>
      <c r="BC60" s="124"/>
      <c r="BD60" s="124"/>
      <c r="BE60" s="124"/>
      <c r="BF60" s="124"/>
      <c r="BG60" s="124"/>
      <c r="BH60" s="124"/>
      <c r="BI60" s="124"/>
      <c r="BJ60" s="124"/>
      <c r="BK60" s="116">
        <f t="shared" si="126"/>
        <v>0</v>
      </c>
      <c r="BL60" s="12"/>
      <c r="BM60" s="124"/>
      <c r="BN60" s="124"/>
      <c r="BO60" s="124"/>
      <c r="BP60" s="124"/>
      <c r="BQ60" s="124"/>
      <c r="BR60" s="124"/>
      <c r="BS60" s="124"/>
      <c r="BT60" s="124"/>
      <c r="BU60" s="124"/>
      <c r="BV60" s="124"/>
      <c r="BW60" s="124"/>
      <c r="BX60" s="124"/>
      <c r="BY60" s="116">
        <f t="shared" si="127"/>
        <v>0</v>
      </c>
      <c r="BZ60" s="12"/>
      <c r="CA60" s="116">
        <f t="shared" si="128"/>
        <v>0</v>
      </c>
      <c r="CB60" s="12"/>
      <c r="CC60" s="118">
        <f t="shared" si="147"/>
        <v>0</v>
      </c>
      <c r="CD60" s="118">
        <f t="shared" si="148"/>
        <v>0</v>
      </c>
      <c r="CE60" s="118">
        <f t="shared" si="149"/>
        <v>0</v>
      </c>
      <c r="CF60" s="118">
        <f t="shared" si="150"/>
        <v>0</v>
      </c>
      <c r="CG60" s="118">
        <f t="shared" si="151"/>
        <v>0</v>
      </c>
      <c r="CH60" s="118">
        <f t="shared" si="152"/>
        <v>0</v>
      </c>
      <c r="CI60" s="118">
        <f t="shared" si="153"/>
        <v>0</v>
      </c>
      <c r="CJ60" s="118">
        <f t="shared" si="154"/>
        <v>0</v>
      </c>
      <c r="CK60" s="118">
        <f t="shared" si="155"/>
        <v>0</v>
      </c>
      <c r="CL60" s="118">
        <f t="shared" si="156"/>
        <v>0</v>
      </c>
      <c r="CM60" s="118">
        <f t="shared" si="157"/>
        <v>0</v>
      </c>
      <c r="CN60" s="118">
        <f t="shared" si="158"/>
        <v>0</v>
      </c>
      <c r="CO60" s="41">
        <f t="shared" si="129"/>
        <v>0</v>
      </c>
      <c r="CP60" s="12"/>
      <c r="CQ60" s="118">
        <f t="shared" si="159"/>
        <v>0</v>
      </c>
      <c r="CR60" s="118">
        <f t="shared" si="160"/>
        <v>0</v>
      </c>
      <c r="CS60" s="118">
        <f t="shared" si="161"/>
        <v>0</v>
      </c>
      <c r="CT60" s="118">
        <f t="shared" si="162"/>
        <v>0</v>
      </c>
      <c r="CU60" s="118">
        <f t="shared" si="163"/>
        <v>0</v>
      </c>
      <c r="CV60" s="118">
        <f t="shared" si="164"/>
        <v>0</v>
      </c>
      <c r="CW60" s="118">
        <f t="shared" si="165"/>
        <v>0</v>
      </c>
      <c r="CX60" s="118">
        <f t="shared" si="166"/>
        <v>0</v>
      </c>
      <c r="CY60" s="118">
        <f t="shared" si="167"/>
        <v>0</v>
      </c>
      <c r="CZ60" s="118">
        <f t="shared" si="168"/>
        <v>0</v>
      </c>
      <c r="DA60" s="118">
        <f t="shared" si="169"/>
        <v>0</v>
      </c>
      <c r="DB60" s="118">
        <f t="shared" si="170"/>
        <v>0</v>
      </c>
      <c r="DC60" s="41">
        <f t="shared" si="130"/>
        <v>0</v>
      </c>
      <c r="DD60" s="12"/>
      <c r="DE60" s="118">
        <f t="shared" si="171"/>
        <v>0</v>
      </c>
      <c r="DF60" s="118">
        <f t="shared" si="172"/>
        <v>0</v>
      </c>
      <c r="DG60" s="118">
        <f t="shared" si="173"/>
        <v>0</v>
      </c>
      <c r="DH60" s="118">
        <f t="shared" si="174"/>
        <v>0</v>
      </c>
      <c r="DI60" s="118">
        <f t="shared" si="175"/>
        <v>0</v>
      </c>
      <c r="DJ60" s="118">
        <f t="shared" si="176"/>
        <v>0</v>
      </c>
      <c r="DK60" s="118">
        <f t="shared" si="177"/>
        <v>0</v>
      </c>
      <c r="DL60" s="118">
        <f t="shared" si="178"/>
        <v>0</v>
      </c>
      <c r="DM60" s="118">
        <f t="shared" si="179"/>
        <v>0</v>
      </c>
      <c r="DN60" s="118">
        <f t="shared" si="180"/>
        <v>0</v>
      </c>
      <c r="DO60" s="118">
        <f t="shared" si="181"/>
        <v>0</v>
      </c>
      <c r="DP60" s="118">
        <f t="shared" si="182"/>
        <v>0</v>
      </c>
      <c r="DQ60" s="41">
        <f t="shared" si="131"/>
        <v>0</v>
      </c>
      <c r="DR60" s="12"/>
      <c r="DS60" s="118">
        <f t="shared" si="183"/>
        <v>0</v>
      </c>
      <c r="DT60" s="118">
        <f t="shared" si="184"/>
        <v>0</v>
      </c>
      <c r="DU60" s="118">
        <f t="shared" si="185"/>
        <v>0</v>
      </c>
      <c r="DV60" s="118">
        <f t="shared" si="186"/>
        <v>0</v>
      </c>
      <c r="DW60" s="118">
        <f t="shared" si="187"/>
        <v>0</v>
      </c>
      <c r="DX60" s="118">
        <f t="shared" si="188"/>
        <v>0</v>
      </c>
      <c r="DY60" s="118">
        <f t="shared" si="189"/>
        <v>0</v>
      </c>
      <c r="DZ60" s="118">
        <f t="shared" si="190"/>
        <v>0</v>
      </c>
      <c r="EA60" s="118">
        <f t="shared" si="191"/>
        <v>0</v>
      </c>
      <c r="EB60" s="118">
        <f t="shared" si="192"/>
        <v>0</v>
      </c>
      <c r="EC60" s="118">
        <f t="shared" si="193"/>
        <v>0</v>
      </c>
      <c r="ED60" s="118">
        <f t="shared" si="194"/>
        <v>0</v>
      </c>
      <c r="EE60" s="41">
        <f t="shared" si="132"/>
        <v>0</v>
      </c>
      <c r="EF60" s="12"/>
      <c r="EG60" s="118">
        <f t="shared" si="195"/>
        <v>0</v>
      </c>
      <c r="EH60" s="118">
        <f t="shared" si="196"/>
        <v>0</v>
      </c>
      <c r="EI60" s="118">
        <f t="shared" si="197"/>
        <v>0</v>
      </c>
      <c r="EJ60" s="118">
        <f t="shared" si="198"/>
        <v>0</v>
      </c>
      <c r="EK60" s="118">
        <f t="shared" si="199"/>
        <v>0</v>
      </c>
      <c r="EL60" s="118">
        <f t="shared" si="200"/>
        <v>0</v>
      </c>
      <c r="EM60" s="118">
        <f t="shared" si="201"/>
        <v>0</v>
      </c>
      <c r="EN60" s="118">
        <f t="shared" si="202"/>
        <v>0</v>
      </c>
      <c r="EO60" s="118">
        <f t="shared" si="203"/>
        <v>0</v>
      </c>
      <c r="EP60" s="118">
        <f t="shared" si="204"/>
        <v>0</v>
      </c>
      <c r="EQ60" s="118">
        <f t="shared" si="205"/>
        <v>0</v>
      </c>
      <c r="ER60" s="118">
        <f t="shared" si="206"/>
        <v>0</v>
      </c>
      <c r="ES60" s="41">
        <f t="shared" si="133"/>
        <v>0</v>
      </c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12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12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12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12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12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12"/>
      <c r="JX60" s="12"/>
      <c r="JY60" s="12"/>
      <c r="JZ60" s="12"/>
      <c r="KA60" s="12"/>
      <c r="KB60" s="12"/>
      <c r="KC60" s="12"/>
      <c r="KD60" s="12"/>
      <c r="KE60" s="12"/>
      <c r="KF60" s="12"/>
      <c r="KG60" s="12"/>
      <c r="KH60" s="12"/>
      <c r="KI60" s="12"/>
      <c r="KJ60" s="12"/>
      <c r="KK60" s="12"/>
      <c r="KL60" s="12"/>
      <c r="KM60" s="12"/>
      <c r="KN60" s="12"/>
      <c r="KO60" s="12"/>
      <c r="KP60" s="12"/>
      <c r="KQ60" s="12"/>
      <c r="KR60" s="12"/>
      <c r="KS60" s="12"/>
      <c r="KT60" s="12"/>
      <c r="KU60" s="12"/>
      <c r="KV60" s="12"/>
      <c r="KW60" s="12"/>
      <c r="KX60" s="12"/>
      <c r="KY60" s="12"/>
      <c r="KZ60" s="12"/>
      <c r="LA60" s="12"/>
      <c r="LB60" s="12"/>
      <c r="LC60" s="12"/>
      <c r="LD60" s="12"/>
      <c r="LE60" s="12"/>
      <c r="LF60" s="12"/>
      <c r="LG60" s="12"/>
      <c r="LH60" s="12"/>
      <c r="LI60" s="12"/>
      <c r="LJ60" s="12"/>
      <c r="LK60" s="12"/>
      <c r="LL60" s="12"/>
      <c r="LM60" s="12"/>
      <c r="LN60" s="12"/>
      <c r="LO60" s="12"/>
      <c r="LP60" s="12"/>
      <c r="LQ60" s="12"/>
      <c r="LR60" s="12"/>
      <c r="LS60" s="12"/>
      <c r="LT60" s="12"/>
      <c r="LU60" s="12"/>
      <c r="LV60" s="12"/>
      <c r="LW60" s="12"/>
      <c r="LX60" s="12"/>
      <c r="LY60" s="12"/>
      <c r="LZ60" s="12"/>
      <c r="MA60" s="12"/>
      <c r="MB60" s="12"/>
      <c r="MC60" s="12"/>
      <c r="MD60" s="12"/>
      <c r="ME60" s="12"/>
      <c r="MF60" s="12"/>
      <c r="MG60" s="12"/>
      <c r="MH60" s="12"/>
      <c r="MI60" s="12"/>
      <c r="MJ60" s="12"/>
      <c r="MK60" s="12"/>
      <c r="ML60" s="12"/>
      <c r="MM60" s="12"/>
      <c r="MN60" s="12"/>
      <c r="MO60" s="12"/>
      <c r="MP60" s="12"/>
      <c r="MQ60" s="12"/>
      <c r="MR60" s="12"/>
      <c r="MS60" s="12"/>
      <c r="MT60" s="12"/>
      <c r="MU60" s="12"/>
      <c r="MV60" s="12"/>
      <c r="MW60" s="12"/>
      <c r="MX60" s="12"/>
      <c r="MY60" s="12"/>
      <c r="MZ60" s="12"/>
      <c r="NA60" s="12"/>
      <c r="NB60" s="12"/>
      <c r="NC60" s="12"/>
      <c r="ND60" s="12"/>
      <c r="NE60" s="12"/>
      <c r="NF60" s="12"/>
      <c r="NG60" s="12"/>
      <c r="NH60" s="12"/>
      <c r="NI60" s="12"/>
      <c r="NJ60" s="12"/>
      <c r="NK60" s="12"/>
      <c r="NL60" s="12"/>
      <c r="NM60" s="12"/>
      <c r="NN60" s="12"/>
      <c r="NO60" s="12"/>
      <c r="NP60" s="12"/>
      <c r="NQ60" s="12"/>
      <c r="NR60" s="12"/>
      <c r="NS60" s="12"/>
      <c r="NT60" s="12"/>
      <c r="NU60" s="12"/>
      <c r="NV60" s="12"/>
      <c r="NW60" s="12"/>
      <c r="NX60" s="12"/>
      <c r="NY60" s="12"/>
      <c r="NZ60" s="12"/>
      <c r="OA60" s="12"/>
      <c r="OB60" s="12"/>
      <c r="OC60" s="12"/>
      <c r="OD60" s="12"/>
      <c r="OE60" s="12"/>
      <c r="OF60" s="12"/>
      <c r="OG60" s="12"/>
      <c r="OH60" s="12"/>
      <c r="OI60" s="12"/>
      <c r="OJ60" s="12"/>
      <c r="OK60" s="12"/>
      <c r="OL60" s="12"/>
      <c r="OM60" s="12"/>
      <c r="ON60" s="12"/>
      <c r="OO60" s="12"/>
      <c r="OP60" s="12"/>
      <c r="OQ60" s="12"/>
      <c r="OR60" s="12"/>
      <c r="OS60" s="12"/>
      <c r="OT60" s="12"/>
      <c r="OU60" s="12"/>
      <c r="OV60" s="12"/>
      <c r="OW60" s="12"/>
      <c r="OX60" s="12"/>
      <c r="OY60" s="12"/>
      <c r="OZ60" s="12"/>
      <c r="PA60" s="12"/>
      <c r="PB60" s="12"/>
      <c r="PC60" s="12"/>
      <c r="PD60" s="12"/>
      <c r="PE60" s="12"/>
      <c r="PF60" s="12"/>
      <c r="PG60" s="12"/>
      <c r="PH60" s="12"/>
      <c r="PI60" s="12"/>
      <c r="PJ60" s="12"/>
      <c r="PK60" s="12"/>
      <c r="PL60" s="12"/>
      <c r="PM60" s="12"/>
      <c r="PN60" s="12"/>
      <c r="PO60" s="12"/>
      <c r="PP60" s="12"/>
      <c r="PQ60" s="12"/>
      <c r="PR60" s="12"/>
      <c r="PS60" s="12"/>
      <c r="PT60" s="12"/>
      <c r="PU60" s="12"/>
      <c r="PV60" s="12"/>
      <c r="PW60" s="12"/>
      <c r="PX60" s="12"/>
      <c r="PY60" s="12"/>
      <c r="PZ60" s="12"/>
      <c r="QA60" s="12"/>
      <c r="QB60" s="12"/>
      <c r="QC60" s="12"/>
      <c r="QD60" s="12"/>
      <c r="QE60" s="12"/>
      <c r="QF60" s="12"/>
      <c r="QG60" s="12"/>
      <c r="QH60" s="12"/>
      <c r="QI60" s="12"/>
      <c r="QJ60" s="12"/>
      <c r="QK60" s="12"/>
      <c r="QL60" s="12"/>
      <c r="QM60" s="12"/>
      <c r="QN60" s="12"/>
      <c r="QO60" s="12"/>
      <c r="QP60" s="12"/>
      <c r="QQ60" s="12"/>
      <c r="QR60" s="12"/>
      <c r="QS60" s="12"/>
      <c r="QT60" s="12"/>
      <c r="QU60" s="12"/>
      <c r="QV60" s="12"/>
      <c r="QW60" s="12"/>
      <c r="QX60" s="12"/>
      <c r="QY60" s="12"/>
      <c r="QZ60" s="12"/>
      <c r="RA60" s="12"/>
      <c r="RB60" s="12"/>
      <c r="RC60" s="12"/>
      <c r="RD60" s="12"/>
      <c r="RE60" s="12"/>
      <c r="RF60" s="12"/>
      <c r="RG60" s="12"/>
      <c r="RH60" s="12"/>
      <c r="RI60" s="12"/>
      <c r="RJ60" s="12"/>
      <c r="RK60" s="12"/>
      <c r="RL60" s="12"/>
      <c r="RM60" s="12"/>
      <c r="RN60" s="12"/>
      <c r="RO60" s="12"/>
      <c r="RP60" s="12"/>
      <c r="RQ60" s="12"/>
      <c r="RR60" s="12"/>
      <c r="RS60" s="12"/>
      <c r="RT60" s="12"/>
      <c r="RU60" s="12"/>
      <c r="RV60" s="12"/>
      <c r="RW60" s="12"/>
      <c r="RX60" s="12"/>
      <c r="RY60" s="12"/>
      <c r="RZ60" s="12"/>
      <c r="SA60" s="12"/>
      <c r="SB60" s="12"/>
      <c r="SC60" s="12"/>
      <c r="SD60" s="12"/>
      <c r="SE60" s="12"/>
      <c r="SF60" s="12"/>
      <c r="SG60" s="12"/>
      <c r="SH60" s="12"/>
      <c r="SI60" s="12"/>
      <c r="SJ60" s="12"/>
      <c r="SK60" s="12"/>
      <c r="SL60" s="12"/>
      <c r="SM60" s="12"/>
      <c r="SN60" s="12"/>
      <c r="SO60" s="12"/>
      <c r="SP60" s="12"/>
      <c r="SQ60" s="12"/>
      <c r="SR60" s="12"/>
      <c r="SS60" s="12"/>
      <c r="ST60" s="12"/>
      <c r="SU60" s="12"/>
      <c r="SV60" s="12"/>
      <c r="SW60" s="12"/>
      <c r="SX60" s="12"/>
      <c r="SY60" s="12"/>
      <c r="SZ60" s="12"/>
      <c r="TA60" s="12"/>
      <c r="TB60" s="12"/>
      <c r="TC60" s="12"/>
      <c r="TD60" s="12"/>
      <c r="TE60" s="12"/>
      <c r="TF60" s="12"/>
      <c r="TG60" s="12"/>
      <c r="TH60" s="12"/>
      <c r="TI60" s="12"/>
      <c r="TJ60" s="12"/>
      <c r="TK60" s="12"/>
      <c r="TL60" s="12"/>
      <c r="TM60" s="12"/>
      <c r="TN60" s="12"/>
      <c r="TO60" s="12"/>
      <c r="TP60" s="12"/>
      <c r="TQ60" s="12"/>
      <c r="TR60" s="12"/>
      <c r="TS60" s="12"/>
      <c r="TT60" s="12"/>
      <c r="TU60" s="12"/>
      <c r="TV60" s="12"/>
      <c r="TW60" s="12"/>
      <c r="TX60" s="12"/>
      <c r="TY60" s="12"/>
      <c r="TZ60" s="12"/>
      <c r="UA60" s="12"/>
      <c r="UB60" s="12"/>
      <c r="UC60" s="12"/>
      <c r="UD60" s="12"/>
      <c r="UE60" s="12"/>
      <c r="UF60" s="12"/>
      <c r="UG60" s="12"/>
      <c r="UH60" s="12"/>
      <c r="UI60" s="12"/>
      <c r="UJ60" s="12"/>
      <c r="UK60" s="12"/>
      <c r="UL60" s="12"/>
      <c r="UM60" s="12"/>
      <c r="UN60" s="12"/>
      <c r="UO60" s="12"/>
      <c r="UP60" s="12"/>
      <c r="UQ60" s="12"/>
      <c r="UR60" s="12"/>
      <c r="US60" s="12"/>
      <c r="UT60" s="12"/>
      <c r="UU60" s="12"/>
      <c r="UV60" s="12"/>
      <c r="UW60" s="12"/>
      <c r="UX60" s="12"/>
      <c r="UY60" s="12"/>
      <c r="UZ60" s="12"/>
      <c r="VA60" s="12"/>
      <c r="VB60" s="12"/>
      <c r="VC60" s="12"/>
      <c r="VD60" s="12"/>
      <c r="VE60" s="12"/>
      <c r="VF60" s="12"/>
      <c r="VG60" s="12"/>
      <c r="VH60" s="12"/>
      <c r="VI60" s="12"/>
      <c r="VJ60" s="12"/>
      <c r="VK60" s="12"/>
      <c r="VL60" s="12"/>
      <c r="VM60" s="12"/>
      <c r="VN60" s="12"/>
      <c r="VO60" s="12"/>
      <c r="VP60" s="12"/>
      <c r="VQ60" s="12"/>
      <c r="VR60" s="12"/>
      <c r="VS60" s="12"/>
      <c r="VT60" s="12"/>
      <c r="VU60" s="12"/>
      <c r="VV60" s="12"/>
      <c r="VW60" s="12"/>
      <c r="VX60" s="12"/>
      <c r="VY60" s="12"/>
      <c r="VZ60" s="12"/>
      <c r="WA60" s="12"/>
      <c r="WB60" s="12"/>
      <c r="WC60" s="12"/>
      <c r="WD60" s="12"/>
      <c r="WE60" s="12"/>
      <c r="WF60" s="12"/>
      <c r="WG60" s="12"/>
      <c r="WH60" s="12"/>
      <c r="WI60" s="12"/>
      <c r="WJ60" s="12"/>
      <c r="WK60" s="12"/>
      <c r="WL60" s="12"/>
      <c r="WM60" s="12"/>
      <c r="WN60" s="12"/>
      <c r="WO60" s="12"/>
      <c r="WP60" s="12"/>
      <c r="WQ60" s="12"/>
      <c r="WR60" s="12"/>
      <c r="WS60" s="12"/>
      <c r="WT60" s="12"/>
      <c r="WU60" s="12"/>
      <c r="WV60" s="12"/>
      <c r="WW60" s="12"/>
      <c r="WX60" s="12"/>
      <c r="WY60" s="12"/>
      <c r="WZ60" s="12"/>
      <c r="XA60" s="12"/>
      <c r="XB60" s="12"/>
      <c r="XC60" s="12"/>
      <c r="XD60" s="12"/>
      <c r="XE60" s="12"/>
      <c r="XF60" s="12"/>
      <c r="XG60" s="12"/>
      <c r="XH60" s="12"/>
      <c r="XI60" s="12"/>
      <c r="XJ60" s="12"/>
      <c r="XK60" s="12"/>
      <c r="XL60" s="12"/>
      <c r="XM60" s="12"/>
      <c r="XN60" s="12"/>
      <c r="XO60" s="12"/>
      <c r="XP60" s="12"/>
      <c r="XQ60" s="12"/>
      <c r="XR60" s="12"/>
      <c r="XS60" s="12"/>
      <c r="XT60" s="12"/>
      <c r="XU60" s="12"/>
      <c r="XV60" s="12"/>
      <c r="XW60" s="12"/>
      <c r="XX60" s="12"/>
      <c r="XY60" s="12"/>
      <c r="XZ60" s="12"/>
      <c r="YA60" s="12"/>
      <c r="YB60" s="12"/>
      <c r="YC60" s="12"/>
      <c r="YD60" s="12"/>
      <c r="YE60" s="12"/>
      <c r="YF60" s="12"/>
      <c r="YG60" s="12"/>
      <c r="YH60" s="12"/>
      <c r="YI60" s="12"/>
      <c r="YJ60" s="12"/>
      <c r="YK60" s="12"/>
      <c r="YL60" s="12"/>
      <c r="YM60" s="12"/>
      <c r="YN60" s="12"/>
      <c r="YO60" s="12"/>
      <c r="YP60" s="12"/>
      <c r="YQ60" s="12"/>
      <c r="YR60" s="12"/>
      <c r="YS60" s="12"/>
      <c r="YT60" s="12"/>
      <c r="YU60" s="12"/>
      <c r="YV60" s="12"/>
      <c r="YW60" s="12"/>
      <c r="YX60" s="12"/>
      <c r="YY60" s="12"/>
      <c r="YZ60" s="12"/>
      <c r="ZA60" s="12"/>
      <c r="ZB60" s="12"/>
      <c r="ZC60" s="12"/>
      <c r="ZD60" s="12"/>
      <c r="ZE60" s="12"/>
      <c r="ZF60" s="12"/>
      <c r="ZG60" s="12"/>
      <c r="ZH60" s="12"/>
      <c r="ZI60" s="12"/>
      <c r="ZJ60" s="12"/>
      <c r="ZK60" s="12"/>
      <c r="ZL60" s="12"/>
      <c r="ZM60" s="12"/>
      <c r="ZN60" s="12"/>
      <c r="ZO60" s="12"/>
      <c r="ZP60" s="12"/>
      <c r="ZQ60" s="12"/>
      <c r="ZR60" s="12"/>
      <c r="ZS60" s="12"/>
      <c r="ZT60" s="12"/>
      <c r="ZU60" s="12"/>
      <c r="ZV60" s="12"/>
      <c r="ZW60" s="12"/>
      <c r="ZX60" s="12"/>
      <c r="ZY60" s="12"/>
      <c r="ZZ60" s="12"/>
      <c r="AAA60" s="12"/>
      <c r="AAB60" s="12"/>
      <c r="AAC60" s="12"/>
      <c r="AAD60" s="12"/>
      <c r="AAE60" s="12"/>
      <c r="AAF60" s="12"/>
      <c r="AAG60" s="12"/>
      <c r="AAH60" s="12"/>
      <c r="AAI60" s="12"/>
      <c r="AAJ60" s="12"/>
      <c r="AAK60" s="12"/>
      <c r="AAL60" s="12"/>
      <c r="AAM60" s="12"/>
      <c r="AAN60" s="12"/>
      <c r="AAO60" s="12"/>
      <c r="AAP60" s="12"/>
      <c r="AAQ60" s="12"/>
      <c r="AAR60" s="12"/>
      <c r="AAS60" s="12"/>
      <c r="AAT60" s="12"/>
      <c r="AAU60" s="12"/>
      <c r="AAV60" s="12"/>
      <c r="AAW60" s="12"/>
      <c r="AAX60" s="12"/>
      <c r="AAY60" s="12"/>
      <c r="AAZ60" s="12"/>
      <c r="ABA60" s="12"/>
      <c r="ABB60" s="12"/>
      <c r="ABC60" s="12"/>
      <c r="ABD60" s="12"/>
      <c r="ABE60" s="12"/>
      <c r="ABF60" s="12"/>
      <c r="ABG60" s="12"/>
      <c r="ABH60" s="12"/>
      <c r="ABI60" s="12"/>
      <c r="ABJ60" s="12"/>
      <c r="ABK60" s="12"/>
      <c r="ABL60" s="12"/>
      <c r="ABM60" s="12"/>
      <c r="ABN60" s="12"/>
      <c r="ABO60" s="12"/>
      <c r="ABP60" s="12"/>
      <c r="ABQ60" s="12"/>
      <c r="ABR60" s="12"/>
      <c r="ABS60" s="12"/>
      <c r="ABT60" s="12"/>
      <c r="ABU60" s="12"/>
      <c r="ABV60" s="12"/>
      <c r="ABW60" s="12"/>
      <c r="ABX60" s="12"/>
      <c r="ABY60" s="12"/>
      <c r="ABZ60" s="12"/>
      <c r="ACA60" s="12"/>
      <c r="ACB60" s="12"/>
      <c r="ACC60" s="12"/>
      <c r="ACD60" s="12"/>
      <c r="ACE60" s="12"/>
      <c r="ACF60" s="12"/>
      <c r="ACG60" s="12"/>
      <c r="ACH60" s="12"/>
      <c r="ACI60" s="12"/>
      <c r="ACJ60" s="12"/>
      <c r="ACK60" s="12"/>
      <c r="ACL60" s="12"/>
      <c r="ACM60" s="12"/>
      <c r="ACN60" s="12"/>
      <c r="ACO60" s="12"/>
      <c r="ACP60" s="12"/>
      <c r="ACQ60" s="12"/>
      <c r="ACR60" s="12"/>
      <c r="ACS60" s="12"/>
      <c r="ACT60" s="12"/>
      <c r="ACU60" s="12"/>
      <c r="ACV60" s="12"/>
      <c r="ACW60" s="12"/>
      <c r="ACX60" s="12"/>
      <c r="ACY60" s="12"/>
      <c r="ACZ60" s="12"/>
      <c r="ADA60" s="12"/>
      <c r="ADB60" s="12"/>
      <c r="ADC60" s="12"/>
      <c r="ADD60" s="12"/>
      <c r="ADE60" s="12"/>
      <c r="ADF60" s="12"/>
      <c r="ADG60" s="12"/>
      <c r="ADH60" s="12"/>
      <c r="ADI60" s="12"/>
      <c r="ADJ60" s="12"/>
      <c r="ADK60" s="12"/>
      <c r="ADL60" s="12"/>
      <c r="ADM60" s="12"/>
      <c r="ADN60" s="12"/>
      <c r="ADO60" s="12"/>
      <c r="ADP60" s="12"/>
      <c r="ADQ60" s="12"/>
      <c r="ADR60" s="12"/>
      <c r="ADS60" s="12"/>
      <c r="ADT60" s="12"/>
      <c r="ADU60" s="12"/>
      <c r="ADV60" s="12"/>
      <c r="ADW60" s="12"/>
      <c r="ADX60" s="12"/>
      <c r="ADY60" s="12"/>
      <c r="ADZ60" s="12"/>
      <c r="AEA60" s="12"/>
      <c r="AEB60" s="12"/>
      <c r="AEC60" s="12"/>
      <c r="AED60" s="12"/>
      <c r="AEE60" s="12"/>
      <c r="AEF60" s="12"/>
      <c r="AEG60" s="12"/>
      <c r="AEH60" s="12"/>
      <c r="AEI60" s="12"/>
      <c r="AEJ60" s="12"/>
      <c r="AEK60" s="12"/>
      <c r="AEL60" s="12"/>
      <c r="AEM60" s="12"/>
      <c r="AEN60" s="12"/>
      <c r="AEO60" s="12"/>
      <c r="AEP60" s="12"/>
      <c r="AEQ60" s="12"/>
      <c r="AER60" s="12"/>
      <c r="AES60" s="12"/>
      <c r="AET60" s="12"/>
      <c r="AEU60" s="12"/>
      <c r="AEV60" s="12"/>
      <c r="AEW60" s="12"/>
      <c r="AEX60" s="12"/>
      <c r="AEY60" s="12"/>
      <c r="AEZ60" s="12"/>
      <c r="AFA60" s="12"/>
      <c r="AFB60" s="12"/>
      <c r="AFC60" s="12"/>
      <c r="AFD60" s="12"/>
      <c r="AFE60" s="12"/>
      <c r="AFF60" s="12"/>
      <c r="AFG60" s="12"/>
      <c r="AFH60" s="12"/>
      <c r="AFI60" s="12"/>
      <c r="AFJ60" s="12"/>
      <c r="AFK60" s="12"/>
      <c r="AFL60" s="12"/>
      <c r="AFM60" s="12"/>
      <c r="AFN60" s="12"/>
      <c r="AFO60" s="12"/>
      <c r="AFP60" s="12"/>
      <c r="AFQ60" s="12"/>
      <c r="AFR60" s="12"/>
      <c r="AFS60" s="12"/>
      <c r="AFT60" s="12"/>
      <c r="AFU60" s="12"/>
      <c r="AFV60" s="12"/>
      <c r="AFW60" s="12"/>
      <c r="AFX60" s="12"/>
      <c r="AFY60" s="12"/>
      <c r="AFZ60" s="12"/>
      <c r="AGA60" s="12"/>
      <c r="AGB60" s="12"/>
      <c r="AGC60" s="12"/>
      <c r="AGD60" s="12"/>
      <c r="AGE60" s="12"/>
      <c r="AGF60" s="12"/>
      <c r="AGG60" s="12"/>
      <c r="AGH60" s="12"/>
      <c r="AGI60" s="12"/>
      <c r="AGJ60" s="12"/>
      <c r="AGK60" s="12"/>
      <c r="AGL60" s="12"/>
      <c r="AGM60" s="12"/>
      <c r="AGN60" s="12"/>
      <c r="AGO60" s="12"/>
      <c r="AGP60" s="12"/>
      <c r="AGQ60" s="12"/>
      <c r="AGR60" s="12"/>
      <c r="AGS60" s="12"/>
      <c r="AGT60" s="12"/>
      <c r="AGU60" s="12"/>
      <c r="AGV60" s="12"/>
      <c r="AGW60" s="12"/>
      <c r="AGX60" s="12"/>
      <c r="AGY60" s="12"/>
      <c r="AGZ60" s="12"/>
      <c r="AHA60" s="12"/>
      <c r="AHB60" s="12"/>
      <c r="AHC60" s="12"/>
      <c r="AHD60" s="12"/>
      <c r="AHE60" s="12"/>
      <c r="AHF60" s="12"/>
      <c r="AHG60" s="12"/>
      <c r="AHH60" s="12"/>
      <c r="AHI60" s="12"/>
      <c r="AHJ60" s="12"/>
      <c r="AHK60" s="12"/>
      <c r="AHL60" s="12"/>
      <c r="AHM60" s="12"/>
      <c r="AHN60" s="12"/>
      <c r="AHO60" s="12"/>
      <c r="AHP60" s="12"/>
      <c r="AHQ60" s="12"/>
      <c r="AHR60" s="12"/>
      <c r="AHS60" s="12"/>
      <c r="AHT60" s="12"/>
      <c r="AHU60" s="12"/>
      <c r="AHV60" s="12"/>
      <c r="AHW60" s="12"/>
      <c r="AHX60" s="12"/>
      <c r="AHY60" s="12"/>
      <c r="AHZ60" s="12"/>
      <c r="AIA60" s="12"/>
      <c r="AIB60" s="12"/>
      <c r="AIC60" s="12"/>
      <c r="AID60" s="12"/>
      <c r="AIE60" s="12"/>
      <c r="AIF60" s="12"/>
      <c r="AIG60" s="12"/>
      <c r="AIH60" s="12"/>
      <c r="AII60" s="12"/>
      <c r="AIJ60" s="12"/>
      <c r="AIK60" s="12"/>
      <c r="AIL60" s="12"/>
      <c r="AIM60" s="12"/>
      <c r="AIN60" s="12"/>
      <c r="AIO60" s="12"/>
      <c r="AIP60" s="12"/>
      <c r="AIQ60" s="12"/>
      <c r="AIR60" s="12"/>
      <c r="AIS60" s="12"/>
      <c r="AIT60" s="12"/>
      <c r="AIU60" s="12"/>
      <c r="AIV60" s="12"/>
      <c r="AIW60" s="12"/>
      <c r="AIX60" s="12"/>
      <c r="AIY60" s="12"/>
      <c r="AIZ60" s="12"/>
      <c r="AJA60" s="12"/>
      <c r="AJB60" s="12"/>
      <c r="AJC60" s="12"/>
      <c r="AJD60" s="12"/>
      <c r="AJE60" s="12"/>
      <c r="AJF60" s="12"/>
      <c r="AJG60" s="12"/>
      <c r="AJH60" s="12"/>
      <c r="AJI60" s="12"/>
      <c r="AJJ60" s="12"/>
      <c r="AJK60" s="12"/>
      <c r="AJL60" s="12"/>
      <c r="AJM60" s="12"/>
      <c r="AJN60" s="12"/>
      <c r="AJO60" s="12"/>
      <c r="AJP60" s="12"/>
      <c r="AJQ60" s="12"/>
      <c r="AJR60" s="12"/>
      <c r="AJS60" s="12"/>
      <c r="AJT60" s="12"/>
      <c r="AJU60" s="12"/>
      <c r="AJV60" s="12"/>
      <c r="AJW60" s="12"/>
      <c r="AJX60" s="12"/>
      <c r="AJY60" s="12"/>
      <c r="AJZ60" s="12"/>
      <c r="AKA60" s="12"/>
      <c r="AKB60" s="12"/>
      <c r="AKC60" s="12"/>
      <c r="AKD60" s="12"/>
      <c r="AKE60" s="12"/>
      <c r="AKF60" s="12"/>
      <c r="AKG60" s="12"/>
      <c r="AKH60" s="12"/>
      <c r="AKI60" s="12"/>
      <c r="AKJ60" s="12"/>
      <c r="AKK60" s="12"/>
      <c r="AKL60" s="12"/>
      <c r="AKM60" s="12"/>
      <c r="AKN60" s="12"/>
      <c r="AKO60" s="12"/>
      <c r="AKP60" s="12"/>
      <c r="AKQ60" s="12"/>
      <c r="AKR60" s="12"/>
      <c r="AKS60" s="12"/>
      <c r="AKT60" s="12"/>
      <c r="AKU60" s="12"/>
      <c r="AKV60" s="12"/>
      <c r="AKW60" s="12"/>
      <c r="AKX60" s="12"/>
      <c r="AKY60" s="12"/>
      <c r="AKZ60" s="12"/>
      <c r="ALA60" s="12"/>
      <c r="ALB60" s="12"/>
      <c r="ALC60" s="12"/>
      <c r="ALD60" s="12"/>
      <c r="ALE60" s="12"/>
      <c r="ALF60" s="12"/>
      <c r="ALG60" s="12"/>
      <c r="ALH60" s="12"/>
      <c r="ALI60" s="12"/>
      <c r="ALJ60" s="12"/>
      <c r="ALK60" s="12"/>
      <c r="ALL60" s="12"/>
      <c r="ALM60" s="12"/>
      <c r="ALN60" s="12"/>
      <c r="ALO60" s="12"/>
      <c r="ALP60" s="12"/>
      <c r="ALQ60" s="12"/>
      <c r="ALR60" s="12"/>
      <c r="ALS60" s="12"/>
      <c r="ALT60" s="12"/>
      <c r="ALU60" s="12"/>
      <c r="ALV60" s="12"/>
      <c r="ALW60" s="12"/>
      <c r="ALX60" s="12"/>
      <c r="ALY60" s="12"/>
      <c r="ALZ60" s="12"/>
      <c r="AMA60" s="12"/>
      <c r="AMB60" s="12"/>
      <c r="AMC60" s="12"/>
      <c r="AMD60" s="12"/>
      <c r="AME60" s="12"/>
      <c r="AMF60" s="12"/>
      <c r="AMG60" s="12"/>
      <c r="AMH60" s="12"/>
      <c r="AMI60" s="12"/>
      <c r="AMJ60" s="12"/>
      <c r="AMK60" s="12"/>
      <c r="AML60" s="12"/>
      <c r="AMM60" s="12"/>
      <c r="AMN60" s="12"/>
      <c r="AMO60" s="12"/>
      <c r="AMP60" s="12"/>
      <c r="AMQ60" s="12"/>
      <c r="AMR60" s="12"/>
      <c r="AMS60" s="12"/>
      <c r="AMT60" s="12"/>
      <c r="AMU60" s="12"/>
      <c r="AMV60" s="12"/>
      <c r="AMW60" s="12"/>
      <c r="AMX60" s="12"/>
      <c r="AMY60" s="12"/>
      <c r="AMZ60" s="12"/>
      <c r="ANA60" s="12"/>
      <c r="ANB60" s="12"/>
      <c r="ANC60" s="12"/>
      <c r="AND60" s="12"/>
      <c r="ANE60" s="12"/>
      <c r="ANF60" s="12"/>
      <c r="ANG60" s="12"/>
      <c r="ANH60" s="12"/>
      <c r="ANI60" s="12"/>
      <c r="ANJ60" s="12"/>
      <c r="ANK60" s="12"/>
      <c r="ANL60" s="12"/>
      <c r="ANM60" s="12"/>
      <c r="ANN60" s="12"/>
      <c r="ANO60" s="12"/>
      <c r="ANP60" s="12"/>
      <c r="ANQ60" s="12"/>
      <c r="ANR60" s="12"/>
      <c r="ANS60" s="12"/>
      <c r="ANT60" s="12"/>
      <c r="ANU60" s="12"/>
      <c r="ANV60" s="12"/>
      <c r="ANW60" s="12"/>
      <c r="ANX60" s="12"/>
      <c r="ANY60" s="12"/>
      <c r="ANZ60" s="12"/>
      <c r="AOA60" s="12"/>
      <c r="AOB60" s="12"/>
      <c r="AOC60" s="12"/>
      <c r="AOD60" s="12"/>
      <c r="AOE60" s="12"/>
      <c r="AOF60" s="12"/>
      <c r="AOG60" s="12"/>
      <c r="AOH60" s="12"/>
      <c r="AOI60" s="12"/>
      <c r="AOJ60" s="12"/>
      <c r="AOK60" s="12"/>
      <c r="AOL60" s="12"/>
      <c r="AOM60" s="12"/>
      <c r="AON60" s="12"/>
      <c r="AOO60" s="12"/>
      <c r="AOP60" s="12"/>
      <c r="AOQ60" s="12"/>
      <c r="AOR60" s="12"/>
      <c r="AOS60" s="12"/>
      <c r="AOT60" s="12"/>
      <c r="AOU60" s="12"/>
      <c r="AOV60" s="12"/>
      <c r="AOW60" s="12"/>
      <c r="AOX60" s="12"/>
      <c r="AOY60" s="12"/>
      <c r="AOZ60" s="12"/>
      <c r="APA60" s="12"/>
      <c r="APB60" s="12"/>
      <c r="APC60" s="12"/>
      <c r="APD60" s="12"/>
      <c r="APE60" s="12"/>
      <c r="APF60" s="12"/>
      <c r="APG60" s="12"/>
      <c r="APH60" s="12"/>
      <c r="API60" s="12"/>
      <c r="APJ60" s="12"/>
      <c r="APK60" s="12"/>
      <c r="APL60" s="12"/>
      <c r="APM60" s="12"/>
      <c r="APN60" s="12"/>
      <c r="APO60" s="12"/>
      <c r="APP60" s="12"/>
      <c r="APQ60" s="12"/>
      <c r="APR60" s="12"/>
      <c r="APS60" s="12"/>
      <c r="APT60" s="12"/>
      <c r="APU60" s="12"/>
      <c r="APV60" s="12"/>
      <c r="APW60" s="12"/>
      <c r="APX60" s="12"/>
      <c r="APY60" s="12"/>
      <c r="APZ60" s="12"/>
      <c r="AQA60" s="12"/>
      <c r="AQB60" s="12"/>
      <c r="AQC60" s="12"/>
      <c r="AQD60" s="12"/>
      <c r="AQE60" s="12"/>
      <c r="AQF60" s="12"/>
      <c r="AQG60" s="12"/>
      <c r="AQH60" s="12"/>
      <c r="AQI60" s="12"/>
      <c r="AQJ60" s="12"/>
      <c r="AQK60" s="12"/>
      <c r="AQL60" s="12"/>
      <c r="AQM60" s="12"/>
      <c r="AQN60" s="12"/>
      <c r="AQO60" s="12"/>
      <c r="AQP60" s="12"/>
      <c r="AQQ60" s="12"/>
      <c r="AQR60" s="12"/>
      <c r="AQS60" s="12"/>
      <c r="AQT60" s="12"/>
      <c r="AQU60" s="12"/>
      <c r="AQV60" s="12"/>
      <c r="AQW60" s="12"/>
      <c r="AQX60" s="12"/>
      <c r="AQY60" s="12"/>
      <c r="AQZ60" s="12"/>
      <c r="ARA60" s="12"/>
      <c r="ARB60" s="12"/>
      <c r="ARC60" s="12"/>
      <c r="ARD60" s="12"/>
      <c r="ARE60" s="12"/>
      <c r="ARF60" s="12"/>
      <c r="ARG60" s="12"/>
      <c r="ARH60" s="12"/>
      <c r="ARI60" s="12"/>
      <c r="ARJ60" s="12"/>
      <c r="ARK60" s="12"/>
      <c r="ARL60" s="12"/>
      <c r="ARM60" s="12"/>
      <c r="ARN60" s="12"/>
      <c r="ARO60" s="12"/>
      <c r="ARP60" s="12"/>
      <c r="ARQ60" s="12"/>
      <c r="ARR60" s="12"/>
      <c r="ARS60" s="12"/>
      <c r="ART60" s="12"/>
      <c r="ARU60" s="12"/>
      <c r="ARV60" s="12"/>
      <c r="ARW60" s="12"/>
      <c r="ARX60" s="12"/>
      <c r="ARY60" s="12"/>
      <c r="ARZ60" s="12"/>
      <c r="ASA60" s="12"/>
      <c r="ASB60" s="12"/>
      <c r="ASC60" s="12"/>
      <c r="ASD60" s="12"/>
      <c r="ASE60" s="12"/>
      <c r="ASF60" s="12"/>
      <c r="ASG60" s="12"/>
      <c r="ASH60" s="12"/>
      <c r="ASI60" s="12"/>
      <c r="ASJ60" s="12"/>
      <c r="ASK60" s="12"/>
      <c r="ASL60" s="12"/>
      <c r="ASM60" s="12"/>
      <c r="ASN60" s="12"/>
      <c r="ASO60" s="12"/>
      <c r="ASP60" s="12"/>
      <c r="ASQ60" s="12"/>
      <c r="ASR60" s="12"/>
      <c r="ASS60" s="12"/>
      <c r="AST60" s="12"/>
      <c r="ASU60" s="12"/>
      <c r="ASV60" s="12"/>
      <c r="ASW60" s="12"/>
      <c r="ASX60" s="12"/>
      <c r="ASY60" s="12"/>
      <c r="ASZ60" s="12"/>
      <c r="ATA60" s="12"/>
      <c r="ATB60" s="12"/>
      <c r="ATC60" s="12"/>
      <c r="ATD60" s="12"/>
      <c r="ATE60" s="12"/>
      <c r="ATF60" s="12"/>
      <c r="ATG60" s="12"/>
      <c r="ATH60" s="12"/>
      <c r="ATI60" s="12"/>
      <c r="ATJ60" s="12"/>
      <c r="ATK60" s="12"/>
      <c r="ATL60" s="12"/>
      <c r="ATM60" s="12"/>
      <c r="ATN60" s="12"/>
      <c r="ATO60" s="12"/>
      <c r="ATP60" s="12"/>
      <c r="ATQ60" s="12"/>
      <c r="ATR60" s="12"/>
      <c r="ATS60" s="12"/>
      <c r="ATT60" s="12"/>
      <c r="ATU60" s="12"/>
      <c r="ATV60" s="12"/>
      <c r="ATW60" s="12"/>
      <c r="ATX60" s="12"/>
      <c r="ATY60" s="12"/>
      <c r="ATZ60" s="12"/>
      <c r="AUA60" s="12"/>
      <c r="AUB60" s="12"/>
      <c r="AUC60" s="12"/>
      <c r="AUD60" s="12"/>
      <c r="AUE60" s="12"/>
      <c r="AUF60" s="12"/>
      <c r="AUG60" s="12"/>
      <c r="AUH60" s="12"/>
      <c r="AUI60" s="12"/>
      <c r="AUJ60" s="12"/>
      <c r="AUK60" s="12"/>
      <c r="AUL60" s="12"/>
      <c r="AUM60" s="12"/>
      <c r="AUN60" s="12"/>
      <c r="AUO60" s="12"/>
      <c r="AUP60" s="12"/>
      <c r="AUQ60" s="12"/>
      <c r="AUR60" s="12"/>
      <c r="AUS60" s="12"/>
      <c r="AUT60" s="12"/>
      <c r="AUU60" s="12"/>
      <c r="AUV60" s="12"/>
      <c r="AUW60" s="12"/>
      <c r="AUX60" s="12"/>
      <c r="AUY60" s="12"/>
      <c r="AUZ60" s="12"/>
      <c r="AVA60" s="12"/>
      <c r="AVB60" s="12"/>
      <c r="AVC60" s="12"/>
      <c r="AVD60" s="12"/>
      <c r="AVE60" s="12"/>
      <c r="AVF60" s="12"/>
      <c r="AVG60" s="12"/>
      <c r="AVH60" s="12"/>
      <c r="AVI60" s="12"/>
      <c r="AVJ60" s="12"/>
      <c r="AVK60" s="12"/>
      <c r="AVL60" s="12"/>
      <c r="AVM60" s="12"/>
      <c r="AVN60" s="12"/>
      <c r="AVO60" s="12"/>
      <c r="AVP60" s="12"/>
      <c r="AVQ60" s="12"/>
      <c r="AVR60" s="12"/>
      <c r="AVS60" s="12"/>
      <c r="AVT60" s="12"/>
      <c r="AVU60" s="12"/>
      <c r="AVV60" s="12"/>
      <c r="AVW60" s="12"/>
      <c r="AVX60" s="12"/>
      <c r="AVY60" s="12"/>
      <c r="AVZ60" s="12"/>
      <c r="AWA60" s="12"/>
      <c r="AWB60" s="12"/>
      <c r="AWC60" s="12"/>
      <c r="AWD60" s="12"/>
      <c r="AWE60" s="12"/>
      <c r="AWF60" s="12"/>
      <c r="AWG60" s="12"/>
      <c r="AWH60" s="12"/>
      <c r="AWI60" s="12"/>
      <c r="AWJ60" s="12"/>
      <c r="AWK60" s="12"/>
      <c r="AWL60" s="12"/>
      <c r="AWM60" s="12"/>
      <c r="AWN60" s="12"/>
      <c r="AWO60" s="12"/>
      <c r="AWP60" s="12"/>
      <c r="AWQ60" s="12"/>
      <c r="AWR60" s="12"/>
      <c r="AWS60" s="12"/>
      <c r="AWT60" s="12"/>
      <c r="AWU60" s="12"/>
      <c r="AWV60" s="12"/>
      <c r="AWW60" s="12"/>
      <c r="AWX60" s="12"/>
      <c r="AWY60" s="12"/>
      <c r="AWZ60" s="12"/>
      <c r="AXA60" s="12"/>
      <c r="AXB60" s="12"/>
      <c r="AXC60" s="12"/>
      <c r="AXD60" s="12"/>
      <c r="AXE60" s="12"/>
      <c r="AXF60" s="12"/>
      <c r="AXG60" s="12"/>
      <c r="AXH60" s="12"/>
      <c r="AXI60" s="12"/>
      <c r="AXJ60" s="12"/>
      <c r="AXK60" s="12"/>
      <c r="AXL60" s="12"/>
      <c r="AXM60" s="12"/>
      <c r="AXN60" s="12"/>
      <c r="AXO60" s="12"/>
      <c r="AXP60" s="12"/>
      <c r="AXQ60" s="12"/>
      <c r="AXR60" s="12"/>
      <c r="AXS60" s="12"/>
      <c r="AXT60" s="12"/>
      <c r="AXU60" s="12"/>
      <c r="AXV60" s="12"/>
      <c r="AXW60" s="12"/>
      <c r="AXX60" s="12"/>
      <c r="AXY60" s="12"/>
      <c r="AXZ60" s="12"/>
      <c r="AYA60" s="12"/>
      <c r="AYB60" s="12"/>
      <c r="AYC60" s="12"/>
      <c r="AYD60" s="12"/>
      <c r="AYE60" s="12"/>
      <c r="AYF60" s="12"/>
      <c r="AYG60" s="12"/>
      <c r="AYH60" s="12"/>
      <c r="AYI60" s="12"/>
      <c r="AYJ60" s="12"/>
      <c r="AYK60" s="12"/>
      <c r="AYL60" s="12"/>
      <c r="AYM60" s="12"/>
      <c r="AYN60" s="12"/>
      <c r="AYO60" s="12"/>
      <c r="AYP60" s="12"/>
      <c r="AYQ60" s="12"/>
      <c r="AYR60" s="12"/>
      <c r="AYS60" s="12"/>
      <c r="AYT60" s="12"/>
      <c r="AYU60" s="12"/>
      <c r="AYV60" s="12"/>
      <c r="AYW60" s="12"/>
      <c r="AYX60" s="12"/>
      <c r="AYY60" s="12"/>
      <c r="AYZ60" s="12"/>
      <c r="AZA60" s="12"/>
      <c r="AZB60" s="12"/>
      <c r="AZC60" s="12"/>
      <c r="AZD60" s="12"/>
      <c r="AZE60" s="12"/>
      <c r="AZF60" s="12"/>
      <c r="AZG60" s="12"/>
      <c r="AZH60" s="12"/>
      <c r="AZI60" s="12"/>
      <c r="AZJ60" s="12"/>
      <c r="AZK60" s="12"/>
      <c r="AZL60" s="12"/>
      <c r="AZM60" s="12"/>
      <c r="AZN60" s="12"/>
      <c r="AZO60" s="12"/>
      <c r="AZP60" s="12"/>
      <c r="AZQ60" s="12"/>
      <c r="AZR60" s="12"/>
      <c r="AZS60" s="12"/>
      <c r="AZT60" s="12"/>
      <c r="AZU60" s="12"/>
      <c r="AZV60" s="12"/>
      <c r="AZW60" s="12"/>
      <c r="AZX60" s="12"/>
      <c r="AZY60" s="12"/>
      <c r="AZZ60" s="12"/>
      <c r="BAA60" s="12"/>
      <c r="BAB60" s="12"/>
      <c r="BAC60" s="12"/>
      <c r="BAD60" s="12"/>
      <c r="BAE60" s="12"/>
      <c r="BAF60" s="12"/>
      <c r="BAG60" s="12"/>
      <c r="BAH60" s="12"/>
      <c r="BAI60" s="12"/>
      <c r="BAJ60" s="12"/>
      <c r="BAK60" s="12"/>
      <c r="BAL60" s="12"/>
      <c r="BAM60" s="12"/>
      <c r="BAN60" s="12"/>
      <c r="BAO60" s="12"/>
      <c r="BAP60" s="12"/>
      <c r="BAQ60" s="12"/>
      <c r="BAR60" s="12"/>
      <c r="BAS60" s="12"/>
      <c r="BAT60" s="12"/>
      <c r="BAU60" s="12"/>
      <c r="BAV60" s="12"/>
      <c r="BAW60" s="12"/>
      <c r="BAX60" s="12"/>
      <c r="BAY60" s="12"/>
      <c r="BAZ60" s="12"/>
      <c r="BBA60" s="12"/>
      <c r="BBB60" s="12"/>
      <c r="BBC60" s="12"/>
      <c r="BBD60" s="12"/>
      <c r="BBE60" s="12"/>
      <c r="BBF60" s="12"/>
      <c r="BBG60" s="12"/>
      <c r="BBH60" s="12"/>
      <c r="BBI60" s="12"/>
      <c r="BBJ60" s="12"/>
      <c r="BBK60" s="12"/>
      <c r="BBL60" s="12"/>
      <c r="BBM60" s="12"/>
      <c r="BBN60" s="12"/>
      <c r="BBO60" s="12"/>
      <c r="BBP60" s="12"/>
      <c r="BBQ60" s="12"/>
      <c r="BBR60" s="12"/>
      <c r="BBS60" s="12"/>
      <c r="BBT60" s="12"/>
      <c r="BBU60" s="12"/>
      <c r="BBV60" s="12"/>
      <c r="BBW60" s="12"/>
      <c r="BBX60" s="12"/>
      <c r="BBY60" s="12"/>
      <c r="BBZ60" s="12"/>
      <c r="BCA60" s="12"/>
      <c r="BCB60" s="12"/>
      <c r="BCC60" s="12"/>
      <c r="BCD60" s="12"/>
      <c r="BCE60" s="12"/>
      <c r="BCF60" s="12"/>
      <c r="BCG60" s="12"/>
      <c r="BCH60" s="12"/>
      <c r="BCI60" s="12"/>
      <c r="BCJ60" s="12"/>
      <c r="BCK60" s="12"/>
      <c r="BCL60" s="12"/>
      <c r="BCM60" s="12"/>
      <c r="BCN60" s="12"/>
      <c r="BCO60" s="12"/>
      <c r="BCP60" s="12"/>
      <c r="BCQ60" s="12"/>
      <c r="BCR60" s="12"/>
      <c r="BCS60" s="12"/>
      <c r="BCT60" s="12"/>
      <c r="BCU60" s="12"/>
      <c r="BCV60" s="12"/>
      <c r="BCW60" s="12"/>
      <c r="BCX60" s="12"/>
      <c r="BCY60" s="12"/>
      <c r="BCZ60" s="12"/>
      <c r="BDA60" s="12"/>
      <c r="BDB60" s="12"/>
      <c r="BDC60" s="12"/>
      <c r="BDD60" s="12"/>
      <c r="BDE60" s="12"/>
      <c r="BDF60" s="12"/>
      <c r="BDG60" s="12"/>
      <c r="BDH60" s="12"/>
      <c r="BDI60" s="12"/>
      <c r="BDJ60" s="12"/>
      <c r="BDK60" s="12"/>
      <c r="BDL60" s="12"/>
      <c r="BDM60" s="12"/>
      <c r="BDN60" s="12"/>
      <c r="BDO60" s="12"/>
      <c r="BDP60" s="12"/>
      <c r="BDQ60" s="12"/>
      <c r="BDR60" s="12"/>
      <c r="BDS60" s="12"/>
      <c r="BDT60" s="12"/>
      <c r="BDU60" s="12"/>
      <c r="BDV60" s="12"/>
      <c r="BDW60" s="12"/>
      <c r="BDX60" s="12"/>
      <c r="BDY60" s="12"/>
      <c r="BDZ60" s="12"/>
      <c r="BEA60" s="12"/>
      <c r="BEB60" s="12"/>
      <c r="BEC60" s="12"/>
      <c r="BED60" s="12"/>
      <c r="BEE60" s="12"/>
      <c r="BEF60" s="12"/>
      <c r="BEG60" s="12"/>
      <c r="BEH60" s="12"/>
      <c r="BEI60" s="12"/>
      <c r="BEJ60" s="12"/>
      <c r="BEK60" s="12"/>
      <c r="BEL60" s="12"/>
      <c r="BEM60" s="12"/>
      <c r="BEN60" s="12"/>
      <c r="BEO60" s="12"/>
      <c r="BEP60" s="12"/>
      <c r="BEQ60" s="12"/>
      <c r="BER60" s="12"/>
      <c r="BES60" s="12"/>
      <c r="BET60" s="12"/>
      <c r="BEU60" s="12"/>
      <c r="BEV60" s="12"/>
      <c r="BEW60" s="12"/>
      <c r="BEX60" s="12"/>
      <c r="BEY60" s="12"/>
      <c r="BEZ60" s="12"/>
      <c r="BFA60" s="12"/>
      <c r="BFB60" s="12"/>
      <c r="BFC60" s="12"/>
      <c r="BFD60" s="12"/>
      <c r="BFE60" s="12"/>
      <c r="BFF60" s="12"/>
      <c r="BFG60" s="12"/>
      <c r="BFH60" s="12"/>
      <c r="BFI60" s="12"/>
      <c r="BFJ60" s="12"/>
      <c r="BFK60" s="12"/>
      <c r="BFL60" s="12"/>
      <c r="BFM60" s="12"/>
      <c r="BFN60" s="12"/>
      <c r="BFO60" s="12"/>
      <c r="BFP60" s="12"/>
      <c r="BFQ60" s="12"/>
      <c r="BFR60" s="12"/>
      <c r="BFS60" s="12"/>
      <c r="BFT60" s="12"/>
      <c r="BFU60" s="12"/>
      <c r="BFV60" s="12"/>
      <c r="BFW60" s="12"/>
      <c r="BFX60" s="12"/>
      <c r="BFY60" s="12"/>
      <c r="BFZ60" s="12"/>
      <c r="BGA60" s="12"/>
      <c r="BGB60" s="12"/>
      <c r="BGC60" s="12"/>
      <c r="BGD60" s="12"/>
      <c r="BGE60" s="12"/>
      <c r="BGF60" s="12"/>
      <c r="BGG60" s="12"/>
      <c r="BGH60" s="12"/>
      <c r="BGI60" s="12"/>
      <c r="BGJ60" s="12"/>
      <c r="BGK60" s="12"/>
      <c r="BGL60" s="12"/>
      <c r="BGM60" s="12"/>
      <c r="BGN60" s="12"/>
      <c r="BGO60" s="12"/>
      <c r="BGP60" s="12"/>
      <c r="BGQ60" s="12"/>
      <c r="BGR60" s="12"/>
      <c r="BGS60" s="12"/>
      <c r="BGT60" s="12"/>
      <c r="BGU60" s="12"/>
      <c r="BGV60" s="12"/>
      <c r="BGW60" s="12"/>
      <c r="BGX60" s="12"/>
      <c r="BGY60" s="12"/>
      <c r="BGZ60" s="12"/>
      <c r="BHA60" s="12"/>
      <c r="BHB60" s="12"/>
      <c r="BHC60" s="12"/>
      <c r="BHD60" s="12"/>
      <c r="BHE60" s="12"/>
      <c r="BHF60" s="12"/>
      <c r="BHG60" s="12"/>
      <c r="BHH60" s="12"/>
      <c r="BHI60" s="12"/>
      <c r="BHJ60" s="12"/>
      <c r="BHK60" s="12"/>
      <c r="BHL60" s="12"/>
      <c r="BHM60" s="12"/>
      <c r="BHN60" s="12"/>
      <c r="BHO60" s="12"/>
      <c r="BHP60" s="12"/>
      <c r="BHQ60" s="12"/>
      <c r="BHR60" s="12"/>
      <c r="BHS60" s="12"/>
      <c r="BHT60" s="12"/>
      <c r="BHU60" s="12"/>
      <c r="BHV60" s="12"/>
      <c r="BHW60" s="12"/>
      <c r="BHX60" s="12"/>
      <c r="BHY60" s="12"/>
      <c r="BHZ60" s="12"/>
      <c r="BIA60" s="12"/>
      <c r="BIB60" s="12"/>
      <c r="BIC60" s="12"/>
      <c r="BID60" s="12"/>
      <c r="BIE60" s="12"/>
      <c r="BIF60" s="12"/>
      <c r="BIG60" s="12"/>
      <c r="BIH60" s="12"/>
      <c r="BII60" s="12"/>
      <c r="BIJ60" s="12"/>
      <c r="BIK60" s="12"/>
      <c r="BIL60" s="12"/>
      <c r="BIM60" s="12"/>
      <c r="BIN60" s="12"/>
      <c r="BIO60" s="12"/>
      <c r="BIP60" s="12"/>
      <c r="BIQ60" s="12"/>
      <c r="BIR60" s="12"/>
      <c r="BIS60" s="12"/>
      <c r="BIT60" s="12"/>
      <c r="BIU60" s="12"/>
      <c r="BIV60" s="12"/>
      <c r="BIW60" s="12"/>
      <c r="BIX60" s="12"/>
      <c r="BIY60" s="12"/>
      <c r="BIZ60" s="12"/>
      <c r="BJA60" s="12"/>
      <c r="BJB60" s="12"/>
      <c r="BJC60" s="12"/>
      <c r="BJD60" s="12"/>
      <c r="BJE60" s="12"/>
      <c r="BJF60" s="12"/>
      <c r="BJG60" s="12"/>
      <c r="BJH60" s="12"/>
      <c r="BJI60" s="12"/>
      <c r="BJJ60" s="12"/>
      <c r="BJK60" s="12"/>
      <c r="BJL60" s="12"/>
      <c r="BJM60" s="12"/>
      <c r="BJN60" s="12"/>
      <c r="BJO60" s="12"/>
      <c r="BJP60" s="12"/>
      <c r="BJQ60" s="12"/>
      <c r="BJR60" s="12"/>
      <c r="BJS60" s="12"/>
      <c r="BJT60" s="12"/>
      <c r="BJU60" s="12"/>
      <c r="BJV60" s="12"/>
      <c r="BJW60" s="12"/>
      <c r="BJX60" s="12"/>
      <c r="BJY60" s="12"/>
      <c r="BJZ60" s="12"/>
      <c r="BKA60" s="12"/>
      <c r="BKB60" s="12"/>
      <c r="BKC60" s="12"/>
      <c r="BKD60" s="12"/>
      <c r="BKE60" s="12"/>
      <c r="BKF60" s="12"/>
      <c r="BKG60" s="12"/>
      <c r="BKH60" s="12"/>
      <c r="BKI60" s="12"/>
      <c r="BKJ60" s="12"/>
      <c r="BKK60" s="12"/>
      <c r="BKL60" s="12"/>
      <c r="BKM60" s="12"/>
      <c r="BKN60" s="12"/>
      <c r="BKO60" s="12"/>
      <c r="BKP60" s="12"/>
      <c r="BKQ60" s="12"/>
      <c r="BKR60" s="12"/>
      <c r="BKS60" s="12"/>
      <c r="BKT60" s="12"/>
      <c r="BKU60" s="12"/>
      <c r="BKV60" s="12"/>
      <c r="BKW60" s="12"/>
      <c r="BKX60" s="12"/>
      <c r="BKY60" s="12"/>
      <c r="BKZ60" s="12"/>
      <c r="BLA60" s="12"/>
      <c r="BLB60" s="12"/>
      <c r="BLC60" s="12"/>
      <c r="BLD60" s="12"/>
      <c r="BLE60" s="12"/>
      <c r="BLF60" s="12"/>
      <c r="BLG60" s="12"/>
      <c r="BLH60" s="12"/>
      <c r="BLI60" s="12"/>
      <c r="BLJ60" s="12"/>
      <c r="BLK60" s="12"/>
      <c r="BLL60" s="12"/>
      <c r="BLM60" s="12"/>
      <c r="BLN60" s="12"/>
      <c r="BLO60" s="12"/>
      <c r="BLP60" s="12"/>
      <c r="BLQ60" s="12"/>
      <c r="BLR60" s="12"/>
      <c r="BLS60" s="12"/>
      <c r="BLT60" s="12"/>
      <c r="BLU60" s="12"/>
      <c r="BLV60" s="12"/>
      <c r="BLW60" s="12"/>
      <c r="BLX60" s="12"/>
      <c r="BLY60" s="12"/>
      <c r="BLZ60" s="12"/>
      <c r="BMA60" s="12"/>
      <c r="BMB60" s="12"/>
      <c r="BMC60" s="12"/>
      <c r="BMD60" s="12"/>
      <c r="BME60" s="12"/>
      <c r="BMF60" s="12"/>
      <c r="BMG60" s="12"/>
      <c r="BMH60" s="12"/>
      <c r="BMI60" s="12"/>
      <c r="BMJ60" s="12"/>
      <c r="BMK60" s="12"/>
      <c r="BML60" s="12"/>
      <c r="BMM60" s="12"/>
      <c r="BMN60" s="12"/>
      <c r="BMO60" s="12"/>
      <c r="BMP60" s="12"/>
      <c r="BMQ60" s="12"/>
      <c r="BMR60" s="12"/>
      <c r="BMS60" s="12"/>
      <c r="BMT60" s="12"/>
      <c r="BMU60" s="12"/>
      <c r="BMV60" s="12"/>
      <c r="BMW60" s="12"/>
      <c r="BMX60" s="12"/>
      <c r="BMY60" s="12"/>
      <c r="BMZ60" s="12"/>
      <c r="BNA60" s="12"/>
      <c r="BNB60" s="12"/>
      <c r="BNC60" s="12"/>
      <c r="BND60" s="12"/>
      <c r="BNE60" s="12"/>
      <c r="BNF60" s="12"/>
      <c r="BNG60" s="12"/>
      <c r="BNH60" s="12"/>
      <c r="BNI60" s="12"/>
      <c r="BNJ60" s="12"/>
      <c r="BNK60" s="12"/>
      <c r="BNL60" s="12"/>
      <c r="BNM60" s="12"/>
      <c r="BNN60" s="12"/>
      <c r="BNO60" s="12"/>
      <c r="BNP60" s="12"/>
      <c r="BNQ60" s="12"/>
      <c r="BNR60" s="12"/>
      <c r="BNS60" s="12"/>
      <c r="BNT60" s="12"/>
      <c r="BNU60" s="12"/>
      <c r="BNV60" s="12"/>
      <c r="BNW60" s="12"/>
      <c r="BNX60" s="12"/>
      <c r="BNY60" s="12"/>
      <c r="BNZ60" s="12"/>
      <c r="BOA60" s="12"/>
      <c r="BOB60" s="12"/>
      <c r="BOC60" s="12"/>
      <c r="BOD60" s="12"/>
      <c r="BOE60" s="12"/>
      <c r="BOF60" s="12"/>
      <c r="BOG60" s="12"/>
      <c r="BOH60" s="12"/>
      <c r="BOI60" s="12"/>
      <c r="BOJ60" s="12"/>
      <c r="BOK60" s="12"/>
      <c r="BOL60" s="12"/>
      <c r="BOM60" s="12"/>
      <c r="BON60" s="12"/>
      <c r="BOO60" s="12"/>
      <c r="BOP60" s="12"/>
      <c r="BOQ60" s="12"/>
      <c r="BOR60" s="12"/>
      <c r="BOS60" s="12"/>
      <c r="BOT60" s="12"/>
      <c r="BOU60" s="12"/>
      <c r="BOV60" s="12"/>
      <c r="BOW60" s="12"/>
      <c r="BOX60" s="12"/>
      <c r="BOY60" s="12"/>
      <c r="BOZ60" s="12"/>
      <c r="BPA60" s="12"/>
      <c r="BPB60" s="12"/>
      <c r="BPC60" s="12"/>
      <c r="BPD60" s="12"/>
      <c r="BPE60" s="12"/>
      <c r="BPF60" s="12"/>
      <c r="BPG60" s="12"/>
      <c r="BPH60" s="12"/>
      <c r="BPI60" s="12"/>
      <c r="BPJ60" s="12"/>
      <c r="BPK60" s="12"/>
      <c r="BPL60" s="12"/>
      <c r="BPM60" s="12"/>
      <c r="BPN60" s="12"/>
      <c r="BPO60" s="12"/>
      <c r="BPP60" s="12"/>
      <c r="BPQ60" s="12"/>
      <c r="BPR60" s="12"/>
      <c r="BPS60" s="12"/>
      <c r="BPT60" s="12"/>
      <c r="BPU60" s="12"/>
      <c r="BPV60" s="12"/>
      <c r="BPW60" s="12"/>
      <c r="BPX60" s="12"/>
      <c r="BPY60" s="12"/>
      <c r="BPZ60" s="12"/>
      <c r="BQA60" s="12"/>
      <c r="BQB60" s="12"/>
      <c r="BQC60" s="12"/>
      <c r="BQD60" s="12"/>
      <c r="BQE60" s="12"/>
      <c r="BQF60" s="12"/>
      <c r="BQG60" s="12"/>
      <c r="BQH60" s="12"/>
      <c r="BQI60" s="12"/>
      <c r="BQJ60" s="12"/>
      <c r="BQK60" s="12"/>
      <c r="BQL60" s="12"/>
      <c r="BQM60" s="12"/>
      <c r="BQN60" s="12"/>
      <c r="BQO60" s="12"/>
      <c r="BQP60" s="12"/>
      <c r="BQQ60" s="12"/>
      <c r="BQR60" s="12"/>
      <c r="BQS60" s="12"/>
      <c r="BQT60" s="12"/>
      <c r="BQU60" s="12"/>
      <c r="BQV60" s="12"/>
      <c r="BQW60" s="12"/>
      <c r="BQX60" s="12"/>
      <c r="BQY60" s="12"/>
      <c r="BQZ60" s="12"/>
      <c r="BRA60" s="12"/>
      <c r="BRB60" s="12"/>
      <c r="BRC60" s="12"/>
      <c r="BRD60" s="12"/>
      <c r="BRE60" s="12"/>
      <c r="BRF60" s="12"/>
      <c r="BRG60" s="12"/>
      <c r="BRH60" s="12"/>
      <c r="BRI60" s="12"/>
      <c r="BRJ60" s="12"/>
      <c r="BRK60" s="12"/>
      <c r="BRL60" s="12"/>
      <c r="BRM60" s="12"/>
      <c r="BRN60" s="12"/>
      <c r="BRO60" s="12"/>
      <c r="BRP60" s="12"/>
      <c r="BRQ60" s="12"/>
      <c r="BRR60" s="12"/>
      <c r="BRS60" s="12"/>
      <c r="BRT60" s="12"/>
      <c r="BRU60" s="12"/>
      <c r="BRV60" s="12"/>
      <c r="BRW60" s="12"/>
      <c r="BRX60" s="12"/>
      <c r="BRY60" s="12"/>
      <c r="BRZ60" s="12"/>
      <c r="BSA60" s="12"/>
      <c r="BSB60" s="12"/>
      <c r="BSC60" s="12"/>
      <c r="BSD60" s="12"/>
      <c r="BSE60" s="12"/>
      <c r="BSF60" s="12"/>
      <c r="BSG60" s="12"/>
      <c r="BSH60" s="12"/>
      <c r="BSI60" s="12"/>
      <c r="BSJ60" s="12"/>
      <c r="BSK60" s="12"/>
      <c r="BSL60" s="12"/>
      <c r="BSM60" s="12"/>
      <c r="BSN60" s="12"/>
      <c r="BSO60" s="12"/>
      <c r="BSP60" s="12"/>
      <c r="BSQ60" s="12"/>
      <c r="BSR60" s="12"/>
      <c r="BSS60" s="12"/>
      <c r="BST60" s="12"/>
      <c r="BSU60" s="12"/>
      <c r="BSV60" s="12"/>
      <c r="BSW60" s="12"/>
      <c r="BSX60" s="12"/>
      <c r="BSY60" s="12"/>
      <c r="BSZ60" s="12"/>
      <c r="BTA60" s="12"/>
      <c r="BTB60" s="12"/>
      <c r="BTC60" s="12"/>
      <c r="BTD60" s="12"/>
      <c r="BTE60" s="12"/>
      <c r="BTF60" s="12"/>
      <c r="BTG60" s="12"/>
      <c r="BTH60" s="12"/>
      <c r="BTI60" s="12"/>
      <c r="BTJ60" s="12"/>
      <c r="BTK60" s="12"/>
      <c r="BTL60" s="12"/>
      <c r="BTM60" s="12"/>
      <c r="BTN60" s="12"/>
      <c r="BTO60" s="12"/>
      <c r="BTP60" s="12"/>
      <c r="BTQ60" s="12"/>
      <c r="BTR60" s="12"/>
      <c r="BTS60" s="12"/>
      <c r="BTT60" s="12"/>
      <c r="BTU60" s="12"/>
      <c r="BTV60" s="12"/>
      <c r="BTW60" s="12"/>
      <c r="BTX60" s="12"/>
      <c r="BTY60" s="12"/>
      <c r="BTZ60" s="12"/>
      <c r="BUA60" s="12"/>
      <c r="BUB60" s="12"/>
      <c r="BUC60" s="12"/>
      <c r="BUD60" s="12"/>
      <c r="BUE60" s="12"/>
      <c r="BUF60" s="12"/>
      <c r="BUG60" s="12"/>
      <c r="BUH60" s="12"/>
      <c r="BUI60" s="12"/>
      <c r="BUJ60" s="12"/>
      <c r="BUK60" s="12"/>
      <c r="BUL60" s="12"/>
      <c r="BUM60" s="12"/>
      <c r="BUN60" s="12"/>
      <c r="BUO60" s="12"/>
      <c r="BUP60" s="12"/>
      <c r="BUQ60" s="12"/>
      <c r="BUR60" s="12"/>
      <c r="BUS60" s="12"/>
      <c r="BUT60" s="12"/>
      <c r="BUU60" s="12"/>
      <c r="BUV60" s="12"/>
      <c r="BUW60" s="12"/>
      <c r="BUX60" s="12"/>
      <c r="BUY60" s="12"/>
      <c r="BUZ60" s="12"/>
      <c r="BVA60" s="12"/>
      <c r="BVB60" s="12"/>
      <c r="BVC60" s="12"/>
      <c r="BVD60" s="12"/>
      <c r="BVE60" s="12"/>
      <c r="BVF60" s="12"/>
      <c r="BVG60" s="12"/>
      <c r="BVH60" s="12"/>
      <c r="BVI60" s="12"/>
      <c r="BVJ60" s="12"/>
      <c r="BVK60" s="12"/>
      <c r="BVL60" s="12"/>
      <c r="BVM60" s="12"/>
      <c r="BVN60" s="12"/>
      <c r="BVO60" s="12"/>
      <c r="BVP60" s="12"/>
      <c r="BVQ60" s="12"/>
      <c r="BVR60" s="12"/>
      <c r="BVS60" s="12"/>
      <c r="BVT60" s="12"/>
      <c r="BVU60" s="12"/>
      <c r="BVV60" s="12"/>
      <c r="BVW60" s="12"/>
      <c r="BVX60" s="12"/>
      <c r="BVY60" s="12"/>
      <c r="BVZ60" s="12"/>
      <c r="BWA60" s="12"/>
      <c r="BWB60" s="12"/>
      <c r="BWC60" s="12"/>
      <c r="BWD60" s="12"/>
      <c r="BWE60" s="12"/>
      <c r="BWF60" s="12"/>
      <c r="BWG60" s="12"/>
      <c r="BWH60" s="12"/>
      <c r="BWI60" s="12"/>
      <c r="BWJ60" s="12"/>
      <c r="BWK60" s="12"/>
      <c r="BWL60" s="12"/>
      <c r="BWM60" s="12"/>
      <c r="BWN60" s="12"/>
      <c r="BWO60" s="12"/>
      <c r="BWP60" s="12"/>
      <c r="BWQ60" s="12"/>
      <c r="BWR60" s="12"/>
      <c r="BWS60" s="12"/>
      <c r="BWT60" s="12"/>
      <c r="BWU60" s="12"/>
      <c r="BWV60" s="12"/>
      <c r="BWW60" s="12"/>
      <c r="BWX60" s="12"/>
      <c r="BWY60" s="12"/>
      <c r="BWZ60" s="12"/>
      <c r="BXA60" s="12"/>
      <c r="BXB60" s="12"/>
      <c r="BXC60" s="12"/>
      <c r="BXD60" s="12"/>
      <c r="BXE60" s="12"/>
      <c r="BXF60" s="12"/>
      <c r="BXG60" s="12"/>
      <c r="BXH60" s="12"/>
      <c r="BXI60" s="12"/>
      <c r="BXJ60" s="12"/>
      <c r="BXK60" s="12"/>
      <c r="BXL60" s="12"/>
      <c r="BXM60" s="12"/>
      <c r="BXN60" s="12"/>
      <c r="BXO60" s="12"/>
      <c r="BXP60" s="12"/>
      <c r="BXQ60" s="12"/>
      <c r="BXR60" s="12"/>
      <c r="BXS60" s="12"/>
      <c r="BXT60" s="12"/>
      <c r="BXU60" s="12"/>
      <c r="BXV60" s="12"/>
      <c r="BXW60" s="12"/>
      <c r="BXX60" s="12"/>
      <c r="BXY60" s="12"/>
      <c r="BXZ60" s="12"/>
      <c r="BYA60" s="12"/>
      <c r="BYB60" s="12"/>
      <c r="BYC60" s="12"/>
      <c r="BYD60" s="12"/>
      <c r="BYE60" s="12"/>
      <c r="BYF60" s="12"/>
      <c r="BYG60" s="12"/>
      <c r="BYH60" s="12"/>
      <c r="BYI60" s="12"/>
      <c r="BYJ60" s="12"/>
      <c r="BYK60" s="12"/>
      <c r="BYL60" s="12"/>
      <c r="BYM60" s="12"/>
      <c r="BYN60" s="12"/>
      <c r="BYO60" s="12"/>
      <c r="BYP60" s="12"/>
      <c r="BYQ60" s="12"/>
      <c r="BYR60" s="12"/>
      <c r="BYS60" s="12"/>
      <c r="BYT60" s="12"/>
      <c r="BYU60" s="12"/>
      <c r="BYV60" s="12"/>
      <c r="BYW60" s="12"/>
      <c r="BYX60" s="12"/>
      <c r="BYY60" s="12"/>
      <c r="BYZ60" s="12"/>
      <c r="BZA60" s="12"/>
      <c r="BZB60" s="12"/>
      <c r="BZC60" s="12"/>
      <c r="BZD60" s="12"/>
      <c r="BZE60" s="12"/>
      <c r="BZF60" s="12"/>
      <c r="BZG60" s="12"/>
      <c r="BZH60" s="12"/>
      <c r="BZI60" s="12"/>
      <c r="BZJ60" s="12"/>
      <c r="BZK60" s="12"/>
      <c r="BZL60" s="12"/>
      <c r="BZM60" s="12"/>
      <c r="BZN60" s="12"/>
      <c r="BZO60" s="12"/>
      <c r="BZP60" s="12"/>
      <c r="BZQ60" s="12"/>
      <c r="BZR60" s="12"/>
      <c r="BZS60" s="12"/>
      <c r="BZT60" s="12"/>
      <c r="BZU60" s="12"/>
      <c r="BZV60" s="12"/>
      <c r="BZW60" s="12"/>
      <c r="BZX60" s="12"/>
      <c r="BZY60" s="12"/>
      <c r="BZZ60" s="12"/>
      <c r="CAA60" s="12"/>
      <c r="CAB60" s="12"/>
      <c r="CAC60" s="12"/>
      <c r="CAD60" s="12"/>
      <c r="CAE60" s="12"/>
      <c r="CAF60" s="12"/>
      <c r="CAG60" s="12"/>
      <c r="CAH60" s="12"/>
      <c r="CAI60" s="12"/>
      <c r="CAJ60" s="12"/>
      <c r="CAK60" s="12"/>
      <c r="CAL60" s="12"/>
      <c r="CAM60" s="12"/>
      <c r="CAN60" s="12"/>
      <c r="CAO60" s="12"/>
      <c r="CAP60" s="12"/>
      <c r="CAQ60" s="12"/>
      <c r="CAR60" s="12"/>
      <c r="CAS60" s="12"/>
      <c r="CAT60" s="12"/>
      <c r="CAU60" s="12"/>
      <c r="CAV60" s="12"/>
      <c r="CAW60" s="12"/>
      <c r="CAX60" s="12"/>
      <c r="CAY60" s="12"/>
      <c r="CAZ60" s="12"/>
      <c r="CBA60" s="12"/>
      <c r="CBB60" s="12"/>
      <c r="CBC60" s="12"/>
      <c r="CBD60" s="12"/>
      <c r="CBE60" s="12"/>
      <c r="CBF60" s="12"/>
      <c r="CBG60" s="12"/>
      <c r="CBH60" s="12"/>
      <c r="CBI60" s="12"/>
      <c r="CBJ60" s="12"/>
      <c r="CBK60" s="12"/>
      <c r="CBL60" s="12"/>
      <c r="CBM60" s="12"/>
      <c r="CBN60" s="12"/>
      <c r="CBO60" s="12"/>
      <c r="CBP60" s="12"/>
      <c r="CBQ60" s="12"/>
      <c r="CBR60" s="12"/>
      <c r="CBS60" s="12"/>
      <c r="CBT60" s="12"/>
      <c r="CBU60" s="12"/>
      <c r="CBV60" s="12"/>
      <c r="CBW60" s="12"/>
      <c r="CBX60" s="12"/>
      <c r="CBY60" s="12"/>
      <c r="CBZ60" s="12"/>
      <c r="CCA60" s="12"/>
      <c r="CCB60" s="12"/>
      <c r="CCC60" s="12"/>
      <c r="CCD60" s="12"/>
      <c r="CCE60" s="12"/>
      <c r="CCF60" s="12"/>
      <c r="CCG60" s="12"/>
      <c r="CCH60" s="12"/>
      <c r="CCI60" s="12"/>
      <c r="CCJ60" s="12"/>
      <c r="CCK60" s="12"/>
      <c r="CCL60" s="12"/>
      <c r="CCM60" s="12"/>
      <c r="CCN60" s="12"/>
      <c r="CCO60" s="12"/>
      <c r="CCP60" s="12"/>
      <c r="CCQ60" s="12"/>
      <c r="CCR60" s="12"/>
      <c r="CCS60" s="12"/>
      <c r="CCT60" s="12"/>
      <c r="CCU60" s="12"/>
      <c r="CCV60" s="12"/>
      <c r="CCW60" s="12"/>
      <c r="CCX60" s="12"/>
      <c r="CCY60" s="12"/>
      <c r="CCZ60" s="12"/>
      <c r="CDA60" s="12"/>
      <c r="CDB60" s="12"/>
      <c r="CDC60" s="12"/>
      <c r="CDD60" s="12"/>
      <c r="CDE60" s="12"/>
      <c r="CDF60" s="12"/>
      <c r="CDG60" s="12"/>
      <c r="CDH60" s="12"/>
      <c r="CDI60" s="12"/>
      <c r="CDJ60" s="12"/>
      <c r="CDK60" s="12"/>
      <c r="CDL60" s="12"/>
      <c r="CDM60" s="12"/>
      <c r="CDN60" s="12"/>
      <c r="CDO60" s="12"/>
      <c r="CDP60" s="12"/>
      <c r="CDQ60" s="12"/>
      <c r="CDR60" s="12"/>
      <c r="CDS60" s="12"/>
      <c r="CDT60" s="12"/>
      <c r="CDU60" s="12"/>
      <c r="CDV60" s="12"/>
      <c r="CDW60" s="12"/>
      <c r="CDX60" s="12"/>
      <c r="CDY60" s="12"/>
      <c r="CDZ60" s="12"/>
      <c r="CEA60" s="12"/>
      <c r="CEB60" s="12"/>
      <c r="CEC60" s="12"/>
      <c r="CED60" s="12"/>
      <c r="CEE60" s="12"/>
      <c r="CEF60" s="12"/>
      <c r="CEG60" s="12"/>
      <c r="CEH60" s="12"/>
      <c r="CEI60" s="12"/>
      <c r="CEJ60" s="12"/>
      <c r="CEK60" s="12"/>
      <c r="CEL60" s="12"/>
      <c r="CEM60" s="12"/>
      <c r="CEN60" s="12"/>
      <c r="CEO60" s="12"/>
      <c r="CEP60" s="12"/>
      <c r="CEQ60" s="12"/>
      <c r="CER60" s="12"/>
      <c r="CES60" s="12"/>
      <c r="CET60" s="12"/>
      <c r="CEU60" s="12"/>
      <c r="CEV60" s="12"/>
      <c r="CEW60" s="12"/>
      <c r="CEX60" s="12"/>
      <c r="CEY60" s="12"/>
      <c r="CEZ60" s="12"/>
      <c r="CFA60" s="12"/>
      <c r="CFB60" s="12"/>
      <c r="CFC60" s="12"/>
      <c r="CFD60" s="12"/>
      <c r="CFE60" s="12"/>
      <c r="CFF60" s="12"/>
      <c r="CFG60" s="12"/>
      <c r="CFH60" s="12"/>
      <c r="CFI60" s="12"/>
      <c r="CFJ60" s="12"/>
      <c r="CFK60" s="12"/>
      <c r="CFL60" s="12"/>
      <c r="CFM60" s="12"/>
      <c r="CFN60" s="12"/>
      <c r="CFO60" s="12"/>
      <c r="CFP60" s="12"/>
      <c r="CFQ60" s="12"/>
      <c r="CFR60" s="12"/>
      <c r="CFS60" s="12"/>
      <c r="CFT60" s="12"/>
      <c r="CFU60" s="12"/>
      <c r="CFV60" s="12"/>
      <c r="CFW60" s="12"/>
      <c r="CFX60" s="12"/>
      <c r="CFY60" s="12"/>
      <c r="CFZ60" s="12"/>
      <c r="CGA60" s="12"/>
      <c r="CGB60" s="12"/>
      <c r="CGC60" s="12"/>
      <c r="CGD60" s="12"/>
      <c r="CGE60" s="12"/>
      <c r="CGF60" s="12"/>
      <c r="CGG60" s="12"/>
      <c r="CGH60" s="12"/>
      <c r="CGI60" s="12"/>
      <c r="CGJ60" s="12"/>
      <c r="CGK60" s="12"/>
      <c r="CGL60" s="12"/>
      <c r="CGM60" s="12"/>
      <c r="CGN60" s="12"/>
      <c r="CGO60" s="12"/>
      <c r="CGP60" s="12"/>
      <c r="CGQ60" s="12"/>
      <c r="CGR60" s="12"/>
      <c r="CGS60" s="12"/>
      <c r="CGT60" s="12"/>
      <c r="CGU60" s="12"/>
      <c r="CGV60" s="12"/>
      <c r="CGW60" s="12"/>
      <c r="CGX60" s="12"/>
      <c r="CGY60" s="12"/>
      <c r="CGZ60" s="12"/>
      <c r="CHA60" s="12"/>
      <c r="CHB60" s="12"/>
      <c r="CHC60" s="12"/>
      <c r="CHD60" s="12"/>
      <c r="CHE60" s="12"/>
      <c r="CHF60" s="12"/>
      <c r="CHG60" s="12"/>
      <c r="CHH60" s="12"/>
      <c r="CHI60" s="12"/>
      <c r="CHJ60" s="12"/>
      <c r="CHK60" s="12"/>
      <c r="CHL60" s="12"/>
      <c r="CHM60" s="12"/>
      <c r="CHN60" s="12"/>
      <c r="CHO60" s="12"/>
      <c r="CHP60" s="12"/>
      <c r="CHQ60" s="12"/>
      <c r="CHR60" s="12"/>
      <c r="CHS60" s="12"/>
      <c r="CHT60" s="12"/>
      <c r="CHU60" s="12"/>
      <c r="CHV60" s="12"/>
      <c r="CHW60" s="12"/>
      <c r="CHX60" s="12"/>
      <c r="CHY60" s="12"/>
      <c r="CHZ60" s="12"/>
      <c r="CIA60" s="12"/>
      <c r="CIB60" s="12"/>
      <c r="CIC60" s="12"/>
      <c r="CID60" s="12"/>
      <c r="CIE60" s="12"/>
      <c r="CIF60" s="12"/>
      <c r="CIG60" s="12"/>
      <c r="CIH60" s="12"/>
      <c r="CII60" s="12"/>
      <c r="CIJ60" s="12"/>
      <c r="CIK60" s="12"/>
      <c r="CIL60" s="12"/>
      <c r="CIM60" s="12"/>
      <c r="CIN60" s="12"/>
      <c r="CIO60" s="12"/>
      <c r="CIP60" s="12"/>
      <c r="CIQ60" s="12"/>
      <c r="CIR60" s="12"/>
      <c r="CIS60" s="12"/>
      <c r="CIT60" s="12"/>
      <c r="CIU60" s="12"/>
      <c r="CIV60" s="12"/>
      <c r="CIW60" s="12"/>
      <c r="CIX60" s="12"/>
      <c r="CIY60" s="12"/>
      <c r="CIZ60" s="12"/>
      <c r="CJA60" s="12"/>
      <c r="CJB60" s="12"/>
      <c r="CJC60" s="12"/>
      <c r="CJD60" s="12"/>
      <c r="CJE60" s="12"/>
      <c r="CJF60" s="12"/>
      <c r="CJG60" s="12"/>
      <c r="CJH60" s="12"/>
      <c r="CJI60" s="12"/>
      <c r="CJJ60" s="12"/>
      <c r="CJK60" s="12"/>
      <c r="CJL60" s="12"/>
      <c r="CJM60" s="12"/>
      <c r="CJN60" s="12"/>
      <c r="CJO60" s="12"/>
      <c r="CJP60" s="12"/>
      <c r="CJQ60" s="12"/>
      <c r="CJR60" s="12"/>
      <c r="CJS60" s="12"/>
      <c r="CJT60" s="12"/>
      <c r="CJU60" s="12"/>
      <c r="CJV60" s="12"/>
      <c r="CJW60" s="12"/>
      <c r="CJX60" s="12"/>
      <c r="CJY60" s="12"/>
      <c r="CJZ60" s="12"/>
      <c r="CKA60" s="12"/>
      <c r="CKB60" s="12"/>
      <c r="CKC60" s="12"/>
      <c r="CKD60" s="12"/>
      <c r="CKE60" s="12"/>
      <c r="CKF60" s="12"/>
      <c r="CKG60" s="12"/>
      <c r="CKH60" s="12"/>
      <c r="CKI60" s="12"/>
      <c r="CKJ60" s="12"/>
      <c r="CKK60" s="12"/>
      <c r="CKL60" s="12"/>
      <c r="CKM60" s="12"/>
      <c r="CKN60" s="12"/>
      <c r="CKO60" s="12"/>
      <c r="CKP60" s="12"/>
      <c r="CKQ60" s="12"/>
      <c r="CKR60" s="12"/>
      <c r="CKS60" s="12"/>
      <c r="CKT60" s="12"/>
      <c r="CKU60" s="12"/>
      <c r="CKV60" s="12"/>
      <c r="CKW60" s="12"/>
      <c r="CKX60" s="12"/>
      <c r="CKY60" s="12"/>
      <c r="CKZ60" s="12"/>
      <c r="CLA60" s="12"/>
      <c r="CLB60" s="12"/>
      <c r="CLC60" s="12"/>
      <c r="CLD60" s="12"/>
      <c r="CLE60" s="12"/>
      <c r="CLF60" s="12"/>
      <c r="CLG60" s="12"/>
      <c r="CLH60" s="12"/>
      <c r="CLI60" s="12"/>
      <c r="CLJ60" s="12"/>
      <c r="CLK60" s="12"/>
      <c r="CLL60" s="12"/>
      <c r="CLM60" s="12"/>
      <c r="CLN60" s="12"/>
      <c r="CLO60" s="12"/>
      <c r="CLP60" s="12"/>
      <c r="CLQ60" s="12"/>
      <c r="CLR60" s="12"/>
      <c r="CLS60" s="12"/>
      <c r="CLT60" s="12"/>
      <c r="CLU60" s="12"/>
      <c r="CLV60" s="12"/>
      <c r="CLW60" s="12"/>
      <c r="CLX60" s="12"/>
      <c r="CLY60" s="12"/>
      <c r="CLZ60" s="12"/>
      <c r="CMA60" s="12"/>
      <c r="CMB60" s="12"/>
      <c r="CMC60" s="12"/>
      <c r="CMD60" s="12"/>
      <c r="CME60" s="12"/>
      <c r="CMF60" s="12"/>
      <c r="CMG60" s="12"/>
      <c r="CMH60" s="12"/>
      <c r="CMI60" s="12"/>
      <c r="CMJ60" s="12"/>
      <c r="CMK60" s="12"/>
      <c r="CML60" s="12"/>
      <c r="CMM60" s="12"/>
      <c r="CMN60" s="12"/>
      <c r="CMO60" s="12"/>
      <c r="CMP60" s="12"/>
      <c r="CMQ60" s="12"/>
      <c r="CMR60" s="12"/>
      <c r="CMS60" s="12"/>
      <c r="CMT60" s="12"/>
      <c r="CMU60" s="12"/>
      <c r="CMV60" s="12"/>
      <c r="CMW60" s="12"/>
      <c r="CMX60" s="12"/>
      <c r="CMY60" s="12"/>
      <c r="CMZ60" s="12"/>
      <c r="CNA60" s="12"/>
      <c r="CNB60" s="12"/>
      <c r="CNC60" s="12"/>
      <c r="CND60" s="12"/>
      <c r="CNE60" s="12"/>
      <c r="CNF60" s="12"/>
      <c r="CNG60" s="12"/>
      <c r="CNH60" s="12"/>
      <c r="CNI60" s="12"/>
      <c r="CNJ60" s="12"/>
      <c r="CNK60" s="12"/>
      <c r="CNL60" s="12"/>
      <c r="CNM60" s="12"/>
      <c r="CNN60" s="12"/>
      <c r="CNO60" s="12"/>
      <c r="CNP60" s="12"/>
      <c r="CNQ60" s="12"/>
      <c r="CNR60" s="12"/>
      <c r="CNS60" s="12"/>
      <c r="CNT60" s="12"/>
      <c r="CNU60" s="12"/>
      <c r="CNV60" s="12"/>
      <c r="CNW60" s="12"/>
      <c r="CNX60" s="12"/>
      <c r="CNY60" s="12"/>
      <c r="CNZ60" s="12"/>
      <c r="COA60" s="12"/>
      <c r="COB60" s="12"/>
      <c r="COC60" s="12"/>
      <c r="COD60" s="12"/>
      <c r="COE60" s="12"/>
      <c r="COF60" s="12"/>
      <c r="COG60" s="12"/>
      <c r="COH60" s="12"/>
      <c r="COI60" s="12"/>
      <c r="COJ60" s="12"/>
      <c r="COK60" s="12"/>
      <c r="COL60" s="12"/>
      <c r="COM60" s="12"/>
      <c r="CON60" s="12"/>
      <c r="COO60" s="12"/>
      <c r="COP60" s="12"/>
      <c r="COQ60" s="12"/>
      <c r="COR60" s="12"/>
      <c r="COS60" s="12"/>
      <c r="COT60" s="12"/>
      <c r="COU60" s="12"/>
      <c r="COV60" s="12"/>
      <c r="COW60" s="12"/>
      <c r="COX60" s="12"/>
      <c r="COY60" s="12"/>
      <c r="COZ60" s="12"/>
      <c r="CPA60" s="12"/>
      <c r="CPB60" s="12"/>
      <c r="CPC60" s="12"/>
      <c r="CPD60" s="12"/>
      <c r="CPE60" s="12"/>
      <c r="CPF60" s="12"/>
      <c r="CPG60" s="12"/>
      <c r="CPH60" s="12"/>
      <c r="CPI60" s="12"/>
      <c r="CPJ60" s="12"/>
      <c r="CPK60" s="12"/>
      <c r="CPL60" s="12"/>
      <c r="CPM60" s="12"/>
      <c r="CPN60" s="12"/>
      <c r="CPO60" s="12"/>
      <c r="CPP60" s="12"/>
      <c r="CPQ60" s="12"/>
      <c r="CPR60" s="12"/>
      <c r="CPS60" s="12"/>
      <c r="CPT60" s="12"/>
      <c r="CPU60" s="12"/>
      <c r="CPV60" s="12"/>
      <c r="CPW60" s="12"/>
      <c r="CPX60" s="12"/>
      <c r="CPY60" s="12"/>
      <c r="CPZ60" s="12"/>
      <c r="CQA60" s="12"/>
      <c r="CQB60" s="12"/>
      <c r="CQC60" s="12"/>
      <c r="CQD60" s="12"/>
      <c r="CQE60" s="12"/>
      <c r="CQF60" s="12"/>
      <c r="CQG60" s="12"/>
      <c r="CQH60" s="12"/>
      <c r="CQI60" s="12"/>
      <c r="CQJ60" s="12"/>
      <c r="CQK60" s="12"/>
      <c r="CQL60" s="12"/>
      <c r="CQM60" s="12"/>
      <c r="CQN60" s="12"/>
      <c r="CQO60" s="12"/>
      <c r="CQP60" s="12"/>
      <c r="CQQ60" s="12"/>
      <c r="CQR60" s="12"/>
      <c r="CQS60" s="12"/>
      <c r="CQT60" s="12"/>
      <c r="CQU60" s="12"/>
      <c r="CQV60" s="12"/>
      <c r="CQW60" s="12"/>
      <c r="CQX60" s="12"/>
      <c r="CQY60" s="12"/>
      <c r="CQZ60" s="12"/>
      <c r="CRA60" s="12"/>
      <c r="CRB60" s="12"/>
      <c r="CRC60" s="12"/>
      <c r="CRD60" s="12"/>
      <c r="CRE60" s="12"/>
      <c r="CRF60" s="12"/>
      <c r="CRG60" s="12"/>
      <c r="CRH60" s="12"/>
      <c r="CRI60" s="12"/>
      <c r="CRJ60" s="12"/>
      <c r="CRK60" s="12"/>
      <c r="CRL60" s="12"/>
      <c r="CRM60" s="12"/>
      <c r="CRN60" s="12"/>
      <c r="CRO60" s="12"/>
      <c r="CRP60" s="12"/>
      <c r="CRQ60" s="12"/>
      <c r="CRR60" s="12"/>
      <c r="CRS60" s="12"/>
      <c r="CRT60" s="12"/>
      <c r="CRU60" s="12"/>
      <c r="CRV60" s="12"/>
      <c r="CRW60" s="12"/>
      <c r="CRX60" s="12"/>
      <c r="CRY60" s="12"/>
      <c r="CRZ60" s="12"/>
      <c r="CSA60" s="12"/>
      <c r="CSB60" s="12"/>
      <c r="CSC60" s="12"/>
      <c r="CSD60" s="12"/>
      <c r="CSE60" s="12"/>
      <c r="CSF60" s="12"/>
      <c r="CSG60" s="12"/>
      <c r="CSH60" s="12"/>
      <c r="CSI60" s="12"/>
      <c r="CSJ60" s="12"/>
      <c r="CSK60" s="12"/>
      <c r="CSL60" s="12"/>
      <c r="CSM60" s="12"/>
      <c r="CSN60" s="12"/>
      <c r="CSO60" s="12"/>
      <c r="CSP60" s="12"/>
      <c r="CSQ60" s="12"/>
      <c r="CSR60" s="12"/>
      <c r="CSS60" s="12"/>
      <c r="CST60" s="12"/>
      <c r="CSU60" s="12"/>
      <c r="CSV60" s="12"/>
      <c r="CSW60" s="12"/>
      <c r="CSX60" s="12"/>
      <c r="CSY60" s="12"/>
      <c r="CSZ60" s="12"/>
      <c r="CTA60" s="12"/>
      <c r="CTB60" s="12"/>
      <c r="CTC60" s="12"/>
      <c r="CTD60" s="12"/>
      <c r="CTE60" s="12"/>
      <c r="CTF60" s="12"/>
      <c r="CTG60" s="12"/>
      <c r="CTH60" s="12"/>
      <c r="CTI60" s="12"/>
      <c r="CTJ60" s="12"/>
      <c r="CTK60" s="12"/>
      <c r="CTL60" s="12"/>
      <c r="CTM60" s="12"/>
      <c r="CTN60" s="12"/>
      <c r="CTO60" s="12"/>
      <c r="CTP60" s="12"/>
      <c r="CTQ60" s="12"/>
      <c r="CTR60" s="12"/>
      <c r="CTS60" s="12"/>
      <c r="CTT60" s="12"/>
      <c r="CTU60" s="12"/>
      <c r="CTV60" s="12"/>
      <c r="CTW60" s="12"/>
      <c r="CTX60" s="12"/>
      <c r="CTY60" s="12"/>
      <c r="CTZ60" s="12"/>
      <c r="CUA60" s="12"/>
      <c r="CUB60" s="12"/>
      <c r="CUC60" s="12"/>
      <c r="CUD60" s="12"/>
      <c r="CUE60" s="12"/>
      <c r="CUF60" s="12"/>
      <c r="CUG60" s="12"/>
      <c r="CUH60" s="12"/>
      <c r="CUI60" s="12"/>
      <c r="CUJ60" s="12"/>
      <c r="CUK60" s="12"/>
      <c r="CUL60" s="12"/>
      <c r="CUM60" s="12"/>
      <c r="CUN60" s="12"/>
      <c r="CUO60" s="12"/>
      <c r="CUP60" s="12"/>
      <c r="CUQ60" s="12"/>
      <c r="CUR60" s="12"/>
      <c r="CUS60" s="12"/>
      <c r="CUT60" s="12"/>
      <c r="CUU60" s="12"/>
      <c r="CUV60" s="12"/>
      <c r="CUW60" s="12"/>
      <c r="CUX60" s="12"/>
      <c r="CUY60" s="12"/>
      <c r="CUZ60" s="12"/>
      <c r="CVA60" s="12"/>
      <c r="CVB60" s="12"/>
      <c r="CVC60" s="12"/>
      <c r="CVD60" s="12"/>
      <c r="CVE60" s="12"/>
      <c r="CVF60" s="12"/>
      <c r="CVG60" s="12"/>
      <c r="CVH60" s="12"/>
      <c r="CVI60" s="12"/>
      <c r="CVJ60" s="12"/>
      <c r="CVK60" s="12"/>
      <c r="CVL60" s="12"/>
      <c r="CVM60" s="12"/>
      <c r="CVN60" s="12"/>
      <c r="CVO60" s="12"/>
      <c r="CVP60" s="12"/>
      <c r="CVQ60" s="12"/>
      <c r="CVR60" s="12"/>
      <c r="CVS60" s="12"/>
      <c r="CVT60" s="12"/>
      <c r="CVU60" s="12"/>
      <c r="CVV60" s="12"/>
      <c r="CVW60" s="12"/>
      <c r="CVX60" s="12"/>
      <c r="CVY60" s="12"/>
      <c r="CVZ60" s="12"/>
      <c r="CWA60" s="12"/>
      <c r="CWB60" s="12"/>
      <c r="CWC60" s="12"/>
      <c r="CWD60" s="12"/>
      <c r="CWE60" s="12"/>
      <c r="CWF60" s="12"/>
      <c r="CWG60" s="12"/>
      <c r="CWH60" s="12"/>
      <c r="CWI60" s="12"/>
      <c r="CWJ60" s="12"/>
      <c r="CWK60" s="12"/>
      <c r="CWL60" s="12"/>
      <c r="CWM60" s="12"/>
      <c r="CWN60" s="12"/>
      <c r="CWO60" s="12"/>
      <c r="CWP60" s="12"/>
      <c r="CWQ60" s="12"/>
      <c r="CWR60" s="12"/>
      <c r="CWS60" s="12"/>
      <c r="CWT60" s="12"/>
      <c r="CWU60" s="12"/>
      <c r="CWV60" s="12"/>
      <c r="CWW60" s="12"/>
      <c r="CWX60" s="12"/>
      <c r="CWY60" s="12"/>
      <c r="CWZ60" s="12"/>
      <c r="CXA60" s="12"/>
      <c r="CXB60" s="12"/>
      <c r="CXC60" s="12"/>
      <c r="CXD60" s="12"/>
      <c r="CXE60" s="12"/>
      <c r="CXF60" s="12"/>
      <c r="CXG60" s="12"/>
      <c r="CXH60" s="12"/>
      <c r="CXI60" s="12"/>
      <c r="CXJ60" s="12"/>
      <c r="CXK60" s="12"/>
      <c r="CXL60" s="12"/>
      <c r="CXM60" s="12"/>
      <c r="CXN60" s="12"/>
      <c r="CXO60" s="12"/>
      <c r="CXP60" s="12"/>
      <c r="CXQ60" s="12"/>
      <c r="CXR60" s="12"/>
      <c r="CXS60" s="12"/>
      <c r="CXT60" s="12"/>
      <c r="CXU60" s="12"/>
      <c r="CXV60" s="12"/>
      <c r="CXW60" s="12"/>
      <c r="CXX60" s="12"/>
      <c r="CXY60" s="12"/>
      <c r="CXZ60" s="12"/>
      <c r="CYA60" s="12"/>
      <c r="CYB60" s="12"/>
      <c r="CYC60" s="12"/>
      <c r="CYD60" s="12"/>
      <c r="CYE60" s="12"/>
      <c r="CYF60" s="12"/>
      <c r="CYG60" s="12"/>
      <c r="CYH60" s="12"/>
      <c r="CYI60" s="12"/>
      <c r="CYJ60" s="12"/>
      <c r="CYK60" s="12"/>
      <c r="CYL60" s="12"/>
      <c r="CYM60" s="12"/>
      <c r="CYN60" s="12"/>
      <c r="CYO60" s="12"/>
      <c r="CYP60" s="12"/>
      <c r="CYQ60" s="12"/>
      <c r="CYR60" s="12"/>
      <c r="CYS60" s="12"/>
      <c r="CYT60" s="12"/>
      <c r="CYU60" s="12"/>
      <c r="CYV60" s="12"/>
      <c r="CYW60" s="12"/>
      <c r="CYX60" s="12"/>
      <c r="CYY60" s="12"/>
      <c r="CYZ60" s="12"/>
      <c r="CZA60" s="12"/>
      <c r="CZB60" s="12"/>
      <c r="CZC60" s="12"/>
      <c r="CZD60" s="12"/>
      <c r="CZE60" s="12"/>
      <c r="CZF60" s="12"/>
      <c r="CZG60" s="12"/>
      <c r="CZH60" s="12"/>
      <c r="CZI60" s="12"/>
      <c r="CZJ60" s="12"/>
      <c r="CZK60" s="12"/>
      <c r="CZL60" s="12"/>
      <c r="CZM60" s="12"/>
      <c r="CZN60" s="12"/>
      <c r="CZO60" s="12"/>
      <c r="CZP60" s="12"/>
      <c r="CZQ60" s="12"/>
      <c r="CZR60" s="12"/>
      <c r="CZS60" s="12"/>
      <c r="CZT60" s="12"/>
      <c r="CZU60" s="12"/>
      <c r="CZV60" s="12"/>
      <c r="CZW60" s="12"/>
      <c r="CZX60" s="12"/>
      <c r="CZY60" s="12"/>
      <c r="CZZ60" s="12"/>
      <c r="DAA60" s="12"/>
      <c r="DAB60" s="12"/>
      <c r="DAC60" s="12"/>
      <c r="DAD60" s="12"/>
      <c r="DAE60" s="12"/>
      <c r="DAF60" s="12"/>
      <c r="DAG60" s="12"/>
      <c r="DAH60" s="12"/>
      <c r="DAI60" s="12"/>
      <c r="DAJ60" s="12"/>
      <c r="DAK60" s="12"/>
      <c r="DAL60" s="12"/>
      <c r="DAM60" s="12"/>
      <c r="DAN60" s="12"/>
      <c r="DAO60" s="12"/>
      <c r="DAP60" s="12"/>
      <c r="DAQ60" s="12"/>
      <c r="DAR60" s="12"/>
      <c r="DAS60" s="12"/>
      <c r="DAT60" s="12"/>
      <c r="DAU60" s="12"/>
      <c r="DAV60" s="12"/>
      <c r="DAW60" s="12"/>
      <c r="DAX60" s="12"/>
      <c r="DAY60" s="12"/>
      <c r="DAZ60" s="12"/>
      <c r="DBA60" s="12"/>
      <c r="DBB60" s="12"/>
      <c r="DBC60" s="12"/>
      <c r="DBD60" s="12"/>
      <c r="DBE60" s="12"/>
      <c r="DBF60" s="12"/>
      <c r="DBG60" s="12"/>
      <c r="DBH60" s="12"/>
      <c r="DBI60" s="12"/>
      <c r="DBJ60" s="12"/>
      <c r="DBK60" s="12"/>
      <c r="DBL60" s="12"/>
      <c r="DBM60" s="12"/>
      <c r="DBN60" s="12"/>
      <c r="DBO60" s="12"/>
      <c r="DBP60" s="12"/>
      <c r="DBQ60" s="12"/>
      <c r="DBR60" s="12"/>
      <c r="DBS60" s="12"/>
      <c r="DBT60" s="12"/>
      <c r="DBU60" s="12"/>
      <c r="DBV60" s="12"/>
      <c r="DBW60" s="12"/>
      <c r="DBX60" s="12"/>
      <c r="DBY60" s="12"/>
      <c r="DBZ60" s="12"/>
      <c r="DCA60" s="12"/>
      <c r="DCB60" s="12"/>
      <c r="DCC60" s="12"/>
      <c r="DCD60" s="12"/>
      <c r="DCE60" s="12"/>
      <c r="DCF60" s="12"/>
      <c r="DCG60" s="12"/>
      <c r="DCH60" s="12"/>
      <c r="DCI60" s="12"/>
      <c r="DCJ60" s="12"/>
      <c r="DCK60" s="12"/>
      <c r="DCL60" s="12"/>
      <c r="DCM60" s="12"/>
      <c r="DCN60" s="12"/>
      <c r="DCO60" s="12"/>
      <c r="DCP60" s="12"/>
      <c r="DCQ60" s="12"/>
      <c r="DCR60" s="12"/>
      <c r="DCS60" s="12"/>
      <c r="DCT60" s="12"/>
      <c r="DCU60" s="12"/>
      <c r="DCV60" s="12"/>
      <c r="DCW60" s="12"/>
      <c r="DCX60" s="12"/>
      <c r="DCY60" s="12"/>
      <c r="DCZ60" s="12"/>
      <c r="DDA60" s="12"/>
      <c r="DDB60" s="12"/>
      <c r="DDC60" s="12"/>
      <c r="DDD60" s="12"/>
      <c r="DDE60" s="12"/>
      <c r="DDF60" s="12"/>
      <c r="DDG60" s="12"/>
      <c r="DDH60" s="12"/>
      <c r="DDI60" s="12"/>
      <c r="DDJ60" s="12"/>
      <c r="DDK60" s="12"/>
      <c r="DDL60" s="12"/>
      <c r="DDM60" s="12"/>
      <c r="DDN60" s="12"/>
      <c r="DDO60" s="12"/>
      <c r="DDP60" s="12"/>
      <c r="DDQ60" s="12"/>
      <c r="DDR60" s="12"/>
      <c r="DDS60" s="12"/>
      <c r="DDT60" s="12"/>
      <c r="DDU60" s="12"/>
      <c r="DDV60" s="12"/>
      <c r="DDW60" s="12"/>
      <c r="DDX60" s="12"/>
      <c r="DDY60" s="12"/>
      <c r="DDZ60" s="12"/>
      <c r="DEA60" s="12"/>
      <c r="DEB60" s="12"/>
      <c r="DEC60" s="12"/>
      <c r="DED60" s="12"/>
      <c r="DEE60" s="12"/>
      <c r="DEF60" s="12"/>
      <c r="DEG60" s="12"/>
      <c r="DEH60" s="12"/>
      <c r="DEI60" s="12"/>
      <c r="DEJ60" s="12"/>
      <c r="DEK60" s="12"/>
      <c r="DEL60" s="12"/>
      <c r="DEM60" s="12"/>
      <c r="DEN60" s="12"/>
      <c r="DEO60" s="12"/>
      <c r="DEP60" s="12"/>
      <c r="DEQ60" s="12"/>
      <c r="DER60" s="12"/>
      <c r="DES60" s="12"/>
      <c r="DET60" s="12"/>
      <c r="DEU60" s="12"/>
      <c r="DEV60" s="12"/>
      <c r="DEW60" s="12"/>
      <c r="DEX60" s="12"/>
      <c r="DEY60" s="12"/>
      <c r="DEZ60" s="12"/>
      <c r="DFA60" s="12"/>
      <c r="DFB60" s="12"/>
      <c r="DFC60" s="12"/>
      <c r="DFD60" s="12"/>
      <c r="DFE60" s="12"/>
      <c r="DFF60" s="12"/>
      <c r="DFG60" s="12"/>
      <c r="DFH60" s="12"/>
      <c r="DFI60" s="12"/>
      <c r="DFJ60" s="12"/>
      <c r="DFK60" s="12"/>
      <c r="DFL60" s="12"/>
      <c r="DFM60" s="12"/>
      <c r="DFN60" s="12"/>
      <c r="DFO60" s="12"/>
      <c r="DFP60" s="12"/>
      <c r="DFQ60" s="12"/>
      <c r="DFR60" s="12"/>
      <c r="DFS60" s="12"/>
      <c r="DFT60" s="12"/>
      <c r="DFU60" s="12"/>
      <c r="DFV60" s="12"/>
      <c r="DFW60" s="12"/>
      <c r="DFX60" s="12"/>
      <c r="DFY60" s="12"/>
      <c r="DFZ60" s="12"/>
      <c r="DGA60" s="12"/>
      <c r="DGB60" s="12"/>
      <c r="DGC60" s="12"/>
      <c r="DGD60" s="12"/>
      <c r="DGE60" s="12"/>
      <c r="DGF60" s="12"/>
      <c r="DGG60" s="12"/>
      <c r="DGH60" s="12"/>
      <c r="DGI60" s="12"/>
      <c r="DGJ60" s="12"/>
      <c r="DGK60" s="12"/>
      <c r="DGL60" s="12"/>
      <c r="DGM60" s="12"/>
      <c r="DGN60" s="12"/>
      <c r="DGO60" s="12"/>
      <c r="DGP60" s="12"/>
      <c r="DGQ60" s="12"/>
      <c r="DGR60" s="12"/>
      <c r="DGS60" s="12"/>
      <c r="DGT60" s="12"/>
      <c r="DGU60" s="12"/>
      <c r="DGV60" s="12"/>
      <c r="DGW60" s="12"/>
      <c r="DGX60" s="12"/>
      <c r="DGY60" s="12"/>
      <c r="DGZ60" s="12"/>
      <c r="DHA60" s="12"/>
      <c r="DHB60" s="12"/>
      <c r="DHC60" s="12"/>
      <c r="DHD60" s="12"/>
      <c r="DHE60" s="12"/>
      <c r="DHF60" s="12"/>
      <c r="DHG60" s="12"/>
      <c r="DHH60" s="12"/>
      <c r="DHI60" s="12"/>
      <c r="DHJ60" s="12"/>
      <c r="DHK60" s="12"/>
      <c r="DHL60" s="12"/>
      <c r="DHM60" s="12"/>
      <c r="DHN60" s="12"/>
      <c r="DHO60" s="12"/>
      <c r="DHP60" s="12"/>
      <c r="DHQ60" s="12"/>
      <c r="DHR60" s="12"/>
      <c r="DHS60" s="12"/>
      <c r="DHT60" s="12"/>
      <c r="DHU60" s="12"/>
      <c r="DHV60" s="12"/>
      <c r="DHW60" s="12"/>
      <c r="DHX60" s="12"/>
      <c r="DHY60" s="12"/>
      <c r="DHZ60" s="12"/>
      <c r="DIA60" s="12"/>
      <c r="DIB60" s="12"/>
      <c r="DIC60" s="12"/>
      <c r="DID60" s="12"/>
      <c r="DIE60" s="12"/>
      <c r="DIF60" s="12"/>
      <c r="DIG60" s="12"/>
      <c r="DIH60" s="12"/>
      <c r="DII60" s="12"/>
      <c r="DIJ60" s="12"/>
      <c r="DIK60" s="12"/>
      <c r="DIL60" s="12"/>
      <c r="DIM60" s="12"/>
      <c r="DIN60" s="12"/>
      <c r="DIO60" s="12"/>
      <c r="DIP60" s="12"/>
      <c r="DIQ60" s="12"/>
      <c r="DIR60" s="12"/>
      <c r="DIS60" s="12"/>
      <c r="DIT60" s="12"/>
      <c r="DIU60" s="12"/>
      <c r="DIV60" s="12"/>
      <c r="DIW60" s="12"/>
      <c r="DIX60" s="12"/>
      <c r="DIY60" s="12"/>
      <c r="DIZ60" s="12"/>
      <c r="DJA60" s="12"/>
      <c r="DJB60" s="12"/>
      <c r="DJC60" s="12"/>
      <c r="DJD60" s="12"/>
      <c r="DJE60" s="12"/>
      <c r="DJF60" s="12"/>
      <c r="DJG60" s="12"/>
      <c r="DJH60" s="12"/>
      <c r="DJI60" s="12"/>
      <c r="DJJ60" s="12"/>
      <c r="DJK60" s="12"/>
      <c r="DJL60" s="12"/>
      <c r="DJM60" s="12"/>
      <c r="DJN60" s="12"/>
      <c r="DJO60" s="12"/>
      <c r="DJP60" s="12"/>
      <c r="DJQ60" s="12"/>
      <c r="DJR60" s="12"/>
      <c r="DJS60" s="12"/>
      <c r="DJT60" s="12"/>
      <c r="DJU60" s="12"/>
      <c r="DJV60" s="12"/>
      <c r="DJW60" s="12"/>
      <c r="DJX60" s="12"/>
      <c r="DJY60" s="12"/>
      <c r="DJZ60" s="12"/>
      <c r="DKA60" s="12"/>
      <c r="DKB60" s="12"/>
      <c r="DKC60" s="12"/>
      <c r="DKD60" s="12"/>
      <c r="DKE60" s="12"/>
      <c r="DKF60" s="12"/>
      <c r="DKG60" s="12"/>
      <c r="DKH60" s="12"/>
      <c r="DKI60" s="12"/>
      <c r="DKJ60" s="12"/>
      <c r="DKK60" s="12"/>
      <c r="DKL60" s="12"/>
      <c r="DKM60" s="12"/>
      <c r="DKN60" s="12"/>
      <c r="DKO60" s="12"/>
      <c r="DKP60" s="12"/>
      <c r="DKQ60" s="12"/>
      <c r="DKR60" s="12"/>
      <c r="DKS60" s="12"/>
      <c r="DKT60" s="12"/>
      <c r="DKU60" s="12"/>
      <c r="DKV60" s="12"/>
      <c r="DKW60" s="12"/>
      <c r="DKX60" s="12"/>
      <c r="DKY60" s="12"/>
      <c r="DKZ60" s="12"/>
      <c r="DLA60" s="12"/>
      <c r="DLB60" s="12"/>
      <c r="DLC60" s="12"/>
      <c r="DLD60" s="12"/>
      <c r="DLE60" s="12"/>
      <c r="DLF60" s="12"/>
      <c r="DLG60" s="12"/>
      <c r="DLH60" s="12"/>
      <c r="DLI60" s="12"/>
      <c r="DLJ60" s="12"/>
      <c r="DLK60" s="12"/>
      <c r="DLL60" s="12"/>
      <c r="DLM60" s="12"/>
      <c r="DLN60" s="12"/>
      <c r="DLO60" s="12"/>
      <c r="DLP60" s="12"/>
      <c r="DLQ60" s="12"/>
      <c r="DLR60" s="12"/>
      <c r="DLS60" s="12"/>
      <c r="DLT60" s="12"/>
      <c r="DLU60" s="12"/>
      <c r="DLV60" s="12"/>
      <c r="DLW60" s="12"/>
      <c r="DLX60" s="12"/>
      <c r="DLY60" s="12"/>
      <c r="DLZ60" s="12"/>
      <c r="DMA60" s="12"/>
      <c r="DMB60" s="12"/>
      <c r="DMC60" s="12"/>
      <c r="DMD60" s="12"/>
      <c r="DME60" s="12"/>
      <c r="DMF60" s="12"/>
      <c r="DMG60" s="12"/>
      <c r="DMH60" s="12"/>
      <c r="DMI60" s="12"/>
      <c r="DMJ60" s="12"/>
      <c r="DMK60" s="12"/>
      <c r="DML60" s="12"/>
      <c r="DMM60" s="12"/>
      <c r="DMN60" s="12"/>
      <c r="DMO60" s="12"/>
      <c r="DMP60" s="12"/>
      <c r="DMQ60" s="12"/>
      <c r="DMR60" s="12"/>
      <c r="DMS60" s="12"/>
      <c r="DMT60" s="12"/>
      <c r="DMU60" s="12"/>
      <c r="DMV60" s="12"/>
      <c r="DMW60" s="12"/>
      <c r="DMX60" s="12"/>
      <c r="DMY60" s="12"/>
      <c r="DMZ60" s="12"/>
      <c r="DNA60" s="12"/>
      <c r="DNB60" s="12"/>
      <c r="DNC60" s="12"/>
      <c r="DND60" s="12"/>
      <c r="DNE60" s="12"/>
      <c r="DNF60" s="12"/>
      <c r="DNG60" s="12"/>
      <c r="DNH60" s="12"/>
      <c r="DNI60" s="12"/>
      <c r="DNJ60" s="12"/>
      <c r="DNK60" s="12"/>
      <c r="DNL60" s="12"/>
      <c r="DNM60" s="12"/>
      <c r="DNN60" s="12"/>
      <c r="DNO60" s="12"/>
      <c r="DNP60" s="12"/>
      <c r="DNQ60" s="12"/>
      <c r="DNR60" s="12"/>
      <c r="DNS60" s="12"/>
      <c r="DNT60" s="12"/>
      <c r="DNU60" s="12"/>
      <c r="DNV60" s="12"/>
      <c r="DNW60" s="12"/>
      <c r="DNX60" s="12"/>
      <c r="DNY60" s="12"/>
      <c r="DNZ60" s="12"/>
      <c r="DOA60" s="12"/>
      <c r="DOB60" s="12"/>
      <c r="DOC60" s="12"/>
      <c r="DOD60" s="12"/>
      <c r="DOE60" s="12"/>
      <c r="DOF60" s="12"/>
      <c r="DOG60" s="12"/>
      <c r="DOH60" s="12"/>
      <c r="DOI60" s="12"/>
      <c r="DOJ60" s="12"/>
      <c r="DOK60" s="12"/>
      <c r="DOL60" s="12"/>
      <c r="DOM60" s="12"/>
      <c r="DON60" s="12"/>
      <c r="DOO60" s="12"/>
      <c r="DOP60" s="12"/>
      <c r="DOQ60" s="12"/>
      <c r="DOR60" s="12"/>
      <c r="DOS60" s="12"/>
      <c r="DOT60" s="12"/>
      <c r="DOU60" s="12"/>
      <c r="DOV60" s="12"/>
      <c r="DOW60" s="12"/>
      <c r="DOX60" s="12"/>
      <c r="DOY60" s="12"/>
      <c r="DOZ60" s="12"/>
      <c r="DPA60" s="12"/>
      <c r="DPB60" s="12"/>
      <c r="DPC60" s="12"/>
      <c r="DPD60" s="12"/>
      <c r="DPE60" s="12"/>
      <c r="DPF60" s="12"/>
      <c r="DPG60" s="12"/>
      <c r="DPH60" s="12"/>
      <c r="DPI60" s="12"/>
      <c r="DPJ60" s="12"/>
      <c r="DPK60" s="12"/>
      <c r="DPL60" s="12"/>
      <c r="DPM60" s="12"/>
      <c r="DPN60" s="12"/>
      <c r="DPO60" s="12"/>
      <c r="DPP60" s="12"/>
      <c r="DPQ60" s="12"/>
      <c r="DPR60" s="12"/>
      <c r="DPS60" s="12"/>
      <c r="DPT60" s="12"/>
      <c r="DPU60" s="12"/>
      <c r="DPV60" s="12"/>
      <c r="DPW60" s="12"/>
      <c r="DPX60" s="12"/>
      <c r="DPY60" s="12"/>
      <c r="DPZ60" s="12"/>
      <c r="DQA60" s="12"/>
      <c r="DQB60" s="12"/>
      <c r="DQC60" s="12"/>
      <c r="DQD60" s="12"/>
      <c r="DQE60" s="12"/>
      <c r="DQF60" s="12"/>
      <c r="DQG60" s="12"/>
      <c r="DQH60" s="12"/>
      <c r="DQI60" s="12"/>
      <c r="DQJ60" s="12"/>
      <c r="DQK60" s="12"/>
      <c r="DQL60" s="12"/>
      <c r="DQM60" s="12"/>
      <c r="DQN60" s="12"/>
      <c r="DQO60" s="12"/>
      <c r="DQP60" s="12"/>
      <c r="DQQ60" s="12"/>
      <c r="DQR60" s="12"/>
      <c r="DQS60" s="12"/>
      <c r="DQT60" s="12"/>
      <c r="DQU60" s="12"/>
      <c r="DQV60" s="12"/>
      <c r="DQW60" s="12"/>
      <c r="DQX60" s="12"/>
      <c r="DQY60" s="12"/>
      <c r="DQZ60" s="12"/>
      <c r="DRA60" s="12"/>
      <c r="DRB60" s="12"/>
      <c r="DRC60" s="12"/>
      <c r="DRD60" s="12"/>
      <c r="DRE60" s="12"/>
      <c r="DRF60" s="12"/>
      <c r="DRG60" s="12"/>
      <c r="DRH60" s="12"/>
      <c r="DRI60" s="12"/>
      <c r="DRJ60" s="12"/>
      <c r="DRK60" s="12"/>
      <c r="DRL60" s="12"/>
      <c r="DRM60" s="12"/>
      <c r="DRN60" s="12"/>
      <c r="DRO60" s="12"/>
      <c r="DRP60" s="12"/>
      <c r="DRQ60" s="12"/>
      <c r="DRR60" s="12"/>
      <c r="DRS60" s="12"/>
      <c r="DRT60" s="12"/>
      <c r="DRU60" s="12"/>
      <c r="DRV60" s="12"/>
      <c r="DRW60" s="12"/>
      <c r="DRX60" s="12"/>
      <c r="DRY60" s="12"/>
      <c r="DRZ60" s="12"/>
      <c r="DSA60" s="12"/>
      <c r="DSB60" s="12"/>
      <c r="DSC60" s="12"/>
      <c r="DSD60" s="12"/>
      <c r="DSE60" s="12"/>
      <c r="DSF60" s="12"/>
      <c r="DSG60" s="12"/>
      <c r="DSH60" s="12"/>
      <c r="DSI60" s="12"/>
      <c r="DSJ60" s="12"/>
      <c r="DSK60" s="12"/>
      <c r="DSL60" s="12"/>
      <c r="DSM60" s="12"/>
      <c r="DSN60" s="12"/>
      <c r="DSO60" s="12"/>
      <c r="DSP60" s="12"/>
      <c r="DSQ60" s="12"/>
      <c r="DSR60" s="12"/>
      <c r="DSS60" s="12"/>
      <c r="DST60" s="12"/>
      <c r="DSU60" s="12"/>
      <c r="DSV60" s="12"/>
      <c r="DSW60" s="12"/>
      <c r="DSX60" s="12"/>
      <c r="DSY60" s="12"/>
      <c r="DSZ60" s="12"/>
      <c r="DTA60" s="12"/>
      <c r="DTB60" s="12"/>
      <c r="DTC60" s="12"/>
      <c r="DTD60" s="12"/>
      <c r="DTE60" s="12"/>
      <c r="DTF60" s="12"/>
      <c r="DTG60" s="12"/>
      <c r="DTH60" s="12"/>
      <c r="DTI60" s="12"/>
      <c r="DTJ60" s="12"/>
      <c r="DTK60" s="12"/>
      <c r="DTL60" s="12"/>
      <c r="DTM60" s="12"/>
      <c r="DTN60" s="12"/>
      <c r="DTO60" s="12"/>
      <c r="DTP60" s="12"/>
      <c r="DTQ60" s="12"/>
      <c r="DTR60" s="12"/>
      <c r="DTS60" s="12"/>
      <c r="DTT60" s="12"/>
      <c r="DTU60" s="12"/>
      <c r="DTV60" s="12"/>
      <c r="DTW60" s="12"/>
      <c r="DTX60" s="12"/>
      <c r="DTY60" s="12"/>
      <c r="DTZ60" s="12"/>
      <c r="DUA60" s="12"/>
      <c r="DUB60" s="12"/>
      <c r="DUC60" s="12"/>
      <c r="DUD60" s="12"/>
      <c r="DUE60" s="12"/>
      <c r="DUF60" s="12"/>
      <c r="DUG60" s="12"/>
      <c r="DUH60" s="12"/>
      <c r="DUI60" s="12"/>
      <c r="DUJ60" s="12"/>
      <c r="DUK60" s="12"/>
      <c r="DUL60" s="12"/>
      <c r="DUM60" s="12"/>
      <c r="DUN60" s="12"/>
      <c r="DUO60" s="12"/>
      <c r="DUP60" s="12"/>
      <c r="DUQ60" s="12"/>
      <c r="DUR60" s="12"/>
      <c r="DUS60" s="12"/>
      <c r="DUT60" s="12"/>
      <c r="DUU60" s="12"/>
      <c r="DUV60" s="12"/>
      <c r="DUW60" s="12"/>
      <c r="DUX60" s="12"/>
      <c r="DUY60" s="12"/>
      <c r="DUZ60" s="12"/>
      <c r="DVA60" s="12"/>
      <c r="DVB60" s="12"/>
      <c r="DVC60" s="12"/>
      <c r="DVD60" s="12"/>
      <c r="DVE60" s="12"/>
      <c r="DVF60" s="12"/>
      <c r="DVG60" s="12"/>
      <c r="DVH60" s="12"/>
      <c r="DVI60" s="12"/>
      <c r="DVJ60" s="12"/>
      <c r="DVK60" s="12"/>
      <c r="DVL60" s="12"/>
      <c r="DVM60" s="12"/>
      <c r="DVN60" s="12"/>
      <c r="DVO60" s="12"/>
      <c r="DVP60" s="12"/>
      <c r="DVQ60" s="12"/>
      <c r="DVR60" s="12"/>
      <c r="DVS60" s="12"/>
      <c r="DVT60" s="12"/>
      <c r="DVU60" s="12"/>
      <c r="DVV60" s="12"/>
      <c r="DVW60" s="12"/>
      <c r="DVX60" s="12"/>
      <c r="DVY60" s="12"/>
      <c r="DVZ60" s="12"/>
      <c r="DWA60" s="12"/>
      <c r="DWB60" s="12"/>
      <c r="DWC60" s="12"/>
      <c r="DWD60" s="12"/>
      <c r="DWE60" s="12"/>
      <c r="DWF60" s="12"/>
      <c r="DWG60" s="12"/>
      <c r="DWH60" s="12"/>
      <c r="DWI60" s="12"/>
      <c r="DWJ60" s="12"/>
      <c r="DWK60" s="12"/>
      <c r="DWL60" s="12"/>
      <c r="DWM60" s="12"/>
      <c r="DWN60" s="12"/>
      <c r="DWO60" s="12"/>
      <c r="DWP60" s="12"/>
      <c r="DWQ60" s="12"/>
      <c r="DWR60" s="12"/>
      <c r="DWS60" s="12"/>
      <c r="DWT60" s="12"/>
      <c r="DWU60" s="12"/>
      <c r="DWV60" s="12"/>
      <c r="DWW60" s="12"/>
      <c r="DWX60" s="12"/>
      <c r="DWY60" s="12"/>
      <c r="DWZ60" s="12"/>
      <c r="DXA60" s="12"/>
      <c r="DXB60" s="12"/>
      <c r="DXC60" s="12"/>
      <c r="DXD60" s="12"/>
      <c r="DXE60" s="12"/>
      <c r="DXF60" s="12"/>
      <c r="DXG60" s="12"/>
      <c r="DXH60" s="12"/>
      <c r="DXI60" s="12"/>
      <c r="DXJ60" s="12"/>
      <c r="DXK60" s="12"/>
      <c r="DXL60" s="12"/>
      <c r="DXM60" s="12"/>
      <c r="DXN60" s="12"/>
      <c r="DXO60" s="12"/>
      <c r="DXP60" s="12"/>
      <c r="DXQ60" s="12"/>
      <c r="DXR60" s="12"/>
      <c r="DXS60" s="12"/>
      <c r="DXT60" s="12"/>
      <c r="DXU60" s="12"/>
      <c r="DXV60" s="12"/>
      <c r="DXW60" s="12"/>
      <c r="DXX60" s="12"/>
      <c r="DXY60" s="12"/>
      <c r="DXZ60" s="12"/>
      <c r="DYA60" s="12"/>
      <c r="DYB60" s="12"/>
      <c r="DYC60" s="12"/>
      <c r="DYD60" s="12"/>
      <c r="DYE60" s="12"/>
      <c r="DYF60" s="12"/>
      <c r="DYG60" s="12"/>
      <c r="DYH60" s="12"/>
      <c r="DYI60" s="12"/>
      <c r="DYJ60" s="12"/>
      <c r="DYK60" s="12"/>
      <c r="DYL60" s="12"/>
      <c r="DYM60" s="12"/>
      <c r="DYN60" s="12"/>
      <c r="DYO60" s="12"/>
      <c r="DYP60" s="12"/>
      <c r="DYQ60" s="12"/>
      <c r="DYR60" s="12"/>
      <c r="DYS60" s="12"/>
      <c r="DYT60" s="12"/>
      <c r="DYU60" s="12"/>
      <c r="DYV60" s="12"/>
      <c r="DYW60" s="12"/>
      <c r="DYX60" s="12"/>
      <c r="DYY60" s="12"/>
      <c r="DYZ60" s="12"/>
      <c r="DZA60" s="12"/>
      <c r="DZB60" s="12"/>
      <c r="DZC60" s="12"/>
      <c r="DZD60" s="12"/>
      <c r="DZE60" s="12"/>
      <c r="DZF60" s="12"/>
      <c r="DZG60" s="12"/>
      <c r="DZH60" s="12"/>
      <c r="DZI60" s="12"/>
      <c r="DZJ60" s="12"/>
      <c r="DZK60" s="12"/>
      <c r="DZL60" s="12"/>
      <c r="DZM60" s="12"/>
      <c r="DZN60" s="12"/>
      <c r="DZO60" s="12"/>
      <c r="DZP60" s="12"/>
      <c r="DZQ60" s="12"/>
      <c r="DZR60" s="12"/>
      <c r="DZS60" s="12"/>
      <c r="DZT60" s="12"/>
      <c r="DZU60" s="12"/>
      <c r="DZV60" s="12"/>
      <c r="DZW60" s="12"/>
      <c r="DZX60" s="12"/>
      <c r="DZY60" s="12"/>
      <c r="DZZ60" s="12"/>
      <c r="EAA60" s="12"/>
      <c r="EAB60" s="12"/>
      <c r="EAC60" s="12"/>
      <c r="EAD60" s="12"/>
      <c r="EAE60" s="12"/>
      <c r="EAF60" s="12"/>
      <c r="EAG60" s="12"/>
      <c r="EAH60" s="12"/>
      <c r="EAI60" s="12"/>
      <c r="EAJ60" s="12"/>
      <c r="EAK60" s="12"/>
      <c r="EAL60" s="12"/>
      <c r="EAM60" s="12"/>
      <c r="EAN60" s="12"/>
      <c r="EAO60" s="12"/>
      <c r="EAP60" s="12"/>
      <c r="EAQ60" s="12"/>
      <c r="EAR60" s="12"/>
      <c r="EAS60" s="12"/>
      <c r="EAT60" s="12"/>
      <c r="EAU60" s="12"/>
      <c r="EAV60" s="12"/>
      <c r="EAW60" s="12"/>
      <c r="EAX60" s="12"/>
      <c r="EAY60" s="12"/>
      <c r="EAZ60" s="12"/>
      <c r="EBA60" s="12"/>
      <c r="EBB60" s="12"/>
      <c r="EBC60" s="12"/>
      <c r="EBD60" s="12"/>
      <c r="EBE60" s="12"/>
      <c r="EBF60" s="12"/>
      <c r="EBG60" s="12"/>
      <c r="EBH60" s="12"/>
      <c r="EBI60" s="12"/>
      <c r="EBJ60" s="12"/>
      <c r="EBK60" s="12"/>
      <c r="EBL60" s="12"/>
      <c r="EBM60" s="12"/>
      <c r="EBN60" s="12"/>
      <c r="EBO60" s="12"/>
      <c r="EBP60" s="12"/>
      <c r="EBQ60" s="12"/>
      <c r="EBR60" s="12"/>
      <c r="EBS60" s="12"/>
      <c r="EBT60" s="12"/>
      <c r="EBU60" s="12"/>
      <c r="EBV60" s="12"/>
      <c r="EBW60" s="12"/>
      <c r="EBX60" s="12"/>
      <c r="EBY60" s="12"/>
      <c r="EBZ60" s="12"/>
      <c r="ECA60" s="12"/>
      <c r="ECB60" s="12"/>
      <c r="ECC60" s="12"/>
      <c r="ECD60" s="12"/>
      <c r="ECE60" s="12"/>
      <c r="ECF60" s="12"/>
      <c r="ECG60" s="12"/>
      <c r="ECH60" s="12"/>
      <c r="ECI60" s="12"/>
      <c r="ECJ60" s="12"/>
      <c r="ECK60" s="12"/>
      <c r="ECL60" s="12"/>
      <c r="ECM60" s="12"/>
      <c r="ECN60" s="12"/>
      <c r="ECO60" s="12"/>
      <c r="ECP60" s="12"/>
      <c r="ECQ60" s="12"/>
      <c r="ECR60" s="12"/>
      <c r="ECS60" s="12"/>
      <c r="ECT60" s="12"/>
      <c r="ECU60" s="12"/>
      <c r="ECV60" s="12"/>
      <c r="ECW60" s="12"/>
      <c r="ECX60" s="12"/>
      <c r="ECY60" s="12"/>
      <c r="ECZ60" s="12"/>
      <c r="EDA60" s="12"/>
      <c r="EDB60" s="12"/>
      <c r="EDC60" s="12"/>
      <c r="EDD60" s="12"/>
      <c r="EDE60" s="12"/>
      <c r="EDF60" s="12"/>
      <c r="EDG60" s="12"/>
      <c r="EDH60" s="12"/>
      <c r="EDI60" s="12"/>
      <c r="EDJ60" s="12"/>
      <c r="EDK60" s="12"/>
      <c r="EDL60" s="12"/>
      <c r="EDM60" s="12"/>
      <c r="EDN60" s="12"/>
      <c r="EDO60" s="12"/>
      <c r="EDP60" s="12"/>
      <c r="EDQ60" s="12"/>
      <c r="EDR60" s="12"/>
      <c r="EDS60" s="12"/>
      <c r="EDT60" s="12"/>
      <c r="EDU60" s="12"/>
      <c r="EDV60" s="12"/>
      <c r="EDW60" s="12"/>
      <c r="EDX60" s="12"/>
      <c r="EDY60" s="12"/>
      <c r="EDZ60" s="12"/>
      <c r="EEA60" s="12"/>
      <c r="EEB60" s="12"/>
      <c r="EEC60" s="12"/>
      <c r="EED60" s="12"/>
      <c r="EEE60" s="12"/>
      <c r="EEF60" s="12"/>
      <c r="EEG60" s="12"/>
      <c r="EEH60" s="12"/>
      <c r="EEI60" s="12"/>
      <c r="EEJ60" s="12"/>
      <c r="EEK60" s="12"/>
      <c r="EEL60" s="12"/>
      <c r="EEM60" s="12"/>
      <c r="EEN60" s="12"/>
      <c r="EEO60" s="12"/>
      <c r="EEP60" s="12"/>
      <c r="EEQ60" s="12"/>
      <c r="EER60" s="12"/>
      <c r="EES60" s="12"/>
      <c r="EET60" s="12"/>
      <c r="EEU60" s="12"/>
      <c r="EEV60" s="12"/>
      <c r="EEW60" s="12"/>
      <c r="EEX60" s="12"/>
      <c r="EEY60" s="12"/>
      <c r="EEZ60" s="12"/>
      <c r="EFA60" s="12"/>
      <c r="EFB60" s="12"/>
      <c r="EFC60" s="12"/>
      <c r="EFD60" s="12"/>
      <c r="EFE60" s="12"/>
      <c r="EFF60" s="12"/>
      <c r="EFG60" s="12"/>
      <c r="EFH60" s="12"/>
      <c r="EFI60" s="12"/>
      <c r="EFJ60" s="12"/>
      <c r="EFK60" s="12"/>
      <c r="EFL60" s="12"/>
      <c r="EFM60" s="12"/>
      <c r="EFN60" s="12"/>
      <c r="EFO60" s="12"/>
      <c r="EFP60" s="12"/>
      <c r="EFQ60" s="12"/>
      <c r="EFR60" s="12"/>
      <c r="EFS60" s="12"/>
      <c r="EFT60" s="12"/>
      <c r="EFU60" s="12"/>
      <c r="EFV60" s="12"/>
      <c r="EFW60" s="12"/>
      <c r="EFX60" s="12"/>
      <c r="EFY60" s="12"/>
      <c r="EFZ60" s="12"/>
      <c r="EGA60" s="12"/>
      <c r="EGB60" s="12"/>
      <c r="EGC60" s="12"/>
      <c r="EGD60" s="12"/>
      <c r="EGE60" s="12"/>
      <c r="EGF60" s="12"/>
      <c r="EGG60" s="12"/>
      <c r="EGH60" s="12"/>
      <c r="EGI60" s="12"/>
      <c r="EGJ60" s="12"/>
      <c r="EGK60" s="12"/>
      <c r="EGL60" s="12"/>
      <c r="EGM60" s="12"/>
      <c r="EGN60" s="12"/>
      <c r="EGO60" s="12"/>
      <c r="EGP60" s="12"/>
      <c r="EGQ60" s="12"/>
      <c r="EGR60" s="12"/>
      <c r="EGS60" s="12"/>
      <c r="EGT60" s="12"/>
      <c r="EGU60" s="12"/>
      <c r="EGV60" s="12"/>
      <c r="EGW60" s="12"/>
      <c r="EGX60" s="12"/>
      <c r="EGY60" s="12"/>
      <c r="EGZ60" s="12"/>
      <c r="EHA60" s="12"/>
      <c r="EHB60" s="12"/>
      <c r="EHC60" s="12"/>
      <c r="EHD60" s="12"/>
      <c r="EHE60" s="12"/>
      <c r="EHF60" s="12"/>
      <c r="EHG60" s="12"/>
      <c r="EHH60" s="12"/>
      <c r="EHI60" s="12"/>
      <c r="EHJ60" s="12"/>
      <c r="EHK60" s="12"/>
      <c r="EHL60" s="12"/>
      <c r="EHM60" s="12"/>
      <c r="EHN60" s="12"/>
      <c r="EHO60" s="12"/>
      <c r="EHP60" s="12"/>
      <c r="EHQ60" s="12"/>
      <c r="EHR60" s="12"/>
      <c r="EHS60" s="12"/>
      <c r="EHT60" s="12"/>
      <c r="EHU60" s="12"/>
      <c r="EHV60" s="12"/>
      <c r="EHW60" s="12"/>
      <c r="EHX60" s="12"/>
      <c r="EHY60" s="12"/>
      <c r="EHZ60" s="12"/>
      <c r="EIA60" s="12"/>
      <c r="EIB60" s="12"/>
      <c r="EIC60" s="12"/>
      <c r="EID60" s="12"/>
      <c r="EIE60" s="12"/>
      <c r="EIF60" s="12"/>
      <c r="EIG60" s="12"/>
      <c r="EIH60" s="12"/>
      <c r="EII60" s="12"/>
      <c r="EIJ60" s="12"/>
      <c r="EIK60" s="12"/>
      <c r="EIL60" s="12"/>
      <c r="EIM60" s="12"/>
      <c r="EIN60" s="12"/>
      <c r="EIO60" s="12"/>
      <c r="EIP60" s="12"/>
      <c r="EIQ60" s="12"/>
      <c r="EIR60" s="12"/>
      <c r="EIS60" s="12"/>
      <c r="EIT60" s="12"/>
      <c r="EIU60" s="12"/>
      <c r="EIV60" s="12"/>
      <c r="EIW60" s="12"/>
      <c r="EIX60" s="12"/>
      <c r="EIY60" s="12"/>
      <c r="EIZ60" s="12"/>
      <c r="EJA60" s="12"/>
      <c r="EJB60" s="12"/>
      <c r="EJC60" s="12"/>
      <c r="EJD60" s="12"/>
      <c r="EJE60" s="12"/>
      <c r="EJF60" s="12"/>
      <c r="EJG60" s="12"/>
      <c r="EJH60" s="12"/>
      <c r="EJI60" s="12"/>
      <c r="EJJ60" s="12"/>
      <c r="EJK60" s="12"/>
      <c r="EJL60" s="12"/>
      <c r="EJM60" s="12"/>
      <c r="EJN60" s="12"/>
      <c r="EJO60" s="12"/>
      <c r="EJP60" s="12"/>
      <c r="EJQ60" s="12"/>
      <c r="EJR60" s="12"/>
      <c r="EJS60" s="12"/>
      <c r="EJT60" s="12"/>
      <c r="EJU60" s="12"/>
      <c r="EJV60" s="12"/>
      <c r="EJW60" s="12"/>
      <c r="EJX60" s="12"/>
      <c r="EJY60" s="12"/>
      <c r="EJZ60" s="12"/>
      <c r="EKA60" s="12"/>
      <c r="EKB60" s="12"/>
      <c r="EKC60" s="12"/>
      <c r="EKD60" s="12"/>
      <c r="EKE60" s="12"/>
      <c r="EKF60" s="12"/>
      <c r="EKG60" s="12"/>
      <c r="EKH60" s="12"/>
      <c r="EKI60" s="12"/>
      <c r="EKJ60" s="12"/>
      <c r="EKK60" s="12"/>
      <c r="EKL60" s="12"/>
      <c r="EKM60" s="12"/>
      <c r="EKN60" s="12"/>
      <c r="EKO60" s="12"/>
      <c r="EKP60" s="12"/>
      <c r="EKQ60" s="12"/>
      <c r="EKR60" s="12"/>
      <c r="EKS60" s="12"/>
      <c r="EKT60" s="12"/>
      <c r="EKU60" s="12"/>
      <c r="EKV60" s="12"/>
      <c r="EKW60" s="12"/>
      <c r="EKX60" s="12"/>
      <c r="EKY60" s="12"/>
      <c r="EKZ60" s="12"/>
      <c r="ELA60" s="12"/>
      <c r="ELB60" s="12"/>
      <c r="ELC60" s="12"/>
      <c r="ELD60" s="12"/>
      <c r="ELE60" s="12"/>
      <c r="ELF60" s="12"/>
      <c r="ELG60" s="12"/>
      <c r="ELH60" s="12"/>
      <c r="ELI60" s="12"/>
      <c r="ELJ60" s="12"/>
      <c r="ELK60" s="12"/>
      <c r="ELL60" s="12"/>
      <c r="ELM60" s="12"/>
      <c r="ELN60" s="12"/>
      <c r="ELO60" s="12"/>
      <c r="ELP60" s="12"/>
      <c r="ELQ60" s="12"/>
      <c r="ELR60" s="12"/>
      <c r="ELS60" s="12"/>
      <c r="ELT60" s="12"/>
      <c r="ELU60" s="12"/>
      <c r="ELV60" s="12"/>
      <c r="ELW60" s="12"/>
      <c r="ELX60" s="12"/>
      <c r="ELY60" s="12"/>
      <c r="ELZ60" s="12"/>
      <c r="EMA60" s="12"/>
      <c r="EMB60" s="12"/>
      <c r="EMC60" s="12"/>
      <c r="EMD60" s="12"/>
      <c r="EME60" s="12"/>
      <c r="EMF60" s="12"/>
      <c r="EMG60" s="12"/>
      <c r="EMH60" s="12"/>
      <c r="EMI60" s="12"/>
      <c r="EMJ60" s="12"/>
      <c r="EMK60" s="12"/>
      <c r="EML60" s="12"/>
      <c r="EMM60" s="12"/>
      <c r="EMN60" s="12"/>
      <c r="EMO60" s="12"/>
      <c r="EMP60" s="12"/>
      <c r="EMQ60" s="12"/>
      <c r="EMR60" s="12"/>
      <c r="EMS60" s="12"/>
      <c r="EMT60" s="12"/>
      <c r="EMU60" s="12"/>
      <c r="EMV60" s="12"/>
      <c r="EMW60" s="12"/>
      <c r="EMX60" s="12"/>
      <c r="EMY60" s="12"/>
      <c r="EMZ60" s="12"/>
      <c r="ENA60" s="12"/>
      <c r="ENB60" s="12"/>
      <c r="ENC60" s="12"/>
      <c r="END60" s="12"/>
      <c r="ENE60" s="12"/>
      <c r="ENF60" s="12"/>
      <c r="ENG60" s="12"/>
      <c r="ENH60" s="12"/>
      <c r="ENI60" s="12"/>
      <c r="ENJ60" s="12"/>
      <c r="ENK60" s="12"/>
      <c r="ENL60" s="12"/>
      <c r="ENM60" s="12"/>
      <c r="ENN60" s="12"/>
      <c r="ENO60" s="12"/>
      <c r="ENP60" s="12"/>
      <c r="ENQ60" s="12"/>
      <c r="ENR60" s="12"/>
      <c r="ENS60" s="12"/>
      <c r="ENT60" s="12"/>
      <c r="ENU60" s="12"/>
      <c r="ENV60" s="12"/>
      <c r="ENW60" s="12"/>
      <c r="ENX60" s="12"/>
      <c r="ENY60" s="12"/>
      <c r="ENZ60" s="12"/>
      <c r="EOA60" s="12"/>
      <c r="EOB60" s="12"/>
      <c r="EOC60" s="12"/>
      <c r="EOD60" s="12"/>
      <c r="EOE60" s="12"/>
      <c r="EOF60" s="12"/>
      <c r="EOG60" s="12"/>
      <c r="EOH60" s="12"/>
      <c r="EOI60" s="12"/>
      <c r="EOJ60" s="12"/>
      <c r="EOK60" s="12"/>
      <c r="EOL60" s="12"/>
      <c r="EOM60" s="12"/>
      <c r="EON60" s="12"/>
      <c r="EOO60" s="12"/>
      <c r="EOP60" s="12"/>
      <c r="EOQ60" s="12"/>
      <c r="EOR60" s="12"/>
      <c r="EOS60" s="12"/>
      <c r="EOT60" s="12"/>
      <c r="EOU60" s="12"/>
      <c r="EOV60" s="12"/>
      <c r="EOW60" s="12"/>
      <c r="EOX60" s="12"/>
      <c r="EOY60" s="12"/>
      <c r="EOZ60" s="12"/>
      <c r="EPA60" s="12"/>
      <c r="EPB60" s="12"/>
      <c r="EPC60" s="12"/>
      <c r="EPD60" s="12"/>
      <c r="EPE60" s="12"/>
      <c r="EPF60" s="12"/>
      <c r="EPG60" s="12"/>
      <c r="EPH60" s="12"/>
      <c r="EPI60" s="12"/>
      <c r="EPJ60" s="12"/>
      <c r="EPK60" s="12"/>
      <c r="EPL60" s="12"/>
      <c r="EPM60" s="12"/>
      <c r="EPN60" s="12"/>
      <c r="EPO60" s="12"/>
      <c r="EPP60" s="12"/>
      <c r="EPQ60" s="12"/>
      <c r="EPR60" s="12"/>
      <c r="EPS60" s="12"/>
      <c r="EPT60" s="12"/>
      <c r="EPU60" s="12"/>
      <c r="EPV60" s="12"/>
      <c r="EPW60" s="12"/>
      <c r="EPX60" s="12"/>
      <c r="EPY60" s="12"/>
      <c r="EPZ60" s="12"/>
      <c r="EQA60" s="12"/>
      <c r="EQB60" s="12"/>
      <c r="EQC60" s="12"/>
      <c r="EQD60" s="12"/>
      <c r="EQE60" s="12"/>
      <c r="EQF60" s="12"/>
      <c r="EQG60" s="12"/>
      <c r="EQH60" s="12"/>
      <c r="EQI60" s="12"/>
      <c r="EQJ60" s="12"/>
      <c r="EQK60" s="12"/>
      <c r="EQL60" s="12"/>
      <c r="EQM60" s="12"/>
      <c r="EQN60" s="12"/>
      <c r="EQO60" s="12"/>
      <c r="EQP60" s="12"/>
      <c r="EQQ60" s="12"/>
      <c r="EQR60" s="12"/>
      <c r="EQS60" s="12"/>
      <c r="EQT60" s="12"/>
      <c r="EQU60" s="12"/>
      <c r="EQV60" s="12"/>
      <c r="EQW60" s="12"/>
      <c r="EQX60" s="12"/>
      <c r="EQY60" s="12"/>
      <c r="EQZ60" s="12"/>
      <c r="ERA60" s="12"/>
      <c r="ERB60" s="12"/>
      <c r="ERC60" s="12"/>
      <c r="ERD60" s="12"/>
      <c r="ERE60" s="12"/>
      <c r="ERF60" s="12"/>
      <c r="ERG60" s="12"/>
      <c r="ERH60" s="12"/>
      <c r="ERI60" s="12"/>
      <c r="ERJ60" s="12"/>
      <c r="ERK60" s="12"/>
      <c r="ERL60" s="12"/>
      <c r="ERM60" s="12"/>
      <c r="ERN60" s="12"/>
      <c r="ERO60" s="12"/>
      <c r="ERP60" s="12"/>
      <c r="ERQ60" s="12"/>
      <c r="ERR60" s="12"/>
      <c r="ERS60" s="12"/>
      <c r="ERT60" s="12"/>
      <c r="ERU60" s="12"/>
      <c r="ERV60" s="12"/>
      <c r="ERW60" s="12"/>
      <c r="ERX60" s="12"/>
      <c r="ERY60" s="12"/>
      <c r="ERZ60" s="12"/>
      <c r="ESA60" s="12"/>
      <c r="ESB60" s="12"/>
      <c r="ESC60" s="12"/>
      <c r="ESD60" s="12"/>
      <c r="ESE60" s="12"/>
      <c r="ESF60" s="12"/>
      <c r="ESG60" s="12"/>
      <c r="ESH60" s="12"/>
      <c r="ESI60" s="12"/>
      <c r="ESJ60" s="12"/>
      <c r="ESK60" s="12"/>
      <c r="ESL60" s="12"/>
      <c r="ESM60" s="12"/>
      <c r="ESN60" s="12"/>
      <c r="ESO60" s="12"/>
      <c r="ESP60" s="12"/>
      <c r="ESQ60" s="12"/>
      <c r="ESR60" s="12"/>
      <c r="ESS60" s="12"/>
      <c r="EST60" s="12"/>
      <c r="ESU60" s="12"/>
      <c r="ESV60" s="12"/>
      <c r="ESW60" s="12"/>
      <c r="ESX60" s="12"/>
      <c r="ESY60" s="12"/>
      <c r="ESZ60" s="12"/>
      <c r="ETA60" s="12"/>
      <c r="ETB60" s="12"/>
      <c r="ETC60" s="12"/>
      <c r="ETD60" s="12"/>
      <c r="ETE60" s="12"/>
      <c r="ETF60" s="12"/>
      <c r="ETG60" s="12"/>
      <c r="ETH60" s="12"/>
      <c r="ETI60" s="12"/>
      <c r="ETJ60" s="12"/>
      <c r="ETK60" s="12"/>
      <c r="ETL60" s="12"/>
      <c r="ETM60" s="12"/>
      <c r="ETN60" s="12"/>
      <c r="ETO60" s="12"/>
      <c r="ETP60" s="12"/>
      <c r="ETQ60" s="12"/>
      <c r="ETR60" s="12"/>
      <c r="ETS60" s="12"/>
      <c r="ETT60" s="12"/>
      <c r="ETU60" s="12"/>
      <c r="ETV60" s="12"/>
      <c r="ETW60" s="12"/>
      <c r="ETX60" s="12"/>
      <c r="ETY60" s="12"/>
      <c r="ETZ60" s="12"/>
      <c r="EUA60" s="12"/>
      <c r="EUB60" s="12"/>
      <c r="EUC60" s="12"/>
      <c r="EUD60" s="12"/>
      <c r="EUE60" s="12"/>
      <c r="EUF60" s="12"/>
      <c r="EUG60" s="12"/>
      <c r="EUH60" s="12"/>
      <c r="EUI60" s="12"/>
      <c r="EUJ60" s="12"/>
      <c r="EUK60" s="12"/>
      <c r="EUL60" s="12"/>
      <c r="EUM60" s="12"/>
      <c r="EUN60" s="12"/>
      <c r="EUO60" s="12"/>
      <c r="EUP60" s="12"/>
      <c r="EUQ60" s="12"/>
      <c r="EUR60" s="12"/>
      <c r="EUS60" s="12"/>
      <c r="EUT60" s="12"/>
      <c r="EUU60" s="12"/>
      <c r="EUV60" s="12"/>
      <c r="EUW60" s="12"/>
      <c r="EUX60" s="12"/>
      <c r="EUY60" s="12"/>
      <c r="EUZ60" s="12"/>
      <c r="EVA60" s="12"/>
      <c r="EVB60" s="12"/>
      <c r="EVC60" s="12"/>
      <c r="EVD60" s="12"/>
      <c r="EVE60" s="12"/>
      <c r="EVF60" s="12"/>
      <c r="EVG60" s="12"/>
      <c r="EVH60" s="12"/>
      <c r="EVI60" s="12"/>
      <c r="EVJ60" s="12"/>
      <c r="EVK60" s="12"/>
      <c r="EVL60" s="12"/>
      <c r="EVM60" s="12"/>
      <c r="EVN60" s="12"/>
      <c r="EVO60" s="12"/>
      <c r="EVP60" s="12"/>
      <c r="EVQ60" s="12"/>
      <c r="EVR60" s="12"/>
      <c r="EVS60" s="12"/>
      <c r="EVT60" s="12"/>
      <c r="EVU60" s="12"/>
      <c r="EVV60" s="12"/>
      <c r="EVW60" s="12"/>
      <c r="EVX60" s="12"/>
      <c r="EVY60" s="12"/>
      <c r="EVZ60" s="12"/>
      <c r="EWA60" s="12"/>
      <c r="EWB60" s="12"/>
      <c r="EWC60" s="12"/>
      <c r="EWD60" s="12"/>
      <c r="EWE60" s="12"/>
      <c r="EWF60" s="12"/>
      <c r="EWG60" s="12"/>
      <c r="EWH60" s="12"/>
      <c r="EWI60" s="12"/>
      <c r="EWJ60" s="12"/>
      <c r="EWK60" s="12"/>
      <c r="EWL60" s="12"/>
      <c r="EWM60" s="12"/>
      <c r="EWN60" s="12"/>
      <c r="EWO60" s="12"/>
      <c r="EWP60" s="12"/>
      <c r="EWQ60" s="12"/>
      <c r="EWR60" s="12"/>
      <c r="EWS60" s="12"/>
      <c r="EWT60" s="12"/>
      <c r="EWU60" s="12"/>
      <c r="EWV60" s="12"/>
      <c r="EWW60" s="12"/>
      <c r="EWX60" s="12"/>
      <c r="EWY60" s="12"/>
      <c r="EWZ60" s="12"/>
      <c r="EXA60" s="12"/>
      <c r="EXB60" s="12"/>
      <c r="EXC60" s="12"/>
      <c r="EXD60" s="12"/>
      <c r="EXE60" s="12"/>
      <c r="EXF60" s="12"/>
      <c r="EXG60" s="12"/>
      <c r="EXH60" s="12"/>
      <c r="EXI60" s="12"/>
      <c r="EXJ60" s="12"/>
      <c r="EXK60" s="12"/>
      <c r="EXL60" s="12"/>
      <c r="EXM60" s="12"/>
      <c r="EXN60" s="12"/>
      <c r="EXO60" s="12"/>
      <c r="EXP60" s="12"/>
      <c r="EXQ60" s="12"/>
      <c r="EXR60" s="12"/>
      <c r="EXS60" s="12"/>
      <c r="EXT60" s="12"/>
      <c r="EXU60" s="12"/>
      <c r="EXV60" s="12"/>
      <c r="EXW60" s="12"/>
      <c r="EXX60" s="12"/>
      <c r="EXY60" s="12"/>
      <c r="EXZ60" s="12"/>
      <c r="EYA60" s="12"/>
      <c r="EYB60" s="12"/>
      <c r="EYC60" s="12"/>
      <c r="EYD60" s="12"/>
      <c r="EYE60" s="12"/>
      <c r="EYF60" s="12"/>
      <c r="EYG60" s="12"/>
      <c r="EYH60" s="12"/>
      <c r="EYI60" s="12"/>
      <c r="EYJ60" s="12"/>
      <c r="EYK60" s="12"/>
      <c r="EYL60" s="12"/>
      <c r="EYM60" s="12"/>
      <c r="EYN60" s="12"/>
      <c r="EYO60" s="12"/>
      <c r="EYP60" s="12"/>
      <c r="EYQ60" s="12"/>
      <c r="EYR60" s="12"/>
      <c r="EYS60" s="12"/>
      <c r="EYT60" s="12"/>
      <c r="EYU60" s="12"/>
      <c r="EYV60" s="12"/>
      <c r="EYW60" s="12"/>
      <c r="EYX60" s="12"/>
      <c r="EYY60" s="12"/>
      <c r="EYZ60" s="12"/>
      <c r="EZA60" s="12"/>
      <c r="EZB60" s="12"/>
      <c r="EZC60" s="12"/>
      <c r="EZD60" s="12"/>
      <c r="EZE60" s="12"/>
      <c r="EZF60" s="12"/>
      <c r="EZG60" s="12"/>
      <c r="EZH60" s="12"/>
      <c r="EZI60" s="12"/>
      <c r="EZJ60" s="12"/>
      <c r="EZK60" s="12"/>
      <c r="EZL60" s="12"/>
      <c r="EZM60" s="12"/>
      <c r="EZN60" s="12"/>
      <c r="EZO60" s="12"/>
      <c r="EZP60" s="12"/>
      <c r="EZQ60" s="12"/>
      <c r="EZR60" s="12"/>
      <c r="EZS60" s="12"/>
      <c r="EZT60" s="12"/>
      <c r="EZU60" s="12"/>
      <c r="EZV60" s="12"/>
      <c r="EZW60" s="12"/>
      <c r="EZX60" s="12"/>
      <c r="EZY60" s="12"/>
      <c r="EZZ60" s="12"/>
      <c r="FAA60" s="12"/>
      <c r="FAB60" s="12"/>
      <c r="FAC60" s="12"/>
      <c r="FAD60" s="12"/>
      <c r="FAE60" s="12"/>
      <c r="FAF60" s="12"/>
      <c r="FAG60" s="12"/>
      <c r="FAH60" s="12"/>
      <c r="FAI60" s="12"/>
      <c r="FAJ60" s="12"/>
      <c r="FAK60" s="12"/>
      <c r="FAL60" s="12"/>
      <c r="FAM60" s="12"/>
      <c r="FAN60" s="12"/>
      <c r="FAO60" s="12"/>
      <c r="FAP60" s="12"/>
      <c r="FAQ60" s="12"/>
      <c r="FAR60" s="12"/>
      <c r="FAS60" s="12"/>
      <c r="FAT60" s="12"/>
      <c r="FAU60" s="12"/>
      <c r="FAV60" s="12"/>
      <c r="FAW60" s="12"/>
      <c r="FAX60" s="12"/>
      <c r="FAY60" s="12"/>
      <c r="FAZ60" s="12"/>
      <c r="FBA60" s="12"/>
      <c r="FBB60" s="12"/>
      <c r="FBC60" s="12"/>
      <c r="FBD60" s="12"/>
      <c r="FBE60" s="12"/>
      <c r="FBF60" s="12"/>
      <c r="FBG60" s="12"/>
      <c r="FBH60" s="12"/>
      <c r="FBI60" s="12"/>
      <c r="FBJ60" s="12"/>
      <c r="FBK60" s="12"/>
      <c r="FBL60" s="12"/>
      <c r="FBM60" s="12"/>
      <c r="FBN60" s="12"/>
      <c r="FBO60" s="12"/>
      <c r="FBP60" s="12"/>
      <c r="FBQ60" s="12"/>
      <c r="FBR60" s="12"/>
      <c r="FBS60" s="12"/>
      <c r="FBT60" s="12"/>
      <c r="FBU60" s="12"/>
      <c r="FBV60" s="12"/>
      <c r="FBW60" s="12"/>
      <c r="FBX60" s="12"/>
      <c r="FBY60" s="12"/>
      <c r="FBZ60" s="12"/>
      <c r="FCA60" s="12"/>
      <c r="FCB60" s="12"/>
      <c r="FCC60" s="12"/>
      <c r="FCD60" s="12"/>
      <c r="FCE60" s="12"/>
      <c r="FCF60" s="12"/>
      <c r="FCG60" s="12"/>
      <c r="FCH60" s="12"/>
      <c r="FCI60" s="12"/>
      <c r="FCJ60" s="12"/>
      <c r="FCK60" s="12"/>
      <c r="FCL60" s="12"/>
      <c r="FCM60" s="12"/>
      <c r="FCN60" s="12"/>
      <c r="FCO60" s="12"/>
      <c r="FCP60" s="12"/>
      <c r="FCQ60" s="12"/>
      <c r="FCR60" s="12"/>
      <c r="FCS60" s="12"/>
      <c r="FCT60" s="12"/>
      <c r="FCU60" s="12"/>
      <c r="FCV60" s="12"/>
      <c r="FCW60" s="12"/>
      <c r="FCX60" s="12"/>
      <c r="FCY60" s="12"/>
      <c r="FCZ60" s="12"/>
      <c r="FDA60" s="12"/>
      <c r="FDB60" s="12"/>
      <c r="FDC60" s="12"/>
      <c r="FDD60" s="12"/>
      <c r="FDE60" s="12"/>
      <c r="FDF60" s="12"/>
      <c r="FDG60" s="12"/>
      <c r="FDH60" s="12"/>
      <c r="FDI60" s="12"/>
      <c r="FDJ60" s="12"/>
      <c r="FDK60" s="12"/>
      <c r="FDL60" s="12"/>
      <c r="FDM60" s="12"/>
      <c r="FDN60" s="12"/>
      <c r="FDO60" s="12"/>
      <c r="FDP60" s="12"/>
      <c r="FDQ60" s="12"/>
      <c r="FDR60" s="12"/>
      <c r="FDS60" s="12"/>
      <c r="FDT60" s="12"/>
      <c r="FDU60" s="12"/>
      <c r="FDV60" s="12"/>
      <c r="FDW60" s="12"/>
      <c r="FDX60" s="12"/>
      <c r="FDY60" s="12"/>
      <c r="FDZ60" s="12"/>
      <c r="FEA60" s="12"/>
      <c r="FEB60" s="12"/>
      <c r="FEC60" s="12"/>
      <c r="FED60" s="12"/>
      <c r="FEE60" s="12"/>
      <c r="FEF60" s="12"/>
      <c r="FEG60" s="12"/>
      <c r="FEH60" s="12"/>
      <c r="FEI60" s="12"/>
      <c r="FEJ60" s="12"/>
      <c r="FEK60" s="12"/>
      <c r="FEL60" s="12"/>
      <c r="FEM60" s="12"/>
      <c r="FEN60" s="12"/>
      <c r="FEO60" s="12"/>
      <c r="FEP60" s="12"/>
      <c r="FEQ60" s="12"/>
      <c r="FER60" s="12"/>
      <c r="FES60" s="12"/>
      <c r="FET60" s="12"/>
      <c r="FEU60" s="12"/>
      <c r="FEV60" s="12"/>
      <c r="FEW60" s="12"/>
      <c r="FEX60" s="12"/>
      <c r="FEY60" s="12"/>
      <c r="FEZ60" s="12"/>
      <c r="FFA60" s="12"/>
      <c r="FFB60" s="12"/>
      <c r="FFC60" s="12"/>
      <c r="FFD60" s="12"/>
      <c r="FFE60" s="12"/>
      <c r="FFF60" s="12"/>
      <c r="FFG60" s="12"/>
      <c r="FFH60" s="12"/>
      <c r="FFI60" s="12"/>
      <c r="FFJ60" s="12"/>
      <c r="FFK60" s="12"/>
      <c r="FFL60" s="12"/>
      <c r="FFM60" s="12"/>
      <c r="FFN60" s="12"/>
      <c r="FFO60" s="12"/>
      <c r="FFP60" s="12"/>
      <c r="FFQ60" s="12"/>
      <c r="FFR60" s="12"/>
      <c r="FFS60" s="12"/>
      <c r="FFT60" s="12"/>
      <c r="FFU60" s="12"/>
      <c r="FFV60" s="12"/>
      <c r="FFW60" s="12"/>
      <c r="FFX60" s="12"/>
      <c r="FFY60" s="12"/>
      <c r="FFZ60" s="12"/>
      <c r="FGA60" s="12"/>
      <c r="FGB60" s="12"/>
      <c r="FGC60" s="12"/>
      <c r="FGD60" s="12"/>
      <c r="FGE60" s="12"/>
      <c r="FGF60" s="12"/>
      <c r="FGG60" s="12"/>
      <c r="FGH60" s="12"/>
      <c r="FGI60" s="12"/>
      <c r="FGJ60" s="12"/>
      <c r="FGK60" s="12"/>
      <c r="FGL60" s="12"/>
      <c r="FGM60" s="12"/>
      <c r="FGN60" s="12"/>
      <c r="FGO60" s="12"/>
      <c r="FGP60" s="12"/>
      <c r="FGQ60" s="12"/>
      <c r="FGR60" s="12"/>
      <c r="FGS60" s="12"/>
      <c r="FGT60" s="12"/>
      <c r="FGU60" s="12"/>
      <c r="FGV60" s="12"/>
      <c r="FGW60" s="12"/>
      <c r="FGX60" s="12"/>
      <c r="FGY60" s="12"/>
      <c r="FGZ60" s="12"/>
      <c r="FHA60" s="12"/>
      <c r="FHB60" s="12"/>
      <c r="FHC60" s="12"/>
      <c r="FHD60" s="12"/>
      <c r="FHE60" s="12"/>
      <c r="FHF60" s="12"/>
      <c r="FHG60" s="12"/>
      <c r="FHH60" s="12"/>
      <c r="FHI60" s="12"/>
      <c r="FHJ60" s="12"/>
      <c r="FHK60" s="12"/>
      <c r="FHL60" s="12"/>
      <c r="FHM60" s="12"/>
      <c r="FHN60" s="12"/>
      <c r="FHO60" s="12"/>
      <c r="FHP60" s="12"/>
      <c r="FHQ60" s="12"/>
      <c r="FHR60" s="12"/>
      <c r="FHS60" s="12"/>
      <c r="FHT60" s="12"/>
      <c r="FHU60" s="12"/>
      <c r="FHV60" s="12"/>
      <c r="FHW60" s="12"/>
      <c r="FHX60" s="12"/>
      <c r="FHY60" s="12"/>
      <c r="FHZ60" s="12"/>
      <c r="FIA60" s="12"/>
      <c r="FIB60" s="12"/>
      <c r="FIC60" s="12"/>
      <c r="FID60" s="12"/>
      <c r="FIE60" s="12"/>
      <c r="FIF60" s="12"/>
      <c r="FIG60" s="12"/>
      <c r="FIH60" s="12"/>
      <c r="FII60" s="12"/>
      <c r="FIJ60" s="12"/>
      <c r="FIK60" s="12"/>
      <c r="FIL60" s="12"/>
      <c r="FIM60" s="12"/>
      <c r="FIN60" s="12"/>
      <c r="FIO60" s="12"/>
      <c r="FIP60" s="12"/>
      <c r="FIQ60" s="12"/>
      <c r="FIR60" s="12"/>
      <c r="FIS60" s="12"/>
      <c r="FIT60" s="12"/>
      <c r="FIU60" s="12"/>
      <c r="FIV60" s="12"/>
      <c r="FIW60" s="12"/>
      <c r="FIX60" s="12"/>
      <c r="FIY60" s="12"/>
      <c r="FIZ60" s="12"/>
      <c r="FJA60" s="12"/>
      <c r="FJB60" s="12"/>
      <c r="FJC60" s="12"/>
      <c r="FJD60" s="12"/>
      <c r="FJE60" s="12"/>
      <c r="FJF60" s="12"/>
      <c r="FJG60" s="12"/>
      <c r="FJH60" s="12"/>
      <c r="FJI60" s="12"/>
      <c r="FJJ60" s="12"/>
      <c r="FJK60" s="12"/>
      <c r="FJL60" s="12"/>
      <c r="FJM60" s="12"/>
      <c r="FJN60" s="12"/>
      <c r="FJO60" s="12"/>
      <c r="FJP60" s="12"/>
      <c r="FJQ60" s="12"/>
      <c r="FJR60" s="12"/>
      <c r="FJS60" s="12"/>
      <c r="FJT60" s="12"/>
      <c r="FJU60" s="12"/>
      <c r="FJV60" s="12"/>
      <c r="FJW60" s="12"/>
      <c r="FJX60" s="12"/>
      <c r="FJY60" s="12"/>
      <c r="FJZ60" s="12"/>
      <c r="FKA60" s="12"/>
      <c r="FKB60" s="12"/>
      <c r="FKC60" s="12"/>
      <c r="FKD60" s="12"/>
      <c r="FKE60" s="12"/>
      <c r="FKF60" s="12"/>
      <c r="FKG60" s="12"/>
      <c r="FKH60" s="12"/>
      <c r="FKI60" s="12"/>
      <c r="FKJ60" s="12"/>
      <c r="FKK60" s="12"/>
      <c r="FKL60" s="12"/>
      <c r="FKM60" s="12"/>
      <c r="FKN60" s="12"/>
      <c r="FKO60" s="12"/>
      <c r="FKP60" s="12"/>
      <c r="FKQ60" s="12"/>
      <c r="FKR60" s="12"/>
      <c r="FKS60" s="12"/>
      <c r="FKT60" s="12"/>
      <c r="FKU60" s="12"/>
      <c r="FKV60" s="12"/>
      <c r="FKW60" s="12"/>
      <c r="FKX60" s="12"/>
      <c r="FKY60" s="12"/>
      <c r="FKZ60" s="12"/>
      <c r="FLA60" s="12"/>
      <c r="FLB60" s="12"/>
      <c r="FLC60" s="12"/>
      <c r="FLD60" s="12"/>
      <c r="FLE60" s="12"/>
      <c r="FLF60" s="12"/>
      <c r="FLG60" s="12"/>
      <c r="FLH60" s="12"/>
      <c r="FLI60" s="12"/>
      <c r="FLJ60" s="12"/>
      <c r="FLK60" s="12"/>
      <c r="FLL60" s="12"/>
      <c r="FLM60" s="12"/>
      <c r="FLN60" s="12"/>
      <c r="FLO60" s="12"/>
      <c r="FLP60" s="12"/>
      <c r="FLQ60" s="12"/>
      <c r="FLR60" s="12"/>
      <c r="FLS60" s="12"/>
      <c r="FLT60" s="12"/>
      <c r="FLU60" s="12"/>
      <c r="FLV60" s="12"/>
      <c r="FLW60" s="12"/>
      <c r="FLX60" s="12"/>
      <c r="FLY60" s="12"/>
      <c r="FLZ60" s="12"/>
      <c r="FMA60" s="12"/>
      <c r="FMB60" s="12"/>
      <c r="FMC60" s="12"/>
      <c r="FMD60" s="12"/>
      <c r="FME60" s="12"/>
      <c r="FMF60" s="12"/>
      <c r="FMG60" s="12"/>
      <c r="FMH60" s="12"/>
      <c r="FMI60" s="12"/>
      <c r="FMJ60" s="12"/>
      <c r="FMK60" s="12"/>
      <c r="FML60" s="12"/>
      <c r="FMM60" s="12"/>
      <c r="FMN60" s="12"/>
      <c r="FMO60" s="12"/>
      <c r="FMP60" s="12"/>
      <c r="FMQ60" s="12"/>
      <c r="FMR60" s="12"/>
      <c r="FMS60" s="12"/>
      <c r="FMT60" s="12"/>
      <c r="FMU60" s="12"/>
      <c r="FMV60" s="12"/>
      <c r="FMW60" s="12"/>
      <c r="FMX60" s="12"/>
      <c r="FMY60" s="12"/>
      <c r="FMZ60" s="12"/>
      <c r="FNA60" s="12"/>
      <c r="FNB60" s="12"/>
      <c r="FNC60" s="12"/>
      <c r="FND60" s="12"/>
      <c r="FNE60" s="12"/>
      <c r="FNF60" s="12"/>
      <c r="FNG60" s="12"/>
      <c r="FNH60" s="12"/>
      <c r="FNI60" s="12"/>
      <c r="FNJ60" s="12"/>
      <c r="FNK60" s="12"/>
      <c r="FNL60" s="12"/>
      <c r="FNM60" s="12"/>
      <c r="FNN60" s="12"/>
      <c r="FNO60" s="12"/>
      <c r="FNP60" s="12"/>
      <c r="FNQ60" s="12"/>
      <c r="FNR60" s="12"/>
      <c r="FNS60" s="12"/>
      <c r="FNT60" s="12"/>
      <c r="FNU60" s="12"/>
      <c r="FNV60" s="12"/>
      <c r="FNW60" s="12"/>
      <c r="FNX60" s="12"/>
      <c r="FNY60" s="12"/>
      <c r="FNZ60" s="12"/>
      <c r="FOA60" s="12"/>
      <c r="FOB60" s="12"/>
      <c r="FOC60" s="12"/>
      <c r="FOD60" s="12"/>
      <c r="FOE60" s="12"/>
      <c r="FOF60" s="12"/>
      <c r="FOG60" s="12"/>
      <c r="FOH60" s="12"/>
      <c r="FOI60" s="12"/>
      <c r="FOJ60" s="12"/>
      <c r="FOK60" s="12"/>
      <c r="FOL60" s="12"/>
      <c r="FOM60" s="12"/>
      <c r="FON60" s="12"/>
      <c r="FOO60" s="12"/>
      <c r="FOP60" s="12"/>
      <c r="FOQ60" s="12"/>
      <c r="FOR60" s="12"/>
      <c r="FOS60" s="12"/>
      <c r="FOT60" s="12"/>
      <c r="FOU60" s="12"/>
      <c r="FOV60" s="12"/>
      <c r="FOW60" s="12"/>
      <c r="FOX60" s="12"/>
      <c r="FOY60" s="12"/>
      <c r="FOZ60" s="12"/>
      <c r="FPA60" s="12"/>
      <c r="FPB60" s="12"/>
      <c r="FPC60" s="12"/>
      <c r="FPD60" s="12"/>
      <c r="FPE60" s="12"/>
      <c r="FPF60" s="12"/>
      <c r="FPG60" s="12"/>
      <c r="FPH60" s="12"/>
      <c r="FPI60" s="12"/>
      <c r="FPJ60" s="12"/>
      <c r="FPK60" s="12"/>
      <c r="FPL60" s="12"/>
      <c r="FPM60" s="12"/>
      <c r="FPN60" s="12"/>
      <c r="FPO60" s="12"/>
      <c r="FPP60" s="12"/>
      <c r="FPQ60" s="12"/>
      <c r="FPR60" s="12"/>
      <c r="FPS60" s="12"/>
      <c r="FPT60" s="12"/>
      <c r="FPU60" s="12"/>
      <c r="FPV60" s="12"/>
      <c r="FPW60" s="12"/>
      <c r="FPX60" s="12"/>
      <c r="FPY60" s="12"/>
      <c r="FPZ60" s="12"/>
      <c r="FQA60" s="12"/>
      <c r="FQB60" s="12"/>
      <c r="FQC60" s="12"/>
      <c r="FQD60" s="12"/>
      <c r="FQE60" s="12"/>
      <c r="FQF60" s="12"/>
      <c r="FQG60" s="12"/>
      <c r="FQH60" s="12"/>
      <c r="FQI60" s="12"/>
      <c r="FQJ60" s="12"/>
      <c r="FQK60" s="12"/>
      <c r="FQL60" s="12"/>
      <c r="FQM60" s="12"/>
      <c r="FQN60" s="12"/>
      <c r="FQO60" s="12"/>
      <c r="FQP60" s="12"/>
      <c r="FQQ60" s="12"/>
      <c r="FQR60" s="12"/>
      <c r="FQS60" s="12"/>
      <c r="FQT60" s="12"/>
      <c r="FQU60" s="12"/>
      <c r="FQV60" s="12"/>
      <c r="FQW60" s="12"/>
      <c r="FQX60" s="12"/>
      <c r="FQY60" s="12"/>
      <c r="FQZ60" s="12"/>
      <c r="FRA60" s="12"/>
      <c r="FRB60" s="12"/>
      <c r="FRC60" s="12"/>
      <c r="FRD60" s="12"/>
      <c r="FRE60" s="12"/>
      <c r="FRF60" s="12"/>
      <c r="FRG60" s="12"/>
      <c r="FRH60" s="12"/>
      <c r="FRI60" s="12"/>
      <c r="FRJ60" s="12"/>
      <c r="FRK60" s="12"/>
      <c r="FRL60" s="12"/>
      <c r="FRM60" s="12"/>
      <c r="FRN60" s="12"/>
      <c r="FRO60" s="12"/>
      <c r="FRP60" s="12"/>
      <c r="FRQ60" s="12"/>
      <c r="FRR60" s="12"/>
      <c r="FRS60" s="12"/>
      <c r="FRT60" s="12"/>
      <c r="FRU60" s="12"/>
      <c r="FRV60" s="12"/>
      <c r="FRW60" s="12"/>
      <c r="FRX60" s="12"/>
      <c r="FRY60" s="12"/>
      <c r="FRZ60" s="12"/>
      <c r="FSA60" s="12"/>
      <c r="FSB60" s="12"/>
      <c r="FSC60" s="12"/>
      <c r="FSD60" s="12"/>
      <c r="FSE60" s="12"/>
      <c r="FSF60" s="12"/>
      <c r="FSG60" s="12"/>
      <c r="FSH60" s="12"/>
      <c r="FSI60" s="12"/>
      <c r="FSJ60" s="12"/>
      <c r="FSK60" s="12"/>
      <c r="FSL60" s="12"/>
      <c r="FSM60" s="12"/>
      <c r="FSN60" s="12"/>
      <c r="FSO60" s="12"/>
      <c r="FSP60" s="12"/>
      <c r="FSQ60" s="12"/>
      <c r="FSR60" s="12"/>
      <c r="FSS60" s="12"/>
      <c r="FST60" s="12"/>
      <c r="FSU60" s="12"/>
      <c r="FSV60" s="12"/>
      <c r="FSW60" s="12"/>
      <c r="FSX60" s="12"/>
      <c r="FSY60" s="12"/>
      <c r="FSZ60" s="12"/>
      <c r="FTA60" s="12"/>
      <c r="FTB60" s="12"/>
      <c r="FTC60" s="12"/>
      <c r="FTD60" s="12"/>
      <c r="FTE60" s="12"/>
      <c r="FTF60" s="12"/>
      <c r="FTG60" s="12"/>
      <c r="FTH60" s="12"/>
      <c r="FTI60" s="12"/>
      <c r="FTJ60" s="12"/>
      <c r="FTK60" s="12"/>
      <c r="FTL60" s="12"/>
      <c r="FTM60" s="12"/>
      <c r="FTN60" s="12"/>
      <c r="FTO60" s="12"/>
      <c r="FTP60" s="12"/>
      <c r="FTQ60" s="12"/>
      <c r="FTR60" s="12"/>
      <c r="FTS60" s="12"/>
      <c r="FTT60" s="12"/>
      <c r="FTU60" s="12"/>
      <c r="FTV60" s="12"/>
      <c r="FTW60" s="12"/>
      <c r="FTX60" s="12"/>
      <c r="FTY60" s="12"/>
      <c r="FTZ60" s="12"/>
      <c r="FUA60" s="12"/>
      <c r="FUB60" s="12"/>
      <c r="FUC60" s="12"/>
      <c r="FUD60" s="12"/>
      <c r="FUE60" s="12"/>
      <c r="FUF60" s="12"/>
      <c r="FUG60" s="12"/>
      <c r="FUH60" s="12"/>
      <c r="FUI60" s="12"/>
      <c r="FUJ60" s="12"/>
      <c r="FUK60" s="12"/>
      <c r="FUL60" s="12"/>
      <c r="FUM60" s="12"/>
      <c r="FUN60" s="12"/>
      <c r="FUO60" s="12"/>
      <c r="FUP60" s="12"/>
      <c r="FUQ60" s="12"/>
      <c r="FUR60" s="12"/>
      <c r="FUS60" s="12"/>
      <c r="FUT60" s="12"/>
      <c r="FUU60" s="12"/>
      <c r="FUV60" s="12"/>
      <c r="FUW60" s="12"/>
      <c r="FUX60" s="12"/>
      <c r="FUY60" s="12"/>
      <c r="FUZ60" s="12"/>
      <c r="FVA60" s="12"/>
      <c r="FVB60" s="12"/>
      <c r="FVC60" s="12"/>
      <c r="FVD60" s="12"/>
      <c r="FVE60" s="12"/>
      <c r="FVF60" s="12"/>
      <c r="FVG60" s="12"/>
      <c r="FVH60" s="12"/>
      <c r="FVI60" s="12"/>
      <c r="FVJ60" s="12"/>
      <c r="FVK60" s="12"/>
      <c r="FVL60" s="12"/>
      <c r="FVM60" s="12"/>
      <c r="FVN60" s="12"/>
      <c r="FVO60" s="12"/>
      <c r="FVP60" s="12"/>
      <c r="FVQ60" s="12"/>
      <c r="FVR60" s="12"/>
      <c r="FVS60" s="12"/>
      <c r="FVT60" s="12"/>
      <c r="FVU60" s="12"/>
      <c r="FVV60" s="12"/>
      <c r="FVW60" s="12"/>
      <c r="FVX60" s="12"/>
      <c r="FVY60" s="12"/>
      <c r="FVZ60" s="12"/>
      <c r="FWA60" s="12"/>
      <c r="FWB60" s="12"/>
      <c r="FWC60" s="12"/>
      <c r="FWD60" s="12"/>
      <c r="FWE60" s="12"/>
      <c r="FWF60" s="12"/>
      <c r="FWG60" s="12"/>
      <c r="FWH60" s="12"/>
      <c r="FWI60" s="12"/>
      <c r="FWJ60" s="12"/>
      <c r="FWK60" s="12"/>
      <c r="FWL60" s="12"/>
      <c r="FWM60" s="12"/>
      <c r="FWN60" s="12"/>
      <c r="FWO60" s="12"/>
      <c r="FWP60" s="12"/>
      <c r="FWQ60" s="12"/>
      <c r="FWR60" s="12"/>
      <c r="FWS60" s="12"/>
      <c r="FWT60" s="12"/>
      <c r="FWU60" s="12"/>
      <c r="FWV60" s="12"/>
      <c r="FWW60" s="12"/>
      <c r="FWX60" s="12"/>
      <c r="FWY60" s="12"/>
      <c r="FWZ60" s="12"/>
      <c r="FXA60" s="12"/>
      <c r="FXB60" s="12"/>
      <c r="FXC60" s="12"/>
      <c r="FXD60" s="12"/>
      <c r="FXE60" s="12"/>
      <c r="FXF60" s="12"/>
      <c r="FXG60" s="12"/>
      <c r="FXH60" s="12"/>
      <c r="FXI60" s="12"/>
      <c r="FXJ60" s="12"/>
      <c r="FXK60" s="12"/>
      <c r="FXL60" s="12"/>
      <c r="FXM60" s="12"/>
      <c r="FXN60" s="12"/>
      <c r="FXO60" s="12"/>
      <c r="FXP60" s="12"/>
      <c r="FXQ60" s="12"/>
      <c r="FXR60" s="12"/>
      <c r="FXS60" s="12"/>
      <c r="FXT60" s="12"/>
      <c r="FXU60" s="12"/>
      <c r="FXV60" s="12"/>
      <c r="FXW60" s="12"/>
      <c r="FXX60" s="12"/>
      <c r="FXY60" s="12"/>
      <c r="FXZ60" s="12"/>
      <c r="FYA60" s="12"/>
      <c r="FYB60" s="12"/>
      <c r="FYC60" s="12"/>
      <c r="FYD60" s="12"/>
      <c r="FYE60" s="12"/>
      <c r="FYF60" s="12"/>
      <c r="FYG60" s="12"/>
      <c r="FYH60" s="12"/>
      <c r="FYI60" s="12"/>
      <c r="FYJ60" s="12"/>
      <c r="FYK60" s="12"/>
      <c r="FYL60" s="12"/>
      <c r="FYM60" s="12"/>
      <c r="FYN60" s="12"/>
      <c r="FYO60" s="12"/>
      <c r="FYP60" s="12"/>
      <c r="FYQ60" s="12"/>
      <c r="FYR60" s="12"/>
      <c r="FYS60" s="12"/>
      <c r="FYT60" s="12"/>
      <c r="FYU60" s="12"/>
      <c r="FYV60" s="12"/>
      <c r="FYW60" s="12"/>
      <c r="FYX60" s="12"/>
      <c r="FYY60" s="12"/>
      <c r="FYZ60" s="12"/>
      <c r="FZA60" s="12"/>
      <c r="FZB60" s="12"/>
      <c r="FZC60" s="12"/>
      <c r="FZD60" s="12"/>
      <c r="FZE60" s="12"/>
      <c r="FZF60" s="12"/>
      <c r="FZG60" s="12"/>
      <c r="FZH60" s="12"/>
      <c r="FZI60" s="12"/>
      <c r="FZJ60" s="12"/>
      <c r="FZK60" s="12"/>
      <c r="FZL60" s="12"/>
      <c r="FZM60" s="12"/>
      <c r="FZN60" s="12"/>
      <c r="FZO60" s="12"/>
      <c r="FZP60" s="12"/>
      <c r="FZQ60" s="12"/>
      <c r="FZR60" s="12"/>
      <c r="FZS60" s="12"/>
      <c r="FZT60" s="12"/>
      <c r="FZU60" s="12"/>
      <c r="FZV60" s="12"/>
      <c r="FZW60" s="12"/>
      <c r="FZX60" s="12"/>
      <c r="FZY60" s="12"/>
      <c r="FZZ60" s="12"/>
      <c r="GAA60" s="12"/>
      <c r="GAB60" s="12"/>
      <c r="GAC60" s="12"/>
      <c r="GAD60" s="12"/>
      <c r="GAE60" s="12"/>
      <c r="GAF60" s="12"/>
      <c r="GAG60" s="12"/>
      <c r="GAH60" s="12"/>
      <c r="GAI60" s="12"/>
      <c r="GAJ60" s="12"/>
      <c r="GAK60" s="12"/>
      <c r="GAL60" s="12"/>
      <c r="GAM60" s="12"/>
      <c r="GAN60" s="12"/>
      <c r="GAO60" s="12"/>
      <c r="GAP60" s="12"/>
      <c r="GAQ60" s="12"/>
      <c r="GAR60" s="12"/>
      <c r="GAS60" s="12"/>
      <c r="GAT60" s="12"/>
      <c r="GAU60" s="12"/>
      <c r="GAV60" s="12"/>
      <c r="GAW60" s="12"/>
      <c r="GAX60" s="12"/>
      <c r="GAY60" s="12"/>
      <c r="GAZ60" s="12"/>
      <c r="GBA60" s="12"/>
      <c r="GBB60" s="12"/>
      <c r="GBC60" s="12"/>
      <c r="GBD60" s="12"/>
      <c r="GBE60" s="12"/>
      <c r="GBF60" s="12"/>
      <c r="GBG60" s="12"/>
      <c r="GBH60" s="12"/>
      <c r="GBI60" s="12"/>
      <c r="GBJ60" s="12"/>
      <c r="GBK60" s="12"/>
      <c r="GBL60" s="12"/>
      <c r="GBM60" s="12"/>
      <c r="GBN60" s="12"/>
      <c r="GBO60" s="12"/>
      <c r="GBP60" s="12"/>
      <c r="GBQ60" s="12"/>
      <c r="GBR60" s="12"/>
      <c r="GBS60" s="12"/>
      <c r="GBT60" s="12"/>
      <c r="GBU60" s="12"/>
      <c r="GBV60" s="12"/>
      <c r="GBW60" s="12"/>
      <c r="GBX60" s="12"/>
      <c r="GBY60" s="12"/>
      <c r="GBZ60" s="12"/>
      <c r="GCA60" s="12"/>
      <c r="GCB60" s="12"/>
      <c r="GCC60" s="12"/>
      <c r="GCD60" s="12"/>
      <c r="GCE60" s="12"/>
      <c r="GCF60" s="12"/>
      <c r="GCG60" s="12"/>
      <c r="GCH60" s="12"/>
      <c r="GCI60" s="12"/>
      <c r="GCJ60" s="12"/>
      <c r="GCK60" s="12"/>
      <c r="GCL60" s="12"/>
      <c r="GCM60" s="12"/>
      <c r="GCN60" s="12"/>
      <c r="GCO60" s="12"/>
      <c r="GCP60" s="12"/>
      <c r="GCQ60" s="12"/>
      <c r="GCR60" s="12"/>
      <c r="GCS60" s="12"/>
      <c r="GCT60" s="12"/>
      <c r="GCU60" s="12"/>
      <c r="GCV60" s="12"/>
      <c r="GCW60" s="12"/>
      <c r="GCX60" s="12"/>
      <c r="GCY60" s="12"/>
      <c r="GCZ60" s="12"/>
      <c r="GDA60" s="12"/>
      <c r="GDB60" s="12"/>
      <c r="GDC60" s="12"/>
      <c r="GDD60" s="12"/>
      <c r="GDE60" s="12"/>
      <c r="GDF60" s="12"/>
      <c r="GDG60" s="12"/>
      <c r="GDH60" s="12"/>
      <c r="GDI60" s="12"/>
      <c r="GDJ60" s="12"/>
      <c r="GDK60" s="12"/>
      <c r="GDL60" s="12"/>
      <c r="GDM60" s="12"/>
      <c r="GDN60" s="12"/>
      <c r="GDO60" s="12"/>
      <c r="GDP60" s="12"/>
      <c r="GDQ60" s="12"/>
      <c r="GDR60" s="12"/>
      <c r="GDS60" s="12"/>
      <c r="GDT60" s="12"/>
      <c r="GDU60" s="12"/>
      <c r="GDV60" s="12"/>
      <c r="GDW60" s="12"/>
      <c r="GDX60" s="12"/>
      <c r="GDY60" s="12"/>
      <c r="GDZ60" s="12"/>
      <c r="GEA60" s="12"/>
      <c r="GEB60" s="12"/>
      <c r="GEC60" s="12"/>
      <c r="GED60" s="12"/>
      <c r="GEE60" s="12"/>
      <c r="GEF60" s="12"/>
      <c r="GEG60" s="12"/>
      <c r="GEH60" s="12"/>
      <c r="GEI60" s="12"/>
      <c r="GEJ60" s="12"/>
      <c r="GEK60" s="12"/>
      <c r="GEL60" s="12"/>
      <c r="GEM60" s="12"/>
      <c r="GEN60" s="12"/>
      <c r="GEO60" s="12"/>
      <c r="GEP60" s="12"/>
      <c r="GEQ60" s="12"/>
      <c r="GER60" s="12"/>
      <c r="GES60" s="12"/>
      <c r="GET60" s="12"/>
      <c r="GEU60" s="12"/>
      <c r="GEV60" s="12"/>
      <c r="GEW60" s="12"/>
      <c r="GEX60" s="12"/>
      <c r="GEY60" s="12"/>
      <c r="GEZ60" s="12"/>
      <c r="GFA60" s="12"/>
      <c r="GFB60" s="12"/>
      <c r="GFC60" s="12"/>
      <c r="GFD60" s="12"/>
      <c r="GFE60" s="12"/>
      <c r="GFF60" s="12"/>
      <c r="GFG60" s="12"/>
      <c r="GFH60" s="12"/>
      <c r="GFI60" s="12"/>
      <c r="GFJ60" s="12"/>
      <c r="GFK60" s="12"/>
      <c r="GFL60" s="12"/>
      <c r="GFM60" s="12"/>
      <c r="GFN60" s="12"/>
      <c r="GFO60" s="12"/>
      <c r="GFP60" s="12"/>
      <c r="GFQ60" s="12"/>
      <c r="GFR60" s="12"/>
      <c r="GFS60" s="12"/>
      <c r="GFT60" s="12"/>
      <c r="GFU60" s="12"/>
      <c r="GFV60" s="12"/>
      <c r="GFW60" s="12"/>
      <c r="GFX60" s="12"/>
      <c r="GFY60" s="12"/>
      <c r="GFZ60" s="12"/>
      <c r="GGA60" s="12"/>
      <c r="GGB60" s="12"/>
      <c r="GGC60" s="12"/>
      <c r="GGD60" s="12"/>
      <c r="GGE60" s="12"/>
      <c r="GGF60" s="12"/>
      <c r="GGG60" s="12"/>
      <c r="GGH60" s="12"/>
      <c r="GGI60" s="12"/>
      <c r="GGJ60" s="12"/>
      <c r="GGK60" s="12"/>
      <c r="GGL60" s="12"/>
      <c r="GGM60" s="12"/>
      <c r="GGN60" s="12"/>
      <c r="GGO60" s="12"/>
      <c r="GGP60" s="12"/>
      <c r="GGQ60" s="12"/>
      <c r="GGR60" s="12"/>
      <c r="GGS60" s="12"/>
      <c r="GGT60" s="12"/>
      <c r="GGU60" s="12"/>
      <c r="GGV60" s="12"/>
      <c r="GGW60" s="12"/>
      <c r="GGX60" s="12"/>
      <c r="GGY60" s="12"/>
      <c r="GGZ60" s="12"/>
      <c r="GHA60" s="12"/>
      <c r="GHB60" s="12"/>
      <c r="GHC60" s="12"/>
      <c r="GHD60" s="12"/>
      <c r="GHE60" s="12"/>
      <c r="GHF60" s="12"/>
      <c r="GHG60" s="12"/>
      <c r="GHH60" s="12"/>
      <c r="GHI60" s="12"/>
      <c r="GHJ60" s="12"/>
      <c r="GHK60" s="12"/>
      <c r="GHL60" s="12"/>
      <c r="GHM60" s="12"/>
      <c r="GHN60" s="12"/>
      <c r="GHO60" s="12"/>
      <c r="GHP60" s="12"/>
      <c r="GHQ60" s="12"/>
      <c r="GHR60" s="12"/>
      <c r="GHS60" s="12"/>
      <c r="GHT60" s="12"/>
      <c r="GHU60" s="12"/>
      <c r="GHV60" s="12"/>
      <c r="GHW60" s="12"/>
      <c r="GHX60" s="12"/>
      <c r="GHY60" s="12"/>
      <c r="GHZ60" s="12"/>
      <c r="GIA60" s="12"/>
      <c r="GIB60" s="12"/>
      <c r="GIC60" s="12"/>
      <c r="GID60" s="12"/>
      <c r="GIE60" s="12"/>
      <c r="GIF60" s="12"/>
      <c r="GIG60" s="12"/>
      <c r="GIH60" s="12"/>
      <c r="GII60" s="12"/>
      <c r="GIJ60" s="12"/>
      <c r="GIK60" s="12"/>
      <c r="GIL60" s="12"/>
      <c r="GIM60" s="12"/>
      <c r="GIN60" s="12"/>
      <c r="GIO60" s="12"/>
      <c r="GIP60" s="12"/>
      <c r="GIQ60" s="12"/>
      <c r="GIR60" s="12"/>
      <c r="GIS60" s="12"/>
      <c r="GIT60" s="12"/>
      <c r="GIU60" s="12"/>
      <c r="GIV60" s="12"/>
      <c r="GIW60" s="12"/>
      <c r="GIX60" s="12"/>
      <c r="GIY60" s="12"/>
      <c r="GIZ60" s="12"/>
      <c r="GJA60" s="12"/>
      <c r="GJB60" s="12"/>
      <c r="GJC60" s="12"/>
      <c r="GJD60" s="12"/>
      <c r="GJE60" s="12"/>
      <c r="GJF60" s="12"/>
      <c r="GJG60" s="12"/>
      <c r="GJH60" s="12"/>
      <c r="GJI60" s="12"/>
      <c r="GJJ60" s="12"/>
      <c r="GJK60" s="12"/>
      <c r="GJL60" s="12"/>
      <c r="GJM60" s="12"/>
      <c r="GJN60" s="12"/>
      <c r="GJO60" s="12"/>
      <c r="GJP60" s="12"/>
      <c r="GJQ60" s="12"/>
      <c r="GJR60" s="12"/>
      <c r="GJS60" s="12"/>
      <c r="GJT60" s="12"/>
      <c r="GJU60" s="12"/>
      <c r="GJV60" s="12"/>
      <c r="GJW60" s="12"/>
      <c r="GJX60" s="12"/>
      <c r="GJY60" s="12"/>
      <c r="GJZ60" s="12"/>
      <c r="GKA60" s="12"/>
      <c r="GKB60" s="12"/>
      <c r="GKC60" s="12"/>
      <c r="GKD60" s="12"/>
      <c r="GKE60" s="12"/>
      <c r="GKF60" s="12"/>
      <c r="GKG60" s="12"/>
      <c r="GKH60" s="12"/>
      <c r="GKI60" s="12"/>
      <c r="GKJ60" s="12"/>
      <c r="GKK60" s="12"/>
      <c r="GKL60" s="12"/>
      <c r="GKM60" s="12"/>
      <c r="GKN60" s="12"/>
      <c r="GKO60" s="12"/>
      <c r="GKP60" s="12"/>
      <c r="GKQ60" s="12"/>
      <c r="GKR60" s="12"/>
      <c r="GKS60" s="12"/>
      <c r="GKT60" s="12"/>
      <c r="GKU60" s="12"/>
      <c r="GKV60" s="12"/>
      <c r="GKW60" s="12"/>
      <c r="GKX60" s="12"/>
      <c r="GKY60" s="12"/>
      <c r="GKZ60" s="12"/>
      <c r="GLA60" s="12"/>
      <c r="GLB60" s="12"/>
      <c r="GLC60" s="12"/>
      <c r="GLD60" s="12"/>
      <c r="GLE60" s="12"/>
      <c r="GLF60" s="12"/>
      <c r="GLG60" s="12"/>
      <c r="GLH60" s="12"/>
      <c r="GLI60" s="12"/>
      <c r="GLJ60" s="12"/>
      <c r="GLK60" s="12"/>
      <c r="GLL60" s="12"/>
      <c r="GLM60" s="12"/>
      <c r="GLN60" s="12"/>
      <c r="GLO60" s="12"/>
      <c r="GLP60" s="12"/>
      <c r="GLQ60" s="12"/>
      <c r="GLR60" s="12"/>
      <c r="GLS60" s="12"/>
      <c r="GLT60" s="12"/>
      <c r="GLU60" s="12"/>
      <c r="GLV60" s="12"/>
      <c r="GLW60" s="12"/>
      <c r="GLX60" s="12"/>
      <c r="GLY60" s="12"/>
      <c r="GLZ60" s="12"/>
      <c r="GMA60" s="12"/>
      <c r="GMB60" s="12"/>
      <c r="GMC60" s="12"/>
      <c r="GMD60" s="12"/>
      <c r="GME60" s="12"/>
      <c r="GMF60" s="12"/>
      <c r="GMG60" s="12"/>
      <c r="GMH60" s="12"/>
      <c r="GMI60" s="12"/>
      <c r="GMJ60" s="12"/>
      <c r="GMK60" s="12"/>
      <c r="GML60" s="12"/>
      <c r="GMM60" s="12"/>
      <c r="GMN60" s="12"/>
      <c r="GMO60" s="12"/>
      <c r="GMP60" s="12"/>
      <c r="GMQ60" s="12"/>
      <c r="GMR60" s="12"/>
      <c r="GMS60" s="12"/>
      <c r="GMT60" s="12"/>
      <c r="GMU60" s="12"/>
      <c r="GMV60" s="12"/>
      <c r="GMW60" s="12"/>
      <c r="GMX60" s="12"/>
      <c r="GMY60" s="12"/>
      <c r="GMZ60" s="12"/>
      <c r="GNA60" s="12"/>
      <c r="GNB60" s="12"/>
      <c r="GNC60" s="12"/>
      <c r="GND60" s="12"/>
      <c r="GNE60" s="12"/>
      <c r="GNF60" s="12"/>
      <c r="GNG60" s="12"/>
      <c r="GNH60" s="12"/>
      <c r="GNI60" s="12"/>
      <c r="GNJ60" s="12"/>
      <c r="GNK60" s="12"/>
      <c r="GNL60" s="12"/>
      <c r="GNM60" s="12"/>
      <c r="GNN60" s="12"/>
      <c r="GNO60" s="12"/>
      <c r="GNP60" s="12"/>
      <c r="GNQ60" s="12"/>
      <c r="GNR60" s="12"/>
      <c r="GNS60" s="12"/>
      <c r="GNT60" s="12"/>
      <c r="GNU60" s="12"/>
      <c r="GNV60" s="12"/>
      <c r="GNW60" s="12"/>
      <c r="GNX60" s="12"/>
      <c r="GNY60" s="12"/>
      <c r="GNZ60" s="12"/>
      <c r="GOA60" s="12"/>
      <c r="GOB60" s="12"/>
      <c r="GOC60" s="12"/>
      <c r="GOD60" s="12"/>
      <c r="GOE60" s="12"/>
      <c r="GOF60" s="12"/>
      <c r="GOG60" s="12"/>
      <c r="GOH60" s="12"/>
      <c r="GOI60" s="12"/>
      <c r="GOJ60" s="12"/>
      <c r="GOK60" s="12"/>
      <c r="GOL60" s="12"/>
      <c r="GOM60" s="12"/>
      <c r="GON60" s="12"/>
      <c r="GOO60" s="12"/>
      <c r="GOP60" s="12"/>
      <c r="GOQ60" s="12"/>
      <c r="GOR60" s="12"/>
      <c r="GOS60" s="12"/>
      <c r="GOT60" s="12"/>
      <c r="GOU60" s="12"/>
      <c r="GOV60" s="12"/>
      <c r="GOW60" s="12"/>
      <c r="GOX60" s="12"/>
      <c r="GOY60" s="12"/>
      <c r="GOZ60" s="12"/>
      <c r="GPA60" s="12"/>
      <c r="GPB60" s="12"/>
      <c r="GPC60" s="12"/>
      <c r="GPD60" s="12"/>
      <c r="GPE60" s="12"/>
      <c r="GPF60" s="12"/>
      <c r="GPG60" s="12"/>
      <c r="GPH60" s="12"/>
      <c r="GPI60" s="12"/>
      <c r="GPJ60" s="12"/>
      <c r="GPK60" s="12"/>
      <c r="GPL60" s="12"/>
      <c r="GPM60" s="12"/>
      <c r="GPN60" s="12"/>
      <c r="GPO60" s="12"/>
      <c r="GPP60" s="12"/>
      <c r="GPQ60" s="12"/>
      <c r="GPR60" s="12"/>
      <c r="GPS60" s="12"/>
      <c r="GPT60" s="12"/>
      <c r="GPU60" s="12"/>
      <c r="GPV60" s="12"/>
      <c r="GPW60" s="12"/>
      <c r="GPX60" s="12"/>
      <c r="GPY60" s="12"/>
      <c r="GPZ60" s="12"/>
      <c r="GQA60" s="12"/>
      <c r="GQB60" s="12"/>
      <c r="GQC60" s="12"/>
      <c r="GQD60" s="12"/>
      <c r="GQE60" s="12"/>
      <c r="GQF60" s="12"/>
      <c r="GQG60" s="12"/>
      <c r="GQH60" s="12"/>
      <c r="GQI60" s="12"/>
      <c r="GQJ60" s="12"/>
      <c r="GQK60" s="12"/>
      <c r="GQL60" s="12"/>
      <c r="GQM60" s="12"/>
      <c r="GQN60" s="12"/>
      <c r="GQO60" s="12"/>
      <c r="GQP60" s="12"/>
      <c r="GQQ60" s="12"/>
      <c r="GQR60" s="12"/>
      <c r="GQS60" s="12"/>
      <c r="GQT60" s="12"/>
      <c r="GQU60" s="12"/>
      <c r="GQV60" s="12"/>
      <c r="GQW60" s="12"/>
      <c r="GQX60" s="12"/>
      <c r="GQY60" s="12"/>
      <c r="GQZ60" s="12"/>
      <c r="GRA60" s="12"/>
      <c r="GRB60" s="12"/>
      <c r="GRC60" s="12"/>
      <c r="GRD60" s="12"/>
      <c r="GRE60" s="12"/>
      <c r="GRF60" s="12"/>
      <c r="GRG60" s="12"/>
      <c r="GRH60" s="12"/>
      <c r="GRI60" s="12"/>
      <c r="GRJ60" s="12"/>
      <c r="GRK60" s="12"/>
      <c r="GRL60" s="12"/>
      <c r="GRM60" s="12"/>
      <c r="GRN60" s="12"/>
      <c r="GRO60" s="12"/>
      <c r="GRP60" s="12"/>
      <c r="GRQ60" s="12"/>
      <c r="GRR60" s="12"/>
      <c r="GRS60" s="12"/>
      <c r="GRT60" s="12"/>
      <c r="GRU60" s="12"/>
      <c r="GRV60" s="12"/>
      <c r="GRW60" s="12"/>
      <c r="GRX60" s="12"/>
      <c r="GRY60" s="12"/>
      <c r="GRZ60" s="12"/>
      <c r="GSA60" s="12"/>
      <c r="GSB60" s="12"/>
      <c r="GSC60" s="12"/>
      <c r="GSD60" s="12"/>
      <c r="GSE60" s="12"/>
      <c r="GSF60" s="12"/>
      <c r="GSG60" s="12"/>
      <c r="GSH60" s="12"/>
      <c r="GSI60" s="12"/>
      <c r="GSJ60" s="12"/>
      <c r="GSK60" s="12"/>
      <c r="GSL60" s="12"/>
      <c r="GSM60" s="12"/>
      <c r="GSN60" s="12"/>
      <c r="GSO60" s="12"/>
      <c r="GSP60" s="12"/>
      <c r="GSQ60" s="12"/>
      <c r="GSR60" s="12"/>
      <c r="GSS60" s="12"/>
      <c r="GST60" s="12"/>
      <c r="GSU60" s="12"/>
      <c r="GSV60" s="12"/>
      <c r="GSW60" s="12"/>
      <c r="GSX60" s="12"/>
      <c r="GSY60" s="12"/>
      <c r="GSZ60" s="12"/>
      <c r="GTA60" s="12"/>
      <c r="GTB60" s="12"/>
      <c r="GTC60" s="12"/>
      <c r="GTD60" s="12"/>
      <c r="GTE60" s="12"/>
      <c r="GTF60" s="12"/>
      <c r="GTG60" s="12"/>
      <c r="GTH60" s="12"/>
      <c r="GTI60" s="12"/>
      <c r="GTJ60" s="12"/>
      <c r="GTK60" s="12"/>
      <c r="GTL60" s="12"/>
      <c r="GTM60" s="12"/>
      <c r="GTN60" s="12"/>
      <c r="GTO60" s="12"/>
      <c r="GTP60" s="12"/>
      <c r="GTQ60" s="12"/>
      <c r="GTR60" s="12"/>
      <c r="GTS60" s="12"/>
      <c r="GTT60" s="12"/>
      <c r="GTU60" s="12"/>
      <c r="GTV60" s="12"/>
      <c r="GTW60" s="12"/>
      <c r="GTX60" s="12"/>
      <c r="GTY60" s="12"/>
      <c r="GTZ60" s="12"/>
      <c r="GUA60" s="12"/>
      <c r="GUB60" s="12"/>
      <c r="GUC60" s="12"/>
      <c r="GUD60" s="12"/>
      <c r="GUE60" s="12"/>
      <c r="GUF60" s="12"/>
      <c r="GUG60" s="12"/>
      <c r="GUH60" s="12"/>
      <c r="GUI60" s="12"/>
      <c r="GUJ60" s="12"/>
      <c r="GUK60" s="12"/>
      <c r="GUL60" s="12"/>
      <c r="GUM60" s="12"/>
      <c r="GUN60" s="12"/>
      <c r="GUO60" s="12"/>
      <c r="GUP60" s="12"/>
      <c r="GUQ60" s="12"/>
      <c r="GUR60" s="12"/>
      <c r="GUS60" s="12"/>
      <c r="GUT60" s="12"/>
      <c r="GUU60" s="12"/>
      <c r="GUV60" s="12"/>
      <c r="GUW60" s="12"/>
      <c r="GUX60" s="12"/>
      <c r="GUY60" s="12"/>
      <c r="GUZ60" s="12"/>
      <c r="GVA60" s="12"/>
      <c r="GVB60" s="12"/>
      <c r="GVC60" s="12"/>
      <c r="GVD60" s="12"/>
      <c r="GVE60" s="12"/>
      <c r="GVF60" s="12"/>
      <c r="GVG60" s="12"/>
      <c r="GVH60" s="12"/>
      <c r="GVI60" s="12"/>
      <c r="GVJ60" s="12"/>
      <c r="GVK60" s="12"/>
      <c r="GVL60" s="12"/>
      <c r="GVM60" s="12"/>
      <c r="GVN60" s="12"/>
      <c r="GVO60" s="12"/>
      <c r="GVP60" s="12"/>
      <c r="GVQ60" s="12"/>
      <c r="GVR60" s="12"/>
      <c r="GVS60" s="12"/>
      <c r="GVT60" s="12"/>
      <c r="GVU60" s="12"/>
      <c r="GVV60" s="12"/>
      <c r="GVW60" s="12"/>
      <c r="GVX60" s="12"/>
      <c r="GVY60" s="12"/>
      <c r="GVZ60" s="12"/>
      <c r="GWA60" s="12"/>
      <c r="GWB60" s="12"/>
      <c r="GWC60" s="12"/>
      <c r="GWD60" s="12"/>
      <c r="GWE60" s="12"/>
      <c r="GWF60" s="12"/>
      <c r="GWG60" s="12"/>
      <c r="GWH60" s="12"/>
      <c r="GWI60" s="12"/>
      <c r="GWJ60" s="12"/>
      <c r="GWK60" s="12"/>
      <c r="GWL60" s="12"/>
      <c r="GWM60" s="12"/>
      <c r="GWN60" s="12"/>
      <c r="GWO60" s="12"/>
      <c r="GWP60" s="12"/>
      <c r="GWQ60" s="12"/>
      <c r="GWR60" s="12"/>
      <c r="GWS60" s="12"/>
      <c r="GWT60" s="12"/>
      <c r="GWU60" s="12"/>
      <c r="GWV60" s="12"/>
      <c r="GWW60" s="12"/>
      <c r="GWX60" s="12"/>
      <c r="GWY60" s="12"/>
      <c r="GWZ60" s="12"/>
      <c r="GXA60" s="12"/>
      <c r="GXB60" s="12"/>
      <c r="GXC60" s="12"/>
      <c r="GXD60" s="12"/>
      <c r="GXE60" s="12"/>
      <c r="GXF60" s="12"/>
      <c r="GXG60" s="12"/>
      <c r="GXH60" s="12"/>
      <c r="GXI60" s="12"/>
      <c r="GXJ60" s="12"/>
      <c r="GXK60" s="12"/>
      <c r="GXL60" s="12"/>
      <c r="GXM60" s="12"/>
      <c r="GXN60" s="12"/>
      <c r="GXO60" s="12"/>
      <c r="GXP60" s="12"/>
      <c r="GXQ60" s="12"/>
      <c r="GXR60" s="12"/>
      <c r="GXS60" s="12"/>
      <c r="GXT60" s="12"/>
      <c r="GXU60" s="12"/>
      <c r="GXV60" s="12"/>
      <c r="GXW60" s="12"/>
      <c r="GXX60" s="12"/>
      <c r="GXY60" s="12"/>
      <c r="GXZ60" s="12"/>
      <c r="GYA60" s="12"/>
      <c r="GYB60" s="12"/>
      <c r="GYC60" s="12"/>
      <c r="GYD60" s="12"/>
      <c r="GYE60" s="12"/>
      <c r="GYF60" s="12"/>
      <c r="GYG60" s="12"/>
      <c r="GYH60" s="12"/>
      <c r="GYI60" s="12"/>
      <c r="GYJ60" s="12"/>
      <c r="GYK60" s="12"/>
      <c r="GYL60" s="12"/>
      <c r="GYM60" s="12"/>
      <c r="GYN60" s="12"/>
      <c r="GYO60" s="12"/>
      <c r="GYP60" s="12"/>
      <c r="GYQ60" s="12"/>
      <c r="GYR60" s="12"/>
      <c r="GYS60" s="12"/>
      <c r="GYT60" s="12"/>
      <c r="GYU60" s="12"/>
      <c r="GYV60" s="12"/>
      <c r="GYW60" s="12"/>
      <c r="GYX60" s="12"/>
      <c r="GYY60" s="12"/>
      <c r="GYZ60" s="12"/>
      <c r="GZA60" s="12"/>
      <c r="GZB60" s="12"/>
      <c r="GZC60" s="12"/>
      <c r="GZD60" s="12"/>
      <c r="GZE60" s="12"/>
      <c r="GZF60" s="12"/>
      <c r="GZG60" s="12"/>
      <c r="GZH60" s="12"/>
      <c r="GZI60" s="12"/>
      <c r="GZJ60" s="12"/>
      <c r="GZK60" s="12"/>
      <c r="GZL60" s="12"/>
      <c r="GZM60" s="12"/>
      <c r="GZN60" s="12"/>
      <c r="GZO60" s="12"/>
      <c r="GZP60" s="12"/>
      <c r="GZQ60" s="12"/>
      <c r="GZR60" s="12"/>
      <c r="GZS60" s="12"/>
      <c r="GZT60" s="12"/>
      <c r="GZU60" s="12"/>
      <c r="GZV60" s="12"/>
      <c r="GZW60" s="12"/>
      <c r="GZX60" s="12"/>
      <c r="GZY60" s="12"/>
      <c r="GZZ60" s="12"/>
      <c r="HAA60" s="12"/>
      <c r="HAB60" s="12"/>
      <c r="HAC60" s="12"/>
      <c r="HAD60" s="12"/>
      <c r="HAE60" s="12"/>
      <c r="HAF60" s="12"/>
      <c r="HAG60" s="12"/>
      <c r="HAH60" s="12"/>
      <c r="HAI60" s="12"/>
      <c r="HAJ60" s="12"/>
      <c r="HAK60" s="12"/>
      <c r="HAL60" s="12"/>
      <c r="HAM60" s="12"/>
      <c r="HAN60" s="12"/>
      <c r="HAO60" s="12"/>
      <c r="HAP60" s="12"/>
      <c r="HAQ60" s="12"/>
      <c r="HAR60" s="12"/>
      <c r="HAS60" s="12"/>
      <c r="HAT60" s="12"/>
      <c r="HAU60" s="12"/>
      <c r="HAV60" s="12"/>
      <c r="HAW60" s="12"/>
      <c r="HAX60" s="12"/>
      <c r="HAY60" s="12"/>
      <c r="HAZ60" s="12"/>
      <c r="HBA60" s="12"/>
      <c r="HBB60" s="12"/>
      <c r="HBC60" s="12"/>
      <c r="HBD60" s="12"/>
      <c r="HBE60" s="12"/>
      <c r="HBF60" s="12"/>
      <c r="HBG60" s="12"/>
      <c r="HBH60" s="12"/>
      <c r="HBI60" s="12"/>
      <c r="HBJ60" s="12"/>
      <c r="HBK60" s="12"/>
      <c r="HBL60" s="12"/>
      <c r="HBM60" s="12"/>
      <c r="HBN60" s="12"/>
      <c r="HBO60" s="12"/>
      <c r="HBP60" s="12"/>
      <c r="HBQ60" s="12"/>
      <c r="HBR60" s="12"/>
      <c r="HBS60" s="12"/>
      <c r="HBT60" s="12"/>
      <c r="HBU60" s="12"/>
      <c r="HBV60" s="12"/>
      <c r="HBW60" s="12"/>
      <c r="HBX60" s="12"/>
      <c r="HBY60" s="12"/>
      <c r="HBZ60" s="12"/>
      <c r="HCA60" s="12"/>
      <c r="HCB60" s="12"/>
      <c r="HCC60" s="12"/>
      <c r="HCD60" s="12"/>
      <c r="HCE60" s="12"/>
      <c r="HCF60" s="12"/>
      <c r="HCG60" s="12"/>
      <c r="HCH60" s="12"/>
      <c r="HCI60" s="12"/>
      <c r="HCJ60" s="12"/>
      <c r="HCK60" s="12"/>
      <c r="HCL60" s="12"/>
      <c r="HCM60" s="12"/>
      <c r="HCN60" s="12"/>
      <c r="HCO60" s="12"/>
      <c r="HCP60" s="12"/>
      <c r="HCQ60" s="12"/>
      <c r="HCR60" s="12"/>
      <c r="HCS60" s="12"/>
      <c r="HCT60" s="12"/>
      <c r="HCU60" s="12"/>
      <c r="HCV60" s="12"/>
      <c r="HCW60" s="12"/>
      <c r="HCX60" s="12"/>
      <c r="HCY60" s="12"/>
      <c r="HCZ60" s="12"/>
      <c r="HDA60" s="12"/>
      <c r="HDB60" s="12"/>
      <c r="HDC60" s="12"/>
      <c r="HDD60" s="12"/>
      <c r="HDE60" s="12"/>
      <c r="HDF60" s="12"/>
      <c r="HDG60" s="12"/>
      <c r="HDH60" s="12"/>
      <c r="HDI60" s="12"/>
      <c r="HDJ60" s="12"/>
      <c r="HDK60" s="12"/>
      <c r="HDL60" s="12"/>
      <c r="HDM60" s="12"/>
      <c r="HDN60" s="12"/>
      <c r="HDO60" s="12"/>
      <c r="HDP60" s="12"/>
      <c r="HDQ60" s="12"/>
      <c r="HDR60" s="12"/>
      <c r="HDS60" s="12"/>
      <c r="HDT60" s="12"/>
      <c r="HDU60" s="12"/>
      <c r="HDV60" s="12"/>
      <c r="HDW60" s="12"/>
      <c r="HDX60" s="12"/>
      <c r="HDY60" s="12"/>
      <c r="HDZ60" s="12"/>
      <c r="HEA60" s="12"/>
      <c r="HEB60" s="12"/>
      <c r="HEC60" s="12"/>
      <c r="HED60" s="12"/>
      <c r="HEE60" s="12"/>
      <c r="HEF60" s="12"/>
      <c r="HEG60" s="12"/>
      <c r="HEH60" s="12"/>
      <c r="HEI60" s="12"/>
      <c r="HEJ60" s="12"/>
      <c r="HEK60" s="12"/>
      <c r="HEL60" s="12"/>
      <c r="HEM60" s="12"/>
      <c r="HEN60" s="12"/>
      <c r="HEO60" s="12"/>
      <c r="HEP60" s="12"/>
      <c r="HEQ60" s="12"/>
      <c r="HER60" s="12"/>
      <c r="HES60" s="12"/>
      <c r="HET60" s="12"/>
      <c r="HEU60" s="12"/>
      <c r="HEV60" s="12"/>
      <c r="HEW60" s="12"/>
      <c r="HEX60" s="12"/>
      <c r="HEY60" s="12"/>
      <c r="HEZ60" s="12"/>
      <c r="HFA60" s="12"/>
      <c r="HFB60" s="12"/>
      <c r="HFC60" s="12"/>
      <c r="HFD60" s="12"/>
      <c r="HFE60" s="12"/>
      <c r="HFF60" s="12"/>
      <c r="HFG60" s="12"/>
      <c r="HFH60" s="12"/>
      <c r="HFI60" s="12"/>
      <c r="HFJ60" s="12"/>
      <c r="HFK60" s="12"/>
      <c r="HFL60" s="12"/>
      <c r="HFM60" s="12"/>
      <c r="HFN60" s="12"/>
      <c r="HFO60" s="12"/>
      <c r="HFP60" s="12"/>
      <c r="HFQ60" s="12"/>
      <c r="HFR60" s="12"/>
      <c r="HFS60" s="12"/>
      <c r="HFT60" s="12"/>
      <c r="HFU60" s="12"/>
      <c r="HFV60" s="12"/>
      <c r="HFW60" s="12"/>
      <c r="HFX60" s="12"/>
      <c r="HFY60" s="12"/>
      <c r="HFZ60" s="12"/>
      <c r="HGA60" s="12"/>
      <c r="HGB60" s="12"/>
      <c r="HGC60" s="12"/>
      <c r="HGD60" s="12"/>
      <c r="HGE60" s="12"/>
      <c r="HGF60" s="12"/>
      <c r="HGG60" s="12"/>
      <c r="HGH60" s="12"/>
      <c r="HGI60" s="12"/>
      <c r="HGJ60" s="12"/>
      <c r="HGK60" s="12"/>
      <c r="HGL60" s="12"/>
      <c r="HGM60" s="12"/>
      <c r="HGN60" s="12"/>
      <c r="HGO60" s="12"/>
      <c r="HGP60" s="12"/>
      <c r="HGQ60" s="12"/>
      <c r="HGR60" s="12"/>
      <c r="HGS60" s="12"/>
      <c r="HGT60" s="12"/>
      <c r="HGU60" s="12"/>
      <c r="HGV60" s="12"/>
      <c r="HGW60" s="12"/>
      <c r="HGX60" s="12"/>
      <c r="HGY60" s="12"/>
      <c r="HGZ60" s="12"/>
      <c r="HHA60" s="12"/>
      <c r="HHB60" s="12"/>
      <c r="HHC60" s="12"/>
      <c r="HHD60" s="12"/>
      <c r="HHE60" s="12"/>
      <c r="HHF60" s="12"/>
      <c r="HHG60" s="12"/>
      <c r="HHH60" s="12"/>
      <c r="HHI60" s="12"/>
      <c r="HHJ60" s="12"/>
      <c r="HHK60" s="12"/>
      <c r="HHL60" s="12"/>
      <c r="HHM60" s="12"/>
      <c r="HHN60" s="12"/>
      <c r="HHO60" s="12"/>
      <c r="HHP60" s="12"/>
      <c r="HHQ60" s="12"/>
      <c r="HHR60" s="12"/>
      <c r="HHS60" s="12"/>
      <c r="HHT60" s="12"/>
      <c r="HHU60" s="12"/>
      <c r="HHV60" s="12"/>
      <c r="HHW60" s="12"/>
      <c r="HHX60" s="12"/>
      <c r="HHY60" s="12"/>
      <c r="HHZ60" s="12"/>
      <c r="HIA60" s="12"/>
      <c r="HIB60" s="12"/>
      <c r="HIC60" s="12"/>
      <c r="HID60" s="12"/>
      <c r="HIE60" s="12"/>
      <c r="HIF60" s="12"/>
      <c r="HIG60" s="12"/>
      <c r="HIH60" s="12"/>
      <c r="HII60" s="12"/>
      <c r="HIJ60" s="12"/>
      <c r="HIK60" s="12"/>
      <c r="HIL60" s="12"/>
      <c r="HIM60" s="12"/>
      <c r="HIN60" s="12"/>
      <c r="HIO60" s="12"/>
      <c r="HIP60" s="12"/>
      <c r="HIQ60" s="12"/>
      <c r="HIR60" s="12"/>
      <c r="HIS60" s="12"/>
      <c r="HIT60" s="12"/>
      <c r="HIU60" s="12"/>
      <c r="HIV60" s="12"/>
      <c r="HIW60" s="12"/>
      <c r="HIX60" s="12"/>
      <c r="HIY60" s="12"/>
      <c r="HIZ60" s="12"/>
      <c r="HJA60" s="12"/>
      <c r="HJB60" s="12"/>
      <c r="HJC60" s="12"/>
      <c r="HJD60" s="12"/>
      <c r="HJE60" s="12"/>
      <c r="HJF60" s="12"/>
      <c r="HJG60" s="12"/>
      <c r="HJH60" s="12"/>
      <c r="HJI60" s="12"/>
      <c r="HJJ60" s="12"/>
      <c r="HJK60" s="12"/>
      <c r="HJL60" s="12"/>
      <c r="HJM60" s="12"/>
      <c r="HJN60" s="12"/>
      <c r="HJO60" s="12"/>
      <c r="HJP60" s="12"/>
      <c r="HJQ60" s="12"/>
      <c r="HJR60" s="12"/>
      <c r="HJS60" s="12"/>
      <c r="HJT60" s="12"/>
      <c r="HJU60" s="12"/>
      <c r="HJV60" s="12"/>
      <c r="HJW60" s="12"/>
      <c r="HJX60" s="12"/>
      <c r="HJY60" s="12"/>
      <c r="HJZ60" s="12"/>
      <c r="HKA60" s="12"/>
      <c r="HKB60" s="12"/>
      <c r="HKC60" s="12"/>
      <c r="HKD60" s="12"/>
      <c r="HKE60" s="12"/>
      <c r="HKF60" s="12"/>
      <c r="HKG60" s="12"/>
      <c r="HKH60" s="12"/>
      <c r="HKI60" s="12"/>
      <c r="HKJ60" s="12"/>
      <c r="HKK60" s="12"/>
      <c r="HKL60" s="12"/>
      <c r="HKM60" s="12"/>
      <c r="HKN60" s="12"/>
      <c r="HKO60" s="12"/>
      <c r="HKP60" s="12"/>
      <c r="HKQ60" s="12"/>
      <c r="HKR60" s="12"/>
      <c r="HKS60" s="12"/>
      <c r="HKT60" s="12"/>
      <c r="HKU60" s="12"/>
      <c r="HKV60" s="12"/>
      <c r="HKW60" s="12"/>
      <c r="HKX60" s="12"/>
      <c r="HKY60" s="12"/>
      <c r="HKZ60" s="12"/>
      <c r="HLA60" s="12"/>
      <c r="HLB60" s="12"/>
      <c r="HLC60" s="12"/>
      <c r="HLD60" s="12"/>
      <c r="HLE60" s="12"/>
      <c r="HLF60" s="12"/>
      <c r="HLG60" s="12"/>
      <c r="HLH60" s="12"/>
      <c r="HLI60" s="12"/>
      <c r="HLJ60" s="12"/>
      <c r="HLK60" s="12"/>
      <c r="HLL60" s="12"/>
      <c r="HLM60" s="12"/>
      <c r="HLN60" s="12"/>
      <c r="HLO60" s="12"/>
      <c r="HLP60" s="12"/>
      <c r="HLQ60" s="12"/>
      <c r="HLR60" s="12"/>
      <c r="HLS60" s="12"/>
      <c r="HLT60" s="12"/>
      <c r="HLU60" s="12"/>
      <c r="HLV60" s="12"/>
      <c r="HLW60" s="12"/>
      <c r="HLX60" s="12"/>
      <c r="HLY60" s="12"/>
      <c r="HLZ60" s="12"/>
      <c r="HMA60" s="12"/>
      <c r="HMB60" s="12"/>
      <c r="HMC60" s="12"/>
      <c r="HMD60" s="12"/>
      <c r="HME60" s="12"/>
      <c r="HMF60" s="12"/>
      <c r="HMG60" s="12"/>
      <c r="HMH60" s="12"/>
      <c r="HMI60" s="12"/>
      <c r="HMJ60" s="12"/>
      <c r="HMK60" s="12"/>
      <c r="HML60" s="12"/>
      <c r="HMM60" s="12"/>
      <c r="HMN60" s="12"/>
      <c r="HMO60" s="12"/>
      <c r="HMP60" s="12"/>
      <c r="HMQ60" s="12"/>
      <c r="HMR60" s="12"/>
      <c r="HMS60" s="12"/>
      <c r="HMT60" s="12"/>
      <c r="HMU60" s="12"/>
      <c r="HMV60" s="12"/>
      <c r="HMW60" s="12"/>
      <c r="HMX60" s="12"/>
      <c r="HMY60" s="12"/>
      <c r="HMZ60" s="12"/>
      <c r="HNA60" s="12"/>
      <c r="HNB60" s="12"/>
      <c r="HNC60" s="12"/>
      <c r="HND60" s="12"/>
      <c r="HNE60" s="12"/>
      <c r="HNF60" s="12"/>
      <c r="HNG60" s="12"/>
      <c r="HNH60" s="12"/>
      <c r="HNI60" s="12"/>
      <c r="HNJ60" s="12"/>
      <c r="HNK60" s="12"/>
      <c r="HNL60" s="12"/>
      <c r="HNM60" s="12"/>
      <c r="HNN60" s="12"/>
      <c r="HNO60" s="12"/>
      <c r="HNP60" s="12"/>
      <c r="HNQ60" s="12"/>
      <c r="HNR60" s="12"/>
      <c r="HNS60" s="12"/>
      <c r="HNT60" s="12"/>
      <c r="HNU60" s="12"/>
      <c r="HNV60" s="12"/>
      <c r="HNW60" s="12"/>
      <c r="HNX60" s="12"/>
      <c r="HNY60" s="12"/>
      <c r="HNZ60" s="12"/>
      <c r="HOA60" s="12"/>
      <c r="HOB60" s="12"/>
      <c r="HOC60" s="12"/>
      <c r="HOD60" s="12"/>
      <c r="HOE60" s="12"/>
      <c r="HOF60" s="12"/>
      <c r="HOG60" s="12"/>
      <c r="HOH60" s="12"/>
      <c r="HOI60" s="12"/>
      <c r="HOJ60" s="12"/>
      <c r="HOK60" s="12"/>
      <c r="HOL60" s="12"/>
      <c r="HOM60" s="12"/>
      <c r="HON60" s="12"/>
      <c r="HOO60" s="12"/>
      <c r="HOP60" s="12"/>
      <c r="HOQ60" s="12"/>
      <c r="HOR60" s="12"/>
      <c r="HOS60" s="12"/>
      <c r="HOT60" s="12"/>
      <c r="HOU60" s="12"/>
      <c r="HOV60" s="12"/>
      <c r="HOW60" s="12"/>
      <c r="HOX60" s="12"/>
      <c r="HOY60" s="12"/>
      <c r="HOZ60" s="12"/>
      <c r="HPA60" s="12"/>
      <c r="HPB60" s="12"/>
      <c r="HPC60" s="12"/>
      <c r="HPD60" s="12"/>
      <c r="HPE60" s="12"/>
      <c r="HPF60" s="12"/>
      <c r="HPG60" s="12"/>
      <c r="HPH60" s="12"/>
      <c r="HPI60" s="12"/>
      <c r="HPJ60" s="12"/>
      <c r="HPK60" s="12"/>
      <c r="HPL60" s="12"/>
      <c r="HPM60" s="12"/>
      <c r="HPN60" s="12"/>
      <c r="HPO60" s="12"/>
      <c r="HPP60" s="12"/>
      <c r="HPQ60" s="12"/>
      <c r="HPR60" s="12"/>
      <c r="HPS60" s="12"/>
      <c r="HPT60" s="12"/>
      <c r="HPU60" s="12"/>
      <c r="HPV60" s="12"/>
      <c r="HPW60" s="12"/>
      <c r="HPX60" s="12"/>
      <c r="HPY60" s="12"/>
      <c r="HPZ60" s="12"/>
      <c r="HQA60" s="12"/>
      <c r="HQB60" s="12"/>
      <c r="HQC60" s="12"/>
      <c r="HQD60" s="12"/>
      <c r="HQE60" s="12"/>
      <c r="HQF60" s="12"/>
      <c r="HQG60" s="12"/>
      <c r="HQH60" s="12"/>
      <c r="HQI60" s="12"/>
      <c r="HQJ60" s="12"/>
      <c r="HQK60" s="12"/>
      <c r="HQL60" s="12"/>
      <c r="HQM60" s="12"/>
      <c r="HQN60" s="12"/>
      <c r="HQO60" s="12"/>
      <c r="HQP60" s="12"/>
      <c r="HQQ60" s="12"/>
      <c r="HQR60" s="12"/>
      <c r="HQS60" s="12"/>
      <c r="HQT60" s="12"/>
      <c r="HQU60" s="12"/>
      <c r="HQV60" s="12"/>
      <c r="HQW60" s="12"/>
      <c r="HQX60" s="12"/>
      <c r="HQY60" s="12"/>
      <c r="HQZ60" s="12"/>
      <c r="HRA60" s="12"/>
      <c r="HRB60" s="12"/>
      <c r="HRC60" s="12"/>
      <c r="HRD60" s="12"/>
      <c r="HRE60" s="12"/>
      <c r="HRF60" s="12"/>
      <c r="HRG60" s="12"/>
      <c r="HRH60" s="12"/>
      <c r="HRI60" s="12"/>
      <c r="HRJ60" s="12"/>
      <c r="HRK60" s="12"/>
      <c r="HRL60" s="12"/>
      <c r="HRM60" s="12"/>
      <c r="HRN60" s="12"/>
      <c r="HRO60" s="12"/>
      <c r="HRP60" s="12"/>
      <c r="HRQ60" s="12"/>
      <c r="HRR60" s="12"/>
      <c r="HRS60" s="12"/>
      <c r="HRT60" s="12"/>
      <c r="HRU60" s="12"/>
      <c r="HRV60" s="12"/>
      <c r="HRW60" s="12"/>
      <c r="HRX60" s="12"/>
      <c r="HRY60" s="12"/>
      <c r="HRZ60" s="12"/>
      <c r="HSA60" s="12"/>
      <c r="HSB60" s="12"/>
      <c r="HSC60" s="12"/>
      <c r="HSD60" s="12"/>
      <c r="HSE60" s="12"/>
      <c r="HSF60" s="12"/>
      <c r="HSG60" s="12"/>
      <c r="HSH60" s="12"/>
      <c r="HSI60" s="12"/>
      <c r="HSJ60" s="12"/>
      <c r="HSK60" s="12"/>
      <c r="HSL60" s="12"/>
      <c r="HSM60" s="12"/>
      <c r="HSN60" s="12"/>
      <c r="HSO60" s="12"/>
      <c r="HSP60" s="12"/>
      <c r="HSQ60" s="12"/>
      <c r="HSR60" s="12"/>
      <c r="HSS60" s="12"/>
      <c r="HST60" s="12"/>
      <c r="HSU60" s="12"/>
      <c r="HSV60" s="12"/>
      <c r="HSW60" s="12"/>
      <c r="HSX60" s="12"/>
      <c r="HSY60" s="12"/>
      <c r="HSZ60" s="12"/>
      <c r="HTA60" s="12"/>
      <c r="HTB60" s="12"/>
      <c r="HTC60" s="12"/>
      <c r="HTD60" s="12"/>
      <c r="HTE60" s="12"/>
      <c r="HTF60" s="12"/>
      <c r="HTG60" s="12"/>
      <c r="HTH60" s="12"/>
      <c r="HTI60" s="12"/>
      <c r="HTJ60" s="12"/>
      <c r="HTK60" s="12"/>
      <c r="HTL60" s="12"/>
      <c r="HTM60" s="12"/>
      <c r="HTN60" s="12"/>
      <c r="HTO60" s="12"/>
      <c r="HTP60" s="12"/>
      <c r="HTQ60" s="12"/>
      <c r="HTR60" s="12"/>
      <c r="HTS60" s="12"/>
      <c r="HTT60" s="12"/>
      <c r="HTU60" s="12"/>
      <c r="HTV60" s="12"/>
      <c r="HTW60" s="12"/>
      <c r="HTX60" s="12"/>
      <c r="HTY60" s="12"/>
      <c r="HTZ60" s="12"/>
      <c r="HUA60" s="12"/>
      <c r="HUB60" s="12"/>
      <c r="HUC60" s="12"/>
      <c r="HUD60" s="12"/>
      <c r="HUE60" s="12"/>
      <c r="HUF60" s="12"/>
      <c r="HUG60" s="12"/>
      <c r="HUH60" s="12"/>
      <c r="HUI60" s="12"/>
      <c r="HUJ60" s="12"/>
      <c r="HUK60" s="12"/>
      <c r="HUL60" s="12"/>
      <c r="HUM60" s="12"/>
      <c r="HUN60" s="12"/>
      <c r="HUO60" s="12"/>
      <c r="HUP60" s="12"/>
      <c r="HUQ60" s="12"/>
      <c r="HUR60" s="12"/>
      <c r="HUS60" s="12"/>
      <c r="HUT60" s="12"/>
      <c r="HUU60" s="12"/>
      <c r="HUV60" s="12"/>
      <c r="HUW60" s="12"/>
      <c r="HUX60" s="12"/>
      <c r="HUY60" s="12"/>
      <c r="HUZ60" s="12"/>
      <c r="HVA60" s="12"/>
      <c r="HVB60" s="12"/>
      <c r="HVC60" s="12"/>
      <c r="HVD60" s="12"/>
      <c r="HVE60" s="12"/>
      <c r="HVF60" s="12"/>
      <c r="HVG60" s="12"/>
      <c r="HVH60" s="12"/>
      <c r="HVI60" s="12"/>
      <c r="HVJ60" s="12"/>
      <c r="HVK60" s="12"/>
      <c r="HVL60" s="12"/>
      <c r="HVM60" s="12"/>
      <c r="HVN60" s="12"/>
      <c r="HVO60" s="12"/>
      <c r="HVP60" s="12"/>
      <c r="HVQ60" s="12"/>
      <c r="HVR60" s="12"/>
      <c r="HVS60" s="12"/>
      <c r="HVT60" s="12"/>
      <c r="HVU60" s="12"/>
      <c r="HVV60" s="12"/>
      <c r="HVW60" s="12"/>
      <c r="HVX60" s="12"/>
      <c r="HVY60" s="12"/>
      <c r="HVZ60" s="12"/>
      <c r="HWA60" s="12"/>
      <c r="HWB60" s="12"/>
      <c r="HWC60" s="12"/>
      <c r="HWD60" s="12"/>
      <c r="HWE60" s="12"/>
      <c r="HWF60" s="12"/>
      <c r="HWG60" s="12"/>
      <c r="HWH60" s="12"/>
      <c r="HWI60" s="12"/>
      <c r="HWJ60" s="12"/>
      <c r="HWK60" s="12"/>
      <c r="HWL60" s="12"/>
      <c r="HWM60" s="12"/>
      <c r="HWN60" s="12"/>
      <c r="HWO60" s="12"/>
      <c r="HWP60" s="12"/>
      <c r="HWQ60" s="12"/>
      <c r="HWR60" s="12"/>
      <c r="HWS60" s="12"/>
      <c r="HWT60" s="12"/>
      <c r="HWU60" s="12"/>
      <c r="HWV60" s="12"/>
      <c r="HWW60" s="12"/>
      <c r="HWX60" s="12"/>
      <c r="HWY60" s="12"/>
      <c r="HWZ60" s="12"/>
      <c r="HXA60" s="12"/>
      <c r="HXB60" s="12"/>
      <c r="HXC60" s="12"/>
      <c r="HXD60" s="12"/>
      <c r="HXE60" s="12"/>
      <c r="HXF60" s="12"/>
      <c r="HXG60" s="12"/>
      <c r="HXH60" s="12"/>
      <c r="HXI60" s="12"/>
      <c r="HXJ60" s="12"/>
      <c r="HXK60" s="12"/>
      <c r="HXL60" s="12"/>
      <c r="HXM60" s="12"/>
      <c r="HXN60" s="12"/>
      <c r="HXO60" s="12"/>
      <c r="HXP60" s="12"/>
      <c r="HXQ60" s="12"/>
      <c r="HXR60" s="12"/>
      <c r="HXS60" s="12"/>
      <c r="HXT60" s="12"/>
      <c r="HXU60" s="12"/>
      <c r="HXV60" s="12"/>
      <c r="HXW60" s="12"/>
      <c r="HXX60" s="12"/>
      <c r="HXY60" s="12"/>
      <c r="HXZ60" s="12"/>
      <c r="HYA60" s="12"/>
      <c r="HYB60" s="12"/>
      <c r="HYC60" s="12"/>
      <c r="HYD60" s="12"/>
      <c r="HYE60" s="12"/>
      <c r="HYF60" s="12"/>
      <c r="HYG60" s="12"/>
      <c r="HYH60" s="12"/>
      <c r="HYI60" s="12"/>
      <c r="HYJ60" s="12"/>
      <c r="HYK60" s="12"/>
      <c r="HYL60" s="12"/>
      <c r="HYM60" s="12"/>
      <c r="HYN60" s="12"/>
      <c r="HYO60" s="12"/>
      <c r="HYP60" s="12"/>
      <c r="HYQ60" s="12"/>
      <c r="HYR60" s="12"/>
      <c r="HYS60" s="12"/>
      <c r="HYT60" s="12"/>
      <c r="HYU60" s="12"/>
      <c r="HYV60" s="12"/>
      <c r="HYW60" s="12"/>
      <c r="HYX60" s="12"/>
      <c r="HYY60" s="12"/>
      <c r="HYZ60" s="12"/>
      <c r="HZA60" s="12"/>
      <c r="HZB60" s="12"/>
      <c r="HZC60" s="12"/>
      <c r="HZD60" s="12"/>
      <c r="HZE60" s="12"/>
      <c r="HZF60" s="12"/>
      <c r="HZG60" s="12"/>
      <c r="HZH60" s="12"/>
      <c r="HZI60" s="12"/>
      <c r="HZJ60" s="12"/>
      <c r="HZK60" s="12"/>
      <c r="HZL60" s="12"/>
      <c r="HZM60" s="12"/>
      <c r="HZN60" s="12"/>
      <c r="HZO60" s="12"/>
      <c r="HZP60" s="12"/>
      <c r="HZQ60" s="12"/>
      <c r="HZR60" s="12"/>
      <c r="HZS60" s="12"/>
      <c r="HZT60" s="12"/>
      <c r="HZU60" s="12"/>
      <c r="HZV60" s="12"/>
      <c r="HZW60" s="12"/>
      <c r="HZX60" s="12"/>
      <c r="HZY60" s="12"/>
      <c r="HZZ60" s="12"/>
      <c r="IAA60" s="12"/>
      <c r="IAB60" s="12"/>
      <c r="IAC60" s="12"/>
      <c r="IAD60" s="12"/>
      <c r="IAE60" s="12"/>
      <c r="IAF60" s="12"/>
      <c r="IAG60" s="12"/>
      <c r="IAH60" s="12"/>
      <c r="IAI60" s="12"/>
      <c r="IAJ60" s="12"/>
      <c r="IAK60" s="12"/>
      <c r="IAL60" s="12"/>
      <c r="IAM60" s="12"/>
      <c r="IAN60" s="12"/>
      <c r="IAO60" s="12"/>
      <c r="IAP60" s="12"/>
      <c r="IAQ60" s="12"/>
      <c r="IAR60" s="12"/>
      <c r="IAS60" s="12"/>
      <c r="IAT60" s="12"/>
      <c r="IAU60" s="12"/>
      <c r="IAV60" s="12"/>
      <c r="IAW60" s="12"/>
      <c r="IAX60" s="12"/>
      <c r="IAY60" s="12"/>
      <c r="IAZ60" s="12"/>
      <c r="IBA60" s="12"/>
      <c r="IBB60" s="12"/>
      <c r="IBC60" s="12"/>
      <c r="IBD60" s="12"/>
      <c r="IBE60" s="12"/>
      <c r="IBF60" s="12"/>
      <c r="IBG60" s="12"/>
      <c r="IBH60" s="12"/>
      <c r="IBI60" s="12"/>
      <c r="IBJ60" s="12"/>
      <c r="IBK60" s="12"/>
      <c r="IBL60" s="12"/>
      <c r="IBM60" s="12"/>
      <c r="IBN60" s="12"/>
      <c r="IBO60" s="12"/>
      <c r="IBP60" s="12"/>
      <c r="IBQ60" s="12"/>
      <c r="IBR60" s="12"/>
      <c r="IBS60" s="12"/>
      <c r="IBT60" s="12"/>
      <c r="IBU60" s="12"/>
      <c r="IBV60" s="12"/>
      <c r="IBW60" s="12"/>
      <c r="IBX60" s="12"/>
      <c r="IBY60" s="12"/>
      <c r="IBZ60" s="12"/>
      <c r="ICA60" s="12"/>
      <c r="ICB60" s="12"/>
      <c r="ICC60" s="12"/>
      <c r="ICD60" s="12"/>
      <c r="ICE60" s="12"/>
      <c r="ICF60" s="12"/>
      <c r="ICG60" s="12"/>
      <c r="ICH60" s="12"/>
      <c r="ICI60" s="12"/>
      <c r="ICJ60" s="12"/>
      <c r="ICK60" s="12"/>
      <c r="ICL60" s="12"/>
      <c r="ICM60" s="12"/>
      <c r="ICN60" s="12"/>
      <c r="ICO60" s="12"/>
      <c r="ICP60" s="12"/>
      <c r="ICQ60" s="12"/>
      <c r="ICR60" s="12"/>
      <c r="ICS60" s="12"/>
      <c r="ICT60" s="12"/>
      <c r="ICU60" s="12"/>
      <c r="ICV60" s="12"/>
      <c r="ICW60" s="12"/>
      <c r="ICX60" s="12"/>
      <c r="ICY60" s="12"/>
      <c r="ICZ60" s="12"/>
      <c r="IDA60" s="12"/>
      <c r="IDB60" s="12"/>
      <c r="IDC60" s="12"/>
      <c r="IDD60" s="12"/>
      <c r="IDE60" s="12"/>
      <c r="IDF60" s="12"/>
      <c r="IDG60" s="12"/>
      <c r="IDH60" s="12"/>
      <c r="IDI60" s="12"/>
      <c r="IDJ60" s="12"/>
      <c r="IDK60" s="12"/>
      <c r="IDL60" s="12"/>
      <c r="IDM60" s="12"/>
      <c r="IDN60" s="12"/>
      <c r="IDO60" s="12"/>
      <c r="IDP60" s="12"/>
      <c r="IDQ60" s="12"/>
      <c r="IDR60" s="12"/>
      <c r="IDS60" s="12"/>
      <c r="IDT60" s="12"/>
      <c r="IDU60" s="12"/>
      <c r="IDV60" s="12"/>
      <c r="IDW60" s="12"/>
      <c r="IDX60" s="12"/>
      <c r="IDY60" s="12"/>
      <c r="IDZ60" s="12"/>
      <c r="IEA60" s="12"/>
      <c r="IEB60" s="12"/>
      <c r="IEC60" s="12"/>
      <c r="IED60" s="12"/>
      <c r="IEE60" s="12"/>
      <c r="IEF60" s="12"/>
      <c r="IEG60" s="12"/>
      <c r="IEH60" s="12"/>
      <c r="IEI60" s="12"/>
      <c r="IEJ60" s="12"/>
      <c r="IEK60" s="12"/>
      <c r="IEL60" s="12"/>
      <c r="IEM60" s="12"/>
      <c r="IEN60" s="12"/>
      <c r="IEO60" s="12"/>
      <c r="IEP60" s="12"/>
      <c r="IEQ60" s="12"/>
      <c r="IER60" s="12"/>
      <c r="IES60" s="12"/>
      <c r="IET60" s="12"/>
      <c r="IEU60" s="12"/>
      <c r="IEV60" s="12"/>
      <c r="IEW60" s="12"/>
      <c r="IEX60" s="12"/>
      <c r="IEY60" s="12"/>
      <c r="IEZ60" s="12"/>
      <c r="IFA60" s="12"/>
      <c r="IFB60" s="12"/>
      <c r="IFC60" s="12"/>
      <c r="IFD60" s="12"/>
      <c r="IFE60" s="12"/>
      <c r="IFF60" s="12"/>
      <c r="IFG60" s="12"/>
      <c r="IFH60" s="12"/>
      <c r="IFI60" s="12"/>
      <c r="IFJ60" s="12"/>
      <c r="IFK60" s="12"/>
      <c r="IFL60" s="12"/>
      <c r="IFM60" s="12"/>
      <c r="IFN60" s="12"/>
      <c r="IFO60" s="12"/>
      <c r="IFP60" s="12"/>
      <c r="IFQ60" s="12"/>
      <c r="IFR60" s="12"/>
      <c r="IFS60" s="12"/>
      <c r="IFT60" s="12"/>
      <c r="IFU60" s="12"/>
      <c r="IFV60" s="12"/>
      <c r="IFW60" s="12"/>
      <c r="IFX60" s="12"/>
      <c r="IFY60" s="12"/>
      <c r="IFZ60" s="12"/>
      <c r="IGA60" s="12"/>
      <c r="IGB60" s="12"/>
      <c r="IGC60" s="12"/>
      <c r="IGD60" s="12"/>
      <c r="IGE60" s="12"/>
      <c r="IGF60" s="12"/>
      <c r="IGG60" s="12"/>
      <c r="IGH60" s="12"/>
      <c r="IGI60" s="12"/>
      <c r="IGJ60" s="12"/>
      <c r="IGK60" s="12"/>
      <c r="IGL60" s="12"/>
      <c r="IGM60" s="12"/>
      <c r="IGN60" s="12"/>
      <c r="IGO60" s="12"/>
      <c r="IGP60" s="12"/>
      <c r="IGQ60" s="12"/>
      <c r="IGR60" s="12"/>
      <c r="IGS60" s="12"/>
      <c r="IGT60" s="12"/>
      <c r="IGU60" s="12"/>
      <c r="IGV60" s="12"/>
      <c r="IGW60" s="12"/>
      <c r="IGX60" s="12"/>
      <c r="IGY60" s="12"/>
      <c r="IGZ60" s="12"/>
      <c r="IHA60" s="12"/>
      <c r="IHB60" s="12"/>
      <c r="IHC60" s="12"/>
      <c r="IHD60" s="12"/>
      <c r="IHE60" s="12"/>
      <c r="IHF60" s="12"/>
      <c r="IHG60" s="12"/>
      <c r="IHH60" s="12"/>
      <c r="IHI60" s="12"/>
      <c r="IHJ60" s="12"/>
      <c r="IHK60" s="12"/>
      <c r="IHL60" s="12"/>
      <c r="IHM60" s="12"/>
      <c r="IHN60" s="12"/>
      <c r="IHO60" s="12"/>
      <c r="IHP60" s="12"/>
      <c r="IHQ60" s="12"/>
      <c r="IHR60" s="12"/>
      <c r="IHS60" s="12"/>
      <c r="IHT60" s="12"/>
      <c r="IHU60" s="12"/>
      <c r="IHV60" s="12"/>
      <c r="IHW60" s="12"/>
      <c r="IHX60" s="12"/>
      <c r="IHY60" s="12"/>
      <c r="IHZ60" s="12"/>
      <c r="IIA60" s="12"/>
      <c r="IIB60" s="12"/>
      <c r="IIC60" s="12"/>
      <c r="IID60" s="12"/>
      <c r="IIE60" s="12"/>
      <c r="IIF60" s="12"/>
      <c r="IIG60" s="12"/>
      <c r="IIH60" s="12"/>
      <c r="III60" s="12"/>
      <c r="IIJ60" s="12"/>
      <c r="IIK60" s="12"/>
      <c r="IIL60" s="12"/>
      <c r="IIM60" s="12"/>
      <c r="IIN60" s="12"/>
      <c r="IIO60" s="12"/>
      <c r="IIP60" s="12"/>
      <c r="IIQ60" s="12"/>
      <c r="IIR60" s="12"/>
      <c r="IIS60" s="12"/>
      <c r="IIT60" s="12"/>
      <c r="IIU60" s="12"/>
      <c r="IIV60" s="12"/>
      <c r="IIW60" s="12"/>
      <c r="IIX60" s="12"/>
      <c r="IIY60" s="12"/>
      <c r="IIZ60" s="12"/>
      <c r="IJA60" s="12"/>
      <c r="IJB60" s="12"/>
      <c r="IJC60" s="12"/>
      <c r="IJD60" s="12"/>
      <c r="IJE60" s="12"/>
      <c r="IJF60" s="12"/>
      <c r="IJG60" s="12"/>
      <c r="IJH60" s="12"/>
      <c r="IJI60" s="12"/>
      <c r="IJJ60" s="12"/>
      <c r="IJK60" s="12"/>
      <c r="IJL60" s="12"/>
      <c r="IJM60" s="12"/>
      <c r="IJN60" s="12"/>
      <c r="IJO60" s="12"/>
      <c r="IJP60" s="12"/>
      <c r="IJQ60" s="12"/>
      <c r="IJR60" s="12"/>
      <c r="IJS60" s="12"/>
      <c r="IJT60" s="12"/>
      <c r="IJU60" s="12"/>
      <c r="IJV60" s="12"/>
      <c r="IJW60" s="12"/>
      <c r="IJX60" s="12"/>
      <c r="IJY60" s="12"/>
      <c r="IJZ60" s="12"/>
      <c r="IKA60" s="12"/>
      <c r="IKB60" s="12"/>
      <c r="IKC60" s="12"/>
      <c r="IKD60" s="12"/>
      <c r="IKE60" s="12"/>
      <c r="IKF60" s="12"/>
      <c r="IKG60" s="12"/>
      <c r="IKH60" s="12"/>
      <c r="IKI60" s="12"/>
      <c r="IKJ60" s="12"/>
      <c r="IKK60" s="12"/>
      <c r="IKL60" s="12"/>
      <c r="IKM60" s="12"/>
      <c r="IKN60" s="12"/>
      <c r="IKO60" s="12"/>
      <c r="IKP60" s="12"/>
      <c r="IKQ60" s="12"/>
      <c r="IKR60" s="12"/>
      <c r="IKS60" s="12"/>
      <c r="IKT60" s="12"/>
      <c r="IKU60" s="12"/>
      <c r="IKV60" s="12"/>
      <c r="IKW60" s="12"/>
      <c r="IKX60" s="12"/>
      <c r="IKY60" s="12"/>
      <c r="IKZ60" s="12"/>
      <c r="ILA60" s="12"/>
      <c r="ILB60" s="12"/>
      <c r="ILC60" s="12"/>
      <c r="ILD60" s="12"/>
      <c r="ILE60" s="12"/>
      <c r="ILF60" s="12"/>
      <c r="ILG60" s="12"/>
      <c r="ILH60" s="12"/>
      <c r="ILI60" s="12"/>
      <c r="ILJ60" s="12"/>
      <c r="ILK60" s="12"/>
      <c r="ILL60" s="12"/>
      <c r="ILM60" s="12"/>
      <c r="ILN60" s="12"/>
      <c r="ILO60" s="12"/>
      <c r="ILP60" s="12"/>
      <c r="ILQ60" s="12"/>
      <c r="ILR60" s="12"/>
      <c r="ILS60" s="12"/>
      <c r="ILT60" s="12"/>
      <c r="ILU60" s="12"/>
      <c r="ILV60" s="12"/>
      <c r="ILW60" s="12"/>
      <c r="ILX60" s="12"/>
      <c r="ILY60" s="12"/>
      <c r="ILZ60" s="12"/>
      <c r="IMA60" s="12"/>
      <c r="IMB60" s="12"/>
      <c r="IMC60" s="12"/>
      <c r="IMD60" s="12"/>
      <c r="IME60" s="12"/>
      <c r="IMF60" s="12"/>
      <c r="IMG60" s="12"/>
      <c r="IMH60" s="12"/>
      <c r="IMI60" s="12"/>
      <c r="IMJ60" s="12"/>
      <c r="IMK60" s="12"/>
      <c r="IML60" s="12"/>
      <c r="IMM60" s="12"/>
      <c r="IMN60" s="12"/>
      <c r="IMO60" s="12"/>
      <c r="IMP60" s="12"/>
      <c r="IMQ60" s="12"/>
      <c r="IMR60" s="12"/>
      <c r="IMS60" s="12"/>
      <c r="IMT60" s="12"/>
      <c r="IMU60" s="12"/>
      <c r="IMV60" s="12"/>
      <c r="IMW60" s="12"/>
      <c r="IMX60" s="12"/>
      <c r="IMY60" s="12"/>
      <c r="IMZ60" s="12"/>
      <c r="INA60" s="12"/>
      <c r="INB60" s="12"/>
      <c r="INC60" s="12"/>
      <c r="IND60" s="12"/>
      <c r="INE60" s="12"/>
      <c r="INF60" s="12"/>
      <c r="ING60" s="12"/>
      <c r="INH60" s="12"/>
      <c r="INI60" s="12"/>
      <c r="INJ60" s="12"/>
      <c r="INK60" s="12"/>
      <c r="INL60" s="12"/>
      <c r="INM60" s="12"/>
      <c r="INN60" s="12"/>
      <c r="INO60" s="12"/>
      <c r="INP60" s="12"/>
      <c r="INQ60" s="12"/>
      <c r="INR60" s="12"/>
      <c r="INS60" s="12"/>
      <c r="INT60" s="12"/>
      <c r="INU60" s="12"/>
      <c r="INV60" s="12"/>
      <c r="INW60" s="12"/>
      <c r="INX60" s="12"/>
      <c r="INY60" s="12"/>
      <c r="INZ60" s="12"/>
      <c r="IOA60" s="12"/>
      <c r="IOB60" s="12"/>
      <c r="IOC60" s="12"/>
      <c r="IOD60" s="12"/>
      <c r="IOE60" s="12"/>
      <c r="IOF60" s="12"/>
      <c r="IOG60" s="12"/>
      <c r="IOH60" s="12"/>
      <c r="IOI60" s="12"/>
      <c r="IOJ60" s="12"/>
      <c r="IOK60" s="12"/>
      <c r="IOL60" s="12"/>
      <c r="IOM60" s="12"/>
      <c r="ION60" s="12"/>
      <c r="IOO60" s="12"/>
      <c r="IOP60" s="12"/>
      <c r="IOQ60" s="12"/>
      <c r="IOR60" s="12"/>
      <c r="IOS60" s="12"/>
      <c r="IOT60" s="12"/>
      <c r="IOU60" s="12"/>
      <c r="IOV60" s="12"/>
      <c r="IOW60" s="12"/>
      <c r="IOX60" s="12"/>
      <c r="IOY60" s="12"/>
      <c r="IOZ60" s="12"/>
      <c r="IPA60" s="12"/>
      <c r="IPB60" s="12"/>
      <c r="IPC60" s="12"/>
      <c r="IPD60" s="12"/>
      <c r="IPE60" s="12"/>
      <c r="IPF60" s="12"/>
      <c r="IPG60" s="12"/>
      <c r="IPH60" s="12"/>
      <c r="IPI60" s="12"/>
      <c r="IPJ60" s="12"/>
      <c r="IPK60" s="12"/>
      <c r="IPL60" s="12"/>
      <c r="IPM60" s="12"/>
      <c r="IPN60" s="12"/>
      <c r="IPO60" s="12"/>
      <c r="IPP60" s="12"/>
      <c r="IPQ60" s="12"/>
      <c r="IPR60" s="12"/>
      <c r="IPS60" s="12"/>
      <c r="IPT60" s="12"/>
      <c r="IPU60" s="12"/>
      <c r="IPV60" s="12"/>
      <c r="IPW60" s="12"/>
      <c r="IPX60" s="12"/>
      <c r="IPY60" s="12"/>
      <c r="IPZ60" s="12"/>
      <c r="IQA60" s="12"/>
      <c r="IQB60" s="12"/>
      <c r="IQC60" s="12"/>
      <c r="IQD60" s="12"/>
      <c r="IQE60" s="12"/>
      <c r="IQF60" s="12"/>
      <c r="IQG60" s="12"/>
      <c r="IQH60" s="12"/>
      <c r="IQI60" s="12"/>
      <c r="IQJ60" s="12"/>
      <c r="IQK60" s="12"/>
      <c r="IQL60" s="12"/>
      <c r="IQM60" s="12"/>
      <c r="IQN60" s="12"/>
      <c r="IQO60" s="12"/>
      <c r="IQP60" s="12"/>
      <c r="IQQ60" s="12"/>
      <c r="IQR60" s="12"/>
      <c r="IQS60" s="12"/>
      <c r="IQT60" s="12"/>
      <c r="IQU60" s="12"/>
      <c r="IQV60" s="12"/>
      <c r="IQW60" s="12"/>
      <c r="IQX60" s="12"/>
      <c r="IQY60" s="12"/>
      <c r="IQZ60" s="12"/>
      <c r="IRA60" s="12"/>
      <c r="IRB60" s="12"/>
      <c r="IRC60" s="12"/>
      <c r="IRD60" s="12"/>
      <c r="IRE60" s="12"/>
      <c r="IRF60" s="12"/>
      <c r="IRG60" s="12"/>
      <c r="IRH60" s="12"/>
      <c r="IRI60" s="12"/>
      <c r="IRJ60" s="12"/>
      <c r="IRK60" s="12"/>
      <c r="IRL60" s="12"/>
      <c r="IRM60" s="12"/>
      <c r="IRN60" s="12"/>
      <c r="IRO60" s="12"/>
      <c r="IRP60" s="12"/>
      <c r="IRQ60" s="12"/>
      <c r="IRR60" s="12"/>
      <c r="IRS60" s="12"/>
      <c r="IRT60" s="12"/>
      <c r="IRU60" s="12"/>
      <c r="IRV60" s="12"/>
      <c r="IRW60" s="12"/>
      <c r="IRX60" s="12"/>
      <c r="IRY60" s="12"/>
      <c r="IRZ60" s="12"/>
      <c r="ISA60" s="12"/>
      <c r="ISB60" s="12"/>
      <c r="ISC60" s="12"/>
      <c r="ISD60" s="12"/>
      <c r="ISE60" s="12"/>
      <c r="ISF60" s="12"/>
      <c r="ISG60" s="12"/>
      <c r="ISH60" s="12"/>
      <c r="ISI60" s="12"/>
      <c r="ISJ60" s="12"/>
      <c r="ISK60" s="12"/>
      <c r="ISL60" s="12"/>
      <c r="ISM60" s="12"/>
      <c r="ISN60" s="12"/>
      <c r="ISO60" s="12"/>
      <c r="ISP60" s="12"/>
      <c r="ISQ60" s="12"/>
      <c r="ISR60" s="12"/>
      <c r="ISS60" s="12"/>
      <c r="IST60" s="12"/>
      <c r="ISU60" s="12"/>
      <c r="ISV60" s="12"/>
      <c r="ISW60" s="12"/>
      <c r="ISX60" s="12"/>
      <c r="ISY60" s="12"/>
      <c r="ISZ60" s="12"/>
      <c r="ITA60" s="12"/>
      <c r="ITB60" s="12"/>
      <c r="ITC60" s="12"/>
      <c r="ITD60" s="12"/>
      <c r="ITE60" s="12"/>
      <c r="ITF60" s="12"/>
      <c r="ITG60" s="12"/>
      <c r="ITH60" s="12"/>
      <c r="ITI60" s="12"/>
      <c r="ITJ60" s="12"/>
      <c r="ITK60" s="12"/>
      <c r="ITL60" s="12"/>
      <c r="ITM60" s="12"/>
      <c r="ITN60" s="12"/>
      <c r="ITO60" s="12"/>
      <c r="ITP60" s="12"/>
      <c r="ITQ60" s="12"/>
      <c r="ITR60" s="12"/>
      <c r="ITS60" s="12"/>
      <c r="ITT60" s="12"/>
      <c r="ITU60" s="12"/>
      <c r="ITV60" s="12"/>
      <c r="ITW60" s="12"/>
      <c r="ITX60" s="12"/>
      <c r="ITY60" s="12"/>
      <c r="ITZ60" s="12"/>
      <c r="IUA60" s="12"/>
      <c r="IUB60" s="12"/>
      <c r="IUC60" s="12"/>
      <c r="IUD60" s="12"/>
      <c r="IUE60" s="12"/>
      <c r="IUF60" s="12"/>
      <c r="IUG60" s="12"/>
      <c r="IUH60" s="12"/>
      <c r="IUI60" s="12"/>
      <c r="IUJ60" s="12"/>
      <c r="IUK60" s="12"/>
      <c r="IUL60" s="12"/>
      <c r="IUM60" s="12"/>
      <c r="IUN60" s="12"/>
      <c r="IUO60" s="12"/>
      <c r="IUP60" s="12"/>
      <c r="IUQ60" s="12"/>
      <c r="IUR60" s="12"/>
      <c r="IUS60" s="12"/>
      <c r="IUT60" s="12"/>
      <c r="IUU60" s="12"/>
      <c r="IUV60" s="12"/>
      <c r="IUW60" s="12"/>
      <c r="IUX60" s="12"/>
      <c r="IUY60" s="12"/>
      <c r="IUZ60" s="12"/>
      <c r="IVA60" s="12"/>
      <c r="IVB60" s="12"/>
      <c r="IVC60" s="12"/>
      <c r="IVD60" s="12"/>
      <c r="IVE60" s="12"/>
      <c r="IVF60" s="12"/>
      <c r="IVG60" s="12"/>
      <c r="IVH60" s="12"/>
      <c r="IVI60" s="12"/>
      <c r="IVJ60" s="12"/>
      <c r="IVK60" s="12"/>
      <c r="IVL60" s="12"/>
      <c r="IVM60" s="12"/>
      <c r="IVN60" s="12"/>
      <c r="IVO60" s="12"/>
      <c r="IVP60" s="12"/>
      <c r="IVQ60" s="12"/>
      <c r="IVR60" s="12"/>
      <c r="IVS60" s="12"/>
      <c r="IVT60" s="12"/>
      <c r="IVU60" s="12"/>
      <c r="IVV60" s="12"/>
      <c r="IVW60" s="12"/>
      <c r="IVX60" s="12"/>
      <c r="IVY60" s="12"/>
      <c r="IVZ60" s="12"/>
      <c r="IWA60" s="12"/>
      <c r="IWB60" s="12"/>
      <c r="IWC60" s="12"/>
      <c r="IWD60" s="12"/>
      <c r="IWE60" s="12"/>
      <c r="IWF60" s="12"/>
      <c r="IWG60" s="12"/>
      <c r="IWH60" s="12"/>
      <c r="IWI60" s="12"/>
      <c r="IWJ60" s="12"/>
      <c r="IWK60" s="12"/>
      <c r="IWL60" s="12"/>
      <c r="IWM60" s="12"/>
      <c r="IWN60" s="12"/>
      <c r="IWO60" s="12"/>
      <c r="IWP60" s="12"/>
      <c r="IWQ60" s="12"/>
      <c r="IWR60" s="12"/>
      <c r="IWS60" s="12"/>
      <c r="IWT60" s="12"/>
      <c r="IWU60" s="12"/>
      <c r="IWV60" s="12"/>
      <c r="IWW60" s="12"/>
      <c r="IWX60" s="12"/>
      <c r="IWY60" s="12"/>
      <c r="IWZ60" s="12"/>
      <c r="IXA60" s="12"/>
      <c r="IXB60" s="12"/>
      <c r="IXC60" s="12"/>
      <c r="IXD60" s="12"/>
      <c r="IXE60" s="12"/>
      <c r="IXF60" s="12"/>
      <c r="IXG60" s="12"/>
      <c r="IXH60" s="12"/>
      <c r="IXI60" s="12"/>
      <c r="IXJ60" s="12"/>
      <c r="IXK60" s="12"/>
      <c r="IXL60" s="12"/>
      <c r="IXM60" s="12"/>
      <c r="IXN60" s="12"/>
      <c r="IXO60" s="12"/>
      <c r="IXP60" s="12"/>
      <c r="IXQ60" s="12"/>
      <c r="IXR60" s="12"/>
      <c r="IXS60" s="12"/>
      <c r="IXT60" s="12"/>
      <c r="IXU60" s="12"/>
      <c r="IXV60" s="12"/>
      <c r="IXW60" s="12"/>
      <c r="IXX60" s="12"/>
      <c r="IXY60" s="12"/>
      <c r="IXZ60" s="12"/>
      <c r="IYA60" s="12"/>
      <c r="IYB60" s="12"/>
      <c r="IYC60" s="12"/>
      <c r="IYD60" s="12"/>
      <c r="IYE60" s="12"/>
      <c r="IYF60" s="12"/>
      <c r="IYG60" s="12"/>
      <c r="IYH60" s="12"/>
      <c r="IYI60" s="12"/>
      <c r="IYJ60" s="12"/>
      <c r="IYK60" s="12"/>
      <c r="IYL60" s="12"/>
      <c r="IYM60" s="12"/>
      <c r="IYN60" s="12"/>
      <c r="IYO60" s="12"/>
      <c r="IYP60" s="12"/>
      <c r="IYQ60" s="12"/>
      <c r="IYR60" s="12"/>
      <c r="IYS60" s="12"/>
      <c r="IYT60" s="12"/>
      <c r="IYU60" s="12"/>
      <c r="IYV60" s="12"/>
      <c r="IYW60" s="12"/>
      <c r="IYX60" s="12"/>
      <c r="IYY60" s="12"/>
      <c r="IYZ60" s="12"/>
      <c r="IZA60" s="12"/>
      <c r="IZB60" s="12"/>
      <c r="IZC60" s="12"/>
      <c r="IZD60" s="12"/>
      <c r="IZE60" s="12"/>
      <c r="IZF60" s="12"/>
      <c r="IZG60" s="12"/>
      <c r="IZH60" s="12"/>
      <c r="IZI60" s="12"/>
      <c r="IZJ60" s="12"/>
      <c r="IZK60" s="12"/>
      <c r="IZL60" s="12"/>
      <c r="IZM60" s="12"/>
      <c r="IZN60" s="12"/>
      <c r="IZO60" s="12"/>
      <c r="IZP60" s="12"/>
      <c r="IZQ60" s="12"/>
      <c r="IZR60" s="12"/>
      <c r="IZS60" s="12"/>
      <c r="IZT60" s="12"/>
      <c r="IZU60" s="12"/>
      <c r="IZV60" s="12"/>
      <c r="IZW60" s="12"/>
      <c r="IZX60" s="12"/>
      <c r="IZY60" s="12"/>
      <c r="IZZ60" s="12"/>
      <c r="JAA60" s="12"/>
      <c r="JAB60" s="12"/>
      <c r="JAC60" s="12"/>
      <c r="JAD60" s="12"/>
      <c r="JAE60" s="12"/>
      <c r="JAF60" s="12"/>
      <c r="JAG60" s="12"/>
      <c r="JAH60" s="12"/>
      <c r="JAI60" s="12"/>
      <c r="JAJ60" s="12"/>
      <c r="JAK60" s="12"/>
      <c r="JAL60" s="12"/>
      <c r="JAM60" s="12"/>
      <c r="JAN60" s="12"/>
      <c r="JAO60" s="12"/>
      <c r="JAP60" s="12"/>
      <c r="JAQ60" s="12"/>
      <c r="JAR60" s="12"/>
      <c r="JAS60" s="12"/>
      <c r="JAT60" s="12"/>
      <c r="JAU60" s="12"/>
      <c r="JAV60" s="12"/>
      <c r="JAW60" s="12"/>
      <c r="JAX60" s="12"/>
      <c r="JAY60" s="12"/>
      <c r="JAZ60" s="12"/>
      <c r="JBA60" s="12"/>
      <c r="JBB60" s="12"/>
      <c r="JBC60" s="12"/>
      <c r="JBD60" s="12"/>
      <c r="JBE60" s="12"/>
      <c r="JBF60" s="12"/>
      <c r="JBG60" s="12"/>
      <c r="JBH60" s="12"/>
      <c r="JBI60" s="12"/>
      <c r="JBJ60" s="12"/>
      <c r="JBK60" s="12"/>
      <c r="JBL60" s="12"/>
      <c r="JBM60" s="12"/>
      <c r="JBN60" s="12"/>
      <c r="JBO60" s="12"/>
      <c r="JBP60" s="12"/>
      <c r="JBQ60" s="12"/>
      <c r="JBR60" s="12"/>
      <c r="JBS60" s="12"/>
      <c r="JBT60" s="12"/>
      <c r="JBU60" s="12"/>
      <c r="JBV60" s="12"/>
      <c r="JBW60" s="12"/>
      <c r="JBX60" s="12"/>
      <c r="JBY60" s="12"/>
      <c r="JBZ60" s="12"/>
      <c r="JCA60" s="12"/>
      <c r="JCB60" s="12"/>
      <c r="JCC60" s="12"/>
      <c r="JCD60" s="12"/>
      <c r="JCE60" s="12"/>
      <c r="JCF60" s="12"/>
      <c r="JCG60" s="12"/>
      <c r="JCH60" s="12"/>
      <c r="JCI60" s="12"/>
      <c r="JCJ60" s="12"/>
      <c r="JCK60" s="12"/>
      <c r="JCL60" s="12"/>
      <c r="JCM60" s="12"/>
      <c r="JCN60" s="12"/>
      <c r="JCO60" s="12"/>
      <c r="JCP60" s="12"/>
      <c r="JCQ60" s="12"/>
      <c r="JCR60" s="12"/>
      <c r="JCS60" s="12"/>
      <c r="JCT60" s="12"/>
      <c r="JCU60" s="12"/>
      <c r="JCV60" s="12"/>
      <c r="JCW60" s="12"/>
      <c r="JCX60" s="12"/>
      <c r="JCY60" s="12"/>
      <c r="JCZ60" s="12"/>
      <c r="JDA60" s="12"/>
      <c r="JDB60" s="12"/>
      <c r="JDC60" s="12"/>
      <c r="JDD60" s="12"/>
      <c r="JDE60" s="12"/>
      <c r="JDF60" s="12"/>
      <c r="JDG60" s="12"/>
      <c r="JDH60" s="12"/>
      <c r="JDI60" s="12"/>
      <c r="JDJ60" s="12"/>
      <c r="JDK60" s="12"/>
      <c r="JDL60" s="12"/>
      <c r="JDM60" s="12"/>
      <c r="JDN60" s="12"/>
      <c r="JDO60" s="12"/>
      <c r="JDP60" s="12"/>
      <c r="JDQ60" s="12"/>
      <c r="JDR60" s="12"/>
      <c r="JDS60" s="12"/>
      <c r="JDT60" s="12"/>
      <c r="JDU60" s="12"/>
      <c r="JDV60" s="12"/>
      <c r="JDW60" s="12"/>
      <c r="JDX60" s="12"/>
      <c r="JDY60" s="12"/>
      <c r="JDZ60" s="12"/>
      <c r="JEA60" s="12"/>
      <c r="JEB60" s="12"/>
      <c r="JEC60" s="12"/>
      <c r="JED60" s="12"/>
      <c r="JEE60" s="12"/>
      <c r="JEF60" s="12"/>
      <c r="JEG60" s="12"/>
      <c r="JEH60" s="12"/>
      <c r="JEI60" s="12"/>
      <c r="JEJ60" s="12"/>
      <c r="JEK60" s="12"/>
      <c r="JEL60" s="12"/>
      <c r="JEM60" s="12"/>
      <c r="JEN60" s="12"/>
      <c r="JEO60" s="12"/>
      <c r="JEP60" s="12"/>
      <c r="JEQ60" s="12"/>
      <c r="JER60" s="12"/>
      <c r="JES60" s="12"/>
      <c r="JET60" s="12"/>
      <c r="JEU60" s="12"/>
      <c r="JEV60" s="12"/>
      <c r="JEW60" s="12"/>
      <c r="JEX60" s="12"/>
      <c r="JEY60" s="12"/>
      <c r="JEZ60" s="12"/>
      <c r="JFA60" s="12"/>
      <c r="JFB60" s="12"/>
      <c r="JFC60" s="12"/>
      <c r="JFD60" s="12"/>
      <c r="JFE60" s="12"/>
      <c r="JFF60" s="12"/>
      <c r="JFG60" s="12"/>
      <c r="JFH60" s="12"/>
      <c r="JFI60" s="12"/>
      <c r="JFJ60" s="12"/>
      <c r="JFK60" s="12"/>
      <c r="JFL60" s="12"/>
      <c r="JFM60" s="12"/>
      <c r="JFN60" s="12"/>
      <c r="JFO60" s="12"/>
      <c r="JFP60" s="12"/>
      <c r="JFQ60" s="12"/>
      <c r="JFR60" s="12"/>
      <c r="JFS60" s="12"/>
      <c r="JFT60" s="12"/>
      <c r="JFU60" s="12"/>
      <c r="JFV60" s="12"/>
      <c r="JFW60" s="12"/>
      <c r="JFX60" s="12"/>
      <c r="JFY60" s="12"/>
      <c r="JFZ60" s="12"/>
      <c r="JGA60" s="12"/>
      <c r="JGB60" s="12"/>
      <c r="JGC60" s="12"/>
      <c r="JGD60" s="12"/>
      <c r="JGE60" s="12"/>
      <c r="JGF60" s="12"/>
      <c r="JGG60" s="12"/>
      <c r="JGH60" s="12"/>
      <c r="JGI60" s="12"/>
      <c r="JGJ60" s="12"/>
      <c r="JGK60" s="12"/>
      <c r="JGL60" s="12"/>
      <c r="JGM60" s="12"/>
      <c r="JGN60" s="12"/>
      <c r="JGO60" s="12"/>
      <c r="JGP60" s="12"/>
      <c r="JGQ60" s="12"/>
      <c r="JGR60" s="12"/>
      <c r="JGS60" s="12"/>
      <c r="JGT60" s="12"/>
      <c r="JGU60" s="12"/>
      <c r="JGV60" s="12"/>
      <c r="JGW60" s="12"/>
      <c r="JGX60" s="12"/>
      <c r="JGY60" s="12"/>
      <c r="JGZ60" s="12"/>
      <c r="JHA60" s="12"/>
      <c r="JHB60" s="12"/>
      <c r="JHC60" s="12"/>
      <c r="JHD60" s="12"/>
      <c r="JHE60" s="12"/>
      <c r="JHF60" s="12"/>
      <c r="JHG60" s="12"/>
      <c r="JHH60" s="12"/>
      <c r="JHI60" s="12"/>
      <c r="JHJ60" s="12"/>
      <c r="JHK60" s="12"/>
      <c r="JHL60" s="12"/>
      <c r="JHM60" s="12"/>
      <c r="JHN60" s="12"/>
      <c r="JHO60" s="12"/>
      <c r="JHP60" s="12"/>
      <c r="JHQ60" s="12"/>
      <c r="JHR60" s="12"/>
      <c r="JHS60" s="12"/>
      <c r="JHT60" s="12"/>
      <c r="JHU60" s="12"/>
      <c r="JHV60" s="12"/>
      <c r="JHW60" s="12"/>
      <c r="JHX60" s="12"/>
      <c r="JHY60" s="12"/>
      <c r="JHZ60" s="12"/>
      <c r="JIA60" s="12"/>
      <c r="JIB60" s="12"/>
      <c r="JIC60" s="12"/>
      <c r="JID60" s="12"/>
      <c r="JIE60" s="12"/>
      <c r="JIF60" s="12"/>
      <c r="JIG60" s="12"/>
      <c r="JIH60" s="12"/>
      <c r="JII60" s="12"/>
      <c r="JIJ60" s="12"/>
      <c r="JIK60" s="12"/>
      <c r="JIL60" s="12"/>
      <c r="JIM60" s="12"/>
      <c r="JIN60" s="12"/>
      <c r="JIO60" s="12"/>
      <c r="JIP60" s="12"/>
      <c r="JIQ60" s="12"/>
      <c r="JIR60" s="12"/>
      <c r="JIS60" s="12"/>
      <c r="JIT60" s="12"/>
      <c r="JIU60" s="12"/>
      <c r="JIV60" s="12"/>
      <c r="JIW60" s="12"/>
      <c r="JIX60" s="12"/>
      <c r="JIY60" s="12"/>
      <c r="JIZ60" s="12"/>
      <c r="JJA60" s="12"/>
      <c r="JJB60" s="12"/>
      <c r="JJC60" s="12"/>
      <c r="JJD60" s="12"/>
      <c r="JJE60" s="12"/>
      <c r="JJF60" s="12"/>
      <c r="JJG60" s="12"/>
      <c r="JJH60" s="12"/>
      <c r="JJI60" s="12"/>
      <c r="JJJ60" s="12"/>
      <c r="JJK60" s="12"/>
      <c r="JJL60" s="12"/>
      <c r="JJM60" s="12"/>
      <c r="JJN60" s="12"/>
      <c r="JJO60" s="12"/>
      <c r="JJP60" s="12"/>
      <c r="JJQ60" s="12"/>
      <c r="JJR60" s="12"/>
      <c r="JJS60" s="12"/>
      <c r="JJT60" s="12"/>
      <c r="JJU60" s="12"/>
      <c r="JJV60" s="12"/>
      <c r="JJW60" s="12"/>
      <c r="JJX60" s="12"/>
      <c r="JJY60" s="12"/>
      <c r="JJZ60" s="12"/>
      <c r="JKA60" s="12"/>
      <c r="JKB60" s="12"/>
      <c r="JKC60" s="12"/>
      <c r="JKD60" s="12"/>
      <c r="JKE60" s="12"/>
      <c r="JKF60" s="12"/>
      <c r="JKG60" s="12"/>
      <c r="JKH60" s="12"/>
      <c r="JKI60" s="12"/>
      <c r="JKJ60" s="12"/>
      <c r="JKK60" s="12"/>
      <c r="JKL60" s="12"/>
      <c r="JKM60" s="12"/>
      <c r="JKN60" s="12"/>
      <c r="JKO60" s="12"/>
      <c r="JKP60" s="12"/>
      <c r="JKQ60" s="12"/>
      <c r="JKR60" s="12"/>
      <c r="JKS60" s="12"/>
      <c r="JKT60" s="12"/>
      <c r="JKU60" s="12"/>
      <c r="JKV60" s="12"/>
      <c r="JKW60" s="12"/>
      <c r="JKX60" s="12"/>
      <c r="JKY60" s="12"/>
      <c r="JKZ60" s="12"/>
      <c r="JLA60" s="12"/>
      <c r="JLB60" s="12"/>
      <c r="JLC60" s="12"/>
      <c r="JLD60" s="12"/>
      <c r="JLE60" s="12"/>
      <c r="JLF60" s="12"/>
      <c r="JLG60" s="12"/>
      <c r="JLH60" s="12"/>
      <c r="JLI60" s="12"/>
      <c r="JLJ60" s="12"/>
      <c r="JLK60" s="12"/>
      <c r="JLL60" s="12"/>
      <c r="JLM60" s="12"/>
      <c r="JLN60" s="12"/>
      <c r="JLO60" s="12"/>
      <c r="JLP60" s="12"/>
      <c r="JLQ60" s="12"/>
      <c r="JLR60" s="12"/>
      <c r="JLS60" s="12"/>
      <c r="JLT60" s="12"/>
      <c r="JLU60" s="12"/>
      <c r="JLV60" s="12"/>
      <c r="JLW60" s="12"/>
      <c r="JLX60" s="12"/>
      <c r="JLY60" s="12"/>
      <c r="JLZ60" s="12"/>
      <c r="JMA60" s="12"/>
      <c r="JMB60" s="12"/>
      <c r="JMC60" s="12"/>
      <c r="JMD60" s="12"/>
      <c r="JME60" s="12"/>
      <c r="JMF60" s="12"/>
      <c r="JMG60" s="12"/>
      <c r="JMH60" s="12"/>
      <c r="JMI60" s="12"/>
      <c r="JMJ60" s="12"/>
      <c r="JMK60" s="12"/>
      <c r="JML60" s="12"/>
      <c r="JMM60" s="12"/>
      <c r="JMN60" s="12"/>
      <c r="JMO60" s="12"/>
      <c r="JMP60" s="12"/>
      <c r="JMQ60" s="12"/>
      <c r="JMR60" s="12"/>
      <c r="JMS60" s="12"/>
      <c r="JMT60" s="12"/>
      <c r="JMU60" s="12"/>
      <c r="JMV60" s="12"/>
      <c r="JMW60" s="12"/>
      <c r="JMX60" s="12"/>
      <c r="JMY60" s="12"/>
      <c r="JMZ60" s="12"/>
      <c r="JNA60" s="12"/>
      <c r="JNB60" s="12"/>
      <c r="JNC60" s="12"/>
      <c r="JND60" s="12"/>
      <c r="JNE60" s="12"/>
      <c r="JNF60" s="12"/>
      <c r="JNG60" s="12"/>
      <c r="JNH60" s="12"/>
      <c r="JNI60" s="12"/>
      <c r="JNJ60" s="12"/>
      <c r="JNK60" s="12"/>
      <c r="JNL60" s="12"/>
      <c r="JNM60" s="12"/>
      <c r="JNN60" s="12"/>
      <c r="JNO60" s="12"/>
      <c r="JNP60" s="12"/>
      <c r="JNQ60" s="12"/>
      <c r="JNR60" s="12"/>
      <c r="JNS60" s="12"/>
      <c r="JNT60" s="12"/>
      <c r="JNU60" s="12"/>
      <c r="JNV60" s="12"/>
      <c r="JNW60" s="12"/>
      <c r="JNX60" s="12"/>
      <c r="JNY60" s="12"/>
      <c r="JNZ60" s="12"/>
      <c r="JOA60" s="12"/>
      <c r="JOB60" s="12"/>
      <c r="JOC60" s="12"/>
      <c r="JOD60" s="12"/>
      <c r="JOE60" s="12"/>
      <c r="JOF60" s="12"/>
      <c r="JOG60" s="12"/>
      <c r="JOH60" s="12"/>
      <c r="JOI60" s="12"/>
      <c r="JOJ60" s="12"/>
      <c r="JOK60" s="12"/>
      <c r="JOL60" s="12"/>
      <c r="JOM60" s="12"/>
      <c r="JON60" s="12"/>
      <c r="JOO60" s="12"/>
      <c r="JOP60" s="12"/>
      <c r="JOQ60" s="12"/>
      <c r="JOR60" s="12"/>
      <c r="JOS60" s="12"/>
      <c r="JOT60" s="12"/>
      <c r="JOU60" s="12"/>
      <c r="JOV60" s="12"/>
      <c r="JOW60" s="12"/>
      <c r="JOX60" s="12"/>
      <c r="JOY60" s="12"/>
      <c r="JOZ60" s="12"/>
      <c r="JPA60" s="12"/>
      <c r="JPB60" s="12"/>
      <c r="JPC60" s="12"/>
      <c r="JPD60" s="12"/>
      <c r="JPE60" s="12"/>
      <c r="JPF60" s="12"/>
      <c r="JPG60" s="12"/>
      <c r="JPH60" s="12"/>
      <c r="JPI60" s="12"/>
      <c r="JPJ60" s="12"/>
      <c r="JPK60" s="12"/>
      <c r="JPL60" s="12"/>
      <c r="JPM60" s="12"/>
      <c r="JPN60" s="12"/>
      <c r="JPO60" s="12"/>
      <c r="JPP60" s="12"/>
      <c r="JPQ60" s="12"/>
      <c r="JPR60" s="12"/>
      <c r="JPS60" s="12"/>
      <c r="JPT60" s="12"/>
      <c r="JPU60" s="12"/>
      <c r="JPV60" s="12"/>
      <c r="JPW60" s="12"/>
      <c r="JPX60" s="12"/>
      <c r="JPY60" s="12"/>
      <c r="JPZ60" s="12"/>
      <c r="JQA60" s="12"/>
      <c r="JQB60" s="12"/>
      <c r="JQC60" s="12"/>
      <c r="JQD60" s="12"/>
      <c r="JQE60" s="12"/>
      <c r="JQF60" s="12"/>
      <c r="JQG60" s="12"/>
      <c r="JQH60" s="12"/>
      <c r="JQI60" s="12"/>
      <c r="JQJ60" s="12"/>
      <c r="JQK60" s="12"/>
      <c r="JQL60" s="12"/>
      <c r="JQM60" s="12"/>
      <c r="JQN60" s="12"/>
      <c r="JQO60" s="12"/>
      <c r="JQP60" s="12"/>
      <c r="JQQ60" s="12"/>
      <c r="JQR60" s="12"/>
      <c r="JQS60" s="12"/>
      <c r="JQT60" s="12"/>
      <c r="JQU60" s="12"/>
      <c r="JQV60" s="12"/>
      <c r="JQW60" s="12"/>
      <c r="JQX60" s="12"/>
      <c r="JQY60" s="12"/>
      <c r="JQZ60" s="12"/>
      <c r="JRA60" s="12"/>
      <c r="JRB60" s="12"/>
      <c r="JRC60" s="12"/>
      <c r="JRD60" s="12"/>
      <c r="JRE60" s="12"/>
      <c r="JRF60" s="12"/>
      <c r="JRG60" s="12"/>
      <c r="JRH60" s="12"/>
      <c r="JRI60" s="12"/>
      <c r="JRJ60" s="12"/>
      <c r="JRK60" s="12"/>
      <c r="JRL60" s="12"/>
      <c r="JRM60" s="12"/>
      <c r="JRN60" s="12"/>
      <c r="JRO60" s="12"/>
      <c r="JRP60" s="12"/>
      <c r="JRQ60" s="12"/>
      <c r="JRR60" s="12"/>
      <c r="JRS60" s="12"/>
      <c r="JRT60" s="12"/>
      <c r="JRU60" s="12"/>
      <c r="JRV60" s="12"/>
      <c r="JRW60" s="12"/>
      <c r="JRX60" s="12"/>
      <c r="JRY60" s="12"/>
      <c r="JRZ60" s="12"/>
      <c r="JSA60" s="12"/>
      <c r="JSB60" s="12"/>
      <c r="JSC60" s="12"/>
      <c r="JSD60" s="12"/>
      <c r="JSE60" s="12"/>
      <c r="JSF60" s="12"/>
      <c r="JSG60" s="12"/>
      <c r="JSH60" s="12"/>
      <c r="JSI60" s="12"/>
      <c r="JSJ60" s="12"/>
      <c r="JSK60" s="12"/>
      <c r="JSL60" s="12"/>
      <c r="JSM60" s="12"/>
      <c r="JSN60" s="12"/>
      <c r="JSO60" s="12"/>
      <c r="JSP60" s="12"/>
      <c r="JSQ60" s="12"/>
      <c r="JSR60" s="12"/>
      <c r="JSS60" s="12"/>
      <c r="JST60" s="12"/>
      <c r="JSU60" s="12"/>
      <c r="JSV60" s="12"/>
      <c r="JSW60" s="12"/>
      <c r="JSX60" s="12"/>
      <c r="JSY60" s="12"/>
      <c r="JSZ60" s="12"/>
      <c r="JTA60" s="12"/>
      <c r="JTB60" s="12"/>
      <c r="JTC60" s="12"/>
      <c r="JTD60" s="12"/>
      <c r="JTE60" s="12"/>
      <c r="JTF60" s="12"/>
      <c r="JTG60" s="12"/>
      <c r="JTH60" s="12"/>
      <c r="JTI60" s="12"/>
      <c r="JTJ60" s="12"/>
      <c r="JTK60" s="12"/>
      <c r="JTL60" s="12"/>
      <c r="JTM60" s="12"/>
      <c r="JTN60" s="12"/>
      <c r="JTO60" s="12"/>
      <c r="JTP60" s="12"/>
      <c r="JTQ60" s="12"/>
      <c r="JTR60" s="12"/>
      <c r="JTS60" s="12"/>
      <c r="JTT60" s="12"/>
      <c r="JTU60" s="12"/>
      <c r="JTV60" s="12"/>
      <c r="JTW60" s="12"/>
      <c r="JTX60" s="12"/>
      <c r="JTY60" s="12"/>
      <c r="JTZ60" s="12"/>
      <c r="JUA60" s="12"/>
      <c r="JUB60" s="12"/>
      <c r="JUC60" s="12"/>
      <c r="JUD60" s="12"/>
      <c r="JUE60" s="12"/>
      <c r="JUF60" s="12"/>
      <c r="JUG60" s="12"/>
      <c r="JUH60" s="12"/>
      <c r="JUI60" s="12"/>
      <c r="JUJ60" s="12"/>
      <c r="JUK60" s="12"/>
      <c r="JUL60" s="12"/>
      <c r="JUM60" s="12"/>
      <c r="JUN60" s="12"/>
      <c r="JUO60" s="12"/>
      <c r="JUP60" s="12"/>
      <c r="JUQ60" s="12"/>
      <c r="JUR60" s="12"/>
      <c r="JUS60" s="12"/>
      <c r="JUT60" s="12"/>
      <c r="JUU60" s="12"/>
      <c r="JUV60" s="12"/>
      <c r="JUW60" s="12"/>
      <c r="JUX60" s="12"/>
      <c r="JUY60" s="12"/>
      <c r="JUZ60" s="12"/>
      <c r="JVA60" s="12"/>
      <c r="JVB60" s="12"/>
      <c r="JVC60" s="12"/>
      <c r="JVD60" s="12"/>
      <c r="JVE60" s="12"/>
      <c r="JVF60" s="12"/>
      <c r="JVG60" s="12"/>
      <c r="JVH60" s="12"/>
      <c r="JVI60" s="12"/>
      <c r="JVJ60" s="12"/>
      <c r="JVK60" s="12"/>
      <c r="JVL60" s="12"/>
      <c r="JVM60" s="12"/>
      <c r="JVN60" s="12"/>
      <c r="JVO60" s="12"/>
      <c r="JVP60" s="12"/>
      <c r="JVQ60" s="12"/>
      <c r="JVR60" s="12"/>
      <c r="JVS60" s="12"/>
      <c r="JVT60" s="12"/>
      <c r="JVU60" s="12"/>
      <c r="JVV60" s="12"/>
      <c r="JVW60" s="12"/>
      <c r="JVX60" s="12"/>
      <c r="JVY60" s="12"/>
      <c r="JVZ60" s="12"/>
      <c r="JWA60" s="12"/>
      <c r="JWB60" s="12"/>
      <c r="JWC60" s="12"/>
      <c r="JWD60" s="12"/>
      <c r="JWE60" s="12"/>
      <c r="JWF60" s="12"/>
      <c r="JWG60" s="12"/>
      <c r="JWH60" s="12"/>
      <c r="JWI60" s="12"/>
      <c r="JWJ60" s="12"/>
      <c r="JWK60" s="12"/>
      <c r="JWL60" s="12"/>
      <c r="JWM60" s="12"/>
      <c r="JWN60" s="12"/>
      <c r="JWO60" s="12"/>
      <c r="JWP60" s="12"/>
      <c r="JWQ60" s="12"/>
      <c r="JWR60" s="12"/>
      <c r="JWS60" s="12"/>
      <c r="JWT60" s="12"/>
      <c r="JWU60" s="12"/>
      <c r="JWV60" s="12"/>
      <c r="JWW60" s="12"/>
      <c r="JWX60" s="12"/>
      <c r="JWY60" s="12"/>
      <c r="JWZ60" s="12"/>
      <c r="JXA60" s="12"/>
      <c r="JXB60" s="12"/>
      <c r="JXC60" s="12"/>
      <c r="JXD60" s="12"/>
      <c r="JXE60" s="12"/>
      <c r="JXF60" s="12"/>
      <c r="JXG60" s="12"/>
      <c r="JXH60" s="12"/>
      <c r="JXI60" s="12"/>
      <c r="JXJ60" s="12"/>
      <c r="JXK60" s="12"/>
      <c r="JXL60" s="12"/>
      <c r="JXM60" s="12"/>
      <c r="JXN60" s="12"/>
      <c r="JXO60" s="12"/>
      <c r="JXP60" s="12"/>
      <c r="JXQ60" s="12"/>
      <c r="JXR60" s="12"/>
      <c r="JXS60" s="12"/>
      <c r="JXT60" s="12"/>
      <c r="JXU60" s="12"/>
      <c r="JXV60" s="12"/>
      <c r="JXW60" s="12"/>
      <c r="JXX60" s="12"/>
      <c r="JXY60" s="12"/>
      <c r="JXZ60" s="12"/>
      <c r="JYA60" s="12"/>
      <c r="JYB60" s="12"/>
      <c r="JYC60" s="12"/>
      <c r="JYD60" s="12"/>
      <c r="JYE60" s="12"/>
      <c r="JYF60" s="12"/>
      <c r="JYG60" s="12"/>
      <c r="JYH60" s="12"/>
      <c r="JYI60" s="12"/>
      <c r="JYJ60" s="12"/>
      <c r="JYK60" s="12"/>
      <c r="JYL60" s="12"/>
      <c r="JYM60" s="12"/>
      <c r="JYN60" s="12"/>
      <c r="JYO60" s="12"/>
      <c r="JYP60" s="12"/>
      <c r="JYQ60" s="12"/>
      <c r="JYR60" s="12"/>
      <c r="JYS60" s="12"/>
      <c r="JYT60" s="12"/>
      <c r="JYU60" s="12"/>
      <c r="JYV60" s="12"/>
      <c r="JYW60" s="12"/>
      <c r="JYX60" s="12"/>
      <c r="JYY60" s="12"/>
      <c r="JYZ60" s="12"/>
      <c r="JZA60" s="12"/>
      <c r="JZB60" s="12"/>
      <c r="JZC60" s="12"/>
      <c r="JZD60" s="12"/>
      <c r="JZE60" s="12"/>
      <c r="JZF60" s="12"/>
      <c r="JZG60" s="12"/>
      <c r="JZH60" s="12"/>
      <c r="JZI60" s="12"/>
      <c r="JZJ60" s="12"/>
      <c r="JZK60" s="12"/>
      <c r="JZL60" s="12"/>
      <c r="JZM60" s="12"/>
      <c r="JZN60" s="12"/>
      <c r="JZO60" s="12"/>
      <c r="JZP60" s="12"/>
      <c r="JZQ60" s="12"/>
      <c r="JZR60" s="12"/>
      <c r="JZS60" s="12"/>
      <c r="JZT60" s="12"/>
      <c r="JZU60" s="12"/>
      <c r="JZV60" s="12"/>
      <c r="JZW60" s="12"/>
      <c r="JZX60" s="12"/>
      <c r="JZY60" s="12"/>
      <c r="JZZ60" s="12"/>
      <c r="KAA60" s="12"/>
      <c r="KAB60" s="12"/>
      <c r="KAC60" s="12"/>
      <c r="KAD60" s="12"/>
      <c r="KAE60" s="12"/>
      <c r="KAF60" s="12"/>
      <c r="KAG60" s="12"/>
      <c r="KAH60" s="12"/>
      <c r="KAI60" s="12"/>
      <c r="KAJ60" s="12"/>
      <c r="KAK60" s="12"/>
      <c r="KAL60" s="12"/>
      <c r="KAM60" s="12"/>
      <c r="KAN60" s="12"/>
      <c r="KAO60" s="12"/>
      <c r="KAP60" s="12"/>
      <c r="KAQ60" s="12"/>
      <c r="KAR60" s="12"/>
      <c r="KAS60" s="12"/>
      <c r="KAT60" s="12"/>
      <c r="KAU60" s="12"/>
      <c r="KAV60" s="12"/>
      <c r="KAW60" s="12"/>
      <c r="KAX60" s="12"/>
      <c r="KAY60" s="12"/>
      <c r="KAZ60" s="12"/>
      <c r="KBA60" s="12"/>
      <c r="KBB60" s="12"/>
      <c r="KBC60" s="12"/>
      <c r="KBD60" s="12"/>
      <c r="KBE60" s="12"/>
      <c r="KBF60" s="12"/>
      <c r="KBG60" s="12"/>
      <c r="KBH60" s="12"/>
      <c r="KBI60" s="12"/>
      <c r="KBJ60" s="12"/>
      <c r="KBK60" s="12"/>
      <c r="KBL60" s="12"/>
      <c r="KBM60" s="12"/>
      <c r="KBN60" s="12"/>
      <c r="KBO60" s="12"/>
      <c r="KBP60" s="12"/>
      <c r="KBQ60" s="12"/>
      <c r="KBR60" s="12"/>
      <c r="KBS60" s="12"/>
      <c r="KBT60" s="12"/>
      <c r="KBU60" s="12"/>
      <c r="KBV60" s="12"/>
      <c r="KBW60" s="12"/>
      <c r="KBX60" s="12"/>
      <c r="KBY60" s="12"/>
      <c r="KBZ60" s="12"/>
      <c r="KCA60" s="12"/>
      <c r="KCB60" s="12"/>
      <c r="KCC60" s="12"/>
      <c r="KCD60" s="12"/>
      <c r="KCE60" s="12"/>
      <c r="KCF60" s="12"/>
      <c r="KCG60" s="12"/>
      <c r="KCH60" s="12"/>
      <c r="KCI60" s="12"/>
      <c r="KCJ60" s="12"/>
      <c r="KCK60" s="12"/>
      <c r="KCL60" s="12"/>
      <c r="KCM60" s="12"/>
      <c r="KCN60" s="12"/>
      <c r="KCO60" s="12"/>
      <c r="KCP60" s="12"/>
      <c r="KCQ60" s="12"/>
      <c r="KCR60" s="12"/>
      <c r="KCS60" s="12"/>
      <c r="KCT60" s="12"/>
      <c r="KCU60" s="12"/>
      <c r="KCV60" s="12"/>
      <c r="KCW60" s="12"/>
      <c r="KCX60" s="12"/>
      <c r="KCY60" s="12"/>
      <c r="KCZ60" s="12"/>
      <c r="KDA60" s="12"/>
      <c r="KDB60" s="12"/>
      <c r="KDC60" s="12"/>
      <c r="KDD60" s="12"/>
      <c r="KDE60" s="12"/>
      <c r="KDF60" s="12"/>
      <c r="KDG60" s="12"/>
      <c r="KDH60" s="12"/>
      <c r="KDI60" s="12"/>
      <c r="KDJ60" s="12"/>
      <c r="KDK60" s="12"/>
      <c r="KDL60" s="12"/>
      <c r="KDM60" s="12"/>
      <c r="KDN60" s="12"/>
      <c r="KDO60" s="12"/>
      <c r="KDP60" s="12"/>
      <c r="KDQ60" s="12"/>
      <c r="KDR60" s="12"/>
      <c r="KDS60" s="12"/>
      <c r="KDT60" s="12"/>
      <c r="KDU60" s="12"/>
      <c r="KDV60" s="12"/>
      <c r="KDW60" s="12"/>
      <c r="KDX60" s="12"/>
      <c r="KDY60" s="12"/>
      <c r="KDZ60" s="12"/>
      <c r="KEA60" s="12"/>
      <c r="KEB60" s="12"/>
      <c r="KEC60" s="12"/>
      <c r="KED60" s="12"/>
      <c r="KEE60" s="12"/>
      <c r="KEF60" s="12"/>
      <c r="KEG60" s="12"/>
      <c r="KEH60" s="12"/>
      <c r="KEI60" s="12"/>
      <c r="KEJ60" s="12"/>
      <c r="KEK60" s="12"/>
      <c r="KEL60" s="12"/>
      <c r="KEM60" s="12"/>
      <c r="KEN60" s="12"/>
      <c r="KEO60" s="12"/>
      <c r="KEP60" s="12"/>
      <c r="KEQ60" s="12"/>
      <c r="KER60" s="12"/>
      <c r="KES60" s="12"/>
      <c r="KET60" s="12"/>
      <c r="KEU60" s="12"/>
      <c r="KEV60" s="12"/>
      <c r="KEW60" s="12"/>
      <c r="KEX60" s="12"/>
      <c r="KEY60" s="12"/>
      <c r="KEZ60" s="12"/>
      <c r="KFA60" s="12"/>
      <c r="KFB60" s="12"/>
      <c r="KFC60" s="12"/>
      <c r="KFD60" s="12"/>
      <c r="KFE60" s="12"/>
      <c r="KFF60" s="12"/>
      <c r="KFG60" s="12"/>
      <c r="KFH60" s="12"/>
      <c r="KFI60" s="12"/>
      <c r="KFJ60" s="12"/>
      <c r="KFK60" s="12"/>
      <c r="KFL60" s="12"/>
      <c r="KFM60" s="12"/>
      <c r="KFN60" s="12"/>
      <c r="KFO60" s="12"/>
      <c r="KFP60" s="12"/>
      <c r="KFQ60" s="12"/>
      <c r="KFR60" s="12"/>
      <c r="KFS60" s="12"/>
      <c r="KFT60" s="12"/>
      <c r="KFU60" s="12"/>
      <c r="KFV60" s="12"/>
      <c r="KFW60" s="12"/>
      <c r="KFX60" s="12"/>
      <c r="KFY60" s="12"/>
      <c r="KFZ60" s="12"/>
      <c r="KGA60" s="12"/>
      <c r="KGB60" s="12"/>
      <c r="KGC60" s="12"/>
      <c r="KGD60" s="12"/>
      <c r="KGE60" s="12"/>
      <c r="KGF60" s="12"/>
      <c r="KGG60" s="12"/>
      <c r="KGH60" s="12"/>
      <c r="KGI60" s="12"/>
      <c r="KGJ60" s="12"/>
      <c r="KGK60" s="12"/>
      <c r="KGL60" s="12"/>
      <c r="KGM60" s="12"/>
      <c r="KGN60" s="12"/>
      <c r="KGO60" s="12"/>
      <c r="KGP60" s="12"/>
      <c r="KGQ60" s="12"/>
      <c r="KGR60" s="12"/>
      <c r="KGS60" s="12"/>
      <c r="KGT60" s="12"/>
      <c r="KGU60" s="12"/>
      <c r="KGV60" s="12"/>
      <c r="KGW60" s="12"/>
      <c r="KGX60" s="12"/>
      <c r="KGY60" s="12"/>
      <c r="KGZ60" s="12"/>
      <c r="KHA60" s="12"/>
      <c r="KHB60" s="12"/>
      <c r="KHC60" s="12"/>
      <c r="KHD60" s="12"/>
      <c r="KHE60" s="12"/>
      <c r="KHF60" s="12"/>
      <c r="KHG60" s="12"/>
      <c r="KHH60" s="12"/>
      <c r="KHI60" s="12"/>
      <c r="KHJ60" s="12"/>
      <c r="KHK60" s="12"/>
      <c r="KHL60" s="12"/>
      <c r="KHM60" s="12"/>
      <c r="KHN60" s="12"/>
      <c r="KHO60" s="12"/>
      <c r="KHP60" s="12"/>
      <c r="KHQ60" s="12"/>
      <c r="KHR60" s="12"/>
      <c r="KHS60" s="12"/>
      <c r="KHT60" s="12"/>
      <c r="KHU60" s="12"/>
      <c r="KHV60" s="12"/>
      <c r="KHW60" s="12"/>
      <c r="KHX60" s="12"/>
      <c r="KHY60" s="12"/>
      <c r="KHZ60" s="12"/>
      <c r="KIA60" s="12"/>
      <c r="KIB60" s="12"/>
      <c r="KIC60" s="12"/>
      <c r="KID60" s="12"/>
      <c r="KIE60" s="12"/>
      <c r="KIF60" s="12"/>
      <c r="KIG60" s="12"/>
      <c r="KIH60" s="12"/>
      <c r="KII60" s="12"/>
      <c r="KIJ60" s="12"/>
      <c r="KIK60" s="12"/>
      <c r="KIL60" s="12"/>
      <c r="KIM60" s="12"/>
      <c r="KIN60" s="12"/>
      <c r="KIO60" s="12"/>
      <c r="KIP60" s="12"/>
      <c r="KIQ60" s="12"/>
      <c r="KIR60" s="12"/>
      <c r="KIS60" s="12"/>
      <c r="KIT60" s="12"/>
      <c r="KIU60" s="12"/>
      <c r="KIV60" s="12"/>
      <c r="KIW60" s="12"/>
      <c r="KIX60" s="12"/>
      <c r="KIY60" s="12"/>
      <c r="KIZ60" s="12"/>
      <c r="KJA60" s="12"/>
      <c r="KJB60" s="12"/>
      <c r="KJC60" s="12"/>
      <c r="KJD60" s="12"/>
      <c r="KJE60" s="12"/>
      <c r="KJF60" s="12"/>
      <c r="KJG60" s="12"/>
      <c r="KJH60" s="12"/>
      <c r="KJI60" s="12"/>
      <c r="KJJ60" s="12"/>
      <c r="KJK60" s="12"/>
      <c r="KJL60" s="12"/>
      <c r="KJM60" s="12"/>
      <c r="KJN60" s="12"/>
      <c r="KJO60" s="12"/>
      <c r="KJP60" s="12"/>
      <c r="KJQ60" s="12"/>
      <c r="KJR60" s="12"/>
      <c r="KJS60" s="12"/>
      <c r="KJT60" s="12"/>
      <c r="KJU60" s="12"/>
      <c r="KJV60" s="12"/>
      <c r="KJW60" s="12"/>
      <c r="KJX60" s="12"/>
      <c r="KJY60" s="12"/>
      <c r="KJZ60" s="12"/>
      <c r="KKA60" s="12"/>
      <c r="KKB60" s="12"/>
      <c r="KKC60" s="12"/>
      <c r="KKD60" s="12"/>
      <c r="KKE60" s="12"/>
      <c r="KKF60" s="12"/>
      <c r="KKG60" s="12"/>
      <c r="KKH60" s="12"/>
      <c r="KKI60" s="12"/>
      <c r="KKJ60" s="12"/>
      <c r="KKK60" s="12"/>
      <c r="KKL60" s="12"/>
      <c r="KKM60" s="12"/>
      <c r="KKN60" s="12"/>
      <c r="KKO60" s="12"/>
      <c r="KKP60" s="12"/>
      <c r="KKQ60" s="12"/>
      <c r="KKR60" s="12"/>
      <c r="KKS60" s="12"/>
      <c r="KKT60" s="12"/>
      <c r="KKU60" s="12"/>
      <c r="KKV60" s="12"/>
      <c r="KKW60" s="12"/>
      <c r="KKX60" s="12"/>
      <c r="KKY60" s="12"/>
      <c r="KKZ60" s="12"/>
      <c r="KLA60" s="12"/>
      <c r="KLB60" s="12"/>
      <c r="KLC60" s="12"/>
      <c r="KLD60" s="12"/>
      <c r="KLE60" s="12"/>
      <c r="KLF60" s="12"/>
      <c r="KLG60" s="12"/>
      <c r="KLH60" s="12"/>
      <c r="KLI60" s="12"/>
      <c r="KLJ60" s="12"/>
      <c r="KLK60" s="12"/>
      <c r="KLL60" s="12"/>
      <c r="KLM60" s="12"/>
      <c r="KLN60" s="12"/>
      <c r="KLO60" s="12"/>
      <c r="KLP60" s="12"/>
      <c r="KLQ60" s="12"/>
      <c r="KLR60" s="12"/>
      <c r="KLS60" s="12"/>
      <c r="KLT60" s="12"/>
      <c r="KLU60" s="12"/>
      <c r="KLV60" s="12"/>
      <c r="KLW60" s="12"/>
      <c r="KLX60" s="12"/>
      <c r="KLY60" s="12"/>
      <c r="KLZ60" s="12"/>
      <c r="KMA60" s="12"/>
      <c r="KMB60" s="12"/>
      <c r="KMC60" s="12"/>
      <c r="KMD60" s="12"/>
      <c r="KME60" s="12"/>
      <c r="KMF60" s="12"/>
      <c r="KMG60" s="12"/>
      <c r="KMH60" s="12"/>
      <c r="KMI60" s="12"/>
      <c r="KMJ60" s="12"/>
      <c r="KMK60" s="12"/>
      <c r="KML60" s="12"/>
      <c r="KMM60" s="12"/>
      <c r="KMN60" s="12"/>
      <c r="KMO60" s="12"/>
      <c r="KMP60" s="12"/>
      <c r="KMQ60" s="12"/>
      <c r="KMR60" s="12"/>
      <c r="KMS60" s="12"/>
      <c r="KMT60" s="12"/>
      <c r="KMU60" s="12"/>
      <c r="KMV60" s="12"/>
      <c r="KMW60" s="12"/>
      <c r="KMX60" s="12"/>
      <c r="KMY60" s="12"/>
      <c r="KMZ60" s="12"/>
      <c r="KNA60" s="12"/>
      <c r="KNB60" s="12"/>
      <c r="KNC60" s="12"/>
      <c r="KND60" s="12"/>
      <c r="KNE60" s="12"/>
      <c r="KNF60" s="12"/>
      <c r="KNG60" s="12"/>
      <c r="KNH60" s="12"/>
      <c r="KNI60" s="12"/>
      <c r="KNJ60" s="12"/>
      <c r="KNK60" s="12"/>
      <c r="KNL60" s="12"/>
      <c r="KNM60" s="12"/>
      <c r="KNN60" s="12"/>
      <c r="KNO60" s="12"/>
      <c r="KNP60" s="12"/>
      <c r="KNQ60" s="12"/>
      <c r="KNR60" s="12"/>
      <c r="KNS60" s="12"/>
      <c r="KNT60" s="12"/>
      <c r="KNU60" s="12"/>
      <c r="KNV60" s="12"/>
      <c r="KNW60" s="12"/>
      <c r="KNX60" s="12"/>
      <c r="KNY60" s="12"/>
      <c r="KNZ60" s="12"/>
      <c r="KOA60" s="12"/>
      <c r="KOB60" s="12"/>
      <c r="KOC60" s="12"/>
      <c r="KOD60" s="12"/>
      <c r="KOE60" s="12"/>
      <c r="KOF60" s="12"/>
      <c r="KOG60" s="12"/>
      <c r="KOH60" s="12"/>
      <c r="KOI60" s="12"/>
      <c r="KOJ60" s="12"/>
      <c r="KOK60" s="12"/>
      <c r="KOL60" s="12"/>
      <c r="KOM60" s="12"/>
      <c r="KON60" s="12"/>
      <c r="KOO60" s="12"/>
      <c r="KOP60" s="12"/>
      <c r="KOQ60" s="12"/>
      <c r="KOR60" s="12"/>
      <c r="KOS60" s="12"/>
      <c r="KOT60" s="12"/>
      <c r="KOU60" s="12"/>
      <c r="KOV60" s="12"/>
      <c r="KOW60" s="12"/>
      <c r="KOX60" s="12"/>
      <c r="KOY60" s="12"/>
      <c r="KOZ60" s="12"/>
      <c r="KPA60" s="12"/>
      <c r="KPB60" s="12"/>
      <c r="KPC60" s="12"/>
      <c r="KPD60" s="12"/>
      <c r="KPE60" s="12"/>
      <c r="KPF60" s="12"/>
      <c r="KPG60" s="12"/>
      <c r="KPH60" s="12"/>
      <c r="KPI60" s="12"/>
      <c r="KPJ60" s="12"/>
      <c r="KPK60" s="12"/>
      <c r="KPL60" s="12"/>
      <c r="KPM60" s="12"/>
      <c r="KPN60" s="12"/>
      <c r="KPO60" s="12"/>
      <c r="KPP60" s="12"/>
      <c r="KPQ60" s="12"/>
      <c r="KPR60" s="12"/>
      <c r="KPS60" s="12"/>
      <c r="KPT60" s="12"/>
      <c r="KPU60" s="12"/>
      <c r="KPV60" s="12"/>
      <c r="KPW60" s="12"/>
      <c r="KPX60" s="12"/>
      <c r="KPY60" s="12"/>
      <c r="KPZ60" s="12"/>
      <c r="KQA60" s="12"/>
      <c r="KQB60" s="12"/>
      <c r="KQC60" s="12"/>
      <c r="KQD60" s="12"/>
      <c r="KQE60" s="12"/>
      <c r="KQF60" s="12"/>
      <c r="KQG60" s="12"/>
      <c r="KQH60" s="12"/>
      <c r="KQI60" s="12"/>
      <c r="KQJ60" s="12"/>
      <c r="KQK60" s="12"/>
      <c r="KQL60" s="12"/>
      <c r="KQM60" s="12"/>
      <c r="KQN60" s="12"/>
      <c r="KQO60" s="12"/>
      <c r="KQP60" s="12"/>
      <c r="KQQ60" s="12"/>
      <c r="KQR60" s="12"/>
      <c r="KQS60" s="12"/>
      <c r="KQT60" s="12"/>
      <c r="KQU60" s="12"/>
      <c r="KQV60" s="12"/>
      <c r="KQW60" s="12"/>
      <c r="KQX60" s="12"/>
      <c r="KQY60" s="12"/>
      <c r="KQZ60" s="12"/>
      <c r="KRA60" s="12"/>
      <c r="KRB60" s="12"/>
      <c r="KRC60" s="12"/>
      <c r="KRD60" s="12"/>
      <c r="KRE60" s="12"/>
      <c r="KRF60" s="12"/>
      <c r="KRG60" s="12"/>
      <c r="KRH60" s="12"/>
      <c r="KRI60" s="12"/>
      <c r="KRJ60" s="12"/>
      <c r="KRK60" s="12"/>
      <c r="KRL60" s="12"/>
      <c r="KRM60" s="12"/>
      <c r="KRN60" s="12"/>
      <c r="KRO60" s="12"/>
      <c r="KRP60" s="12"/>
      <c r="KRQ60" s="12"/>
      <c r="KRR60" s="12"/>
      <c r="KRS60" s="12"/>
      <c r="KRT60" s="12"/>
      <c r="KRU60" s="12"/>
      <c r="KRV60" s="12"/>
      <c r="KRW60" s="12"/>
      <c r="KRX60" s="12"/>
      <c r="KRY60" s="12"/>
      <c r="KRZ60" s="12"/>
      <c r="KSA60" s="12"/>
      <c r="KSB60" s="12"/>
      <c r="KSC60" s="12"/>
      <c r="KSD60" s="12"/>
      <c r="KSE60" s="12"/>
      <c r="KSF60" s="12"/>
      <c r="KSG60" s="12"/>
      <c r="KSH60" s="12"/>
      <c r="KSI60" s="12"/>
      <c r="KSJ60" s="12"/>
      <c r="KSK60" s="12"/>
      <c r="KSL60" s="12"/>
      <c r="KSM60" s="12"/>
      <c r="KSN60" s="12"/>
      <c r="KSO60" s="12"/>
      <c r="KSP60" s="12"/>
      <c r="KSQ60" s="12"/>
      <c r="KSR60" s="12"/>
      <c r="KSS60" s="12"/>
      <c r="KST60" s="12"/>
      <c r="KSU60" s="12"/>
      <c r="KSV60" s="12"/>
      <c r="KSW60" s="12"/>
      <c r="KSX60" s="12"/>
      <c r="KSY60" s="12"/>
      <c r="KSZ60" s="12"/>
      <c r="KTA60" s="12"/>
      <c r="KTB60" s="12"/>
      <c r="KTC60" s="12"/>
      <c r="KTD60" s="12"/>
      <c r="KTE60" s="12"/>
      <c r="KTF60" s="12"/>
      <c r="KTG60" s="12"/>
      <c r="KTH60" s="12"/>
      <c r="KTI60" s="12"/>
      <c r="KTJ60" s="12"/>
      <c r="KTK60" s="12"/>
      <c r="KTL60" s="12"/>
      <c r="KTM60" s="12"/>
      <c r="KTN60" s="12"/>
      <c r="KTO60" s="12"/>
      <c r="KTP60" s="12"/>
      <c r="KTQ60" s="12"/>
      <c r="KTR60" s="12"/>
      <c r="KTS60" s="12"/>
      <c r="KTT60" s="12"/>
      <c r="KTU60" s="12"/>
      <c r="KTV60" s="12"/>
      <c r="KTW60" s="12"/>
      <c r="KTX60" s="12"/>
      <c r="KTY60" s="12"/>
      <c r="KTZ60" s="12"/>
      <c r="KUA60" s="12"/>
      <c r="KUB60" s="12"/>
      <c r="KUC60" s="12"/>
      <c r="KUD60" s="12"/>
      <c r="KUE60" s="12"/>
      <c r="KUF60" s="12"/>
      <c r="KUG60" s="12"/>
      <c r="KUH60" s="12"/>
      <c r="KUI60" s="12"/>
      <c r="KUJ60" s="12"/>
      <c r="KUK60" s="12"/>
      <c r="KUL60" s="12"/>
      <c r="KUM60" s="12"/>
      <c r="KUN60" s="12"/>
      <c r="KUO60" s="12"/>
      <c r="KUP60" s="12"/>
      <c r="KUQ60" s="12"/>
      <c r="KUR60" s="12"/>
      <c r="KUS60" s="12"/>
      <c r="KUT60" s="12"/>
      <c r="KUU60" s="12"/>
      <c r="KUV60" s="12"/>
      <c r="KUW60" s="12"/>
      <c r="KUX60" s="12"/>
      <c r="KUY60" s="12"/>
      <c r="KUZ60" s="12"/>
      <c r="KVA60" s="12"/>
      <c r="KVB60" s="12"/>
      <c r="KVC60" s="12"/>
      <c r="KVD60" s="12"/>
      <c r="KVE60" s="12"/>
      <c r="KVF60" s="12"/>
      <c r="KVG60" s="12"/>
      <c r="KVH60" s="12"/>
      <c r="KVI60" s="12"/>
      <c r="KVJ60" s="12"/>
      <c r="KVK60" s="12"/>
      <c r="KVL60" s="12"/>
      <c r="KVM60" s="12"/>
      <c r="KVN60" s="12"/>
      <c r="KVO60" s="12"/>
      <c r="KVP60" s="12"/>
      <c r="KVQ60" s="12"/>
      <c r="KVR60" s="12"/>
      <c r="KVS60" s="12"/>
      <c r="KVT60" s="12"/>
      <c r="KVU60" s="12"/>
      <c r="KVV60" s="12"/>
      <c r="KVW60" s="12"/>
      <c r="KVX60" s="12"/>
      <c r="KVY60" s="12"/>
      <c r="KVZ60" s="12"/>
      <c r="KWA60" s="12"/>
      <c r="KWB60" s="12"/>
      <c r="KWC60" s="12"/>
      <c r="KWD60" s="12"/>
      <c r="KWE60" s="12"/>
      <c r="KWF60" s="12"/>
      <c r="KWG60" s="12"/>
      <c r="KWH60" s="12"/>
      <c r="KWI60" s="12"/>
      <c r="KWJ60" s="12"/>
      <c r="KWK60" s="12"/>
      <c r="KWL60" s="12"/>
      <c r="KWM60" s="12"/>
      <c r="KWN60" s="12"/>
      <c r="KWO60" s="12"/>
      <c r="KWP60" s="12"/>
      <c r="KWQ60" s="12"/>
      <c r="KWR60" s="12"/>
      <c r="KWS60" s="12"/>
      <c r="KWT60" s="12"/>
      <c r="KWU60" s="12"/>
      <c r="KWV60" s="12"/>
      <c r="KWW60" s="12"/>
      <c r="KWX60" s="12"/>
      <c r="KWY60" s="12"/>
      <c r="KWZ60" s="12"/>
      <c r="KXA60" s="12"/>
      <c r="KXB60" s="12"/>
      <c r="KXC60" s="12"/>
      <c r="KXD60" s="12"/>
      <c r="KXE60" s="12"/>
      <c r="KXF60" s="12"/>
      <c r="KXG60" s="12"/>
      <c r="KXH60" s="12"/>
      <c r="KXI60" s="12"/>
      <c r="KXJ60" s="12"/>
      <c r="KXK60" s="12"/>
      <c r="KXL60" s="12"/>
      <c r="KXM60" s="12"/>
      <c r="KXN60" s="12"/>
      <c r="KXO60" s="12"/>
      <c r="KXP60" s="12"/>
      <c r="KXQ60" s="12"/>
      <c r="KXR60" s="12"/>
      <c r="KXS60" s="12"/>
      <c r="KXT60" s="12"/>
      <c r="KXU60" s="12"/>
      <c r="KXV60" s="12"/>
      <c r="KXW60" s="12"/>
      <c r="KXX60" s="12"/>
      <c r="KXY60" s="12"/>
      <c r="KXZ60" s="12"/>
      <c r="KYA60" s="12"/>
      <c r="KYB60" s="12"/>
      <c r="KYC60" s="12"/>
      <c r="KYD60" s="12"/>
      <c r="KYE60" s="12"/>
      <c r="KYF60" s="12"/>
      <c r="KYG60" s="12"/>
      <c r="KYH60" s="12"/>
      <c r="KYI60" s="12"/>
      <c r="KYJ60" s="12"/>
      <c r="KYK60" s="12"/>
      <c r="KYL60" s="12"/>
      <c r="KYM60" s="12"/>
      <c r="KYN60" s="12"/>
      <c r="KYO60" s="12"/>
      <c r="KYP60" s="12"/>
      <c r="KYQ60" s="12"/>
      <c r="KYR60" s="12"/>
      <c r="KYS60" s="12"/>
      <c r="KYT60" s="12"/>
      <c r="KYU60" s="12"/>
      <c r="KYV60" s="12"/>
      <c r="KYW60" s="12"/>
      <c r="KYX60" s="12"/>
      <c r="KYY60" s="12"/>
      <c r="KYZ60" s="12"/>
      <c r="KZA60" s="12"/>
      <c r="KZB60" s="12"/>
      <c r="KZC60" s="12"/>
      <c r="KZD60" s="12"/>
      <c r="KZE60" s="12"/>
      <c r="KZF60" s="12"/>
      <c r="KZG60" s="12"/>
      <c r="KZH60" s="12"/>
      <c r="KZI60" s="12"/>
      <c r="KZJ60" s="12"/>
      <c r="KZK60" s="12"/>
      <c r="KZL60" s="12"/>
      <c r="KZM60" s="12"/>
      <c r="KZN60" s="12"/>
      <c r="KZO60" s="12"/>
      <c r="KZP60" s="12"/>
      <c r="KZQ60" s="12"/>
      <c r="KZR60" s="12"/>
      <c r="KZS60" s="12"/>
      <c r="KZT60" s="12"/>
      <c r="KZU60" s="12"/>
      <c r="KZV60" s="12"/>
      <c r="KZW60" s="12"/>
      <c r="KZX60" s="12"/>
      <c r="KZY60" s="12"/>
      <c r="KZZ60" s="12"/>
      <c r="LAA60" s="12"/>
      <c r="LAB60" s="12"/>
      <c r="LAC60" s="12"/>
      <c r="LAD60" s="12"/>
      <c r="LAE60" s="12"/>
      <c r="LAF60" s="12"/>
      <c r="LAG60" s="12"/>
      <c r="LAH60" s="12"/>
      <c r="LAI60" s="12"/>
      <c r="LAJ60" s="12"/>
      <c r="LAK60" s="12"/>
      <c r="LAL60" s="12"/>
      <c r="LAM60" s="12"/>
      <c r="LAN60" s="12"/>
      <c r="LAO60" s="12"/>
      <c r="LAP60" s="12"/>
      <c r="LAQ60" s="12"/>
      <c r="LAR60" s="12"/>
      <c r="LAS60" s="12"/>
      <c r="LAT60" s="12"/>
      <c r="LAU60" s="12"/>
      <c r="LAV60" s="12"/>
      <c r="LAW60" s="12"/>
      <c r="LAX60" s="12"/>
      <c r="LAY60" s="12"/>
      <c r="LAZ60" s="12"/>
      <c r="LBA60" s="12"/>
      <c r="LBB60" s="12"/>
      <c r="LBC60" s="12"/>
      <c r="LBD60" s="12"/>
      <c r="LBE60" s="12"/>
      <c r="LBF60" s="12"/>
      <c r="LBG60" s="12"/>
      <c r="LBH60" s="12"/>
      <c r="LBI60" s="12"/>
      <c r="LBJ60" s="12"/>
      <c r="LBK60" s="12"/>
      <c r="LBL60" s="12"/>
      <c r="LBM60" s="12"/>
      <c r="LBN60" s="12"/>
      <c r="LBO60" s="12"/>
      <c r="LBP60" s="12"/>
      <c r="LBQ60" s="12"/>
      <c r="LBR60" s="12"/>
      <c r="LBS60" s="12"/>
      <c r="LBT60" s="12"/>
      <c r="LBU60" s="12"/>
      <c r="LBV60" s="12"/>
      <c r="LBW60" s="12"/>
      <c r="LBX60" s="12"/>
      <c r="LBY60" s="12"/>
      <c r="LBZ60" s="12"/>
      <c r="LCA60" s="12"/>
      <c r="LCB60" s="12"/>
      <c r="LCC60" s="12"/>
      <c r="LCD60" s="12"/>
      <c r="LCE60" s="12"/>
      <c r="LCF60" s="12"/>
      <c r="LCG60" s="12"/>
      <c r="LCH60" s="12"/>
      <c r="LCI60" s="12"/>
      <c r="LCJ60" s="12"/>
      <c r="LCK60" s="12"/>
      <c r="LCL60" s="12"/>
      <c r="LCM60" s="12"/>
      <c r="LCN60" s="12"/>
      <c r="LCO60" s="12"/>
      <c r="LCP60" s="12"/>
      <c r="LCQ60" s="12"/>
      <c r="LCR60" s="12"/>
      <c r="LCS60" s="12"/>
      <c r="LCT60" s="12"/>
      <c r="LCU60" s="12"/>
      <c r="LCV60" s="12"/>
      <c r="LCW60" s="12"/>
      <c r="LCX60" s="12"/>
      <c r="LCY60" s="12"/>
      <c r="LCZ60" s="12"/>
      <c r="LDA60" s="12"/>
      <c r="LDB60" s="12"/>
      <c r="LDC60" s="12"/>
      <c r="LDD60" s="12"/>
      <c r="LDE60" s="12"/>
      <c r="LDF60" s="12"/>
      <c r="LDG60" s="12"/>
      <c r="LDH60" s="12"/>
      <c r="LDI60" s="12"/>
      <c r="LDJ60" s="12"/>
      <c r="LDK60" s="12"/>
      <c r="LDL60" s="12"/>
      <c r="LDM60" s="12"/>
      <c r="LDN60" s="12"/>
      <c r="LDO60" s="12"/>
      <c r="LDP60" s="12"/>
      <c r="LDQ60" s="12"/>
      <c r="LDR60" s="12"/>
      <c r="LDS60" s="12"/>
      <c r="LDT60" s="12"/>
      <c r="LDU60" s="12"/>
      <c r="LDV60" s="12"/>
      <c r="LDW60" s="12"/>
      <c r="LDX60" s="12"/>
      <c r="LDY60" s="12"/>
      <c r="LDZ60" s="12"/>
      <c r="LEA60" s="12"/>
      <c r="LEB60" s="12"/>
      <c r="LEC60" s="12"/>
      <c r="LED60" s="12"/>
      <c r="LEE60" s="12"/>
      <c r="LEF60" s="12"/>
      <c r="LEG60" s="12"/>
      <c r="LEH60" s="12"/>
      <c r="LEI60" s="12"/>
      <c r="LEJ60" s="12"/>
      <c r="LEK60" s="12"/>
      <c r="LEL60" s="12"/>
      <c r="LEM60" s="12"/>
      <c r="LEN60" s="12"/>
      <c r="LEO60" s="12"/>
      <c r="LEP60" s="12"/>
      <c r="LEQ60" s="12"/>
      <c r="LER60" s="12"/>
      <c r="LES60" s="12"/>
      <c r="LET60" s="12"/>
      <c r="LEU60" s="12"/>
      <c r="LEV60" s="12"/>
      <c r="LEW60" s="12"/>
      <c r="LEX60" s="12"/>
      <c r="LEY60" s="12"/>
      <c r="LEZ60" s="12"/>
      <c r="LFA60" s="12"/>
      <c r="LFB60" s="12"/>
      <c r="LFC60" s="12"/>
      <c r="LFD60" s="12"/>
      <c r="LFE60" s="12"/>
      <c r="LFF60" s="12"/>
      <c r="LFG60" s="12"/>
      <c r="LFH60" s="12"/>
      <c r="LFI60" s="12"/>
      <c r="LFJ60" s="12"/>
      <c r="LFK60" s="12"/>
      <c r="LFL60" s="12"/>
      <c r="LFM60" s="12"/>
      <c r="LFN60" s="12"/>
      <c r="LFO60" s="12"/>
      <c r="LFP60" s="12"/>
      <c r="LFQ60" s="12"/>
      <c r="LFR60" s="12"/>
      <c r="LFS60" s="12"/>
      <c r="LFT60" s="12"/>
      <c r="LFU60" s="12"/>
      <c r="LFV60" s="12"/>
      <c r="LFW60" s="12"/>
      <c r="LFX60" s="12"/>
      <c r="LFY60" s="12"/>
      <c r="LFZ60" s="12"/>
      <c r="LGA60" s="12"/>
      <c r="LGB60" s="12"/>
      <c r="LGC60" s="12"/>
      <c r="LGD60" s="12"/>
      <c r="LGE60" s="12"/>
      <c r="LGF60" s="12"/>
      <c r="LGG60" s="12"/>
      <c r="LGH60" s="12"/>
      <c r="LGI60" s="12"/>
      <c r="LGJ60" s="12"/>
      <c r="LGK60" s="12"/>
      <c r="LGL60" s="12"/>
      <c r="LGM60" s="12"/>
      <c r="LGN60" s="12"/>
      <c r="LGO60" s="12"/>
      <c r="LGP60" s="12"/>
      <c r="LGQ60" s="12"/>
      <c r="LGR60" s="12"/>
      <c r="LGS60" s="12"/>
      <c r="LGT60" s="12"/>
      <c r="LGU60" s="12"/>
      <c r="LGV60" s="12"/>
      <c r="LGW60" s="12"/>
      <c r="LGX60" s="12"/>
      <c r="LGY60" s="12"/>
      <c r="LGZ60" s="12"/>
      <c r="LHA60" s="12"/>
      <c r="LHB60" s="12"/>
      <c r="LHC60" s="12"/>
      <c r="LHD60" s="12"/>
      <c r="LHE60" s="12"/>
      <c r="LHF60" s="12"/>
      <c r="LHG60" s="12"/>
      <c r="LHH60" s="12"/>
      <c r="LHI60" s="12"/>
      <c r="LHJ60" s="12"/>
      <c r="LHK60" s="12"/>
      <c r="LHL60" s="12"/>
      <c r="LHM60" s="12"/>
      <c r="LHN60" s="12"/>
      <c r="LHO60" s="12"/>
      <c r="LHP60" s="12"/>
      <c r="LHQ60" s="12"/>
      <c r="LHR60" s="12"/>
      <c r="LHS60" s="12"/>
      <c r="LHT60" s="12"/>
      <c r="LHU60" s="12"/>
      <c r="LHV60" s="12"/>
      <c r="LHW60" s="12"/>
      <c r="LHX60" s="12"/>
      <c r="LHY60" s="12"/>
      <c r="LHZ60" s="12"/>
      <c r="LIA60" s="12"/>
      <c r="LIB60" s="12"/>
      <c r="LIC60" s="12"/>
      <c r="LID60" s="12"/>
      <c r="LIE60" s="12"/>
      <c r="LIF60" s="12"/>
      <c r="LIG60" s="12"/>
      <c r="LIH60" s="12"/>
      <c r="LII60" s="12"/>
      <c r="LIJ60" s="12"/>
      <c r="LIK60" s="12"/>
      <c r="LIL60" s="12"/>
      <c r="LIM60" s="12"/>
      <c r="LIN60" s="12"/>
      <c r="LIO60" s="12"/>
      <c r="LIP60" s="12"/>
      <c r="LIQ60" s="12"/>
      <c r="LIR60" s="12"/>
      <c r="LIS60" s="12"/>
      <c r="LIT60" s="12"/>
      <c r="LIU60" s="12"/>
      <c r="LIV60" s="12"/>
      <c r="LIW60" s="12"/>
      <c r="LIX60" s="12"/>
      <c r="LIY60" s="12"/>
      <c r="LIZ60" s="12"/>
      <c r="LJA60" s="12"/>
      <c r="LJB60" s="12"/>
      <c r="LJC60" s="12"/>
      <c r="LJD60" s="12"/>
      <c r="LJE60" s="12"/>
      <c r="LJF60" s="12"/>
      <c r="LJG60" s="12"/>
      <c r="LJH60" s="12"/>
      <c r="LJI60" s="12"/>
      <c r="LJJ60" s="12"/>
      <c r="LJK60" s="12"/>
      <c r="LJL60" s="12"/>
      <c r="LJM60" s="12"/>
      <c r="LJN60" s="12"/>
      <c r="LJO60" s="12"/>
      <c r="LJP60" s="12"/>
      <c r="LJQ60" s="12"/>
      <c r="LJR60" s="12"/>
      <c r="LJS60" s="12"/>
      <c r="LJT60" s="12"/>
      <c r="LJU60" s="12"/>
      <c r="LJV60" s="12"/>
      <c r="LJW60" s="12"/>
      <c r="LJX60" s="12"/>
      <c r="LJY60" s="12"/>
      <c r="LJZ60" s="12"/>
      <c r="LKA60" s="12"/>
      <c r="LKB60" s="12"/>
      <c r="LKC60" s="12"/>
      <c r="LKD60" s="12"/>
      <c r="LKE60" s="12"/>
      <c r="LKF60" s="12"/>
      <c r="LKG60" s="12"/>
      <c r="LKH60" s="12"/>
      <c r="LKI60" s="12"/>
      <c r="LKJ60" s="12"/>
      <c r="LKK60" s="12"/>
      <c r="LKL60" s="12"/>
      <c r="LKM60" s="12"/>
      <c r="LKN60" s="12"/>
      <c r="LKO60" s="12"/>
      <c r="LKP60" s="12"/>
      <c r="LKQ60" s="12"/>
      <c r="LKR60" s="12"/>
      <c r="LKS60" s="12"/>
      <c r="LKT60" s="12"/>
      <c r="LKU60" s="12"/>
      <c r="LKV60" s="12"/>
      <c r="LKW60" s="12"/>
      <c r="LKX60" s="12"/>
      <c r="LKY60" s="12"/>
      <c r="LKZ60" s="12"/>
      <c r="LLA60" s="12"/>
      <c r="LLB60" s="12"/>
      <c r="LLC60" s="12"/>
      <c r="LLD60" s="12"/>
      <c r="LLE60" s="12"/>
      <c r="LLF60" s="12"/>
      <c r="LLG60" s="12"/>
      <c r="LLH60" s="12"/>
      <c r="LLI60" s="12"/>
      <c r="LLJ60" s="12"/>
      <c r="LLK60" s="12"/>
      <c r="LLL60" s="12"/>
      <c r="LLM60" s="12"/>
      <c r="LLN60" s="12"/>
      <c r="LLO60" s="12"/>
      <c r="LLP60" s="12"/>
      <c r="LLQ60" s="12"/>
      <c r="LLR60" s="12"/>
      <c r="LLS60" s="12"/>
      <c r="LLT60" s="12"/>
      <c r="LLU60" s="12"/>
      <c r="LLV60" s="12"/>
      <c r="LLW60" s="12"/>
      <c r="LLX60" s="12"/>
      <c r="LLY60" s="12"/>
      <c r="LLZ60" s="12"/>
      <c r="LMA60" s="12"/>
      <c r="LMB60" s="12"/>
      <c r="LMC60" s="12"/>
      <c r="LMD60" s="12"/>
      <c r="LME60" s="12"/>
      <c r="LMF60" s="12"/>
      <c r="LMG60" s="12"/>
      <c r="LMH60" s="12"/>
      <c r="LMI60" s="12"/>
      <c r="LMJ60" s="12"/>
      <c r="LMK60" s="12"/>
      <c r="LML60" s="12"/>
      <c r="LMM60" s="12"/>
      <c r="LMN60" s="12"/>
      <c r="LMO60" s="12"/>
      <c r="LMP60" s="12"/>
      <c r="LMQ60" s="12"/>
      <c r="LMR60" s="12"/>
      <c r="LMS60" s="12"/>
      <c r="LMT60" s="12"/>
      <c r="LMU60" s="12"/>
      <c r="LMV60" s="12"/>
      <c r="LMW60" s="12"/>
      <c r="LMX60" s="12"/>
      <c r="LMY60" s="12"/>
      <c r="LMZ60" s="12"/>
      <c r="LNA60" s="12"/>
      <c r="LNB60" s="12"/>
      <c r="LNC60" s="12"/>
      <c r="LND60" s="12"/>
      <c r="LNE60" s="12"/>
      <c r="LNF60" s="12"/>
      <c r="LNG60" s="12"/>
      <c r="LNH60" s="12"/>
      <c r="LNI60" s="12"/>
      <c r="LNJ60" s="12"/>
      <c r="LNK60" s="12"/>
      <c r="LNL60" s="12"/>
      <c r="LNM60" s="12"/>
      <c r="LNN60" s="12"/>
      <c r="LNO60" s="12"/>
      <c r="LNP60" s="12"/>
      <c r="LNQ60" s="12"/>
      <c r="LNR60" s="12"/>
      <c r="LNS60" s="12"/>
      <c r="LNT60" s="12"/>
      <c r="LNU60" s="12"/>
      <c r="LNV60" s="12"/>
      <c r="LNW60" s="12"/>
      <c r="LNX60" s="12"/>
      <c r="LNY60" s="12"/>
      <c r="LNZ60" s="12"/>
      <c r="LOA60" s="12"/>
      <c r="LOB60" s="12"/>
      <c r="LOC60" s="12"/>
      <c r="LOD60" s="12"/>
      <c r="LOE60" s="12"/>
      <c r="LOF60" s="12"/>
      <c r="LOG60" s="12"/>
      <c r="LOH60" s="12"/>
      <c r="LOI60" s="12"/>
      <c r="LOJ60" s="12"/>
      <c r="LOK60" s="12"/>
      <c r="LOL60" s="12"/>
      <c r="LOM60" s="12"/>
      <c r="LON60" s="12"/>
      <c r="LOO60" s="12"/>
      <c r="LOP60" s="12"/>
      <c r="LOQ60" s="12"/>
      <c r="LOR60" s="12"/>
      <c r="LOS60" s="12"/>
      <c r="LOT60" s="12"/>
      <c r="LOU60" s="12"/>
      <c r="LOV60" s="12"/>
      <c r="LOW60" s="12"/>
      <c r="LOX60" s="12"/>
      <c r="LOY60" s="12"/>
      <c r="LOZ60" s="12"/>
      <c r="LPA60" s="12"/>
      <c r="LPB60" s="12"/>
      <c r="LPC60" s="12"/>
      <c r="LPD60" s="12"/>
      <c r="LPE60" s="12"/>
      <c r="LPF60" s="12"/>
      <c r="LPG60" s="12"/>
      <c r="LPH60" s="12"/>
      <c r="LPI60" s="12"/>
      <c r="LPJ60" s="12"/>
      <c r="LPK60" s="12"/>
      <c r="LPL60" s="12"/>
      <c r="LPM60" s="12"/>
      <c r="LPN60" s="12"/>
      <c r="LPO60" s="12"/>
      <c r="LPP60" s="12"/>
      <c r="LPQ60" s="12"/>
      <c r="LPR60" s="12"/>
      <c r="LPS60" s="12"/>
      <c r="LPT60" s="12"/>
      <c r="LPU60" s="12"/>
      <c r="LPV60" s="12"/>
      <c r="LPW60" s="12"/>
      <c r="LPX60" s="12"/>
      <c r="LPY60" s="12"/>
      <c r="LPZ60" s="12"/>
      <c r="LQA60" s="12"/>
      <c r="LQB60" s="12"/>
      <c r="LQC60" s="12"/>
      <c r="LQD60" s="12"/>
      <c r="LQE60" s="12"/>
      <c r="LQF60" s="12"/>
      <c r="LQG60" s="12"/>
      <c r="LQH60" s="12"/>
      <c r="LQI60" s="12"/>
      <c r="LQJ60" s="12"/>
      <c r="LQK60" s="12"/>
      <c r="LQL60" s="12"/>
      <c r="LQM60" s="12"/>
      <c r="LQN60" s="12"/>
      <c r="LQO60" s="12"/>
      <c r="LQP60" s="12"/>
      <c r="LQQ60" s="12"/>
      <c r="LQR60" s="12"/>
      <c r="LQS60" s="12"/>
      <c r="LQT60" s="12"/>
      <c r="LQU60" s="12"/>
      <c r="LQV60" s="12"/>
      <c r="LQW60" s="12"/>
      <c r="LQX60" s="12"/>
      <c r="LQY60" s="12"/>
      <c r="LQZ60" s="12"/>
      <c r="LRA60" s="12"/>
      <c r="LRB60" s="12"/>
      <c r="LRC60" s="12"/>
      <c r="LRD60" s="12"/>
      <c r="LRE60" s="12"/>
      <c r="LRF60" s="12"/>
      <c r="LRG60" s="12"/>
      <c r="LRH60" s="12"/>
      <c r="LRI60" s="12"/>
      <c r="LRJ60" s="12"/>
      <c r="LRK60" s="12"/>
      <c r="LRL60" s="12"/>
      <c r="LRM60" s="12"/>
      <c r="LRN60" s="12"/>
      <c r="LRO60" s="12"/>
      <c r="LRP60" s="12"/>
      <c r="LRQ60" s="12"/>
      <c r="LRR60" s="12"/>
      <c r="LRS60" s="12"/>
      <c r="LRT60" s="12"/>
      <c r="LRU60" s="12"/>
      <c r="LRV60" s="12"/>
      <c r="LRW60" s="12"/>
      <c r="LRX60" s="12"/>
      <c r="LRY60" s="12"/>
      <c r="LRZ60" s="12"/>
      <c r="LSA60" s="12"/>
      <c r="LSB60" s="12"/>
      <c r="LSC60" s="12"/>
      <c r="LSD60" s="12"/>
      <c r="LSE60" s="12"/>
      <c r="LSF60" s="12"/>
      <c r="LSG60" s="12"/>
      <c r="LSH60" s="12"/>
      <c r="LSI60" s="12"/>
      <c r="LSJ60" s="12"/>
      <c r="LSK60" s="12"/>
      <c r="LSL60" s="12"/>
      <c r="LSM60" s="12"/>
      <c r="LSN60" s="12"/>
      <c r="LSO60" s="12"/>
      <c r="LSP60" s="12"/>
      <c r="LSQ60" s="12"/>
      <c r="LSR60" s="12"/>
      <c r="LSS60" s="12"/>
      <c r="LST60" s="12"/>
      <c r="LSU60" s="12"/>
      <c r="LSV60" s="12"/>
      <c r="LSW60" s="12"/>
      <c r="LSX60" s="12"/>
      <c r="LSY60" s="12"/>
      <c r="LSZ60" s="12"/>
      <c r="LTA60" s="12"/>
      <c r="LTB60" s="12"/>
      <c r="LTC60" s="12"/>
      <c r="LTD60" s="12"/>
      <c r="LTE60" s="12"/>
      <c r="LTF60" s="12"/>
      <c r="LTG60" s="12"/>
      <c r="LTH60" s="12"/>
      <c r="LTI60" s="12"/>
      <c r="LTJ60" s="12"/>
      <c r="LTK60" s="12"/>
      <c r="LTL60" s="12"/>
      <c r="LTM60" s="12"/>
      <c r="LTN60" s="12"/>
      <c r="LTO60" s="12"/>
      <c r="LTP60" s="12"/>
      <c r="LTQ60" s="12"/>
      <c r="LTR60" s="12"/>
      <c r="LTS60" s="12"/>
      <c r="LTT60" s="12"/>
      <c r="LTU60" s="12"/>
      <c r="LTV60" s="12"/>
      <c r="LTW60" s="12"/>
      <c r="LTX60" s="12"/>
      <c r="LTY60" s="12"/>
      <c r="LTZ60" s="12"/>
      <c r="LUA60" s="12"/>
      <c r="LUB60" s="12"/>
      <c r="LUC60" s="12"/>
      <c r="LUD60" s="12"/>
      <c r="LUE60" s="12"/>
      <c r="LUF60" s="12"/>
      <c r="LUG60" s="12"/>
      <c r="LUH60" s="12"/>
      <c r="LUI60" s="12"/>
      <c r="LUJ60" s="12"/>
      <c r="LUK60" s="12"/>
      <c r="LUL60" s="12"/>
      <c r="LUM60" s="12"/>
      <c r="LUN60" s="12"/>
      <c r="LUO60" s="12"/>
      <c r="LUP60" s="12"/>
      <c r="LUQ60" s="12"/>
      <c r="LUR60" s="12"/>
      <c r="LUS60" s="12"/>
      <c r="LUT60" s="12"/>
      <c r="LUU60" s="12"/>
      <c r="LUV60" s="12"/>
      <c r="LUW60" s="12"/>
      <c r="LUX60" s="12"/>
      <c r="LUY60" s="12"/>
      <c r="LUZ60" s="12"/>
      <c r="LVA60" s="12"/>
      <c r="LVB60" s="12"/>
      <c r="LVC60" s="12"/>
      <c r="LVD60" s="12"/>
      <c r="LVE60" s="12"/>
      <c r="LVF60" s="12"/>
      <c r="LVG60" s="12"/>
      <c r="LVH60" s="12"/>
      <c r="LVI60" s="12"/>
      <c r="LVJ60" s="12"/>
      <c r="LVK60" s="12"/>
      <c r="LVL60" s="12"/>
      <c r="LVM60" s="12"/>
      <c r="LVN60" s="12"/>
      <c r="LVO60" s="12"/>
      <c r="LVP60" s="12"/>
      <c r="LVQ60" s="12"/>
      <c r="LVR60" s="12"/>
      <c r="LVS60" s="12"/>
      <c r="LVT60" s="12"/>
      <c r="LVU60" s="12"/>
      <c r="LVV60" s="12"/>
      <c r="LVW60" s="12"/>
      <c r="LVX60" s="12"/>
      <c r="LVY60" s="12"/>
      <c r="LVZ60" s="12"/>
      <c r="LWA60" s="12"/>
      <c r="LWB60" s="12"/>
      <c r="LWC60" s="12"/>
      <c r="LWD60" s="12"/>
      <c r="LWE60" s="12"/>
      <c r="LWF60" s="12"/>
      <c r="LWG60" s="12"/>
      <c r="LWH60" s="12"/>
      <c r="LWI60" s="12"/>
      <c r="LWJ60" s="12"/>
      <c r="LWK60" s="12"/>
      <c r="LWL60" s="12"/>
      <c r="LWM60" s="12"/>
      <c r="LWN60" s="12"/>
      <c r="LWO60" s="12"/>
      <c r="LWP60" s="12"/>
      <c r="LWQ60" s="12"/>
      <c r="LWR60" s="12"/>
      <c r="LWS60" s="12"/>
      <c r="LWT60" s="12"/>
      <c r="LWU60" s="12"/>
      <c r="LWV60" s="12"/>
      <c r="LWW60" s="12"/>
      <c r="LWX60" s="12"/>
      <c r="LWY60" s="12"/>
      <c r="LWZ60" s="12"/>
      <c r="LXA60" s="12"/>
      <c r="LXB60" s="12"/>
      <c r="LXC60" s="12"/>
      <c r="LXD60" s="12"/>
      <c r="LXE60" s="12"/>
      <c r="LXF60" s="12"/>
      <c r="LXG60" s="12"/>
      <c r="LXH60" s="12"/>
      <c r="LXI60" s="12"/>
      <c r="LXJ60" s="12"/>
      <c r="LXK60" s="12"/>
      <c r="LXL60" s="12"/>
      <c r="LXM60" s="12"/>
      <c r="LXN60" s="12"/>
      <c r="LXO60" s="12"/>
      <c r="LXP60" s="12"/>
      <c r="LXQ60" s="12"/>
      <c r="LXR60" s="12"/>
      <c r="LXS60" s="12"/>
      <c r="LXT60" s="12"/>
      <c r="LXU60" s="12"/>
      <c r="LXV60" s="12"/>
      <c r="LXW60" s="12"/>
      <c r="LXX60" s="12"/>
      <c r="LXY60" s="12"/>
      <c r="LXZ60" s="12"/>
      <c r="LYA60" s="12"/>
      <c r="LYB60" s="12"/>
      <c r="LYC60" s="12"/>
      <c r="LYD60" s="12"/>
      <c r="LYE60" s="12"/>
      <c r="LYF60" s="12"/>
      <c r="LYG60" s="12"/>
      <c r="LYH60" s="12"/>
      <c r="LYI60" s="12"/>
      <c r="LYJ60" s="12"/>
      <c r="LYK60" s="12"/>
      <c r="LYL60" s="12"/>
      <c r="LYM60" s="12"/>
      <c r="LYN60" s="12"/>
      <c r="LYO60" s="12"/>
      <c r="LYP60" s="12"/>
      <c r="LYQ60" s="12"/>
      <c r="LYR60" s="12"/>
      <c r="LYS60" s="12"/>
      <c r="LYT60" s="12"/>
      <c r="LYU60" s="12"/>
      <c r="LYV60" s="12"/>
      <c r="LYW60" s="12"/>
      <c r="LYX60" s="12"/>
      <c r="LYY60" s="12"/>
      <c r="LYZ60" s="12"/>
      <c r="LZA60" s="12"/>
      <c r="LZB60" s="12"/>
      <c r="LZC60" s="12"/>
      <c r="LZD60" s="12"/>
      <c r="LZE60" s="12"/>
      <c r="LZF60" s="12"/>
      <c r="LZG60" s="12"/>
      <c r="LZH60" s="12"/>
      <c r="LZI60" s="12"/>
      <c r="LZJ60" s="12"/>
      <c r="LZK60" s="12"/>
      <c r="LZL60" s="12"/>
      <c r="LZM60" s="12"/>
      <c r="LZN60" s="12"/>
      <c r="LZO60" s="12"/>
      <c r="LZP60" s="12"/>
      <c r="LZQ60" s="12"/>
      <c r="LZR60" s="12"/>
      <c r="LZS60" s="12"/>
      <c r="LZT60" s="12"/>
      <c r="LZU60" s="12"/>
      <c r="LZV60" s="12"/>
      <c r="LZW60" s="12"/>
      <c r="LZX60" s="12"/>
      <c r="LZY60" s="12"/>
      <c r="LZZ60" s="12"/>
      <c r="MAA60" s="12"/>
      <c r="MAB60" s="12"/>
      <c r="MAC60" s="12"/>
      <c r="MAD60" s="12"/>
      <c r="MAE60" s="12"/>
      <c r="MAF60" s="12"/>
      <c r="MAG60" s="12"/>
      <c r="MAH60" s="12"/>
      <c r="MAI60" s="12"/>
      <c r="MAJ60" s="12"/>
      <c r="MAK60" s="12"/>
      <c r="MAL60" s="12"/>
      <c r="MAM60" s="12"/>
      <c r="MAN60" s="12"/>
      <c r="MAO60" s="12"/>
      <c r="MAP60" s="12"/>
      <c r="MAQ60" s="12"/>
      <c r="MAR60" s="12"/>
      <c r="MAS60" s="12"/>
      <c r="MAT60" s="12"/>
      <c r="MAU60" s="12"/>
      <c r="MAV60" s="12"/>
      <c r="MAW60" s="12"/>
      <c r="MAX60" s="12"/>
      <c r="MAY60" s="12"/>
      <c r="MAZ60" s="12"/>
      <c r="MBA60" s="12"/>
      <c r="MBB60" s="12"/>
      <c r="MBC60" s="12"/>
      <c r="MBD60" s="12"/>
      <c r="MBE60" s="12"/>
      <c r="MBF60" s="12"/>
      <c r="MBG60" s="12"/>
      <c r="MBH60" s="12"/>
      <c r="MBI60" s="12"/>
      <c r="MBJ60" s="12"/>
      <c r="MBK60" s="12"/>
      <c r="MBL60" s="12"/>
      <c r="MBM60" s="12"/>
      <c r="MBN60" s="12"/>
      <c r="MBO60" s="12"/>
      <c r="MBP60" s="12"/>
      <c r="MBQ60" s="12"/>
      <c r="MBR60" s="12"/>
      <c r="MBS60" s="12"/>
      <c r="MBT60" s="12"/>
      <c r="MBU60" s="12"/>
      <c r="MBV60" s="12"/>
      <c r="MBW60" s="12"/>
      <c r="MBX60" s="12"/>
      <c r="MBY60" s="12"/>
      <c r="MBZ60" s="12"/>
      <c r="MCA60" s="12"/>
      <c r="MCB60" s="12"/>
      <c r="MCC60" s="12"/>
      <c r="MCD60" s="12"/>
      <c r="MCE60" s="12"/>
      <c r="MCF60" s="12"/>
      <c r="MCG60" s="12"/>
      <c r="MCH60" s="12"/>
      <c r="MCI60" s="12"/>
      <c r="MCJ60" s="12"/>
      <c r="MCK60" s="12"/>
      <c r="MCL60" s="12"/>
      <c r="MCM60" s="12"/>
      <c r="MCN60" s="12"/>
      <c r="MCO60" s="12"/>
      <c r="MCP60" s="12"/>
      <c r="MCQ60" s="12"/>
      <c r="MCR60" s="12"/>
      <c r="MCS60" s="12"/>
      <c r="MCT60" s="12"/>
      <c r="MCU60" s="12"/>
      <c r="MCV60" s="12"/>
      <c r="MCW60" s="12"/>
      <c r="MCX60" s="12"/>
      <c r="MCY60" s="12"/>
      <c r="MCZ60" s="12"/>
      <c r="MDA60" s="12"/>
      <c r="MDB60" s="12"/>
      <c r="MDC60" s="12"/>
      <c r="MDD60" s="12"/>
      <c r="MDE60" s="12"/>
      <c r="MDF60" s="12"/>
      <c r="MDG60" s="12"/>
      <c r="MDH60" s="12"/>
      <c r="MDI60" s="12"/>
      <c r="MDJ60" s="12"/>
      <c r="MDK60" s="12"/>
      <c r="MDL60" s="12"/>
      <c r="MDM60" s="12"/>
      <c r="MDN60" s="12"/>
      <c r="MDO60" s="12"/>
      <c r="MDP60" s="12"/>
      <c r="MDQ60" s="12"/>
      <c r="MDR60" s="12"/>
      <c r="MDS60" s="12"/>
      <c r="MDT60" s="12"/>
      <c r="MDU60" s="12"/>
      <c r="MDV60" s="12"/>
      <c r="MDW60" s="12"/>
      <c r="MDX60" s="12"/>
      <c r="MDY60" s="12"/>
      <c r="MDZ60" s="12"/>
      <c r="MEA60" s="12"/>
      <c r="MEB60" s="12"/>
      <c r="MEC60" s="12"/>
      <c r="MED60" s="12"/>
      <c r="MEE60" s="12"/>
      <c r="MEF60" s="12"/>
      <c r="MEG60" s="12"/>
      <c r="MEH60" s="12"/>
      <c r="MEI60" s="12"/>
      <c r="MEJ60" s="12"/>
      <c r="MEK60" s="12"/>
      <c r="MEL60" s="12"/>
      <c r="MEM60" s="12"/>
      <c r="MEN60" s="12"/>
      <c r="MEO60" s="12"/>
      <c r="MEP60" s="12"/>
      <c r="MEQ60" s="12"/>
      <c r="MER60" s="12"/>
      <c r="MES60" s="12"/>
      <c r="MET60" s="12"/>
      <c r="MEU60" s="12"/>
      <c r="MEV60" s="12"/>
      <c r="MEW60" s="12"/>
      <c r="MEX60" s="12"/>
      <c r="MEY60" s="12"/>
      <c r="MEZ60" s="12"/>
      <c r="MFA60" s="12"/>
      <c r="MFB60" s="12"/>
      <c r="MFC60" s="12"/>
      <c r="MFD60" s="12"/>
      <c r="MFE60" s="12"/>
      <c r="MFF60" s="12"/>
      <c r="MFG60" s="12"/>
      <c r="MFH60" s="12"/>
      <c r="MFI60" s="12"/>
      <c r="MFJ60" s="12"/>
      <c r="MFK60" s="12"/>
      <c r="MFL60" s="12"/>
      <c r="MFM60" s="12"/>
      <c r="MFN60" s="12"/>
      <c r="MFO60" s="12"/>
      <c r="MFP60" s="12"/>
      <c r="MFQ60" s="12"/>
      <c r="MFR60" s="12"/>
      <c r="MFS60" s="12"/>
      <c r="MFT60" s="12"/>
      <c r="MFU60" s="12"/>
      <c r="MFV60" s="12"/>
      <c r="MFW60" s="12"/>
      <c r="MFX60" s="12"/>
      <c r="MFY60" s="12"/>
      <c r="MFZ60" s="12"/>
      <c r="MGA60" s="12"/>
      <c r="MGB60" s="12"/>
      <c r="MGC60" s="12"/>
      <c r="MGD60" s="12"/>
      <c r="MGE60" s="12"/>
      <c r="MGF60" s="12"/>
      <c r="MGG60" s="12"/>
      <c r="MGH60" s="12"/>
      <c r="MGI60" s="12"/>
      <c r="MGJ60" s="12"/>
      <c r="MGK60" s="12"/>
      <c r="MGL60" s="12"/>
      <c r="MGM60" s="12"/>
      <c r="MGN60" s="12"/>
      <c r="MGO60" s="12"/>
      <c r="MGP60" s="12"/>
      <c r="MGQ60" s="12"/>
      <c r="MGR60" s="12"/>
      <c r="MGS60" s="12"/>
      <c r="MGT60" s="12"/>
      <c r="MGU60" s="12"/>
      <c r="MGV60" s="12"/>
      <c r="MGW60" s="12"/>
      <c r="MGX60" s="12"/>
      <c r="MGY60" s="12"/>
      <c r="MGZ60" s="12"/>
      <c r="MHA60" s="12"/>
      <c r="MHB60" s="12"/>
      <c r="MHC60" s="12"/>
      <c r="MHD60" s="12"/>
      <c r="MHE60" s="12"/>
      <c r="MHF60" s="12"/>
      <c r="MHG60" s="12"/>
      <c r="MHH60" s="12"/>
      <c r="MHI60" s="12"/>
      <c r="MHJ60" s="12"/>
      <c r="MHK60" s="12"/>
      <c r="MHL60" s="12"/>
      <c r="MHM60" s="12"/>
      <c r="MHN60" s="12"/>
      <c r="MHO60" s="12"/>
      <c r="MHP60" s="12"/>
      <c r="MHQ60" s="12"/>
      <c r="MHR60" s="12"/>
      <c r="MHS60" s="12"/>
      <c r="MHT60" s="12"/>
      <c r="MHU60" s="12"/>
      <c r="MHV60" s="12"/>
      <c r="MHW60" s="12"/>
      <c r="MHX60" s="12"/>
      <c r="MHY60" s="12"/>
      <c r="MHZ60" s="12"/>
      <c r="MIA60" s="12"/>
      <c r="MIB60" s="12"/>
      <c r="MIC60" s="12"/>
      <c r="MID60" s="12"/>
      <c r="MIE60" s="12"/>
      <c r="MIF60" s="12"/>
      <c r="MIG60" s="12"/>
      <c r="MIH60" s="12"/>
      <c r="MII60" s="12"/>
      <c r="MIJ60" s="12"/>
      <c r="MIK60" s="12"/>
      <c r="MIL60" s="12"/>
      <c r="MIM60" s="12"/>
      <c r="MIN60" s="12"/>
      <c r="MIO60" s="12"/>
      <c r="MIP60" s="12"/>
      <c r="MIQ60" s="12"/>
      <c r="MIR60" s="12"/>
      <c r="MIS60" s="12"/>
      <c r="MIT60" s="12"/>
      <c r="MIU60" s="12"/>
      <c r="MIV60" s="12"/>
      <c r="MIW60" s="12"/>
      <c r="MIX60" s="12"/>
      <c r="MIY60" s="12"/>
      <c r="MIZ60" s="12"/>
      <c r="MJA60" s="12"/>
      <c r="MJB60" s="12"/>
      <c r="MJC60" s="12"/>
      <c r="MJD60" s="12"/>
      <c r="MJE60" s="12"/>
      <c r="MJF60" s="12"/>
      <c r="MJG60" s="12"/>
      <c r="MJH60" s="12"/>
      <c r="MJI60" s="12"/>
      <c r="MJJ60" s="12"/>
      <c r="MJK60" s="12"/>
      <c r="MJL60" s="12"/>
      <c r="MJM60" s="12"/>
      <c r="MJN60" s="12"/>
      <c r="MJO60" s="12"/>
      <c r="MJP60" s="12"/>
      <c r="MJQ60" s="12"/>
      <c r="MJR60" s="12"/>
      <c r="MJS60" s="12"/>
      <c r="MJT60" s="12"/>
      <c r="MJU60" s="12"/>
      <c r="MJV60" s="12"/>
      <c r="MJW60" s="12"/>
      <c r="MJX60" s="12"/>
      <c r="MJY60" s="12"/>
      <c r="MJZ60" s="12"/>
      <c r="MKA60" s="12"/>
      <c r="MKB60" s="12"/>
      <c r="MKC60" s="12"/>
      <c r="MKD60" s="12"/>
      <c r="MKE60" s="12"/>
      <c r="MKF60" s="12"/>
      <c r="MKG60" s="12"/>
      <c r="MKH60" s="12"/>
      <c r="MKI60" s="12"/>
      <c r="MKJ60" s="12"/>
      <c r="MKK60" s="12"/>
      <c r="MKL60" s="12"/>
      <c r="MKM60" s="12"/>
      <c r="MKN60" s="12"/>
      <c r="MKO60" s="12"/>
      <c r="MKP60" s="12"/>
      <c r="MKQ60" s="12"/>
      <c r="MKR60" s="12"/>
      <c r="MKS60" s="12"/>
      <c r="MKT60" s="12"/>
      <c r="MKU60" s="12"/>
      <c r="MKV60" s="12"/>
      <c r="MKW60" s="12"/>
      <c r="MKX60" s="12"/>
      <c r="MKY60" s="12"/>
      <c r="MKZ60" s="12"/>
      <c r="MLA60" s="12"/>
      <c r="MLB60" s="12"/>
      <c r="MLC60" s="12"/>
      <c r="MLD60" s="12"/>
      <c r="MLE60" s="12"/>
      <c r="MLF60" s="12"/>
      <c r="MLG60" s="12"/>
      <c r="MLH60" s="12"/>
      <c r="MLI60" s="12"/>
      <c r="MLJ60" s="12"/>
      <c r="MLK60" s="12"/>
      <c r="MLL60" s="12"/>
      <c r="MLM60" s="12"/>
      <c r="MLN60" s="12"/>
      <c r="MLO60" s="12"/>
      <c r="MLP60" s="12"/>
      <c r="MLQ60" s="12"/>
      <c r="MLR60" s="12"/>
      <c r="MLS60" s="12"/>
      <c r="MLT60" s="12"/>
      <c r="MLU60" s="12"/>
      <c r="MLV60" s="12"/>
      <c r="MLW60" s="12"/>
      <c r="MLX60" s="12"/>
      <c r="MLY60" s="12"/>
      <c r="MLZ60" s="12"/>
      <c r="MMA60" s="12"/>
      <c r="MMB60" s="12"/>
      <c r="MMC60" s="12"/>
      <c r="MMD60" s="12"/>
      <c r="MME60" s="12"/>
      <c r="MMF60" s="12"/>
      <c r="MMG60" s="12"/>
      <c r="MMH60" s="12"/>
      <c r="MMI60" s="12"/>
      <c r="MMJ60" s="12"/>
      <c r="MMK60" s="12"/>
      <c r="MML60" s="12"/>
      <c r="MMM60" s="12"/>
      <c r="MMN60" s="12"/>
      <c r="MMO60" s="12"/>
      <c r="MMP60" s="12"/>
      <c r="MMQ60" s="12"/>
      <c r="MMR60" s="12"/>
      <c r="MMS60" s="12"/>
      <c r="MMT60" s="12"/>
      <c r="MMU60" s="12"/>
      <c r="MMV60" s="12"/>
      <c r="MMW60" s="12"/>
      <c r="MMX60" s="12"/>
      <c r="MMY60" s="12"/>
      <c r="MMZ60" s="12"/>
      <c r="MNA60" s="12"/>
      <c r="MNB60" s="12"/>
      <c r="MNC60" s="12"/>
      <c r="MND60" s="12"/>
      <c r="MNE60" s="12"/>
      <c r="MNF60" s="12"/>
      <c r="MNG60" s="12"/>
      <c r="MNH60" s="12"/>
      <c r="MNI60" s="12"/>
      <c r="MNJ60" s="12"/>
      <c r="MNK60" s="12"/>
      <c r="MNL60" s="12"/>
      <c r="MNM60" s="12"/>
      <c r="MNN60" s="12"/>
      <c r="MNO60" s="12"/>
      <c r="MNP60" s="12"/>
      <c r="MNQ60" s="12"/>
      <c r="MNR60" s="12"/>
      <c r="MNS60" s="12"/>
      <c r="MNT60" s="12"/>
      <c r="MNU60" s="12"/>
      <c r="MNV60" s="12"/>
      <c r="MNW60" s="12"/>
      <c r="MNX60" s="12"/>
      <c r="MNY60" s="12"/>
      <c r="MNZ60" s="12"/>
      <c r="MOA60" s="12"/>
      <c r="MOB60" s="12"/>
      <c r="MOC60" s="12"/>
      <c r="MOD60" s="12"/>
      <c r="MOE60" s="12"/>
      <c r="MOF60" s="12"/>
      <c r="MOG60" s="12"/>
      <c r="MOH60" s="12"/>
      <c r="MOI60" s="12"/>
      <c r="MOJ60" s="12"/>
      <c r="MOK60" s="12"/>
      <c r="MOL60" s="12"/>
      <c r="MOM60" s="12"/>
      <c r="MON60" s="12"/>
      <c r="MOO60" s="12"/>
      <c r="MOP60" s="12"/>
      <c r="MOQ60" s="12"/>
      <c r="MOR60" s="12"/>
      <c r="MOS60" s="12"/>
      <c r="MOT60" s="12"/>
      <c r="MOU60" s="12"/>
      <c r="MOV60" s="12"/>
      <c r="MOW60" s="12"/>
      <c r="MOX60" s="12"/>
      <c r="MOY60" s="12"/>
      <c r="MOZ60" s="12"/>
      <c r="MPA60" s="12"/>
      <c r="MPB60" s="12"/>
      <c r="MPC60" s="12"/>
      <c r="MPD60" s="12"/>
      <c r="MPE60" s="12"/>
      <c r="MPF60" s="12"/>
      <c r="MPG60" s="12"/>
      <c r="MPH60" s="12"/>
      <c r="MPI60" s="12"/>
      <c r="MPJ60" s="12"/>
      <c r="MPK60" s="12"/>
      <c r="MPL60" s="12"/>
      <c r="MPM60" s="12"/>
      <c r="MPN60" s="12"/>
      <c r="MPO60" s="12"/>
      <c r="MPP60" s="12"/>
      <c r="MPQ60" s="12"/>
      <c r="MPR60" s="12"/>
      <c r="MPS60" s="12"/>
      <c r="MPT60" s="12"/>
      <c r="MPU60" s="12"/>
      <c r="MPV60" s="12"/>
      <c r="MPW60" s="12"/>
      <c r="MPX60" s="12"/>
      <c r="MPY60" s="12"/>
      <c r="MPZ60" s="12"/>
      <c r="MQA60" s="12"/>
      <c r="MQB60" s="12"/>
      <c r="MQC60" s="12"/>
      <c r="MQD60" s="12"/>
      <c r="MQE60" s="12"/>
      <c r="MQF60" s="12"/>
      <c r="MQG60" s="12"/>
      <c r="MQH60" s="12"/>
      <c r="MQI60" s="12"/>
      <c r="MQJ60" s="12"/>
      <c r="MQK60" s="12"/>
      <c r="MQL60" s="12"/>
      <c r="MQM60" s="12"/>
      <c r="MQN60" s="12"/>
      <c r="MQO60" s="12"/>
      <c r="MQP60" s="12"/>
      <c r="MQQ60" s="12"/>
      <c r="MQR60" s="12"/>
      <c r="MQS60" s="12"/>
      <c r="MQT60" s="12"/>
      <c r="MQU60" s="12"/>
      <c r="MQV60" s="12"/>
      <c r="MQW60" s="12"/>
      <c r="MQX60" s="12"/>
      <c r="MQY60" s="12"/>
      <c r="MQZ60" s="12"/>
      <c r="MRA60" s="12"/>
      <c r="MRB60" s="12"/>
      <c r="MRC60" s="12"/>
      <c r="MRD60" s="12"/>
      <c r="MRE60" s="12"/>
      <c r="MRF60" s="12"/>
      <c r="MRG60" s="12"/>
      <c r="MRH60" s="12"/>
      <c r="MRI60" s="12"/>
      <c r="MRJ60" s="12"/>
      <c r="MRK60" s="12"/>
      <c r="MRL60" s="12"/>
      <c r="MRM60" s="12"/>
      <c r="MRN60" s="12"/>
      <c r="MRO60" s="12"/>
      <c r="MRP60" s="12"/>
      <c r="MRQ60" s="12"/>
      <c r="MRR60" s="12"/>
      <c r="MRS60" s="12"/>
      <c r="MRT60" s="12"/>
      <c r="MRU60" s="12"/>
      <c r="MRV60" s="12"/>
      <c r="MRW60" s="12"/>
      <c r="MRX60" s="12"/>
      <c r="MRY60" s="12"/>
      <c r="MRZ60" s="12"/>
      <c r="MSA60" s="12"/>
      <c r="MSB60" s="12"/>
      <c r="MSC60" s="12"/>
      <c r="MSD60" s="12"/>
      <c r="MSE60" s="12"/>
      <c r="MSF60" s="12"/>
      <c r="MSG60" s="12"/>
      <c r="MSH60" s="12"/>
      <c r="MSI60" s="12"/>
      <c r="MSJ60" s="12"/>
      <c r="MSK60" s="12"/>
      <c r="MSL60" s="12"/>
      <c r="MSM60" s="12"/>
      <c r="MSN60" s="12"/>
      <c r="MSO60" s="12"/>
      <c r="MSP60" s="12"/>
      <c r="MSQ60" s="12"/>
      <c r="MSR60" s="12"/>
      <c r="MSS60" s="12"/>
      <c r="MST60" s="12"/>
      <c r="MSU60" s="12"/>
      <c r="MSV60" s="12"/>
      <c r="MSW60" s="12"/>
      <c r="MSX60" s="12"/>
      <c r="MSY60" s="12"/>
      <c r="MSZ60" s="12"/>
      <c r="MTA60" s="12"/>
      <c r="MTB60" s="12"/>
      <c r="MTC60" s="12"/>
      <c r="MTD60" s="12"/>
      <c r="MTE60" s="12"/>
      <c r="MTF60" s="12"/>
      <c r="MTG60" s="12"/>
      <c r="MTH60" s="12"/>
      <c r="MTI60" s="12"/>
      <c r="MTJ60" s="12"/>
      <c r="MTK60" s="12"/>
      <c r="MTL60" s="12"/>
      <c r="MTM60" s="12"/>
      <c r="MTN60" s="12"/>
      <c r="MTO60" s="12"/>
      <c r="MTP60" s="12"/>
      <c r="MTQ60" s="12"/>
      <c r="MTR60" s="12"/>
      <c r="MTS60" s="12"/>
      <c r="MTT60" s="12"/>
      <c r="MTU60" s="12"/>
      <c r="MTV60" s="12"/>
      <c r="MTW60" s="12"/>
      <c r="MTX60" s="12"/>
      <c r="MTY60" s="12"/>
      <c r="MTZ60" s="12"/>
      <c r="MUA60" s="12"/>
      <c r="MUB60" s="12"/>
      <c r="MUC60" s="12"/>
      <c r="MUD60" s="12"/>
      <c r="MUE60" s="12"/>
      <c r="MUF60" s="12"/>
      <c r="MUG60" s="12"/>
      <c r="MUH60" s="12"/>
      <c r="MUI60" s="12"/>
      <c r="MUJ60" s="12"/>
      <c r="MUK60" s="12"/>
      <c r="MUL60" s="12"/>
      <c r="MUM60" s="12"/>
      <c r="MUN60" s="12"/>
      <c r="MUO60" s="12"/>
      <c r="MUP60" s="12"/>
      <c r="MUQ60" s="12"/>
      <c r="MUR60" s="12"/>
      <c r="MUS60" s="12"/>
      <c r="MUT60" s="12"/>
      <c r="MUU60" s="12"/>
      <c r="MUV60" s="12"/>
      <c r="MUW60" s="12"/>
      <c r="MUX60" s="12"/>
      <c r="MUY60" s="12"/>
      <c r="MUZ60" s="12"/>
      <c r="MVA60" s="12"/>
      <c r="MVB60" s="12"/>
      <c r="MVC60" s="12"/>
      <c r="MVD60" s="12"/>
      <c r="MVE60" s="12"/>
      <c r="MVF60" s="12"/>
      <c r="MVG60" s="12"/>
      <c r="MVH60" s="12"/>
      <c r="MVI60" s="12"/>
      <c r="MVJ60" s="12"/>
      <c r="MVK60" s="12"/>
      <c r="MVL60" s="12"/>
      <c r="MVM60" s="12"/>
      <c r="MVN60" s="12"/>
      <c r="MVO60" s="12"/>
      <c r="MVP60" s="12"/>
      <c r="MVQ60" s="12"/>
      <c r="MVR60" s="12"/>
      <c r="MVS60" s="12"/>
      <c r="MVT60" s="12"/>
      <c r="MVU60" s="12"/>
      <c r="MVV60" s="12"/>
      <c r="MVW60" s="12"/>
      <c r="MVX60" s="12"/>
      <c r="MVY60" s="12"/>
      <c r="MVZ60" s="12"/>
      <c r="MWA60" s="12"/>
      <c r="MWB60" s="12"/>
      <c r="MWC60" s="12"/>
      <c r="MWD60" s="12"/>
      <c r="MWE60" s="12"/>
      <c r="MWF60" s="12"/>
      <c r="MWG60" s="12"/>
      <c r="MWH60" s="12"/>
      <c r="MWI60" s="12"/>
      <c r="MWJ60" s="12"/>
      <c r="MWK60" s="12"/>
      <c r="MWL60" s="12"/>
      <c r="MWM60" s="12"/>
      <c r="MWN60" s="12"/>
      <c r="MWO60" s="12"/>
      <c r="MWP60" s="12"/>
      <c r="MWQ60" s="12"/>
      <c r="MWR60" s="12"/>
      <c r="MWS60" s="12"/>
      <c r="MWT60" s="12"/>
      <c r="MWU60" s="12"/>
      <c r="MWV60" s="12"/>
      <c r="MWW60" s="12"/>
      <c r="MWX60" s="12"/>
      <c r="MWY60" s="12"/>
      <c r="MWZ60" s="12"/>
      <c r="MXA60" s="12"/>
      <c r="MXB60" s="12"/>
      <c r="MXC60" s="12"/>
      <c r="MXD60" s="12"/>
      <c r="MXE60" s="12"/>
      <c r="MXF60" s="12"/>
      <c r="MXG60" s="12"/>
      <c r="MXH60" s="12"/>
      <c r="MXI60" s="12"/>
      <c r="MXJ60" s="12"/>
      <c r="MXK60" s="12"/>
      <c r="MXL60" s="12"/>
      <c r="MXM60" s="12"/>
      <c r="MXN60" s="12"/>
      <c r="MXO60" s="12"/>
      <c r="MXP60" s="12"/>
      <c r="MXQ60" s="12"/>
      <c r="MXR60" s="12"/>
      <c r="MXS60" s="12"/>
      <c r="MXT60" s="12"/>
      <c r="MXU60" s="12"/>
      <c r="MXV60" s="12"/>
      <c r="MXW60" s="12"/>
      <c r="MXX60" s="12"/>
      <c r="MXY60" s="12"/>
      <c r="MXZ60" s="12"/>
      <c r="MYA60" s="12"/>
      <c r="MYB60" s="12"/>
      <c r="MYC60" s="12"/>
      <c r="MYD60" s="12"/>
      <c r="MYE60" s="12"/>
      <c r="MYF60" s="12"/>
      <c r="MYG60" s="12"/>
      <c r="MYH60" s="12"/>
      <c r="MYI60" s="12"/>
      <c r="MYJ60" s="12"/>
      <c r="MYK60" s="12"/>
      <c r="MYL60" s="12"/>
      <c r="MYM60" s="12"/>
      <c r="MYN60" s="12"/>
      <c r="MYO60" s="12"/>
      <c r="MYP60" s="12"/>
      <c r="MYQ60" s="12"/>
      <c r="MYR60" s="12"/>
      <c r="MYS60" s="12"/>
      <c r="MYT60" s="12"/>
      <c r="MYU60" s="12"/>
      <c r="MYV60" s="12"/>
      <c r="MYW60" s="12"/>
      <c r="MYX60" s="12"/>
      <c r="MYY60" s="12"/>
      <c r="MYZ60" s="12"/>
      <c r="MZA60" s="12"/>
      <c r="MZB60" s="12"/>
      <c r="MZC60" s="12"/>
      <c r="MZD60" s="12"/>
      <c r="MZE60" s="12"/>
      <c r="MZF60" s="12"/>
      <c r="MZG60" s="12"/>
      <c r="MZH60" s="12"/>
      <c r="MZI60" s="12"/>
      <c r="MZJ60" s="12"/>
      <c r="MZK60" s="12"/>
      <c r="MZL60" s="12"/>
      <c r="MZM60" s="12"/>
      <c r="MZN60" s="12"/>
      <c r="MZO60" s="12"/>
      <c r="MZP60" s="12"/>
      <c r="MZQ60" s="12"/>
      <c r="MZR60" s="12"/>
      <c r="MZS60" s="12"/>
      <c r="MZT60" s="12"/>
      <c r="MZU60" s="12"/>
      <c r="MZV60" s="12"/>
      <c r="MZW60" s="12"/>
      <c r="MZX60" s="12"/>
      <c r="MZY60" s="12"/>
      <c r="MZZ60" s="12"/>
      <c r="NAA60" s="12"/>
      <c r="NAB60" s="12"/>
      <c r="NAC60" s="12"/>
      <c r="NAD60" s="12"/>
      <c r="NAE60" s="12"/>
      <c r="NAF60" s="12"/>
      <c r="NAG60" s="12"/>
      <c r="NAH60" s="12"/>
      <c r="NAI60" s="12"/>
      <c r="NAJ60" s="12"/>
      <c r="NAK60" s="12"/>
      <c r="NAL60" s="12"/>
      <c r="NAM60" s="12"/>
      <c r="NAN60" s="12"/>
      <c r="NAO60" s="12"/>
      <c r="NAP60" s="12"/>
      <c r="NAQ60" s="12"/>
      <c r="NAR60" s="12"/>
      <c r="NAS60" s="12"/>
      <c r="NAT60" s="12"/>
      <c r="NAU60" s="12"/>
      <c r="NAV60" s="12"/>
      <c r="NAW60" s="12"/>
      <c r="NAX60" s="12"/>
      <c r="NAY60" s="12"/>
      <c r="NAZ60" s="12"/>
      <c r="NBA60" s="12"/>
      <c r="NBB60" s="12"/>
      <c r="NBC60" s="12"/>
      <c r="NBD60" s="12"/>
      <c r="NBE60" s="12"/>
      <c r="NBF60" s="12"/>
      <c r="NBG60" s="12"/>
      <c r="NBH60" s="12"/>
      <c r="NBI60" s="12"/>
      <c r="NBJ60" s="12"/>
      <c r="NBK60" s="12"/>
      <c r="NBL60" s="12"/>
      <c r="NBM60" s="12"/>
      <c r="NBN60" s="12"/>
      <c r="NBO60" s="12"/>
      <c r="NBP60" s="12"/>
      <c r="NBQ60" s="12"/>
      <c r="NBR60" s="12"/>
      <c r="NBS60" s="12"/>
      <c r="NBT60" s="12"/>
      <c r="NBU60" s="12"/>
      <c r="NBV60" s="12"/>
      <c r="NBW60" s="12"/>
      <c r="NBX60" s="12"/>
      <c r="NBY60" s="12"/>
      <c r="NBZ60" s="12"/>
      <c r="NCA60" s="12"/>
      <c r="NCB60" s="12"/>
      <c r="NCC60" s="12"/>
      <c r="NCD60" s="12"/>
      <c r="NCE60" s="12"/>
      <c r="NCF60" s="12"/>
      <c r="NCG60" s="12"/>
      <c r="NCH60" s="12"/>
      <c r="NCI60" s="12"/>
      <c r="NCJ60" s="12"/>
      <c r="NCK60" s="12"/>
      <c r="NCL60" s="12"/>
      <c r="NCM60" s="12"/>
      <c r="NCN60" s="12"/>
      <c r="NCO60" s="12"/>
      <c r="NCP60" s="12"/>
      <c r="NCQ60" s="12"/>
      <c r="NCR60" s="12"/>
      <c r="NCS60" s="12"/>
      <c r="NCT60" s="12"/>
      <c r="NCU60" s="12"/>
      <c r="NCV60" s="12"/>
      <c r="NCW60" s="12"/>
      <c r="NCX60" s="12"/>
      <c r="NCY60" s="12"/>
      <c r="NCZ60" s="12"/>
      <c r="NDA60" s="12"/>
      <c r="NDB60" s="12"/>
      <c r="NDC60" s="12"/>
      <c r="NDD60" s="12"/>
      <c r="NDE60" s="12"/>
      <c r="NDF60" s="12"/>
      <c r="NDG60" s="12"/>
      <c r="NDH60" s="12"/>
      <c r="NDI60" s="12"/>
      <c r="NDJ60" s="12"/>
      <c r="NDK60" s="12"/>
      <c r="NDL60" s="12"/>
      <c r="NDM60" s="12"/>
      <c r="NDN60" s="12"/>
      <c r="NDO60" s="12"/>
      <c r="NDP60" s="12"/>
      <c r="NDQ60" s="12"/>
      <c r="NDR60" s="12"/>
      <c r="NDS60" s="12"/>
      <c r="NDT60" s="12"/>
      <c r="NDU60" s="12"/>
      <c r="NDV60" s="12"/>
      <c r="NDW60" s="12"/>
      <c r="NDX60" s="12"/>
      <c r="NDY60" s="12"/>
      <c r="NDZ60" s="12"/>
      <c r="NEA60" s="12"/>
      <c r="NEB60" s="12"/>
      <c r="NEC60" s="12"/>
      <c r="NED60" s="12"/>
      <c r="NEE60" s="12"/>
      <c r="NEF60" s="12"/>
      <c r="NEG60" s="12"/>
      <c r="NEH60" s="12"/>
      <c r="NEI60" s="12"/>
      <c r="NEJ60" s="12"/>
      <c r="NEK60" s="12"/>
      <c r="NEL60" s="12"/>
      <c r="NEM60" s="12"/>
      <c r="NEN60" s="12"/>
      <c r="NEO60" s="12"/>
      <c r="NEP60" s="12"/>
      <c r="NEQ60" s="12"/>
      <c r="NER60" s="12"/>
      <c r="NES60" s="12"/>
      <c r="NET60" s="12"/>
      <c r="NEU60" s="12"/>
      <c r="NEV60" s="12"/>
      <c r="NEW60" s="12"/>
      <c r="NEX60" s="12"/>
      <c r="NEY60" s="12"/>
      <c r="NEZ60" s="12"/>
      <c r="NFA60" s="12"/>
      <c r="NFB60" s="12"/>
      <c r="NFC60" s="12"/>
      <c r="NFD60" s="12"/>
      <c r="NFE60" s="12"/>
      <c r="NFF60" s="12"/>
      <c r="NFG60" s="12"/>
      <c r="NFH60" s="12"/>
      <c r="NFI60" s="12"/>
      <c r="NFJ60" s="12"/>
      <c r="NFK60" s="12"/>
      <c r="NFL60" s="12"/>
      <c r="NFM60" s="12"/>
      <c r="NFN60" s="12"/>
      <c r="NFO60" s="12"/>
      <c r="NFP60" s="12"/>
      <c r="NFQ60" s="12"/>
      <c r="NFR60" s="12"/>
      <c r="NFS60" s="12"/>
      <c r="NFT60" s="12"/>
      <c r="NFU60" s="12"/>
      <c r="NFV60" s="12"/>
      <c r="NFW60" s="12"/>
      <c r="NFX60" s="12"/>
      <c r="NFY60" s="12"/>
      <c r="NFZ60" s="12"/>
      <c r="NGA60" s="12"/>
      <c r="NGB60" s="12"/>
      <c r="NGC60" s="12"/>
      <c r="NGD60" s="12"/>
      <c r="NGE60" s="12"/>
      <c r="NGF60" s="12"/>
      <c r="NGG60" s="12"/>
      <c r="NGH60" s="12"/>
      <c r="NGI60" s="12"/>
      <c r="NGJ60" s="12"/>
      <c r="NGK60" s="12"/>
      <c r="NGL60" s="12"/>
      <c r="NGM60" s="12"/>
      <c r="NGN60" s="12"/>
      <c r="NGO60" s="12"/>
      <c r="NGP60" s="12"/>
      <c r="NGQ60" s="12"/>
      <c r="NGR60" s="12"/>
      <c r="NGS60" s="12"/>
      <c r="NGT60" s="12"/>
      <c r="NGU60" s="12"/>
      <c r="NGV60" s="12"/>
      <c r="NGW60" s="12"/>
      <c r="NGX60" s="12"/>
      <c r="NGY60" s="12"/>
      <c r="NGZ60" s="12"/>
      <c r="NHA60" s="12"/>
      <c r="NHB60" s="12"/>
      <c r="NHC60" s="12"/>
      <c r="NHD60" s="12"/>
      <c r="NHE60" s="12"/>
      <c r="NHF60" s="12"/>
      <c r="NHG60" s="12"/>
      <c r="NHH60" s="12"/>
      <c r="NHI60" s="12"/>
      <c r="NHJ60" s="12"/>
      <c r="NHK60" s="12"/>
      <c r="NHL60" s="12"/>
      <c r="NHM60" s="12"/>
      <c r="NHN60" s="12"/>
      <c r="NHO60" s="12"/>
      <c r="NHP60" s="12"/>
      <c r="NHQ60" s="12"/>
      <c r="NHR60" s="12"/>
      <c r="NHS60" s="12"/>
      <c r="NHT60" s="12"/>
      <c r="NHU60" s="12"/>
      <c r="NHV60" s="12"/>
      <c r="NHW60" s="12"/>
      <c r="NHX60" s="12"/>
      <c r="NHY60" s="12"/>
      <c r="NHZ60" s="12"/>
      <c r="NIA60" s="12"/>
      <c r="NIB60" s="12"/>
      <c r="NIC60" s="12"/>
      <c r="NID60" s="12"/>
      <c r="NIE60" s="12"/>
      <c r="NIF60" s="12"/>
      <c r="NIG60" s="12"/>
      <c r="NIH60" s="12"/>
      <c r="NII60" s="12"/>
      <c r="NIJ60" s="12"/>
      <c r="NIK60" s="12"/>
      <c r="NIL60" s="12"/>
      <c r="NIM60" s="12"/>
      <c r="NIN60" s="12"/>
      <c r="NIO60" s="12"/>
      <c r="NIP60" s="12"/>
      <c r="NIQ60" s="12"/>
      <c r="NIR60" s="12"/>
      <c r="NIS60" s="12"/>
      <c r="NIT60" s="12"/>
      <c r="NIU60" s="12"/>
      <c r="NIV60" s="12"/>
      <c r="NIW60" s="12"/>
      <c r="NIX60" s="12"/>
      <c r="NIY60" s="12"/>
      <c r="NIZ60" s="12"/>
      <c r="NJA60" s="12"/>
      <c r="NJB60" s="12"/>
      <c r="NJC60" s="12"/>
      <c r="NJD60" s="12"/>
      <c r="NJE60" s="12"/>
      <c r="NJF60" s="12"/>
      <c r="NJG60" s="12"/>
      <c r="NJH60" s="12"/>
      <c r="NJI60" s="12"/>
      <c r="NJJ60" s="12"/>
      <c r="NJK60" s="12"/>
      <c r="NJL60" s="12"/>
      <c r="NJM60" s="12"/>
      <c r="NJN60" s="12"/>
      <c r="NJO60" s="12"/>
      <c r="NJP60" s="12"/>
      <c r="NJQ60" s="12"/>
      <c r="NJR60" s="12"/>
      <c r="NJS60" s="12"/>
      <c r="NJT60" s="12"/>
      <c r="NJU60" s="12"/>
      <c r="NJV60" s="12"/>
      <c r="NJW60" s="12"/>
      <c r="NJX60" s="12"/>
      <c r="NJY60" s="12"/>
      <c r="NJZ60" s="12"/>
      <c r="NKA60" s="12"/>
      <c r="NKB60" s="12"/>
      <c r="NKC60" s="12"/>
      <c r="NKD60" s="12"/>
      <c r="NKE60" s="12"/>
      <c r="NKF60" s="12"/>
      <c r="NKG60" s="12"/>
      <c r="NKH60" s="12"/>
      <c r="NKI60" s="12"/>
      <c r="NKJ60" s="12"/>
      <c r="NKK60" s="12"/>
      <c r="NKL60" s="12"/>
      <c r="NKM60" s="12"/>
      <c r="NKN60" s="12"/>
      <c r="NKO60" s="12"/>
      <c r="NKP60" s="12"/>
      <c r="NKQ60" s="12"/>
      <c r="NKR60" s="12"/>
      <c r="NKS60" s="12"/>
      <c r="NKT60" s="12"/>
      <c r="NKU60" s="12"/>
      <c r="NKV60" s="12"/>
      <c r="NKW60" s="12"/>
      <c r="NKX60" s="12"/>
      <c r="NKY60" s="12"/>
      <c r="NKZ60" s="12"/>
      <c r="NLA60" s="12"/>
      <c r="NLB60" s="12"/>
      <c r="NLC60" s="12"/>
      <c r="NLD60" s="12"/>
      <c r="NLE60" s="12"/>
      <c r="NLF60" s="12"/>
      <c r="NLG60" s="12"/>
      <c r="NLH60" s="12"/>
      <c r="NLI60" s="12"/>
      <c r="NLJ60" s="12"/>
      <c r="NLK60" s="12"/>
      <c r="NLL60" s="12"/>
      <c r="NLM60" s="12"/>
      <c r="NLN60" s="12"/>
      <c r="NLO60" s="12"/>
      <c r="NLP60" s="12"/>
      <c r="NLQ60" s="12"/>
      <c r="NLR60" s="12"/>
      <c r="NLS60" s="12"/>
      <c r="NLT60" s="12"/>
      <c r="NLU60" s="12"/>
      <c r="NLV60" s="12"/>
      <c r="NLW60" s="12"/>
      <c r="NLX60" s="12"/>
      <c r="NLY60" s="12"/>
      <c r="NLZ60" s="12"/>
      <c r="NMA60" s="12"/>
      <c r="NMB60" s="12"/>
      <c r="NMC60" s="12"/>
      <c r="NMD60" s="12"/>
      <c r="NME60" s="12"/>
      <c r="NMF60" s="12"/>
      <c r="NMG60" s="12"/>
      <c r="NMH60" s="12"/>
      <c r="NMI60" s="12"/>
      <c r="NMJ60" s="12"/>
      <c r="NMK60" s="12"/>
      <c r="NML60" s="12"/>
      <c r="NMM60" s="12"/>
      <c r="NMN60" s="12"/>
      <c r="NMO60" s="12"/>
      <c r="NMP60" s="12"/>
      <c r="NMQ60" s="12"/>
      <c r="NMR60" s="12"/>
      <c r="NMS60" s="12"/>
      <c r="NMT60" s="12"/>
      <c r="NMU60" s="12"/>
      <c r="NMV60" s="12"/>
      <c r="NMW60" s="12"/>
      <c r="NMX60" s="12"/>
      <c r="NMY60" s="12"/>
      <c r="NMZ60" s="12"/>
      <c r="NNA60" s="12"/>
      <c r="NNB60" s="12"/>
      <c r="NNC60" s="12"/>
      <c r="NND60" s="12"/>
      <c r="NNE60" s="12"/>
      <c r="NNF60" s="12"/>
      <c r="NNG60" s="12"/>
      <c r="NNH60" s="12"/>
      <c r="NNI60" s="12"/>
      <c r="NNJ60" s="12"/>
      <c r="NNK60" s="12"/>
      <c r="NNL60" s="12"/>
      <c r="NNM60" s="12"/>
      <c r="NNN60" s="12"/>
      <c r="NNO60" s="12"/>
      <c r="NNP60" s="12"/>
      <c r="NNQ60" s="12"/>
      <c r="NNR60" s="12"/>
      <c r="NNS60" s="12"/>
      <c r="NNT60" s="12"/>
      <c r="NNU60" s="12"/>
      <c r="NNV60" s="12"/>
      <c r="NNW60" s="12"/>
      <c r="NNX60" s="12"/>
      <c r="NNY60" s="12"/>
      <c r="NNZ60" s="12"/>
      <c r="NOA60" s="12"/>
      <c r="NOB60" s="12"/>
      <c r="NOC60" s="12"/>
      <c r="NOD60" s="12"/>
      <c r="NOE60" s="12"/>
      <c r="NOF60" s="12"/>
      <c r="NOG60" s="12"/>
      <c r="NOH60" s="12"/>
      <c r="NOI60" s="12"/>
      <c r="NOJ60" s="12"/>
      <c r="NOK60" s="12"/>
      <c r="NOL60" s="12"/>
      <c r="NOM60" s="12"/>
      <c r="NON60" s="12"/>
      <c r="NOO60" s="12"/>
      <c r="NOP60" s="12"/>
      <c r="NOQ60" s="12"/>
      <c r="NOR60" s="12"/>
      <c r="NOS60" s="12"/>
      <c r="NOT60" s="12"/>
      <c r="NOU60" s="12"/>
      <c r="NOV60" s="12"/>
      <c r="NOW60" s="12"/>
      <c r="NOX60" s="12"/>
      <c r="NOY60" s="12"/>
      <c r="NOZ60" s="12"/>
      <c r="NPA60" s="12"/>
      <c r="NPB60" s="12"/>
      <c r="NPC60" s="12"/>
      <c r="NPD60" s="12"/>
      <c r="NPE60" s="12"/>
      <c r="NPF60" s="12"/>
      <c r="NPG60" s="12"/>
      <c r="NPH60" s="12"/>
      <c r="NPI60" s="12"/>
      <c r="NPJ60" s="12"/>
      <c r="NPK60" s="12"/>
      <c r="NPL60" s="12"/>
      <c r="NPM60" s="12"/>
      <c r="NPN60" s="12"/>
      <c r="NPO60" s="12"/>
      <c r="NPP60" s="12"/>
      <c r="NPQ60" s="12"/>
      <c r="NPR60" s="12"/>
      <c r="NPS60" s="12"/>
      <c r="NPT60" s="12"/>
      <c r="NPU60" s="12"/>
      <c r="NPV60" s="12"/>
      <c r="NPW60" s="12"/>
      <c r="NPX60" s="12"/>
      <c r="NPY60" s="12"/>
      <c r="NPZ60" s="12"/>
      <c r="NQA60" s="12"/>
      <c r="NQB60" s="12"/>
      <c r="NQC60" s="12"/>
      <c r="NQD60" s="12"/>
      <c r="NQE60" s="12"/>
      <c r="NQF60" s="12"/>
      <c r="NQG60" s="12"/>
      <c r="NQH60" s="12"/>
      <c r="NQI60" s="12"/>
      <c r="NQJ60" s="12"/>
      <c r="NQK60" s="12"/>
      <c r="NQL60" s="12"/>
      <c r="NQM60" s="12"/>
      <c r="NQN60" s="12"/>
      <c r="NQO60" s="12"/>
      <c r="NQP60" s="12"/>
      <c r="NQQ60" s="12"/>
      <c r="NQR60" s="12"/>
      <c r="NQS60" s="12"/>
      <c r="NQT60" s="12"/>
      <c r="NQU60" s="12"/>
      <c r="NQV60" s="12"/>
      <c r="NQW60" s="12"/>
      <c r="NQX60" s="12"/>
      <c r="NQY60" s="12"/>
      <c r="NQZ60" s="12"/>
      <c r="NRA60" s="12"/>
      <c r="NRB60" s="12"/>
      <c r="NRC60" s="12"/>
      <c r="NRD60" s="12"/>
      <c r="NRE60" s="12"/>
      <c r="NRF60" s="12"/>
      <c r="NRG60" s="12"/>
      <c r="NRH60" s="12"/>
      <c r="NRI60" s="12"/>
      <c r="NRJ60" s="12"/>
      <c r="NRK60" s="12"/>
      <c r="NRL60" s="12"/>
      <c r="NRM60" s="12"/>
      <c r="NRN60" s="12"/>
      <c r="NRO60" s="12"/>
      <c r="NRP60" s="12"/>
      <c r="NRQ60" s="12"/>
      <c r="NRR60" s="12"/>
      <c r="NRS60" s="12"/>
      <c r="NRT60" s="12"/>
      <c r="NRU60" s="12"/>
      <c r="NRV60" s="12"/>
      <c r="NRW60" s="12"/>
      <c r="NRX60" s="12"/>
      <c r="NRY60" s="12"/>
      <c r="NRZ60" s="12"/>
      <c r="NSA60" s="12"/>
      <c r="NSB60" s="12"/>
      <c r="NSC60" s="12"/>
      <c r="NSD60" s="12"/>
      <c r="NSE60" s="12"/>
      <c r="NSF60" s="12"/>
      <c r="NSG60" s="12"/>
      <c r="NSH60" s="12"/>
      <c r="NSI60" s="12"/>
      <c r="NSJ60" s="12"/>
      <c r="NSK60" s="12"/>
      <c r="NSL60" s="12"/>
      <c r="NSM60" s="12"/>
      <c r="NSN60" s="12"/>
      <c r="NSO60" s="12"/>
      <c r="NSP60" s="12"/>
      <c r="NSQ60" s="12"/>
      <c r="NSR60" s="12"/>
      <c r="NSS60" s="12"/>
      <c r="NST60" s="12"/>
      <c r="NSU60" s="12"/>
      <c r="NSV60" s="12"/>
      <c r="NSW60" s="12"/>
      <c r="NSX60" s="12"/>
      <c r="NSY60" s="12"/>
      <c r="NSZ60" s="12"/>
      <c r="NTA60" s="12"/>
      <c r="NTB60" s="12"/>
      <c r="NTC60" s="12"/>
      <c r="NTD60" s="12"/>
      <c r="NTE60" s="12"/>
      <c r="NTF60" s="12"/>
      <c r="NTG60" s="12"/>
      <c r="NTH60" s="12"/>
      <c r="NTI60" s="12"/>
      <c r="NTJ60" s="12"/>
      <c r="NTK60" s="12"/>
      <c r="NTL60" s="12"/>
      <c r="NTM60" s="12"/>
      <c r="NTN60" s="12"/>
      <c r="NTO60" s="12"/>
      <c r="NTP60" s="12"/>
      <c r="NTQ60" s="12"/>
      <c r="NTR60" s="12"/>
      <c r="NTS60" s="12"/>
      <c r="NTT60" s="12"/>
      <c r="NTU60" s="12"/>
      <c r="NTV60" s="12"/>
      <c r="NTW60" s="12"/>
      <c r="NTX60" s="12"/>
      <c r="NTY60" s="12"/>
      <c r="NTZ60" s="12"/>
      <c r="NUA60" s="12"/>
      <c r="NUB60" s="12"/>
      <c r="NUC60" s="12"/>
      <c r="NUD60" s="12"/>
      <c r="NUE60" s="12"/>
      <c r="NUF60" s="12"/>
      <c r="NUG60" s="12"/>
      <c r="NUH60" s="12"/>
      <c r="NUI60" s="12"/>
      <c r="NUJ60" s="12"/>
      <c r="NUK60" s="12"/>
      <c r="NUL60" s="12"/>
      <c r="NUM60" s="12"/>
      <c r="NUN60" s="12"/>
      <c r="NUO60" s="12"/>
      <c r="NUP60" s="12"/>
      <c r="NUQ60" s="12"/>
      <c r="NUR60" s="12"/>
      <c r="NUS60" s="12"/>
      <c r="NUT60" s="12"/>
      <c r="NUU60" s="12"/>
      <c r="NUV60" s="12"/>
      <c r="NUW60" s="12"/>
      <c r="NUX60" s="12"/>
      <c r="NUY60" s="12"/>
      <c r="NUZ60" s="12"/>
      <c r="NVA60" s="12"/>
      <c r="NVB60" s="12"/>
      <c r="NVC60" s="12"/>
      <c r="NVD60" s="12"/>
      <c r="NVE60" s="12"/>
      <c r="NVF60" s="12"/>
      <c r="NVG60" s="12"/>
      <c r="NVH60" s="12"/>
      <c r="NVI60" s="12"/>
      <c r="NVJ60" s="12"/>
      <c r="NVK60" s="12"/>
      <c r="NVL60" s="12"/>
      <c r="NVM60" s="12"/>
      <c r="NVN60" s="12"/>
      <c r="NVO60" s="12"/>
      <c r="NVP60" s="12"/>
      <c r="NVQ60" s="12"/>
      <c r="NVR60" s="12"/>
      <c r="NVS60" s="12"/>
      <c r="NVT60" s="12"/>
      <c r="NVU60" s="12"/>
      <c r="NVV60" s="12"/>
      <c r="NVW60" s="12"/>
      <c r="NVX60" s="12"/>
      <c r="NVY60" s="12"/>
      <c r="NVZ60" s="12"/>
      <c r="NWA60" s="12"/>
      <c r="NWB60" s="12"/>
      <c r="NWC60" s="12"/>
      <c r="NWD60" s="12"/>
      <c r="NWE60" s="12"/>
      <c r="NWF60" s="12"/>
      <c r="NWG60" s="12"/>
      <c r="NWH60" s="12"/>
      <c r="NWI60" s="12"/>
      <c r="NWJ60" s="12"/>
      <c r="NWK60" s="12"/>
      <c r="NWL60" s="12"/>
      <c r="NWM60" s="12"/>
      <c r="NWN60" s="12"/>
      <c r="NWO60" s="12"/>
      <c r="NWP60" s="12"/>
      <c r="NWQ60" s="12"/>
      <c r="NWR60" s="12"/>
      <c r="NWS60" s="12"/>
      <c r="NWT60" s="12"/>
      <c r="NWU60" s="12"/>
      <c r="NWV60" s="12"/>
      <c r="NWW60" s="12"/>
      <c r="NWX60" s="12"/>
      <c r="NWY60" s="12"/>
      <c r="NWZ60" s="12"/>
      <c r="NXA60" s="12"/>
      <c r="NXB60" s="12"/>
      <c r="NXC60" s="12"/>
      <c r="NXD60" s="12"/>
      <c r="NXE60" s="12"/>
      <c r="NXF60" s="12"/>
      <c r="NXG60" s="12"/>
      <c r="NXH60" s="12"/>
      <c r="NXI60" s="12"/>
      <c r="NXJ60" s="12"/>
      <c r="NXK60" s="12"/>
      <c r="NXL60" s="12"/>
      <c r="NXM60" s="12"/>
      <c r="NXN60" s="12"/>
      <c r="NXO60" s="12"/>
      <c r="NXP60" s="12"/>
      <c r="NXQ60" s="12"/>
      <c r="NXR60" s="12"/>
      <c r="NXS60" s="12"/>
      <c r="NXT60" s="12"/>
      <c r="NXU60" s="12"/>
      <c r="NXV60" s="12"/>
      <c r="NXW60" s="12"/>
      <c r="NXX60" s="12"/>
      <c r="NXY60" s="12"/>
      <c r="NXZ60" s="12"/>
      <c r="NYA60" s="12"/>
      <c r="NYB60" s="12"/>
      <c r="NYC60" s="12"/>
      <c r="NYD60" s="12"/>
      <c r="NYE60" s="12"/>
      <c r="NYF60" s="12"/>
      <c r="NYG60" s="12"/>
      <c r="NYH60" s="12"/>
      <c r="NYI60" s="12"/>
      <c r="NYJ60" s="12"/>
      <c r="NYK60" s="12"/>
      <c r="NYL60" s="12"/>
      <c r="NYM60" s="12"/>
      <c r="NYN60" s="12"/>
      <c r="NYO60" s="12"/>
      <c r="NYP60" s="12"/>
      <c r="NYQ60" s="12"/>
      <c r="NYR60" s="12"/>
      <c r="NYS60" s="12"/>
      <c r="NYT60" s="12"/>
      <c r="NYU60" s="12"/>
      <c r="NYV60" s="12"/>
      <c r="NYW60" s="12"/>
      <c r="NYX60" s="12"/>
      <c r="NYY60" s="12"/>
      <c r="NYZ60" s="12"/>
      <c r="NZA60" s="12"/>
      <c r="NZB60" s="12"/>
      <c r="NZC60" s="12"/>
      <c r="NZD60" s="12"/>
      <c r="NZE60" s="12"/>
      <c r="NZF60" s="12"/>
      <c r="NZG60" s="12"/>
      <c r="NZH60" s="12"/>
      <c r="NZI60" s="12"/>
      <c r="NZJ60" s="12"/>
      <c r="NZK60" s="12"/>
      <c r="NZL60" s="12"/>
      <c r="NZM60" s="12"/>
      <c r="NZN60" s="12"/>
      <c r="NZO60" s="12"/>
      <c r="NZP60" s="12"/>
      <c r="NZQ60" s="12"/>
      <c r="NZR60" s="12"/>
      <c r="NZS60" s="12"/>
      <c r="NZT60" s="12"/>
      <c r="NZU60" s="12"/>
      <c r="NZV60" s="12"/>
      <c r="NZW60" s="12"/>
      <c r="NZX60" s="12"/>
      <c r="NZY60" s="12"/>
      <c r="NZZ60" s="12"/>
      <c r="OAA60" s="12"/>
      <c r="OAB60" s="12"/>
      <c r="OAC60" s="12"/>
      <c r="OAD60" s="12"/>
      <c r="OAE60" s="12"/>
      <c r="OAF60" s="12"/>
      <c r="OAG60" s="12"/>
      <c r="OAH60" s="12"/>
      <c r="OAI60" s="12"/>
      <c r="OAJ60" s="12"/>
      <c r="OAK60" s="12"/>
      <c r="OAL60" s="12"/>
      <c r="OAM60" s="12"/>
      <c r="OAN60" s="12"/>
      <c r="OAO60" s="12"/>
      <c r="OAP60" s="12"/>
      <c r="OAQ60" s="12"/>
      <c r="OAR60" s="12"/>
      <c r="OAS60" s="12"/>
      <c r="OAT60" s="12"/>
      <c r="OAU60" s="12"/>
      <c r="OAV60" s="12"/>
      <c r="OAW60" s="12"/>
      <c r="OAX60" s="12"/>
      <c r="OAY60" s="12"/>
      <c r="OAZ60" s="12"/>
      <c r="OBA60" s="12"/>
      <c r="OBB60" s="12"/>
      <c r="OBC60" s="12"/>
      <c r="OBD60" s="12"/>
      <c r="OBE60" s="12"/>
      <c r="OBF60" s="12"/>
      <c r="OBG60" s="12"/>
      <c r="OBH60" s="12"/>
      <c r="OBI60" s="12"/>
      <c r="OBJ60" s="12"/>
      <c r="OBK60" s="12"/>
      <c r="OBL60" s="12"/>
      <c r="OBM60" s="12"/>
      <c r="OBN60" s="12"/>
      <c r="OBO60" s="12"/>
      <c r="OBP60" s="12"/>
      <c r="OBQ60" s="12"/>
      <c r="OBR60" s="12"/>
      <c r="OBS60" s="12"/>
      <c r="OBT60" s="12"/>
      <c r="OBU60" s="12"/>
      <c r="OBV60" s="12"/>
      <c r="OBW60" s="12"/>
      <c r="OBX60" s="12"/>
      <c r="OBY60" s="12"/>
      <c r="OBZ60" s="12"/>
      <c r="OCA60" s="12"/>
      <c r="OCB60" s="12"/>
      <c r="OCC60" s="12"/>
      <c r="OCD60" s="12"/>
      <c r="OCE60" s="12"/>
      <c r="OCF60" s="12"/>
      <c r="OCG60" s="12"/>
      <c r="OCH60" s="12"/>
      <c r="OCI60" s="12"/>
      <c r="OCJ60" s="12"/>
      <c r="OCK60" s="12"/>
      <c r="OCL60" s="12"/>
      <c r="OCM60" s="12"/>
      <c r="OCN60" s="12"/>
      <c r="OCO60" s="12"/>
      <c r="OCP60" s="12"/>
      <c r="OCQ60" s="12"/>
      <c r="OCR60" s="12"/>
      <c r="OCS60" s="12"/>
      <c r="OCT60" s="12"/>
      <c r="OCU60" s="12"/>
      <c r="OCV60" s="12"/>
      <c r="OCW60" s="12"/>
      <c r="OCX60" s="12"/>
      <c r="OCY60" s="12"/>
      <c r="OCZ60" s="12"/>
      <c r="ODA60" s="12"/>
      <c r="ODB60" s="12"/>
      <c r="ODC60" s="12"/>
      <c r="ODD60" s="12"/>
      <c r="ODE60" s="12"/>
      <c r="ODF60" s="12"/>
      <c r="ODG60" s="12"/>
      <c r="ODH60" s="12"/>
      <c r="ODI60" s="12"/>
      <c r="ODJ60" s="12"/>
      <c r="ODK60" s="12"/>
      <c r="ODL60" s="12"/>
      <c r="ODM60" s="12"/>
      <c r="ODN60" s="12"/>
      <c r="ODO60" s="12"/>
      <c r="ODP60" s="12"/>
      <c r="ODQ60" s="12"/>
      <c r="ODR60" s="12"/>
      <c r="ODS60" s="12"/>
      <c r="ODT60" s="12"/>
      <c r="ODU60" s="12"/>
      <c r="ODV60" s="12"/>
      <c r="ODW60" s="12"/>
      <c r="ODX60" s="12"/>
      <c r="ODY60" s="12"/>
      <c r="ODZ60" s="12"/>
      <c r="OEA60" s="12"/>
      <c r="OEB60" s="12"/>
      <c r="OEC60" s="12"/>
      <c r="OED60" s="12"/>
      <c r="OEE60" s="12"/>
      <c r="OEF60" s="12"/>
      <c r="OEG60" s="12"/>
      <c r="OEH60" s="12"/>
      <c r="OEI60" s="12"/>
      <c r="OEJ60" s="12"/>
      <c r="OEK60" s="12"/>
      <c r="OEL60" s="12"/>
      <c r="OEM60" s="12"/>
      <c r="OEN60" s="12"/>
      <c r="OEO60" s="12"/>
      <c r="OEP60" s="12"/>
      <c r="OEQ60" s="12"/>
      <c r="OER60" s="12"/>
      <c r="OES60" s="12"/>
      <c r="OET60" s="12"/>
      <c r="OEU60" s="12"/>
      <c r="OEV60" s="12"/>
      <c r="OEW60" s="12"/>
      <c r="OEX60" s="12"/>
      <c r="OEY60" s="12"/>
      <c r="OEZ60" s="12"/>
      <c r="OFA60" s="12"/>
      <c r="OFB60" s="12"/>
      <c r="OFC60" s="12"/>
      <c r="OFD60" s="12"/>
      <c r="OFE60" s="12"/>
      <c r="OFF60" s="12"/>
      <c r="OFG60" s="12"/>
      <c r="OFH60" s="12"/>
      <c r="OFI60" s="12"/>
      <c r="OFJ60" s="12"/>
      <c r="OFK60" s="12"/>
      <c r="OFL60" s="12"/>
      <c r="OFM60" s="12"/>
      <c r="OFN60" s="12"/>
      <c r="OFO60" s="12"/>
      <c r="OFP60" s="12"/>
      <c r="OFQ60" s="12"/>
      <c r="OFR60" s="12"/>
      <c r="OFS60" s="12"/>
      <c r="OFT60" s="12"/>
      <c r="OFU60" s="12"/>
      <c r="OFV60" s="12"/>
      <c r="OFW60" s="12"/>
      <c r="OFX60" s="12"/>
      <c r="OFY60" s="12"/>
      <c r="OFZ60" s="12"/>
      <c r="OGA60" s="12"/>
      <c r="OGB60" s="12"/>
      <c r="OGC60" s="12"/>
      <c r="OGD60" s="12"/>
      <c r="OGE60" s="12"/>
      <c r="OGF60" s="12"/>
      <c r="OGG60" s="12"/>
      <c r="OGH60" s="12"/>
      <c r="OGI60" s="12"/>
      <c r="OGJ60" s="12"/>
      <c r="OGK60" s="12"/>
      <c r="OGL60" s="12"/>
      <c r="OGM60" s="12"/>
      <c r="OGN60" s="12"/>
      <c r="OGO60" s="12"/>
      <c r="OGP60" s="12"/>
      <c r="OGQ60" s="12"/>
      <c r="OGR60" s="12"/>
      <c r="OGS60" s="12"/>
      <c r="OGT60" s="12"/>
      <c r="OGU60" s="12"/>
      <c r="OGV60" s="12"/>
      <c r="OGW60" s="12"/>
      <c r="OGX60" s="12"/>
      <c r="OGY60" s="12"/>
      <c r="OGZ60" s="12"/>
      <c r="OHA60" s="12"/>
      <c r="OHB60" s="12"/>
      <c r="OHC60" s="12"/>
      <c r="OHD60" s="12"/>
      <c r="OHE60" s="12"/>
      <c r="OHF60" s="12"/>
      <c r="OHG60" s="12"/>
      <c r="OHH60" s="12"/>
      <c r="OHI60" s="12"/>
      <c r="OHJ60" s="12"/>
      <c r="OHK60" s="12"/>
      <c r="OHL60" s="12"/>
      <c r="OHM60" s="12"/>
      <c r="OHN60" s="12"/>
      <c r="OHO60" s="12"/>
      <c r="OHP60" s="12"/>
      <c r="OHQ60" s="12"/>
      <c r="OHR60" s="12"/>
      <c r="OHS60" s="12"/>
      <c r="OHT60" s="12"/>
      <c r="OHU60" s="12"/>
      <c r="OHV60" s="12"/>
      <c r="OHW60" s="12"/>
      <c r="OHX60" s="12"/>
      <c r="OHY60" s="12"/>
      <c r="OHZ60" s="12"/>
      <c r="OIA60" s="12"/>
      <c r="OIB60" s="12"/>
      <c r="OIC60" s="12"/>
      <c r="OID60" s="12"/>
      <c r="OIE60" s="12"/>
      <c r="OIF60" s="12"/>
      <c r="OIG60" s="12"/>
      <c r="OIH60" s="12"/>
      <c r="OII60" s="12"/>
      <c r="OIJ60" s="12"/>
      <c r="OIK60" s="12"/>
      <c r="OIL60" s="12"/>
      <c r="OIM60" s="12"/>
      <c r="OIN60" s="12"/>
      <c r="OIO60" s="12"/>
      <c r="OIP60" s="12"/>
      <c r="OIQ60" s="12"/>
      <c r="OIR60" s="12"/>
      <c r="OIS60" s="12"/>
      <c r="OIT60" s="12"/>
      <c r="OIU60" s="12"/>
      <c r="OIV60" s="12"/>
      <c r="OIW60" s="12"/>
      <c r="OIX60" s="12"/>
      <c r="OIY60" s="12"/>
      <c r="OIZ60" s="12"/>
      <c r="OJA60" s="12"/>
      <c r="OJB60" s="12"/>
      <c r="OJC60" s="12"/>
      <c r="OJD60" s="12"/>
      <c r="OJE60" s="12"/>
      <c r="OJF60" s="12"/>
      <c r="OJG60" s="12"/>
      <c r="OJH60" s="12"/>
      <c r="OJI60" s="12"/>
      <c r="OJJ60" s="12"/>
      <c r="OJK60" s="12"/>
      <c r="OJL60" s="12"/>
      <c r="OJM60" s="12"/>
      <c r="OJN60" s="12"/>
      <c r="OJO60" s="12"/>
      <c r="OJP60" s="12"/>
      <c r="OJQ60" s="12"/>
      <c r="OJR60" s="12"/>
      <c r="OJS60" s="12"/>
      <c r="OJT60" s="12"/>
      <c r="OJU60" s="12"/>
      <c r="OJV60" s="12"/>
      <c r="OJW60" s="12"/>
      <c r="OJX60" s="12"/>
      <c r="OJY60" s="12"/>
      <c r="OJZ60" s="12"/>
      <c r="OKA60" s="12"/>
      <c r="OKB60" s="12"/>
      <c r="OKC60" s="12"/>
      <c r="OKD60" s="12"/>
      <c r="OKE60" s="12"/>
      <c r="OKF60" s="12"/>
      <c r="OKG60" s="12"/>
      <c r="OKH60" s="12"/>
      <c r="OKI60" s="12"/>
      <c r="OKJ60" s="12"/>
      <c r="OKK60" s="12"/>
      <c r="OKL60" s="12"/>
      <c r="OKM60" s="12"/>
      <c r="OKN60" s="12"/>
      <c r="OKO60" s="12"/>
      <c r="OKP60" s="12"/>
      <c r="OKQ60" s="12"/>
      <c r="OKR60" s="12"/>
      <c r="OKS60" s="12"/>
      <c r="OKT60" s="12"/>
      <c r="OKU60" s="12"/>
      <c r="OKV60" s="12"/>
      <c r="OKW60" s="12"/>
      <c r="OKX60" s="12"/>
      <c r="OKY60" s="12"/>
      <c r="OKZ60" s="12"/>
      <c r="OLA60" s="12"/>
      <c r="OLB60" s="12"/>
      <c r="OLC60" s="12"/>
      <c r="OLD60" s="12"/>
      <c r="OLE60" s="12"/>
      <c r="OLF60" s="12"/>
      <c r="OLG60" s="12"/>
      <c r="OLH60" s="12"/>
      <c r="OLI60" s="12"/>
      <c r="OLJ60" s="12"/>
      <c r="OLK60" s="12"/>
      <c r="OLL60" s="12"/>
      <c r="OLM60" s="12"/>
      <c r="OLN60" s="12"/>
      <c r="OLO60" s="12"/>
      <c r="OLP60" s="12"/>
      <c r="OLQ60" s="12"/>
      <c r="OLR60" s="12"/>
      <c r="OLS60" s="12"/>
      <c r="OLT60" s="12"/>
      <c r="OLU60" s="12"/>
      <c r="OLV60" s="12"/>
      <c r="OLW60" s="12"/>
      <c r="OLX60" s="12"/>
      <c r="OLY60" s="12"/>
      <c r="OLZ60" s="12"/>
      <c r="OMA60" s="12"/>
      <c r="OMB60" s="12"/>
      <c r="OMC60" s="12"/>
      <c r="OMD60" s="12"/>
      <c r="OME60" s="12"/>
      <c r="OMF60" s="12"/>
      <c r="OMG60" s="12"/>
      <c r="OMH60" s="12"/>
      <c r="OMI60" s="12"/>
      <c r="OMJ60" s="12"/>
      <c r="OMK60" s="12"/>
      <c r="OML60" s="12"/>
      <c r="OMM60" s="12"/>
      <c r="OMN60" s="12"/>
      <c r="OMO60" s="12"/>
      <c r="OMP60" s="12"/>
      <c r="OMQ60" s="12"/>
      <c r="OMR60" s="12"/>
      <c r="OMS60" s="12"/>
      <c r="OMT60" s="12"/>
      <c r="OMU60" s="12"/>
      <c r="OMV60" s="12"/>
      <c r="OMW60" s="12"/>
      <c r="OMX60" s="12"/>
      <c r="OMY60" s="12"/>
      <c r="OMZ60" s="12"/>
      <c r="ONA60" s="12"/>
      <c r="ONB60" s="12"/>
      <c r="ONC60" s="12"/>
      <c r="OND60" s="12"/>
      <c r="ONE60" s="12"/>
      <c r="ONF60" s="12"/>
      <c r="ONG60" s="12"/>
      <c r="ONH60" s="12"/>
      <c r="ONI60" s="12"/>
      <c r="ONJ60" s="12"/>
      <c r="ONK60" s="12"/>
      <c r="ONL60" s="12"/>
      <c r="ONM60" s="12"/>
      <c r="ONN60" s="12"/>
      <c r="ONO60" s="12"/>
      <c r="ONP60" s="12"/>
      <c r="ONQ60" s="12"/>
      <c r="ONR60" s="12"/>
      <c r="ONS60" s="12"/>
      <c r="ONT60" s="12"/>
      <c r="ONU60" s="12"/>
      <c r="ONV60" s="12"/>
      <c r="ONW60" s="12"/>
      <c r="ONX60" s="12"/>
      <c r="ONY60" s="12"/>
      <c r="ONZ60" s="12"/>
      <c r="OOA60" s="12"/>
      <c r="OOB60" s="12"/>
      <c r="OOC60" s="12"/>
      <c r="OOD60" s="12"/>
      <c r="OOE60" s="12"/>
      <c r="OOF60" s="12"/>
      <c r="OOG60" s="12"/>
      <c r="OOH60" s="12"/>
      <c r="OOI60" s="12"/>
      <c r="OOJ60" s="12"/>
      <c r="OOK60" s="12"/>
      <c r="OOL60" s="12"/>
      <c r="OOM60" s="12"/>
      <c r="OON60" s="12"/>
      <c r="OOO60" s="12"/>
      <c r="OOP60" s="12"/>
      <c r="OOQ60" s="12"/>
      <c r="OOR60" s="12"/>
      <c r="OOS60" s="12"/>
      <c r="OOT60" s="12"/>
      <c r="OOU60" s="12"/>
      <c r="OOV60" s="12"/>
      <c r="OOW60" s="12"/>
      <c r="OOX60" s="12"/>
      <c r="OOY60" s="12"/>
      <c r="OOZ60" s="12"/>
      <c r="OPA60" s="12"/>
      <c r="OPB60" s="12"/>
      <c r="OPC60" s="12"/>
      <c r="OPD60" s="12"/>
      <c r="OPE60" s="12"/>
      <c r="OPF60" s="12"/>
      <c r="OPG60" s="12"/>
      <c r="OPH60" s="12"/>
      <c r="OPI60" s="12"/>
      <c r="OPJ60" s="12"/>
      <c r="OPK60" s="12"/>
      <c r="OPL60" s="12"/>
      <c r="OPM60" s="12"/>
      <c r="OPN60" s="12"/>
      <c r="OPO60" s="12"/>
      <c r="OPP60" s="12"/>
      <c r="OPQ60" s="12"/>
      <c r="OPR60" s="12"/>
      <c r="OPS60" s="12"/>
      <c r="OPT60" s="12"/>
      <c r="OPU60" s="12"/>
      <c r="OPV60" s="12"/>
      <c r="OPW60" s="12"/>
      <c r="OPX60" s="12"/>
      <c r="OPY60" s="12"/>
      <c r="OPZ60" s="12"/>
      <c r="OQA60" s="12"/>
      <c r="OQB60" s="12"/>
      <c r="OQC60" s="12"/>
      <c r="OQD60" s="12"/>
      <c r="OQE60" s="12"/>
      <c r="OQF60" s="12"/>
      <c r="OQG60" s="12"/>
      <c r="OQH60" s="12"/>
      <c r="OQI60" s="12"/>
      <c r="OQJ60" s="12"/>
      <c r="OQK60" s="12"/>
      <c r="OQL60" s="12"/>
      <c r="OQM60" s="12"/>
      <c r="OQN60" s="12"/>
      <c r="OQO60" s="12"/>
      <c r="OQP60" s="12"/>
      <c r="OQQ60" s="12"/>
      <c r="OQR60" s="12"/>
      <c r="OQS60" s="12"/>
      <c r="OQT60" s="12"/>
      <c r="OQU60" s="12"/>
      <c r="OQV60" s="12"/>
      <c r="OQW60" s="12"/>
      <c r="OQX60" s="12"/>
      <c r="OQY60" s="12"/>
      <c r="OQZ60" s="12"/>
      <c r="ORA60" s="12"/>
      <c r="ORB60" s="12"/>
      <c r="ORC60" s="12"/>
      <c r="ORD60" s="12"/>
      <c r="ORE60" s="12"/>
      <c r="ORF60" s="12"/>
      <c r="ORG60" s="12"/>
      <c r="ORH60" s="12"/>
      <c r="ORI60" s="12"/>
      <c r="ORJ60" s="12"/>
      <c r="ORK60" s="12"/>
      <c r="ORL60" s="12"/>
      <c r="ORM60" s="12"/>
      <c r="ORN60" s="12"/>
      <c r="ORO60" s="12"/>
      <c r="ORP60" s="12"/>
      <c r="ORQ60" s="12"/>
      <c r="ORR60" s="12"/>
      <c r="ORS60" s="12"/>
      <c r="ORT60" s="12"/>
      <c r="ORU60" s="12"/>
      <c r="ORV60" s="12"/>
      <c r="ORW60" s="12"/>
      <c r="ORX60" s="12"/>
      <c r="ORY60" s="12"/>
      <c r="ORZ60" s="12"/>
      <c r="OSA60" s="12"/>
      <c r="OSB60" s="12"/>
      <c r="OSC60" s="12"/>
      <c r="OSD60" s="12"/>
      <c r="OSE60" s="12"/>
      <c r="OSF60" s="12"/>
      <c r="OSG60" s="12"/>
      <c r="OSH60" s="12"/>
      <c r="OSI60" s="12"/>
      <c r="OSJ60" s="12"/>
      <c r="OSK60" s="12"/>
      <c r="OSL60" s="12"/>
      <c r="OSM60" s="12"/>
      <c r="OSN60" s="12"/>
      <c r="OSO60" s="12"/>
      <c r="OSP60" s="12"/>
      <c r="OSQ60" s="12"/>
      <c r="OSR60" s="12"/>
      <c r="OSS60" s="12"/>
      <c r="OST60" s="12"/>
      <c r="OSU60" s="12"/>
      <c r="OSV60" s="12"/>
      <c r="OSW60" s="12"/>
      <c r="OSX60" s="12"/>
      <c r="OSY60" s="12"/>
      <c r="OSZ60" s="12"/>
      <c r="OTA60" s="12"/>
      <c r="OTB60" s="12"/>
      <c r="OTC60" s="12"/>
      <c r="OTD60" s="12"/>
      <c r="OTE60" s="12"/>
      <c r="OTF60" s="12"/>
      <c r="OTG60" s="12"/>
      <c r="OTH60" s="12"/>
      <c r="OTI60" s="12"/>
      <c r="OTJ60" s="12"/>
      <c r="OTK60" s="12"/>
      <c r="OTL60" s="12"/>
      <c r="OTM60" s="12"/>
      <c r="OTN60" s="12"/>
      <c r="OTO60" s="12"/>
      <c r="OTP60" s="12"/>
      <c r="OTQ60" s="12"/>
      <c r="OTR60" s="12"/>
      <c r="OTS60" s="12"/>
      <c r="OTT60" s="12"/>
      <c r="OTU60" s="12"/>
      <c r="OTV60" s="12"/>
      <c r="OTW60" s="12"/>
      <c r="OTX60" s="12"/>
      <c r="OTY60" s="12"/>
      <c r="OTZ60" s="12"/>
      <c r="OUA60" s="12"/>
      <c r="OUB60" s="12"/>
      <c r="OUC60" s="12"/>
      <c r="OUD60" s="12"/>
      <c r="OUE60" s="12"/>
      <c r="OUF60" s="12"/>
      <c r="OUG60" s="12"/>
      <c r="OUH60" s="12"/>
      <c r="OUI60" s="12"/>
      <c r="OUJ60" s="12"/>
      <c r="OUK60" s="12"/>
      <c r="OUL60" s="12"/>
      <c r="OUM60" s="12"/>
      <c r="OUN60" s="12"/>
      <c r="OUO60" s="12"/>
      <c r="OUP60" s="12"/>
      <c r="OUQ60" s="12"/>
      <c r="OUR60" s="12"/>
      <c r="OUS60" s="12"/>
      <c r="OUT60" s="12"/>
      <c r="OUU60" s="12"/>
      <c r="OUV60" s="12"/>
      <c r="OUW60" s="12"/>
      <c r="OUX60" s="12"/>
      <c r="OUY60" s="12"/>
      <c r="OUZ60" s="12"/>
      <c r="OVA60" s="12"/>
      <c r="OVB60" s="12"/>
      <c r="OVC60" s="12"/>
      <c r="OVD60" s="12"/>
      <c r="OVE60" s="12"/>
      <c r="OVF60" s="12"/>
      <c r="OVG60" s="12"/>
      <c r="OVH60" s="12"/>
      <c r="OVI60" s="12"/>
      <c r="OVJ60" s="12"/>
      <c r="OVK60" s="12"/>
      <c r="OVL60" s="12"/>
      <c r="OVM60" s="12"/>
      <c r="OVN60" s="12"/>
      <c r="OVO60" s="12"/>
      <c r="OVP60" s="12"/>
      <c r="OVQ60" s="12"/>
      <c r="OVR60" s="12"/>
      <c r="OVS60" s="12"/>
      <c r="OVT60" s="12"/>
      <c r="OVU60" s="12"/>
      <c r="OVV60" s="12"/>
      <c r="OVW60" s="12"/>
      <c r="OVX60" s="12"/>
      <c r="OVY60" s="12"/>
      <c r="OVZ60" s="12"/>
      <c r="OWA60" s="12"/>
      <c r="OWB60" s="12"/>
      <c r="OWC60" s="12"/>
      <c r="OWD60" s="12"/>
      <c r="OWE60" s="12"/>
      <c r="OWF60" s="12"/>
      <c r="OWG60" s="12"/>
      <c r="OWH60" s="12"/>
      <c r="OWI60" s="12"/>
      <c r="OWJ60" s="12"/>
      <c r="OWK60" s="12"/>
      <c r="OWL60" s="12"/>
      <c r="OWM60" s="12"/>
      <c r="OWN60" s="12"/>
      <c r="OWO60" s="12"/>
      <c r="OWP60" s="12"/>
      <c r="OWQ60" s="12"/>
      <c r="OWR60" s="12"/>
      <c r="OWS60" s="12"/>
      <c r="OWT60" s="12"/>
      <c r="OWU60" s="12"/>
      <c r="OWV60" s="12"/>
      <c r="OWW60" s="12"/>
      <c r="OWX60" s="12"/>
      <c r="OWY60" s="12"/>
      <c r="OWZ60" s="12"/>
      <c r="OXA60" s="12"/>
      <c r="OXB60" s="12"/>
      <c r="OXC60" s="12"/>
      <c r="OXD60" s="12"/>
      <c r="OXE60" s="12"/>
      <c r="OXF60" s="12"/>
      <c r="OXG60" s="12"/>
      <c r="OXH60" s="12"/>
      <c r="OXI60" s="12"/>
      <c r="OXJ60" s="12"/>
      <c r="OXK60" s="12"/>
      <c r="OXL60" s="12"/>
      <c r="OXM60" s="12"/>
      <c r="OXN60" s="12"/>
      <c r="OXO60" s="12"/>
      <c r="OXP60" s="12"/>
      <c r="OXQ60" s="12"/>
      <c r="OXR60" s="12"/>
      <c r="OXS60" s="12"/>
      <c r="OXT60" s="12"/>
      <c r="OXU60" s="12"/>
      <c r="OXV60" s="12"/>
      <c r="OXW60" s="12"/>
      <c r="OXX60" s="12"/>
      <c r="OXY60" s="12"/>
      <c r="OXZ60" s="12"/>
      <c r="OYA60" s="12"/>
      <c r="OYB60" s="12"/>
      <c r="OYC60" s="12"/>
      <c r="OYD60" s="12"/>
      <c r="OYE60" s="12"/>
      <c r="OYF60" s="12"/>
      <c r="OYG60" s="12"/>
      <c r="OYH60" s="12"/>
      <c r="OYI60" s="12"/>
      <c r="OYJ60" s="12"/>
      <c r="OYK60" s="12"/>
      <c r="OYL60" s="12"/>
      <c r="OYM60" s="12"/>
      <c r="OYN60" s="12"/>
      <c r="OYO60" s="12"/>
      <c r="OYP60" s="12"/>
      <c r="OYQ60" s="12"/>
      <c r="OYR60" s="12"/>
      <c r="OYS60" s="12"/>
      <c r="OYT60" s="12"/>
      <c r="OYU60" s="12"/>
      <c r="OYV60" s="12"/>
      <c r="OYW60" s="12"/>
      <c r="OYX60" s="12"/>
      <c r="OYY60" s="12"/>
      <c r="OYZ60" s="12"/>
      <c r="OZA60" s="12"/>
      <c r="OZB60" s="12"/>
      <c r="OZC60" s="12"/>
      <c r="OZD60" s="12"/>
      <c r="OZE60" s="12"/>
      <c r="OZF60" s="12"/>
      <c r="OZG60" s="12"/>
      <c r="OZH60" s="12"/>
      <c r="OZI60" s="12"/>
      <c r="OZJ60" s="12"/>
      <c r="OZK60" s="12"/>
      <c r="OZL60" s="12"/>
      <c r="OZM60" s="12"/>
      <c r="OZN60" s="12"/>
      <c r="OZO60" s="12"/>
      <c r="OZP60" s="12"/>
      <c r="OZQ60" s="12"/>
      <c r="OZR60" s="12"/>
      <c r="OZS60" s="12"/>
      <c r="OZT60" s="12"/>
      <c r="OZU60" s="12"/>
      <c r="OZV60" s="12"/>
      <c r="OZW60" s="12"/>
      <c r="OZX60" s="12"/>
      <c r="OZY60" s="12"/>
      <c r="OZZ60" s="12"/>
      <c r="PAA60" s="12"/>
      <c r="PAB60" s="12"/>
      <c r="PAC60" s="12"/>
      <c r="PAD60" s="12"/>
      <c r="PAE60" s="12"/>
      <c r="PAF60" s="12"/>
      <c r="PAG60" s="12"/>
      <c r="PAH60" s="12"/>
      <c r="PAI60" s="12"/>
      <c r="PAJ60" s="12"/>
      <c r="PAK60" s="12"/>
      <c r="PAL60" s="12"/>
      <c r="PAM60" s="12"/>
      <c r="PAN60" s="12"/>
      <c r="PAO60" s="12"/>
      <c r="PAP60" s="12"/>
      <c r="PAQ60" s="12"/>
      <c r="PAR60" s="12"/>
      <c r="PAS60" s="12"/>
      <c r="PAT60" s="12"/>
      <c r="PAU60" s="12"/>
      <c r="PAV60" s="12"/>
      <c r="PAW60" s="12"/>
      <c r="PAX60" s="12"/>
      <c r="PAY60" s="12"/>
      <c r="PAZ60" s="12"/>
      <c r="PBA60" s="12"/>
      <c r="PBB60" s="12"/>
      <c r="PBC60" s="12"/>
      <c r="PBD60" s="12"/>
      <c r="PBE60" s="12"/>
      <c r="PBF60" s="12"/>
      <c r="PBG60" s="12"/>
      <c r="PBH60" s="12"/>
      <c r="PBI60" s="12"/>
      <c r="PBJ60" s="12"/>
      <c r="PBK60" s="12"/>
      <c r="PBL60" s="12"/>
      <c r="PBM60" s="12"/>
      <c r="PBN60" s="12"/>
      <c r="PBO60" s="12"/>
      <c r="PBP60" s="12"/>
      <c r="PBQ60" s="12"/>
      <c r="PBR60" s="12"/>
      <c r="PBS60" s="12"/>
      <c r="PBT60" s="12"/>
      <c r="PBU60" s="12"/>
      <c r="PBV60" s="12"/>
      <c r="PBW60" s="12"/>
      <c r="PBX60" s="12"/>
      <c r="PBY60" s="12"/>
      <c r="PBZ60" s="12"/>
      <c r="PCA60" s="12"/>
      <c r="PCB60" s="12"/>
      <c r="PCC60" s="12"/>
      <c r="PCD60" s="12"/>
      <c r="PCE60" s="12"/>
      <c r="PCF60" s="12"/>
      <c r="PCG60" s="12"/>
      <c r="PCH60" s="12"/>
      <c r="PCI60" s="12"/>
      <c r="PCJ60" s="12"/>
      <c r="PCK60" s="12"/>
      <c r="PCL60" s="12"/>
      <c r="PCM60" s="12"/>
      <c r="PCN60" s="12"/>
      <c r="PCO60" s="12"/>
      <c r="PCP60" s="12"/>
      <c r="PCQ60" s="12"/>
      <c r="PCR60" s="12"/>
      <c r="PCS60" s="12"/>
      <c r="PCT60" s="12"/>
      <c r="PCU60" s="12"/>
      <c r="PCV60" s="12"/>
      <c r="PCW60" s="12"/>
      <c r="PCX60" s="12"/>
      <c r="PCY60" s="12"/>
      <c r="PCZ60" s="12"/>
      <c r="PDA60" s="12"/>
      <c r="PDB60" s="12"/>
      <c r="PDC60" s="12"/>
      <c r="PDD60" s="12"/>
      <c r="PDE60" s="12"/>
      <c r="PDF60" s="12"/>
      <c r="PDG60" s="12"/>
      <c r="PDH60" s="12"/>
      <c r="PDI60" s="12"/>
      <c r="PDJ60" s="12"/>
      <c r="PDK60" s="12"/>
      <c r="PDL60" s="12"/>
      <c r="PDM60" s="12"/>
      <c r="PDN60" s="12"/>
      <c r="PDO60" s="12"/>
      <c r="PDP60" s="12"/>
      <c r="PDQ60" s="12"/>
      <c r="PDR60" s="12"/>
      <c r="PDS60" s="12"/>
      <c r="PDT60" s="12"/>
      <c r="PDU60" s="12"/>
      <c r="PDV60" s="12"/>
      <c r="PDW60" s="12"/>
      <c r="PDX60" s="12"/>
      <c r="PDY60" s="12"/>
      <c r="PDZ60" s="12"/>
      <c r="PEA60" s="12"/>
      <c r="PEB60" s="12"/>
      <c r="PEC60" s="12"/>
      <c r="PED60" s="12"/>
      <c r="PEE60" s="12"/>
      <c r="PEF60" s="12"/>
      <c r="PEG60" s="12"/>
      <c r="PEH60" s="12"/>
      <c r="PEI60" s="12"/>
      <c r="PEJ60" s="12"/>
      <c r="PEK60" s="12"/>
      <c r="PEL60" s="12"/>
      <c r="PEM60" s="12"/>
      <c r="PEN60" s="12"/>
      <c r="PEO60" s="12"/>
      <c r="PEP60" s="12"/>
      <c r="PEQ60" s="12"/>
      <c r="PER60" s="12"/>
      <c r="PES60" s="12"/>
      <c r="PET60" s="12"/>
      <c r="PEU60" s="12"/>
      <c r="PEV60" s="12"/>
      <c r="PEW60" s="12"/>
      <c r="PEX60" s="12"/>
      <c r="PEY60" s="12"/>
      <c r="PEZ60" s="12"/>
      <c r="PFA60" s="12"/>
      <c r="PFB60" s="12"/>
      <c r="PFC60" s="12"/>
      <c r="PFD60" s="12"/>
      <c r="PFE60" s="12"/>
      <c r="PFF60" s="12"/>
      <c r="PFG60" s="12"/>
      <c r="PFH60" s="12"/>
      <c r="PFI60" s="12"/>
      <c r="PFJ60" s="12"/>
      <c r="PFK60" s="12"/>
      <c r="PFL60" s="12"/>
      <c r="PFM60" s="12"/>
      <c r="PFN60" s="12"/>
      <c r="PFO60" s="12"/>
      <c r="PFP60" s="12"/>
      <c r="PFQ60" s="12"/>
      <c r="PFR60" s="12"/>
      <c r="PFS60" s="12"/>
      <c r="PFT60" s="12"/>
      <c r="PFU60" s="12"/>
      <c r="PFV60" s="12"/>
      <c r="PFW60" s="12"/>
      <c r="PFX60" s="12"/>
      <c r="PFY60" s="12"/>
      <c r="PFZ60" s="12"/>
      <c r="PGA60" s="12"/>
      <c r="PGB60" s="12"/>
      <c r="PGC60" s="12"/>
      <c r="PGD60" s="12"/>
      <c r="PGE60" s="12"/>
      <c r="PGF60" s="12"/>
      <c r="PGG60" s="12"/>
      <c r="PGH60" s="12"/>
      <c r="PGI60" s="12"/>
      <c r="PGJ60" s="12"/>
      <c r="PGK60" s="12"/>
      <c r="PGL60" s="12"/>
      <c r="PGM60" s="12"/>
      <c r="PGN60" s="12"/>
      <c r="PGO60" s="12"/>
      <c r="PGP60" s="12"/>
      <c r="PGQ60" s="12"/>
      <c r="PGR60" s="12"/>
      <c r="PGS60" s="12"/>
      <c r="PGT60" s="12"/>
      <c r="PGU60" s="12"/>
      <c r="PGV60" s="12"/>
      <c r="PGW60" s="12"/>
      <c r="PGX60" s="12"/>
      <c r="PGY60" s="12"/>
      <c r="PGZ60" s="12"/>
      <c r="PHA60" s="12"/>
      <c r="PHB60" s="12"/>
      <c r="PHC60" s="12"/>
      <c r="PHD60" s="12"/>
      <c r="PHE60" s="12"/>
      <c r="PHF60" s="12"/>
      <c r="PHG60" s="12"/>
      <c r="PHH60" s="12"/>
      <c r="PHI60" s="12"/>
      <c r="PHJ60" s="12"/>
      <c r="PHK60" s="12"/>
      <c r="PHL60" s="12"/>
      <c r="PHM60" s="12"/>
      <c r="PHN60" s="12"/>
      <c r="PHO60" s="12"/>
      <c r="PHP60" s="12"/>
      <c r="PHQ60" s="12"/>
      <c r="PHR60" s="12"/>
      <c r="PHS60" s="12"/>
      <c r="PHT60" s="12"/>
      <c r="PHU60" s="12"/>
      <c r="PHV60" s="12"/>
      <c r="PHW60" s="12"/>
      <c r="PHX60" s="12"/>
      <c r="PHY60" s="12"/>
      <c r="PHZ60" s="12"/>
      <c r="PIA60" s="12"/>
      <c r="PIB60" s="12"/>
      <c r="PIC60" s="12"/>
      <c r="PID60" s="12"/>
      <c r="PIE60" s="12"/>
      <c r="PIF60" s="12"/>
      <c r="PIG60" s="12"/>
      <c r="PIH60" s="12"/>
      <c r="PII60" s="12"/>
      <c r="PIJ60" s="12"/>
      <c r="PIK60" s="12"/>
      <c r="PIL60" s="12"/>
      <c r="PIM60" s="12"/>
      <c r="PIN60" s="12"/>
      <c r="PIO60" s="12"/>
      <c r="PIP60" s="12"/>
      <c r="PIQ60" s="12"/>
      <c r="PIR60" s="12"/>
      <c r="PIS60" s="12"/>
      <c r="PIT60" s="12"/>
      <c r="PIU60" s="12"/>
      <c r="PIV60" s="12"/>
      <c r="PIW60" s="12"/>
      <c r="PIX60" s="12"/>
      <c r="PIY60" s="12"/>
      <c r="PIZ60" s="12"/>
      <c r="PJA60" s="12"/>
      <c r="PJB60" s="12"/>
      <c r="PJC60" s="12"/>
      <c r="PJD60" s="12"/>
      <c r="PJE60" s="12"/>
      <c r="PJF60" s="12"/>
      <c r="PJG60" s="12"/>
      <c r="PJH60" s="12"/>
      <c r="PJI60" s="12"/>
      <c r="PJJ60" s="12"/>
      <c r="PJK60" s="12"/>
      <c r="PJL60" s="12"/>
      <c r="PJM60" s="12"/>
      <c r="PJN60" s="12"/>
      <c r="PJO60" s="12"/>
      <c r="PJP60" s="12"/>
      <c r="PJQ60" s="12"/>
      <c r="PJR60" s="12"/>
      <c r="PJS60" s="12"/>
      <c r="PJT60" s="12"/>
      <c r="PJU60" s="12"/>
      <c r="PJV60" s="12"/>
      <c r="PJW60" s="12"/>
      <c r="PJX60" s="12"/>
      <c r="PJY60" s="12"/>
      <c r="PJZ60" s="12"/>
      <c r="PKA60" s="12"/>
      <c r="PKB60" s="12"/>
      <c r="PKC60" s="12"/>
      <c r="PKD60" s="12"/>
      <c r="PKE60" s="12"/>
      <c r="PKF60" s="12"/>
      <c r="PKG60" s="12"/>
      <c r="PKH60" s="12"/>
      <c r="PKI60" s="12"/>
      <c r="PKJ60" s="12"/>
      <c r="PKK60" s="12"/>
      <c r="PKL60" s="12"/>
      <c r="PKM60" s="12"/>
      <c r="PKN60" s="12"/>
      <c r="PKO60" s="12"/>
      <c r="PKP60" s="12"/>
      <c r="PKQ60" s="12"/>
      <c r="PKR60" s="12"/>
      <c r="PKS60" s="12"/>
      <c r="PKT60" s="12"/>
      <c r="PKU60" s="12"/>
      <c r="PKV60" s="12"/>
      <c r="PKW60" s="12"/>
      <c r="PKX60" s="12"/>
      <c r="PKY60" s="12"/>
      <c r="PKZ60" s="12"/>
      <c r="PLA60" s="12"/>
      <c r="PLB60" s="12"/>
      <c r="PLC60" s="12"/>
      <c r="PLD60" s="12"/>
      <c r="PLE60" s="12"/>
      <c r="PLF60" s="12"/>
      <c r="PLG60" s="12"/>
      <c r="PLH60" s="12"/>
      <c r="PLI60" s="12"/>
      <c r="PLJ60" s="12"/>
      <c r="PLK60" s="12"/>
      <c r="PLL60" s="12"/>
      <c r="PLM60" s="12"/>
      <c r="PLN60" s="12"/>
      <c r="PLO60" s="12"/>
      <c r="PLP60" s="12"/>
      <c r="PLQ60" s="12"/>
      <c r="PLR60" s="12"/>
      <c r="PLS60" s="12"/>
      <c r="PLT60" s="12"/>
      <c r="PLU60" s="12"/>
      <c r="PLV60" s="12"/>
      <c r="PLW60" s="12"/>
      <c r="PLX60" s="12"/>
      <c r="PLY60" s="12"/>
      <c r="PLZ60" s="12"/>
      <c r="PMA60" s="12"/>
      <c r="PMB60" s="12"/>
      <c r="PMC60" s="12"/>
      <c r="PMD60" s="12"/>
      <c r="PME60" s="12"/>
      <c r="PMF60" s="12"/>
      <c r="PMG60" s="12"/>
      <c r="PMH60" s="12"/>
      <c r="PMI60" s="12"/>
      <c r="PMJ60" s="12"/>
      <c r="PMK60" s="12"/>
      <c r="PML60" s="12"/>
      <c r="PMM60" s="12"/>
      <c r="PMN60" s="12"/>
      <c r="PMO60" s="12"/>
      <c r="PMP60" s="12"/>
      <c r="PMQ60" s="12"/>
      <c r="PMR60" s="12"/>
      <c r="PMS60" s="12"/>
      <c r="PMT60" s="12"/>
      <c r="PMU60" s="12"/>
      <c r="PMV60" s="12"/>
      <c r="PMW60" s="12"/>
      <c r="PMX60" s="12"/>
      <c r="PMY60" s="12"/>
      <c r="PMZ60" s="12"/>
      <c r="PNA60" s="12"/>
      <c r="PNB60" s="12"/>
      <c r="PNC60" s="12"/>
      <c r="PND60" s="12"/>
      <c r="PNE60" s="12"/>
      <c r="PNF60" s="12"/>
      <c r="PNG60" s="12"/>
      <c r="PNH60" s="12"/>
      <c r="PNI60" s="12"/>
      <c r="PNJ60" s="12"/>
      <c r="PNK60" s="12"/>
      <c r="PNL60" s="12"/>
      <c r="PNM60" s="12"/>
      <c r="PNN60" s="12"/>
      <c r="PNO60" s="12"/>
      <c r="PNP60" s="12"/>
      <c r="PNQ60" s="12"/>
      <c r="PNR60" s="12"/>
      <c r="PNS60" s="12"/>
      <c r="PNT60" s="12"/>
      <c r="PNU60" s="12"/>
      <c r="PNV60" s="12"/>
      <c r="PNW60" s="12"/>
      <c r="PNX60" s="12"/>
      <c r="PNY60" s="12"/>
      <c r="PNZ60" s="12"/>
      <c r="POA60" s="12"/>
      <c r="POB60" s="12"/>
      <c r="POC60" s="12"/>
      <c r="POD60" s="12"/>
      <c r="POE60" s="12"/>
      <c r="POF60" s="12"/>
      <c r="POG60" s="12"/>
      <c r="POH60" s="12"/>
      <c r="POI60" s="12"/>
      <c r="POJ60" s="12"/>
      <c r="POK60" s="12"/>
      <c r="POL60" s="12"/>
      <c r="POM60" s="12"/>
      <c r="PON60" s="12"/>
      <c r="POO60" s="12"/>
      <c r="POP60" s="12"/>
      <c r="POQ60" s="12"/>
      <c r="POR60" s="12"/>
      <c r="POS60" s="12"/>
      <c r="POT60" s="12"/>
      <c r="POU60" s="12"/>
      <c r="POV60" s="12"/>
      <c r="POW60" s="12"/>
      <c r="POX60" s="12"/>
      <c r="POY60" s="12"/>
      <c r="POZ60" s="12"/>
      <c r="PPA60" s="12"/>
      <c r="PPB60" s="12"/>
      <c r="PPC60" s="12"/>
      <c r="PPD60" s="12"/>
      <c r="PPE60" s="12"/>
      <c r="PPF60" s="12"/>
      <c r="PPG60" s="12"/>
      <c r="PPH60" s="12"/>
      <c r="PPI60" s="12"/>
      <c r="PPJ60" s="12"/>
      <c r="PPK60" s="12"/>
      <c r="PPL60" s="12"/>
      <c r="PPM60" s="12"/>
      <c r="PPN60" s="12"/>
      <c r="PPO60" s="12"/>
      <c r="PPP60" s="12"/>
      <c r="PPQ60" s="12"/>
      <c r="PPR60" s="12"/>
      <c r="PPS60" s="12"/>
      <c r="PPT60" s="12"/>
      <c r="PPU60" s="12"/>
      <c r="PPV60" s="12"/>
      <c r="PPW60" s="12"/>
      <c r="PPX60" s="12"/>
      <c r="PPY60" s="12"/>
      <c r="PPZ60" s="12"/>
      <c r="PQA60" s="12"/>
      <c r="PQB60" s="12"/>
      <c r="PQC60" s="12"/>
      <c r="PQD60" s="12"/>
      <c r="PQE60" s="12"/>
      <c r="PQF60" s="12"/>
      <c r="PQG60" s="12"/>
      <c r="PQH60" s="12"/>
      <c r="PQI60" s="12"/>
      <c r="PQJ60" s="12"/>
      <c r="PQK60" s="12"/>
      <c r="PQL60" s="12"/>
      <c r="PQM60" s="12"/>
      <c r="PQN60" s="12"/>
      <c r="PQO60" s="12"/>
      <c r="PQP60" s="12"/>
      <c r="PQQ60" s="12"/>
      <c r="PQR60" s="12"/>
      <c r="PQS60" s="12"/>
      <c r="PQT60" s="12"/>
      <c r="PQU60" s="12"/>
      <c r="PQV60" s="12"/>
      <c r="PQW60" s="12"/>
      <c r="PQX60" s="12"/>
      <c r="PQY60" s="12"/>
      <c r="PQZ60" s="12"/>
      <c r="PRA60" s="12"/>
      <c r="PRB60" s="12"/>
      <c r="PRC60" s="12"/>
      <c r="PRD60" s="12"/>
      <c r="PRE60" s="12"/>
      <c r="PRF60" s="12"/>
      <c r="PRG60" s="12"/>
      <c r="PRH60" s="12"/>
      <c r="PRI60" s="12"/>
      <c r="PRJ60" s="12"/>
      <c r="PRK60" s="12"/>
      <c r="PRL60" s="12"/>
      <c r="PRM60" s="12"/>
      <c r="PRN60" s="12"/>
      <c r="PRO60" s="12"/>
      <c r="PRP60" s="12"/>
      <c r="PRQ60" s="12"/>
      <c r="PRR60" s="12"/>
      <c r="PRS60" s="12"/>
      <c r="PRT60" s="12"/>
      <c r="PRU60" s="12"/>
      <c r="PRV60" s="12"/>
      <c r="PRW60" s="12"/>
      <c r="PRX60" s="12"/>
      <c r="PRY60" s="12"/>
      <c r="PRZ60" s="12"/>
      <c r="PSA60" s="12"/>
      <c r="PSB60" s="12"/>
      <c r="PSC60" s="12"/>
      <c r="PSD60" s="12"/>
      <c r="PSE60" s="12"/>
      <c r="PSF60" s="12"/>
      <c r="PSG60" s="12"/>
      <c r="PSH60" s="12"/>
      <c r="PSI60" s="12"/>
      <c r="PSJ60" s="12"/>
      <c r="PSK60" s="12"/>
      <c r="PSL60" s="12"/>
      <c r="PSM60" s="12"/>
      <c r="PSN60" s="12"/>
      <c r="PSO60" s="12"/>
      <c r="PSP60" s="12"/>
      <c r="PSQ60" s="12"/>
      <c r="PSR60" s="12"/>
      <c r="PSS60" s="12"/>
      <c r="PST60" s="12"/>
      <c r="PSU60" s="12"/>
      <c r="PSV60" s="12"/>
      <c r="PSW60" s="12"/>
      <c r="PSX60" s="12"/>
      <c r="PSY60" s="12"/>
      <c r="PSZ60" s="12"/>
      <c r="PTA60" s="12"/>
      <c r="PTB60" s="12"/>
      <c r="PTC60" s="12"/>
      <c r="PTD60" s="12"/>
      <c r="PTE60" s="12"/>
      <c r="PTF60" s="12"/>
      <c r="PTG60" s="12"/>
      <c r="PTH60" s="12"/>
      <c r="PTI60" s="12"/>
      <c r="PTJ60" s="12"/>
      <c r="PTK60" s="12"/>
      <c r="PTL60" s="12"/>
      <c r="PTM60" s="12"/>
      <c r="PTN60" s="12"/>
      <c r="PTO60" s="12"/>
      <c r="PTP60" s="12"/>
      <c r="PTQ60" s="12"/>
      <c r="PTR60" s="12"/>
      <c r="PTS60" s="12"/>
      <c r="PTT60" s="12"/>
      <c r="PTU60" s="12"/>
      <c r="PTV60" s="12"/>
      <c r="PTW60" s="12"/>
      <c r="PTX60" s="12"/>
      <c r="PTY60" s="12"/>
      <c r="PTZ60" s="12"/>
      <c r="PUA60" s="12"/>
      <c r="PUB60" s="12"/>
      <c r="PUC60" s="12"/>
      <c r="PUD60" s="12"/>
      <c r="PUE60" s="12"/>
      <c r="PUF60" s="12"/>
      <c r="PUG60" s="12"/>
      <c r="PUH60" s="12"/>
      <c r="PUI60" s="12"/>
      <c r="PUJ60" s="12"/>
      <c r="PUK60" s="12"/>
      <c r="PUL60" s="12"/>
      <c r="PUM60" s="12"/>
      <c r="PUN60" s="12"/>
      <c r="PUO60" s="12"/>
      <c r="PUP60" s="12"/>
      <c r="PUQ60" s="12"/>
      <c r="PUR60" s="12"/>
      <c r="PUS60" s="12"/>
      <c r="PUT60" s="12"/>
      <c r="PUU60" s="12"/>
      <c r="PUV60" s="12"/>
      <c r="PUW60" s="12"/>
      <c r="PUX60" s="12"/>
      <c r="PUY60" s="12"/>
      <c r="PUZ60" s="12"/>
      <c r="PVA60" s="12"/>
      <c r="PVB60" s="12"/>
      <c r="PVC60" s="12"/>
      <c r="PVD60" s="12"/>
      <c r="PVE60" s="12"/>
      <c r="PVF60" s="12"/>
      <c r="PVG60" s="12"/>
      <c r="PVH60" s="12"/>
      <c r="PVI60" s="12"/>
      <c r="PVJ60" s="12"/>
      <c r="PVK60" s="12"/>
      <c r="PVL60" s="12"/>
      <c r="PVM60" s="12"/>
      <c r="PVN60" s="12"/>
      <c r="PVO60" s="12"/>
      <c r="PVP60" s="12"/>
      <c r="PVQ60" s="12"/>
      <c r="PVR60" s="12"/>
      <c r="PVS60" s="12"/>
      <c r="PVT60" s="12"/>
      <c r="PVU60" s="12"/>
      <c r="PVV60" s="12"/>
      <c r="PVW60" s="12"/>
      <c r="PVX60" s="12"/>
      <c r="PVY60" s="12"/>
      <c r="PVZ60" s="12"/>
      <c r="PWA60" s="12"/>
      <c r="PWB60" s="12"/>
      <c r="PWC60" s="12"/>
      <c r="PWD60" s="12"/>
      <c r="PWE60" s="12"/>
      <c r="PWF60" s="12"/>
      <c r="PWG60" s="12"/>
      <c r="PWH60" s="12"/>
      <c r="PWI60" s="12"/>
      <c r="PWJ60" s="12"/>
      <c r="PWK60" s="12"/>
      <c r="PWL60" s="12"/>
      <c r="PWM60" s="12"/>
      <c r="PWN60" s="12"/>
      <c r="PWO60" s="12"/>
      <c r="PWP60" s="12"/>
      <c r="PWQ60" s="12"/>
      <c r="PWR60" s="12"/>
      <c r="PWS60" s="12"/>
      <c r="PWT60" s="12"/>
      <c r="PWU60" s="12"/>
      <c r="PWV60" s="12"/>
      <c r="PWW60" s="12"/>
      <c r="PWX60" s="12"/>
      <c r="PWY60" s="12"/>
      <c r="PWZ60" s="12"/>
      <c r="PXA60" s="12"/>
      <c r="PXB60" s="12"/>
      <c r="PXC60" s="12"/>
      <c r="PXD60" s="12"/>
      <c r="PXE60" s="12"/>
      <c r="PXF60" s="12"/>
      <c r="PXG60" s="12"/>
      <c r="PXH60" s="12"/>
      <c r="PXI60" s="12"/>
      <c r="PXJ60" s="12"/>
      <c r="PXK60" s="12"/>
      <c r="PXL60" s="12"/>
      <c r="PXM60" s="12"/>
      <c r="PXN60" s="12"/>
      <c r="PXO60" s="12"/>
      <c r="PXP60" s="12"/>
      <c r="PXQ60" s="12"/>
      <c r="PXR60" s="12"/>
      <c r="PXS60" s="12"/>
      <c r="PXT60" s="12"/>
      <c r="PXU60" s="12"/>
      <c r="PXV60" s="12"/>
      <c r="PXW60" s="12"/>
      <c r="PXX60" s="12"/>
      <c r="PXY60" s="12"/>
      <c r="PXZ60" s="12"/>
      <c r="PYA60" s="12"/>
      <c r="PYB60" s="12"/>
      <c r="PYC60" s="12"/>
      <c r="PYD60" s="12"/>
      <c r="PYE60" s="12"/>
      <c r="PYF60" s="12"/>
      <c r="PYG60" s="12"/>
      <c r="PYH60" s="12"/>
      <c r="PYI60" s="12"/>
      <c r="PYJ60" s="12"/>
      <c r="PYK60" s="12"/>
      <c r="PYL60" s="12"/>
      <c r="PYM60" s="12"/>
      <c r="PYN60" s="12"/>
      <c r="PYO60" s="12"/>
      <c r="PYP60" s="12"/>
      <c r="PYQ60" s="12"/>
      <c r="PYR60" s="12"/>
      <c r="PYS60" s="12"/>
      <c r="PYT60" s="12"/>
      <c r="PYU60" s="12"/>
      <c r="PYV60" s="12"/>
      <c r="PYW60" s="12"/>
      <c r="PYX60" s="12"/>
      <c r="PYY60" s="12"/>
      <c r="PYZ60" s="12"/>
      <c r="PZA60" s="12"/>
      <c r="PZB60" s="12"/>
      <c r="PZC60" s="12"/>
      <c r="PZD60" s="12"/>
      <c r="PZE60" s="12"/>
      <c r="PZF60" s="12"/>
      <c r="PZG60" s="12"/>
      <c r="PZH60" s="12"/>
      <c r="PZI60" s="12"/>
      <c r="PZJ60" s="12"/>
      <c r="PZK60" s="12"/>
      <c r="PZL60" s="12"/>
      <c r="PZM60" s="12"/>
      <c r="PZN60" s="12"/>
      <c r="PZO60" s="12"/>
      <c r="PZP60" s="12"/>
      <c r="PZQ60" s="12"/>
      <c r="PZR60" s="12"/>
      <c r="PZS60" s="12"/>
      <c r="PZT60" s="12"/>
      <c r="PZU60" s="12"/>
      <c r="PZV60" s="12"/>
      <c r="PZW60" s="12"/>
      <c r="PZX60" s="12"/>
      <c r="PZY60" s="12"/>
      <c r="PZZ60" s="12"/>
      <c r="QAA60" s="12"/>
      <c r="QAB60" s="12"/>
      <c r="QAC60" s="12"/>
      <c r="QAD60" s="12"/>
      <c r="QAE60" s="12"/>
      <c r="QAF60" s="12"/>
      <c r="QAG60" s="12"/>
      <c r="QAH60" s="12"/>
      <c r="QAI60" s="12"/>
      <c r="QAJ60" s="12"/>
      <c r="QAK60" s="12"/>
      <c r="QAL60" s="12"/>
      <c r="QAM60" s="12"/>
      <c r="QAN60" s="12"/>
      <c r="QAO60" s="12"/>
      <c r="QAP60" s="12"/>
      <c r="QAQ60" s="12"/>
      <c r="QAR60" s="12"/>
      <c r="QAS60" s="12"/>
      <c r="QAT60" s="12"/>
      <c r="QAU60" s="12"/>
      <c r="QAV60" s="12"/>
      <c r="QAW60" s="12"/>
      <c r="QAX60" s="12"/>
      <c r="QAY60" s="12"/>
      <c r="QAZ60" s="12"/>
      <c r="QBA60" s="12"/>
      <c r="QBB60" s="12"/>
      <c r="QBC60" s="12"/>
      <c r="QBD60" s="12"/>
      <c r="QBE60" s="12"/>
      <c r="QBF60" s="12"/>
      <c r="QBG60" s="12"/>
      <c r="QBH60" s="12"/>
      <c r="QBI60" s="12"/>
      <c r="QBJ60" s="12"/>
      <c r="QBK60" s="12"/>
      <c r="QBL60" s="12"/>
      <c r="QBM60" s="12"/>
      <c r="QBN60" s="12"/>
      <c r="QBO60" s="12"/>
      <c r="QBP60" s="12"/>
      <c r="QBQ60" s="12"/>
      <c r="QBR60" s="12"/>
      <c r="QBS60" s="12"/>
      <c r="QBT60" s="12"/>
      <c r="QBU60" s="12"/>
      <c r="QBV60" s="12"/>
      <c r="QBW60" s="12"/>
      <c r="QBX60" s="12"/>
      <c r="QBY60" s="12"/>
      <c r="QBZ60" s="12"/>
      <c r="QCA60" s="12"/>
      <c r="QCB60" s="12"/>
      <c r="QCC60" s="12"/>
      <c r="QCD60" s="12"/>
      <c r="QCE60" s="12"/>
      <c r="QCF60" s="12"/>
      <c r="QCG60" s="12"/>
      <c r="QCH60" s="12"/>
      <c r="QCI60" s="12"/>
      <c r="QCJ60" s="12"/>
      <c r="QCK60" s="12"/>
      <c r="QCL60" s="12"/>
      <c r="QCM60" s="12"/>
      <c r="QCN60" s="12"/>
      <c r="QCO60" s="12"/>
      <c r="QCP60" s="12"/>
      <c r="QCQ60" s="12"/>
      <c r="QCR60" s="12"/>
      <c r="QCS60" s="12"/>
      <c r="QCT60" s="12"/>
      <c r="QCU60" s="12"/>
      <c r="QCV60" s="12"/>
      <c r="QCW60" s="12"/>
      <c r="QCX60" s="12"/>
      <c r="QCY60" s="12"/>
      <c r="QCZ60" s="12"/>
      <c r="QDA60" s="12"/>
      <c r="QDB60" s="12"/>
      <c r="QDC60" s="12"/>
      <c r="QDD60" s="12"/>
      <c r="QDE60" s="12"/>
      <c r="QDF60" s="12"/>
      <c r="QDG60" s="12"/>
      <c r="QDH60" s="12"/>
      <c r="QDI60" s="12"/>
      <c r="QDJ60" s="12"/>
      <c r="QDK60" s="12"/>
      <c r="QDL60" s="12"/>
      <c r="QDM60" s="12"/>
      <c r="QDN60" s="12"/>
      <c r="QDO60" s="12"/>
      <c r="QDP60" s="12"/>
      <c r="QDQ60" s="12"/>
      <c r="QDR60" s="12"/>
      <c r="QDS60" s="12"/>
      <c r="QDT60" s="12"/>
      <c r="QDU60" s="12"/>
      <c r="QDV60" s="12"/>
      <c r="QDW60" s="12"/>
      <c r="QDX60" s="12"/>
      <c r="QDY60" s="12"/>
      <c r="QDZ60" s="12"/>
      <c r="QEA60" s="12"/>
      <c r="QEB60" s="12"/>
      <c r="QEC60" s="12"/>
      <c r="QED60" s="12"/>
      <c r="QEE60" s="12"/>
      <c r="QEF60" s="12"/>
      <c r="QEG60" s="12"/>
      <c r="QEH60" s="12"/>
      <c r="QEI60" s="12"/>
      <c r="QEJ60" s="12"/>
      <c r="QEK60" s="12"/>
      <c r="QEL60" s="12"/>
      <c r="QEM60" s="12"/>
      <c r="QEN60" s="12"/>
      <c r="QEO60" s="12"/>
      <c r="QEP60" s="12"/>
      <c r="QEQ60" s="12"/>
      <c r="QER60" s="12"/>
      <c r="QES60" s="12"/>
      <c r="QET60" s="12"/>
      <c r="QEU60" s="12"/>
      <c r="QEV60" s="12"/>
      <c r="QEW60" s="12"/>
      <c r="QEX60" s="12"/>
      <c r="QEY60" s="12"/>
      <c r="QEZ60" s="12"/>
      <c r="QFA60" s="12"/>
      <c r="QFB60" s="12"/>
      <c r="QFC60" s="12"/>
      <c r="QFD60" s="12"/>
      <c r="QFE60" s="12"/>
      <c r="QFF60" s="12"/>
      <c r="QFG60" s="12"/>
      <c r="QFH60" s="12"/>
      <c r="QFI60" s="12"/>
      <c r="QFJ60" s="12"/>
      <c r="QFK60" s="12"/>
      <c r="QFL60" s="12"/>
      <c r="QFM60" s="12"/>
      <c r="QFN60" s="12"/>
      <c r="QFO60" s="12"/>
      <c r="QFP60" s="12"/>
      <c r="QFQ60" s="12"/>
      <c r="QFR60" s="12"/>
      <c r="QFS60" s="12"/>
      <c r="QFT60" s="12"/>
      <c r="QFU60" s="12"/>
      <c r="QFV60" s="12"/>
      <c r="QFW60" s="12"/>
      <c r="QFX60" s="12"/>
      <c r="QFY60" s="12"/>
      <c r="QFZ60" s="12"/>
      <c r="QGA60" s="12"/>
      <c r="QGB60" s="12"/>
      <c r="QGC60" s="12"/>
      <c r="QGD60" s="12"/>
      <c r="QGE60" s="12"/>
      <c r="QGF60" s="12"/>
      <c r="QGG60" s="12"/>
      <c r="QGH60" s="12"/>
      <c r="QGI60" s="12"/>
      <c r="QGJ60" s="12"/>
      <c r="QGK60" s="12"/>
      <c r="QGL60" s="12"/>
      <c r="QGM60" s="12"/>
      <c r="QGN60" s="12"/>
      <c r="QGO60" s="12"/>
      <c r="QGP60" s="12"/>
      <c r="QGQ60" s="12"/>
      <c r="QGR60" s="12"/>
      <c r="QGS60" s="12"/>
      <c r="QGT60" s="12"/>
      <c r="QGU60" s="12"/>
      <c r="QGV60" s="12"/>
      <c r="QGW60" s="12"/>
      <c r="QGX60" s="12"/>
      <c r="QGY60" s="12"/>
      <c r="QGZ60" s="12"/>
      <c r="QHA60" s="12"/>
      <c r="QHB60" s="12"/>
      <c r="QHC60" s="12"/>
      <c r="QHD60" s="12"/>
      <c r="QHE60" s="12"/>
      <c r="QHF60" s="12"/>
      <c r="QHG60" s="12"/>
      <c r="QHH60" s="12"/>
      <c r="QHI60" s="12"/>
      <c r="QHJ60" s="12"/>
      <c r="QHK60" s="12"/>
      <c r="QHL60" s="12"/>
      <c r="QHM60" s="12"/>
      <c r="QHN60" s="12"/>
      <c r="QHO60" s="12"/>
      <c r="QHP60" s="12"/>
      <c r="QHQ60" s="12"/>
      <c r="QHR60" s="12"/>
      <c r="QHS60" s="12"/>
      <c r="QHT60" s="12"/>
      <c r="QHU60" s="12"/>
      <c r="QHV60" s="12"/>
      <c r="QHW60" s="12"/>
      <c r="QHX60" s="12"/>
      <c r="QHY60" s="12"/>
      <c r="QHZ60" s="12"/>
      <c r="QIA60" s="12"/>
      <c r="QIB60" s="12"/>
      <c r="QIC60" s="12"/>
      <c r="QID60" s="12"/>
      <c r="QIE60" s="12"/>
      <c r="QIF60" s="12"/>
      <c r="QIG60" s="12"/>
      <c r="QIH60" s="12"/>
      <c r="QII60" s="12"/>
      <c r="QIJ60" s="12"/>
      <c r="QIK60" s="12"/>
      <c r="QIL60" s="12"/>
      <c r="QIM60" s="12"/>
      <c r="QIN60" s="12"/>
      <c r="QIO60" s="12"/>
      <c r="QIP60" s="12"/>
      <c r="QIQ60" s="12"/>
      <c r="QIR60" s="12"/>
      <c r="QIS60" s="12"/>
      <c r="QIT60" s="12"/>
      <c r="QIU60" s="12"/>
      <c r="QIV60" s="12"/>
      <c r="QIW60" s="12"/>
      <c r="QIX60" s="12"/>
      <c r="QIY60" s="12"/>
      <c r="QIZ60" s="12"/>
      <c r="QJA60" s="12"/>
      <c r="QJB60" s="12"/>
      <c r="QJC60" s="12"/>
      <c r="QJD60" s="12"/>
      <c r="QJE60" s="12"/>
      <c r="QJF60" s="12"/>
      <c r="QJG60" s="12"/>
      <c r="QJH60" s="12"/>
      <c r="QJI60" s="12"/>
      <c r="QJJ60" s="12"/>
      <c r="QJK60" s="12"/>
      <c r="QJL60" s="12"/>
      <c r="QJM60" s="12"/>
      <c r="QJN60" s="12"/>
      <c r="QJO60" s="12"/>
      <c r="QJP60" s="12"/>
      <c r="QJQ60" s="12"/>
      <c r="QJR60" s="12"/>
      <c r="QJS60" s="12"/>
      <c r="QJT60" s="12"/>
      <c r="QJU60" s="12"/>
      <c r="QJV60" s="12"/>
      <c r="QJW60" s="12"/>
      <c r="QJX60" s="12"/>
      <c r="QJY60" s="12"/>
      <c r="QJZ60" s="12"/>
      <c r="QKA60" s="12"/>
      <c r="QKB60" s="12"/>
      <c r="QKC60" s="12"/>
      <c r="QKD60" s="12"/>
      <c r="QKE60" s="12"/>
      <c r="QKF60" s="12"/>
      <c r="QKG60" s="12"/>
      <c r="QKH60" s="12"/>
      <c r="QKI60" s="12"/>
      <c r="QKJ60" s="12"/>
      <c r="QKK60" s="12"/>
      <c r="QKL60" s="12"/>
      <c r="QKM60" s="12"/>
      <c r="QKN60" s="12"/>
      <c r="QKO60" s="12"/>
      <c r="QKP60" s="12"/>
      <c r="QKQ60" s="12"/>
      <c r="QKR60" s="12"/>
      <c r="QKS60" s="12"/>
      <c r="QKT60" s="12"/>
      <c r="QKU60" s="12"/>
      <c r="QKV60" s="12"/>
      <c r="QKW60" s="12"/>
      <c r="QKX60" s="12"/>
      <c r="QKY60" s="12"/>
      <c r="QKZ60" s="12"/>
      <c r="QLA60" s="12"/>
      <c r="QLB60" s="12"/>
      <c r="QLC60" s="12"/>
      <c r="QLD60" s="12"/>
      <c r="QLE60" s="12"/>
      <c r="QLF60" s="12"/>
      <c r="QLG60" s="12"/>
      <c r="QLH60" s="12"/>
      <c r="QLI60" s="12"/>
      <c r="QLJ60" s="12"/>
      <c r="QLK60" s="12"/>
      <c r="QLL60" s="12"/>
      <c r="QLM60" s="12"/>
      <c r="QLN60" s="12"/>
      <c r="QLO60" s="12"/>
      <c r="QLP60" s="12"/>
      <c r="QLQ60" s="12"/>
      <c r="QLR60" s="12"/>
      <c r="QLS60" s="12"/>
      <c r="QLT60" s="12"/>
      <c r="QLU60" s="12"/>
      <c r="QLV60" s="12"/>
      <c r="QLW60" s="12"/>
      <c r="QLX60" s="12"/>
      <c r="QLY60" s="12"/>
      <c r="QLZ60" s="12"/>
      <c r="QMA60" s="12"/>
      <c r="QMB60" s="12"/>
      <c r="QMC60" s="12"/>
      <c r="QMD60" s="12"/>
      <c r="QME60" s="12"/>
      <c r="QMF60" s="12"/>
      <c r="QMG60" s="12"/>
      <c r="QMH60" s="12"/>
      <c r="QMI60" s="12"/>
      <c r="QMJ60" s="12"/>
      <c r="QMK60" s="12"/>
      <c r="QML60" s="12"/>
      <c r="QMM60" s="12"/>
      <c r="QMN60" s="12"/>
      <c r="QMO60" s="12"/>
      <c r="QMP60" s="12"/>
      <c r="QMQ60" s="12"/>
      <c r="QMR60" s="12"/>
      <c r="QMS60" s="12"/>
      <c r="QMT60" s="12"/>
      <c r="QMU60" s="12"/>
      <c r="QMV60" s="12"/>
      <c r="QMW60" s="12"/>
      <c r="QMX60" s="12"/>
      <c r="QMY60" s="12"/>
      <c r="QMZ60" s="12"/>
      <c r="QNA60" s="12"/>
      <c r="QNB60" s="12"/>
      <c r="QNC60" s="12"/>
      <c r="QND60" s="12"/>
      <c r="QNE60" s="12"/>
      <c r="QNF60" s="12"/>
      <c r="QNG60" s="12"/>
      <c r="QNH60" s="12"/>
      <c r="QNI60" s="12"/>
      <c r="QNJ60" s="12"/>
      <c r="QNK60" s="12"/>
      <c r="QNL60" s="12"/>
      <c r="QNM60" s="12"/>
      <c r="QNN60" s="12"/>
      <c r="QNO60" s="12"/>
      <c r="QNP60" s="12"/>
      <c r="QNQ60" s="12"/>
      <c r="QNR60" s="12"/>
      <c r="QNS60" s="12"/>
      <c r="QNT60" s="12"/>
      <c r="QNU60" s="12"/>
      <c r="QNV60" s="12"/>
      <c r="QNW60" s="12"/>
      <c r="QNX60" s="12"/>
      <c r="QNY60" s="12"/>
      <c r="QNZ60" s="12"/>
      <c r="QOA60" s="12"/>
      <c r="QOB60" s="12"/>
      <c r="QOC60" s="12"/>
      <c r="QOD60" s="12"/>
      <c r="QOE60" s="12"/>
      <c r="QOF60" s="12"/>
      <c r="QOG60" s="12"/>
      <c r="QOH60" s="12"/>
      <c r="QOI60" s="12"/>
      <c r="QOJ60" s="12"/>
      <c r="QOK60" s="12"/>
      <c r="QOL60" s="12"/>
      <c r="QOM60" s="12"/>
      <c r="QON60" s="12"/>
      <c r="QOO60" s="12"/>
      <c r="QOP60" s="12"/>
      <c r="QOQ60" s="12"/>
      <c r="QOR60" s="12"/>
      <c r="QOS60" s="12"/>
      <c r="QOT60" s="12"/>
      <c r="QOU60" s="12"/>
      <c r="QOV60" s="12"/>
      <c r="QOW60" s="12"/>
      <c r="QOX60" s="12"/>
      <c r="QOY60" s="12"/>
      <c r="QOZ60" s="12"/>
      <c r="QPA60" s="12"/>
      <c r="QPB60" s="12"/>
      <c r="QPC60" s="12"/>
      <c r="QPD60" s="12"/>
      <c r="QPE60" s="12"/>
      <c r="QPF60" s="12"/>
      <c r="QPG60" s="12"/>
      <c r="QPH60" s="12"/>
      <c r="QPI60" s="12"/>
      <c r="QPJ60" s="12"/>
      <c r="QPK60" s="12"/>
      <c r="QPL60" s="12"/>
      <c r="QPM60" s="12"/>
      <c r="QPN60" s="12"/>
      <c r="QPO60" s="12"/>
      <c r="QPP60" s="12"/>
      <c r="QPQ60" s="12"/>
      <c r="QPR60" s="12"/>
      <c r="QPS60" s="12"/>
      <c r="QPT60" s="12"/>
      <c r="QPU60" s="12"/>
      <c r="QPV60" s="12"/>
      <c r="QPW60" s="12"/>
      <c r="QPX60" s="12"/>
      <c r="QPY60" s="12"/>
      <c r="QPZ60" s="12"/>
      <c r="QQA60" s="12"/>
      <c r="QQB60" s="12"/>
      <c r="QQC60" s="12"/>
      <c r="QQD60" s="12"/>
      <c r="QQE60" s="12"/>
      <c r="QQF60" s="12"/>
      <c r="QQG60" s="12"/>
      <c r="QQH60" s="12"/>
      <c r="QQI60" s="12"/>
      <c r="QQJ60" s="12"/>
      <c r="QQK60" s="12"/>
      <c r="QQL60" s="12"/>
      <c r="QQM60" s="12"/>
      <c r="QQN60" s="12"/>
      <c r="QQO60" s="12"/>
      <c r="QQP60" s="12"/>
      <c r="QQQ60" s="12"/>
      <c r="QQR60" s="12"/>
      <c r="QQS60" s="12"/>
      <c r="QQT60" s="12"/>
      <c r="QQU60" s="12"/>
      <c r="QQV60" s="12"/>
      <c r="QQW60" s="12"/>
      <c r="QQX60" s="12"/>
      <c r="QQY60" s="12"/>
      <c r="QQZ60" s="12"/>
      <c r="QRA60" s="12"/>
      <c r="QRB60" s="12"/>
      <c r="QRC60" s="12"/>
      <c r="QRD60" s="12"/>
      <c r="QRE60" s="12"/>
      <c r="QRF60" s="12"/>
      <c r="QRG60" s="12"/>
      <c r="QRH60" s="12"/>
      <c r="QRI60" s="12"/>
      <c r="QRJ60" s="12"/>
      <c r="QRK60" s="12"/>
      <c r="QRL60" s="12"/>
      <c r="QRM60" s="12"/>
      <c r="QRN60" s="12"/>
      <c r="QRO60" s="12"/>
      <c r="QRP60" s="12"/>
      <c r="QRQ60" s="12"/>
      <c r="QRR60" s="12"/>
      <c r="QRS60" s="12"/>
      <c r="QRT60" s="12"/>
      <c r="QRU60" s="12"/>
      <c r="QRV60" s="12"/>
      <c r="QRW60" s="12"/>
      <c r="QRX60" s="12"/>
      <c r="QRY60" s="12"/>
      <c r="QRZ60" s="12"/>
      <c r="QSA60" s="12"/>
      <c r="QSB60" s="12"/>
      <c r="QSC60" s="12"/>
      <c r="QSD60" s="12"/>
      <c r="QSE60" s="12"/>
      <c r="QSF60" s="12"/>
      <c r="QSG60" s="12"/>
      <c r="QSH60" s="12"/>
      <c r="QSI60" s="12"/>
      <c r="QSJ60" s="12"/>
      <c r="QSK60" s="12"/>
      <c r="QSL60" s="12"/>
      <c r="QSM60" s="12"/>
      <c r="QSN60" s="12"/>
      <c r="QSO60" s="12"/>
      <c r="QSP60" s="12"/>
      <c r="QSQ60" s="12"/>
      <c r="QSR60" s="12"/>
      <c r="QSS60" s="12"/>
      <c r="QST60" s="12"/>
      <c r="QSU60" s="12"/>
      <c r="QSV60" s="12"/>
      <c r="QSW60" s="12"/>
      <c r="QSX60" s="12"/>
      <c r="QSY60" s="12"/>
      <c r="QSZ60" s="12"/>
      <c r="QTA60" s="12"/>
      <c r="QTB60" s="12"/>
      <c r="QTC60" s="12"/>
      <c r="QTD60" s="12"/>
      <c r="QTE60" s="12"/>
      <c r="QTF60" s="12"/>
      <c r="QTG60" s="12"/>
      <c r="QTH60" s="12"/>
      <c r="QTI60" s="12"/>
      <c r="QTJ60" s="12"/>
      <c r="QTK60" s="12"/>
      <c r="QTL60" s="12"/>
      <c r="QTM60" s="12"/>
      <c r="QTN60" s="12"/>
      <c r="QTO60" s="12"/>
      <c r="QTP60" s="12"/>
      <c r="QTQ60" s="12"/>
      <c r="QTR60" s="12"/>
      <c r="QTS60" s="12"/>
      <c r="QTT60" s="12"/>
      <c r="QTU60" s="12"/>
      <c r="QTV60" s="12"/>
      <c r="QTW60" s="12"/>
      <c r="QTX60" s="12"/>
      <c r="QTY60" s="12"/>
      <c r="QTZ60" s="12"/>
      <c r="QUA60" s="12"/>
      <c r="QUB60" s="12"/>
      <c r="QUC60" s="12"/>
      <c r="QUD60" s="12"/>
      <c r="QUE60" s="12"/>
      <c r="QUF60" s="12"/>
      <c r="QUG60" s="12"/>
      <c r="QUH60" s="12"/>
      <c r="QUI60" s="12"/>
      <c r="QUJ60" s="12"/>
      <c r="QUK60" s="12"/>
      <c r="QUL60" s="12"/>
      <c r="QUM60" s="12"/>
      <c r="QUN60" s="12"/>
      <c r="QUO60" s="12"/>
      <c r="QUP60" s="12"/>
      <c r="QUQ60" s="12"/>
      <c r="QUR60" s="12"/>
      <c r="QUS60" s="12"/>
      <c r="QUT60" s="12"/>
      <c r="QUU60" s="12"/>
      <c r="QUV60" s="12"/>
      <c r="QUW60" s="12"/>
      <c r="QUX60" s="12"/>
      <c r="QUY60" s="12"/>
      <c r="QUZ60" s="12"/>
      <c r="QVA60" s="12"/>
      <c r="QVB60" s="12"/>
      <c r="QVC60" s="12"/>
      <c r="QVD60" s="12"/>
      <c r="QVE60" s="12"/>
      <c r="QVF60" s="12"/>
      <c r="QVG60" s="12"/>
      <c r="QVH60" s="12"/>
      <c r="QVI60" s="12"/>
      <c r="QVJ60" s="12"/>
      <c r="QVK60" s="12"/>
      <c r="QVL60" s="12"/>
      <c r="QVM60" s="12"/>
      <c r="QVN60" s="12"/>
      <c r="QVO60" s="12"/>
      <c r="QVP60" s="12"/>
      <c r="QVQ60" s="12"/>
      <c r="QVR60" s="12"/>
      <c r="QVS60" s="12"/>
      <c r="QVT60" s="12"/>
      <c r="QVU60" s="12"/>
      <c r="QVV60" s="12"/>
      <c r="QVW60" s="12"/>
      <c r="QVX60" s="12"/>
      <c r="QVY60" s="12"/>
      <c r="QVZ60" s="12"/>
      <c r="QWA60" s="12"/>
      <c r="QWB60" s="12"/>
      <c r="QWC60" s="12"/>
      <c r="QWD60" s="12"/>
      <c r="QWE60" s="12"/>
      <c r="QWF60" s="12"/>
      <c r="QWG60" s="12"/>
      <c r="QWH60" s="12"/>
      <c r="QWI60" s="12"/>
      <c r="QWJ60" s="12"/>
      <c r="QWK60" s="12"/>
      <c r="QWL60" s="12"/>
      <c r="QWM60" s="12"/>
      <c r="QWN60" s="12"/>
      <c r="QWO60" s="12"/>
      <c r="QWP60" s="12"/>
      <c r="QWQ60" s="12"/>
      <c r="QWR60" s="12"/>
      <c r="QWS60" s="12"/>
      <c r="QWT60" s="12"/>
      <c r="QWU60" s="12"/>
      <c r="QWV60" s="12"/>
      <c r="QWW60" s="12"/>
      <c r="QWX60" s="12"/>
      <c r="QWY60" s="12"/>
      <c r="QWZ60" s="12"/>
      <c r="QXA60" s="12"/>
      <c r="QXB60" s="12"/>
      <c r="QXC60" s="12"/>
      <c r="QXD60" s="12"/>
      <c r="QXE60" s="12"/>
      <c r="QXF60" s="12"/>
      <c r="QXG60" s="12"/>
      <c r="QXH60" s="12"/>
      <c r="QXI60" s="12"/>
      <c r="QXJ60" s="12"/>
      <c r="QXK60" s="12"/>
      <c r="QXL60" s="12"/>
      <c r="QXM60" s="12"/>
      <c r="QXN60" s="12"/>
      <c r="QXO60" s="12"/>
      <c r="QXP60" s="12"/>
      <c r="QXQ60" s="12"/>
      <c r="QXR60" s="12"/>
      <c r="QXS60" s="12"/>
      <c r="QXT60" s="12"/>
      <c r="QXU60" s="12"/>
      <c r="QXV60" s="12"/>
      <c r="QXW60" s="12"/>
      <c r="QXX60" s="12"/>
      <c r="QXY60" s="12"/>
      <c r="QXZ60" s="12"/>
      <c r="QYA60" s="12"/>
      <c r="QYB60" s="12"/>
      <c r="QYC60" s="12"/>
      <c r="QYD60" s="12"/>
      <c r="QYE60" s="12"/>
      <c r="QYF60" s="12"/>
      <c r="QYG60" s="12"/>
      <c r="QYH60" s="12"/>
      <c r="QYI60" s="12"/>
      <c r="QYJ60" s="12"/>
      <c r="QYK60" s="12"/>
      <c r="QYL60" s="12"/>
      <c r="QYM60" s="12"/>
      <c r="QYN60" s="12"/>
      <c r="QYO60" s="12"/>
      <c r="QYP60" s="12"/>
      <c r="QYQ60" s="12"/>
      <c r="QYR60" s="12"/>
      <c r="QYS60" s="12"/>
      <c r="QYT60" s="12"/>
      <c r="QYU60" s="12"/>
      <c r="QYV60" s="12"/>
      <c r="QYW60" s="12"/>
      <c r="QYX60" s="12"/>
      <c r="QYY60" s="12"/>
      <c r="QYZ60" s="12"/>
      <c r="QZA60" s="12"/>
      <c r="QZB60" s="12"/>
      <c r="QZC60" s="12"/>
      <c r="QZD60" s="12"/>
      <c r="QZE60" s="12"/>
      <c r="QZF60" s="12"/>
      <c r="QZG60" s="12"/>
      <c r="QZH60" s="12"/>
      <c r="QZI60" s="12"/>
      <c r="QZJ60" s="12"/>
      <c r="QZK60" s="12"/>
      <c r="QZL60" s="12"/>
      <c r="QZM60" s="12"/>
      <c r="QZN60" s="12"/>
      <c r="QZO60" s="12"/>
      <c r="QZP60" s="12"/>
      <c r="QZQ60" s="12"/>
      <c r="QZR60" s="12"/>
      <c r="QZS60" s="12"/>
      <c r="QZT60" s="12"/>
      <c r="QZU60" s="12"/>
      <c r="QZV60" s="12"/>
      <c r="QZW60" s="12"/>
      <c r="QZX60" s="12"/>
      <c r="QZY60" s="12"/>
      <c r="QZZ60" s="12"/>
      <c r="RAA60" s="12"/>
      <c r="RAB60" s="12"/>
      <c r="RAC60" s="12"/>
      <c r="RAD60" s="12"/>
      <c r="RAE60" s="12"/>
      <c r="RAF60" s="12"/>
      <c r="RAG60" s="12"/>
      <c r="RAH60" s="12"/>
      <c r="RAI60" s="12"/>
      <c r="RAJ60" s="12"/>
      <c r="RAK60" s="12"/>
      <c r="RAL60" s="12"/>
      <c r="RAM60" s="12"/>
      <c r="RAN60" s="12"/>
      <c r="RAO60" s="12"/>
      <c r="RAP60" s="12"/>
      <c r="RAQ60" s="12"/>
      <c r="RAR60" s="12"/>
      <c r="RAS60" s="12"/>
      <c r="RAT60" s="12"/>
      <c r="RAU60" s="12"/>
      <c r="RAV60" s="12"/>
      <c r="RAW60" s="12"/>
      <c r="RAX60" s="12"/>
      <c r="RAY60" s="12"/>
      <c r="RAZ60" s="12"/>
      <c r="RBA60" s="12"/>
      <c r="RBB60" s="12"/>
      <c r="RBC60" s="12"/>
      <c r="RBD60" s="12"/>
      <c r="RBE60" s="12"/>
      <c r="RBF60" s="12"/>
      <c r="RBG60" s="12"/>
      <c r="RBH60" s="12"/>
      <c r="RBI60" s="12"/>
      <c r="RBJ60" s="12"/>
      <c r="RBK60" s="12"/>
      <c r="RBL60" s="12"/>
      <c r="RBM60" s="12"/>
      <c r="RBN60" s="12"/>
      <c r="RBO60" s="12"/>
      <c r="RBP60" s="12"/>
      <c r="RBQ60" s="12"/>
      <c r="RBR60" s="12"/>
      <c r="RBS60" s="12"/>
      <c r="RBT60" s="12"/>
      <c r="RBU60" s="12"/>
      <c r="RBV60" s="12"/>
      <c r="RBW60" s="12"/>
      <c r="RBX60" s="12"/>
      <c r="RBY60" s="12"/>
      <c r="RBZ60" s="12"/>
      <c r="RCA60" s="12"/>
      <c r="RCB60" s="12"/>
      <c r="RCC60" s="12"/>
      <c r="RCD60" s="12"/>
      <c r="RCE60" s="12"/>
      <c r="RCF60" s="12"/>
      <c r="RCG60" s="12"/>
      <c r="RCH60" s="12"/>
      <c r="RCI60" s="12"/>
      <c r="RCJ60" s="12"/>
      <c r="RCK60" s="12"/>
      <c r="RCL60" s="12"/>
      <c r="RCM60" s="12"/>
      <c r="RCN60" s="12"/>
      <c r="RCO60" s="12"/>
      <c r="RCP60" s="12"/>
      <c r="RCQ60" s="12"/>
      <c r="RCR60" s="12"/>
      <c r="RCS60" s="12"/>
      <c r="RCT60" s="12"/>
      <c r="RCU60" s="12"/>
      <c r="RCV60" s="12"/>
      <c r="RCW60" s="12"/>
      <c r="RCX60" s="12"/>
      <c r="RCY60" s="12"/>
      <c r="RCZ60" s="12"/>
      <c r="RDA60" s="12"/>
      <c r="RDB60" s="12"/>
      <c r="RDC60" s="12"/>
      <c r="RDD60" s="12"/>
      <c r="RDE60" s="12"/>
      <c r="RDF60" s="12"/>
      <c r="RDG60" s="12"/>
      <c r="RDH60" s="12"/>
      <c r="RDI60" s="12"/>
      <c r="RDJ60" s="12"/>
      <c r="RDK60" s="12"/>
      <c r="RDL60" s="12"/>
      <c r="RDM60" s="12"/>
      <c r="RDN60" s="12"/>
      <c r="RDO60" s="12"/>
      <c r="RDP60" s="12"/>
      <c r="RDQ60" s="12"/>
      <c r="RDR60" s="12"/>
      <c r="RDS60" s="12"/>
      <c r="RDT60" s="12"/>
      <c r="RDU60" s="12"/>
      <c r="RDV60" s="12"/>
      <c r="RDW60" s="12"/>
      <c r="RDX60" s="12"/>
      <c r="RDY60" s="12"/>
      <c r="RDZ60" s="12"/>
      <c r="REA60" s="12"/>
      <c r="REB60" s="12"/>
      <c r="REC60" s="12"/>
      <c r="RED60" s="12"/>
      <c r="REE60" s="12"/>
      <c r="REF60" s="12"/>
      <c r="REG60" s="12"/>
      <c r="REH60" s="12"/>
      <c r="REI60" s="12"/>
      <c r="REJ60" s="12"/>
      <c r="REK60" s="12"/>
      <c r="REL60" s="12"/>
      <c r="REM60" s="12"/>
      <c r="REN60" s="12"/>
      <c r="REO60" s="12"/>
      <c r="REP60" s="12"/>
      <c r="REQ60" s="12"/>
      <c r="RER60" s="12"/>
      <c r="RES60" s="12"/>
      <c r="RET60" s="12"/>
      <c r="REU60" s="12"/>
      <c r="REV60" s="12"/>
      <c r="REW60" s="12"/>
      <c r="REX60" s="12"/>
      <c r="REY60" s="12"/>
      <c r="REZ60" s="12"/>
      <c r="RFA60" s="12"/>
      <c r="RFB60" s="12"/>
      <c r="RFC60" s="12"/>
      <c r="RFD60" s="12"/>
      <c r="RFE60" s="12"/>
      <c r="RFF60" s="12"/>
      <c r="RFG60" s="12"/>
      <c r="RFH60" s="12"/>
      <c r="RFI60" s="12"/>
      <c r="RFJ60" s="12"/>
      <c r="RFK60" s="12"/>
      <c r="RFL60" s="12"/>
      <c r="RFM60" s="12"/>
      <c r="RFN60" s="12"/>
      <c r="RFO60" s="12"/>
      <c r="RFP60" s="12"/>
      <c r="RFQ60" s="12"/>
      <c r="RFR60" s="12"/>
      <c r="RFS60" s="12"/>
      <c r="RFT60" s="12"/>
      <c r="RFU60" s="12"/>
      <c r="RFV60" s="12"/>
      <c r="RFW60" s="12"/>
      <c r="RFX60" s="12"/>
      <c r="RFY60" s="12"/>
      <c r="RFZ60" s="12"/>
      <c r="RGA60" s="12"/>
      <c r="RGB60" s="12"/>
      <c r="RGC60" s="12"/>
      <c r="RGD60" s="12"/>
      <c r="RGE60" s="12"/>
      <c r="RGF60" s="12"/>
      <c r="RGG60" s="12"/>
      <c r="RGH60" s="12"/>
      <c r="RGI60" s="12"/>
      <c r="RGJ60" s="12"/>
      <c r="RGK60" s="12"/>
      <c r="RGL60" s="12"/>
      <c r="RGM60" s="12"/>
      <c r="RGN60" s="12"/>
      <c r="RGO60" s="12"/>
      <c r="RGP60" s="12"/>
      <c r="RGQ60" s="12"/>
      <c r="RGR60" s="12"/>
      <c r="RGS60" s="12"/>
      <c r="RGT60" s="12"/>
      <c r="RGU60" s="12"/>
      <c r="RGV60" s="12"/>
      <c r="RGW60" s="12"/>
      <c r="RGX60" s="12"/>
      <c r="RGY60" s="12"/>
      <c r="RGZ60" s="12"/>
      <c r="RHA60" s="12"/>
      <c r="RHB60" s="12"/>
      <c r="RHC60" s="12"/>
      <c r="RHD60" s="12"/>
      <c r="RHE60" s="12"/>
      <c r="RHF60" s="12"/>
      <c r="RHG60" s="12"/>
      <c r="RHH60" s="12"/>
      <c r="RHI60" s="12"/>
      <c r="RHJ60" s="12"/>
      <c r="RHK60" s="12"/>
      <c r="RHL60" s="12"/>
      <c r="RHM60" s="12"/>
      <c r="RHN60" s="12"/>
      <c r="RHO60" s="12"/>
      <c r="RHP60" s="12"/>
      <c r="RHQ60" s="12"/>
      <c r="RHR60" s="12"/>
      <c r="RHS60" s="12"/>
      <c r="RHT60" s="12"/>
      <c r="RHU60" s="12"/>
      <c r="RHV60" s="12"/>
      <c r="RHW60" s="12"/>
      <c r="RHX60" s="12"/>
      <c r="RHY60" s="12"/>
      <c r="RHZ60" s="12"/>
      <c r="RIA60" s="12"/>
      <c r="RIB60" s="12"/>
      <c r="RIC60" s="12"/>
      <c r="RID60" s="12"/>
      <c r="RIE60" s="12"/>
      <c r="RIF60" s="12"/>
      <c r="RIG60" s="12"/>
      <c r="RIH60" s="12"/>
      <c r="RII60" s="12"/>
      <c r="RIJ60" s="12"/>
      <c r="RIK60" s="12"/>
      <c r="RIL60" s="12"/>
      <c r="RIM60" s="12"/>
      <c r="RIN60" s="12"/>
      <c r="RIO60" s="12"/>
      <c r="RIP60" s="12"/>
      <c r="RIQ60" s="12"/>
      <c r="RIR60" s="12"/>
      <c r="RIS60" s="12"/>
      <c r="RIT60" s="12"/>
      <c r="RIU60" s="12"/>
      <c r="RIV60" s="12"/>
      <c r="RIW60" s="12"/>
      <c r="RIX60" s="12"/>
      <c r="RIY60" s="12"/>
      <c r="RIZ60" s="12"/>
      <c r="RJA60" s="12"/>
      <c r="RJB60" s="12"/>
      <c r="RJC60" s="12"/>
      <c r="RJD60" s="12"/>
      <c r="RJE60" s="12"/>
      <c r="RJF60" s="12"/>
      <c r="RJG60" s="12"/>
      <c r="RJH60" s="12"/>
      <c r="RJI60" s="12"/>
      <c r="RJJ60" s="12"/>
      <c r="RJK60" s="12"/>
      <c r="RJL60" s="12"/>
      <c r="RJM60" s="12"/>
      <c r="RJN60" s="12"/>
      <c r="RJO60" s="12"/>
      <c r="RJP60" s="12"/>
      <c r="RJQ60" s="12"/>
      <c r="RJR60" s="12"/>
      <c r="RJS60" s="12"/>
      <c r="RJT60" s="12"/>
      <c r="RJU60" s="12"/>
      <c r="RJV60" s="12"/>
      <c r="RJW60" s="12"/>
      <c r="RJX60" s="12"/>
      <c r="RJY60" s="12"/>
      <c r="RJZ60" s="12"/>
      <c r="RKA60" s="12"/>
      <c r="RKB60" s="12"/>
      <c r="RKC60" s="12"/>
      <c r="RKD60" s="12"/>
      <c r="RKE60" s="12"/>
      <c r="RKF60" s="12"/>
      <c r="RKG60" s="12"/>
      <c r="RKH60" s="12"/>
      <c r="RKI60" s="12"/>
      <c r="RKJ60" s="12"/>
      <c r="RKK60" s="12"/>
      <c r="RKL60" s="12"/>
      <c r="RKM60" s="12"/>
      <c r="RKN60" s="12"/>
      <c r="RKO60" s="12"/>
      <c r="RKP60" s="12"/>
      <c r="RKQ60" s="12"/>
      <c r="RKR60" s="12"/>
      <c r="RKS60" s="12"/>
      <c r="RKT60" s="12"/>
      <c r="RKU60" s="12"/>
      <c r="RKV60" s="12"/>
      <c r="RKW60" s="12"/>
      <c r="RKX60" s="12"/>
      <c r="RKY60" s="12"/>
      <c r="RKZ60" s="12"/>
      <c r="RLA60" s="12"/>
      <c r="RLB60" s="12"/>
      <c r="RLC60" s="12"/>
      <c r="RLD60" s="12"/>
      <c r="RLE60" s="12"/>
      <c r="RLF60" s="12"/>
      <c r="RLG60" s="12"/>
      <c r="RLH60" s="12"/>
      <c r="RLI60" s="12"/>
      <c r="RLJ60" s="12"/>
      <c r="RLK60" s="12"/>
      <c r="RLL60" s="12"/>
      <c r="RLM60" s="12"/>
      <c r="RLN60" s="12"/>
      <c r="RLO60" s="12"/>
      <c r="RLP60" s="12"/>
      <c r="RLQ60" s="12"/>
      <c r="RLR60" s="12"/>
      <c r="RLS60" s="12"/>
      <c r="RLT60" s="12"/>
      <c r="RLU60" s="12"/>
      <c r="RLV60" s="12"/>
      <c r="RLW60" s="12"/>
      <c r="RLX60" s="12"/>
      <c r="RLY60" s="12"/>
      <c r="RLZ60" s="12"/>
      <c r="RMA60" s="12"/>
      <c r="RMB60" s="12"/>
      <c r="RMC60" s="12"/>
      <c r="RMD60" s="12"/>
      <c r="RME60" s="12"/>
      <c r="RMF60" s="12"/>
      <c r="RMG60" s="12"/>
      <c r="RMH60" s="12"/>
      <c r="RMI60" s="12"/>
      <c r="RMJ60" s="12"/>
      <c r="RMK60" s="12"/>
      <c r="RML60" s="12"/>
      <c r="RMM60" s="12"/>
      <c r="RMN60" s="12"/>
      <c r="RMO60" s="12"/>
      <c r="RMP60" s="12"/>
      <c r="RMQ60" s="12"/>
      <c r="RMR60" s="12"/>
      <c r="RMS60" s="12"/>
      <c r="RMT60" s="12"/>
      <c r="RMU60" s="12"/>
      <c r="RMV60" s="12"/>
      <c r="RMW60" s="12"/>
      <c r="RMX60" s="12"/>
      <c r="RMY60" s="12"/>
      <c r="RMZ60" s="12"/>
      <c r="RNA60" s="12"/>
      <c r="RNB60" s="12"/>
      <c r="RNC60" s="12"/>
      <c r="RND60" s="12"/>
      <c r="RNE60" s="12"/>
      <c r="RNF60" s="12"/>
      <c r="RNG60" s="12"/>
      <c r="RNH60" s="12"/>
      <c r="RNI60" s="12"/>
      <c r="RNJ60" s="12"/>
      <c r="RNK60" s="12"/>
      <c r="RNL60" s="12"/>
      <c r="RNM60" s="12"/>
      <c r="RNN60" s="12"/>
      <c r="RNO60" s="12"/>
      <c r="RNP60" s="12"/>
      <c r="RNQ60" s="12"/>
      <c r="RNR60" s="12"/>
      <c r="RNS60" s="12"/>
      <c r="RNT60" s="12"/>
      <c r="RNU60" s="12"/>
      <c r="RNV60" s="12"/>
      <c r="RNW60" s="12"/>
      <c r="RNX60" s="12"/>
      <c r="RNY60" s="12"/>
      <c r="RNZ60" s="12"/>
      <c r="ROA60" s="12"/>
      <c r="ROB60" s="12"/>
      <c r="ROC60" s="12"/>
      <c r="ROD60" s="12"/>
      <c r="ROE60" s="12"/>
      <c r="ROF60" s="12"/>
      <c r="ROG60" s="12"/>
      <c r="ROH60" s="12"/>
      <c r="ROI60" s="12"/>
      <c r="ROJ60" s="12"/>
      <c r="ROK60" s="12"/>
      <c r="ROL60" s="12"/>
      <c r="ROM60" s="12"/>
      <c r="RON60" s="12"/>
      <c r="ROO60" s="12"/>
      <c r="ROP60" s="12"/>
      <c r="ROQ60" s="12"/>
      <c r="ROR60" s="12"/>
      <c r="ROS60" s="12"/>
      <c r="ROT60" s="12"/>
      <c r="ROU60" s="12"/>
      <c r="ROV60" s="12"/>
      <c r="ROW60" s="12"/>
      <c r="ROX60" s="12"/>
      <c r="ROY60" s="12"/>
      <c r="ROZ60" s="12"/>
      <c r="RPA60" s="12"/>
      <c r="RPB60" s="12"/>
      <c r="RPC60" s="12"/>
      <c r="RPD60" s="12"/>
      <c r="RPE60" s="12"/>
      <c r="RPF60" s="12"/>
      <c r="RPG60" s="12"/>
      <c r="RPH60" s="12"/>
      <c r="RPI60" s="12"/>
      <c r="RPJ60" s="12"/>
      <c r="RPK60" s="12"/>
      <c r="RPL60" s="12"/>
      <c r="RPM60" s="12"/>
      <c r="RPN60" s="12"/>
      <c r="RPO60" s="12"/>
      <c r="RPP60" s="12"/>
      <c r="RPQ60" s="12"/>
      <c r="RPR60" s="12"/>
      <c r="RPS60" s="12"/>
      <c r="RPT60" s="12"/>
      <c r="RPU60" s="12"/>
      <c r="RPV60" s="12"/>
      <c r="RPW60" s="12"/>
      <c r="RPX60" s="12"/>
      <c r="RPY60" s="12"/>
      <c r="RPZ60" s="12"/>
      <c r="RQA60" s="12"/>
      <c r="RQB60" s="12"/>
      <c r="RQC60" s="12"/>
      <c r="RQD60" s="12"/>
      <c r="RQE60" s="12"/>
      <c r="RQF60" s="12"/>
      <c r="RQG60" s="12"/>
      <c r="RQH60" s="12"/>
      <c r="RQI60" s="12"/>
      <c r="RQJ60" s="12"/>
      <c r="RQK60" s="12"/>
      <c r="RQL60" s="12"/>
      <c r="RQM60" s="12"/>
      <c r="RQN60" s="12"/>
      <c r="RQO60" s="12"/>
      <c r="RQP60" s="12"/>
      <c r="RQQ60" s="12"/>
      <c r="RQR60" s="12"/>
      <c r="RQS60" s="12"/>
      <c r="RQT60" s="12"/>
      <c r="RQU60" s="12"/>
      <c r="RQV60" s="12"/>
      <c r="RQW60" s="12"/>
      <c r="RQX60" s="12"/>
      <c r="RQY60" s="12"/>
      <c r="RQZ60" s="12"/>
      <c r="RRA60" s="12"/>
      <c r="RRB60" s="12"/>
      <c r="RRC60" s="12"/>
      <c r="RRD60" s="12"/>
      <c r="RRE60" s="12"/>
      <c r="RRF60" s="12"/>
      <c r="RRG60" s="12"/>
      <c r="RRH60" s="12"/>
      <c r="RRI60" s="12"/>
      <c r="RRJ60" s="12"/>
      <c r="RRK60" s="12"/>
      <c r="RRL60" s="12"/>
      <c r="RRM60" s="12"/>
      <c r="RRN60" s="12"/>
      <c r="RRO60" s="12"/>
      <c r="RRP60" s="12"/>
      <c r="RRQ60" s="12"/>
      <c r="RRR60" s="12"/>
      <c r="RRS60" s="12"/>
      <c r="RRT60" s="12"/>
      <c r="RRU60" s="12"/>
      <c r="RRV60" s="12"/>
      <c r="RRW60" s="12"/>
      <c r="RRX60" s="12"/>
      <c r="RRY60" s="12"/>
      <c r="RRZ60" s="12"/>
      <c r="RSA60" s="12"/>
      <c r="RSB60" s="12"/>
      <c r="RSC60" s="12"/>
      <c r="RSD60" s="12"/>
      <c r="RSE60" s="12"/>
      <c r="RSF60" s="12"/>
      <c r="RSG60" s="12"/>
      <c r="RSH60" s="12"/>
      <c r="RSI60" s="12"/>
      <c r="RSJ60" s="12"/>
      <c r="RSK60" s="12"/>
      <c r="RSL60" s="12"/>
      <c r="RSM60" s="12"/>
      <c r="RSN60" s="12"/>
      <c r="RSO60" s="12"/>
      <c r="RSP60" s="12"/>
      <c r="RSQ60" s="12"/>
      <c r="RSR60" s="12"/>
      <c r="RSS60" s="12"/>
      <c r="RST60" s="12"/>
      <c r="RSU60" s="12"/>
      <c r="RSV60" s="12"/>
      <c r="RSW60" s="12"/>
      <c r="RSX60" s="12"/>
      <c r="RSY60" s="12"/>
      <c r="RSZ60" s="12"/>
      <c r="RTA60" s="12"/>
      <c r="RTB60" s="12"/>
      <c r="RTC60" s="12"/>
      <c r="RTD60" s="12"/>
      <c r="RTE60" s="12"/>
      <c r="RTF60" s="12"/>
      <c r="RTG60" s="12"/>
      <c r="RTH60" s="12"/>
      <c r="RTI60" s="12"/>
      <c r="RTJ60" s="12"/>
      <c r="RTK60" s="12"/>
      <c r="RTL60" s="12"/>
      <c r="RTM60" s="12"/>
      <c r="RTN60" s="12"/>
      <c r="RTO60" s="12"/>
      <c r="RTP60" s="12"/>
      <c r="RTQ60" s="12"/>
      <c r="RTR60" s="12"/>
      <c r="RTS60" s="12"/>
      <c r="RTT60" s="12"/>
      <c r="RTU60" s="12"/>
      <c r="RTV60" s="12"/>
      <c r="RTW60" s="12"/>
      <c r="RTX60" s="12"/>
      <c r="RTY60" s="12"/>
      <c r="RTZ60" s="12"/>
      <c r="RUA60" s="12"/>
      <c r="RUB60" s="12"/>
      <c r="RUC60" s="12"/>
      <c r="RUD60" s="12"/>
      <c r="RUE60" s="12"/>
      <c r="RUF60" s="12"/>
      <c r="RUG60" s="12"/>
      <c r="RUH60" s="12"/>
      <c r="RUI60" s="12"/>
      <c r="RUJ60" s="12"/>
      <c r="RUK60" s="12"/>
      <c r="RUL60" s="12"/>
      <c r="RUM60" s="12"/>
      <c r="RUN60" s="12"/>
      <c r="RUO60" s="12"/>
      <c r="RUP60" s="12"/>
      <c r="RUQ60" s="12"/>
      <c r="RUR60" s="12"/>
      <c r="RUS60" s="12"/>
      <c r="RUT60" s="12"/>
      <c r="RUU60" s="12"/>
      <c r="RUV60" s="12"/>
      <c r="RUW60" s="12"/>
      <c r="RUX60" s="12"/>
      <c r="RUY60" s="12"/>
      <c r="RUZ60" s="12"/>
      <c r="RVA60" s="12"/>
      <c r="RVB60" s="12"/>
      <c r="RVC60" s="12"/>
      <c r="RVD60" s="12"/>
      <c r="RVE60" s="12"/>
      <c r="RVF60" s="12"/>
      <c r="RVG60" s="12"/>
      <c r="RVH60" s="12"/>
      <c r="RVI60" s="12"/>
      <c r="RVJ60" s="12"/>
      <c r="RVK60" s="12"/>
      <c r="RVL60" s="12"/>
      <c r="RVM60" s="12"/>
      <c r="RVN60" s="12"/>
      <c r="RVO60" s="12"/>
      <c r="RVP60" s="12"/>
      <c r="RVQ60" s="12"/>
      <c r="RVR60" s="12"/>
      <c r="RVS60" s="12"/>
      <c r="RVT60" s="12"/>
      <c r="RVU60" s="12"/>
      <c r="RVV60" s="12"/>
      <c r="RVW60" s="12"/>
      <c r="RVX60" s="12"/>
      <c r="RVY60" s="12"/>
      <c r="RVZ60" s="12"/>
      <c r="RWA60" s="12"/>
      <c r="RWB60" s="12"/>
      <c r="RWC60" s="12"/>
      <c r="RWD60" s="12"/>
      <c r="RWE60" s="12"/>
      <c r="RWF60" s="12"/>
      <c r="RWG60" s="12"/>
      <c r="RWH60" s="12"/>
      <c r="RWI60" s="12"/>
      <c r="RWJ60" s="12"/>
      <c r="RWK60" s="12"/>
      <c r="RWL60" s="12"/>
      <c r="RWM60" s="12"/>
      <c r="RWN60" s="12"/>
      <c r="RWO60" s="12"/>
      <c r="RWP60" s="12"/>
      <c r="RWQ60" s="12"/>
      <c r="RWR60" s="12"/>
      <c r="RWS60" s="12"/>
      <c r="RWT60" s="12"/>
      <c r="RWU60" s="12"/>
      <c r="RWV60" s="12"/>
      <c r="RWW60" s="12"/>
      <c r="RWX60" s="12"/>
      <c r="RWY60" s="12"/>
      <c r="RWZ60" s="12"/>
      <c r="RXA60" s="12"/>
      <c r="RXB60" s="12"/>
      <c r="RXC60" s="12"/>
      <c r="RXD60" s="12"/>
      <c r="RXE60" s="12"/>
      <c r="RXF60" s="12"/>
      <c r="RXG60" s="12"/>
      <c r="RXH60" s="12"/>
      <c r="RXI60" s="12"/>
      <c r="RXJ60" s="12"/>
      <c r="RXK60" s="12"/>
      <c r="RXL60" s="12"/>
      <c r="RXM60" s="12"/>
      <c r="RXN60" s="12"/>
      <c r="RXO60" s="12"/>
      <c r="RXP60" s="12"/>
      <c r="RXQ60" s="12"/>
      <c r="RXR60" s="12"/>
      <c r="RXS60" s="12"/>
      <c r="RXT60" s="12"/>
      <c r="RXU60" s="12"/>
      <c r="RXV60" s="12"/>
      <c r="RXW60" s="12"/>
      <c r="RXX60" s="12"/>
      <c r="RXY60" s="12"/>
      <c r="RXZ60" s="12"/>
      <c r="RYA60" s="12"/>
      <c r="RYB60" s="12"/>
      <c r="RYC60" s="12"/>
      <c r="RYD60" s="12"/>
      <c r="RYE60" s="12"/>
      <c r="RYF60" s="12"/>
      <c r="RYG60" s="12"/>
      <c r="RYH60" s="12"/>
      <c r="RYI60" s="12"/>
      <c r="RYJ60" s="12"/>
      <c r="RYK60" s="12"/>
      <c r="RYL60" s="12"/>
      <c r="RYM60" s="12"/>
      <c r="RYN60" s="12"/>
      <c r="RYO60" s="12"/>
      <c r="RYP60" s="12"/>
      <c r="RYQ60" s="12"/>
      <c r="RYR60" s="12"/>
      <c r="RYS60" s="12"/>
      <c r="RYT60" s="12"/>
      <c r="RYU60" s="12"/>
      <c r="RYV60" s="12"/>
      <c r="RYW60" s="12"/>
      <c r="RYX60" s="12"/>
      <c r="RYY60" s="12"/>
      <c r="RYZ60" s="12"/>
      <c r="RZA60" s="12"/>
      <c r="RZB60" s="12"/>
      <c r="RZC60" s="12"/>
      <c r="RZD60" s="12"/>
      <c r="RZE60" s="12"/>
      <c r="RZF60" s="12"/>
      <c r="RZG60" s="12"/>
      <c r="RZH60" s="12"/>
      <c r="RZI60" s="12"/>
      <c r="RZJ60" s="12"/>
      <c r="RZK60" s="12"/>
      <c r="RZL60" s="12"/>
      <c r="RZM60" s="12"/>
      <c r="RZN60" s="12"/>
      <c r="RZO60" s="12"/>
      <c r="RZP60" s="12"/>
      <c r="RZQ60" s="12"/>
      <c r="RZR60" s="12"/>
      <c r="RZS60" s="12"/>
      <c r="RZT60" s="12"/>
      <c r="RZU60" s="12"/>
      <c r="RZV60" s="12"/>
      <c r="RZW60" s="12"/>
      <c r="RZX60" s="12"/>
      <c r="RZY60" s="12"/>
      <c r="RZZ60" s="12"/>
      <c r="SAA60" s="12"/>
      <c r="SAB60" s="12"/>
      <c r="SAC60" s="12"/>
      <c r="SAD60" s="12"/>
      <c r="SAE60" s="12"/>
      <c r="SAF60" s="12"/>
      <c r="SAG60" s="12"/>
      <c r="SAH60" s="12"/>
      <c r="SAI60" s="12"/>
      <c r="SAJ60" s="12"/>
      <c r="SAK60" s="12"/>
      <c r="SAL60" s="12"/>
      <c r="SAM60" s="12"/>
      <c r="SAN60" s="12"/>
      <c r="SAO60" s="12"/>
      <c r="SAP60" s="12"/>
      <c r="SAQ60" s="12"/>
      <c r="SAR60" s="12"/>
      <c r="SAS60" s="12"/>
      <c r="SAT60" s="12"/>
      <c r="SAU60" s="12"/>
      <c r="SAV60" s="12"/>
      <c r="SAW60" s="12"/>
      <c r="SAX60" s="12"/>
      <c r="SAY60" s="12"/>
      <c r="SAZ60" s="12"/>
      <c r="SBA60" s="12"/>
      <c r="SBB60" s="12"/>
      <c r="SBC60" s="12"/>
      <c r="SBD60" s="12"/>
      <c r="SBE60" s="12"/>
      <c r="SBF60" s="12"/>
      <c r="SBG60" s="12"/>
      <c r="SBH60" s="12"/>
      <c r="SBI60" s="12"/>
      <c r="SBJ60" s="12"/>
      <c r="SBK60" s="12"/>
      <c r="SBL60" s="12"/>
      <c r="SBM60" s="12"/>
      <c r="SBN60" s="12"/>
      <c r="SBO60" s="12"/>
      <c r="SBP60" s="12"/>
      <c r="SBQ60" s="12"/>
      <c r="SBR60" s="12"/>
      <c r="SBS60" s="12"/>
      <c r="SBT60" s="12"/>
      <c r="SBU60" s="12"/>
      <c r="SBV60" s="12"/>
      <c r="SBW60" s="12"/>
      <c r="SBX60" s="12"/>
      <c r="SBY60" s="12"/>
      <c r="SBZ60" s="12"/>
      <c r="SCA60" s="12"/>
      <c r="SCB60" s="12"/>
      <c r="SCC60" s="12"/>
      <c r="SCD60" s="12"/>
      <c r="SCE60" s="12"/>
      <c r="SCF60" s="12"/>
      <c r="SCG60" s="12"/>
      <c r="SCH60" s="12"/>
      <c r="SCI60" s="12"/>
      <c r="SCJ60" s="12"/>
      <c r="SCK60" s="12"/>
      <c r="SCL60" s="12"/>
      <c r="SCM60" s="12"/>
      <c r="SCN60" s="12"/>
      <c r="SCO60" s="12"/>
      <c r="SCP60" s="12"/>
      <c r="SCQ60" s="12"/>
      <c r="SCR60" s="12"/>
      <c r="SCS60" s="12"/>
      <c r="SCT60" s="12"/>
      <c r="SCU60" s="12"/>
      <c r="SCV60" s="12"/>
      <c r="SCW60" s="12"/>
      <c r="SCX60" s="12"/>
      <c r="SCY60" s="12"/>
      <c r="SCZ60" s="12"/>
      <c r="SDA60" s="12"/>
      <c r="SDB60" s="12"/>
      <c r="SDC60" s="12"/>
      <c r="SDD60" s="12"/>
      <c r="SDE60" s="12"/>
      <c r="SDF60" s="12"/>
      <c r="SDG60" s="12"/>
      <c r="SDH60" s="12"/>
      <c r="SDI60" s="12"/>
      <c r="SDJ60" s="12"/>
      <c r="SDK60" s="12"/>
      <c r="SDL60" s="12"/>
      <c r="SDM60" s="12"/>
      <c r="SDN60" s="12"/>
      <c r="SDO60" s="12"/>
      <c r="SDP60" s="12"/>
      <c r="SDQ60" s="12"/>
      <c r="SDR60" s="12"/>
      <c r="SDS60" s="12"/>
      <c r="SDT60" s="12"/>
      <c r="SDU60" s="12"/>
      <c r="SDV60" s="12"/>
      <c r="SDW60" s="12"/>
      <c r="SDX60" s="12"/>
      <c r="SDY60" s="12"/>
      <c r="SDZ60" s="12"/>
      <c r="SEA60" s="12"/>
      <c r="SEB60" s="12"/>
      <c r="SEC60" s="12"/>
      <c r="SED60" s="12"/>
      <c r="SEE60" s="12"/>
      <c r="SEF60" s="12"/>
      <c r="SEG60" s="12"/>
      <c r="SEH60" s="12"/>
      <c r="SEI60" s="12"/>
      <c r="SEJ60" s="12"/>
      <c r="SEK60" s="12"/>
      <c r="SEL60" s="12"/>
      <c r="SEM60" s="12"/>
      <c r="SEN60" s="12"/>
      <c r="SEO60" s="12"/>
      <c r="SEP60" s="12"/>
      <c r="SEQ60" s="12"/>
      <c r="SER60" s="12"/>
      <c r="SES60" s="12"/>
      <c r="SET60" s="12"/>
      <c r="SEU60" s="12"/>
      <c r="SEV60" s="12"/>
      <c r="SEW60" s="12"/>
      <c r="SEX60" s="12"/>
      <c r="SEY60" s="12"/>
      <c r="SEZ60" s="12"/>
      <c r="SFA60" s="12"/>
      <c r="SFB60" s="12"/>
      <c r="SFC60" s="12"/>
      <c r="SFD60" s="12"/>
      <c r="SFE60" s="12"/>
      <c r="SFF60" s="12"/>
      <c r="SFG60" s="12"/>
      <c r="SFH60" s="12"/>
      <c r="SFI60" s="12"/>
      <c r="SFJ60" s="12"/>
      <c r="SFK60" s="12"/>
      <c r="SFL60" s="12"/>
      <c r="SFM60" s="12"/>
      <c r="SFN60" s="12"/>
      <c r="SFO60" s="12"/>
      <c r="SFP60" s="12"/>
      <c r="SFQ60" s="12"/>
      <c r="SFR60" s="12"/>
      <c r="SFS60" s="12"/>
      <c r="SFT60" s="12"/>
      <c r="SFU60" s="12"/>
      <c r="SFV60" s="12"/>
      <c r="SFW60" s="12"/>
      <c r="SFX60" s="12"/>
      <c r="SFY60" s="12"/>
      <c r="SFZ60" s="12"/>
      <c r="SGA60" s="12"/>
      <c r="SGB60" s="12"/>
      <c r="SGC60" s="12"/>
      <c r="SGD60" s="12"/>
      <c r="SGE60" s="12"/>
      <c r="SGF60" s="12"/>
      <c r="SGG60" s="12"/>
      <c r="SGH60" s="12"/>
      <c r="SGI60" s="12"/>
      <c r="SGJ60" s="12"/>
      <c r="SGK60" s="12"/>
      <c r="SGL60" s="12"/>
      <c r="SGM60" s="12"/>
      <c r="SGN60" s="12"/>
      <c r="SGO60" s="12"/>
      <c r="SGP60" s="12"/>
      <c r="SGQ60" s="12"/>
      <c r="SGR60" s="12"/>
      <c r="SGS60" s="12"/>
      <c r="SGT60" s="12"/>
      <c r="SGU60" s="12"/>
      <c r="SGV60" s="12"/>
      <c r="SGW60" s="12"/>
      <c r="SGX60" s="12"/>
      <c r="SGY60" s="12"/>
      <c r="SGZ60" s="12"/>
      <c r="SHA60" s="12"/>
      <c r="SHB60" s="12"/>
      <c r="SHC60" s="12"/>
      <c r="SHD60" s="12"/>
      <c r="SHE60" s="12"/>
      <c r="SHF60" s="12"/>
      <c r="SHG60" s="12"/>
      <c r="SHH60" s="12"/>
      <c r="SHI60" s="12"/>
      <c r="SHJ60" s="12"/>
      <c r="SHK60" s="12"/>
      <c r="SHL60" s="12"/>
      <c r="SHM60" s="12"/>
      <c r="SHN60" s="12"/>
      <c r="SHO60" s="12"/>
      <c r="SHP60" s="12"/>
      <c r="SHQ60" s="12"/>
      <c r="SHR60" s="12"/>
      <c r="SHS60" s="12"/>
      <c r="SHT60" s="12"/>
      <c r="SHU60" s="12"/>
      <c r="SHV60" s="12"/>
      <c r="SHW60" s="12"/>
      <c r="SHX60" s="12"/>
      <c r="SHY60" s="12"/>
      <c r="SHZ60" s="12"/>
      <c r="SIA60" s="12"/>
      <c r="SIB60" s="12"/>
      <c r="SIC60" s="12"/>
      <c r="SID60" s="12"/>
      <c r="SIE60" s="12"/>
      <c r="SIF60" s="12"/>
      <c r="SIG60" s="12"/>
      <c r="SIH60" s="12"/>
      <c r="SII60" s="12"/>
      <c r="SIJ60" s="12"/>
      <c r="SIK60" s="12"/>
      <c r="SIL60" s="12"/>
      <c r="SIM60" s="12"/>
      <c r="SIN60" s="12"/>
      <c r="SIO60" s="12"/>
      <c r="SIP60" s="12"/>
      <c r="SIQ60" s="12"/>
      <c r="SIR60" s="12"/>
      <c r="SIS60" s="12"/>
      <c r="SIT60" s="12"/>
      <c r="SIU60" s="12"/>
      <c r="SIV60" s="12"/>
      <c r="SIW60" s="12"/>
      <c r="SIX60" s="12"/>
      <c r="SIY60" s="12"/>
      <c r="SIZ60" s="12"/>
      <c r="SJA60" s="12"/>
      <c r="SJB60" s="12"/>
      <c r="SJC60" s="12"/>
      <c r="SJD60" s="12"/>
      <c r="SJE60" s="12"/>
      <c r="SJF60" s="12"/>
      <c r="SJG60" s="12"/>
      <c r="SJH60" s="12"/>
      <c r="SJI60" s="12"/>
      <c r="SJJ60" s="12"/>
      <c r="SJK60" s="12"/>
      <c r="SJL60" s="12"/>
      <c r="SJM60" s="12"/>
      <c r="SJN60" s="12"/>
      <c r="SJO60" s="12"/>
      <c r="SJP60" s="12"/>
      <c r="SJQ60" s="12"/>
      <c r="SJR60" s="12"/>
      <c r="SJS60" s="12"/>
      <c r="SJT60" s="12"/>
      <c r="SJU60" s="12"/>
      <c r="SJV60" s="12"/>
      <c r="SJW60" s="12"/>
      <c r="SJX60" s="12"/>
      <c r="SJY60" s="12"/>
      <c r="SJZ60" s="12"/>
      <c r="SKA60" s="12"/>
      <c r="SKB60" s="12"/>
      <c r="SKC60" s="12"/>
      <c r="SKD60" s="12"/>
      <c r="SKE60" s="12"/>
      <c r="SKF60" s="12"/>
      <c r="SKG60" s="12"/>
      <c r="SKH60" s="12"/>
      <c r="SKI60" s="12"/>
      <c r="SKJ60" s="12"/>
      <c r="SKK60" s="12"/>
      <c r="SKL60" s="12"/>
      <c r="SKM60" s="12"/>
      <c r="SKN60" s="12"/>
      <c r="SKO60" s="12"/>
      <c r="SKP60" s="12"/>
      <c r="SKQ60" s="12"/>
      <c r="SKR60" s="12"/>
      <c r="SKS60" s="12"/>
      <c r="SKT60" s="12"/>
      <c r="SKU60" s="12"/>
      <c r="SKV60" s="12"/>
      <c r="SKW60" s="12"/>
      <c r="SKX60" s="12"/>
      <c r="SKY60" s="12"/>
      <c r="SKZ60" s="12"/>
      <c r="SLA60" s="12"/>
      <c r="SLB60" s="12"/>
      <c r="SLC60" s="12"/>
      <c r="SLD60" s="12"/>
      <c r="SLE60" s="12"/>
      <c r="SLF60" s="12"/>
      <c r="SLG60" s="12"/>
      <c r="SLH60" s="12"/>
      <c r="SLI60" s="12"/>
      <c r="SLJ60" s="12"/>
      <c r="SLK60" s="12"/>
      <c r="SLL60" s="12"/>
      <c r="SLM60" s="12"/>
      <c r="SLN60" s="12"/>
      <c r="SLO60" s="12"/>
      <c r="SLP60" s="12"/>
      <c r="SLQ60" s="12"/>
      <c r="SLR60" s="12"/>
      <c r="SLS60" s="12"/>
      <c r="SLT60" s="12"/>
      <c r="SLU60" s="12"/>
      <c r="SLV60" s="12"/>
      <c r="SLW60" s="12"/>
      <c r="SLX60" s="12"/>
      <c r="SLY60" s="12"/>
      <c r="SLZ60" s="12"/>
      <c r="SMA60" s="12"/>
      <c r="SMB60" s="12"/>
      <c r="SMC60" s="12"/>
      <c r="SMD60" s="12"/>
      <c r="SME60" s="12"/>
      <c r="SMF60" s="12"/>
      <c r="SMG60" s="12"/>
      <c r="SMH60" s="12"/>
      <c r="SMI60" s="12"/>
      <c r="SMJ60" s="12"/>
      <c r="SMK60" s="12"/>
      <c r="SML60" s="12"/>
      <c r="SMM60" s="12"/>
      <c r="SMN60" s="12"/>
      <c r="SMO60" s="12"/>
      <c r="SMP60" s="12"/>
      <c r="SMQ60" s="12"/>
      <c r="SMR60" s="12"/>
      <c r="SMS60" s="12"/>
      <c r="SMT60" s="12"/>
      <c r="SMU60" s="12"/>
      <c r="SMV60" s="12"/>
      <c r="SMW60" s="12"/>
      <c r="SMX60" s="12"/>
      <c r="SMY60" s="12"/>
      <c r="SMZ60" s="12"/>
      <c r="SNA60" s="12"/>
      <c r="SNB60" s="12"/>
      <c r="SNC60" s="12"/>
      <c r="SND60" s="12"/>
      <c r="SNE60" s="12"/>
      <c r="SNF60" s="12"/>
      <c r="SNG60" s="12"/>
      <c r="SNH60" s="12"/>
      <c r="SNI60" s="12"/>
      <c r="SNJ60" s="12"/>
      <c r="SNK60" s="12"/>
      <c r="SNL60" s="12"/>
      <c r="SNM60" s="12"/>
      <c r="SNN60" s="12"/>
      <c r="SNO60" s="12"/>
      <c r="SNP60" s="12"/>
      <c r="SNQ60" s="12"/>
      <c r="SNR60" s="12"/>
      <c r="SNS60" s="12"/>
      <c r="SNT60" s="12"/>
      <c r="SNU60" s="12"/>
      <c r="SNV60" s="12"/>
      <c r="SNW60" s="12"/>
      <c r="SNX60" s="12"/>
      <c r="SNY60" s="12"/>
      <c r="SNZ60" s="12"/>
      <c r="SOA60" s="12"/>
      <c r="SOB60" s="12"/>
      <c r="SOC60" s="12"/>
      <c r="SOD60" s="12"/>
      <c r="SOE60" s="12"/>
      <c r="SOF60" s="12"/>
      <c r="SOG60" s="12"/>
      <c r="SOH60" s="12"/>
      <c r="SOI60" s="12"/>
      <c r="SOJ60" s="12"/>
      <c r="SOK60" s="12"/>
      <c r="SOL60" s="12"/>
      <c r="SOM60" s="12"/>
      <c r="SON60" s="12"/>
      <c r="SOO60" s="12"/>
      <c r="SOP60" s="12"/>
      <c r="SOQ60" s="12"/>
      <c r="SOR60" s="12"/>
      <c r="SOS60" s="12"/>
      <c r="SOT60" s="12"/>
      <c r="SOU60" s="12"/>
      <c r="SOV60" s="12"/>
      <c r="SOW60" s="12"/>
      <c r="SOX60" s="12"/>
      <c r="SOY60" s="12"/>
      <c r="SOZ60" s="12"/>
      <c r="SPA60" s="12"/>
      <c r="SPB60" s="12"/>
      <c r="SPC60" s="12"/>
      <c r="SPD60" s="12"/>
      <c r="SPE60" s="12"/>
      <c r="SPF60" s="12"/>
      <c r="SPG60" s="12"/>
      <c r="SPH60" s="12"/>
      <c r="SPI60" s="12"/>
      <c r="SPJ60" s="12"/>
      <c r="SPK60" s="12"/>
      <c r="SPL60" s="12"/>
      <c r="SPM60" s="12"/>
      <c r="SPN60" s="12"/>
      <c r="SPO60" s="12"/>
      <c r="SPP60" s="12"/>
      <c r="SPQ60" s="12"/>
      <c r="SPR60" s="12"/>
      <c r="SPS60" s="12"/>
      <c r="SPT60" s="12"/>
      <c r="SPU60" s="12"/>
      <c r="SPV60" s="12"/>
      <c r="SPW60" s="12"/>
      <c r="SPX60" s="12"/>
      <c r="SPY60" s="12"/>
      <c r="SPZ60" s="12"/>
      <c r="SQA60" s="12"/>
      <c r="SQB60" s="12"/>
      <c r="SQC60" s="12"/>
      <c r="SQD60" s="12"/>
      <c r="SQE60" s="12"/>
      <c r="SQF60" s="12"/>
      <c r="SQG60" s="12"/>
      <c r="SQH60" s="12"/>
      <c r="SQI60" s="12"/>
      <c r="SQJ60" s="12"/>
      <c r="SQK60" s="12"/>
      <c r="SQL60" s="12"/>
      <c r="SQM60" s="12"/>
      <c r="SQN60" s="12"/>
      <c r="SQO60" s="12"/>
      <c r="SQP60" s="12"/>
      <c r="SQQ60" s="12"/>
      <c r="SQR60" s="12"/>
      <c r="SQS60" s="12"/>
      <c r="SQT60" s="12"/>
      <c r="SQU60" s="12"/>
      <c r="SQV60" s="12"/>
      <c r="SQW60" s="12"/>
      <c r="SQX60" s="12"/>
      <c r="SQY60" s="12"/>
      <c r="SQZ60" s="12"/>
      <c r="SRA60" s="12"/>
      <c r="SRB60" s="12"/>
      <c r="SRC60" s="12"/>
      <c r="SRD60" s="12"/>
      <c r="SRE60" s="12"/>
      <c r="SRF60" s="12"/>
      <c r="SRG60" s="12"/>
      <c r="SRH60" s="12"/>
      <c r="SRI60" s="12"/>
      <c r="SRJ60" s="12"/>
      <c r="SRK60" s="12"/>
      <c r="SRL60" s="12"/>
      <c r="SRM60" s="12"/>
      <c r="SRN60" s="12"/>
      <c r="SRO60" s="12"/>
      <c r="SRP60" s="12"/>
      <c r="SRQ60" s="12"/>
      <c r="SRR60" s="12"/>
      <c r="SRS60" s="12"/>
      <c r="SRT60" s="12"/>
      <c r="SRU60" s="12"/>
      <c r="SRV60" s="12"/>
      <c r="SRW60" s="12"/>
      <c r="SRX60" s="12"/>
      <c r="SRY60" s="12"/>
      <c r="SRZ60" s="12"/>
      <c r="SSA60" s="12"/>
      <c r="SSB60" s="12"/>
      <c r="SSC60" s="12"/>
      <c r="SSD60" s="12"/>
      <c r="SSE60" s="12"/>
      <c r="SSF60" s="12"/>
      <c r="SSG60" s="12"/>
      <c r="SSH60" s="12"/>
      <c r="SSI60" s="12"/>
      <c r="SSJ60" s="12"/>
      <c r="SSK60" s="12"/>
      <c r="SSL60" s="12"/>
      <c r="SSM60" s="12"/>
      <c r="SSN60" s="12"/>
      <c r="SSO60" s="12"/>
      <c r="SSP60" s="12"/>
      <c r="SSQ60" s="12"/>
      <c r="SSR60" s="12"/>
      <c r="SSS60" s="12"/>
      <c r="SST60" s="12"/>
      <c r="SSU60" s="12"/>
      <c r="SSV60" s="12"/>
      <c r="SSW60" s="12"/>
      <c r="SSX60" s="12"/>
      <c r="SSY60" s="12"/>
      <c r="SSZ60" s="12"/>
      <c r="STA60" s="12"/>
      <c r="STB60" s="12"/>
      <c r="STC60" s="12"/>
      <c r="STD60" s="12"/>
      <c r="STE60" s="12"/>
      <c r="STF60" s="12"/>
      <c r="STG60" s="12"/>
      <c r="STH60" s="12"/>
      <c r="STI60" s="12"/>
      <c r="STJ60" s="12"/>
      <c r="STK60" s="12"/>
      <c r="STL60" s="12"/>
      <c r="STM60" s="12"/>
      <c r="STN60" s="12"/>
      <c r="STO60" s="12"/>
      <c r="STP60" s="12"/>
      <c r="STQ60" s="12"/>
      <c r="STR60" s="12"/>
      <c r="STS60" s="12"/>
      <c r="STT60" s="12"/>
      <c r="STU60" s="12"/>
      <c r="STV60" s="12"/>
      <c r="STW60" s="12"/>
      <c r="STX60" s="12"/>
      <c r="STY60" s="12"/>
      <c r="STZ60" s="12"/>
      <c r="SUA60" s="12"/>
      <c r="SUB60" s="12"/>
      <c r="SUC60" s="12"/>
      <c r="SUD60" s="12"/>
      <c r="SUE60" s="12"/>
      <c r="SUF60" s="12"/>
      <c r="SUG60" s="12"/>
      <c r="SUH60" s="12"/>
      <c r="SUI60" s="12"/>
      <c r="SUJ60" s="12"/>
      <c r="SUK60" s="12"/>
      <c r="SUL60" s="12"/>
      <c r="SUM60" s="12"/>
      <c r="SUN60" s="12"/>
      <c r="SUO60" s="12"/>
      <c r="SUP60" s="12"/>
      <c r="SUQ60" s="12"/>
      <c r="SUR60" s="12"/>
      <c r="SUS60" s="12"/>
      <c r="SUT60" s="12"/>
      <c r="SUU60" s="12"/>
      <c r="SUV60" s="12"/>
      <c r="SUW60" s="12"/>
      <c r="SUX60" s="12"/>
      <c r="SUY60" s="12"/>
      <c r="SUZ60" s="12"/>
      <c r="SVA60" s="12"/>
      <c r="SVB60" s="12"/>
      <c r="SVC60" s="12"/>
      <c r="SVD60" s="12"/>
      <c r="SVE60" s="12"/>
      <c r="SVF60" s="12"/>
      <c r="SVG60" s="12"/>
      <c r="SVH60" s="12"/>
      <c r="SVI60" s="12"/>
      <c r="SVJ60" s="12"/>
      <c r="SVK60" s="12"/>
      <c r="SVL60" s="12"/>
      <c r="SVM60" s="12"/>
      <c r="SVN60" s="12"/>
      <c r="SVO60" s="12"/>
      <c r="SVP60" s="12"/>
      <c r="SVQ60" s="12"/>
      <c r="SVR60" s="12"/>
      <c r="SVS60" s="12"/>
      <c r="SVT60" s="12"/>
      <c r="SVU60" s="12"/>
      <c r="SVV60" s="12"/>
      <c r="SVW60" s="12"/>
      <c r="SVX60" s="12"/>
      <c r="SVY60" s="12"/>
      <c r="SVZ60" s="12"/>
      <c r="SWA60" s="12"/>
      <c r="SWB60" s="12"/>
      <c r="SWC60" s="12"/>
      <c r="SWD60" s="12"/>
      <c r="SWE60" s="12"/>
      <c r="SWF60" s="12"/>
      <c r="SWG60" s="12"/>
      <c r="SWH60" s="12"/>
      <c r="SWI60" s="12"/>
      <c r="SWJ60" s="12"/>
      <c r="SWK60" s="12"/>
      <c r="SWL60" s="12"/>
      <c r="SWM60" s="12"/>
      <c r="SWN60" s="12"/>
      <c r="SWO60" s="12"/>
      <c r="SWP60" s="12"/>
      <c r="SWQ60" s="12"/>
      <c r="SWR60" s="12"/>
      <c r="SWS60" s="12"/>
      <c r="SWT60" s="12"/>
      <c r="SWU60" s="12"/>
      <c r="SWV60" s="12"/>
      <c r="SWW60" s="12"/>
      <c r="SWX60" s="12"/>
      <c r="SWY60" s="12"/>
      <c r="SWZ60" s="12"/>
      <c r="SXA60" s="12"/>
      <c r="SXB60" s="12"/>
      <c r="SXC60" s="12"/>
      <c r="SXD60" s="12"/>
      <c r="SXE60" s="12"/>
      <c r="SXF60" s="12"/>
      <c r="SXG60" s="12"/>
      <c r="SXH60" s="12"/>
      <c r="SXI60" s="12"/>
      <c r="SXJ60" s="12"/>
      <c r="SXK60" s="12"/>
      <c r="SXL60" s="12"/>
      <c r="SXM60" s="12"/>
      <c r="SXN60" s="12"/>
      <c r="SXO60" s="12"/>
      <c r="SXP60" s="12"/>
      <c r="SXQ60" s="12"/>
      <c r="SXR60" s="12"/>
      <c r="SXS60" s="12"/>
      <c r="SXT60" s="12"/>
      <c r="SXU60" s="12"/>
      <c r="SXV60" s="12"/>
      <c r="SXW60" s="12"/>
      <c r="SXX60" s="12"/>
      <c r="SXY60" s="12"/>
      <c r="SXZ60" s="12"/>
      <c r="SYA60" s="12"/>
      <c r="SYB60" s="12"/>
      <c r="SYC60" s="12"/>
      <c r="SYD60" s="12"/>
      <c r="SYE60" s="12"/>
      <c r="SYF60" s="12"/>
      <c r="SYG60" s="12"/>
      <c r="SYH60" s="12"/>
      <c r="SYI60" s="12"/>
      <c r="SYJ60" s="12"/>
      <c r="SYK60" s="12"/>
      <c r="SYL60" s="12"/>
      <c r="SYM60" s="12"/>
      <c r="SYN60" s="12"/>
      <c r="SYO60" s="12"/>
      <c r="SYP60" s="12"/>
      <c r="SYQ60" s="12"/>
      <c r="SYR60" s="12"/>
      <c r="SYS60" s="12"/>
      <c r="SYT60" s="12"/>
      <c r="SYU60" s="12"/>
      <c r="SYV60" s="12"/>
      <c r="SYW60" s="12"/>
      <c r="SYX60" s="12"/>
      <c r="SYY60" s="12"/>
      <c r="SYZ60" s="12"/>
      <c r="SZA60" s="12"/>
      <c r="SZB60" s="12"/>
      <c r="SZC60" s="12"/>
      <c r="SZD60" s="12"/>
      <c r="SZE60" s="12"/>
      <c r="SZF60" s="12"/>
      <c r="SZG60" s="12"/>
      <c r="SZH60" s="12"/>
      <c r="SZI60" s="12"/>
      <c r="SZJ60" s="12"/>
      <c r="SZK60" s="12"/>
      <c r="SZL60" s="12"/>
      <c r="SZM60" s="12"/>
      <c r="SZN60" s="12"/>
      <c r="SZO60" s="12"/>
      <c r="SZP60" s="12"/>
      <c r="SZQ60" s="12"/>
      <c r="SZR60" s="12"/>
      <c r="SZS60" s="12"/>
      <c r="SZT60" s="12"/>
      <c r="SZU60" s="12"/>
      <c r="SZV60" s="12"/>
      <c r="SZW60" s="12"/>
      <c r="SZX60" s="12"/>
      <c r="SZY60" s="12"/>
      <c r="SZZ60" s="12"/>
      <c r="TAA60" s="12"/>
      <c r="TAB60" s="12"/>
      <c r="TAC60" s="12"/>
      <c r="TAD60" s="12"/>
      <c r="TAE60" s="12"/>
      <c r="TAF60" s="12"/>
      <c r="TAG60" s="12"/>
      <c r="TAH60" s="12"/>
      <c r="TAI60" s="12"/>
      <c r="TAJ60" s="12"/>
      <c r="TAK60" s="12"/>
      <c r="TAL60" s="12"/>
      <c r="TAM60" s="12"/>
      <c r="TAN60" s="12"/>
      <c r="TAO60" s="12"/>
      <c r="TAP60" s="12"/>
      <c r="TAQ60" s="12"/>
      <c r="TAR60" s="12"/>
      <c r="TAS60" s="12"/>
      <c r="TAT60" s="12"/>
      <c r="TAU60" s="12"/>
      <c r="TAV60" s="12"/>
      <c r="TAW60" s="12"/>
      <c r="TAX60" s="12"/>
      <c r="TAY60" s="12"/>
      <c r="TAZ60" s="12"/>
      <c r="TBA60" s="12"/>
      <c r="TBB60" s="12"/>
      <c r="TBC60" s="12"/>
      <c r="TBD60" s="12"/>
      <c r="TBE60" s="12"/>
      <c r="TBF60" s="12"/>
      <c r="TBG60" s="12"/>
      <c r="TBH60" s="12"/>
      <c r="TBI60" s="12"/>
      <c r="TBJ60" s="12"/>
      <c r="TBK60" s="12"/>
      <c r="TBL60" s="12"/>
      <c r="TBM60" s="12"/>
      <c r="TBN60" s="12"/>
      <c r="TBO60" s="12"/>
      <c r="TBP60" s="12"/>
      <c r="TBQ60" s="12"/>
      <c r="TBR60" s="12"/>
      <c r="TBS60" s="12"/>
      <c r="TBT60" s="12"/>
      <c r="TBU60" s="12"/>
      <c r="TBV60" s="12"/>
      <c r="TBW60" s="12"/>
      <c r="TBX60" s="12"/>
      <c r="TBY60" s="12"/>
      <c r="TBZ60" s="12"/>
      <c r="TCA60" s="12"/>
      <c r="TCB60" s="12"/>
      <c r="TCC60" s="12"/>
      <c r="TCD60" s="12"/>
      <c r="TCE60" s="12"/>
      <c r="TCF60" s="12"/>
      <c r="TCG60" s="12"/>
      <c r="TCH60" s="12"/>
      <c r="TCI60" s="12"/>
      <c r="TCJ60" s="12"/>
      <c r="TCK60" s="12"/>
      <c r="TCL60" s="12"/>
      <c r="TCM60" s="12"/>
      <c r="TCN60" s="12"/>
      <c r="TCO60" s="12"/>
      <c r="TCP60" s="12"/>
      <c r="TCQ60" s="12"/>
      <c r="TCR60" s="12"/>
      <c r="TCS60" s="12"/>
      <c r="TCT60" s="12"/>
      <c r="TCU60" s="12"/>
      <c r="TCV60" s="12"/>
      <c r="TCW60" s="12"/>
      <c r="TCX60" s="12"/>
      <c r="TCY60" s="12"/>
      <c r="TCZ60" s="12"/>
      <c r="TDA60" s="12"/>
      <c r="TDB60" s="12"/>
      <c r="TDC60" s="12"/>
      <c r="TDD60" s="12"/>
      <c r="TDE60" s="12"/>
      <c r="TDF60" s="12"/>
      <c r="TDG60" s="12"/>
      <c r="TDH60" s="12"/>
      <c r="TDI60" s="12"/>
      <c r="TDJ60" s="12"/>
      <c r="TDK60" s="12"/>
      <c r="TDL60" s="12"/>
      <c r="TDM60" s="12"/>
      <c r="TDN60" s="12"/>
      <c r="TDO60" s="12"/>
      <c r="TDP60" s="12"/>
      <c r="TDQ60" s="12"/>
      <c r="TDR60" s="12"/>
      <c r="TDS60" s="12"/>
      <c r="TDT60" s="12"/>
      <c r="TDU60" s="12"/>
      <c r="TDV60" s="12"/>
      <c r="TDW60" s="12"/>
      <c r="TDX60" s="12"/>
      <c r="TDY60" s="12"/>
      <c r="TDZ60" s="12"/>
      <c r="TEA60" s="12"/>
      <c r="TEB60" s="12"/>
      <c r="TEC60" s="12"/>
      <c r="TED60" s="12"/>
      <c r="TEE60" s="12"/>
      <c r="TEF60" s="12"/>
      <c r="TEG60" s="12"/>
      <c r="TEH60" s="12"/>
      <c r="TEI60" s="12"/>
      <c r="TEJ60" s="12"/>
      <c r="TEK60" s="12"/>
      <c r="TEL60" s="12"/>
      <c r="TEM60" s="12"/>
      <c r="TEN60" s="12"/>
      <c r="TEO60" s="12"/>
      <c r="TEP60" s="12"/>
      <c r="TEQ60" s="12"/>
      <c r="TER60" s="12"/>
      <c r="TES60" s="12"/>
      <c r="TET60" s="12"/>
      <c r="TEU60" s="12"/>
      <c r="TEV60" s="12"/>
      <c r="TEW60" s="12"/>
      <c r="TEX60" s="12"/>
      <c r="TEY60" s="12"/>
      <c r="TEZ60" s="12"/>
      <c r="TFA60" s="12"/>
      <c r="TFB60" s="12"/>
      <c r="TFC60" s="12"/>
      <c r="TFD60" s="12"/>
      <c r="TFE60" s="12"/>
      <c r="TFF60" s="12"/>
      <c r="TFG60" s="12"/>
      <c r="TFH60" s="12"/>
      <c r="TFI60" s="12"/>
      <c r="TFJ60" s="12"/>
      <c r="TFK60" s="12"/>
      <c r="TFL60" s="12"/>
      <c r="TFM60" s="12"/>
      <c r="TFN60" s="12"/>
      <c r="TFO60" s="12"/>
      <c r="TFP60" s="12"/>
      <c r="TFQ60" s="12"/>
      <c r="TFR60" s="12"/>
      <c r="TFS60" s="12"/>
      <c r="TFT60" s="12"/>
      <c r="TFU60" s="12"/>
      <c r="TFV60" s="12"/>
      <c r="TFW60" s="12"/>
      <c r="TFX60" s="12"/>
      <c r="TFY60" s="12"/>
      <c r="TFZ60" s="12"/>
      <c r="TGA60" s="12"/>
      <c r="TGB60" s="12"/>
      <c r="TGC60" s="12"/>
      <c r="TGD60" s="12"/>
      <c r="TGE60" s="12"/>
      <c r="TGF60" s="12"/>
      <c r="TGG60" s="12"/>
      <c r="TGH60" s="12"/>
      <c r="TGI60" s="12"/>
      <c r="TGJ60" s="12"/>
      <c r="TGK60" s="12"/>
      <c r="TGL60" s="12"/>
      <c r="TGM60" s="12"/>
      <c r="TGN60" s="12"/>
      <c r="TGO60" s="12"/>
      <c r="TGP60" s="12"/>
      <c r="TGQ60" s="12"/>
      <c r="TGR60" s="12"/>
      <c r="TGS60" s="12"/>
      <c r="TGT60" s="12"/>
      <c r="TGU60" s="12"/>
      <c r="TGV60" s="12"/>
      <c r="TGW60" s="12"/>
      <c r="TGX60" s="12"/>
      <c r="TGY60" s="12"/>
      <c r="TGZ60" s="12"/>
      <c r="THA60" s="12"/>
      <c r="THB60" s="12"/>
      <c r="THC60" s="12"/>
      <c r="THD60" s="12"/>
      <c r="THE60" s="12"/>
      <c r="THF60" s="12"/>
      <c r="THG60" s="12"/>
      <c r="THH60" s="12"/>
      <c r="THI60" s="12"/>
      <c r="THJ60" s="12"/>
      <c r="THK60" s="12"/>
      <c r="THL60" s="12"/>
      <c r="THM60" s="12"/>
      <c r="THN60" s="12"/>
      <c r="THO60" s="12"/>
      <c r="THP60" s="12"/>
      <c r="THQ60" s="12"/>
      <c r="THR60" s="12"/>
      <c r="THS60" s="12"/>
      <c r="THT60" s="12"/>
      <c r="THU60" s="12"/>
      <c r="THV60" s="12"/>
      <c r="THW60" s="12"/>
      <c r="THX60" s="12"/>
      <c r="THY60" s="12"/>
      <c r="THZ60" s="12"/>
      <c r="TIA60" s="12"/>
      <c r="TIB60" s="12"/>
      <c r="TIC60" s="12"/>
      <c r="TID60" s="12"/>
      <c r="TIE60" s="12"/>
      <c r="TIF60" s="12"/>
      <c r="TIG60" s="12"/>
      <c r="TIH60" s="12"/>
      <c r="TII60" s="12"/>
      <c r="TIJ60" s="12"/>
      <c r="TIK60" s="12"/>
      <c r="TIL60" s="12"/>
      <c r="TIM60" s="12"/>
      <c r="TIN60" s="12"/>
      <c r="TIO60" s="12"/>
      <c r="TIP60" s="12"/>
      <c r="TIQ60" s="12"/>
      <c r="TIR60" s="12"/>
      <c r="TIS60" s="12"/>
      <c r="TIT60" s="12"/>
      <c r="TIU60" s="12"/>
      <c r="TIV60" s="12"/>
      <c r="TIW60" s="12"/>
      <c r="TIX60" s="12"/>
      <c r="TIY60" s="12"/>
      <c r="TIZ60" s="12"/>
      <c r="TJA60" s="12"/>
      <c r="TJB60" s="12"/>
      <c r="TJC60" s="12"/>
      <c r="TJD60" s="12"/>
      <c r="TJE60" s="12"/>
      <c r="TJF60" s="12"/>
      <c r="TJG60" s="12"/>
      <c r="TJH60" s="12"/>
      <c r="TJI60" s="12"/>
      <c r="TJJ60" s="12"/>
      <c r="TJK60" s="12"/>
      <c r="TJL60" s="12"/>
      <c r="TJM60" s="12"/>
      <c r="TJN60" s="12"/>
      <c r="TJO60" s="12"/>
      <c r="TJP60" s="12"/>
      <c r="TJQ60" s="12"/>
      <c r="TJR60" s="12"/>
      <c r="TJS60" s="12"/>
      <c r="TJT60" s="12"/>
      <c r="TJU60" s="12"/>
      <c r="TJV60" s="12"/>
      <c r="TJW60" s="12"/>
      <c r="TJX60" s="12"/>
      <c r="TJY60" s="12"/>
      <c r="TJZ60" s="12"/>
      <c r="TKA60" s="12"/>
      <c r="TKB60" s="12"/>
      <c r="TKC60" s="12"/>
      <c r="TKD60" s="12"/>
      <c r="TKE60" s="12"/>
      <c r="TKF60" s="12"/>
      <c r="TKG60" s="12"/>
      <c r="TKH60" s="12"/>
      <c r="TKI60" s="12"/>
      <c r="TKJ60" s="12"/>
      <c r="TKK60" s="12"/>
      <c r="TKL60" s="12"/>
      <c r="TKM60" s="12"/>
      <c r="TKN60" s="12"/>
      <c r="TKO60" s="12"/>
      <c r="TKP60" s="12"/>
      <c r="TKQ60" s="12"/>
      <c r="TKR60" s="12"/>
      <c r="TKS60" s="12"/>
      <c r="TKT60" s="12"/>
      <c r="TKU60" s="12"/>
      <c r="TKV60" s="12"/>
      <c r="TKW60" s="12"/>
      <c r="TKX60" s="12"/>
      <c r="TKY60" s="12"/>
      <c r="TKZ60" s="12"/>
      <c r="TLA60" s="12"/>
      <c r="TLB60" s="12"/>
      <c r="TLC60" s="12"/>
      <c r="TLD60" s="12"/>
      <c r="TLE60" s="12"/>
      <c r="TLF60" s="12"/>
      <c r="TLG60" s="12"/>
      <c r="TLH60" s="12"/>
      <c r="TLI60" s="12"/>
      <c r="TLJ60" s="12"/>
      <c r="TLK60" s="12"/>
      <c r="TLL60" s="12"/>
      <c r="TLM60" s="12"/>
      <c r="TLN60" s="12"/>
      <c r="TLO60" s="12"/>
      <c r="TLP60" s="12"/>
      <c r="TLQ60" s="12"/>
      <c r="TLR60" s="12"/>
      <c r="TLS60" s="12"/>
      <c r="TLT60" s="12"/>
      <c r="TLU60" s="12"/>
      <c r="TLV60" s="12"/>
      <c r="TLW60" s="12"/>
      <c r="TLX60" s="12"/>
      <c r="TLY60" s="12"/>
      <c r="TLZ60" s="12"/>
      <c r="TMA60" s="12"/>
      <c r="TMB60" s="12"/>
      <c r="TMC60" s="12"/>
      <c r="TMD60" s="12"/>
      <c r="TME60" s="12"/>
      <c r="TMF60" s="12"/>
      <c r="TMG60" s="12"/>
      <c r="TMH60" s="12"/>
      <c r="TMI60" s="12"/>
      <c r="TMJ60" s="12"/>
      <c r="TMK60" s="12"/>
      <c r="TML60" s="12"/>
      <c r="TMM60" s="12"/>
      <c r="TMN60" s="12"/>
      <c r="TMO60" s="12"/>
      <c r="TMP60" s="12"/>
      <c r="TMQ60" s="12"/>
      <c r="TMR60" s="12"/>
      <c r="TMS60" s="12"/>
      <c r="TMT60" s="12"/>
      <c r="TMU60" s="12"/>
      <c r="TMV60" s="12"/>
      <c r="TMW60" s="12"/>
      <c r="TMX60" s="12"/>
      <c r="TMY60" s="12"/>
      <c r="TMZ60" s="12"/>
      <c r="TNA60" s="12"/>
      <c r="TNB60" s="12"/>
      <c r="TNC60" s="12"/>
      <c r="TND60" s="12"/>
      <c r="TNE60" s="12"/>
      <c r="TNF60" s="12"/>
      <c r="TNG60" s="12"/>
      <c r="TNH60" s="12"/>
      <c r="TNI60" s="12"/>
      <c r="TNJ60" s="12"/>
      <c r="TNK60" s="12"/>
      <c r="TNL60" s="12"/>
      <c r="TNM60" s="12"/>
      <c r="TNN60" s="12"/>
      <c r="TNO60" s="12"/>
      <c r="TNP60" s="12"/>
      <c r="TNQ60" s="12"/>
      <c r="TNR60" s="12"/>
      <c r="TNS60" s="12"/>
      <c r="TNT60" s="12"/>
      <c r="TNU60" s="12"/>
      <c r="TNV60" s="12"/>
      <c r="TNW60" s="12"/>
      <c r="TNX60" s="12"/>
      <c r="TNY60" s="12"/>
      <c r="TNZ60" s="12"/>
      <c r="TOA60" s="12"/>
      <c r="TOB60" s="12"/>
      <c r="TOC60" s="12"/>
      <c r="TOD60" s="12"/>
      <c r="TOE60" s="12"/>
      <c r="TOF60" s="12"/>
      <c r="TOG60" s="12"/>
      <c r="TOH60" s="12"/>
      <c r="TOI60" s="12"/>
      <c r="TOJ60" s="12"/>
      <c r="TOK60" s="12"/>
      <c r="TOL60" s="12"/>
      <c r="TOM60" s="12"/>
      <c r="TON60" s="12"/>
      <c r="TOO60" s="12"/>
      <c r="TOP60" s="12"/>
      <c r="TOQ60" s="12"/>
      <c r="TOR60" s="12"/>
      <c r="TOS60" s="12"/>
      <c r="TOT60" s="12"/>
      <c r="TOU60" s="12"/>
      <c r="TOV60" s="12"/>
      <c r="TOW60" s="12"/>
      <c r="TOX60" s="12"/>
      <c r="TOY60" s="12"/>
      <c r="TOZ60" s="12"/>
      <c r="TPA60" s="12"/>
      <c r="TPB60" s="12"/>
      <c r="TPC60" s="12"/>
      <c r="TPD60" s="12"/>
      <c r="TPE60" s="12"/>
      <c r="TPF60" s="12"/>
      <c r="TPG60" s="12"/>
      <c r="TPH60" s="12"/>
      <c r="TPI60" s="12"/>
      <c r="TPJ60" s="12"/>
      <c r="TPK60" s="12"/>
      <c r="TPL60" s="12"/>
      <c r="TPM60" s="12"/>
      <c r="TPN60" s="12"/>
      <c r="TPO60" s="12"/>
      <c r="TPP60" s="12"/>
      <c r="TPQ60" s="12"/>
      <c r="TPR60" s="12"/>
      <c r="TPS60" s="12"/>
      <c r="TPT60" s="12"/>
      <c r="TPU60" s="12"/>
      <c r="TPV60" s="12"/>
      <c r="TPW60" s="12"/>
      <c r="TPX60" s="12"/>
      <c r="TPY60" s="12"/>
      <c r="TPZ60" s="12"/>
      <c r="TQA60" s="12"/>
      <c r="TQB60" s="12"/>
      <c r="TQC60" s="12"/>
      <c r="TQD60" s="12"/>
      <c r="TQE60" s="12"/>
      <c r="TQF60" s="12"/>
      <c r="TQG60" s="12"/>
      <c r="TQH60" s="12"/>
      <c r="TQI60" s="12"/>
      <c r="TQJ60" s="12"/>
      <c r="TQK60" s="12"/>
      <c r="TQL60" s="12"/>
      <c r="TQM60" s="12"/>
      <c r="TQN60" s="12"/>
      <c r="TQO60" s="12"/>
      <c r="TQP60" s="12"/>
      <c r="TQQ60" s="12"/>
      <c r="TQR60" s="12"/>
      <c r="TQS60" s="12"/>
      <c r="TQT60" s="12"/>
      <c r="TQU60" s="12"/>
      <c r="TQV60" s="12"/>
      <c r="TQW60" s="12"/>
      <c r="TQX60" s="12"/>
      <c r="TQY60" s="12"/>
      <c r="TQZ60" s="12"/>
      <c r="TRA60" s="12"/>
      <c r="TRB60" s="12"/>
      <c r="TRC60" s="12"/>
      <c r="TRD60" s="12"/>
      <c r="TRE60" s="12"/>
      <c r="TRF60" s="12"/>
      <c r="TRG60" s="12"/>
      <c r="TRH60" s="12"/>
      <c r="TRI60" s="12"/>
      <c r="TRJ60" s="12"/>
      <c r="TRK60" s="12"/>
      <c r="TRL60" s="12"/>
      <c r="TRM60" s="12"/>
      <c r="TRN60" s="12"/>
      <c r="TRO60" s="12"/>
      <c r="TRP60" s="12"/>
      <c r="TRQ60" s="12"/>
      <c r="TRR60" s="12"/>
      <c r="TRS60" s="12"/>
      <c r="TRT60" s="12"/>
      <c r="TRU60" s="12"/>
      <c r="TRV60" s="12"/>
      <c r="TRW60" s="12"/>
      <c r="TRX60" s="12"/>
      <c r="TRY60" s="12"/>
      <c r="TRZ60" s="12"/>
      <c r="TSA60" s="12"/>
      <c r="TSB60" s="12"/>
      <c r="TSC60" s="12"/>
      <c r="TSD60" s="12"/>
      <c r="TSE60" s="12"/>
      <c r="TSF60" s="12"/>
      <c r="TSG60" s="12"/>
      <c r="TSH60" s="12"/>
      <c r="TSI60" s="12"/>
      <c r="TSJ60" s="12"/>
      <c r="TSK60" s="12"/>
      <c r="TSL60" s="12"/>
      <c r="TSM60" s="12"/>
      <c r="TSN60" s="12"/>
      <c r="TSO60" s="12"/>
      <c r="TSP60" s="12"/>
      <c r="TSQ60" s="12"/>
      <c r="TSR60" s="12"/>
      <c r="TSS60" s="12"/>
      <c r="TST60" s="12"/>
      <c r="TSU60" s="12"/>
      <c r="TSV60" s="12"/>
      <c r="TSW60" s="12"/>
      <c r="TSX60" s="12"/>
      <c r="TSY60" s="12"/>
      <c r="TSZ60" s="12"/>
      <c r="TTA60" s="12"/>
      <c r="TTB60" s="12"/>
      <c r="TTC60" s="12"/>
      <c r="TTD60" s="12"/>
      <c r="TTE60" s="12"/>
      <c r="TTF60" s="12"/>
      <c r="TTG60" s="12"/>
      <c r="TTH60" s="12"/>
      <c r="TTI60" s="12"/>
      <c r="TTJ60" s="12"/>
      <c r="TTK60" s="12"/>
      <c r="TTL60" s="12"/>
      <c r="TTM60" s="12"/>
      <c r="TTN60" s="12"/>
      <c r="TTO60" s="12"/>
      <c r="TTP60" s="12"/>
      <c r="TTQ60" s="12"/>
      <c r="TTR60" s="12"/>
      <c r="TTS60" s="12"/>
      <c r="TTT60" s="12"/>
      <c r="TTU60" s="12"/>
      <c r="TTV60" s="12"/>
      <c r="TTW60" s="12"/>
      <c r="TTX60" s="12"/>
      <c r="TTY60" s="12"/>
      <c r="TTZ60" s="12"/>
      <c r="TUA60" s="12"/>
      <c r="TUB60" s="12"/>
      <c r="TUC60" s="12"/>
      <c r="TUD60" s="12"/>
      <c r="TUE60" s="12"/>
      <c r="TUF60" s="12"/>
      <c r="TUG60" s="12"/>
      <c r="TUH60" s="12"/>
      <c r="TUI60" s="12"/>
      <c r="TUJ60" s="12"/>
      <c r="TUK60" s="12"/>
      <c r="TUL60" s="12"/>
      <c r="TUM60" s="12"/>
      <c r="TUN60" s="12"/>
      <c r="TUO60" s="12"/>
      <c r="TUP60" s="12"/>
      <c r="TUQ60" s="12"/>
      <c r="TUR60" s="12"/>
      <c r="TUS60" s="12"/>
      <c r="TUT60" s="12"/>
      <c r="TUU60" s="12"/>
      <c r="TUV60" s="12"/>
      <c r="TUW60" s="12"/>
      <c r="TUX60" s="12"/>
      <c r="TUY60" s="12"/>
      <c r="TUZ60" s="12"/>
      <c r="TVA60" s="12"/>
      <c r="TVB60" s="12"/>
      <c r="TVC60" s="12"/>
      <c r="TVD60" s="12"/>
      <c r="TVE60" s="12"/>
      <c r="TVF60" s="12"/>
      <c r="TVG60" s="12"/>
      <c r="TVH60" s="12"/>
      <c r="TVI60" s="12"/>
      <c r="TVJ60" s="12"/>
      <c r="TVK60" s="12"/>
      <c r="TVL60" s="12"/>
      <c r="TVM60" s="12"/>
      <c r="TVN60" s="12"/>
      <c r="TVO60" s="12"/>
      <c r="TVP60" s="12"/>
      <c r="TVQ60" s="12"/>
      <c r="TVR60" s="12"/>
      <c r="TVS60" s="12"/>
      <c r="TVT60" s="12"/>
      <c r="TVU60" s="12"/>
      <c r="TVV60" s="12"/>
      <c r="TVW60" s="12"/>
      <c r="TVX60" s="12"/>
      <c r="TVY60" s="12"/>
      <c r="TVZ60" s="12"/>
      <c r="TWA60" s="12"/>
      <c r="TWB60" s="12"/>
      <c r="TWC60" s="12"/>
      <c r="TWD60" s="12"/>
      <c r="TWE60" s="12"/>
      <c r="TWF60" s="12"/>
      <c r="TWG60" s="12"/>
      <c r="TWH60" s="12"/>
      <c r="TWI60" s="12"/>
      <c r="TWJ60" s="12"/>
      <c r="TWK60" s="12"/>
      <c r="TWL60" s="12"/>
      <c r="TWM60" s="12"/>
      <c r="TWN60" s="12"/>
      <c r="TWO60" s="12"/>
      <c r="TWP60" s="12"/>
      <c r="TWQ60" s="12"/>
      <c r="TWR60" s="12"/>
      <c r="TWS60" s="12"/>
      <c r="TWT60" s="12"/>
      <c r="TWU60" s="12"/>
      <c r="TWV60" s="12"/>
      <c r="TWW60" s="12"/>
      <c r="TWX60" s="12"/>
      <c r="TWY60" s="12"/>
      <c r="TWZ60" s="12"/>
      <c r="TXA60" s="12"/>
      <c r="TXB60" s="12"/>
      <c r="TXC60" s="12"/>
      <c r="TXD60" s="12"/>
      <c r="TXE60" s="12"/>
      <c r="TXF60" s="12"/>
      <c r="TXG60" s="12"/>
      <c r="TXH60" s="12"/>
      <c r="TXI60" s="12"/>
      <c r="TXJ60" s="12"/>
      <c r="TXK60" s="12"/>
      <c r="TXL60" s="12"/>
      <c r="TXM60" s="12"/>
      <c r="TXN60" s="12"/>
      <c r="TXO60" s="12"/>
      <c r="TXP60" s="12"/>
      <c r="TXQ60" s="12"/>
      <c r="TXR60" s="12"/>
      <c r="TXS60" s="12"/>
      <c r="TXT60" s="12"/>
      <c r="TXU60" s="12"/>
      <c r="TXV60" s="12"/>
      <c r="TXW60" s="12"/>
      <c r="TXX60" s="12"/>
      <c r="TXY60" s="12"/>
      <c r="TXZ60" s="12"/>
      <c r="TYA60" s="12"/>
      <c r="TYB60" s="12"/>
      <c r="TYC60" s="12"/>
      <c r="TYD60" s="12"/>
      <c r="TYE60" s="12"/>
      <c r="TYF60" s="12"/>
      <c r="TYG60" s="12"/>
      <c r="TYH60" s="12"/>
      <c r="TYI60" s="12"/>
      <c r="TYJ60" s="12"/>
      <c r="TYK60" s="12"/>
      <c r="TYL60" s="12"/>
      <c r="TYM60" s="12"/>
      <c r="TYN60" s="12"/>
      <c r="TYO60" s="12"/>
      <c r="TYP60" s="12"/>
      <c r="TYQ60" s="12"/>
      <c r="TYR60" s="12"/>
      <c r="TYS60" s="12"/>
      <c r="TYT60" s="12"/>
      <c r="TYU60" s="12"/>
      <c r="TYV60" s="12"/>
      <c r="TYW60" s="12"/>
      <c r="TYX60" s="12"/>
      <c r="TYY60" s="12"/>
      <c r="TYZ60" s="12"/>
      <c r="TZA60" s="12"/>
      <c r="TZB60" s="12"/>
      <c r="TZC60" s="12"/>
      <c r="TZD60" s="12"/>
      <c r="TZE60" s="12"/>
      <c r="TZF60" s="12"/>
      <c r="TZG60" s="12"/>
      <c r="TZH60" s="12"/>
      <c r="TZI60" s="12"/>
      <c r="TZJ60" s="12"/>
      <c r="TZK60" s="12"/>
      <c r="TZL60" s="12"/>
      <c r="TZM60" s="12"/>
      <c r="TZN60" s="12"/>
      <c r="TZO60" s="12"/>
      <c r="TZP60" s="12"/>
      <c r="TZQ60" s="12"/>
      <c r="TZR60" s="12"/>
      <c r="TZS60" s="12"/>
      <c r="TZT60" s="12"/>
      <c r="TZU60" s="12"/>
      <c r="TZV60" s="12"/>
      <c r="TZW60" s="12"/>
      <c r="TZX60" s="12"/>
      <c r="TZY60" s="12"/>
      <c r="TZZ60" s="12"/>
      <c r="UAA60" s="12"/>
      <c r="UAB60" s="12"/>
      <c r="UAC60" s="12"/>
      <c r="UAD60" s="12"/>
      <c r="UAE60" s="12"/>
      <c r="UAF60" s="12"/>
      <c r="UAG60" s="12"/>
      <c r="UAH60" s="12"/>
      <c r="UAI60" s="12"/>
      <c r="UAJ60" s="12"/>
      <c r="UAK60" s="12"/>
      <c r="UAL60" s="12"/>
      <c r="UAM60" s="12"/>
      <c r="UAN60" s="12"/>
      <c r="UAO60" s="12"/>
      <c r="UAP60" s="12"/>
      <c r="UAQ60" s="12"/>
      <c r="UAR60" s="12"/>
      <c r="UAS60" s="12"/>
      <c r="UAT60" s="12"/>
      <c r="UAU60" s="12"/>
      <c r="UAV60" s="12"/>
      <c r="UAW60" s="12"/>
      <c r="UAX60" s="12"/>
      <c r="UAY60" s="12"/>
      <c r="UAZ60" s="12"/>
      <c r="UBA60" s="12"/>
      <c r="UBB60" s="12"/>
      <c r="UBC60" s="12"/>
      <c r="UBD60" s="12"/>
      <c r="UBE60" s="12"/>
      <c r="UBF60" s="12"/>
      <c r="UBG60" s="12"/>
      <c r="UBH60" s="12"/>
      <c r="UBI60" s="12"/>
      <c r="UBJ60" s="12"/>
      <c r="UBK60" s="12"/>
      <c r="UBL60" s="12"/>
      <c r="UBM60" s="12"/>
      <c r="UBN60" s="12"/>
      <c r="UBO60" s="12"/>
      <c r="UBP60" s="12"/>
      <c r="UBQ60" s="12"/>
      <c r="UBR60" s="12"/>
      <c r="UBS60" s="12"/>
      <c r="UBT60" s="12"/>
      <c r="UBU60" s="12"/>
      <c r="UBV60" s="12"/>
      <c r="UBW60" s="12"/>
      <c r="UBX60" s="12"/>
      <c r="UBY60" s="12"/>
      <c r="UBZ60" s="12"/>
      <c r="UCA60" s="12"/>
      <c r="UCB60" s="12"/>
      <c r="UCC60" s="12"/>
      <c r="UCD60" s="12"/>
      <c r="UCE60" s="12"/>
      <c r="UCF60" s="12"/>
      <c r="UCG60" s="12"/>
      <c r="UCH60" s="12"/>
      <c r="UCI60" s="12"/>
      <c r="UCJ60" s="12"/>
      <c r="UCK60" s="12"/>
      <c r="UCL60" s="12"/>
      <c r="UCM60" s="12"/>
      <c r="UCN60" s="12"/>
      <c r="UCO60" s="12"/>
      <c r="UCP60" s="12"/>
      <c r="UCQ60" s="12"/>
      <c r="UCR60" s="12"/>
      <c r="UCS60" s="12"/>
      <c r="UCT60" s="12"/>
      <c r="UCU60" s="12"/>
      <c r="UCV60" s="12"/>
      <c r="UCW60" s="12"/>
      <c r="UCX60" s="12"/>
      <c r="UCY60" s="12"/>
      <c r="UCZ60" s="12"/>
      <c r="UDA60" s="12"/>
      <c r="UDB60" s="12"/>
      <c r="UDC60" s="12"/>
      <c r="UDD60" s="12"/>
      <c r="UDE60" s="12"/>
      <c r="UDF60" s="12"/>
      <c r="UDG60" s="12"/>
      <c r="UDH60" s="12"/>
      <c r="UDI60" s="12"/>
      <c r="UDJ60" s="12"/>
      <c r="UDK60" s="12"/>
      <c r="UDL60" s="12"/>
      <c r="UDM60" s="12"/>
      <c r="UDN60" s="12"/>
      <c r="UDO60" s="12"/>
      <c r="UDP60" s="12"/>
      <c r="UDQ60" s="12"/>
      <c r="UDR60" s="12"/>
      <c r="UDS60" s="12"/>
      <c r="UDT60" s="12"/>
      <c r="UDU60" s="12"/>
      <c r="UDV60" s="12"/>
      <c r="UDW60" s="12"/>
      <c r="UDX60" s="12"/>
      <c r="UDY60" s="12"/>
      <c r="UDZ60" s="12"/>
      <c r="UEA60" s="12"/>
      <c r="UEB60" s="12"/>
      <c r="UEC60" s="12"/>
      <c r="UED60" s="12"/>
      <c r="UEE60" s="12"/>
      <c r="UEF60" s="12"/>
      <c r="UEG60" s="12"/>
      <c r="UEH60" s="12"/>
      <c r="UEI60" s="12"/>
      <c r="UEJ60" s="12"/>
      <c r="UEK60" s="12"/>
      <c r="UEL60" s="12"/>
      <c r="UEM60" s="12"/>
      <c r="UEN60" s="12"/>
      <c r="UEO60" s="12"/>
      <c r="UEP60" s="12"/>
      <c r="UEQ60" s="12"/>
      <c r="UER60" s="12"/>
      <c r="UES60" s="12"/>
      <c r="UET60" s="12"/>
      <c r="UEU60" s="12"/>
      <c r="UEV60" s="12"/>
      <c r="UEW60" s="12"/>
      <c r="UEX60" s="12"/>
      <c r="UEY60" s="12"/>
      <c r="UEZ60" s="12"/>
      <c r="UFA60" s="12"/>
      <c r="UFB60" s="12"/>
      <c r="UFC60" s="12"/>
      <c r="UFD60" s="12"/>
      <c r="UFE60" s="12"/>
      <c r="UFF60" s="12"/>
      <c r="UFG60" s="12"/>
      <c r="UFH60" s="12"/>
      <c r="UFI60" s="12"/>
      <c r="UFJ60" s="12"/>
      <c r="UFK60" s="12"/>
      <c r="UFL60" s="12"/>
      <c r="UFM60" s="12"/>
      <c r="UFN60" s="12"/>
      <c r="UFO60" s="12"/>
      <c r="UFP60" s="12"/>
      <c r="UFQ60" s="12"/>
      <c r="UFR60" s="12"/>
      <c r="UFS60" s="12"/>
      <c r="UFT60" s="12"/>
      <c r="UFU60" s="12"/>
      <c r="UFV60" s="12"/>
      <c r="UFW60" s="12"/>
      <c r="UFX60" s="12"/>
      <c r="UFY60" s="12"/>
      <c r="UFZ60" s="12"/>
      <c r="UGA60" s="12"/>
      <c r="UGB60" s="12"/>
      <c r="UGC60" s="12"/>
      <c r="UGD60" s="12"/>
      <c r="UGE60" s="12"/>
      <c r="UGF60" s="12"/>
      <c r="UGG60" s="12"/>
      <c r="UGH60" s="12"/>
      <c r="UGI60" s="12"/>
      <c r="UGJ60" s="12"/>
      <c r="UGK60" s="12"/>
      <c r="UGL60" s="12"/>
      <c r="UGM60" s="12"/>
      <c r="UGN60" s="12"/>
      <c r="UGO60" s="12"/>
      <c r="UGP60" s="12"/>
      <c r="UGQ60" s="12"/>
      <c r="UGR60" s="12"/>
      <c r="UGS60" s="12"/>
      <c r="UGT60" s="12"/>
      <c r="UGU60" s="12"/>
      <c r="UGV60" s="12"/>
      <c r="UGW60" s="12"/>
      <c r="UGX60" s="12"/>
      <c r="UGY60" s="12"/>
      <c r="UGZ60" s="12"/>
      <c r="UHA60" s="12"/>
      <c r="UHB60" s="12"/>
      <c r="UHC60" s="12"/>
      <c r="UHD60" s="12"/>
      <c r="UHE60" s="12"/>
      <c r="UHF60" s="12"/>
      <c r="UHG60" s="12"/>
      <c r="UHH60" s="12"/>
      <c r="UHI60" s="12"/>
      <c r="UHJ60" s="12"/>
      <c r="UHK60" s="12"/>
      <c r="UHL60" s="12"/>
      <c r="UHM60" s="12"/>
      <c r="UHN60" s="12"/>
      <c r="UHO60" s="12"/>
      <c r="UHP60" s="12"/>
      <c r="UHQ60" s="12"/>
      <c r="UHR60" s="12"/>
      <c r="UHS60" s="12"/>
      <c r="UHT60" s="12"/>
      <c r="UHU60" s="12"/>
      <c r="UHV60" s="12"/>
      <c r="UHW60" s="12"/>
      <c r="UHX60" s="12"/>
      <c r="UHY60" s="12"/>
      <c r="UHZ60" s="12"/>
      <c r="UIA60" s="12"/>
      <c r="UIB60" s="12"/>
      <c r="UIC60" s="12"/>
      <c r="UID60" s="12"/>
      <c r="UIE60" s="12"/>
      <c r="UIF60" s="12"/>
      <c r="UIG60" s="12"/>
      <c r="UIH60" s="12"/>
      <c r="UII60" s="12"/>
      <c r="UIJ60" s="12"/>
      <c r="UIK60" s="12"/>
      <c r="UIL60" s="12"/>
      <c r="UIM60" s="12"/>
      <c r="UIN60" s="12"/>
      <c r="UIO60" s="12"/>
      <c r="UIP60" s="12"/>
      <c r="UIQ60" s="12"/>
      <c r="UIR60" s="12"/>
      <c r="UIS60" s="12"/>
      <c r="UIT60" s="12"/>
      <c r="UIU60" s="12"/>
      <c r="UIV60" s="12"/>
      <c r="UIW60" s="12"/>
      <c r="UIX60" s="12"/>
      <c r="UIY60" s="12"/>
      <c r="UIZ60" s="12"/>
      <c r="UJA60" s="12"/>
      <c r="UJB60" s="12"/>
      <c r="UJC60" s="12"/>
      <c r="UJD60" s="12"/>
      <c r="UJE60" s="12"/>
      <c r="UJF60" s="12"/>
      <c r="UJG60" s="12"/>
      <c r="UJH60" s="12"/>
      <c r="UJI60" s="12"/>
      <c r="UJJ60" s="12"/>
      <c r="UJK60" s="12"/>
      <c r="UJL60" s="12"/>
      <c r="UJM60" s="12"/>
      <c r="UJN60" s="12"/>
      <c r="UJO60" s="12"/>
      <c r="UJP60" s="12"/>
      <c r="UJQ60" s="12"/>
      <c r="UJR60" s="12"/>
      <c r="UJS60" s="12"/>
      <c r="UJT60" s="12"/>
      <c r="UJU60" s="12"/>
      <c r="UJV60" s="12"/>
      <c r="UJW60" s="12"/>
      <c r="UJX60" s="12"/>
      <c r="UJY60" s="12"/>
      <c r="UJZ60" s="12"/>
      <c r="UKA60" s="12"/>
      <c r="UKB60" s="12"/>
      <c r="UKC60" s="12"/>
      <c r="UKD60" s="12"/>
      <c r="UKE60" s="12"/>
      <c r="UKF60" s="12"/>
      <c r="UKG60" s="12"/>
      <c r="UKH60" s="12"/>
      <c r="UKI60" s="12"/>
      <c r="UKJ60" s="12"/>
      <c r="UKK60" s="12"/>
      <c r="UKL60" s="12"/>
      <c r="UKM60" s="12"/>
      <c r="UKN60" s="12"/>
      <c r="UKO60" s="12"/>
      <c r="UKP60" s="12"/>
      <c r="UKQ60" s="12"/>
      <c r="UKR60" s="12"/>
      <c r="UKS60" s="12"/>
      <c r="UKT60" s="12"/>
      <c r="UKU60" s="12"/>
      <c r="UKV60" s="12"/>
      <c r="UKW60" s="12"/>
      <c r="UKX60" s="12"/>
      <c r="UKY60" s="12"/>
      <c r="UKZ60" s="12"/>
      <c r="ULA60" s="12"/>
      <c r="ULB60" s="12"/>
      <c r="ULC60" s="12"/>
      <c r="ULD60" s="12"/>
      <c r="ULE60" s="12"/>
      <c r="ULF60" s="12"/>
      <c r="ULG60" s="12"/>
      <c r="ULH60" s="12"/>
      <c r="ULI60" s="12"/>
      <c r="ULJ60" s="12"/>
      <c r="ULK60" s="12"/>
      <c r="ULL60" s="12"/>
      <c r="ULM60" s="12"/>
      <c r="ULN60" s="12"/>
      <c r="ULO60" s="12"/>
      <c r="ULP60" s="12"/>
      <c r="ULQ60" s="12"/>
      <c r="ULR60" s="12"/>
      <c r="ULS60" s="12"/>
      <c r="ULT60" s="12"/>
      <c r="ULU60" s="12"/>
      <c r="ULV60" s="12"/>
      <c r="ULW60" s="12"/>
      <c r="ULX60" s="12"/>
      <c r="ULY60" s="12"/>
      <c r="ULZ60" s="12"/>
      <c r="UMA60" s="12"/>
      <c r="UMB60" s="12"/>
      <c r="UMC60" s="12"/>
      <c r="UMD60" s="12"/>
      <c r="UME60" s="12"/>
      <c r="UMF60" s="12"/>
      <c r="UMG60" s="12"/>
      <c r="UMH60" s="12"/>
      <c r="UMI60" s="12"/>
      <c r="UMJ60" s="12"/>
      <c r="UMK60" s="12"/>
      <c r="UML60" s="12"/>
      <c r="UMM60" s="12"/>
      <c r="UMN60" s="12"/>
      <c r="UMO60" s="12"/>
      <c r="UMP60" s="12"/>
      <c r="UMQ60" s="12"/>
      <c r="UMR60" s="12"/>
      <c r="UMS60" s="12"/>
      <c r="UMT60" s="12"/>
      <c r="UMU60" s="12"/>
      <c r="UMV60" s="12"/>
      <c r="UMW60" s="12"/>
      <c r="UMX60" s="12"/>
      <c r="UMY60" s="12"/>
      <c r="UMZ60" s="12"/>
      <c r="UNA60" s="12"/>
      <c r="UNB60" s="12"/>
      <c r="UNC60" s="12"/>
      <c r="UND60" s="12"/>
      <c r="UNE60" s="12"/>
      <c r="UNF60" s="12"/>
      <c r="UNG60" s="12"/>
      <c r="UNH60" s="12"/>
      <c r="UNI60" s="12"/>
      <c r="UNJ60" s="12"/>
      <c r="UNK60" s="12"/>
      <c r="UNL60" s="12"/>
      <c r="UNM60" s="12"/>
      <c r="UNN60" s="12"/>
      <c r="UNO60" s="12"/>
      <c r="UNP60" s="12"/>
      <c r="UNQ60" s="12"/>
      <c r="UNR60" s="12"/>
      <c r="UNS60" s="12"/>
      <c r="UNT60" s="12"/>
      <c r="UNU60" s="12"/>
      <c r="UNV60" s="12"/>
      <c r="UNW60" s="12"/>
      <c r="UNX60" s="12"/>
      <c r="UNY60" s="12"/>
      <c r="UNZ60" s="12"/>
      <c r="UOA60" s="12"/>
      <c r="UOB60" s="12"/>
      <c r="UOC60" s="12"/>
      <c r="UOD60" s="12"/>
      <c r="UOE60" s="12"/>
      <c r="UOF60" s="12"/>
      <c r="UOG60" s="12"/>
      <c r="UOH60" s="12"/>
      <c r="UOI60" s="12"/>
      <c r="UOJ60" s="12"/>
      <c r="UOK60" s="12"/>
      <c r="UOL60" s="12"/>
      <c r="UOM60" s="12"/>
      <c r="UON60" s="12"/>
      <c r="UOO60" s="12"/>
      <c r="UOP60" s="12"/>
      <c r="UOQ60" s="12"/>
      <c r="UOR60" s="12"/>
      <c r="UOS60" s="12"/>
      <c r="UOT60" s="12"/>
      <c r="UOU60" s="12"/>
      <c r="UOV60" s="12"/>
      <c r="UOW60" s="12"/>
      <c r="UOX60" s="12"/>
      <c r="UOY60" s="12"/>
      <c r="UOZ60" s="12"/>
      <c r="UPA60" s="12"/>
      <c r="UPB60" s="12"/>
      <c r="UPC60" s="12"/>
      <c r="UPD60" s="12"/>
      <c r="UPE60" s="12"/>
      <c r="UPF60" s="12"/>
      <c r="UPG60" s="12"/>
      <c r="UPH60" s="12"/>
      <c r="UPI60" s="12"/>
      <c r="UPJ60" s="12"/>
      <c r="UPK60" s="12"/>
      <c r="UPL60" s="12"/>
      <c r="UPM60" s="12"/>
      <c r="UPN60" s="12"/>
      <c r="UPO60" s="12"/>
      <c r="UPP60" s="12"/>
      <c r="UPQ60" s="12"/>
      <c r="UPR60" s="12"/>
      <c r="UPS60" s="12"/>
      <c r="UPT60" s="12"/>
      <c r="UPU60" s="12"/>
      <c r="UPV60" s="12"/>
      <c r="UPW60" s="12"/>
      <c r="UPX60" s="12"/>
      <c r="UPY60" s="12"/>
      <c r="UPZ60" s="12"/>
      <c r="UQA60" s="12"/>
      <c r="UQB60" s="12"/>
      <c r="UQC60" s="12"/>
      <c r="UQD60" s="12"/>
      <c r="UQE60" s="12"/>
      <c r="UQF60" s="12"/>
      <c r="UQG60" s="12"/>
      <c r="UQH60" s="12"/>
      <c r="UQI60" s="12"/>
      <c r="UQJ60" s="12"/>
      <c r="UQK60" s="12"/>
      <c r="UQL60" s="12"/>
      <c r="UQM60" s="12"/>
      <c r="UQN60" s="12"/>
      <c r="UQO60" s="12"/>
      <c r="UQP60" s="12"/>
      <c r="UQQ60" s="12"/>
      <c r="UQR60" s="12"/>
      <c r="UQS60" s="12"/>
      <c r="UQT60" s="12"/>
      <c r="UQU60" s="12"/>
      <c r="UQV60" s="12"/>
      <c r="UQW60" s="12"/>
      <c r="UQX60" s="12"/>
      <c r="UQY60" s="12"/>
      <c r="UQZ60" s="12"/>
      <c r="URA60" s="12"/>
      <c r="URB60" s="12"/>
      <c r="URC60" s="12"/>
      <c r="URD60" s="12"/>
      <c r="URE60" s="12"/>
      <c r="URF60" s="12"/>
      <c r="URG60" s="12"/>
      <c r="URH60" s="12"/>
      <c r="URI60" s="12"/>
      <c r="URJ60" s="12"/>
      <c r="URK60" s="12"/>
      <c r="URL60" s="12"/>
      <c r="URM60" s="12"/>
      <c r="URN60" s="12"/>
      <c r="URO60" s="12"/>
      <c r="URP60" s="12"/>
      <c r="URQ60" s="12"/>
      <c r="URR60" s="12"/>
      <c r="URS60" s="12"/>
      <c r="URT60" s="12"/>
      <c r="URU60" s="12"/>
      <c r="URV60" s="12"/>
      <c r="URW60" s="12"/>
      <c r="URX60" s="12"/>
      <c r="URY60" s="12"/>
      <c r="URZ60" s="12"/>
      <c r="USA60" s="12"/>
      <c r="USB60" s="12"/>
      <c r="USC60" s="12"/>
      <c r="USD60" s="12"/>
      <c r="USE60" s="12"/>
      <c r="USF60" s="12"/>
      <c r="USG60" s="12"/>
      <c r="USH60" s="12"/>
      <c r="USI60" s="12"/>
      <c r="USJ60" s="12"/>
      <c r="USK60" s="12"/>
      <c r="USL60" s="12"/>
      <c r="USM60" s="12"/>
      <c r="USN60" s="12"/>
      <c r="USO60" s="12"/>
      <c r="USP60" s="12"/>
      <c r="USQ60" s="12"/>
      <c r="USR60" s="12"/>
      <c r="USS60" s="12"/>
      <c r="UST60" s="12"/>
      <c r="USU60" s="12"/>
      <c r="USV60" s="12"/>
      <c r="USW60" s="12"/>
      <c r="USX60" s="12"/>
      <c r="USY60" s="12"/>
      <c r="USZ60" s="12"/>
      <c r="UTA60" s="12"/>
      <c r="UTB60" s="12"/>
      <c r="UTC60" s="12"/>
      <c r="UTD60" s="12"/>
      <c r="UTE60" s="12"/>
      <c r="UTF60" s="12"/>
      <c r="UTG60" s="12"/>
      <c r="UTH60" s="12"/>
      <c r="UTI60" s="12"/>
      <c r="UTJ60" s="12"/>
      <c r="UTK60" s="12"/>
      <c r="UTL60" s="12"/>
      <c r="UTM60" s="12"/>
      <c r="UTN60" s="12"/>
      <c r="UTO60" s="12"/>
      <c r="UTP60" s="12"/>
      <c r="UTQ60" s="12"/>
      <c r="UTR60" s="12"/>
      <c r="UTS60" s="12"/>
      <c r="UTT60" s="12"/>
      <c r="UTU60" s="12"/>
      <c r="UTV60" s="12"/>
      <c r="UTW60" s="12"/>
      <c r="UTX60" s="12"/>
      <c r="UTY60" s="12"/>
      <c r="UTZ60" s="12"/>
      <c r="UUA60" s="12"/>
      <c r="UUB60" s="12"/>
      <c r="UUC60" s="12"/>
      <c r="UUD60" s="12"/>
      <c r="UUE60" s="12"/>
      <c r="UUF60" s="12"/>
      <c r="UUG60" s="12"/>
      <c r="UUH60" s="12"/>
      <c r="UUI60" s="12"/>
      <c r="UUJ60" s="12"/>
      <c r="UUK60" s="12"/>
      <c r="UUL60" s="12"/>
      <c r="UUM60" s="12"/>
      <c r="UUN60" s="12"/>
      <c r="UUO60" s="12"/>
      <c r="UUP60" s="12"/>
      <c r="UUQ60" s="12"/>
      <c r="UUR60" s="12"/>
      <c r="UUS60" s="12"/>
      <c r="UUT60" s="12"/>
      <c r="UUU60" s="12"/>
      <c r="UUV60" s="12"/>
      <c r="UUW60" s="12"/>
      <c r="UUX60" s="12"/>
      <c r="UUY60" s="12"/>
      <c r="UUZ60" s="12"/>
      <c r="UVA60" s="12"/>
      <c r="UVB60" s="12"/>
      <c r="UVC60" s="12"/>
      <c r="UVD60" s="12"/>
      <c r="UVE60" s="12"/>
      <c r="UVF60" s="12"/>
      <c r="UVG60" s="12"/>
      <c r="UVH60" s="12"/>
      <c r="UVI60" s="12"/>
      <c r="UVJ60" s="12"/>
      <c r="UVK60" s="12"/>
      <c r="UVL60" s="12"/>
      <c r="UVM60" s="12"/>
      <c r="UVN60" s="12"/>
      <c r="UVO60" s="12"/>
      <c r="UVP60" s="12"/>
      <c r="UVQ60" s="12"/>
      <c r="UVR60" s="12"/>
      <c r="UVS60" s="12"/>
      <c r="UVT60" s="12"/>
      <c r="UVU60" s="12"/>
      <c r="UVV60" s="12"/>
      <c r="UVW60" s="12"/>
      <c r="UVX60" s="12"/>
      <c r="UVY60" s="12"/>
      <c r="UVZ60" s="12"/>
      <c r="UWA60" s="12"/>
      <c r="UWB60" s="12"/>
      <c r="UWC60" s="12"/>
      <c r="UWD60" s="12"/>
      <c r="UWE60" s="12"/>
      <c r="UWF60" s="12"/>
      <c r="UWG60" s="12"/>
      <c r="UWH60" s="12"/>
      <c r="UWI60" s="12"/>
      <c r="UWJ60" s="12"/>
      <c r="UWK60" s="12"/>
      <c r="UWL60" s="12"/>
      <c r="UWM60" s="12"/>
      <c r="UWN60" s="12"/>
      <c r="UWO60" s="12"/>
      <c r="UWP60" s="12"/>
      <c r="UWQ60" s="12"/>
      <c r="UWR60" s="12"/>
      <c r="UWS60" s="12"/>
      <c r="UWT60" s="12"/>
      <c r="UWU60" s="12"/>
      <c r="UWV60" s="12"/>
      <c r="UWW60" s="12"/>
      <c r="UWX60" s="12"/>
      <c r="UWY60" s="12"/>
      <c r="UWZ60" s="12"/>
      <c r="UXA60" s="12"/>
      <c r="UXB60" s="12"/>
      <c r="UXC60" s="12"/>
      <c r="UXD60" s="12"/>
      <c r="UXE60" s="12"/>
      <c r="UXF60" s="12"/>
      <c r="UXG60" s="12"/>
      <c r="UXH60" s="12"/>
      <c r="UXI60" s="12"/>
      <c r="UXJ60" s="12"/>
      <c r="UXK60" s="12"/>
      <c r="UXL60" s="12"/>
      <c r="UXM60" s="12"/>
      <c r="UXN60" s="12"/>
      <c r="UXO60" s="12"/>
      <c r="UXP60" s="12"/>
      <c r="UXQ60" s="12"/>
      <c r="UXR60" s="12"/>
      <c r="UXS60" s="12"/>
      <c r="UXT60" s="12"/>
      <c r="UXU60" s="12"/>
      <c r="UXV60" s="12"/>
      <c r="UXW60" s="12"/>
      <c r="UXX60" s="12"/>
      <c r="UXY60" s="12"/>
      <c r="UXZ60" s="12"/>
      <c r="UYA60" s="12"/>
      <c r="UYB60" s="12"/>
      <c r="UYC60" s="12"/>
      <c r="UYD60" s="12"/>
      <c r="UYE60" s="12"/>
      <c r="UYF60" s="12"/>
      <c r="UYG60" s="12"/>
      <c r="UYH60" s="12"/>
      <c r="UYI60" s="12"/>
      <c r="UYJ60" s="12"/>
      <c r="UYK60" s="12"/>
      <c r="UYL60" s="12"/>
      <c r="UYM60" s="12"/>
      <c r="UYN60" s="12"/>
      <c r="UYO60" s="12"/>
      <c r="UYP60" s="12"/>
      <c r="UYQ60" s="12"/>
      <c r="UYR60" s="12"/>
      <c r="UYS60" s="12"/>
      <c r="UYT60" s="12"/>
      <c r="UYU60" s="12"/>
      <c r="UYV60" s="12"/>
      <c r="UYW60" s="12"/>
      <c r="UYX60" s="12"/>
      <c r="UYY60" s="12"/>
      <c r="UYZ60" s="12"/>
      <c r="UZA60" s="12"/>
      <c r="UZB60" s="12"/>
      <c r="UZC60" s="12"/>
      <c r="UZD60" s="12"/>
      <c r="UZE60" s="12"/>
      <c r="UZF60" s="12"/>
      <c r="UZG60" s="12"/>
      <c r="UZH60" s="12"/>
      <c r="UZI60" s="12"/>
      <c r="UZJ60" s="12"/>
      <c r="UZK60" s="12"/>
      <c r="UZL60" s="12"/>
      <c r="UZM60" s="12"/>
      <c r="UZN60" s="12"/>
      <c r="UZO60" s="12"/>
      <c r="UZP60" s="12"/>
      <c r="UZQ60" s="12"/>
      <c r="UZR60" s="12"/>
      <c r="UZS60" s="12"/>
      <c r="UZT60" s="12"/>
      <c r="UZU60" s="12"/>
      <c r="UZV60" s="12"/>
      <c r="UZW60" s="12"/>
      <c r="UZX60" s="12"/>
      <c r="UZY60" s="12"/>
      <c r="UZZ60" s="12"/>
      <c r="VAA60" s="12"/>
      <c r="VAB60" s="12"/>
      <c r="VAC60" s="12"/>
      <c r="VAD60" s="12"/>
      <c r="VAE60" s="12"/>
      <c r="VAF60" s="12"/>
      <c r="VAG60" s="12"/>
      <c r="VAH60" s="12"/>
      <c r="VAI60" s="12"/>
      <c r="VAJ60" s="12"/>
      <c r="VAK60" s="12"/>
      <c r="VAL60" s="12"/>
      <c r="VAM60" s="12"/>
      <c r="VAN60" s="12"/>
      <c r="VAO60" s="12"/>
      <c r="VAP60" s="12"/>
      <c r="VAQ60" s="12"/>
      <c r="VAR60" s="12"/>
      <c r="VAS60" s="12"/>
      <c r="VAT60" s="12"/>
      <c r="VAU60" s="12"/>
      <c r="VAV60" s="12"/>
      <c r="VAW60" s="12"/>
      <c r="VAX60" s="12"/>
      <c r="VAY60" s="12"/>
      <c r="VAZ60" s="12"/>
      <c r="VBA60" s="12"/>
      <c r="VBB60" s="12"/>
      <c r="VBC60" s="12"/>
      <c r="VBD60" s="12"/>
      <c r="VBE60" s="12"/>
      <c r="VBF60" s="12"/>
      <c r="VBG60" s="12"/>
      <c r="VBH60" s="12"/>
      <c r="VBI60" s="12"/>
      <c r="VBJ60" s="12"/>
      <c r="VBK60" s="12"/>
      <c r="VBL60" s="12"/>
      <c r="VBM60" s="12"/>
      <c r="VBN60" s="12"/>
      <c r="VBO60" s="12"/>
      <c r="VBP60" s="12"/>
      <c r="VBQ60" s="12"/>
      <c r="VBR60" s="12"/>
      <c r="VBS60" s="12"/>
      <c r="VBT60" s="12"/>
      <c r="VBU60" s="12"/>
      <c r="VBV60" s="12"/>
      <c r="VBW60" s="12"/>
      <c r="VBX60" s="12"/>
      <c r="VBY60" s="12"/>
      <c r="VBZ60" s="12"/>
      <c r="VCA60" s="12"/>
      <c r="VCB60" s="12"/>
      <c r="VCC60" s="12"/>
      <c r="VCD60" s="12"/>
      <c r="VCE60" s="12"/>
      <c r="VCF60" s="12"/>
      <c r="VCG60" s="12"/>
      <c r="VCH60" s="12"/>
      <c r="VCI60" s="12"/>
      <c r="VCJ60" s="12"/>
      <c r="VCK60" s="12"/>
      <c r="VCL60" s="12"/>
      <c r="VCM60" s="12"/>
      <c r="VCN60" s="12"/>
      <c r="VCO60" s="12"/>
      <c r="VCP60" s="12"/>
      <c r="VCQ60" s="12"/>
      <c r="VCR60" s="12"/>
      <c r="VCS60" s="12"/>
      <c r="VCT60" s="12"/>
      <c r="VCU60" s="12"/>
      <c r="VCV60" s="12"/>
      <c r="VCW60" s="12"/>
      <c r="VCX60" s="12"/>
      <c r="VCY60" s="12"/>
      <c r="VCZ60" s="12"/>
      <c r="VDA60" s="12"/>
      <c r="VDB60" s="12"/>
      <c r="VDC60" s="12"/>
      <c r="VDD60" s="12"/>
      <c r="VDE60" s="12"/>
      <c r="VDF60" s="12"/>
      <c r="VDG60" s="12"/>
      <c r="VDH60" s="12"/>
      <c r="VDI60" s="12"/>
      <c r="VDJ60" s="12"/>
      <c r="VDK60" s="12"/>
      <c r="VDL60" s="12"/>
      <c r="VDM60" s="12"/>
      <c r="VDN60" s="12"/>
      <c r="VDO60" s="12"/>
      <c r="VDP60" s="12"/>
      <c r="VDQ60" s="12"/>
      <c r="VDR60" s="12"/>
      <c r="VDS60" s="12"/>
      <c r="VDT60" s="12"/>
      <c r="VDU60" s="12"/>
      <c r="VDV60" s="12"/>
      <c r="VDW60" s="12"/>
      <c r="VDX60" s="12"/>
      <c r="VDY60" s="12"/>
      <c r="VDZ60" s="12"/>
      <c r="VEA60" s="12"/>
      <c r="VEB60" s="12"/>
      <c r="VEC60" s="12"/>
      <c r="VED60" s="12"/>
      <c r="VEE60" s="12"/>
      <c r="VEF60" s="12"/>
      <c r="VEG60" s="12"/>
      <c r="VEH60" s="12"/>
      <c r="VEI60" s="12"/>
      <c r="VEJ60" s="12"/>
      <c r="VEK60" s="12"/>
      <c r="VEL60" s="12"/>
      <c r="VEM60" s="12"/>
      <c r="VEN60" s="12"/>
      <c r="VEO60" s="12"/>
      <c r="VEP60" s="12"/>
      <c r="VEQ60" s="12"/>
      <c r="VER60" s="12"/>
      <c r="VES60" s="12"/>
      <c r="VET60" s="12"/>
      <c r="VEU60" s="12"/>
      <c r="VEV60" s="12"/>
      <c r="VEW60" s="12"/>
      <c r="VEX60" s="12"/>
      <c r="VEY60" s="12"/>
      <c r="VEZ60" s="12"/>
      <c r="VFA60" s="12"/>
      <c r="VFB60" s="12"/>
      <c r="VFC60" s="12"/>
      <c r="VFD60" s="12"/>
      <c r="VFE60" s="12"/>
      <c r="VFF60" s="12"/>
      <c r="VFG60" s="12"/>
      <c r="VFH60" s="12"/>
      <c r="VFI60" s="12"/>
      <c r="VFJ60" s="12"/>
      <c r="VFK60" s="12"/>
      <c r="VFL60" s="12"/>
      <c r="VFM60" s="12"/>
      <c r="VFN60" s="12"/>
      <c r="VFO60" s="12"/>
      <c r="VFP60" s="12"/>
      <c r="VFQ60" s="12"/>
      <c r="VFR60" s="12"/>
      <c r="VFS60" s="12"/>
      <c r="VFT60" s="12"/>
      <c r="VFU60" s="12"/>
      <c r="VFV60" s="12"/>
      <c r="VFW60" s="12"/>
      <c r="VFX60" s="12"/>
      <c r="VFY60" s="12"/>
      <c r="VFZ60" s="12"/>
      <c r="VGA60" s="12"/>
      <c r="VGB60" s="12"/>
      <c r="VGC60" s="12"/>
      <c r="VGD60" s="12"/>
      <c r="VGE60" s="12"/>
      <c r="VGF60" s="12"/>
      <c r="VGG60" s="12"/>
      <c r="VGH60" s="12"/>
      <c r="VGI60" s="12"/>
      <c r="VGJ60" s="12"/>
      <c r="VGK60" s="12"/>
      <c r="VGL60" s="12"/>
      <c r="VGM60" s="12"/>
      <c r="VGN60" s="12"/>
      <c r="VGO60" s="12"/>
      <c r="VGP60" s="12"/>
      <c r="VGQ60" s="12"/>
      <c r="VGR60" s="12"/>
      <c r="VGS60" s="12"/>
      <c r="VGT60" s="12"/>
      <c r="VGU60" s="12"/>
      <c r="VGV60" s="12"/>
      <c r="VGW60" s="12"/>
      <c r="VGX60" s="12"/>
      <c r="VGY60" s="12"/>
      <c r="VGZ60" s="12"/>
      <c r="VHA60" s="12"/>
      <c r="VHB60" s="12"/>
      <c r="VHC60" s="12"/>
      <c r="VHD60" s="12"/>
      <c r="VHE60" s="12"/>
      <c r="VHF60" s="12"/>
      <c r="VHG60" s="12"/>
      <c r="VHH60" s="12"/>
      <c r="VHI60" s="12"/>
      <c r="VHJ60" s="12"/>
      <c r="VHK60" s="12"/>
      <c r="VHL60" s="12"/>
      <c r="VHM60" s="12"/>
      <c r="VHN60" s="12"/>
      <c r="VHO60" s="12"/>
      <c r="VHP60" s="12"/>
      <c r="VHQ60" s="12"/>
      <c r="VHR60" s="12"/>
      <c r="VHS60" s="12"/>
      <c r="VHT60" s="12"/>
      <c r="VHU60" s="12"/>
      <c r="VHV60" s="12"/>
      <c r="VHW60" s="12"/>
      <c r="VHX60" s="12"/>
      <c r="VHY60" s="12"/>
      <c r="VHZ60" s="12"/>
      <c r="VIA60" s="12"/>
      <c r="VIB60" s="12"/>
      <c r="VIC60" s="12"/>
      <c r="VID60" s="12"/>
      <c r="VIE60" s="12"/>
      <c r="VIF60" s="12"/>
      <c r="VIG60" s="12"/>
      <c r="VIH60" s="12"/>
      <c r="VII60" s="12"/>
      <c r="VIJ60" s="12"/>
      <c r="VIK60" s="12"/>
      <c r="VIL60" s="12"/>
      <c r="VIM60" s="12"/>
      <c r="VIN60" s="12"/>
      <c r="VIO60" s="12"/>
      <c r="VIP60" s="12"/>
      <c r="VIQ60" s="12"/>
      <c r="VIR60" s="12"/>
      <c r="VIS60" s="12"/>
      <c r="VIT60" s="12"/>
      <c r="VIU60" s="12"/>
      <c r="VIV60" s="12"/>
      <c r="VIW60" s="12"/>
      <c r="VIX60" s="12"/>
      <c r="VIY60" s="12"/>
      <c r="VIZ60" s="12"/>
      <c r="VJA60" s="12"/>
      <c r="VJB60" s="12"/>
      <c r="VJC60" s="12"/>
      <c r="VJD60" s="12"/>
      <c r="VJE60" s="12"/>
      <c r="VJF60" s="12"/>
      <c r="VJG60" s="12"/>
      <c r="VJH60" s="12"/>
      <c r="VJI60" s="12"/>
      <c r="VJJ60" s="12"/>
      <c r="VJK60" s="12"/>
      <c r="VJL60" s="12"/>
      <c r="VJM60" s="12"/>
      <c r="VJN60" s="12"/>
      <c r="VJO60" s="12"/>
      <c r="VJP60" s="12"/>
      <c r="VJQ60" s="12"/>
      <c r="VJR60" s="12"/>
      <c r="VJS60" s="12"/>
      <c r="VJT60" s="12"/>
      <c r="VJU60" s="12"/>
      <c r="VJV60" s="12"/>
      <c r="VJW60" s="12"/>
      <c r="VJX60" s="12"/>
      <c r="VJY60" s="12"/>
      <c r="VJZ60" s="12"/>
      <c r="VKA60" s="12"/>
      <c r="VKB60" s="12"/>
      <c r="VKC60" s="12"/>
      <c r="VKD60" s="12"/>
      <c r="VKE60" s="12"/>
      <c r="VKF60" s="12"/>
      <c r="VKG60" s="12"/>
      <c r="VKH60" s="12"/>
      <c r="VKI60" s="12"/>
      <c r="VKJ60" s="12"/>
      <c r="VKK60" s="12"/>
      <c r="VKL60" s="12"/>
      <c r="VKM60" s="12"/>
      <c r="VKN60" s="12"/>
      <c r="VKO60" s="12"/>
      <c r="VKP60" s="12"/>
      <c r="VKQ60" s="12"/>
      <c r="VKR60" s="12"/>
      <c r="VKS60" s="12"/>
      <c r="VKT60" s="12"/>
      <c r="VKU60" s="12"/>
      <c r="VKV60" s="12"/>
      <c r="VKW60" s="12"/>
      <c r="VKX60" s="12"/>
      <c r="VKY60" s="12"/>
      <c r="VKZ60" s="12"/>
      <c r="VLA60" s="12"/>
      <c r="VLB60" s="12"/>
      <c r="VLC60" s="12"/>
      <c r="VLD60" s="12"/>
      <c r="VLE60" s="12"/>
      <c r="VLF60" s="12"/>
      <c r="VLG60" s="12"/>
      <c r="VLH60" s="12"/>
      <c r="VLI60" s="12"/>
      <c r="VLJ60" s="12"/>
      <c r="VLK60" s="12"/>
      <c r="VLL60" s="12"/>
      <c r="VLM60" s="12"/>
      <c r="VLN60" s="12"/>
      <c r="VLO60" s="12"/>
      <c r="VLP60" s="12"/>
      <c r="VLQ60" s="12"/>
      <c r="VLR60" s="12"/>
      <c r="VLS60" s="12"/>
      <c r="VLT60" s="12"/>
      <c r="VLU60" s="12"/>
      <c r="VLV60" s="12"/>
      <c r="VLW60" s="12"/>
      <c r="VLX60" s="12"/>
      <c r="VLY60" s="12"/>
      <c r="VLZ60" s="12"/>
      <c r="VMA60" s="12"/>
      <c r="VMB60" s="12"/>
      <c r="VMC60" s="12"/>
      <c r="VMD60" s="12"/>
      <c r="VME60" s="12"/>
      <c r="VMF60" s="12"/>
      <c r="VMG60" s="12"/>
      <c r="VMH60" s="12"/>
      <c r="VMI60" s="12"/>
      <c r="VMJ60" s="12"/>
      <c r="VMK60" s="12"/>
      <c r="VML60" s="12"/>
      <c r="VMM60" s="12"/>
      <c r="VMN60" s="12"/>
      <c r="VMO60" s="12"/>
      <c r="VMP60" s="12"/>
      <c r="VMQ60" s="12"/>
      <c r="VMR60" s="12"/>
      <c r="VMS60" s="12"/>
      <c r="VMT60" s="12"/>
      <c r="VMU60" s="12"/>
      <c r="VMV60" s="12"/>
      <c r="VMW60" s="12"/>
      <c r="VMX60" s="12"/>
      <c r="VMY60" s="12"/>
      <c r="VMZ60" s="12"/>
      <c r="VNA60" s="12"/>
      <c r="VNB60" s="12"/>
      <c r="VNC60" s="12"/>
      <c r="VND60" s="12"/>
      <c r="VNE60" s="12"/>
      <c r="VNF60" s="12"/>
      <c r="VNG60" s="12"/>
      <c r="VNH60" s="12"/>
      <c r="VNI60" s="12"/>
      <c r="VNJ60" s="12"/>
      <c r="VNK60" s="12"/>
      <c r="VNL60" s="12"/>
      <c r="VNM60" s="12"/>
      <c r="VNN60" s="12"/>
      <c r="VNO60" s="12"/>
      <c r="VNP60" s="12"/>
      <c r="VNQ60" s="12"/>
      <c r="VNR60" s="12"/>
      <c r="VNS60" s="12"/>
      <c r="VNT60" s="12"/>
      <c r="VNU60" s="12"/>
      <c r="VNV60" s="12"/>
      <c r="VNW60" s="12"/>
      <c r="VNX60" s="12"/>
      <c r="VNY60" s="12"/>
      <c r="VNZ60" s="12"/>
      <c r="VOA60" s="12"/>
      <c r="VOB60" s="12"/>
      <c r="VOC60" s="12"/>
      <c r="VOD60" s="12"/>
      <c r="VOE60" s="12"/>
      <c r="VOF60" s="12"/>
      <c r="VOG60" s="12"/>
      <c r="VOH60" s="12"/>
      <c r="VOI60" s="12"/>
      <c r="VOJ60" s="12"/>
      <c r="VOK60" s="12"/>
      <c r="VOL60" s="12"/>
      <c r="VOM60" s="12"/>
      <c r="VON60" s="12"/>
      <c r="VOO60" s="12"/>
      <c r="VOP60" s="12"/>
      <c r="VOQ60" s="12"/>
      <c r="VOR60" s="12"/>
      <c r="VOS60" s="12"/>
      <c r="VOT60" s="12"/>
      <c r="VOU60" s="12"/>
      <c r="VOV60" s="12"/>
      <c r="VOW60" s="12"/>
      <c r="VOX60" s="12"/>
      <c r="VOY60" s="12"/>
      <c r="VOZ60" s="12"/>
      <c r="VPA60" s="12"/>
      <c r="VPB60" s="12"/>
      <c r="VPC60" s="12"/>
      <c r="VPD60" s="12"/>
      <c r="VPE60" s="12"/>
      <c r="VPF60" s="12"/>
      <c r="VPG60" s="12"/>
      <c r="VPH60" s="12"/>
      <c r="VPI60" s="12"/>
      <c r="VPJ60" s="12"/>
      <c r="VPK60" s="12"/>
      <c r="VPL60" s="12"/>
      <c r="VPM60" s="12"/>
      <c r="VPN60" s="12"/>
      <c r="VPO60" s="12"/>
      <c r="VPP60" s="12"/>
      <c r="VPQ60" s="12"/>
      <c r="VPR60" s="12"/>
      <c r="VPS60" s="12"/>
      <c r="VPT60" s="12"/>
      <c r="VPU60" s="12"/>
      <c r="VPV60" s="12"/>
      <c r="VPW60" s="12"/>
      <c r="VPX60" s="12"/>
      <c r="VPY60" s="12"/>
      <c r="VPZ60" s="12"/>
      <c r="VQA60" s="12"/>
      <c r="VQB60" s="12"/>
      <c r="VQC60" s="12"/>
      <c r="VQD60" s="12"/>
      <c r="VQE60" s="12"/>
      <c r="VQF60" s="12"/>
      <c r="VQG60" s="12"/>
      <c r="VQH60" s="12"/>
      <c r="VQI60" s="12"/>
      <c r="VQJ60" s="12"/>
      <c r="VQK60" s="12"/>
      <c r="VQL60" s="12"/>
      <c r="VQM60" s="12"/>
      <c r="VQN60" s="12"/>
      <c r="VQO60" s="12"/>
      <c r="VQP60" s="12"/>
      <c r="VQQ60" s="12"/>
      <c r="VQR60" s="12"/>
      <c r="VQS60" s="12"/>
      <c r="VQT60" s="12"/>
      <c r="VQU60" s="12"/>
      <c r="VQV60" s="12"/>
      <c r="VQW60" s="12"/>
      <c r="VQX60" s="12"/>
      <c r="VQY60" s="12"/>
      <c r="VQZ60" s="12"/>
      <c r="VRA60" s="12"/>
      <c r="VRB60" s="12"/>
      <c r="VRC60" s="12"/>
      <c r="VRD60" s="12"/>
      <c r="VRE60" s="12"/>
      <c r="VRF60" s="12"/>
      <c r="VRG60" s="12"/>
      <c r="VRH60" s="12"/>
      <c r="VRI60" s="12"/>
      <c r="VRJ60" s="12"/>
      <c r="VRK60" s="12"/>
      <c r="VRL60" s="12"/>
      <c r="VRM60" s="12"/>
      <c r="VRN60" s="12"/>
      <c r="VRO60" s="12"/>
      <c r="VRP60" s="12"/>
      <c r="VRQ60" s="12"/>
      <c r="VRR60" s="12"/>
      <c r="VRS60" s="12"/>
      <c r="VRT60" s="12"/>
      <c r="VRU60" s="12"/>
      <c r="VRV60" s="12"/>
      <c r="VRW60" s="12"/>
      <c r="VRX60" s="12"/>
      <c r="VRY60" s="12"/>
      <c r="VRZ60" s="12"/>
      <c r="VSA60" s="12"/>
      <c r="VSB60" s="12"/>
      <c r="VSC60" s="12"/>
      <c r="VSD60" s="12"/>
      <c r="VSE60" s="12"/>
      <c r="VSF60" s="12"/>
      <c r="VSG60" s="12"/>
      <c r="VSH60" s="12"/>
      <c r="VSI60" s="12"/>
      <c r="VSJ60" s="12"/>
      <c r="VSK60" s="12"/>
      <c r="VSL60" s="12"/>
      <c r="VSM60" s="12"/>
      <c r="VSN60" s="12"/>
      <c r="VSO60" s="12"/>
      <c r="VSP60" s="12"/>
      <c r="VSQ60" s="12"/>
      <c r="VSR60" s="12"/>
      <c r="VSS60" s="12"/>
      <c r="VST60" s="12"/>
      <c r="VSU60" s="12"/>
      <c r="VSV60" s="12"/>
      <c r="VSW60" s="12"/>
      <c r="VSX60" s="12"/>
      <c r="VSY60" s="12"/>
      <c r="VSZ60" s="12"/>
      <c r="VTA60" s="12"/>
      <c r="VTB60" s="12"/>
      <c r="VTC60" s="12"/>
      <c r="VTD60" s="12"/>
      <c r="VTE60" s="12"/>
      <c r="VTF60" s="12"/>
      <c r="VTG60" s="12"/>
      <c r="VTH60" s="12"/>
      <c r="VTI60" s="12"/>
      <c r="VTJ60" s="12"/>
      <c r="VTK60" s="12"/>
      <c r="VTL60" s="12"/>
      <c r="VTM60" s="12"/>
      <c r="VTN60" s="12"/>
      <c r="VTO60" s="12"/>
      <c r="VTP60" s="12"/>
      <c r="VTQ60" s="12"/>
      <c r="VTR60" s="12"/>
      <c r="VTS60" s="12"/>
      <c r="VTT60" s="12"/>
      <c r="VTU60" s="12"/>
      <c r="VTV60" s="12"/>
      <c r="VTW60" s="12"/>
      <c r="VTX60" s="12"/>
      <c r="VTY60" s="12"/>
      <c r="VTZ60" s="12"/>
      <c r="VUA60" s="12"/>
      <c r="VUB60" s="12"/>
      <c r="VUC60" s="12"/>
      <c r="VUD60" s="12"/>
      <c r="VUE60" s="12"/>
      <c r="VUF60" s="12"/>
      <c r="VUG60" s="12"/>
      <c r="VUH60" s="12"/>
      <c r="VUI60" s="12"/>
      <c r="VUJ60" s="12"/>
      <c r="VUK60" s="12"/>
      <c r="VUL60" s="12"/>
      <c r="VUM60" s="12"/>
      <c r="VUN60" s="12"/>
      <c r="VUO60" s="12"/>
      <c r="VUP60" s="12"/>
      <c r="VUQ60" s="12"/>
      <c r="VUR60" s="12"/>
      <c r="VUS60" s="12"/>
      <c r="VUT60" s="12"/>
      <c r="VUU60" s="12"/>
      <c r="VUV60" s="12"/>
      <c r="VUW60" s="12"/>
      <c r="VUX60" s="12"/>
      <c r="VUY60" s="12"/>
      <c r="VUZ60" s="12"/>
      <c r="VVA60" s="12"/>
      <c r="VVB60" s="12"/>
      <c r="VVC60" s="12"/>
      <c r="VVD60" s="12"/>
      <c r="VVE60" s="12"/>
      <c r="VVF60" s="12"/>
      <c r="VVG60" s="12"/>
      <c r="VVH60" s="12"/>
      <c r="VVI60" s="12"/>
      <c r="VVJ60" s="12"/>
      <c r="VVK60" s="12"/>
      <c r="VVL60" s="12"/>
      <c r="VVM60" s="12"/>
      <c r="VVN60" s="12"/>
      <c r="VVO60" s="12"/>
      <c r="VVP60" s="12"/>
      <c r="VVQ60" s="12"/>
      <c r="VVR60" s="12"/>
      <c r="VVS60" s="12"/>
      <c r="VVT60" s="12"/>
      <c r="VVU60" s="12"/>
      <c r="VVV60" s="12"/>
      <c r="VVW60" s="12"/>
      <c r="VVX60" s="12"/>
      <c r="VVY60" s="12"/>
      <c r="VVZ60" s="12"/>
      <c r="VWA60" s="12"/>
      <c r="VWB60" s="12"/>
      <c r="VWC60" s="12"/>
      <c r="VWD60" s="12"/>
      <c r="VWE60" s="12"/>
      <c r="VWF60" s="12"/>
      <c r="VWG60" s="12"/>
      <c r="VWH60" s="12"/>
      <c r="VWI60" s="12"/>
      <c r="VWJ60" s="12"/>
      <c r="VWK60" s="12"/>
      <c r="VWL60" s="12"/>
      <c r="VWM60" s="12"/>
      <c r="VWN60" s="12"/>
      <c r="VWO60" s="12"/>
      <c r="VWP60" s="12"/>
      <c r="VWQ60" s="12"/>
      <c r="VWR60" s="12"/>
      <c r="VWS60" s="12"/>
      <c r="VWT60" s="12"/>
      <c r="VWU60" s="12"/>
      <c r="VWV60" s="12"/>
      <c r="VWW60" s="12"/>
      <c r="VWX60" s="12"/>
      <c r="VWY60" s="12"/>
      <c r="VWZ60" s="12"/>
      <c r="VXA60" s="12"/>
      <c r="VXB60" s="12"/>
      <c r="VXC60" s="12"/>
      <c r="VXD60" s="12"/>
      <c r="VXE60" s="12"/>
      <c r="VXF60" s="12"/>
      <c r="VXG60" s="12"/>
      <c r="VXH60" s="12"/>
      <c r="VXI60" s="12"/>
      <c r="VXJ60" s="12"/>
      <c r="VXK60" s="12"/>
      <c r="VXL60" s="12"/>
      <c r="VXM60" s="12"/>
      <c r="VXN60" s="12"/>
      <c r="VXO60" s="12"/>
      <c r="VXP60" s="12"/>
      <c r="VXQ60" s="12"/>
      <c r="VXR60" s="12"/>
      <c r="VXS60" s="12"/>
      <c r="VXT60" s="12"/>
      <c r="VXU60" s="12"/>
      <c r="VXV60" s="12"/>
      <c r="VXW60" s="12"/>
      <c r="VXX60" s="12"/>
      <c r="VXY60" s="12"/>
      <c r="VXZ60" s="12"/>
      <c r="VYA60" s="12"/>
      <c r="VYB60" s="12"/>
      <c r="VYC60" s="12"/>
      <c r="VYD60" s="12"/>
      <c r="VYE60" s="12"/>
      <c r="VYF60" s="12"/>
      <c r="VYG60" s="12"/>
      <c r="VYH60" s="12"/>
      <c r="VYI60" s="12"/>
      <c r="VYJ60" s="12"/>
      <c r="VYK60" s="12"/>
      <c r="VYL60" s="12"/>
      <c r="VYM60" s="12"/>
      <c r="VYN60" s="12"/>
      <c r="VYO60" s="12"/>
      <c r="VYP60" s="12"/>
      <c r="VYQ60" s="12"/>
      <c r="VYR60" s="12"/>
      <c r="VYS60" s="12"/>
      <c r="VYT60" s="12"/>
      <c r="VYU60" s="12"/>
      <c r="VYV60" s="12"/>
      <c r="VYW60" s="12"/>
      <c r="VYX60" s="12"/>
      <c r="VYY60" s="12"/>
      <c r="VYZ60" s="12"/>
      <c r="VZA60" s="12"/>
      <c r="VZB60" s="12"/>
      <c r="VZC60" s="12"/>
      <c r="VZD60" s="12"/>
      <c r="VZE60" s="12"/>
      <c r="VZF60" s="12"/>
      <c r="VZG60" s="12"/>
      <c r="VZH60" s="12"/>
      <c r="VZI60" s="12"/>
      <c r="VZJ60" s="12"/>
      <c r="VZK60" s="12"/>
      <c r="VZL60" s="12"/>
      <c r="VZM60" s="12"/>
      <c r="VZN60" s="12"/>
      <c r="VZO60" s="12"/>
      <c r="VZP60" s="12"/>
      <c r="VZQ60" s="12"/>
      <c r="VZR60" s="12"/>
      <c r="VZS60" s="12"/>
      <c r="VZT60" s="12"/>
      <c r="VZU60" s="12"/>
      <c r="VZV60" s="12"/>
      <c r="VZW60" s="12"/>
      <c r="VZX60" s="12"/>
      <c r="VZY60" s="12"/>
      <c r="VZZ60" s="12"/>
      <c r="WAA60" s="12"/>
      <c r="WAB60" s="12"/>
      <c r="WAC60" s="12"/>
      <c r="WAD60" s="12"/>
      <c r="WAE60" s="12"/>
      <c r="WAF60" s="12"/>
      <c r="WAG60" s="12"/>
      <c r="WAH60" s="12"/>
      <c r="WAI60" s="12"/>
      <c r="WAJ60" s="12"/>
      <c r="WAK60" s="12"/>
      <c r="WAL60" s="12"/>
      <c r="WAM60" s="12"/>
      <c r="WAN60" s="12"/>
      <c r="WAO60" s="12"/>
      <c r="WAP60" s="12"/>
      <c r="WAQ60" s="12"/>
      <c r="WAR60" s="12"/>
      <c r="WAS60" s="12"/>
      <c r="WAT60" s="12"/>
      <c r="WAU60" s="12"/>
      <c r="WAV60" s="12"/>
      <c r="WAW60" s="12"/>
      <c r="WAX60" s="12"/>
      <c r="WAY60" s="12"/>
      <c r="WAZ60" s="12"/>
      <c r="WBA60" s="12"/>
      <c r="WBB60" s="12"/>
      <c r="WBC60" s="12"/>
      <c r="WBD60" s="12"/>
      <c r="WBE60" s="12"/>
      <c r="WBF60" s="12"/>
      <c r="WBG60" s="12"/>
      <c r="WBH60" s="12"/>
      <c r="WBI60" s="12"/>
      <c r="WBJ60" s="12"/>
      <c r="WBK60" s="12"/>
      <c r="WBL60" s="12"/>
      <c r="WBM60" s="12"/>
      <c r="WBN60" s="12"/>
      <c r="WBO60" s="12"/>
      <c r="WBP60" s="12"/>
      <c r="WBQ60" s="12"/>
      <c r="WBR60" s="12"/>
      <c r="WBS60" s="12"/>
      <c r="WBT60" s="12"/>
      <c r="WBU60" s="12"/>
      <c r="WBV60" s="12"/>
      <c r="WBW60" s="12"/>
      <c r="WBX60" s="12"/>
      <c r="WBY60" s="12"/>
      <c r="WBZ60" s="12"/>
      <c r="WCA60" s="12"/>
      <c r="WCB60" s="12"/>
      <c r="WCC60" s="12"/>
      <c r="WCD60" s="12"/>
      <c r="WCE60" s="12"/>
      <c r="WCF60" s="12"/>
      <c r="WCG60" s="12"/>
      <c r="WCH60" s="12"/>
      <c r="WCI60" s="12"/>
      <c r="WCJ60" s="12"/>
      <c r="WCK60" s="12"/>
      <c r="WCL60" s="12"/>
      <c r="WCM60" s="12"/>
      <c r="WCN60" s="12"/>
      <c r="WCO60" s="12"/>
      <c r="WCP60" s="12"/>
      <c r="WCQ60" s="12"/>
      <c r="WCR60" s="12"/>
      <c r="WCS60" s="12"/>
      <c r="WCT60" s="12"/>
      <c r="WCU60" s="12"/>
      <c r="WCV60" s="12"/>
      <c r="WCW60" s="12"/>
      <c r="WCX60" s="12"/>
      <c r="WCY60" s="12"/>
      <c r="WCZ60" s="12"/>
      <c r="WDA60" s="12"/>
      <c r="WDB60" s="12"/>
      <c r="WDC60" s="12"/>
      <c r="WDD60" s="12"/>
      <c r="WDE60" s="12"/>
      <c r="WDF60" s="12"/>
      <c r="WDG60" s="12"/>
      <c r="WDH60" s="12"/>
      <c r="WDI60" s="12"/>
      <c r="WDJ60" s="12"/>
      <c r="WDK60" s="12"/>
      <c r="WDL60" s="12"/>
      <c r="WDM60" s="12"/>
      <c r="WDN60" s="12"/>
      <c r="WDO60" s="12"/>
      <c r="WDP60" s="12"/>
      <c r="WDQ60" s="12"/>
      <c r="WDR60" s="12"/>
      <c r="WDS60" s="12"/>
      <c r="WDT60" s="12"/>
      <c r="WDU60" s="12"/>
      <c r="WDV60" s="12"/>
      <c r="WDW60" s="12"/>
      <c r="WDX60" s="12"/>
      <c r="WDY60" s="12"/>
      <c r="WDZ60" s="12"/>
      <c r="WEA60" s="12"/>
      <c r="WEB60" s="12"/>
      <c r="WEC60" s="12"/>
      <c r="WED60" s="12"/>
      <c r="WEE60" s="12"/>
      <c r="WEF60" s="12"/>
      <c r="WEG60" s="12"/>
      <c r="WEH60" s="12"/>
      <c r="WEI60" s="12"/>
      <c r="WEJ60" s="12"/>
      <c r="WEK60" s="12"/>
      <c r="WEL60" s="12"/>
      <c r="WEM60" s="12"/>
      <c r="WEN60" s="12"/>
      <c r="WEO60" s="12"/>
      <c r="WEP60" s="12"/>
      <c r="WEQ60" s="12"/>
      <c r="WER60" s="12"/>
      <c r="WES60" s="12"/>
      <c r="WET60" s="12"/>
      <c r="WEU60" s="12"/>
      <c r="WEV60" s="12"/>
      <c r="WEW60" s="12"/>
      <c r="WEX60" s="12"/>
      <c r="WEY60" s="12"/>
      <c r="WEZ60" s="12"/>
      <c r="WFA60" s="12"/>
      <c r="WFB60" s="12"/>
      <c r="WFC60" s="12"/>
      <c r="WFD60" s="12"/>
      <c r="WFE60" s="12"/>
      <c r="WFF60" s="12"/>
      <c r="WFG60" s="12"/>
      <c r="WFH60" s="12"/>
      <c r="WFI60" s="12"/>
      <c r="WFJ60" s="12"/>
      <c r="WFK60" s="12"/>
      <c r="WFL60" s="12"/>
      <c r="WFM60" s="12"/>
      <c r="WFN60" s="12"/>
      <c r="WFO60" s="12"/>
      <c r="WFP60" s="12"/>
      <c r="WFQ60" s="12"/>
      <c r="WFR60" s="12"/>
      <c r="WFS60" s="12"/>
      <c r="WFT60" s="12"/>
      <c r="WFU60" s="12"/>
      <c r="WFV60" s="12"/>
      <c r="WFW60" s="12"/>
      <c r="WFX60" s="12"/>
      <c r="WFY60" s="12"/>
      <c r="WFZ60" s="12"/>
      <c r="WGA60" s="12"/>
      <c r="WGB60" s="12"/>
      <c r="WGC60" s="12"/>
      <c r="WGD60" s="12"/>
      <c r="WGE60" s="12"/>
      <c r="WGF60" s="12"/>
      <c r="WGG60" s="12"/>
      <c r="WGH60" s="12"/>
      <c r="WGI60" s="12"/>
      <c r="WGJ60" s="12"/>
      <c r="WGK60" s="12"/>
      <c r="WGL60" s="12"/>
      <c r="WGM60" s="12"/>
      <c r="WGN60" s="12"/>
      <c r="WGO60" s="12"/>
      <c r="WGP60" s="12"/>
      <c r="WGQ60" s="12"/>
      <c r="WGR60" s="12"/>
      <c r="WGS60" s="12"/>
      <c r="WGT60" s="12"/>
      <c r="WGU60" s="12"/>
      <c r="WGV60" s="12"/>
      <c r="WGW60" s="12"/>
      <c r="WGX60" s="12"/>
      <c r="WGY60" s="12"/>
      <c r="WGZ60" s="12"/>
      <c r="WHA60" s="12"/>
      <c r="WHB60" s="12"/>
      <c r="WHC60" s="12"/>
      <c r="WHD60" s="12"/>
      <c r="WHE60" s="12"/>
      <c r="WHF60" s="12"/>
      <c r="WHG60" s="12"/>
      <c r="WHH60" s="12"/>
      <c r="WHI60" s="12"/>
      <c r="WHJ60" s="12"/>
      <c r="WHK60" s="12"/>
      <c r="WHL60" s="12"/>
      <c r="WHM60" s="12"/>
      <c r="WHN60" s="12"/>
      <c r="WHO60" s="12"/>
      <c r="WHP60" s="12"/>
      <c r="WHQ60" s="12"/>
      <c r="WHR60" s="12"/>
      <c r="WHS60" s="12"/>
      <c r="WHT60" s="12"/>
      <c r="WHU60" s="12"/>
      <c r="WHV60" s="12"/>
      <c r="WHW60" s="12"/>
      <c r="WHX60" s="12"/>
      <c r="WHY60" s="12"/>
      <c r="WHZ60" s="12"/>
      <c r="WIA60" s="12"/>
      <c r="WIB60" s="12"/>
      <c r="WIC60" s="12"/>
      <c r="WID60" s="12"/>
      <c r="WIE60" s="12"/>
      <c r="WIF60" s="12"/>
      <c r="WIG60" s="12"/>
      <c r="WIH60" s="12"/>
      <c r="WII60" s="12"/>
      <c r="WIJ60" s="12"/>
      <c r="WIK60" s="12"/>
      <c r="WIL60" s="12"/>
      <c r="WIM60" s="12"/>
      <c r="WIN60" s="12"/>
      <c r="WIO60" s="12"/>
      <c r="WIP60" s="12"/>
      <c r="WIQ60" s="12"/>
      <c r="WIR60" s="12"/>
      <c r="WIS60" s="12"/>
      <c r="WIT60" s="12"/>
      <c r="WIU60" s="12"/>
      <c r="WIV60" s="12"/>
      <c r="WIW60" s="12"/>
      <c r="WIX60" s="12"/>
      <c r="WIY60" s="12"/>
      <c r="WIZ60" s="12"/>
      <c r="WJA60" s="12"/>
      <c r="WJB60" s="12"/>
      <c r="WJC60" s="12"/>
      <c r="WJD60" s="12"/>
      <c r="WJE60" s="12"/>
      <c r="WJF60" s="12"/>
      <c r="WJG60" s="12"/>
      <c r="WJH60" s="12"/>
      <c r="WJI60" s="12"/>
      <c r="WJJ60" s="12"/>
      <c r="WJK60" s="12"/>
      <c r="WJL60" s="12"/>
      <c r="WJM60" s="12"/>
      <c r="WJN60" s="12"/>
      <c r="WJO60" s="12"/>
      <c r="WJP60" s="12"/>
      <c r="WJQ60" s="12"/>
      <c r="WJR60" s="12"/>
      <c r="WJS60" s="12"/>
      <c r="WJT60" s="12"/>
      <c r="WJU60" s="12"/>
      <c r="WJV60" s="12"/>
      <c r="WJW60" s="12"/>
      <c r="WJX60" s="12"/>
      <c r="WJY60" s="12"/>
      <c r="WJZ60" s="12"/>
      <c r="WKA60" s="12"/>
      <c r="WKB60" s="12"/>
      <c r="WKC60" s="12"/>
      <c r="WKD60" s="12"/>
      <c r="WKE60" s="12"/>
      <c r="WKF60" s="12"/>
      <c r="WKG60" s="12"/>
      <c r="WKH60" s="12"/>
      <c r="WKI60" s="12"/>
      <c r="WKJ60" s="12"/>
      <c r="WKK60" s="12"/>
      <c r="WKL60" s="12"/>
      <c r="WKM60" s="12"/>
      <c r="WKN60" s="12"/>
      <c r="WKO60" s="12"/>
      <c r="WKP60" s="12"/>
      <c r="WKQ60" s="12"/>
      <c r="WKR60" s="12"/>
      <c r="WKS60" s="12"/>
      <c r="WKT60" s="12"/>
      <c r="WKU60" s="12"/>
      <c r="WKV60" s="12"/>
      <c r="WKW60" s="12"/>
      <c r="WKX60" s="12"/>
      <c r="WKY60" s="12"/>
      <c r="WKZ60" s="12"/>
      <c r="WLA60" s="12"/>
      <c r="WLB60" s="12"/>
      <c r="WLC60" s="12"/>
      <c r="WLD60" s="12"/>
      <c r="WLE60" s="12"/>
      <c r="WLF60" s="12"/>
      <c r="WLG60" s="12"/>
      <c r="WLH60" s="12"/>
      <c r="WLI60" s="12"/>
      <c r="WLJ60" s="12"/>
      <c r="WLK60" s="12"/>
      <c r="WLL60" s="12"/>
      <c r="WLM60" s="12"/>
      <c r="WLN60" s="12"/>
      <c r="WLO60" s="12"/>
      <c r="WLP60" s="12"/>
      <c r="WLQ60" s="12"/>
      <c r="WLR60" s="12"/>
      <c r="WLS60" s="12"/>
      <c r="WLT60" s="12"/>
      <c r="WLU60" s="12"/>
      <c r="WLV60" s="12"/>
      <c r="WLW60" s="12"/>
      <c r="WLX60" s="12"/>
      <c r="WLY60" s="12"/>
      <c r="WLZ60" s="12"/>
      <c r="WMA60" s="12"/>
      <c r="WMB60" s="12"/>
      <c r="WMC60" s="12"/>
      <c r="WMD60" s="12"/>
      <c r="WME60" s="12"/>
      <c r="WMF60" s="12"/>
      <c r="WMG60" s="12"/>
      <c r="WMH60" s="12"/>
      <c r="WMI60" s="12"/>
      <c r="WMJ60" s="12"/>
      <c r="WMK60" s="12"/>
      <c r="WML60" s="12"/>
      <c r="WMM60" s="12"/>
      <c r="WMN60" s="12"/>
      <c r="WMO60" s="12"/>
      <c r="WMP60" s="12"/>
      <c r="WMQ60" s="12"/>
      <c r="WMR60" s="12"/>
      <c r="WMS60" s="12"/>
      <c r="WMT60" s="12"/>
      <c r="WMU60" s="12"/>
      <c r="WMV60" s="12"/>
      <c r="WMW60" s="12"/>
      <c r="WMX60" s="12"/>
      <c r="WMY60" s="12"/>
      <c r="WMZ60" s="12"/>
      <c r="WNA60" s="12"/>
      <c r="WNB60" s="12"/>
      <c r="WNC60" s="12"/>
      <c r="WND60" s="12"/>
      <c r="WNE60" s="12"/>
      <c r="WNF60" s="12"/>
      <c r="WNG60" s="12"/>
      <c r="WNH60" s="12"/>
      <c r="WNI60" s="12"/>
      <c r="WNJ60" s="12"/>
      <c r="WNK60" s="12"/>
      <c r="WNL60" s="12"/>
      <c r="WNM60" s="12"/>
      <c r="WNN60" s="12"/>
      <c r="WNO60" s="12"/>
      <c r="WNP60" s="12"/>
      <c r="WNQ60" s="12"/>
      <c r="WNR60" s="12"/>
      <c r="WNS60" s="12"/>
      <c r="WNT60" s="12"/>
      <c r="WNU60" s="12"/>
      <c r="WNV60" s="12"/>
      <c r="WNW60" s="12"/>
      <c r="WNX60" s="12"/>
      <c r="WNY60" s="12"/>
      <c r="WNZ60" s="12"/>
      <c r="WOA60" s="12"/>
      <c r="WOB60" s="12"/>
      <c r="WOC60" s="12"/>
      <c r="WOD60" s="12"/>
      <c r="WOE60" s="12"/>
      <c r="WOF60" s="12"/>
      <c r="WOG60" s="12"/>
      <c r="WOH60" s="12"/>
      <c r="WOI60" s="12"/>
      <c r="WOJ60" s="12"/>
      <c r="WOK60" s="12"/>
      <c r="WOL60" s="12"/>
      <c r="WOM60" s="12"/>
      <c r="WON60" s="12"/>
      <c r="WOO60" s="12"/>
      <c r="WOP60" s="12"/>
      <c r="WOQ60" s="12"/>
      <c r="WOR60" s="12"/>
      <c r="WOS60" s="12"/>
      <c r="WOT60" s="12"/>
      <c r="WOU60" s="12"/>
      <c r="WOV60" s="12"/>
      <c r="WOW60" s="12"/>
      <c r="WOX60" s="12"/>
      <c r="WOY60" s="12"/>
      <c r="WOZ60" s="12"/>
      <c r="WPA60" s="12"/>
      <c r="WPB60" s="12"/>
      <c r="WPC60" s="12"/>
      <c r="WPD60" s="12"/>
      <c r="WPE60" s="12"/>
      <c r="WPF60" s="12"/>
      <c r="WPG60" s="12"/>
      <c r="WPH60" s="12"/>
      <c r="WPI60" s="12"/>
      <c r="WPJ60" s="12"/>
      <c r="WPK60" s="12"/>
      <c r="WPL60" s="12"/>
      <c r="WPM60" s="12"/>
      <c r="WPN60" s="12"/>
      <c r="WPO60" s="12"/>
      <c r="WPP60" s="12"/>
      <c r="WPQ60" s="12"/>
      <c r="WPR60" s="12"/>
      <c r="WPS60" s="12"/>
      <c r="WPT60" s="12"/>
      <c r="WPU60" s="12"/>
      <c r="WPV60" s="12"/>
      <c r="WPW60" s="12"/>
      <c r="WPX60" s="12"/>
      <c r="WPY60" s="12"/>
      <c r="WPZ60" s="12"/>
      <c r="WQA60" s="12"/>
      <c r="WQB60" s="12"/>
      <c r="WQC60" s="12"/>
      <c r="WQD60" s="12"/>
      <c r="WQE60" s="12"/>
      <c r="WQF60" s="12"/>
      <c r="WQG60" s="12"/>
      <c r="WQH60" s="12"/>
      <c r="WQI60" s="12"/>
      <c r="WQJ60" s="12"/>
      <c r="WQK60" s="12"/>
      <c r="WQL60" s="12"/>
      <c r="WQM60" s="12"/>
      <c r="WQN60" s="12"/>
      <c r="WQO60" s="12"/>
      <c r="WQP60" s="12"/>
      <c r="WQQ60" s="12"/>
      <c r="WQR60" s="12"/>
      <c r="WQS60" s="12"/>
      <c r="WQT60" s="12"/>
      <c r="WQU60" s="12"/>
      <c r="WQV60" s="12"/>
      <c r="WQW60" s="12"/>
      <c r="WQX60" s="12"/>
      <c r="WQY60" s="12"/>
      <c r="WQZ60" s="12"/>
      <c r="WRA60" s="12"/>
      <c r="WRB60" s="12"/>
      <c r="WRC60" s="12"/>
      <c r="WRD60" s="12"/>
      <c r="WRE60" s="12"/>
      <c r="WRF60" s="12"/>
      <c r="WRG60" s="12"/>
      <c r="WRH60" s="12"/>
      <c r="WRI60" s="12"/>
      <c r="WRJ60" s="12"/>
      <c r="WRK60" s="12"/>
      <c r="WRL60" s="12"/>
      <c r="WRM60" s="12"/>
      <c r="WRN60" s="12"/>
      <c r="WRO60" s="12"/>
      <c r="WRP60" s="12"/>
      <c r="WRQ60" s="12"/>
      <c r="WRR60" s="12"/>
      <c r="WRS60" s="12"/>
      <c r="WRT60" s="12"/>
      <c r="WRU60" s="12"/>
      <c r="WRV60" s="12"/>
      <c r="WRW60" s="12"/>
      <c r="WRX60" s="12"/>
      <c r="WRY60" s="12"/>
      <c r="WRZ60" s="12"/>
      <c r="WSA60" s="12"/>
      <c r="WSB60" s="12"/>
      <c r="WSC60" s="12"/>
      <c r="WSD60" s="12"/>
      <c r="WSE60" s="12"/>
      <c r="WSF60" s="12"/>
      <c r="WSG60" s="12"/>
      <c r="WSH60" s="12"/>
      <c r="WSI60" s="12"/>
      <c r="WSJ60" s="12"/>
      <c r="WSK60" s="12"/>
      <c r="WSL60" s="12"/>
      <c r="WSM60" s="12"/>
      <c r="WSN60" s="12"/>
      <c r="WSO60" s="12"/>
      <c r="WSP60" s="12"/>
      <c r="WSQ60" s="12"/>
      <c r="WSR60" s="12"/>
      <c r="WSS60" s="12"/>
      <c r="WST60" s="12"/>
      <c r="WSU60" s="12"/>
      <c r="WSV60" s="12"/>
      <c r="WSW60" s="12"/>
      <c r="WSX60" s="12"/>
      <c r="WSY60" s="12"/>
      <c r="WSZ60" s="12"/>
      <c r="WTA60" s="12"/>
      <c r="WTB60" s="12"/>
      <c r="WTC60" s="12"/>
      <c r="WTD60" s="12"/>
      <c r="WTE60" s="12"/>
      <c r="WTF60" s="12"/>
      <c r="WTG60" s="12"/>
      <c r="WTH60" s="12"/>
      <c r="WTI60" s="12"/>
      <c r="WTJ60" s="12"/>
      <c r="WTK60" s="12"/>
      <c r="WTL60" s="12"/>
      <c r="WTM60" s="12"/>
      <c r="WTN60" s="12"/>
      <c r="WTO60" s="12"/>
      <c r="WTP60" s="12"/>
      <c r="WTQ60" s="12"/>
      <c r="WTR60" s="12"/>
      <c r="WTS60" s="12"/>
      <c r="WTT60" s="12"/>
      <c r="WTU60" s="12"/>
      <c r="WTV60" s="12"/>
      <c r="WTW60" s="12"/>
      <c r="WTX60" s="12"/>
      <c r="WTY60" s="12"/>
      <c r="WTZ60" s="12"/>
      <c r="WUA60" s="12"/>
      <c r="WUB60" s="12"/>
      <c r="WUC60" s="12"/>
      <c r="WUD60" s="12"/>
      <c r="WUE60" s="12"/>
      <c r="WUF60" s="12"/>
      <c r="WUG60" s="12"/>
      <c r="WUH60" s="12"/>
      <c r="WUI60" s="12"/>
      <c r="WUJ60" s="12"/>
      <c r="WUK60" s="12"/>
      <c r="WUL60" s="12"/>
      <c r="WUM60" s="12"/>
      <c r="WUN60" s="12"/>
      <c r="WUO60" s="12"/>
      <c r="WUP60" s="12"/>
      <c r="WUQ60" s="12"/>
      <c r="WUR60" s="12"/>
      <c r="WUS60" s="12"/>
      <c r="WUT60" s="12"/>
      <c r="WUU60" s="12"/>
      <c r="WUV60" s="12"/>
      <c r="WUW60" s="12"/>
      <c r="WUX60" s="12"/>
      <c r="WUY60" s="12"/>
      <c r="WUZ60" s="12"/>
      <c r="WVA60" s="12"/>
      <c r="WVB60" s="12"/>
      <c r="WVC60" s="12"/>
      <c r="WVD60" s="12"/>
      <c r="WVE60" s="12"/>
      <c r="WVF60" s="12"/>
      <c r="WVG60" s="12"/>
      <c r="WVH60" s="12"/>
      <c r="WVI60" s="12"/>
      <c r="WVJ60" s="12"/>
      <c r="WVK60" s="12"/>
      <c r="WVL60" s="12"/>
      <c r="WVM60" s="12"/>
      <c r="WVN60" s="12"/>
      <c r="WVO60" s="12"/>
      <c r="WVP60" s="12"/>
      <c r="WVQ60" s="12"/>
      <c r="WVR60" s="12"/>
      <c r="WVS60" s="12"/>
      <c r="WVT60" s="12"/>
      <c r="WVU60" s="12"/>
      <c r="WVV60" s="12"/>
      <c r="WVW60" s="12"/>
      <c r="WVX60" s="12"/>
      <c r="WVY60" s="12"/>
      <c r="WVZ60" s="12"/>
      <c r="WWA60" s="12"/>
      <c r="WWB60" s="12"/>
      <c r="WWC60" s="12"/>
      <c r="WWD60" s="12"/>
      <c r="WWE60" s="12"/>
      <c r="WWF60" s="12"/>
      <c r="WWG60" s="12"/>
      <c r="WWH60" s="12"/>
      <c r="WWI60" s="12"/>
      <c r="WWJ60" s="12"/>
      <c r="WWK60" s="12"/>
      <c r="WWL60" s="12"/>
      <c r="WWM60" s="12"/>
      <c r="WWN60" s="12"/>
      <c r="WWO60" s="12"/>
      <c r="WWP60" s="12"/>
      <c r="WWQ60" s="12"/>
      <c r="WWR60" s="12"/>
      <c r="WWS60" s="12"/>
      <c r="WWT60" s="12"/>
      <c r="WWU60" s="12"/>
      <c r="WWV60" s="12"/>
      <c r="WWW60" s="12"/>
      <c r="WWX60" s="12"/>
      <c r="WWY60" s="12"/>
      <c r="WWZ60" s="12"/>
      <c r="WXA60" s="12"/>
      <c r="WXB60" s="12"/>
      <c r="WXC60" s="12"/>
      <c r="WXD60" s="12"/>
      <c r="WXE60" s="12"/>
      <c r="WXF60" s="12"/>
      <c r="WXG60" s="12"/>
      <c r="WXH60" s="12"/>
      <c r="WXI60" s="12"/>
      <c r="WXJ60" s="12"/>
      <c r="WXK60" s="12"/>
      <c r="WXL60" s="12"/>
      <c r="WXM60" s="12"/>
      <c r="WXN60" s="12"/>
      <c r="WXO60" s="12"/>
      <c r="WXP60" s="12"/>
      <c r="WXQ60" s="12"/>
      <c r="WXR60" s="12"/>
      <c r="WXS60" s="12"/>
      <c r="WXT60" s="12"/>
      <c r="WXU60" s="12"/>
      <c r="WXV60" s="12"/>
      <c r="WXW60" s="12"/>
      <c r="WXX60" s="12"/>
      <c r="WXY60" s="12"/>
      <c r="WXZ60" s="12"/>
      <c r="WYA60" s="12"/>
      <c r="WYB60" s="12"/>
      <c r="WYC60" s="12"/>
      <c r="WYD60" s="12"/>
      <c r="WYE60" s="12"/>
      <c r="WYF60" s="12"/>
      <c r="WYG60" s="12"/>
      <c r="WYH60" s="12"/>
      <c r="WYI60" s="12"/>
      <c r="WYJ60" s="12"/>
      <c r="WYK60" s="12"/>
      <c r="WYL60" s="12"/>
      <c r="WYM60" s="12"/>
      <c r="WYN60" s="12"/>
      <c r="WYO60" s="12"/>
      <c r="WYP60" s="12"/>
      <c r="WYQ60" s="12"/>
      <c r="WYR60" s="12"/>
      <c r="WYS60" s="12"/>
      <c r="WYT60" s="12"/>
      <c r="WYU60" s="12"/>
      <c r="WYV60" s="12"/>
      <c r="WYW60" s="12"/>
      <c r="WYX60" s="12"/>
      <c r="WYY60" s="12"/>
      <c r="WYZ60" s="12"/>
      <c r="WZA60" s="12"/>
      <c r="WZB60" s="12"/>
      <c r="WZC60" s="12"/>
      <c r="WZD60" s="12"/>
      <c r="WZE60" s="12"/>
      <c r="WZF60" s="12"/>
      <c r="WZG60" s="12"/>
      <c r="WZH60" s="12"/>
      <c r="WZI60" s="12"/>
      <c r="WZJ60" s="12"/>
      <c r="WZK60" s="12"/>
      <c r="WZL60" s="12"/>
      <c r="WZM60" s="12"/>
      <c r="WZN60" s="12"/>
      <c r="WZO60" s="12"/>
      <c r="WZP60" s="12"/>
      <c r="WZQ60" s="12"/>
      <c r="WZR60" s="12"/>
      <c r="WZS60" s="12"/>
      <c r="WZT60" s="12"/>
      <c r="WZU60" s="12"/>
      <c r="WZV60" s="12"/>
      <c r="WZW60" s="12"/>
      <c r="WZX60" s="12"/>
      <c r="WZY60" s="12"/>
      <c r="WZZ60" s="12"/>
      <c r="XAA60" s="12"/>
      <c r="XAB60" s="12"/>
      <c r="XAC60" s="12"/>
      <c r="XAD60" s="12"/>
      <c r="XAE60" s="12"/>
      <c r="XAF60" s="12"/>
      <c r="XAG60" s="12"/>
      <c r="XAH60" s="12"/>
      <c r="XAI60" s="12"/>
      <c r="XAJ60" s="12"/>
      <c r="XAK60" s="12"/>
      <c r="XAL60" s="12"/>
      <c r="XAM60" s="12"/>
      <c r="XAN60" s="12"/>
      <c r="XAO60" s="12"/>
      <c r="XAP60" s="12"/>
      <c r="XAQ60" s="12"/>
      <c r="XAR60" s="12"/>
      <c r="XAS60" s="12"/>
      <c r="XAT60" s="12"/>
      <c r="XAU60" s="12"/>
      <c r="XAV60" s="12"/>
      <c r="XAW60" s="12"/>
      <c r="XAX60" s="12"/>
      <c r="XAY60" s="12"/>
      <c r="XAZ60" s="12"/>
      <c r="XBA60" s="12"/>
      <c r="XBB60" s="12"/>
      <c r="XBC60" s="12"/>
      <c r="XBD60" s="12"/>
      <c r="XBE60" s="12"/>
      <c r="XBF60" s="12"/>
      <c r="XBG60" s="12"/>
      <c r="XBH60" s="12"/>
      <c r="XBI60" s="12"/>
      <c r="XBJ60" s="12"/>
      <c r="XBK60" s="12"/>
      <c r="XBL60" s="12"/>
      <c r="XBM60" s="12"/>
      <c r="XBN60" s="12"/>
      <c r="XBO60" s="12"/>
      <c r="XBP60" s="12"/>
      <c r="XBQ60" s="12"/>
      <c r="XBR60" s="12"/>
      <c r="XBS60" s="12"/>
      <c r="XBT60" s="12"/>
      <c r="XBU60" s="12"/>
      <c r="XBV60" s="12"/>
      <c r="XBW60" s="12"/>
      <c r="XBX60" s="12"/>
      <c r="XBY60" s="12"/>
      <c r="XBZ60" s="12"/>
      <c r="XCA60" s="12"/>
      <c r="XCB60" s="12"/>
      <c r="XCC60" s="12"/>
      <c r="XCD60" s="12"/>
      <c r="XCE60" s="12"/>
      <c r="XCF60" s="12"/>
      <c r="XCG60" s="12"/>
      <c r="XCH60" s="12"/>
    </row>
    <row r="66" spans="8:136" ht="10.199999999999999" x14ac:dyDescent="0.2">
      <c r="H66" s="12"/>
      <c r="V66" s="12"/>
      <c r="AJ66" s="12"/>
      <c r="AX66" s="12"/>
      <c r="BL66" s="12"/>
      <c r="BZ66" s="12"/>
      <c r="CB66" s="12"/>
      <c r="CP66" s="12"/>
      <c r="DD66" s="12"/>
      <c r="DR66" s="12"/>
      <c r="EF66" s="12"/>
    </row>
    <row r="67" spans="8:136" ht="10.199999999999999" x14ac:dyDescent="0.2">
      <c r="H67" s="12"/>
      <c r="V67" s="12"/>
      <c r="AJ67" s="12"/>
      <c r="AX67" s="12"/>
      <c r="BL67" s="12"/>
      <c r="BZ67" s="12"/>
      <c r="CB67" s="12"/>
      <c r="CP67" s="12"/>
      <c r="DD67" s="12"/>
      <c r="DR67" s="12"/>
      <c r="EF67" s="12"/>
    </row>
    <row r="68" spans="8:136" ht="10.199999999999999" x14ac:dyDescent="0.2">
      <c r="H68" s="12"/>
      <c r="V68" s="12"/>
      <c r="AJ68" s="12"/>
      <c r="AX68" s="12"/>
      <c r="BL68" s="12"/>
      <c r="BZ68" s="12"/>
      <c r="CB68" s="12"/>
      <c r="CP68" s="12"/>
      <c r="DD68" s="12"/>
      <c r="DR68" s="12"/>
      <c r="EF68" s="12"/>
    </row>
    <row r="69" spans="8:136" ht="10.199999999999999" x14ac:dyDescent="0.2">
      <c r="H69" s="12"/>
      <c r="V69" s="12"/>
      <c r="AJ69" s="12"/>
      <c r="AX69" s="12"/>
      <c r="BL69" s="12"/>
      <c r="BZ69" s="12"/>
      <c r="CB69" s="12"/>
      <c r="CP69" s="12"/>
      <c r="DD69" s="12"/>
      <c r="DR69" s="12"/>
      <c r="EF69" s="12"/>
    </row>
    <row r="70" spans="8:136" ht="10.199999999999999" x14ac:dyDescent="0.2">
      <c r="H70" s="12"/>
      <c r="V70" s="12"/>
      <c r="AJ70" s="12"/>
      <c r="AX70" s="12"/>
      <c r="BL70" s="12"/>
      <c r="BZ70" s="12"/>
      <c r="CB70" s="12"/>
      <c r="CP70" s="12"/>
      <c r="DD70" s="12"/>
      <c r="DR70" s="12"/>
      <c r="EF70" s="12"/>
    </row>
    <row r="71" spans="8:136" ht="10.199999999999999" x14ac:dyDescent="0.2">
      <c r="H71" s="12"/>
      <c r="V71" s="12"/>
      <c r="AJ71" s="12"/>
      <c r="AX71" s="12"/>
      <c r="BL71" s="12"/>
      <c r="BZ71" s="12"/>
      <c r="CB71" s="12"/>
      <c r="CP71" s="12"/>
      <c r="DD71" s="12"/>
      <c r="DR71" s="12"/>
      <c r="EF71" s="12"/>
    </row>
    <row r="72" spans="8:136" ht="10.199999999999999" x14ac:dyDescent="0.2">
      <c r="H72" s="12"/>
      <c r="V72" s="12"/>
      <c r="AJ72" s="12"/>
      <c r="AX72" s="12"/>
      <c r="BL72" s="12"/>
      <c r="BZ72" s="12"/>
      <c r="CB72" s="12"/>
      <c r="CP72" s="12"/>
      <c r="DD72" s="12"/>
      <c r="DR72" s="12"/>
      <c r="EF72" s="12"/>
    </row>
    <row r="73" spans="8:136" ht="10.199999999999999" x14ac:dyDescent="0.2">
      <c r="H73" s="12"/>
      <c r="V73" s="12"/>
      <c r="AJ73" s="12"/>
      <c r="AX73" s="12"/>
      <c r="BL73" s="12"/>
      <c r="BZ73" s="12"/>
      <c r="CB73" s="12"/>
      <c r="CP73" s="12"/>
      <c r="DD73" s="12"/>
      <c r="DR73" s="12"/>
      <c r="EF73" s="12"/>
    </row>
    <row r="74" spans="8:136" ht="10.199999999999999" x14ac:dyDescent="0.2">
      <c r="H74" s="12"/>
      <c r="V74" s="12"/>
      <c r="AJ74" s="12"/>
      <c r="AX74" s="12"/>
      <c r="BL74" s="12"/>
      <c r="BZ74" s="12"/>
      <c r="CB74" s="12"/>
      <c r="CP74" s="12"/>
      <c r="DD74" s="12"/>
      <c r="DR74" s="12"/>
      <c r="EF74" s="12"/>
    </row>
    <row r="75" spans="8:136" ht="10.199999999999999" x14ac:dyDescent="0.2">
      <c r="H75" s="12"/>
      <c r="V75" s="12"/>
      <c r="AJ75" s="12"/>
      <c r="AX75" s="12"/>
      <c r="BL75" s="12"/>
      <c r="BZ75" s="12"/>
      <c r="CB75" s="12"/>
      <c r="CP75" s="12"/>
      <c r="DD75" s="12"/>
      <c r="DR75" s="12"/>
      <c r="EF75" s="12"/>
    </row>
    <row r="76" spans="8:136" ht="10.199999999999999" x14ac:dyDescent="0.2">
      <c r="H76" s="12"/>
      <c r="V76" s="12"/>
      <c r="AJ76" s="12"/>
      <c r="AX76" s="12"/>
      <c r="BL76" s="12"/>
      <c r="BZ76" s="12"/>
      <c r="CB76" s="12"/>
      <c r="CP76" s="12"/>
      <c r="DD76" s="12"/>
      <c r="DR76" s="12"/>
      <c r="EF76" s="12"/>
    </row>
    <row r="77" spans="8:136" ht="10.199999999999999" x14ac:dyDescent="0.2">
      <c r="H77" s="12"/>
      <c r="V77" s="12"/>
      <c r="AJ77" s="12"/>
      <c r="AX77" s="12"/>
      <c r="BL77" s="12"/>
      <c r="BZ77" s="12"/>
      <c r="CB77" s="12"/>
      <c r="CP77" s="12"/>
      <c r="DD77" s="12"/>
      <c r="DR77" s="12"/>
      <c r="EF77" s="12"/>
    </row>
    <row r="78" spans="8:136" ht="10.199999999999999" x14ac:dyDescent="0.2">
      <c r="H78" s="12"/>
      <c r="V78" s="12"/>
      <c r="AJ78" s="12"/>
      <c r="AX78" s="12"/>
      <c r="BL78" s="12"/>
      <c r="BZ78" s="12"/>
      <c r="CB78" s="12"/>
      <c r="CP78" s="12"/>
      <c r="DD78" s="12"/>
      <c r="DR78" s="12"/>
      <c r="EF78" s="12"/>
    </row>
    <row r="79" spans="8:136" ht="10.199999999999999" x14ac:dyDescent="0.2">
      <c r="H79" s="16"/>
      <c r="V79" s="16"/>
      <c r="AJ79" s="16"/>
      <c r="AX79" s="16"/>
      <c r="BL79" s="16"/>
      <c r="BZ79" s="16"/>
      <c r="CB79" s="16"/>
      <c r="CP79" s="16"/>
      <c r="DD79" s="16"/>
      <c r="DR79" s="16"/>
      <c r="EF79" s="16"/>
    </row>
    <row r="80" spans="8:136" ht="10.199999999999999" x14ac:dyDescent="0.2">
      <c r="H80" s="12"/>
      <c r="V80" s="12"/>
      <c r="AJ80" s="12"/>
      <c r="AX80" s="12"/>
      <c r="BL80" s="12"/>
      <c r="BZ80" s="12"/>
      <c r="CB80" s="12"/>
      <c r="CP80" s="12"/>
      <c r="DD80" s="12"/>
      <c r="DR80" s="12"/>
      <c r="EF80" s="12"/>
    </row>
    <row r="81" spans="8:136" ht="10.199999999999999" x14ac:dyDescent="0.2">
      <c r="H81" s="12"/>
      <c r="V81" s="12"/>
      <c r="AJ81" s="12"/>
      <c r="AX81" s="12"/>
      <c r="BL81" s="12"/>
      <c r="BZ81" s="12"/>
      <c r="CB81" s="12"/>
      <c r="CP81" s="12"/>
      <c r="DD81" s="12"/>
      <c r="DR81" s="12"/>
      <c r="EF81" s="12"/>
    </row>
    <row r="82" spans="8:136" ht="10.199999999999999" x14ac:dyDescent="0.2">
      <c r="H82" s="12"/>
      <c r="V82" s="12"/>
      <c r="AJ82" s="12"/>
      <c r="AX82" s="12"/>
      <c r="BL82" s="12"/>
      <c r="BZ82" s="12"/>
      <c r="CB82" s="12"/>
      <c r="CP82" s="12"/>
      <c r="DD82" s="12"/>
      <c r="DR82" s="12"/>
      <c r="EF82" s="12"/>
    </row>
    <row r="83" spans="8:136" ht="10.199999999999999" x14ac:dyDescent="0.2">
      <c r="H83" s="12"/>
      <c r="V83" s="12"/>
      <c r="AJ83" s="12"/>
      <c r="AX83" s="12"/>
      <c r="BL83" s="12"/>
      <c r="BZ83" s="12"/>
      <c r="CB83" s="12"/>
      <c r="CP83" s="12"/>
      <c r="DD83" s="12"/>
      <c r="DR83" s="12"/>
      <c r="EF83" s="12"/>
    </row>
    <row r="84" spans="8:136" ht="10.199999999999999" x14ac:dyDescent="0.2">
      <c r="H84" s="12"/>
      <c r="V84" s="12"/>
      <c r="AJ84" s="12"/>
      <c r="AX84" s="12"/>
      <c r="BL84" s="12"/>
      <c r="BZ84" s="12"/>
      <c r="CB84" s="12"/>
      <c r="CP84" s="12"/>
      <c r="DD84" s="12"/>
      <c r="DR84" s="12"/>
      <c r="EF84" s="12"/>
    </row>
    <row r="85" spans="8:136" ht="10.199999999999999" x14ac:dyDescent="0.2">
      <c r="H85" s="12"/>
      <c r="V85" s="12"/>
      <c r="AJ85" s="12"/>
      <c r="AX85" s="12"/>
      <c r="BL85" s="12"/>
      <c r="BZ85" s="12"/>
      <c r="CB85" s="12"/>
      <c r="CP85" s="12"/>
      <c r="DD85" s="12"/>
      <c r="DR85" s="12"/>
      <c r="EF85" s="12"/>
    </row>
    <row r="86" spans="8:136" ht="10.199999999999999" x14ac:dyDescent="0.2">
      <c r="H86" s="12"/>
      <c r="V86" s="12"/>
      <c r="AJ86" s="12"/>
      <c r="AX86" s="12"/>
      <c r="BL86" s="12"/>
      <c r="BZ86" s="12"/>
      <c r="CB86" s="12"/>
      <c r="CP86" s="12"/>
      <c r="DD86" s="12"/>
      <c r="DR86" s="12"/>
      <c r="EF86" s="12"/>
    </row>
    <row r="87" spans="8:136" ht="10.199999999999999" x14ac:dyDescent="0.2">
      <c r="H87" s="12"/>
      <c r="V87" s="12"/>
      <c r="AJ87" s="12"/>
      <c r="AX87" s="12"/>
      <c r="BL87" s="12"/>
      <c r="BZ87" s="12"/>
      <c r="CB87" s="12"/>
      <c r="CP87" s="12"/>
      <c r="DD87" s="12"/>
      <c r="DR87" s="12"/>
      <c r="EF87" s="12"/>
    </row>
    <row r="88" spans="8:136" ht="10.199999999999999" x14ac:dyDescent="0.2">
      <c r="H88" s="12"/>
      <c r="V88" s="12"/>
      <c r="AJ88" s="12"/>
      <c r="AX88" s="12"/>
      <c r="BL88" s="12"/>
      <c r="BZ88" s="12"/>
      <c r="CB88" s="12"/>
      <c r="CP88" s="12"/>
      <c r="DD88" s="12"/>
      <c r="DR88" s="12"/>
      <c r="EF88" s="12"/>
    </row>
    <row r="89" spans="8:136" ht="10.199999999999999" x14ac:dyDescent="0.2">
      <c r="H89" s="12"/>
      <c r="V89" s="12"/>
      <c r="AJ89" s="12"/>
      <c r="AX89" s="12"/>
      <c r="BL89" s="12"/>
      <c r="BZ89" s="12"/>
      <c r="CB89" s="12"/>
      <c r="CP89" s="12"/>
      <c r="DD89" s="12"/>
      <c r="DR89" s="12"/>
      <c r="EF89" s="12"/>
    </row>
    <row r="90" spans="8:136" ht="10.199999999999999" x14ac:dyDescent="0.2">
      <c r="H90" s="12"/>
      <c r="V90" s="12"/>
      <c r="AJ90" s="12"/>
      <c r="AX90" s="12"/>
      <c r="BL90" s="12"/>
      <c r="BZ90" s="12"/>
      <c r="CB90" s="12"/>
      <c r="CP90" s="12"/>
      <c r="DD90" s="12"/>
      <c r="DR90" s="12"/>
      <c r="EF90" s="12"/>
    </row>
    <row r="91" spans="8:136" ht="10.199999999999999" x14ac:dyDescent="0.2">
      <c r="H91" s="12"/>
      <c r="V91" s="12"/>
      <c r="AJ91" s="12"/>
      <c r="AX91" s="12"/>
      <c r="BL91" s="12"/>
      <c r="BZ91" s="12"/>
      <c r="CB91" s="12"/>
      <c r="CP91" s="12"/>
      <c r="DD91" s="12"/>
      <c r="DR91" s="12"/>
      <c r="EF91" s="12"/>
    </row>
    <row r="92" spans="8:136" ht="10.199999999999999" x14ac:dyDescent="0.2">
      <c r="H92" s="12"/>
      <c r="V92" s="12"/>
      <c r="AJ92" s="12"/>
      <c r="AX92" s="12"/>
      <c r="BL92" s="12"/>
      <c r="BZ92" s="12"/>
      <c r="CB92" s="12"/>
      <c r="CP92" s="12"/>
      <c r="DD92" s="12"/>
      <c r="DR92" s="12"/>
      <c r="EF92" s="12"/>
    </row>
    <row r="93" spans="8:136" ht="10.199999999999999" x14ac:dyDescent="0.2">
      <c r="H93" s="12"/>
      <c r="V93" s="12"/>
      <c r="AJ93" s="12"/>
      <c r="AX93" s="12"/>
      <c r="BL93" s="12"/>
      <c r="BZ93" s="12"/>
      <c r="CB93" s="12"/>
      <c r="CP93" s="12"/>
      <c r="DD93" s="12"/>
      <c r="DR93" s="12"/>
      <c r="EF93" s="12"/>
    </row>
    <row r="94" spans="8:136" ht="10.199999999999999" x14ac:dyDescent="0.2">
      <c r="H94" s="12"/>
      <c r="V94" s="12"/>
      <c r="AJ94" s="12"/>
      <c r="AX94" s="12"/>
      <c r="BL94" s="12"/>
      <c r="BZ94" s="12"/>
      <c r="CB94" s="12"/>
      <c r="CP94" s="12"/>
      <c r="DD94" s="12"/>
      <c r="DR94" s="12"/>
      <c r="EF94" s="12"/>
    </row>
    <row r="95" spans="8:136" ht="10.199999999999999" x14ac:dyDescent="0.2">
      <c r="H95" s="12"/>
      <c r="V95" s="12"/>
      <c r="AJ95" s="12"/>
      <c r="AX95" s="12"/>
      <c r="BL95" s="12"/>
      <c r="BZ95" s="12"/>
      <c r="CB95" s="12"/>
      <c r="CP95" s="12"/>
      <c r="DD95" s="12"/>
      <c r="DR95" s="12"/>
      <c r="EF95" s="12"/>
    </row>
    <row r="96" spans="8:136" ht="10.199999999999999" x14ac:dyDescent="0.2">
      <c r="H96" s="12"/>
      <c r="V96" s="12"/>
      <c r="AJ96" s="12"/>
      <c r="AX96" s="12"/>
      <c r="BL96" s="12"/>
      <c r="BZ96" s="12"/>
      <c r="CB96" s="12"/>
      <c r="CP96" s="12"/>
      <c r="DD96" s="12"/>
      <c r="DR96" s="12"/>
      <c r="EF96" s="12"/>
    </row>
    <row r="97" spans="8:136" ht="10.199999999999999" x14ac:dyDescent="0.2">
      <c r="H97" s="12"/>
      <c r="V97" s="12"/>
      <c r="AJ97" s="12"/>
      <c r="AX97" s="12"/>
      <c r="BL97" s="12"/>
      <c r="BZ97" s="12"/>
      <c r="CB97" s="12"/>
      <c r="CP97" s="12"/>
      <c r="DD97" s="12"/>
      <c r="DR97" s="12"/>
      <c r="EF97" s="12"/>
    </row>
    <row r="98" spans="8:136" ht="10.199999999999999" x14ac:dyDescent="0.2">
      <c r="H98" s="12"/>
      <c r="V98" s="12"/>
      <c r="AJ98" s="12"/>
      <c r="AX98" s="12"/>
      <c r="BL98" s="12"/>
      <c r="BZ98" s="12"/>
      <c r="CB98" s="12"/>
      <c r="CP98" s="12"/>
      <c r="DD98" s="12"/>
      <c r="DR98" s="12"/>
      <c r="EF98" s="12"/>
    </row>
    <row r="99" spans="8:136" ht="10.199999999999999" x14ac:dyDescent="0.2">
      <c r="H99" s="12"/>
      <c r="V99" s="12"/>
      <c r="AJ99" s="12"/>
      <c r="AX99" s="12"/>
      <c r="BL99" s="12"/>
      <c r="BZ99" s="12"/>
      <c r="CB99" s="12"/>
      <c r="CP99" s="12"/>
      <c r="DD99" s="12"/>
      <c r="DR99" s="12"/>
      <c r="EF99" s="12"/>
    </row>
    <row r="100" spans="8:136" ht="10.199999999999999" x14ac:dyDescent="0.2">
      <c r="H100" s="12"/>
      <c r="V100" s="12"/>
      <c r="AJ100" s="12"/>
      <c r="AX100" s="12"/>
      <c r="BL100" s="12"/>
      <c r="BZ100" s="12"/>
      <c r="CB100" s="12"/>
      <c r="CP100" s="12"/>
      <c r="DD100" s="12"/>
      <c r="DR100" s="12"/>
      <c r="EF100" s="12"/>
    </row>
    <row r="101" spans="8:136" ht="10.199999999999999" x14ac:dyDescent="0.2">
      <c r="H101" s="12"/>
      <c r="V101" s="12"/>
      <c r="AJ101" s="12"/>
      <c r="AX101" s="12"/>
      <c r="BL101" s="12"/>
      <c r="BZ101" s="12"/>
      <c r="CB101" s="12"/>
      <c r="CP101" s="12"/>
      <c r="DD101" s="12"/>
      <c r="DR101" s="12"/>
      <c r="EF101" s="12"/>
    </row>
    <row r="102" spans="8:136" ht="10.199999999999999" x14ac:dyDescent="0.2">
      <c r="H102" s="12"/>
      <c r="V102" s="12"/>
      <c r="AJ102" s="12"/>
      <c r="AX102" s="12"/>
      <c r="BL102" s="12"/>
      <c r="BZ102" s="12"/>
      <c r="CB102" s="12"/>
      <c r="CP102" s="12"/>
      <c r="DD102" s="12"/>
      <c r="DR102" s="12"/>
      <c r="EF102" s="12"/>
    </row>
    <row r="103" spans="8:136" ht="10.199999999999999" x14ac:dyDescent="0.2">
      <c r="H103" s="12"/>
      <c r="V103" s="12"/>
      <c r="AJ103" s="12"/>
      <c r="AX103" s="12"/>
      <c r="BL103" s="12"/>
      <c r="BZ103" s="12"/>
      <c r="CB103" s="12"/>
      <c r="CP103" s="12"/>
      <c r="DD103" s="12"/>
      <c r="DR103" s="12"/>
      <c r="EF103" s="12"/>
    </row>
    <row r="104" spans="8:136" ht="10.199999999999999" x14ac:dyDescent="0.2">
      <c r="H104" s="12"/>
      <c r="V104" s="12"/>
      <c r="AJ104" s="12"/>
      <c r="AX104" s="12"/>
      <c r="BL104" s="12"/>
      <c r="BZ104" s="12"/>
      <c r="CB104" s="12"/>
      <c r="CP104" s="12"/>
      <c r="DD104" s="12"/>
      <c r="DR104" s="12"/>
      <c r="EF104" s="12"/>
    </row>
    <row r="105" spans="8:136" ht="10.199999999999999" x14ac:dyDescent="0.2">
      <c r="H105" s="12"/>
      <c r="V105" s="12"/>
      <c r="AJ105" s="12"/>
      <c r="AX105" s="12"/>
      <c r="BL105" s="12"/>
      <c r="BZ105" s="12"/>
      <c r="CB105" s="12"/>
      <c r="CP105" s="12"/>
      <c r="DD105" s="12"/>
      <c r="DR105" s="12"/>
      <c r="EF105" s="12"/>
    </row>
    <row r="106" spans="8:136" ht="10.199999999999999" x14ac:dyDescent="0.2">
      <c r="H106" s="12"/>
      <c r="V106" s="12"/>
      <c r="AJ106" s="12"/>
      <c r="AX106" s="12"/>
      <c r="BL106" s="12"/>
      <c r="BZ106" s="12"/>
      <c r="CB106" s="12"/>
      <c r="CP106" s="12"/>
      <c r="DD106" s="12"/>
      <c r="DR106" s="12"/>
      <c r="EF106" s="12"/>
    </row>
    <row r="107" spans="8:136" ht="10.199999999999999" x14ac:dyDescent="0.2">
      <c r="H107" s="12"/>
      <c r="V107" s="12"/>
      <c r="AJ107" s="12"/>
      <c r="AX107" s="12"/>
      <c r="BL107" s="12"/>
      <c r="BZ107" s="12"/>
      <c r="CB107" s="12"/>
      <c r="CP107" s="12"/>
      <c r="DD107" s="12"/>
      <c r="DR107" s="12"/>
      <c r="EF107" s="12"/>
    </row>
    <row r="108" spans="8:136" ht="10.199999999999999" x14ac:dyDescent="0.2">
      <c r="H108" s="12"/>
      <c r="V108" s="12"/>
      <c r="AJ108" s="12"/>
      <c r="AX108" s="12"/>
      <c r="BL108" s="12"/>
      <c r="BZ108" s="12"/>
      <c r="CB108" s="12"/>
      <c r="CP108" s="12"/>
      <c r="DD108" s="12"/>
      <c r="DR108" s="12"/>
      <c r="EF108" s="12"/>
    </row>
    <row r="109" spans="8:136" ht="10.199999999999999" x14ac:dyDescent="0.2">
      <c r="H109" s="12"/>
      <c r="V109" s="12"/>
      <c r="AJ109" s="12"/>
      <c r="AX109" s="12"/>
      <c r="BL109" s="12"/>
      <c r="BZ109" s="12"/>
      <c r="CB109" s="12"/>
      <c r="CP109" s="12"/>
      <c r="DD109" s="12"/>
      <c r="DR109" s="12"/>
      <c r="EF109" s="12"/>
    </row>
    <row r="110" spans="8:136" ht="10.199999999999999" x14ac:dyDescent="0.2">
      <c r="H110" s="12"/>
      <c r="V110" s="12"/>
      <c r="AJ110" s="12"/>
      <c r="AX110" s="12"/>
      <c r="BL110" s="12"/>
      <c r="BZ110" s="12"/>
      <c r="CB110" s="12"/>
      <c r="CP110" s="12"/>
      <c r="DD110" s="12"/>
      <c r="DR110" s="12"/>
      <c r="EF110" s="12"/>
    </row>
    <row r="111" spans="8:136" ht="10.199999999999999" x14ac:dyDescent="0.2">
      <c r="H111" s="12"/>
      <c r="V111" s="12"/>
      <c r="AJ111" s="12"/>
      <c r="AX111" s="12"/>
      <c r="BL111" s="12"/>
      <c r="BZ111" s="12"/>
      <c r="CB111" s="12"/>
      <c r="CP111" s="12"/>
      <c r="DD111" s="12"/>
      <c r="DR111" s="12"/>
      <c r="EF111" s="12"/>
    </row>
    <row r="112" spans="8:136" ht="10.199999999999999" x14ac:dyDescent="0.2">
      <c r="H112" s="12"/>
      <c r="V112" s="12"/>
      <c r="AJ112" s="12"/>
      <c r="AX112" s="12"/>
      <c r="BL112" s="12"/>
      <c r="BZ112" s="12"/>
      <c r="CB112" s="12"/>
      <c r="CP112" s="12"/>
      <c r="DD112" s="12"/>
      <c r="DR112" s="12"/>
      <c r="EF112" s="12"/>
    </row>
    <row r="113" spans="8:136" ht="10.199999999999999" x14ac:dyDescent="0.2">
      <c r="H113" s="12"/>
      <c r="V113" s="12"/>
      <c r="AJ113" s="12"/>
      <c r="AX113" s="12"/>
      <c r="BL113" s="12"/>
      <c r="BZ113" s="12"/>
      <c r="CB113" s="12"/>
      <c r="CP113" s="12"/>
      <c r="DD113" s="12"/>
      <c r="DR113" s="12"/>
      <c r="EF113" s="12"/>
    </row>
    <row r="114" spans="8:136" ht="10.199999999999999" x14ac:dyDescent="0.2">
      <c r="H114" s="12"/>
      <c r="V114" s="12"/>
      <c r="AJ114" s="12"/>
      <c r="AX114" s="12"/>
      <c r="BL114" s="12"/>
      <c r="BZ114" s="12"/>
      <c r="CB114" s="12"/>
      <c r="CP114" s="12"/>
      <c r="DD114" s="12"/>
      <c r="DR114" s="12"/>
      <c r="EF114" s="12"/>
    </row>
    <row r="115" spans="8:136" ht="10.199999999999999" x14ac:dyDescent="0.2">
      <c r="H115" s="12"/>
      <c r="V115" s="12"/>
      <c r="AJ115" s="12"/>
      <c r="AX115" s="12"/>
      <c r="BL115" s="12"/>
      <c r="BZ115" s="12"/>
      <c r="CB115" s="12"/>
      <c r="CP115" s="12"/>
      <c r="DD115" s="12"/>
      <c r="DR115" s="12"/>
      <c r="EF115" s="12"/>
    </row>
    <row r="116" spans="8:136" ht="10.199999999999999" x14ac:dyDescent="0.2">
      <c r="H116" s="12"/>
      <c r="V116" s="12"/>
      <c r="AJ116" s="12"/>
      <c r="AX116" s="12"/>
      <c r="BL116" s="12"/>
      <c r="BZ116" s="12"/>
      <c r="CB116" s="12"/>
      <c r="CP116" s="12"/>
      <c r="DD116" s="12"/>
      <c r="DR116" s="12"/>
      <c r="EF116" s="12"/>
    </row>
    <row r="117" spans="8:136" ht="10.199999999999999" x14ac:dyDescent="0.2">
      <c r="H117" s="12"/>
      <c r="V117" s="12"/>
      <c r="AJ117" s="12"/>
      <c r="AX117" s="12"/>
      <c r="BL117" s="12"/>
      <c r="BZ117" s="12"/>
      <c r="CB117" s="12"/>
      <c r="CP117" s="12"/>
      <c r="DD117" s="12"/>
      <c r="DR117" s="12"/>
      <c r="EF117" s="12"/>
    </row>
    <row r="118" spans="8:136" ht="10.199999999999999" x14ac:dyDescent="0.2">
      <c r="H118" s="12"/>
      <c r="V118" s="12"/>
      <c r="AJ118" s="12"/>
      <c r="AX118" s="12"/>
      <c r="BL118" s="12"/>
      <c r="BZ118" s="12"/>
      <c r="CB118" s="12"/>
      <c r="CP118" s="12"/>
      <c r="DD118" s="12"/>
      <c r="DR118" s="12"/>
      <c r="EF118" s="12"/>
    </row>
    <row r="119" spans="8:136" ht="10.199999999999999" x14ac:dyDescent="0.2">
      <c r="H119" s="12"/>
      <c r="V119" s="12"/>
      <c r="AJ119" s="12"/>
      <c r="AX119" s="12"/>
      <c r="BL119" s="12"/>
      <c r="BZ119" s="12"/>
      <c r="CB119" s="12"/>
      <c r="CP119" s="12"/>
      <c r="DD119" s="12"/>
      <c r="DR119" s="12"/>
      <c r="EF119" s="12"/>
    </row>
    <row r="120" spans="8:136" ht="10.199999999999999" x14ac:dyDescent="0.2">
      <c r="H120" s="12"/>
      <c r="V120" s="12"/>
      <c r="AJ120" s="12"/>
      <c r="AX120" s="12"/>
      <c r="BL120" s="12"/>
      <c r="BZ120" s="12"/>
      <c r="CB120" s="12"/>
      <c r="CP120" s="12"/>
      <c r="DD120" s="12"/>
      <c r="DR120" s="12"/>
      <c r="EF120" s="12"/>
    </row>
    <row r="121" spans="8:136" ht="10.199999999999999" x14ac:dyDescent="0.2">
      <c r="H121" s="12"/>
      <c r="V121" s="12"/>
      <c r="AJ121" s="12"/>
      <c r="AX121" s="12"/>
      <c r="BL121" s="12"/>
      <c r="BZ121" s="12"/>
      <c r="CB121" s="12"/>
      <c r="CP121" s="12"/>
      <c r="DD121" s="12"/>
      <c r="DR121" s="12"/>
      <c r="EF121" s="12"/>
    </row>
    <row r="122" spans="8:136" ht="10.199999999999999" x14ac:dyDescent="0.2">
      <c r="H122" s="12"/>
      <c r="V122" s="12"/>
      <c r="AJ122" s="12"/>
      <c r="AX122" s="12"/>
      <c r="BL122" s="12"/>
      <c r="BZ122" s="12"/>
      <c r="CB122" s="12"/>
      <c r="CP122" s="12"/>
      <c r="DD122" s="12"/>
      <c r="DR122" s="12"/>
      <c r="EF122" s="12"/>
    </row>
    <row r="123" spans="8:136" ht="10.199999999999999" x14ac:dyDescent="0.2">
      <c r="H123" s="12"/>
      <c r="V123" s="12"/>
      <c r="AJ123" s="12"/>
      <c r="AX123" s="12"/>
      <c r="BL123" s="12"/>
      <c r="BZ123" s="12"/>
      <c r="CB123" s="12"/>
      <c r="CP123" s="12"/>
      <c r="DD123" s="12"/>
      <c r="DR123" s="12"/>
      <c r="EF123" s="12"/>
    </row>
    <row r="124" spans="8:136" ht="10.199999999999999" x14ac:dyDescent="0.2">
      <c r="H124" s="12"/>
      <c r="V124" s="12"/>
      <c r="AJ124" s="12"/>
      <c r="AX124" s="12"/>
      <c r="BL124" s="12"/>
      <c r="BZ124" s="12"/>
      <c r="CB124" s="12"/>
      <c r="CP124" s="12"/>
      <c r="DD124" s="12"/>
      <c r="DR124" s="12"/>
      <c r="EF124" s="12"/>
    </row>
    <row r="125" spans="8:136" ht="10.199999999999999" x14ac:dyDescent="0.2">
      <c r="H125" s="12"/>
      <c r="V125" s="12"/>
      <c r="AJ125" s="12"/>
      <c r="AX125" s="12"/>
      <c r="BL125" s="12"/>
      <c r="BZ125" s="12"/>
      <c r="CB125" s="12"/>
      <c r="CP125" s="12"/>
      <c r="DD125" s="12"/>
      <c r="DR125" s="12"/>
      <c r="EF125" s="12"/>
    </row>
    <row r="126" spans="8:136" ht="10.199999999999999" x14ac:dyDescent="0.2">
      <c r="H126" s="12"/>
      <c r="V126" s="12"/>
      <c r="AJ126" s="12"/>
      <c r="AX126" s="12"/>
      <c r="BL126" s="12"/>
      <c r="BZ126" s="12"/>
      <c r="CB126" s="12"/>
      <c r="CP126" s="12"/>
      <c r="DD126" s="12"/>
      <c r="DR126" s="12"/>
      <c r="EF126" s="12"/>
    </row>
    <row r="127" spans="8:136" ht="10.199999999999999" x14ac:dyDescent="0.2">
      <c r="H127" s="12"/>
      <c r="V127" s="12"/>
      <c r="AJ127" s="12"/>
      <c r="AX127" s="12"/>
      <c r="BL127" s="12"/>
      <c r="BZ127" s="12"/>
      <c r="CB127" s="12"/>
      <c r="CP127" s="12"/>
      <c r="DD127" s="12"/>
      <c r="DR127" s="12"/>
      <c r="EF127" s="12"/>
    </row>
    <row r="128" spans="8:136" ht="10.199999999999999" x14ac:dyDescent="0.2">
      <c r="H128" s="12"/>
      <c r="V128" s="12"/>
      <c r="AJ128" s="12"/>
      <c r="AX128" s="12"/>
      <c r="BL128" s="12"/>
      <c r="BZ128" s="12"/>
      <c r="CB128" s="12"/>
      <c r="CP128" s="12"/>
      <c r="DD128" s="12"/>
      <c r="DR128" s="12"/>
      <c r="EF128" s="12"/>
    </row>
    <row r="129" spans="8:136" ht="10.199999999999999" x14ac:dyDescent="0.2">
      <c r="H129" s="12"/>
      <c r="V129" s="12"/>
      <c r="AJ129" s="12"/>
      <c r="AX129" s="12"/>
      <c r="BL129" s="12"/>
      <c r="BZ129" s="12"/>
      <c r="CB129" s="12"/>
      <c r="CP129" s="12"/>
      <c r="DD129" s="12"/>
      <c r="DR129" s="12"/>
      <c r="EF129" s="12"/>
    </row>
    <row r="130" spans="8:136" ht="10.199999999999999" x14ac:dyDescent="0.2">
      <c r="H130" s="12"/>
      <c r="V130" s="12"/>
      <c r="AJ130" s="12"/>
      <c r="AX130" s="12"/>
      <c r="BL130" s="12"/>
      <c r="BZ130" s="12"/>
      <c r="CB130" s="12"/>
      <c r="CP130" s="12"/>
      <c r="DD130" s="12"/>
      <c r="DR130" s="12"/>
      <c r="EF130" s="12"/>
    </row>
    <row r="131" spans="8:136" ht="10.199999999999999" x14ac:dyDescent="0.2">
      <c r="H131" s="12"/>
      <c r="V131" s="12"/>
      <c r="AJ131" s="12"/>
      <c r="AX131" s="12"/>
      <c r="BL131" s="12"/>
      <c r="BZ131" s="12"/>
      <c r="CB131" s="12"/>
      <c r="CP131" s="12"/>
      <c r="DD131" s="12"/>
      <c r="DR131" s="12"/>
      <c r="EF131" s="12"/>
    </row>
    <row r="132" spans="8:136" ht="10.199999999999999" x14ac:dyDescent="0.2">
      <c r="H132" s="12"/>
      <c r="V132" s="12"/>
      <c r="AJ132" s="12"/>
      <c r="AX132" s="12"/>
      <c r="BL132" s="12"/>
      <c r="BZ132" s="12"/>
      <c r="CB132" s="12"/>
      <c r="CP132" s="12"/>
      <c r="DD132" s="12"/>
      <c r="DR132" s="12"/>
      <c r="EF132" s="12"/>
    </row>
    <row r="133" spans="8:136" ht="10.199999999999999" x14ac:dyDescent="0.2">
      <c r="H133" s="12"/>
      <c r="V133" s="12"/>
      <c r="AJ133" s="12"/>
      <c r="AX133" s="12"/>
      <c r="BL133" s="12"/>
      <c r="BZ133" s="12"/>
      <c r="CB133" s="12"/>
      <c r="CP133" s="12"/>
      <c r="DD133" s="12"/>
      <c r="DR133" s="12"/>
      <c r="EF133" s="12"/>
    </row>
    <row r="134" spans="8:136" ht="10.199999999999999" x14ac:dyDescent="0.2">
      <c r="H134" s="12"/>
      <c r="V134" s="12"/>
      <c r="AJ134" s="12"/>
      <c r="AX134" s="12"/>
      <c r="BL134" s="12"/>
      <c r="BZ134" s="12"/>
      <c r="CB134" s="12"/>
      <c r="CP134" s="12"/>
      <c r="DD134" s="12"/>
      <c r="DR134" s="12"/>
      <c r="EF134" s="12"/>
    </row>
    <row r="135" spans="8:136" ht="10.199999999999999" x14ac:dyDescent="0.2">
      <c r="H135" s="12"/>
      <c r="V135" s="12"/>
      <c r="AJ135" s="12"/>
      <c r="AX135" s="12"/>
      <c r="BL135" s="12"/>
      <c r="BZ135" s="12"/>
      <c r="CB135" s="12"/>
      <c r="CP135" s="12"/>
      <c r="DD135" s="12"/>
      <c r="DR135" s="12"/>
      <c r="EF135" s="12"/>
    </row>
    <row r="136" spans="8:136" ht="10.199999999999999" x14ac:dyDescent="0.2">
      <c r="H136" s="12"/>
      <c r="V136" s="12"/>
      <c r="AJ136" s="12"/>
      <c r="AX136" s="12"/>
      <c r="BL136" s="12"/>
      <c r="BZ136" s="12"/>
      <c r="CB136" s="12"/>
      <c r="CP136" s="12"/>
      <c r="DD136" s="12"/>
      <c r="DR136" s="12"/>
      <c r="EF136" s="12"/>
    </row>
    <row r="137" spans="8:136" ht="10.199999999999999" x14ac:dyDescent="0.2">
      <c r="H137" s="12"/>
      <c r="V137" s="12"/>
      <c r="AJ137" s="12"/>
      <c r="AX137" s="12"/>
      <c r="BL137" s="12"/>
      <c r="BZ137" s="12"/>
      <c r="CB137" s="12"/>
      <c r="CP137" s="12"/>
      <c r="DD137" s="12"/>
      <c r="DR137" s="12"/>
      <c r="EF137" s="12"/>
    </row>
    <row r="138" spans="8:136" ht="10.199999999999999" x14ac:dyDescent="0.2">
      <c r="H138" s="12"/>
      <c r="V138" s="12"/>
      <c r="AJ138" s="12"/>
      <c r="AX138" s="12"/>
      <c r="BL138" s="12"/>
      <c r="BZ138" s="12"/>
      <c r="CB138" s="12"/>
      <c r="CP138" s="12"/>
      <c r="DD138" s="12"/>
      <c r="DR138" s="12"/>
      <c r="EF138" s="12"/>
    </row>
    <row r="139" spans="8:136" ht="10.199999999999999" x14ac:dyDescent="0.2">
      <c r="H139" s="12"/>
      <c r="V139" s="12"/>
      <c r="AJ139" s="12"/>
      <c r="AX139" s="12"/>
      <c r="BL139" s="12"/>
      <c r="BZ139" s="12"/>
      <c r="CB139" s="12"/>
      <c r="CP139" s="12"/>
      <c r="DD139" s="12"/>
      <c r="DR139" s="12"/>
      <c r="EF139" s="12"/>
    </row>
    <row r="140" spans="8:136" ht="10.199999999999999" x14ac:dyDescent="0.2">
      <c r="H140" s="12"/>
      <c r="V140" s="12"/>
      <c r="AJ140" s="12"/>
      <c r="AX140" s="12"/>
      <c r="BL140" s="12"/>
      <c r="BZ140" s="12"/>
      <c r="CB140" s="12"/>
      <c r="CP140" s="12"/>
      <c r="DD140" s="12"/>
      <c r="DR140" s="12"/>
      <c r="EF140" s="12"/>
    </row>
    <row r="141" spans="8:136" ht="10.199999999999999" x14ac:dyDescent="0.2">
      <c r="H141" s="12"/>
      <c r="V141" s="12"/>
      <c r="AJ141" s="12"/>
      <c r="AX141" s="12"/>
      <c r="BL141" s="12"/>
      <c r="BZ141" s="12"/>
      <c r="CB141" s="12"/>
      <c r="CP141" s="12"/>
      <c r="DD141" s="12"/>
      <c r="DR141" s="12"/>
      <c r="EF141" s="12"/>
    </row>
    <row r="142" spans="8:136" ht="10.199999999999999" x14ac:dyDescent="0.2">
      <c r="H142" s="12"/>
      <c r="V142" s="12"/>
      <c r="AJ142" s="12"/>
      <c r="AX142" s="12"/>
      <c r="BL142" s="12"/>
      <c r="BZ142" s="12"/>
      <c r="CB142" s="12"/>
      <c r="CP142" s="12"/>
      <c r="DD142" s="12"/>
      <c r="DR142" s="12"/>
      <c r="EF142" s="12"/>
    </row>
    <row r="143" spans="8:136" ht="10.199999999999999" x14ac:dyDescent="0.2">
      <c r="H143" s="12"/>
      <c r="V143" s="12"/>
      <c r="AJ143" s="12"/>
      <c r="AX143" s="12"/>
      <c r="BL143" s="12"/>
      <c r="BZ143" s="12"/>
      <c r="CB143" s="12"/>
      <c r="CP143" s="12"/>
      <c r="DD143" s="12"/>
      <c r="DR143" s="12"/>
      <c r="EF143" s="12"/>
    </row>
    <row r="144" spans="8:136" ht="10.199999999999999" x14ac:dyDescent="0.2">
      <c r="H144" s="12"/>
      <c r="V144" s="12"/>
      <c r="AJ144" s="12"/>
      <c r="AX144" s="12"/>
      <c r="BL144" s="12"/>
      <c r="BZ144" s="12"/>
      <c r="CB144" s="12"/>
      <c r="CP144" s="12"/>
      <c r="DD144" s="12"/>
      <c r="DR144" s="12"/>
      <c r="EF144" s="12"/>
    </row>
    <row r="145" spans="8:136" ht="10.199999999999999" x14ac:dyDescent="0.2">
      <c r="H145" s="12"/>
      <c r="V145" s="12"/>
      <c r="AJ145" s="12"/>
      <c r="AX145" s="12"/>
      <c r="BL145" s="12"/>
      <c r="BZ145" s="12"/>
      <c r="CB145" s="12"/>
      <c r="CP145" s="12"/>
      <c r="DD145" s="12"/>
      <c r="DR145" s="12"/>
      <c r="EF145" s="12"/>
    </row>
    <row r="146" spans="8:136" ht="10.199999999999999" x14ac:dyDescent="0.2">
      <c r="H146" s="12"/>
      <c r="V146" s="12"/>
      <c r="AJ146" s="12"/>
      <c r="AX146" s="12"/>
      <c r="BL146" s="12"/>
      <c r="BZ146" s="12"/>
      <c r="CB146" s="12"/>
      <c r="CP146" s="12"/>
      <c r="DD146" s="12"/>
      <c r="DR146" s="12"/>
      <c r="EF146" s="12"/>
    </row>
    <row r="147" spans="8:136" ht="10.199999999999999" x14ac:dyDescent="0.2">
      <c r="H147" s="12"/>
      <c r="V147" s="12"/>
      <c r="AJ147" s="12"/>
      <c r="AX147" s="12"/>
      <c r="BL147" s="12"/>
      <c r="BZ147" s="12"/>
      <c r="CB147" s="12"/>
      <c r="CP147" s="12"/>
      <c r="DD147" s="12"/>
      <c r="DR147" s="12"/>
      <c r="EF147" s="12"/>
    </row>
    <row r="148" spans="8:136" ht="10.199999999999999" x14ac:dyDescent="0.2">
      <c r="H148" s="12"/>
      <c r="V148" s="12"/>
      <c r="AJ148" s="12"/>
      <c r="AX148" s="12"/>
      <c r="BL148" s="12"/>
      <c r="BZ148" s="12"/>
      <c r="CB148" s="12"/>
      <c r="CP148" s="12"/>
      <c r="DD148" s="12"/>
      <c r="DR148" s="12"/>
      <c r="EF148" s="12"/>
    </row>
    <row r="149" spans="8:136" ht="10.199999999999999" x14ac:dyDescent="0.2">
      <c r="H149" s="12"/>
      <c r="V149" s="12"/>
      <c r="AJ149" s="12"/>
      <c r="AX149" s="12"/>
      <c r="BL149" s="12"/>
      <c r="BZ149" s="12"/>
      <c r="CB149" s="12"/>
      <c r="CP149" s="12"/>
      <c r="DD149" s="12"/>
      <c r="DR149" s="12"/>
      <c r="EF149" s="12"/>
    </row>
    <row r="150" spans="8:136" ht="10.199999999999999" x14ac:dyDescent="0.2">
      <c r="H150" s="12"/>
      <c r="V150" s="12"/>
      <c r="AJ150" s="12"/>
      <c r="AX150" s="12"/>
      <c r="BL150" s="12"/>
      <c r="BZ150" s="12"/>
      <c r="CB150" s="12"/>
      <c r="CP150" s="12"/>
      <c r="DD150" s="12"/>
      <c r="DR150" s="12"/>
      <c r="EF150" s="12"/>
    </row>
    <row r="151" spans="8:136" ht="10.199999999999999" x14ac:dyDescent="0.2">
      <c r="H151" s="12"/>
      <c r="V151" s="12"/>
      <c r="AJ151" s="12"/>
      <c r="AX151" s="12"/>
      <c r="BL151" s="12"/>
      <c r="BZ151" s="12"/>
      <c r="CB151" s="12"/>
      <c r="CP151" s="12"/>
      <c r="DD151" s="12"/>
      <c r="DR151" s="12"/>
      <c r="EF151" s="12"/>
    </row>
    <row r="152" spans="8:136" ht="10.199999999999999" x14ac:dyDescent="0.2">
      <c r="H152" s="12"/>
      <c r="V152" s="12"/>
      <c r="AJ152" s="12"/>
      <c r="AX152" s="12"/>
      <c r="BL152" s="12"/>
      <c r="BZ152" s="12"/>
      <c r="CB152" s="12"/>
      <c r="CP152" s="12"/>
      <c r="DD152" s="12"/>
      <c r="DR152" s="12"/>
      <c r="EF152" s="12"/>
    </row>
    <row r="153" spans="8:136" ht="10.199999999999999" x14ac:dyDescent="0.2">
      <c r="H153" s="12"/>
      <c r="V153" s="12"/>
      <c r="AJ153" s="12"/>
      <c r="AX153" s="12"/>
      <c r="BL153" s="12"/>
      <c r="BZ153" s="12"/>
      <c r="CB153" s="12"/>
      <c r="CP153" s="12"/>
      <c r="DD153" s="12"/>
      <c r="DR153" s="12"/>
      <c r="EF153" s="12"/>
    </row>
    <row r="154" spans="8:136" ht="10.199999999999999" x14ac:dyDescent="0.2">
      <c r="H154" s="12"/>
      <c r="V154" s="12"/>
      <c r="AJ154" s="12"/>
      <c r="AX154" s="12"/>
      <c r="BL154" s="12"/>
      <c r="BZ154" s="12"/>
      <c r="CB154" s="12"/>
      <c r="CP154" s="12"/>
      <c r="DD154" s="12"/>
      <c r="DR154" s="12"/>
      <c r="EF154" s="12"/>
    </row>
    <row r="155" spans="8:136" ht="10.199999999999999" x14ac:dyDescent="0.2">
      <c r="H155" s="12"/>
      <c r="V155" s="12"/>
      <c r="AJ155" s="12"/>
      <c r="AX155" s="12"/>
      <c r="BL155" s="12"/>
      <c r="BZ155" s="12"/>
      <c r="CB155" s="12"/>
      <c r="CP155" s="12"/>
      <c r="DD155" s="12"/>
      <c r="DR155" s="12"/>
      <c r="EF155" s="12"/>
    </row>
    <row r="156" spans="8:136" ht="10.199999999999999" x14ac:dyDescent="0.2">
      <c r="H156" s="12"/>
      <c r="V156" s="12"/>
      <c r="AJ156" s="12"/>
      <c r="AX156" s="12"/>
      <c r="BL156" s="12"/>
      <c r="BZ156" s="12"/>
      <c r="CB156" s="12"/>
      <c r="CP156" s="12"/>
      <c r="DD156" s="12"/>
      <c r="DR156" s="12"/>
      <c r="EF156" s="12"/>
    </row>
    <row r="157" spans="8:136" ht="10.199999999999999" x14ac:dyDescent="0.2">
      <c r="H157" s="12"/>
      <c r="V157" s="12"/>
      <c r="AJ157" s="12"/>
      <c r="AX157" s="12"/>
      <c r="BL157" s="12"/>
      <c r="BZ157" s="12"/>
      <c r="CB157" s="12"/>
      <c r="CP157" s="12"/>
      <c r="DD157" s="12"/>
      <c r="DR157" s="12"/>
      <c r="EF157" s="12"/>
    </row>
    <row r="158" spans="8:136" ht="10.199999999999999" x14ac:dyDescent="0.2">
      <c r="H158" s="12"/>
      <c r="V158" s="12"/>
      <c r="AJ158" s="12"/>
      <c r="AX158" s="12"/>
      <c r="BL158" s="12"/>
      <c r="BZ158" s="12"/>
      <c r="CB158" s="12"/>
      <c r="CP158" s="12"/>
      <c r="DD158" s="12"/>
      <c r="DR158" s="12"/>
      <c r="EF158" s="12"/>
    </row>
    <row r="159" spans="8:136" ht="10.199999999999999" x14ac:dyDescent="0.2">
      <c r="H159" s="12"/>
      <c r="V159" s="12"/>
      <c r="AJ159" s="12"/>
      <c r="AX159" s="12"/>
      <c r="BL159" s="12"/>
      <c r="BZ159" s="12"/>
      <c r="CB159" s="12"/>
      <c r="CP159" s="12"/>
      <c r="DD159" s="12"/>
      <c r="DR159" s="12"/>
      <c r="EF159" s="12"/>
    </row>
    <row r="160" spans="8:136" ht="10.199999999999999" x14ac:dyDescent="0.2">
      <c r="H160" s="12"/>
      <c r="V160" s="12"/>
      <c r="AJ160" s="12"/>
      <c r="AX160" s="12"/>
      <c r="BL160" s="12"/>
      <c r="BZ160" s="12"/>
      <c r="CB160" s="12"/>
      <c r="CP160" s="12"/>
      <c r="DD160" s="12"/>
      <c r="DR160" s="12"/>
      <c r="EF160" s="12"/>
    </row>
    <row r="161" spans="8:136" ht="10.199999999999999" x14ac:dyDescent="0.2">
      <c r="H161" s="12"/>
      <c r="V161" s="12"/>
      <c r="AJ161" s="12"/>
      <c r="AX161" s="12"/>
      <c r="BL161" s="12"/>
      <c r="BZ161" s="12"/>
      <c r="CB161" s="12"/>
      <c r="CP161" s="12"/>
      <c r="DD161" s="12"/>
      <c r="DR161" s="12"/>
      <c r="EF161" s="12"/>
    </row>
    <row r="162" spans="8:136" ht="10.199999999999999" x14ac:dyDescent="0.2">
      <c r="H162" s="12"/>
      <c r="V162" s="12"/>
      <c r="AJ162" s="12"/>
      <c r="AX162" s="12"/>
      <c r="BL162" s="12"/>
      <c r="BZ162" s="12"/>
      <c r="CB162" s="12"/>
      <c r="CP162" s="12"/>
      <c r="DD162" s="12"/>
      <c r="DR162" s="12"/>
      <c r="EF162" s="12"/>
    </row>
    <row r="163" spans="8:136" ht="10.199999999999999" x14ac:dyDescent="0.2">
      <c r="H163" s="12"/>
      <c r="V163" s="12"/>
      <c r="AJ163" s="12"/>
      <c r="AX163" s="12"/>
      <c r="BL163" s="12"/>
      <c r="BZ163" s="12"/>
      <c r="CB163" s="12"/>
      <c r="CP163" s="12"/>
      <c r="DD163" s="12"/>
      <c r="DR163" s="12"/>
      <c r="EF163" s="12"/>
    </row>
    <row r="164" spans="8:136" ht="10.199999999999999" x14ac:dyDescent="0.2">
      <c r="H164" s="12"/>
      <c r="V164" s="12"/>
      <c r="AJ164" s="12"/>
      <c r="AX164" s="12"/>
      <c r="BL164" s="12"/>
      <c r="BZ164" s="12"/>
      <c r="CB164" s="12"/>
      <c r="CP164" s="12"/>
      <c r="DD164" s="12"/>
      <c r="DR164" s="12"/>
      <c r="EF164" s="12"/>
    </row>
    <row r="165" spans="8:136" ht="10.199999999999999" x14ac:dyDescent="0.2">
      <c r="H165" s="12"/>
      <c r="V165" s="12"/>
      <c r="AJ165" s="12"/>
      <c r="AX165" s="12"/>
      <c r="BL165" s="12"/>
      <c r="BZ165" s="12"/>
      <c r="CB165" s="12"/>
      <c r="CP165" s="12"/>
      <c r="DD165" s="12"/>
      <c r="DR165" s="12"/>
      <c r="EF165" s="12"/>
    </row>
    <row r="166" spans="8:136" ht="10.199999999999999" x14ac:dyDescent="0.2">
      <c r="H166" s="12"/>
      <c r="V166" s="12"/>
      <c r="AJ166" s="12"/>
      <c r="AX166" s="12"/>
      <c r="BL166" s="12"/>
      <c r="BZ166" s="12"/>
      <c r="CB166" s="12"/>
      <c r="CP166" s="12"/>
      <c r="DD166" s="12"/>
      <c r="DR166" s="12"/>
      <c r="EF166" s="12"/>
    </row>
    <row r="167" spans="8:136" ht="10.199999999999999" x14ac:dyDescent="0.2">
      <c r="H167" s="12"/>
      <c r="V167" s="12"/>
      <c r="AJ167" s="12"/>
      <c r="AX167" s="12"/>
      <c r="BL167" s="12"/>
      <c r="BZ167" s="12"/>
      <c r="CB167" s="12"/>
      <c r="CP167" s="12"/>
      <c r="DD167" s="12"/>
      <c r="DR167" s="12"/>
      <c r="EF167" s="12"/>
    </row>
    <row r="168" spans="8:136" ht="10.199999999999999" x14ac:dyDescent="0.2">
      <c r="H168" s="12"/>
      <c r="V168" s="12"/>
      <c r="AJ168" s="12"/>
      <c r="AX168" s="12"/>
      <c r="BL168" s="12"/>
      <c r="BZ168" s="12"/>
      <c r="CB168" s="12"/>
      <c r="CP168" s="12"/>
      <c r="DD168" s="12"/>
      <c r="DR168" s="12"/>
      <c r="EF168" s="12"/>
    </row>
    <row r="169" spans="8:136" ht="10.199999999999999" x14ac:dyDescent="0.2">
      <c r="H169" s="12"/>
      <c r="V169" s="12"/>
      <c r="AJ169" s="12"/>
      <c r="AX169" s="12"/>
      <c r="BL169" s="12"/>
      <c r="BZ169" s="12"/>
      <c r="CB169" s="12"/>
      <c r="CP169" s="12"/>
      <c r="DD169" s="12"/>
      <c r="DR169" s="12"/>
      <c r="EF169" s="12"/>
    </row>
    <row r="170" spans="8:136" ht="10.199999999999999" x14ac:dyDescent="0.2">
      <c r="H170" s="12"/>
      <c r="V170" s="12"/>
      <c r="AJ170" s="12"/>
      <c r="AX170" s="12"/>
      <c r="BL170" s="12"/>
      <c r="BZ170" s="12"/>
      <c r="CB170" s="12"/>
      <c r="CP170" s="12"/>
      <c r="DD170" s="12"/>
      <c r="DR170" s="12"/>
      <c r="EF170" s="12"/>
    </row>
    <row r="171" spans="8:136" ht="10.199999999999999" x14ac:dyDescent="0.2">
      <c r="H171" s="12"/>
      <c r="V171" s="12"/>
      <c r="AJ171" s="12"/>
      <c r="AX171" s="12"/>
      <c r="BL171" s="12"/>
      <c r="BZ171" s="12"/>
      <c r="CB171" s="12"/>
      <c r="CP171" s="12"/>
      <c r="DD171" s="12"/>
      <c r="DR171" s="12"/>
      <c r="EF171" s="12"/>
    </row>
    <row r="172" spans="8:136" ht="10.199999999999999" x14ac:dyDescent="0.2">
      <c r="H172" s="12"/>
      <c r="V172" s="12"/>
      <c r="AJ172" s="12"/>
      <c r="AX172" s="12"/>
      <c r="BL172" s="12"/>
      <c r="BZ172" s="12"/>
      <c r="CB172" s="12"/>
      <c r="CP172" s="12"/>
      <c r="DD172" s="12"/>
      <c r="DR172" s="12"/>
      <c r="EF172" s="12"/>
    </row>
    <row r="173" spans="8:136" ht="10.199999999999999" x14ac:dyDescent="0.2">
      <c r="H173" s="12"/>
      <c r="V173" s="12"/>
      <c r="AJ173" s="12"/>
      <c r="AX173" s="12"/>
      <c r="BL173" s="12"/>
      <c r="BZ173" s="12"/>
      <c r="CB173" s="12"/>
      <c r="CP173" s="12"/>
      <c r="DD173" s="12"/>
      <c r="DR173" s="12"/>
      <c r="EF173" s="12"/>
    </row>
    <row r="174" spans="8:136" ht="10.199999999999999" x14ac:dyDescent="0.2">
      <c r="H174" s="12"/>
      <c r="V174" s="12"/>
      <c r="AJ174" s="12"/>
      <c r="AX174" s="12"/>
      <c r="BL174" s="12"/>
      <c r="BZ174" s="12"/>
      <c r="CB174" s="12"/>
      <c r="CP174" s="12"/>
      <c r="DD174" s="12"/>
      <c r="DR174" s="12"/>
      <c r="EF174" s="12"/>
    </row>
    <row r="175" spans="8:136" ht="10.199999999999999" x14ac:dyDescent="0.2">
      <c r="H175" s="12"/>
      <c r="V175" s="12"/>
      <c r="AJ175" s="12"/>
      <c r="AX175" s="12"/>
      <c r="BL175" s="12"/>
      <c r="BZ175" s="12"/>
      <c r="CB175" s="12"/>
      <c r="CP175" s="12"/>
      <c r="DD175" s="12"/>
      <c r="DR175" s="12"/>
      <c r="EF175" s="12"/>
    </row>
    <row r="176" spans="8:136" ht="10.199999999999999" x14ac:dyDescent="0.2">
      <c r="H176" s="12"/>
      <c r="V176" s="12"/>
      <c r="AJ176" s="12"/>
      <c r="AX176" s="12"/>
      <c r="BL176" s="12"/>
      <c r="BZ176" s="12"/>
      <c r="CB176" s="12"/>
      <c r="CP176" s="12"/>
      <c r="DD176" s="12"/>
      <c r="DR176" s="12"/>
      <c r="EF176" s="12"/>
    </row>
    <row r="177" spans="8:136" ht="10.199999999999999" x14ac:dyDescent="0.2">
      <c r="H177" s="12"/>
      <c r="V177" s="12"/>
      <c r="AJ177" s="12"/>
      <c r="AX177" s="12"/>
      <c r="BL177" s="12"/>
      <c r="BZ177" s="12"/>
      <c r="CB177" s="12"/>
      <c r="CP177" s="12"/>
      <c r="DD177" s="12"/>
      <c r="DR177" s="12"/>
      <c r="EF177" s="12"/>
    </row>
    <row r="178" spans="8:136" ht="10.199999999999999" x14ac:dyDescent="0.2">
      <c r="H178" s="12"/>
      <c r="V178" s="12"/>
      <c r="AJ178" s="12"/>
      <c r="AX178" s="12"/>
      <c r="BL178" s="12"/>
      <c r="BZ178" s="12"/>
      <c r="CB178" s="12"/>
      <c r="CP178" s="12"/>
      <c r="DD178" s="12"/>
      <c r="DR178" s="12"/>
      <c r="EF178" s="12"/>
    </row>
    <row r="179" spans="8:136" ht="10.199999999999999" x14ac:dyDescent="0.2">
      <c r="H179" s="12"/>
      <c r="V179" s="12"/>
      <c r="AJ179" s="12"/>
      <c r="AX179" s="12"/>
      <c r="BL179" s="12"/>
      <c r="BZ179" s="12"/>
      <c r="CB179" s="12"/>
      <c r="CP179" s="12"/>
      <c r="DD179" s="12"/>
      <c r="DR179" s="12"/>
      <c r="EF179" s="12"/>
    </row>
    <row r="180" spans="8:136" ht="10.199999999999999" x14ac:dyDescent="0.2">
      <c r="H180" s="12"/>
      <c r="V180" s="12"/>
      <c r="AJ180" s="12"/>
      <c r="AX180" s="12"/>
      <c r="BL180" s="12"/>
      <c r="BZ180" s="12"/>
      <c r="CB180" s="12"/>
      <c r="CP180" s="12"/>
      <c r="DD180" s="12"/>
      <c r="DR180" s="12"/>
      <c r="EF180" s="12"/>
    </row>
    <row r="181" spans="8:136" ht="10.199999999999999" x14ac:dyDescent="0.2">
      <c r="H181" s="12"/>
      <c r="V181" s="12"/>
      <c r="AJ181" s="12"/>
      <c r="AX181" s="12"/>
      <c r="BL181" s="12"/>
      <c r="BZ181" s="12"/>
      <c r="CB181" s="12"/>
      <c r="CP181" s="12"/>
      <c r="DD181" s="12"/>
      <c r="DR181" s="12"/>
      <c r="EF181" s="12"/>
    </row>
    <row r="182" spans="8:136" ht="10.199999999999999" x14ac:dyDescent="0.2">
      <c r="H182" s="12"/>
      <c r="V182" s="12"/>
      <c r="AJ182" s="12"/>
      <c r="AX182" s="12"/>
      <c r="BL182" s="12"/>
      <c r="BZ182" s="12"/>
      <c r="CB182" s="12"/>
      <c r="CP182" s="12"/>
      <c r="DD182" s="12"/>
      <c r="DR182" s="12"/>
      <c r="EF182" s="12"/>
    </row>
    <row r="183" spans="8:136" ht="10.199999999999999" x14ac:dyDescent="0.2">
      <c r="H183" s="12"/>
      <c r="V183" s="12"/>
      <c r="AJ183" s="12"/>
      <c r="AX183" s="12"/>
      <c r="BL183" s="12"/>
      <c r="BZ183" s="12"/>
      <c r="CB183" s="12"/>
      <c r="CP183" s="12"/>
      <c r="DD183" s="12"/>
      <c r="DR183" s="12"/>
      <c r="EF183" s="12"/>
    </row>
    <row r="184" spans="8:136" ht="10.199999999999999" x14ac:dyDescent="0.2">
      <c r="H184" s="12"/>
      <c r="V184" s="12"/>
      <c r="AJ184" s="12"/>
      <c r="AX184" s="12"/>
      <c r="BL184" s="12"/>
      <c r="BZ184" s="12"/>
      <c r="CB184" s="12"/>
      <c r="CP184" s="12"/>
      <c r="DD184" s="12"/>
      <c r="DR184" s="12"/>
      <c r="EF184" s="12"/>
    </row>
    <row r="185" spans="8:136" ht="10.199999999999999" x14ac:dyDescent="0.2">
      <c r="H185" s="12"/>
      <c r="V185" s="12"/>
      <c r="AJ185" s="12"/>
      <c r="AX185" s="12"/>
      <c r="BL185" s="12"/>
      <c r="BZ185" s="12"/>
      <c r="CB185" s="12"/>
      <c r="CP185" s="12"/>
      <c r="DD185" s="12"/>
      <c r="DR185" s="12"/>
      <c r="EF185" s="12"/>
    </row>
    <row r="186" spans="8:136" ht="10.199999999999999" x14ac:dyDescent="0.2">
      <c r="H186" s="12"/>
      <c r="V186" s="12"/>
      <c r="AJ186" s="12"/>
      <c r="AX186" s="12"/>
      <c r="BL186" s="12"/>
      <c r="BZ186" s="12"/>
      <c r="CB186" s="12"/>
      <c r="CP186" s="12"/>
      <c r="DD186" s="12"/>
      <c r="DR186" s="12"/>
      <c r="EF186" s="12"/>
    </row>
    <row r="187" spans="8:136" ht="10.199999999999999" x14ac:dyDescent="0.2">
      <c r="H187" s="12"/>
      <c r="V187" s="12"/>
      <c r="AJ187" s="12"/>
      <c r="AX187" s="12"/>
      <c r="BL187" s="12"/>
      <c r="BZ187" s="12"/>
      <c r="CB187" s="12"/>
      <c r="CP187" s="12"/>
      <c r="DD187" s="12"/>
      <c r="DR187" s="12"/>
      <c r="EF187" s="12"/>
    </row>
    <row r="188" spans="8:136" ht="10.199999999999999" x14ac:dyDescent="0.2">
      <c r="H188" s="12"/>
      <c r="V188" s="12"/>
      <c r="AJ188" s="12"/>
      <c r="AX188" s="12"/>
      <c r="BL188" s="12"/>
      <c r="BZ188" s="12"/>
      <c r="CB188" s="12"/>
      <c r="CP188" s="12"/>
      <c r="DD188" s="12"/>
      <c r="DR188" s="12"/>
      <c r="EF188" s="12"/>
    </row>
    <row r="189" spans="8:136" ht="10.199999999999999" x14ac:dyDescent="0.2">
      <c r="H189" s="12"/>
      <c r="V189" s="12"/>
      <c r="AJ189" s="12"/>
      <c r="AX189" s="12"/>
      <c r="BL189" s="12"/>
      <c r="BZ189" s="12"/>
      <c r="CB189" s="12"/>
      <c r="CP189" s="12"/>
      <c r="DD189" s="12"/>
      <c r="DR189" s="12"/>
      <c r="EF189" s="12"/>
    </row>
    <row r="190" spans="8:136" ht="10.199999999999999" x14ac:dyDescent="0.2">
      <c r="H190" s="12"/>
      <c r="V190" s="12"/>
      <c r="AJ190" s="12"/>
      <c r="AX190" s="12"/>
      <c r="BL190" s="12"/>
      <c r="BZ190" s="12"/>
      <c r="CB190" s="12"/>
      <c r="CP190" s="12"/>
      <c r="DD190" s="12"/>
      <c r="DR190" s="12"/>
      <c r="EF190" s="12"/>
    </row>
    <row r="191" spans="8:136" ht="10.199999999999999" x14ac:dyDescent="0.2">
      <c r="H191" s="12"/>
      <c r="V191" s="12"/>
      <c r="AJ191" s="12"/>
      <c r="AX191" s="12"/>
      <c r="BL191" s="12"/>
      <c r="BZ191" s="12"/>
      <c r="CB191" s="12"/>
      <c r="CP191" s="12"/>
      <c r="DD191" s="12"/>
      <c r="DR191" s="12"/>
      <c r="EF191" s="12"/>
    </row>
    <row r="192" spans="8:136" ht="10.199999999999999" x14ac:dyDescent="0.2">
      <c r="H192" s="12"/>
      <c r="V192" s="12"/>
      <c r="AJ192" s="12"/>
      <c r="AX192" s="12"/>
      <c r="BL192" s="12"/>
      <c r="BZ192" s="12"/>
      <c r="CB192" s="12"/>
      <c r="CP192" s="12"/>
      <c r="DD192" s="12"/>
      <c r="DR192" s="12"/>
      <c r="EF192" s="12"/>
    </row>
    <row r="193" spans="8:136" ht="10.199999999999999" x14ac:dyDescent="0.2">
      <c r="H193" s="12"/>
      <c r="V193" s="12"/>
      <c r="AJ193" s="12"/>
      <c r="AX193" s="12"/>
      <c r="BL193" s="12"/>
      <c r="BZ193" s="12"/>
      <c r="CB193" s="12"/>
      <c r="CP193" s="12"/>
      <c r="DD193" s="12"/>
      <c r="DR193" s="12"/>
      <c r="EF193" s="12"/>
    </row>
    <row r="194" spans="8:136" ht="10.199999999999999" x14ac:dyDescent="0.2">
      <c r="H194" s="12"/>
      <c r="V194" s="12"/>
      <c r="AJ194" s="12"/>
      <c r="AX194" s="12"/>
      <c r="BL194" s="12"/>
      <c r="BZ194" s="12"/>
      <c r="CB194" s="12"/>
      <c r="CP194" s="12"/>
      <c r="DD194" s="12"/>
      <c r="DR194" s="12"/>
      <c r="EF194" s="12"/>
    </row>
    <row r="195" spans="8:136" ht="10.199999999999999" x14ac:dyDescent="0.2">
      <c r="H195" s="12"/>
      <c r="V195" s="12"/>
      <c r="AJ195" s="12"/>
      <c r="AX195" s="12"/>
      <c r="BL195" s="12"/>
      <c r="BZ195" s="12"/>
      <c r="CB195" s="12"/>
      <c r="CP195" s="12"/>
      <c r="DD195" s="12"/>
      <c r="DR195" s="12"/>
      <c r="EF195" s="12"/>
    </row>
    <row r="196" spans="8:136" ht="10.199999999999999" x14ac:dyDescent="0.2">
      <c r="H196" s="12"/>
      <c r="V196" s="12"/>
      <c r="AJ196" s="12"/>
      <c r="AX196" s="12"/>
      <c r="BL196" s="12"/>
      <c r="BZ196" s="12"/>
      <c r="CB196" s="12"/>
      <c r="CP196" s="12"/>
      <c r="DD196" s="12"/>
      <c r="DR196" s="12"/>
      <c r="EF196" s="12"/>
    </row>
    <row r="197" spans="8:136" ht="10.199999999999999" x14ac:dyDescent="0.2">
      <c r="H197" s="12"/>
      <c r="V197" s="12"/>
      <c r="AJ197" s="12"/>
      <c r="AX197" s="12"/>
      <c r="BL197" s="12"/>
      <c r="BZ197" s="12"/>
      <c r="CB197" s="12"/>
      <c r="CP197" s="12"/>
      <c r="DD197" s="12"/>
      <c r="DR197" s="12"/>
      <c r="EF197" s="12"/>
    </row>
    <row r="198" spans="8:136" ht="10.199999999999999" x14ac:dyDescent="0.2">
      <c r="H198" s="12"/>
      <c r="V198" s="12"/>
      <c r="AJ198" s="12"/>
      <c r="AX198" s="12"/>
      <c r="BL198" s="12"/>
      <c r="BZ198" s="12"/>
      <c r="CB198" s="12"/>
      <c r="CP198" s="12"/>
      <c r="DD198" s="12"/>
      <c r="DR198" s="12"/>
      <c r="EF198" s="12"/>
    </row>
    <row r="199" spans="8:136" ht="10.199999999999999" x14ac:dyDescent="0.2">
      <c r="H199" s="12"/>
      <c r="V199" s="12"/>
      <c r="AJ199" s="12"/>
      <c r="AX199" s="12"/>
      <c r="BL199" s="12"/>
      <c r="BZ199" s="12"/>
      <c r="CB199" s="12"/>
      <c r="CP199" s="12"/>
      <c r="DD199" s="12"/>
      <c r="DR199" s="12"/>
      <c r="EF199" s="12"/>
    </row>
    <row r="200" spans="8:136" ht="10.199999999999999" x14ac:dyDescent="0.2">
      <c r="H200" s="12"/>
      <c r="V200" s="12"/>
      <c r="AJ200" s="12"/>
      <c r="AX200" s="12"/>
      <c r="BL200" s="12"/>
      <c r="BZ200" s="12"/>
      <c r="CB200" s="12"/>
      <c r="CP200" s="12"/>
      <c r="DD200" s="12"/>
      <c r="DR200" s="12"/>
      <c r="EF200" s="12"/>
    </row>
    <row r="201" spans="8:136" ht="10.199999999999999" x14ac:dyDescent="0.2">
      <c r="H201" s="12"/>
      <c r="V201" s="12"/>
      <c r="AJ201" s="12"/>
      <c r="AX201" s="12"/>
      <c r="BL201" s="12"/>
      <c r="BZ201" s="12"/>
      <c r="CB201" s="12"/>
      <c r="CP201" s="12"/>
      <c r="DD201" s="12"/>
      <c r="DR201" s="12"/>
      <c r="EF201" s="12"/>
    </row>
    <row r="202" spans="8:136" ht="10.199999999999999" x14ac:dyDescent="0.2">
      <c r="H202" s="12"/>
      <c r="V202" s="12"/>
      <c r="AJ202" s="12"/>
      <c r="AX202" s="12"/>
      <c r="BL202" s="12"/>
      <c r="BZ202" s="12"/>
      <c r="CB202" s="12"/>
      <c r="CP202" s="12"/>
      <c r="DD202" s="12"/>
      <c r="DR202" s="12"/>
      <c r="EF202" s="12"/>
    </row>
    <row r="203" spans="8:136" ht="10.199999999999999" x14ac:dyDescent="0.2">
      <c r="H203" s="12"/>
      <c r="V203" s="12"/>
      <c r="AJ203" s="12"/>
      <c r="AX203" s="12"/>
      <c r="BL203" s="12"/>
      <c r="BZ203" s="12"/>
      <c r="CB203" s="12"/>
      <c r="CP203" s="12"/>
      <c r="DD203" s="12"/>
      <c r="DR203" s="12"/>
      <c r="EF203" s="12"/>
    </row>
    <row r="204" spans="8:136" ht="10.199999999999999" x14ac:dyDescent="0.2">
      <c r="H204" s="12"/>
      <c r="V204" s="12"/>
      <c r="AJ204" s="12"/>
      <c r="AX204" s="12"/>
      <c r="BL204" s="12"/>
      <c r="BZ204" s="12"/>
      <c r="CB204" s="12"/>
      <c r="CP204" s="12"/>
      <c r="DD204" s="12"/>
      <c r="DR204" s="12"/>
      <c r="EF204" s="12"/>
    </row>
    <row r="205" spans="8:136" ht="10.199999999999999" x14ac:dyDescent="0.2">
      <c r="H205" s="12"/>
      <c r="V205" s="12"/>
      <c r="AJ205" s="12"/>
      <c r="AX205" s="12"/>
      <c r="BL205" s="12"/>
      <c r="BZ205" s="12"/>
      <c r="CB205" s="12"/>
      <c r="CP205" s="12"/>
      <c r="DD205" s="12"/>
      <c r="DR205" s="12"/>
      <c r="EF205" s="12"/>
    </row>
    <row r="206" spans="8:136" ht="10.199999999999999" x14ac:dyDescent="0.2">
      <c r="H206" s="12"/>
      <c r="V206" s="12"/>
      <c r="AJ206" s="12"/>
      <c r="AX206" s="12"/>
      <c r="BL206" s="12"/>
      <c r="BZ206" s="12"/>
      <c r="CB206" s="12"/>
      <c r="CP206" s="12"/>
      <c r="DD206" s="12"/>
      <c r="DR206" s="12"/>
      <c r="EF206" s="12"/>
    </row>
    <row r="207" spans="8:136" ht="10.199999999999999" x14ac:dyDescent="0.2">
      <c r="H207" s="12"/>
      <c r="V207" s="12"/>
      <c r="AJ207" s="12"/>
      <c r="AX207" s="12"/>
      <c r="BL207" s="12"/>
      <c r="BZ207" s="12"/>
      <c r="CB207" s="12"/>
      <c r="CP207" s="12"/>
      <c r="DD207" s="12"/>
      <c r="DR207" s="12"/>
      <c r="EF207" s="12"/>
    </row>
    <row r="208" spans="8:136" ht="10.199999999999999" x14ac:dyDescent="0.2">
      <c r="H208" s="12"/>
      <c r="V208" s="12"/>
      <c r="AJ208" s="12"/>
      <c r="AX208" s="12"/>
      <c r="BL208" s="12"/>
      <c r="BZ208" s="12"/>
      <c r="CB208" s="12"/>
      <c r="CP208" s="12"/>
      <c r="DD208" s="12"/>
      <c r="DR208" s="12"/>
      <c r="EF208" s="12"/>
    </row>
    <row r="209" spans="8:136" ht="10.199999999999999" x14ac:dyDescent="0.2">
      <c r="H209" s="12"/>
      <c r="V209" s="12"/>
      <c r="AJ209" s="12"/>
      <c r="AX209" s="12"/>
      <c r="BL209" s="12"/>
      <c r="BZ209" s="12"/>
      <c r="CB209" s="12"/>
      <c r="CP209" s="12"/>
      <c r="DD209" s="12"/>
      <c r="DR209" s="12"/>
      <c r="EF209" s="12"/>
    </row>
    <row r="210" spans="8:136" ht="10.199999999999999" x14ac:dyDescent="0.2">
      <c r="H210" s="12"/>
      <c r="V210" s="12"/>
      <c r="AJ210" s="12"/>
      <c r="AX210" s="12"/>
      <c r="BL210" s="12"/>
      <c r="BZ210" s="12"/>
      <c r="CB210" s="12"/>
      <c r="CP210" s="12"/>
      <c r="DD210" s="12"/>
      <c r="DR210" s="12"/>
      <c r="EF210" s="12"/>
    </row>
    <row r="211" spans="8:136" ht="10.199999999999999" x14ac:dyDescent="0.2">
      <c r="H211" s="12"/>
      <c r="V211" s="12"/>
      <c r="AJ211" s="12"/>
      <c r="AX211" s="12"/>
      <c r="BL211" s="12"/>
      <c r="BZ211" s="12"/>
      <c r="CB211" s="12"/>
      <c r="CP211" s="12"/>
      <c r="DD211" s="12"/>
      <c r="DR211" s="12"/>
      <c r="EF211" s="12"/>
    </row>
    <row r="212" spans="8:136" ht="10.199999999999999" x14ac:dyDescent="0.2">
      <c r="H212" s="12"/>
      <c r="V212" s="12"/>
      <c r="AJ212" s="12"/>
      <c r="AX212" s="12"/>
      <c r="BL212" s="12"/>
      <c r="BZ212" s="12"/>
      <c r="CB212" s="12"/>
      <c r="CP212" s="12"/>
      <c r="DD212" s="12"/>
      <c r="DR212" s="12"/>
      <c r="EF212" s="12"/>
    </row>
    <row r="213" spans="8:136" ht="10.199999999999999" x14ac:dyDescent="0.2">
      <c r="H213" s="12"/>
      <c r="V213" s="12"/>
      <c r="AJ213" s="12"/>
      <c r="AX213" s="12"/>
      <c r="BL213" s="12"/>
      <c r="BZ213" s="12"/>
      <c r="CB213" s="12"/>
      <c r="CP213" s="12"/>
      <c r="DD213" s="12"/>
      <c r="DR213" s="12"/>
      <c r="EF213" s="12"/>
    </row>
    <row r="214" spans="8:136" ht="10.199999999999999" x14ac:dyDescent="0.2">
      <c r="H214" s="12"/>
      <c r="V214" s="12"/>
      <c r="AJ214" s="12"/>
      <c r="AX214" s="12"/>
      <c r="BL214" s="12"/>
      <c r="BZ214" s="12"/>
      <c r="CB214" s="12"/>
      <c r="CP214" s="12"/>
      <c r="DD214" s="12"/>
      <c r="DR214" s="12"/>
      <c r="EF214" s="12"/>
    </row>
    <row r="215" spans="8:136" ht="10.199999999999999" x14ac:dyDescent="0.2">
      <c r="H215" s="12"/>
      <c r="V215" s="12"/>
      <c r="AJ215" s="12"/>
      <c r="AX215" s="12"/>
      <c r="BL215" s="12"/>
      <c r="BZ215" s="12"/>
      <c r="CB215" s="12"/>
      <c r="CP215" s="12"/>
      <c r="DD215" s="12"/>
      <c r="DR215" s="12"/>
      <c r="EF215" s="12"/>
    </row>
    <row r="216" spans="8:136" ht="10.199999999999999" x14ac:dyDescent="0.2">
      <c r="H216" s="12"/>
      <c r="V216" s="12"/>
      <c r="AJ216" s="12"/>
      <c r="AX216" s="12"/>
      <c r="BL216" s="12"/>
      <c r="BZ216" s="12"/>
      <c r="CB216" s="12"/>
      <c r="CP216" s="12"/>
      <c r="DD216" s="12"/>
      <c r="DR216" s="12"/>
      <c r="EF216" s="12"/>
    </row>
    <row r="217" spans="8:136" ht="10.199999999999999" x14ac:dyDescent="0.2">
      <c r="H217" s="12"/>
      <c r="V217" s="12"/>
      <c r="AJ217" s="12"/>
      <c r="AX217" s="12"/>
      <c r="BL217" s="12"/>
      <c r="BZ217" s="12"/>
      <c r="CB217" s="12"/>
      <c r="CP217" s="12"/>
      <c r="DD217" s="12"/>
      <c r="DR217" s="12"/>
      <c r="EF217" s="12"/>
    </row>
    <row r="218" spans="8:136" ht="10.199999999999999" x14ac:dyDescent="0.2">
      <c r="H218" s="12"/>
      <c r="V218" s="12"/>
      <c r="AJ218" s="12"/>
      <c r="AX218" s="12"/>
      <c r="BL218" s="12"/>
      <c r="BZ218" s="12"/>
      <c r="CB218" s="12"/>
      <c r="CP218" s="12"/>
      <c r="DD218" s="12"/>
      <c r="DR218" s="12"/>
      <c r="EF218" s="12"/>
    </row>
    <row r="219" spans="8:136" ht="10.199999999999999" x14ac:dyDescent="0.2">
      <c r="H219" s="12"/>
      <c r="V219" s="12"/>
      <c r="AJ219" s="12"/>
      <c r="AX219" s="12"/>
      <c r="BL219" s="12"/>
      <c r="BZ219" s="12"/>
      <c r="CB219" s="12"/>
      <c r="CP219" s="12"/>
      <c r="DD219" s="12"/>
      <c r="DR219" s="12"/>
      <c r="EF219" s="12"/>
    </row>
    <row r="220" spans="8:136" ht="10.199999999999999" x14ac:dyDescent="0.2">
      <c r="H220" s="12"/>
      <c r="V220" s="12"/>
      <c r="AJ220" s="12"/>
      <c r="AX220" s="12"/>
      <c r="BL220" s="12"/>
      <c r="BZ220" s="12"/>
      <c r="CB220" s="12"/>
      <c r="CP220" s="12"/>
      <c r="DD220" s="12"/>
      <c r="DR220" s="12"/>
      <c r="EF220" s="12"/>
    </row>
    <row r="221" spans="8:136" ht="10.199999999999999" x14ac:dyDescent="0.2">
      <c r="H221" s="12"/>
      <c r="V221" s="12"/>
      <c r="AJ221" s="12"/>
      <c r="AX221" s="12"/>
      <c r="BL221" s="12"/>
      <c r="BZ221" s="12"/>
      <c r="CB221" s="12"/>
      <c r="CP221" s="12"/>
      <c r="DD221" s="12"/>
      <c r="DR221" s="12"/>
      <c r="EF221" s="12"/>
    </row>
    <row r="222" spans="8:136" ht="10.199999999999999" x14ac:dyDescent="0.2">
      <c r="H222" s="12"/>
      <c r="V222" s="12"/>
      <c r="AJ222" s="12"/>
      <c r="AX222" s="12"/>
      <c r="BL222" s="12"/>
      <c r="BZ222" s="12"/>
      <c r="CB222" s="12"/>
      <c r="CP222" s="12"/>
      <c r="DD222" s="12"/>
      <c r="DR222" s="12"/>
      <c r="EF222" s="12"/>
    </row>
    <row r="223" spans="8:136" ht="10.199999999999999" x14ac:dyDescent="0.2">
      <c r="H223" s="12"/>
      <c r="V223" s="12"/>
      <c r="AJ223" s="12"/>
      <c r="AX223" s="12"/>
      <c r="BL223" s="12"/>
      <c r="BZ223" s="12"/>
      <c r="CB223" s="12"/>
      <c r="CP223" s="12"/>
      <c r="DD223" s="12"/>
      <c r="DR223" s="12"/>
      <c r="EF223" s="12"/>
    </row>
    <row r="224" spans="8:136" ht="10.199999999999999" x14ac:dyDescent="0.2">
      <c r="H224" s="12"/>
      <c r="V224" s="12"/>
      <c r="AJ224" s="12"/>
      <c r="AX224" s="12"/>
      <c r="BL224" s="12"/>
      <c r="BZ224" s="12"/>
      <c r="CB224" s="12"/>
      <c r="CP224" s="12"/>
      <c r="DD224" s="12"/>
      <c r="DR224" s="12"/>
      <c r="EF224" s="12"/>
    </row>
    <row r="225" spans="8:136" ht="10.199999999999999" x14ac:dyDescent="0.2">
      <c r="H225" s="12"/>
      <c r="V225" s="12"/>
      <c r="AJ225" s="12"/>
      <c r="AX225" s="12"/>
      <c r="BL225" s="12"/>
      <c r="BZ225" s="12"/>
      <c r="CB225" s="12"/>
      <c r="CP225" s="12"/>
      <c r="DD225" s="12"/>
      <c r="DR225" s="12"/>
      <c r="EF225" s="12"/>
    </row>
    <row r="226" spans="8:136" ht="10.199999999999999" x14ac:dyDescent="0.2">
      <c r="H226" s="12"/>
      <c r="V226" s="12"/>
      <c r="AJ226" s="12"/>
      <c r="AX226" s="12"/>
      <c r="BL226" s="12"/>
      <c r="BZ226" s="12"/>
      <c r="CB226" s="12"/>
      <c r="CP226" s="12"/>
      <c r="DD226" s="12"/>
      <c r="DR226" s="12"/>
      <c r="EF226" s="12"/>
    </row>
    <row r="227" spans="8:136" ht="10.199999999999999" x14ac:dyDescent="0.2">
      <c r="H227" s="12"/>
      <c r="V227" s="12"/>
      <c r="AJ227" s="12"/>
      <c r="AX227" s="12"/>
      <c r="BL227" s="12"/>
      <c r="BZ227" s="12"/>
      <c r="CB227" s="12"/>
      <c r="CP227" s="12"/>
      <c r="DD227" s="12"/>
      <c r="DR227" s="12"/>
      <c r="EF227" s="12"/>
    </row>
    <row r="228" spans="8:136" ht="10.199999999999999" x14ac:dyDescent="0.2">
      <c r="H228" s="12"/>
      <c r="V228" s="12"/>
      <c r="AJ228" s="12"/>
      <c r="AX228" s="12"/>
      <c r="BL228" s="12"/>
      <c r="BZ228" s="12"/>
      <c r="CB228" s="12"/>
      <c r="CP228" s="12"/>
      <c r="DD228" s="12"/>
      <c r="DR228" s="12"/>
      <c r="EF228" s="12"/>
    </row>
    <row r="229" spans="8:136" ht="10.199999999999999" x14ac:dyDescent="0.2">
      <c r="H229" s="12"/>
      <c r="V229" s="12"/>
      <c r="AJ229" s="12"/>
      <c r="AX229" s="12"/>
      <c r="BL229" s="12"/>
      <c r="BZ229" s="12"/>
      <c r="CB229" s="12"/>
      <c r="CP229" s="12"/>
      <c r="DD229" s="12"/>
      <c r="DR229" s="12"/>
      <c r="EF229" s="12"/>
    </row>
    <row r="230" spans="8:136" ht="10.199999999999999" x14ac:dyDescent="0.2">
      <c r="H230" s="12"/>
      <c r="V230" s="12"/>
      <c r="AJ230" s="12"/>
      <c r="AX230" s="12"/>
      <c r="BL230" s="12"/>
      <c r="BZ230" s="12"/>
      <c r="CB230" s="12"/>
      <c r="CP230" s="12"/>
      <c r="DD230" s="12"/>
      <c r="DR230" s="12"/>
      <c r="EF230" s="12"/>
    </row>
    <row r="231" spans="8:136" ht="10.199999999999999" x14ac:dyDescent="0.2">
      <c r="H231" s="12"/>
      <c r="V231" s="12"/>
      <c r="AJ231" s="12"/>
      <c r="AX231" s="12"/>
      <c r="BL231" s="12"/>
      <c r="BZ231" s="12"/>
      <c r="CB231" s="12"/>
      <c r="CP231" s="12"/>
      <c r="DD231" s="12"/>
      <c r="DR231" s="12"/>
      <c r="EF231" s="12"/>
    </row>
    <row r="232" spans="8:136" ht="10.199999999999999" x14ac:dyDescent="0.2">
      <c r="H232" s="12"/>
      <c r="V232" s="12"/>
      <c r="AJ232" s="12"/>
      <c r="AX232" s="12"/>
      <c r="BL232" s="12"/>
      <c r="BZ232" s="12"/>
      <c r="CB232" s="12"/>
      <c r="CP232" s="12"/>
      <c r="DD232" s="12"/>
      <c r="DR232" s="12"/>
      <c r="EF232" s="12"/>
    </row>
    <row r="233" spans="8:136" ht="10.199999999999999" x14ac:dyDescent="0.2">
      <c r="H233" s="12"/>
      <c r="V233" s="12"/>
      <c r="AJ233" s="12"/>
      <c r="AX233" s="12"/>
      <c r="BL233" s="12"/>
      <c r="BZ233" s="12"/>
      <c r="CB233" s="12"/>
      <c r="CP233" s="12"/>
      <c r="DD233" s="12"/>
      <c r="DR233" s="12"/>
      <c r="EF233" s="12"/>
    </row>
    <row r="234" spans="8:136" ht="10.199999999999999" x14ac:dyDescent="0.2">
      <c r="H234" s="12"/>
      <c r="V234" s="12"/>
      <c r="AJ234" s="12"/>
      <c r="AX234" s="12"/>
      <c r="BL234" s="12"/>
      <c r="BZ234" s="12"/>
      <c r="CB234" s="12"/>
      <c r="CP234" s="12"/>
      <c r="DD234" s="12"/>
      <c r="DR234" s="12"/>
      <c r="EF234" s="12"/>
    </row>
    <row r="235" spans="8:136" ht="10.199999999999999" x14ac:dyDescent="0.2">
      <c r="H235" s="12"/>
      <c r="V235" s="12"/>
      <c r="AJ235" s="12"/>
      <c r="AX235" s="12"/>
      <c r="BL235" s="12"/>
      <c r="BZ235" s="12"/>
      <c r="CB235" s="12"/>
      <c r="CP235" s="12"/>
      <c r="DD235" s="12"/>
      <c r="DR235" s="12"/>
      <c r="EF235" s="12"/>
    </row>
    <row r="236" spans="8:136" ht="10.199999999999999" x14ac:dyDescent="0.2">
      <c r="H236" s="12"/>
      <c r="V236" s="12"/>
      <c r="AJ236" s="12"/>
      <c r="AX236" s="12"/>
      <c r="BL236" s="12"/>
      <c r="BZ236" s="12"/>
      <c r="CB236" s="12"/>
      <c r="CP236" s="12"/>
      <c r="DD236" s="12"/>
      <c r="DR236" s="12"/>
      <c r="EF236" s="12"/>
    </row>
    <row r="237" spans="8:136" ht="10.199999999999999" x14ac:dyDescent="0.2">
      <c r="H237" s="12"/>
      <c r="V237" s="12"/>
      <c r="AJ237" s="12"/>
      <c r="AX237" s="12"/>
      <c r="BL237" s="12"/>
      <c r="BZ237" s="12"/>
      <c r="CB237" s="12"/>
      <c r="CP237" s="12"/>
      <c r="DD237" s="12"/>
      <c r="DR237" s="12"/>
      <c r="EF237" s="12"/>
    </row>
    <row r="238" spans="8:136" ht="10.199999999999999" x14ac:dyDescent="0.2">
      <c r="H238" s="12"/>
      <c r="V238" s="12"/>
      <c r="AJ238" s="12"/>
      <c r="AX238" s="12"/>
      <c r="BL238" s="12"/>
      <c r="BZ238" s="12"/>
      <c r="CB238" s="12"/>
      <c r="CP238" s="12"/>
      <c r="DD238" s="12"/>
      <c r="DR238" s="12"/>
      <c r="EF238" s="12"/>
    </row>
    <row r="239" spans="8:136" ht="10.199999999999999" x14ac:dyDescent="0.2">
      <c r="H239" s="12"/>
      <c r="V239" s="12"/>
      <c r="AJ239" s="12"/>
      <c r="AX239" s="12"/>
      <c r="BL239" s="12"/>
      <c r="BZ239" s="12"/>
      <c r="CB239" s="12"/>
      <c r="CP239" s="12"/>
      <c r="DD239" s="12"/>
      <c r="DR239" s="12"/>
      <c r="EF239" s="12"/>
    </row>
    <row r="240" spans="8:136" ht="10.199999999999999" x14ac:dyDescent="0.2">
      <c r="H240" s="12"/>
      <c r="V240" s="12"/>
      <c r="AJ240" s="12"/>
      <c r="AX240" s="12"/>
      <c r="BL240" s="12"/>
      <c r="BZ240" s="12"/>
      <c r="CB240" s="12"/>
      <c r="CP240" s="12"/>
      <c r="DD240" s="12"/>
      <c r="DR240" s="12"/>
      <c r="EF240" s="12"/>
    </row>
    <row r="241" spans="8:136" ht="10.199999999999999" x14ac:dyDescent="0.2">
      <c r="H241" s="12"/>
      <c r="V241" s="12"/>
      <c r="AJ241" s="12"/>
      <c r="AX241" s="12"/>
      <c r="BL241" s="12"/>
      <c r="BZ241" s="12"/>
      <c r="CB241" s="12"/>
      <c r="CP241" s="12"/>
      <c r="DD241" s="12"/>
      <c r="DR241" s="12"/>
      <c r="EF241" s="12"/>
    </row>
    <row r="242" spans="8:136" ht="10.199999999999999" x14ac:dyDescent="0.2">
      <c r="H242" s="12"/>
      <c r="V242" s="12"/>
      <c r="AJ242" s="12"/>
      <c r="AX242" s="12"/>
      <c r="BL242" s="12"/>
      <c r="BZ242" s="12"/>
      <c r="CB242" s="12"/>
      <c r="CP242" s="12"/>
      <c r="DD242" s="12"/>
      <c r="DR242" s="12"/>
      <c r="EF242" s="12"/>
    </row>
    <row r="243" spans="8:136" ht="10.199999999999999" x14ac:dyDescent="0.2">
      <c r="H243" s="12"/>
      <c r="V243" s="12"/>
      <c r="AJ243" s="12"/>
      <c r="AX243" s="12"/>
      <c r="BL243" s="12"/>
      <c r="BZ243" s="12"/>
      <c r="CB243" s="12"/>
      <c r="CP243" s="12"/>
      <c r="DD243" s="12"/>
      <c r="DR243" s="12"/>
      <c r="EF243" s="12"/>
    </row>
    <row r="244" spans="8:136" ht="10.199999999999999" x14ac:dyDescent="0.2">
      <c r="H244" s="12"/>
      <c r="V244" s="12"/>
      <c r="AJ244" s="12"/>
      <c r="AX244" s="12"/>
      <c r="BL244" s="12"/>
      <c r="BZ244" s="12"/>
      <c r="CB244" s="12"/>
      <c r="CP244" s="12"/>
      <c r="DD244" s="12"/>
      <c r="DR244" s="12"/>
      <c r="EF244" s="12"/>
    </row>
    <row r="245" spans="8:136" ht="10.199999999999999" x14ac:dyDescent="0.2">
      <c r="H245" s="12"/>
      <c r="V245" s="12"/>
      <c r="AJ245" s="12"/>
      <c r="AX245" s="12"/>
      <c r="BL245" s="12"/>
      <c r="BZ245" s="12"/>
      <c r="CB245" s="12"/>
      <c r="CP245" s="12"/>
      <c r="DD245" s="12"/>
      <c r="DR245" s="12"/>
      <c r="EF245" s="12"/>
    </row>
    <row r="246" spans="8:136" ht="10.199999999999999" x14ac:dyDescent="0.2">
      <c r="H246" s="12"/>
      <c r="V246" s="12"/>
      <c r="AJ246" s="12"/>
      <c r="AX246" s="12"/>
      <c r="BL246" s="12"/>
      <c r="BZ246" s="12"/>
      <c r="CB246" s="12"/>
      <c r="CP246" s="12"/>
      <c r="DD246" s="12"/>
      <c r="DR246" s="12"/>
      <c r="EF246" s="12"/>
    </row>
    <row r="247" spans="8:136" ht="10.199999999999999" x14ac:dyDescent="0.2">
      <c r="H247" s="12"/>
      <c r="V247" s="12"/>
      <c r="AJ247" s="12"/>
      <c r="AX247" s="12"/>
      <c r="BL247" s="12"/>
      <c r="BZ247" s="12"/>
      <c r="CB247" s="12"/>
      <c r="CP247" s="12"/>
      <c r="DD247" s="12"/>
      <c r="DR247" s="12"/>
      <c r="EF247" s="12"/>
    </row>
    <row r="248" spans="8:136" ht="10.199999999999999" x14ac:dyDescent="0.2">
      <c r="H248" s="12"/>
      <c r="V248" s="12"/>
      <c r="AJ248" s="12"/>
      <c r="AX248" s="12"/>
      <c r="BL248" s="12"/>
      <c r="BZ248" s="12"/>
      <c r="CB248" s="12"/>
      <c r="CP248" s="12"/>
      <c r="DD248" s="12"/>
      <c r="DR248" s="12"/>
      <c r="EF248" s="12"/>
    </row>
    <row r="249" spans="8:136" ht="10.199999999999999" x14ac:dyDescent="0.2">
      <c r="H249" s="12"/>
      <c r="V249" s="12"/>
      <c r="AJ249" s="12"/>
      <c r="AX249" s="12"/>
      <c r="BL249" s="12"/>
      <c r="BZ249" s="12"/>
      <c r="CB249" s="12"/>
      <c r="CP249" s="12"/>
      <c r="DD249" s="12"/>
      <c r="DR249" s="12"/>
      <c r="EF249" s="12"/>
    </row>
    <row r="250" spans="8:136" ht="10.199999999999999" x14ac:dyDescent="0.2">
      <c r="H250" s="12"/>
      <c r="V250" s="12"/>
      <c r="AJ250" s="12"/>
      <c r="AX250" s="12"/>
      <c r="BL250" s="12"/>
      <c r="BZ250" s="12"/>
      <c r="CB250" s="12"/>
      <c r="CP250" s="12"/>
      <c r="DD250" s="12"/>
      <c r="DR250" s="12"/>
      <c r="EF250" s="12"/>
    </row>
    <row r="251" spans="8:136" ht="10.199999999999999" x14ac:dyDescent="0.2">
      <c r="H251" s="12"/>
      <c r="V251" s="12"/>
      <c r="AJ251" s="12"/>
      <c r="AX251" s="12"/>
      <c r="BL251" s="12"/>
      <c r="BZ251" s="12"/>
      <c r="CB251" s="12"/>
      <c r="CP251" s="12"/>
      <c r="DD251" s="12"/>
      <c r="DR251" s="12"/>
      <c r="EF251" s="12"/>
    </row>
    <row r="252" spans="8:136" ht="10.199999999999999" x14ac:dyDescent="0.2">
      <c r="H252" s="12"/>
      <c r="V252" s="12"/>
      <c r="AJ252" s="12"/>
      <c r="AX252" s="12"/>
      <c r="BL252" s="12"/>
      <c r="BZ252" s="12"/>
      <c r="CB252" s="12"/>
      <c r="CP252" s="12"/>
      <c r="DD252" s="12"/>
      <c r="DR252" s="12"/>
      <c r="EF252" s="12"/>
    </row>
    <row r="253" spans="8:136" ht="10.199999999999999" x14ac:dyDescent="0.2">
      <c r="H253" s="12"/>
      <c r="V253" s="12"/>
      <c r="AJ253" s="12"/>
      <c r="AX253" s="12"/>
      <c r="BL253" s="12"/>
      <c r="BZ253" s="12"/>
      <c r="CB253" s="12"/>
      <c r="CP253" s="12"/>
      <c r="DD253" s="12"/>
      <c r="DR253" s="12"/>
      <c r="EF253" s="12"/>
    </row>
    <row r="254" spans="8:136" ht="10.199999999999999" x14ac:dyDescent="0.2">
      <c r="H254" s="12"/>
      <c r="V254" s="12"/>
      <c r="AJ254" s="12"/>
      <c r="AX254" s="12"/>
      <c r="BL254" s="12"/>
      <c r="BZ254" s="12"/>
      <c r="CB254" s="12"/>
      <c r="CP254" s="12"/>
      <c r="DD254" s="12"/>
      <c r="DR254" s="12"/>
      <c r="EF254" s="12"/>
    </row>
    <row r="255" spans="8:136" ht="10.199999999999999" x14ac:dyDescent="0.2">
      <c r="H255" s="12"/>
      <c r="V255" s="12"/>
      <c r="AJ255" s="12"/>
      <c r="AX255" s="12"/>
      <c r="BL255" s="12"/>
      <c r="BZ255" s="12"/>
      <c r="CB255" s="12"/>
      <c r="CP255" s="12"/>
      <c r="DD255" s="12"/>
      <c r="DR255" s="12"/>
      <c r="EF255" s="12"/>
    </row>
    <row r="256" spans="8:136" ht="10.199999999999999" x14ac:dyDescent="0.2">
      <c r="H256" s="12"/>
      <c r="V256" s="12"/>
      <c r="AJ256" s="12"/>
      <c r="AX256" s="12"/>
      <c r="BL256" s="12"/>
      <c r="BZ256" s="12"/>
      <c r="CB256" s="12"/>
      <c r="CP256" s="12"/>
      <c r="DD256" s="12"/>
      <c r="DR256" s="12"/>
      <c r="EF256" s="12"/>
    </row>
    <row r="257" spans="8:136" ht="10.199999999999999" x14ac:dyDescent="0.2">
      <c r="H257" s="12"/>
      <c r="V257" s="12"/>
      <c r="AJ257" s="12"/>
      <c r="AX257" s="12"/>
      <c r="BL257" s="12"/>
      <c r="BZ257" s="12"/>
      <c r="CB257" s="12"/>
      <c r="CP257" s="12"/>
      <c r="DD257" s="12"/>
      <c r="DR257" s="12"/>
      <c r="EF257" s="12"/>
    </row>
    <row r="258" spans="8:136" ht="10.199999999999999" x14ac:dyDescent="0.2">
      <c r="H258" s="12"/>
      <c r="V258" s="12"/>
      <c r="AJ258" s="12"/>
      <c r="AX258" s="12"/>
      <c r="BL258" s="12"/>
      <c r="BZ258" s="12"/>
      <c r="CB258" s="12"/>
      <c r="CP258" s="12"/>
      <c r="DD258" s="12"/>
      <c r="DR258" s="12"/>
      <c r="EF258" s="12"/>
    </row>
    <row r="259" spans="8:136" ht="10.199999999999999" x14ac:dyDescent="0.2">
      <c r="H259" s="12"/>
      <c r="V259" s="12"/>
      <c r="AJ259" s="12"/>
      <c r="AX259" s="12"/>
      <c r="BL259" s="12"/>
      <c r="BZ259" s="12"/>
      <c r="CB259" s="12"/>
      <c r="CP259" s="12"/>
      <c r="DD259" s="12"/>
      <c r="DR259" s="12"/>
      <c r="EF259" s="12"/>
    </row>
    <row r="260" spans="8:136" ht="10.199999999999999" x14ac:dyDescent="0.2">
      <c r="H260" s="12"/>
      <c r="V260" s="12"/>
      <c r="AJ260" s="12"/>
      <c r="AX260" s="12"/>
      <c r="BL260" s="12"/>
      <c r="BZ260" s="12"/>
      <c r="CB260" s="12"/>
      <c r="CP260" s="12"/>
      <c r="DD260" s="12"/>
      <c r="DR260" s="12"/>
      <c r="EF260" s="12"/>
    </row>
    <row r="261" spans="8:136" ht="10.199999999999999" x14ac:dyDescent="0.2">
      <c r="H261" s="12"/>
      <c r="V261" s="12"/>
      <c r="AJ261" s="12"/>
      <c r="AX261" s="12"/>
      <c r="BL261" s="12"/>
      <c r="BZ261" s="12"/>
      <c r="CB261" s="12"/>
      <c r="CP261" s="12"/>
      <c r="DD261" s="12"/>
      <c r="DR261" s="12"/>
      <c r="EF261" s="12"/>
    </row>
    <row r="262" spans="8:136" ht="10.199999999999999" x14ac:dyDescent="0.2">
      <c r="H262" s="12"/>
      <c r="V262" s="12"/>
      <c r="AJ262" s="12"/>
      <c r="AX262" s="12"/>
      <c r="BL262" s="12"/>
      <c r="BZ262" s="12"/>
      <c r="CB262" s="12"/>
      <c r="CP262" s="12"/>
      <c r="DD262" s="12"/>
      <c r="DR262" s="12"/>
      <c r="EF262" s="12"/>
    </row>
    <row r="263" spans="8:136" ht="10.199999999999999" x14ac:dyDescent="0.2">
      <c r="H263" s="12"/>
      <c r="V263" s="12"/>
      <c r="AJ263" s="12"/>
      <c r="AX263" s="12"/>
      <c r="BL263" s="12"/>
      <c r="BZ263" s="12"/>
      <c r="CB263" s="12"/>
      <c r="CP263" s="12"/>
      <c r="DD263" s="12"/>
      <c r="DR263" s="12"/>
      <c r="EF263" s="12"/>
    </row>
    <row r="264" spans="8:136" ht="10.199999999999999" x14ac:dyDescent="0.2">
      <c r="H264" s="12"/>
      <c r="V264" s="12"/>
      <c r="AJ264" s="12"/>
      <c r="AX264" s="12"/>
      <c r="BL264" s="12"/>
      <c r="BZ264" s="12"/>
      <c r="CB264" s="12"/>
      <c r="CP264" s="12"/>
      <c r="DD264" s="12"/>
      <c r="DR264" s="12"/>
      <c r="EF264" s="12"/>
    </row>
    <row r="265" spans="8:136" ht="10.199999999999999" x14ac:dyDescent="0.2">
      <c r="H265" s="12"/>
      <c r="V265" s="12"/>
      <c r="AJ265" s="12"/>
      <c r="AX265" s="12"/>
      <c r="BL265" s="12"/>
      <c r="BZ265" s="12"/>
      <c r="CB265" s="12"/>
      <c r="CP265" s="12"/>
      <c r="DD265" s="12"/>
      <c r="DR265" s="12"/>
      <c r="EF265" s="12"/>
    </row>
    <row r="266" spans="8:136" ht="10.199999999999999" x14ac:dyDescent="0.2">
      <c r="H266" s="12"/>
      <c r="V266" s="12"/>
      <c r="AJ266" s="12"/>
      <c r="AX266" s="12"/>
      <c r="BL266" s="12"/>
      <c r="BZ266" s="12"/>
      <c r="CB266" s="12"/>
      <c r="CP266" s="12"/>
      <c r="DD266" s="12"/>
      <c r="DR266" s="12"/>
      <c r="EF266" s="12"/>
    </row>
    <row r="267" spans="8:136" ht="10.199999999999999" x14ac:dyDescent="0.2">
      <c r="H267" s="12"/>
      <c r="V267" s="12"/>
      <c r="AJ267" s="12"/>
      <c r="AX267" s="12"/>
      <c r="BL267" s="12"/>
      <c r="BZ267" s="12"/>
      <c r="CB267" s="12"/>
      <c r="CP267" s="12"/>
      <c r="DD267" s="12"/>
      <c r="DR267" s="12"/>
      <c r="EF267" s="12"/>
    </row>
    <row r="268" spans="8:136" ht="10.199999999999999" x14ac:dyDescent="0.2">
      <c r="H268" s="12"/>
      <c r="V268" s="12"/>
      <c r="AJ268" s="12"/>
      <c r="AX268" s="12"/>
      <c r="BL268" s="12"/>
      <c r="BZ268" s="12"/>
      <c r="CB268" s="12"/>
      <c r="CP268" s="12"/>
      <c r="DD268" s="12"/>
      <c r="DR268" s="12"/>
      <c r="EF268" s="12"/>
    </row>
    <row r="269" spans="8:136" ht="10.199999999999999" x14ac:dyDescent="0.2">
      <c r="H269" s="12"/>
      <c r="V269" s="12"/>
      <c r="AJ269" s="12"/>
      <c r="AX269" s="12"/>
      <c r="BL269" s="12"/>
      <c r="BZ269" s="12"/>
      <c r="CB269" s="12"/>
      <c r="CP269" s="12"/>
      <c r="DD269" s="12"/>
      <c r="DR269" s="12"/>
      <c r="EF269" s="12"/>
    </row>
    <row r="270" spans="8:136" ht="10.199999999999999" x14ac:dyDescent="0.2">
      <c r="H270" s="12"/>
      <c r="V270" s="12"/>
      <c r="AJ270" s="12"/>
      <c r="AX270" s="12"/>
      <c r="BL270" s="12"/>
      <c r="BZ270" s="12"/>
      <c r="CB270" s="12"/>
      <c r="CP270" s="12"/>
      <c r="DD270" s="12"/>
      <c r="DR270" s="12"/>
      <c r="EF270" s="12"/>
    </row>
    <row r="271" spans="8:136" ht="10.199999999999999" x14ac:dyDescent="0.2">
      <c r="H271" s="12"/>
      <c r="V271" s="12"/>
      <c r="AJ271" s="12"/>
      <c r="AX271" s="12"/>
      <c r="BL271" s="12"/>
      <c r="BZ271" s="12"/>
      <c r="CB271" s="12"/>
      <c r="CP271" s="12"/>
      <c r="DD271" s="12"/>
      <c r="DR271" s="12"/>
      <c r="EF271" s="12"/>
    </row>
    <row r="272" spans="8:136" ht="10.199999999999999" x14ac:dyDescent="0.2">
      <c r="H272" s="12"/>
      <c r="V272" s="12"/>
      <c r="AJ272" s="12"/>
      <c r="AX272" s="12"/>
      <c r="BL272" s="12"/>
      <c r="BZ272" s="12"/>
      <c r="CB272" s="12"/>
      <c r="CP272" s="12"/>
      <c r="DD272" s="12"/>
      <c r="DR272" s="12"/>
      <c r="EF272" s="12"/>
    </row>
    <row r="273" spans="8:136" ht="10.199999999999999" x14ac:dyDescent="0.2">
      <c r="H273" s="12"/>
      <c r="V273" s="12"/>
      <c r="AJ273" s="12"/>
      <c r="AX273" s="12"/>
      <c r="BL273" s="12"/>
      <c r="BZ273" s="12"/>
      <c r="CB273" s="12"/>
      <c r="CP273" s="12"/>
      <c r="DD273" s="12"/>
      <c r="DR273" s="12"/>
      <c r="EF273" s="12"/>
    </row>
    <row r="274" spans="8:136" ht="10.199999999999999" x14ac:dyDescent="0.2">
      <c r="H274" s="12"/>
      <c r="V274" s="12"/>
      <c r="AJ274" s="12"/>
      <c r="AX274" s="12"/>
      <c r="BL274" s="12"/>
      <c r="BZ274" s="12"/>
      <c r="CB274" s="12"/>
      <c r="CP274" s="12"/>
      <c r="DD274" s="12"/>
      <c r="DR274" s="12"/>
      <c r="EF274" s="12"/>
    </row>
    <row r="275" spans="8:136" ht="10.199999999999999" x14ac:dyDescent="0.2">
      <c r="H275" s="12"/>
      <c r="V275" s="12"/>
      <c r="AJ275" s="12"/>
      <c r="AX275" s="12"/>
      <c r="BL275" s="12"/>
      <c r="BZ275" s="12"/>
      <c r="CB275" s="12"/>
      <c r="CP275" s="12"/>
      <c r="DD275" s="12"/>
      <c r="DR275" s="12"/>
      <c r="EF275" s="12"/>
    </row>
    <row r="276" spans="8:136" ht="10.199999999999999" x14ac:dyDescent="0.2">
      <c r="H276" s="12"/>
      <c r="V276" s="12"/>
      <c r="AJ276" s="12"/>
      <c r="AX276" s="12"/>
      <c r="BL276" s="12"/>
      <c r="BZ276" s="12"/>
      <c r="CB276" s="12"/>
      <c r="CP276" s="12"/>
      <c r="DD276" s="12"/>
      <c r="DR276" s="12"/>
      <c r="EF276" s="12"/>
    </row>
    <row r="277" spans="8:136" ht="10.199999999999999" x14ac:dyDescent="0.2">
      <c r="H277" s="12"/>
      <c r="V277" s="12"/>
      <c r="AJ277" s="12"/>
      <c r="AX277" s="12"/>
      <c r="BL277" s="12"/>
      <c r="BZ277" s="12"/>
      <c r="CB277" s="12"/>
      <c r="CP277" s="12"/>
      <c r="DD277" s="12"/>
      <c r="DR277" s="12"/>
      <c r="EF277" s="12"/>
    </row>
    <row r="278" spans="8:136" ht="10.199999999999999" x14ac:dyDescent="0.2">
      <c r="H278" s="12"/>
      <c r="V278" s="12"/>
      <c r="AJ278" s="12"/>
      <c r="AX278" s="12"/>
      <c r="BL278" s="12"/>
      <c r="BZ278" s="12"/>
      <c r="CB278" s="12"/>
      <c r="CP278" s="12"/>
      <c r="DD278" s="12"/>
      <c r="DR278" s="12"/>
      <c r="EF278" s="12"/>
    </row>
    <row r="279" spans="8:136" ht="10.199999999999999" x14ac:dyDescent="0.2">
      <c r="H279" s="12"/>
      <c r="V279" s="12"/>
      <c r="AJ279" s="12"/>
      <c r="AX279" s="12"/>
      <c r="BL279" s="12"/>
      <c r="BZ279" s="12"/>
      <c r="CB279" s="12"/>
      <c r="CP279" s="12"/>
      <c r="DD279" s="12"/>
      <c r="DR279" s="12"/>
      <c r="EF279" s="12"/>
    </row>
    <row r="280" spans="8:136" ht="10.199999999999999" x14ac:dyDescent="0.2">
      <c r="H280" s="12"/>
      <c r="V280" s="12"/>
      <c r="AJ280" s="12"/>
      <c r="AX280" s="12"/>
      <c r="BL280" s="12"/>
      <c r="BZ280" s="12"/>
      <c r="CB280" s="12"/>
      <c r="CP280" s="12"/>
      <c r="DD280" s="12"/>
      <c r="DR280" s="12"/>
      <c r="EF280" s="12"/>
    </row>
    <row r="281" spans="8:136" ht="10.199999999999999" x14ac:dyDescent="0.2">
      <c r="H281" s="12"/>
      <c r="V281" s="12"/>
      <c r="AJ281" s="12"/>
      <c r="AX281" s="12"/>
      <c r="BL281" s="12"/>
      <c r="BZ281" s="12"/>
      <c r="CB281" s="12"/>
      <c r="CP281" s="12"/>
      <c r="DD281" s="12"/>
      <c r="DR281" s="12"/>
      <c r="EF281" s="12"/>
    </row>
    <row r="282" spans="8:136" ht="10.199999999999999" x14ac:dyDescent="0.2">
      <c r="H282" s="12"/>
      <c r="V282" s="12"/>
      <c r="AJ282" s="12"/>
      <c r="AX282" s="12"/>
      <c r="BL282" s="12"/>
      <c r="BZ282" s="12"/>
      <c r="CB282" s="12"/>
      <c r="CP282" s="12"/>
      <c r="DD282" s="12"/>
      <c r="DR282" s="12"/>
      <c r="EF282" s="12"/>
    </row>
    <row r="283" spans="8:136" ht="10.199999999999999" x14ac:dyDescent="0.2">
      <c r="H283" s="12"/>
      <c r="V283" s="12"/>
      <c r="AJ283" s="12"/>
      <c r="AX283" s="12"/>
      <c r="BL283" s="12"/>
      <c r="BZ283" s="12"/>
      <c r="CB283" s="12"/>
      <c r="CP283" s="12"/>
      <c r="DD283" s="12"/>
      <c r="DR283" s="12"/>
      <c r="EF283" s="12"/>
    </row>
    <row r="284" spans="8:136" ht="10.199999999999999" x14ac:dyDescent="0.2">
      <c r="H284" s="12"/>
      <c r="V284" s="12"/>
      <c r="AJ284" s="12"/>
      <c r="AX284" s="12"/>
      <c r="BL284" s="12"/>
      <c r="BZ284" s="12"/>
      <c r="CB284" s="12"/>
      <c r="CP284" s="12"/>
      <c r="DD284" s="12"/>
      <c r="DR284" s="12"/>
      <c r="EF284" s="12"/>
    </row>
    <row r="285" spans="8:136" ht="10.199999999999999" x14ac:dyDescent="0.2">
      <c r="H285" s="12"/>
      <c r="V285" s="12"/>
      <c r="AJ285" s="12"/>
      <c r="AX285" s="12"/>
      <c r="BL285" s="12"/>
      <c r="BZ285" s="12"/>
      <c r="CB285" s="12"/>
      <c r="CP285" s="12"/>
      <c r="DD285" s="12"/>
      <c r="DR285" s="12"/>
      <c r="EF285" s="12"/>
    </row>
    <row r="286" spans="8:136" ht="10.199999999999999" x14ac:dyDescent="0.2">
      <c r="H286" s="12"/>
      <c r="V286" s="12"/>
      <c r="AJ286" s="12"/>
      <c r="AX286" s="12"/>
      <c r="BL286" s="12"/>
      <c r="BZ286" s="12"/>
      <c r="CB286" s="12"/>
      <c r="CP286" s="12"/>
      <c r="DD286" s="12"/>
      <c r="DR286" s="12"/>
      <c r="EF286" s="12"/>
    </row>
    <row r="287" spans="8:136" ht="10.199999999999999" x14ac:dyDescent="0.2">
      <c r="H287" s="12"/>
      <c r="V287" s="12"/>
      <c r="AJ287" s="12"/>
      <c r="AX287" s="12"/>
      <c r="BL287" s="12"/>
      <c r="BZ287" s="12"/>
      <c r="CB287" s="12"/>
      <c r="CP287" s="12"/>
      <c r="DD287" s="12"/>
      <c r="DR287" s="12"/>
      <c r="EF287" s="12"/>
    </row>
    <row r="288" spans="8:136" ht="10.199999999999999" x14ac:dyDescent="0.2">
      <c r="H288" s="12"/>
      <c r="V288" s="12"/>
      <c r="AJ288" s="12"/>
      <c r="AX288" s="12"/>
      <c r="BL288" s="12"/>
      <c r="BZ288" s="12"/>
      <c r="CB288" s="12"/>
      <c r="CP288" s="12"/>
      <c r="DD288" s="12"/>
      <c r="DR288" s="12"/>
      <c r="EF288" s="12"/>
    </row>
    <row r="289" spans="8:136" ht="10.199999999999999" x14ac:dyDescent="0.2">
      <c r="H289" s="12"/>
      <c r="V289" s="12"/>
      <c r="AJ289" s="12"/>
      <c r="AX289" s="12"/>
      <c r="BL289" s="12"/>
      <c r="BZ289" s="12"/>
      <c r="CB289" s="12"/>
      <c r="CP289" s="12"/>
      <c r="DD289" s="12"/>
      <c r="DR289" s="12"/>
      <c r="EF289" s="12"/>
    </row>
    <row r="290" spans="8:136" ht="10.199999999999999" x14ac:dyDescent="0.2">
      <c r="H290" s="12"/>
      <c r="V290" s="12"/>
      <c r="AJ290" s="12"/>
      <c r="AX290" s="12"/>
      <c r="BL290" s="12"/>
      <c r="BZ290" s="12"/>
      <c r="CB290" s="12"/>
      <c r="CP290" s="12"/>
      <c r="DD290" s="12"/>
      <c r="DR290" s="12"/>
      <c r="EF290" s="12"/>
    </row>
    <row r="291" spans="8:136" ht="10.199999999999999" x14ac:dyDescent="0.2">
      <c r="H291" s="12"/>
      <c r="V291" s="12"/>
      <c r="AJ291" s="12"/>
      <c r="AX291" s="12"/>
      <c r="BL291" s="12"/>
      <c r="BZ291" s="12"/>
      <c r="CB291" s="12"/>
      <c r="CP291" s="12"/>
      <c r="DD291" s="12"/>
      <c r="DR291" s="12"/>
      <c r="EF291" s="12"/>
    </row>
    <row r="292" spans="8:136" ht="10.199999999999999" x14ac:dyDescent="0.2">
      <c r="H292" s="12"/>
      <c r="V292" s="12"/>
      <c r="AJ292" s="12"/>
      <c r="AX292" s="12"/>
      <c r="BL292" s="12"/>
      <c r="BZ292" s="12"/>
      <c r="CB292" s="12"/>
      <c r="CP292" s="12"/>
      <c r="DD292" s="12"/>
      <c r="DR292" s="12"/>
      <c r="EF292" s="12"/>
    </row>
    <row r="293" spans="8:136" ht="10.199999999999999" x14ac:dyDescent="0.2">
      <c r="H293" s="12"/>
      <c r="V293" s="12"/>
      <c r="AJ293" s="12"/>
      <c r="AX293" s="12"/>
      <c r="BL293" s="12"/>
      <c r="BZ293" s="12"/>
      <c r="CB293" s="12"/>
      <c r="CP293" s="12"/>
      <c r="DD293" s="12"/>
      <c r="DR293" s="12"/>
      <c r="EF293" s="12"/>
    </row>
    <row r="294" spans="8:136" ht="10.199999999999999" x14ac:dyDescent="0.2">
      <c r="H294" s="12"/>
      <c r="V294" s="12"/>
      <c r="AJ294" s="12"/>
      <c r="AX294" s="12"/>
      <c r="BL294" s="12"/>
      <c r="BZ294" s="12"/>
      <c r="CB294" s="12"/>
      <c r="CP294" s="12"/>
      <c r="DD294" s="12"/>
      <c r="DR294" s="12"/>
      <c r="EF294" s="12"/>
    </row>
    <row r="295" spans="8:136" ht="10.199999999999999" x14ac:dyDescent="0.2">
      <c r="H295" s="12"/>
      <c r="V295" s="12"/>
      <c r="AJ295" s="12"/>
      <c r="AX295" s="12"/>
      <c r="BL295" s="12"/>
      <c r="BZ295" s="12"/>
      <c r="CB295" s="12"/>
      <c r="CP295" s="12"/>
      <c r="DD295" s="12"/>
      <c r="DR295" s="12"/>
      <c r="EF295" s="12"/>
    </row>
    <row r="296" spans="8:136" ht="10.199999999999999" x14ac:dyDescent="0.2">
      <c r="H296" s="12"/>
      <c r="V296" s="12"/>
      <c r="AJ296" s="12"/>
      <c r="AX296" s="12"/>
      <c r="BL296" s="12"/>
      <c r="BZ296" s="12"/>
      <c r="CB296" s="12"/>
      <c r="CP296" s="12"/>
      <c r="DD296" s="12"/>
      <c r="DR296" s="12"/>
      <c r="EF296" s="12"/>
    </row>
    <row r="297" spans="8:136" ht="10.199999999999999" x14ac:dyDescent="0.2">
      <c r="H297" s="12"/>
      <c r="V297" s="12"/>
      <c r="AJ297" s="12"/>
      <c r="AX297" s="12"/>
      <c r="BL297" s="12"/>
      <c r="BZ297" s="12"/>
      <c r="CB297" s="12"/>
      <c r="CP297" s="12"/>
      <c r="DD297" s="12"/>
      <c r="DR297" s="12"/>
      <c r="EF297" s="12"/>
    </row>
    <row r="298" spans="8:136" ht="10.199999999999999" x14ac:dyDescent="0.2">
      <c r="H298" s="12"/>
      <c r="V298" s="12"/>
      <c r="AJ298" s="12"/>
      <c r="AX298" s="12"/>
      <c r="BL298" s="12"/>
      <c r="BZ298" s="12"/>
      <c r="CB298" s="12"/>
      <c r="CP298" s="12"/>
      <c r="DD298" s="12"/>
      <c r="DR298" s="12"/>
      <c r="EF298" s="12"/>
    </row>
    <row r="299" spans="8:136" ht="10.199999999999999" x14ac:dyDescent="0.2">
      <c r="H299" s="12"/>
      <c r="V299" s="12"/>
      <c r="AJ299" s="12"/>
      <c r="AX299" s="12"/>
      <c r="BL299" s="12"/>
      <c r="BZ299" s="12"/>
      <c r="CB299" s="12"/>
      <c r="CP299" s="12"/>
      <c r="DD299" s="12"/>
      <c r="DR299" s="12"/>
      <c r="EF299" s="12"/>
    </row>
    <row r="300" spans="8:136" ht="10.199999999999999" x14ac:dyDescent="0.2">
      <c r="H300" s="12"/>
      <c r="V300" s="12"/>
      <c r="AJ300" s="12"/>
      <c r="AX300" s="12"/>
      <c r="BL300" s="12"/>
      <c r="BZ300" s="12"/>
      <c r="CB300" s="12"/>
      <c r="CP300" s="12"/>
      <c r="DD300" s="12"/>
      <c r="DR300" s="12"/>
      <c r="EF300" s="12"/>
    </row>
    <row r="301" spans="8:136" ht="10.199999999999999" x14ac:dyDescent="0.2">
      <c r="H301" s="12"/>
      <c r="V301" s="12"/>
      <c r="AJ301" s="12"/>
      <c r="AX301" s="12"/>
      <c r="BL301" s="12"/>
      <c r="BZ301" s="12"/>
      <c r="CB301" s="12"/>
      <c r="CP301" s="12"/>
      <c r="DD301" s="12"/>
      <c r="DR301" s="12"/>
      <c r="EF301" s="12"/>
    </row>
    <row r="302" spans="8:136" ht="10.199999999999999" x14ac:dyDescent="0.2">
      <c r="H302" s="12"/>
      <c r="V302" s="12"/>
      <c r="AJ302" s="12"/>
      <c r="AX302" s="12"/>
      <c r="BL302" s="12"/>
      <c r="BZ302" s="12"/>
      <c r="CB302" s="12"/>
      <c r="CP302" s="12"/>
      <c r="DD302" s="12"/>
      <c r="DR302" s="12"/>
      <c r="EF302" s="12"/>
    </row>
    <row r="303" spans="8:136" ht="10.199999999999999" x14ac:dyDescent="0.2">
      <c r="H303" s="12"/>
      <c r="V303" s="12"/>
      <c r="AJ303" s="12"/>
      <c r="AX303" s="12"/>
      <c r="BL303" s="12"/>
      <c r="BZ303" s="12"/>
      <c r="CB303" s="12"/>
      <c r="CP303" s="12"/>
      <c r="DD303" s="12"/>
      <c r="DR303" s="12"/>
      <c r="EF303" s="12"/>
    </row>
    <row r="304" spans="8:136" ht="10.199999999999999" x14ac:dyDescent="0.2">
      <c r="H304" s="12"/>
      <c r="V304" s="12"/>
      <c r="AJ304" s="12"/>
      <c r="AX304" s="12"/>
      <c r="BL304" s="12"/>
      <c r="BZ304" s="12"/>
      <c r="CB304" s="12"/>
      <c r="CP304" s="12"/>
      <c r="DD304" s="12"/>
      <c r="DR304" s="12"/>
      <c r="EF304" s="12"/>
    </row>
    <row r="305" spans="8:136" ht="10.199999999999999" x14ac:dyDescent="0.2">
      <c r="H305" s="12"/>
      <c r="V305" s="12"/>
      <c r="AJ305" s="12"/>
      <c r="AX305" s="12"/>
      <c r="BL305" s="12"/>
      <c r="BZ305" s="12"/>
      <c r="CB305" s="12"/>
      <c r="CP305" s="12"/>
      <c r="DD305" s="12"/>
      <c r="DR305" s="12"/>
      <c r="EF305" s="12"/>
    </row>
    <row r="306" spans="8:136" ht="10.199999999999999" x14ac:dyDescent="0.2">
      <c r="H306" s="12"/>
      <c r="V306" s="12"/>
      <c r="AJ306" s="12"/>
      <c r="AX306" s="12"/>
      <c r="BL306" s="12"/>
      <c r="BZ306" s="12"/>
      <c r="CB306" s="12"/>
      <c r="CP306" s="12"/>
      <c r="DD306" s="12"/>
      <c r="DR306" s="12"/>
      <c r="EF306" s="12"/>
    </row>
    <row r="307" spans="8:136" ht="10.199999999999999" x14ac:dyDescent="0.2">
      <c r="H307" s="12"/>
      <c r="V307" s="12"/>
      <c r="AJ307" s="12"/>
      <c r="AX307" s="12"/>
      <c r="BL307" s="12"/>
      <c r="BZ307" s="12"/>
      <c r="CB307" s="12"/>
      <c r="CP307" s="12"/>
      <c r="DD307" s="12"/>
      <c r="DR307" s="12"/>
      <c r="EF307" s="12"/>
    </row>
    <row r="308" spans="8:136" ht="10.199999999999999" x14ac:dyDescent="0.2">
      <c r="H308" s="12"/>
      <c r="V308" s="12"/>
      <c r="AJ308" s="12"/>
      <c r="AX308" s="12"/>
      <c r="BL308" s="12"/>
      <c r="BZ308" s="12"/>
      <c r="CB308" s="12"/>
      <c r="CP308" s="12"/>
      <c r="DD308" s="12"/>
      <c r="DR308" s="12"/>
      <c r="EF308" s="12"/>
    </row>
    <row r="309" spans="8:136" ht="10.199999999999999" x14ac:dyDescent="0.2">
      <c r="H309" s="12"/>
      <c r="V309" s="12"/>
      <c r="AJ309" s="12"/>
      <c r="AX309" s="12"/>
      <c r="BL309" s="12"/>
      <c r="BZ309" s="12"/>
      <c r="CB309" s="12"/>
      <c r="CP309" s="12"/>
      <c r="DD309" s="12"/>
      <c r="DR309" s="12"/>
      <c r="EF309" s="12"/>
    </row>
    <row r="310" spans="8:136" ht="10.199999999999999" x14ac:dyDescent="0.2">
      <c r="H310" s="12"/>
      <c r="V310" s="12"/>
      <c r="AJ310" s="12"/>
      <c r="AX310" s="12"/>
      <c r="BL310" s="12"/>
      <c r="BZ310" s="12"/>
      <c r="CB310" s="12"/>
      <c r="CP310" s="12"/>
      <c r="DD310" s="12"/>
      <c r="DR310" s="12"/>
      <c r="EF310" s="12"/>
    </row>
    <row r="311" spans="8:136" ht="10.199999999999999" x14ac:dyDescent="0.2">
      <c r="H311" s="12"/>
      <c r="V311" s="12"/>
      <c r="AJ311" s="12"/>
      <c r="AX311" s="12"/>
      <c r="BL311" s="12"/>
      <c r="BZ311" s="12"/>
      <c r="CB311" s="12"/>
      <c r="CP311" s="12"/>
      <c r="DD311" s="12"/>
      <c r="DR311" s="12"/>
      <c r="EF311" s="12"/>
    </row>
    <row r="312" spans="8:136" ht="10.199999999999999" x14ac:dyDescent="0.2">
      <c r="H312" s="12"/>
      <c r="V312" s="12"/>
      <c r="AJ312" s="12"/>
      <c r="AX312" s="12"/>
      <c r="BL312" s="12"/>
      <c r="BZ312" s="12"/>
      <c r="CB312" s="12"/>
      <c r="CP312" s="12"/>
      <c r="DD312" s="12"/>
      <c r="DR312" s="12"/>
      <c r="EF312" s="12"/>
    </row>
    <row r="313" spans="8:136" ht="10.199999999999999" x14ac:dyDescent="0.2">
      <c r="H313" s="12"/>
      <c r="V313" s="12"/>
      <c r="AJ313" s="12"/>
      <c r="AX313" s="12"/>
      <c r="BL313" s="12"/>
      <c r="BZ313" s="12"/>
      <c r="CB313" s="12"/>
      <c r="CP313" s="12"/>
      <c r="DD313" s="12"/>
      <c r="DR313" s="12"/>
      <c r="EF313" s="12"/>
    </row>
    <row r="314" spans="8:136" ht="10.199999999999999" x14ac:dyDescent="0.2">
      <c r="H314" s="12"/>
      <c r="V314" s="12"/>
      <c r="AJ314" s="12"/>
      <c r="AX314" s="12"/>
      <c r="BL314" s="12"/>
      <c r="BZ314" s="12"/>
      <c r="CB314" s="12"/>
      <c r="CP314" s="12"/>
      <c r="DD314" s="12"/>
      <c r="DR314" s="12"/>
      <c r="EF314" s="12"/>
    </row>
    <row r="315" spans="8:136" ht="10.199999999999999" x14ac:dyDescent="0.2">
      <c r="H315" s="12"/>
      <c r="V315" s="12"/>
      <c r="AJ315" s="12"/>
      <c r="AX315" s="12"/>
      <c r="BL315" s="12"/>
      <c r="BZ315" s="12"/>
      <c r="CB315" s="12"/>
      <c r="CP315" s="12"/>
      <c r="DD315" s="12"/>
      <c r="DR315" s="12"/>
      <c r="EF315" s="12"/>
    </row>
    <row r="316" spans="8:136" ht="10.199999999999999" x14ac:dyDescent="0.2">
      <c r="H316" s="12"/>
      <c r="V316" s="12"/>
      <c r="AJ316" s="12"/>
      <c r="AX316" s="12"/>
      <c r="BL316" s="12"/>
      <c r="BZ316" s="12"/>
      <c r="CB316" s="12"/>
      <c r="CP316" s="12"/>
      <c r="DD316" s="12"/>
      <c r="DR316" s="12"/>
      <c r="EF316" s="12"/>
    </row>
    <row r="317" spans="8:136" ht="10.199999999999999" x14ac:dyDescent="0.2">
      <c r="H317" s="12"/>
      <c r="V317" s="12"/>
      <c r="AJ317" s="12"/>
      <c r="AX317" s="12"/>
      <c r="BL317" s="12"/>
      <c r="BZ317" s="12"/>
      <c r="CB317" s="12"/>
      <c r="CP317" s="12"/>
      <c r="DD317" s="12"/>
      <c r="DR317" s="12"/>
      <c r="EF317" s="12"/>
    </row>
    <row r="318" spans="8:136" ht="10.199999999999999" x14ac:dyDescent="0.2">
      <c r="H318" s="12"/>
      <c r="V318" s="12"/>
      <c r="AJ318" s="12"/>
      <c r="AX318" s="12"/>
      <c r="BL318" s="12"/>
      <c r="BZ318" s="12"/>
      <c r="CB318" s="12"/>
      <c r="CP318" s="12"/>
      <c r="DD318" s="12"/>
      <c r="DR318" s="12"/>
      <c r="EF318" s="12"/>
    </row>
    <row r="319" spans="8:136" ht="10.199999999999999" x14ac:dyDescent="0.2">
      <c r="H319" s="12"/>
      <c r="V319" s="12"/>
      <c r="AJ319" s="12"/>
      <c r="AX319" s="12"/>
      <c r="BL319" s="12"/>
      <c r="BZ319" s="12"/>
      <c r="CB319" s="12"/>
      <c r="CP319" s="12"/>
      <c r="DD319" s="12"/>
      <c r="DR319" s="12"/>
      <c r="EF319" s="12"/>
    </row>
    <row r="320" spans="8:136" ht="10.199999999999999" x14ac:dyDescent="0.2">
      <c r="H320" s="12"/>
      <c r="V320" s="12"/>
      <c r="AJ320" s="12"/>
      <c r="AX320" s="12"/>
      <c r="BL320" s="12"/>
      <c r="BZ320" s="12"/>
      <c r="CB320" s="12"/>
      <c r="CP320" s="12"/>
      <c r="DD320" s="12"/>
      <c r="DR320" s="12"/>
      <c r="EF320" s="12"/>
    </row>
    <row r="321" spans="8:136" ht="10.199999999999999" x14ac:dyDescent="0.2">
      <c r="H321" s="12"/>
      <c r="V321" s="12"/>
      <c r="AJ321" s="12"/>
      <c r="AX321" s="12"/>
      <c r="BL321" s="12"/>
      <c r="BZ321" s="12"/>
      <c r="CB321" s="12"/>
      <c r="CP321" s="12"/>
      <c r="DD321" s="12"/>
      <c r="DR321" s="12"/>
      <c r="EF321" s="12"/>
    </row>
    <row r="322" spans="8:136" ht="10.199999999999999" x14ac:dyDescent="0.2">
      <c r="H322" s="12"/>
      <c r="V322" s="12"/>
      <c r="AJ322" s="12"/>
      <c r="AX322" s="12"/>
      <c r="BL322" s="12"/>
      <c r="BZ322" s="12"/>
      <c r="CB322" s="12"/>
      <c r="CP322" s="12"/>
      <c r="DD322" s="12"/>
      <c r="DR322" s="12"/>
      <c r="EF322" s="12"/>
    </row>
    <row r="323" spans="8:136" ht="10.199999999999999" x14ac:dyDescent="0.2">
      <c r="H323" s="12"/>
      <c r="V323" s="12"/>
      <c r="AJ323" s="12"/>
      <c r="AX323" s="12"/>
      <c r="BL323" s="12"/>
      <c r="BZ323" s="12"/>
      <c r="CB323" s="12"/>
      <c r="CP323" s="12"/>
      <c r="DD323" s="12"/>
      <c r="DR323" s="12"/>
      <c r="EF323" s="12"/>
    </row>
    <row r="324" spans="8:136" ht="10.199999999999999" x14ac:dyDescent="0.2">
      <c r="H324" s="12"/>
      <c r="V324" s="12"/>
      <c r="AJ324" s="12"/>
      <c r="AX324" s="12"/>
      <c r="BL324" s="12"/>
      <c r="BZ324" s="12"/>
      <c r="CB324" s="12"/>
      <c r="CP324" s="12"/>
      <c r="DD324" s="12"/>
      <c r="DR324" s="12"/>
      <c r="EF324" s="12"/>
    </row>
    <row r="325" spans="8:136" ht="10.199999999999999" x14ac:dyDescent="0.2">
      <c r="H325" s="12"/>
      <c r="V325" s="12"/>
      <c r="AJ325" s="12"/>
      <c r="AX325" s="12"/>
      <c r="BL325" s="12"/>
      <c r="BZ325" s="12"/>
      <c r="CB325" s="12"/>
      <c r="CP325" s="12"/>
      <c r="DD325" s="12"/>
      <c r="DR325" s="12"/>
      <c r="EF325" s="12"/>
    </row>
    <row r="326" spans="8:136" ht="10.199999999999999" x14ac:dyDescent="0.2">
      <c r="H326" s="12"/>
      <c r="V326" s="12"/>
      <c r="AJ326" s="12"/>
      <c r="AX326" s="12"/>
      <c r="BL326" s="12"/>
      <c r="BZ326" s="12"/>
      <c r="CB326" s="12"/>
      <c r="CP326" s="12"/>
      <c r="DD326" s="12"/>
      <c r="DR326" s="12"/>
      <c r="EF326" s="12"/>
    </row>
    <row r="327" spans="8:136" ht="10.199999999999999" x14ac:dyDescent="0.2">
      <c r="H327" s="12"/>
      <c r="V327" s="12"/>
      <c r="AJ327" s="12"/>
      <c r="AX327" s="12"/>
      <c r="BL327" s="12"/>
      <c r="BZ327" s="12"/>
      <c r="CB327" s="12"/>
      <c r="CP327" s="12"/>
      <c r="DD327" s="12"/>
      <c r="DR327" s="12"/>
      <c r="EF327" s="12"/>
    </row>
    <row r="328" spans="8:136" ht="10.199999999999999" x14ac:dyDescent="0.2">
      <c r="H328" s="12"/>
      <c r="V328" s="12"/>
      <c r="AJ328" s="12"/>
      <c r="AX328" s="12"/>
      <c r="BL328" s="12"/>
      <c r="BZ328" s="12"/>
      <c r="CB328" s="12"/>
      <c r="CP328" s="12"/>
      <c r="DD328" s="12"/>
      <c r="DR328" s="12"/>
      <c r="EF328" s="12"/>
    </row>
    <row r="329" spans="8:136" ht="10.199999999999999" x14ac:dyDescent="0.2">
      <c r="H329" s="12"/>
      <c r="V329" s="12"/>
      <c r="AJ329" s="12"/>
      <c r="AX329" s="12"/>
      <c r="BL329" s="12"/>
      <c r="BZ329" s="12"/>
      <c r="CB329" s="12"/>
      <c r="CP329" s="12"/>
      <c r="DD329" s="12"/>
      <c r="DR329" s="12"/>
      <c r="EF329" s="12"/>
    </row>
    <row r="330" spans="8:136" ht="10.199999999999999" x14ac:dyDescent="0.2">
      <c r="H330" s="12"/>
      <c r="V330" s="12"/>
      <c r="AJ330" s="12"/>
      <c r="AX330" s="12"/>
      <c r="BL330" s="12"/>
      <c r="BZ330" s="12"/>
      <c r="CB330" s="12"/>
      <c r="CP330" s="12"/>
      <c r="DD330" s="12"/>
      <c r="DR330" s="12"/>
      <c r="EF330" s="12"/>
    </row>
    <row r="331" spans="8:136" ht="10.199999999999999" x14ac:dyDescent="0.2">
      <c r="H331" s="12"/>
      <c r="V331" s="12"/>
      <c r="AJ331" s="12"/>
      <c r="AX331" s="12"/>
      <c r="BL331" s="12"/>
      <c r="BZ331" s="12"/>
      <c r="CB331" s="12"/>
      <c r="CP331" s="12"/>
      <c r="DD331" s="12"/>
      <c r="DR331" s="12"/>
      <c r="EF331" s="12"/>
    </row>
    <row r="332" spans="8:136" ht="10.199999999999999" x14ac:dyDescent="0.2">
      <c r="H332" s="12"/>
      <c r="V332" s="12"/>
      <c r="AJ332" s="12"/>
      <c r="AX332" s="12"/>
      <c r="BL332" s="12"/>
      <c r="BZ332" s="12"/>
      <c r="CB332" s="12"/>
      <c r="CP332" s="12"/>
      <c r="DD332" s="12"/>
      <c r="DR332" s="12"/>
      <c r="EF332" s="12"/>
    </row>
    <row r="333" spans="8:136" ht="10.199999999999999" x14ac:dyDescent="0.2">
      <c r="H333" s="12"/>
      <c r="V333" s="12"/>
      <c r="AJ333" s="12"/>
      <c r="AX333" s="12"/>
      <c r="BL333" s="12"/>
      <c r="BZ333" s="12"/>
      <c r="CB333" s="12"/>
      <c r="CP333" s="12"/>
      <c r="DD333" s="12"/>
      <c r="DR333" s="12"/>
      <c r="EF333" s="12"/>
    </row>
    <row r="334" spans="8:136" ht="10.199999999999999" x14ac:dyDescent="0.2">
      <c r="H334" s="12"/>
      <c r="V334" s="12"/>
      <c r="AJ334" s="12"/>
      <c r="AX334" s="12"/>
      <c r="BL334" s="12"/>
      <c r="BZ334" s="12"/>
      <c r="CB334" s="12"/>
      <c r="CP334" s="12"/>
      <c r="DD334" s="12"/>
      <c r="DR334" s="12"/>
      <c r="EF334" s="12"/>
    </row>
    <row r="335" spans="8:136" ht="10.199999999999999" x14ac:dyDescent="0.2">
      <c r="H335" s="12"/>
      <c r="V335" s="12"/>
      <c r="AJ335" s="12"/>
      <c r="AX335" s="12"/>
      <c r="BL335" s="12"/>
      <c r="BZ335" s="12"/>
      <c r="CB335" s="12"/>
      <c r="CP335" s="12"/>
      <c r="DD335" s="12"/>
      <c r="DR335" s="12"/>
      <c r="EF335" s="12"/>
    </row>
    <row r="336" spans="8:136" ht="10.199999999999999" x14ac:dyDescent="0.2">
      <c r="H336" s="12"/>
      <c r="V336" s="12"/>
      <c r="AJ336" s="12"/>
      <c r="AX336" s="12"/>
      <c r="BL336" s="12"/>
      <c r="BZ336" s="12"/>
      <c r="CB336" s="12"/>
      <c r="CP336" s="12"/>
      <c r="DD336" s="12"/>
      <c r="DR336" s="12"/>
      <c r="EF336" s="12"/>
    </row>
    <row r="337" spans="8:136" ht="10.199999999999999" x14ac:dyDescent="0.2">
      <c r="H337" s="12"/>
      <c r="V337" s="12"/>
      <c r="AJ337" s="12"/>
      <c r="AX337" s="12"/>
      <c r="BL337" s="12"/>
      <c r="BZ337" s="12"/>
      <c r="CB337" s="12"/>
      <c r="CP337" s="12"/>
      <c r="DD337" s="12"/>
      <c r="DR337" s="12"/>
      <c r="EF337" s="12"/>
    </row>
    <row r="338" spans="8:136" ht="10.199999999999999" x14ac:dyDescent="0.2">
      <c r="H338" s="12"/>
      <c r="V338" s="12"/>
      <c r="AJ338" s="12"/>
      <c r="AX338" s="12"/>
      <c r="BL338" s="12"/>
      <c r="BZ338" s="12"/>
      <c r="CB338" s="12"/>
      <c r="CP338" s="12"/>
      <c r="DD338" s="12"/>
      <c r="DR338" s="12"/>
      <c r="EF338" s="12"/>
    </row>
    <row r="339" spans="8:136" ht="10.199999999999999" x14ac:dyDescent="0.2">
      <c r="H339" s="12"/>
      <c r="V339" s="12"/>
      <c r="AJ339" s="12"/>
      <c r="AX339" s="12"/>
      <c r="BL339" s="12"/>
      <c r="BZ339" s="12"/>
      <c r="CB339" s="12"/>
      <c r="CP339" s="12"/>
      <c r="DD339" s="12"/>
      <c r="DR339" s="12"/>
      <c r="EF339" s="12"/>
    </row>
    <row r="340" spans="8:136" ht="10.199999999999999" x14ac:dyDescent="0.2">
      <c r="H340" s="12"/>
      <c r="V340" s="12"/>
      <c r="AJ340" s="12"/>
      <c r="AX340" s="12"/>
      <c r="BL340" s="12"/>
      <c r="BZ340" s="12"/>
      <c r="CB340" s="12"/>
      <c r="CP340" s="12"/>
      <c r="DD340" s="12"/>
      <c r="DR340" s="12"/>
      <c r="EF340" s="12"/>
    </row>
    <row r="341" spans="8:136" ht="10.199999999999999" x14ac:dyDescent="0.2">
      <c r="H341" s="12"/>
      <c r="V341" s="12"/>
      <c r="AJ341" s="12"/>
      <c r="AX341" s="12"/>
      <c r="BL341" s="12"/>
      <c r="BZ341" s="12"/>
      <c r="CB341" s="12"/>
      <c r="CP341" s="12"/>
      <c r="DD341" s="12"/>
      <c r="DR341" s="12"/>
      <c r="EF341" s="12"/>
    </row>
    <row r="342" spans="8:136" ht="10.199999999999999" x14ac:dyDescent="0.2">
      <c r="H342" s="12"/>
      <c r="V342" s="12"/>
      <c r="AJ342" s="12"/>
      <c r="AX342" s="12"/>
      <c r="BL342" s="12"/>
      <c r="BZ342" s="12"/>
      <c r="CB342" s="12"/>
      <c r="CP342" s="12"/>
      <c r="DD342" s="12"/>
      <c r="DR342" s="12"/>
      <c r="EF342" s="12"/>
    </row>
    <row r="343" spans="8:136" ht="10.199999999999999" x14ac:dyDescent="0.2">
      <c r="H343" s="12"/>
      <c r="V343" s="12"/>
      <c r="AJ343" s="12"/>
      <c r="AX343" s="12"/>
      <c r="BL343" s="12"/>
      <c r="BZ343" s="12"/>
      <c r="CB343" s="12"/>
      <c r="CP343" s="12"/>
      <c r="DD343" s="12"/>
      <c r="DR343" s="12"/>
      <c r="EF343" s="12"/>
    </row>
    <row r="344" spans="8:136" ht="10.199999999999999" x14ac:dyDescent="0.2">
      <c r="H344" s="12"/>
      <c r="V344" s="12"/>
      <c r="AJ344" s="12"/>
      <c r="AX344" s="12"/>
      <c r="BL344" s="12"/>
      <c r="BZ344" s="12"/>
      <c r="CB344" s="12"/>
      <c r="CP344" s="12"/>
      <c r="DD344" s="12"/>
      <c r="DR344" s="12"/>
      <c r="EF344" s="12"/>
    </row>
    <row r="345" spans="8:136" ht="10.199999999999999" x14ac:dyDescent="0.2">
      <c r="H345" s="12"/>
      <c r="V345" s="12"/>
      <c r="AJ345" s="12"/>
      <c r="AX345" s="12"/>
      <c r="BL345" s="12"/>
      <c r="BZ345" s="12"/>
      <c r="CB345" s="12"/>
      <c r="CP345" s="12"/>
      <c r="DD345" s="12"/>
      <c r="DR345" s="12"/>
      <c r="EF345" s="12"/>
    </row>
    <row r="346" spans="8:136" ht="10.199999999999999" x14ac:dyDescent="0.2">
      <c r="H346" s="12"/>
      <c r="V346" s="12"/>
      <c r="AJ346" s="12"/>
      <c r="AX346" s="12"/>
      <c r="BL346" s="12"/>
      <c r="BZ346" s="12"/>
      <c r="CB346" s="12"/>
      <c r="CP346" s="12"/>
      <c r="DD346" s="12"/>
      <c r="DR346" s="12"/>
      <c r="EF346" s="12"/>
    </row>
    <row r="347" spans="8:136" ht="10.199999999999999" x14ac:dyDescent="0.2">
      <c r="H347" s="12"/>
      <c r="V347" s="12"/>
      <c r="AJ347" s="12"/>
      <c r="AX347" s="12"/>
      <c r="BL347" s="12"/>
      <c r="BZ347" s="12"/>
      <c r="CB347" s="12"/>
      <c r="CP347" s="12"/>
      <c r="DD347" s="12"/>
      <c r="DR347" s="12"/>
      <c r="EF347" s="12"/>
    </row>
    <row r="348" spans="8:136" ht="10.199999999999999" x14ac:dyDescent="0.2">
      <c r="H348" s="12"/>
      <c r="V348" s="12"/>
      <c r="AJ348" s="12"/>
      <c r="AX348" s="12"/>
      <c r="BL348" s="12"/>
      <c r="BZ348" s="12"/>
      <c r="CB348" s="12"/>
      <c r="CP348" s="12"/>
      <c r="DD348" s="12"/>
      <c r="DR348" s="12"/>
      <c r="EF348" s="12"/>
    </row>
    <row r="349" spans="8:136" ht="10.199999999999999" x14ac:dyDescent="0.2">
      <c r="H349" s="12"/>
      <c r="V349" s="12"/>
      <c r="AJ349" s="12"/>
      <c r="AX349" s="12"/>
      <c r="BL349" s="12"/>
      <c r="BZ349" s="12"/>
      <c r="CB349" s="12"/>
      <c r="CP349" s="12"/>
      <c r="DD349" s="12"/>
      <c r="DR349" s="12"/>
      <c r="EF349" s="12"/>
    </row>
    <row r="350" spans="8:136" ht="10.199999999999999" x14ac:dyDescent="0.2">
      <c r="H350" s="12"/>
      <c r="V350" s="12"/>
      <c r="AJ350" s="12"/>
      <c r="AX350" s="12"/>
      <c r="BL350" s="12"/>
      <c r="BZ350" s="12"/>
      <c r="CB350" s="12"/>
      <c r="CP350" s="12"/>
      <c r="DD350" s="12"/>
      <c r="DR350" s="12"/>
      <c r="EF350" s="12"/>
    </row>
    <row r="351" spans="8:136" ht="10.199999999999999" x14ac:dyDescent="0.2">
      <c r="H351" s="12"/>
      <c r="V351" s="12"/>
      <c r="AJ351" s="12"/>
      <c r="AX351" s="12"/>
      <c r="BL351" s="12"/>
      <c r="BZ351" s="12"/>
      <c r="CB351" s="12"/>
      <c r="CP351" s="12"/>
      <c r="DD351" s="12"/>
      <c r="DR351" s="12"/>
      <c r="EF351" s="12"/>
    </row>
    <row r="352" spans="8:136" ht="10.199999999999999" x14ac:dyDescent="0.2">
      <c r="H352" s="12"/>
      <c r="V352" s="12"/>
      <c r="AJ352" s="12"/>
      <c r="AX352" s="12"/>
      <c r="BL352" s="12"/>
      <c r="BZ352" s="12"/>
      <c r="CB352" s="12"/>
      <c r="CP352" s="12"/>
      <c r="DD352" s="12"/>
      <c r="DR352" s="12"/>
      <c r="EF352" s="12"/>
    </row>
    <row r="353" spans="8:136" ht="10.199999999999999" x14ac:dyDescent="0.2">
      <c r="H353" s="12"/>
      <c r="V353" s="12"/>
      <c r="AJ353" s="12"/>
      <c r="AX353" s="12"/>
      <c r="BL353" s="12"/>
      <c r="BZ353" s="12"/>
      <c r="CB353" s="12"/>
      <c r="CP353" s="12"/>
      <c r="DD353" s="12"/>
      <c r="DR353" s="12"/>
      <c r="EF353" s="12"/>
    </row>
    <row r="354" spans="8:136" ht="10.199999999999999" x14ac:dyDescent="0.2">
      <c r="H354" s="12"/>
      <c r="V354" s="12"/>
      <c r="AJ354" s="12"/>
      <c r="AX354" s="12"/>
      <c r="BL354" s="12"/>
      <c r="BZ354" s="12"/>
      <c r="CB354" s="12"/>
      <c r="CP354" s="12"/>
      <c r="DD354" s="12"/>
      <c r="DR354" s="12"/>
      <c r="EF354" s="12"/>
    </row>
    <row r="355" spans="8:136" ht="10.199999999999999" x14ac:dyDescent="0.2">
      <c r="H355" s="12"/>
      <c r="V355" s="12"/>
      <c r="AJ355" s="12"/>
      <c r="AX355" s="12"/>
      <c r="BL355" s="12"/>
      <c r="BZ355" s="12"/>
      <c r="CB355" s="12"/>
      <c r="CP355" s="12"/>
      <c r="DD355" s="12"/>
      <c r="DR355" s="12"/>
      <c r="EF355" s="12"/>
    </row>
    <row r="356" spans="8:136" ht="10.199999999999999" x14ac:dyDescent="0.2">
      <c r="H356" s="12"/>
      <c r="V356" s="12"/>
      <c r="AJ356" s="12"/>
      <c r="AX356" s="12"/>
      <c r="BL356" s="12"/>
      <c r="BZ356" s="12"/>
      <c r="CB356" s="12"/>
      <c r="CP356" s="12"/>
      <c r="DD356" s="12"/>
      <c r="DR356" s="12"/>
      <c r="EF356" s="12"/>
    </row>
    <row r="357" spans="8:136" ht="10.199999999999999" x14ac:dyDescent="0.2">
      <c r="H357" s="12"/>
      <c r="V357" s="12"/>
      <c r="AJ357" s="12"/>
      <c r="AX357" s="12"/>
      <c r="BL357" s="12"/>
      <c r="BZ357" s="12"/>
      <c r="CB357" s="12"/>
      <c r="CP357" s="12"/>
      <c r="DD357" s="12"/>
      <c r="DR357" s="12"/>
      <c r="EF357" s="12"/>
    </row>
    <row r="358" spans="8:136" ht="10.199999999999999" x14ac:dyDescent="0.2">
      <c r="H358" s="12"/>
      <c r="V358" s="12"/>
      <c r="AJ358" s="12"/>
      <c r="AX358" s="12"/>
      <c r="BL358" s="12"/>
      <c r="BZ358" s="12"/>
      <c r="CB358" s="12"/>
      <c r="CP358" s="12"/>
      <c r="DD358" s="12"/>
      <c r="DR358" s="12"/>
      <c r="EF358" s="12"/>
    </row>
    <row r="359" spans="8:136" ht="10.199999999999999" x14ac:dyDescent="0.2">
      <c r="H359" s="12"/>
      <c r="V359" s="12"/>
      <c r="AJ359" s="12"/>
      <c r="AX359" s="12"/>
      <c r="BL359" s="12"/>
      <c r="BZ359" s="12"/>
      <c r="CB359" s="12"/>
      <c r="CP359" s="12"/>
      <c r="DD359" s="12"/>
      <c r="DR359" s="12"/>
      <c r="EF359" s="12"/>
    </row>
    <row r="360" spans="8:136" ht="10.199999999999999" x14ac:dyDescent="0.2">
      <c r="H360" s="12"/>
      <c r="V360" s="12"/>
      <c r="AJ360" s="12"/>
      <c r="AX360" s="12"/>
      <c r="BL360" s="12"/>
      <c r="BZ360" s="12"/>
      <c r="CB360" s="12"/>
      <c r="CP360" s="12"/>
      <c r="DD360" s="12"/>
      <c r="DR360" s="12"/>
      <c r="EF360" s="12"/>
    </row>
    <row r="361" spans="8:136" ht="10.199999999999999" x14ac:dyDescent="0.2">
      <c r="H361" s="12"/>
      <c r="V361" s="12"/>
      <c r="AJ361" s="12"/>
      <c r="AX361" s="12"/>
      <c r="BL361" s="12"/>
      <c r="BZ361" s="12"/>
      <c r="CB361" s="12"/>
      <c r="CP361" s="12"/>
      <c r="DD361" s="12"/>
      <c r="DR361" s="12"/>
      <c r="EF361" s="12"/>
    </row>
    <row r="362" spans="8:136" ht="10.199999999999999" x14ac:dyDescent="0.2">
      <c r="H362" s="12"/>
      <c r="V362" s="12"/>
      <c r="AJ362" s="12"/>
      <c r="AX362" s="12"/>
      <c r="BL362" s="12"/>
      <c r="BZ362" s="12"/>
      <c r="CB362" s="12"/>
      <c r="CP362" s="12"/>
      <c r="DD362" s="12"/>
      <c r="DR362" s="12"/>
      <c r="EF362" s="12"/>
    </row>
    <row r="363" spans="8:136" ht="10.199999999999999" x14ac:dyDescent="0.2">
      <c r="H363" s="12"/>
      <c r="V363" s="12"/>
      <c r="AJ363" s="12"/>
      <c r="AX363" s="12"/>
      <c r="BL363" s="12"/>
      <c r="BZ363" s="12"/>
      <c r="CB363" s="12"/>
      <c r="CP363" s="12"/>
      <c r="DD363" s="12"/>
      <c r="DR363" s="12"/>
      <c r="EF363" s="12"/>
    </row>
    <row r="364" spans="8:136" ht="10.199999999999999" x14ac:dyDescent="0.2">
      <c r="H364" s="12"/>
      <c r="V364" s="12"/>
      <c r="AJ364" s="12"/>
      <c r="AX364" s="12"/>
      <c r="BL364" s="12"/>
      <c r="BZ364" s="12"/>
      <c r="CB364" s="12"/>
      <c r="CP364" s="12"/>
      <c r="DD364" s="12"/>
      <c r="DR364" s="12"/>
      <c r="EF364" s="12"/>
    </row>
    <row r="365" spans="8:136" ht="10.199999999999999" x14ac:dyDescent="0.2">
      <c r="H365" s="12"/>
      <c r="V365" s="12"/>
      <c r="AJ365" s="12"/>
      <c r="AX365" s="12"/>
      <c r="BL365" s="12"/>
      <c r="BZ365" s="12"/>
      <c r="CB365" s="12"/>
      <c r="CP365" s="12"/>
      <c r="DD365" s="12"/>
      <c r="DR365" s="12"/>
      <c r="EF365" s="12"/>
    </row>
    <row r="366" spans="8:136" ht="10.199999999999999" x14ac:dyDescent="0.2">
      <c r="H366" s="12"/>
      <c r="V366" s="12"/>
      <c r="AJ366" s="12"/>
      <c r="AX366" s="12"/>
      <c r="BL366" s="12"/>
      <c r="BZ366" s="12"/>
      <c r="CB366" s="12"/>
      <c r="CP366" s="12"/>
      <c r="DD366" s="12"/>
      <c r="DR366" s="12"/>
      <c r="EF366" s="12"/>
    </row>
    <row r="367" spans="8:136" ht="10.199999999999999" x14ac:dyDescent="0.2">
      <c r="H367" s="12"/>
      <c r="V367" s="12"/>
      <c r="AJ367" s="12"/>
      <c r="AX367" s="12"/>
      <c r="BL367" s="12"/>
      <c r="BZ367" s="12"/>
      <c r="CB367" s="12"/>
      <c r="CP367" s="12"/>
      <c r="DD367" s="12"/>
      <c r="DR367" s="12"/>
      <c r="EF367" s="12"/>
    </row>
    <row r="368" spans="8:136" ht="10.199999999999999" x14ac:dyDescent="0.2">
      <c r="H368" s="12"/>
      <c r="V368" s="12"/>
      <c r="AJ368" s="12"/>
      <c r="AX368" s="12"/>
      <c r="BL368" s="12"/>
      <c r="BZ368" s="12"/>
      <c r="CB368" s="12"/>
      <c r="CP368" s="12"/>
      <c r="DD368" s="12"/>
      <c r="DR368" s="12"/>
      <c r="EF368" s="12"/>
    </row>
    <row r="369" spans="8:136" ht="10.199999999999999" x14ac:dyDescent="0.2">
      <c r="H369" s="12"/>
      <c r="V369" s="12"/>
      <c r="AJ369" s="12"/>
      <c r="AX369" s="12"/>
      <c r="BL369" s="12"/>
      <c r="BZ369" s="12"/>
      <c r="CB369" s="12"/>
      <c r="CP369" s="12"/>
      <c r="DD369" s="12"/>
      <c r="DR369" s="12"/>
      <c r="EF369" s="12"/>
    </row>
    <row r="370" spans="8:136" ht="10.199999999999999" x14ac:dyDescent="0.2">
      <c r="H370" s="12"/>
      <c r="V370" s="12"/>
      <c r="AJ370" s="12"/>
      <c r="AX370" s="12"/>
      <c r="BL370" s="12"/>
      <c r="BZ370" s="12"/>
      <c r="CB370" s="12"/>
      <c r="CP370" s="12"/>
      <c r="DD370" s="12"/>
      <c r="DR370" s="12"/>
      <c r="EF370" s="12"/>
    </row>
    <row r="371" spans="8:136" ht="10.199999999999999" x14ac:dyDescent="0.2">
      <c r="H371" s="12"/>
      <c r="V371" s="12"/>
      <c r="AJ371" s="12"/>
      <c r="AX371" s="12"/>
      <c r="BL371" s="12"/>
      <c r="BZ371" s="12"/>
      <c r="CB371" s="12"/>
      <c r="CP371" s="12"/>
      <c r="DD371" s="12"/>
      <c r="DR371" s="12"/>
      <c r="EF371" s="12"/>
    </row>
    <row r="372" spans="8:136" ht="10.199999999999999" x14ac:dyDescent="0.2">
      <c r="H372" s="12"/>
      <c r="V372" s="12"/>
      <c r="AJ372" s="12"/>
      <c r="AX372" s="12"/>
      <c r="BL372" s="12"/>
      <c r="BZ372" s="12"/>
      <c r="CB372" s="12"/>
      <c r="CP372" s="12"/>
      <c r="DD372" s="12"/>
      <c r="DR372" s="12"/>
      <c r="EF372" s="12"/>
    </row>
    <row r="373" spans="8:136" ht="10.199999999999999" x14ac:dyDescent="0.2">
      <c r="H373" s="12"/>
      <c r="V373" s="12"/>
      <c r="AJ373" s="12"/>
      <c r="AX373" s="12"/>
      <c r="BL373" s="12"/>
      <c r="BZ373" s="12"/>
      <c r="CB373" s="12"/>
      <c r="CP373" s="12"/>
      <c r="DD373" s="12"/>
      <c r="DR373" s="12"/>
      <c r="EF373" s="12"/>
    </row>
    <row r="374" spans="8:136" ht="10.199999999999999" x14ac:dyDescent="0.2">
      <c r="H374" s="12"/>
      <c r="V374" s="12"/>
      <c r="AJ374" s="12"/>
      <c r="AX374" s="12"/>
      <c r="BL374" s="12"/>
      <c r="BZ374" s="12"/>
      <c r="CB374" s="12"/>
      <c r="CP374" s="12"/>
      <c r="DD374" s="12"/>
      <c r="DR374" s="12"/>
      <c r="EF374" s="12"/>
    </row>
    <row r="375" spans="8:136" ht="10.199999999999999" x14ac:dyDescent="0.2">
      <c r="H375" s="12"/>
      <c r="V375" s="12"/>
      <c r="AJ375" s="12"/>
      <c r="AX375" s="12"/>
      <c r="BL375" s="12"/>
      <c r="BZ375" s="12"/>
      <c r="CB375" s="12"/>
      <c r="CP375" s="12"/>
      <c r="DD375" s="12"/>
      <c r="DR375" s="12"/>
      <c r="EF375" s="12"/>
    </row>
    <row r="376" spans="8:136" ht="10.199999999999999" x14ac:dyDescent="0.2">
      <c r="H376" s="12"/>
      <c r="V376" s="12"/>
      <c r="AJ376" s="12"/>
      <c r="AX376" s="12"/>
      <c r="BL376" s="12"/>
      <c r="BZ376" s="12"/>
      <c r="CB376" s="12"/>
      <c r="CP376" s="12"/>
      <c r="DD376" s="12"/>
      <c r="DR376" s="12"/>
      <c r="EF376" s="12"/>
    </row>
    <row r="377" spans="8:136" ht="10.199999999999999" x14ac:dyDescent="0.2">
      <c r="H377" s="12"/>
      <c r="V377" s="12"/>
      <c r="AJ377" s="12"/>
      <c r="AX377" s="12"/>
      <c r="BL377" s="12"/>
      <c r="BZ377" s="12"/>
      <c r="CB377" s="12"/>
      <c r="CP377" s="12"/>
      <c r="DD377" s="12"/>
      <c r="DR377" s="12"/>
      <c r="EF377" s="12"/>
    </row>
    <row r="378" spans="8:136" ht="10.199999999999999" x14ac:dyDescent="0.2">
      <c r="H378" s="12"/>
      <c r="V378" s="12"/>
      <c r="AJ378" s="12"/>
      <c r="AX378" s="12"/>
      <c r="BL378" s="12"/>
      <c r="BZ378" s="12"/>
      <c r="CB378" s="12"/>
      <c r="CP378" s="12"/>
      <c r="DD378" s="12"/>
      <c r="DR378" s="12"/>
      <c r="EF378" s="12"/>
    </row>
    <row r="379" spans="8:136" ht="10.199999999999999" x14ac:dyDescent="0.2">
      <c r="H379" s="12"/>
      <c r="V379" s="12"/>
      <c r="AJ379" s="12"/>
      <c r="AX379" s="12"/>
      <c r="BL379" s="12"/>
      <c r="BZ379" s="12"/>
      <c r="CB379" s="12"/>
      <c r="CP379" s="12"/>
      <c r="DD379" s="12"/>
      <c r="DR379" s="12"/>
      <c r="EF379" s="12"/>
    </row>
    <row r="380" spans="8:136" ht="10.199999999999999" x14ac:dyDescent="0.2">
      <c r="H380" s="12"/>
      <c r="V380" s="12"/>
      <c r="AJ380" s="12"/>
      <c r="AX380" s="12"/>
      <c r="BL380" s="12"/>
      <c r="BZ380" s="12"/>
      <c r="CB380" s="12"/>
      <c r="CP380" s="12"/>
      <c r="DD380" s="12"/>
      <c r="DR380" s="12"/>
      <c r="EF380" s="12"/>
    </row>
    <row r="381" spans="8:136" ht="10.199999999999999" x14ac:dyDescent="0.2">
      <c r="H381" s="12"/>
      <c r="V381" s="12"/>
      <c r="AJ381" s="12"/>
      <c r="AX381" s="12"/>
      <c r="BL381" s="12"/>
      <c r="BZ381" s="12"/>
      <c r="CB381" s="12"/>
      <c r="CP381" s="12"/>
      <c r="DD381" s="12"/>
      <c r="DR381" s="12"/>
      <c r="EF381" s="12"/>
    </row>
    <row r="382" spans="8:136" ht="10.199999999999999" x14ac:dyDescent="0.2">
      <c r="H382" s="12"/>
      <c r="V382" s="12"/>
      <c r="AJ382" s="12"/>
      <c r="AX382" s="12"/>
      <c r="BL382" s="12"/>
      <c r="BZ382" s="12"/>
      <c r="CB382" s="12"/>
      <c r="CP382" s="12"/>
      <c r="DD382" s="12"/>
      <c r="DR382" s="12"/>
      <c r="EF382" s="12"/>
    </row>
    <row r="383" spans="8:136" ht="10.199999999999999" x14ac:dyDescent="0.2">
      <c r="H383" s="12"/>
      <c r="V383" s="12"/>
      <c r="AJ383" s="12"/>
      <c r="AX383" s="12"/>
      <c r="BL383" s="12"/>
      <c r="BZ383" s="12"/>
      <c r="CB383" s="12"/>
      <c r="CP383" s="12"/>
      <c r="DD383" s="12"/>
      <c r="DR383" s="12"/>
      <c r="EF383" s="12"/>
    </row>
    <row r="384" spans="8:136" ht="10.199999999999999" x14ac:dyDescent="0.2">
      <c r="H384" s="12"/>
      <c r="V384" s="12"/>
      <c r="AJ384" s="12"/>
      <c r="AX384" s="12"/>
      <c r="BL384" s="12"/>
      <c r="BZ384" s="12"/>
      <c r="CB384" s="12"/>
      <c r="CP384" s="12"/>
      <c r="DD384" s="12"/>
      <c r="DR384" s="12"/>
      <c r="EF384" s="12"/>
    </row>
    <row r="385" spans="8:136" ht="10.199999999999999" x14ac:dyDescent="0.2">
      <c r="H385" s="12"/>
      <c r="V385" s="12"/>
      <c r="AJ385" s="12"/>
      <c r="AX385" s="12"/>
      <c r="BL385" s="12"/>
      <c r="BZ385" s="12"/>
      <c r="CB385" s="12"/>
      <c r="CP385" s="12"/>
      <c r="DD385" s="12"/>
      <c r="DR385" s="12"/>
      <c r="EF385" s="12"/>
    </row>
    <row r="386" spans="8:136" ht="10.199999999999999" x14ac:dyDescent="0.2">
      <c r="H386" s="12"/>
      <c r="V386" s="12"/>
      <c r="AJ386" s="12"/>
      <c r="AX386" s="12"/>
      <c r="BL386" s="12"/>
      <c r="BZ386" s="12"/>
      <c r="CB386" s="12"/>
      <c r="CP386" s="12"/>
      <c r="DD386" s="12"/>
      <c r="DR386" s="12"/>
      <c r="EF386" s="12"/>
    </row>
    <row r="387" spans="8:136" ht="10.199999999999999" x14ac:dyDescent="0.2">
      <c r="H387" s="12"/>
      <c r="V387" s="12"/>
      <c r="AJ387" s="12"/>
      <c r="AX387" s="12"/>
      <c r="BL387" s="12"/>
      <c r="BZ387" s="12"/>
      <c r="CB387" s="12"/>
      <c r="CP387" s="12"/>
      <c r="DD387" s="12"/>
      <c r="DR387" s="12"/>
      <c r="EF387" s="12"/>
    </row>
    <row r="388" spans="8:136" ht="10.199999999999999" x14ac:dyDescent="0.2">
      <c r="H388" s="12"/>
      <c r="V388" s="12"/>
      <c r="AJ388" s="12"/>
      <c r="AX388" s="12"/>
      <c r="BL388" s="12"/>
      <c r="BZ388" s="12"/>
      <c r="CB388" s="12"/>
      <c r="CP388" s="12"/>
      <c r="DD388" s="12"/>
      <c r="DR388" s="12"/>
      <c r="EF388" s="12"/>
    </row>
    <row r="389" spans="8:136" ht="10.199999999999999" x14ac:dyDescent="0.2">
      <c r="H389" s="12"/>
      <c r="V389" s="12"/>
      <c r="AJ389" s="12"/>
      <c r="AX389" s="12"/>
      <c r="BL389" s="12"/>
      <c r="BZ389" s="12"/>
      <c r="CB389" s="12"/>
      <c r="CP389" s="12"/>
      <c r="DD389" s="12"/>
      <c r="DR389" s="12"/>
      <c r="EF389" s="12"/>
    </row>
    <row r="390" spans="8:136" ht="10.199999999999999" x14ac:dyDescent="0.2">
      <c r="H390" s="12"/>
      <c r="V390" s="12"/>
      <c r="AJ390" s="12"/>
      <c r="AX390" s="12"/>
      <c r="BL390" s="12"/>
      <c r="BZ390" s="12"/>
      <c r="CB390" s="12"/>
      <c r="CP390" s="12"/>
      <c r="DD390" s="12"/>
      <c r="DR390" s="12"/>
      <c r="EF390" s="12"/>
    </row>
    <row r="391" spans="8:136" ht="10.199999999999999" x14ac:dyDescent="0.2">
      <c r="H391" s="12"/>
      <c r="V391" s="12"/>
      <c r="AJ391" s="12"/>
      <c r="AX391" s="12"/>
      <c r="BL391" s="12"/>
      <c r="BZ391" s="12"/>
      <c r="CB391" s="12"/>
      <c r="CP391" s="12"/>
      <c r="DD391" s="12"/>
      <c r="DR391" s="12"/>
      <c r="EF391" s="12"/>
    </row>
    <row r="392" spans="8:136" ht="10.199999999999999" x14ac:dyDescent="0.2">
      <c r="H392" s="12"/>
      <c r="V392" s="12"/>
      <c r="AJ392" s="12"/>
      <c r="AX392" s="12"/>
      <c r="BL392" s="12"/>
      <c r="BZ392" s="12"/>
      <c r="CB392" s="12"/>
      <c r="CP392" s="12"/>
      <c r="DD392" s="12"/>
      <c r="DR392" s="12"/>
      <c r="EF392" s="12"/>
    </row>
    <row r="393" spans="8:136" ht="10.199999999999999" x14ac:dyDescent="0.2">
      <c r="H393" s="12"/>
      <c r="V393" s="12"/>
      <c r="AJ393" s="12"/>
      <c r="AX393" s="12"/>
      <c r="BL393" s="12"/>
      <c r="BZ393" s="12"/>
      <c r="CB393" s="12"/>
      <c r="CP393" s="12"/>
      <c r="DD393" s="12"/>
      <c r="DR393" s="12"/>
      <c r="EF393" s="12"/>
    </row>
    <row r="394" spans="8:136" ht="10.199999999999999" x14ac:dyDescent="0.2">
      <c r="H394" s="12"/>
      <c r="V394" s="12"/>
      <c r="AJ394" s="12"/>
      <c r="AX394" s="12"/>
      <c r="BL394" s="12"/>
      <c r="BZ394" s="12"/>
      <c r="CB394" s="12"/>
      <c r="CP394" s="12"/>
      <c r="DD394" s="12"/>
      <c r="DR394" s="12"/>
      <c r="EF394" s="12"/>
    </row>
    <row r="395" spans="8:136" ht="10.199999999999999" x14ac:dyDescent="0.2">
      <c r="H395" s="12"/>
      <c r="V395" s="12"/>
      <c r="AJ395" s="12"/>
      <c r="AX395" s="12"/>
      <c r="BL395" s="12"/>
      <c r="BZ395" s="12"/>
      <c r="CB395" s="12"/>
      <c r="CP395" s="12"/>
      <c r="DD395" s="12"/>
      <c r="DR395" s="12"/>
      <c r="EF395" s="12"/>
    </row>
    <row r="396" spans="8:136" ht="10.199999999999999" x14ac:dyDescent="0.2">
      <c r="H396" s="12"/>
      <c r="V396" s="12"/>
      <c r="AJ396" s="12"/>
      <c r="AX396" s="12"/>
      <c r="BL396" s="12"/>
      <c r="BZ396" s="12"/>
      <c r="CB396" s="12"/>
      <c r="CP396" s="12"/>
      <c r="DD396" s="12"/>
      <c r="DR396" s="12"/>
      <c r="EF396" s="12"/>
    </row>
    <row r="397" spans="8:136" ht="10.199999999999999" x14ac:dyDescent="0.2">
      <c r="H397" s="12"/>
      <c r="V397" s="12"/>
      <c r="AJ397" s="12"/>
      <c r="AX397" s="12"/>
      <c r="BL397" s="12"/>
      <c r="BZ397" s="12"/>
      <c r="CB397" s="12"/>
      <c r="CP397" s="12"/>
      <c r="DD397" s="12"/>
      <c r="DR397" s="12"/>
      <c r="EF397" s="12"/>
    </row>
    <row r="398" spans="8:136" ht="10.199999999999999" x14ac:dyDescent="0.2">
      <c r="H398" s="12"/>
      <c r="V398" s="12"/>
      <c r="AJ398" s="12"/>
      <c r="AX398" s="12"/>
      <c r="BL398" s="12"/>
      <c r="BZ398" s="12"/>
      <c r="CB398" s="12"/>
      <c r="CP398" s="12"/>
      <c r="DD398" s="12"/>
      <c r="DR398" s="12"/>
      <c r="EF398" s="12"/>
    </row>
    <row r="399" spans="8:136" ht="10.199999999999999" x14ac:dyDescent="0.2">
      <c r="H399" s="12"/>
      <c r="V399" s="12"/>
      <c r="AJ399" s="12"/>
      <c r="AX399" s="12"/>
      <c r="BL399" s="12"/>
      <c r="BZ399" s="12"/>
      <c r="CB399" s="12"/>
      <c r="CP399" s="12"/>
      <c r="DD399" s="12"/>
      <c r="DR399" s="12"/>
      <c r="EF399" s="12"/>
    </row>
    <row r="400" spans="8:136" ht="10.199999999999999" x14ac:dyDescent="0.2">
      <c r="H400" s="12"/>
      <c r="V400" s="12"/>
      <c r="AJ400" s="12"/>
      <c r="AX400" s="12"/>
      <c r="BL400" s="12"/>
      <c r="BZ400" s="12"/>
      <c r="CB400" s="12"/>
      <c r="CP400" s="12"/>
      <c r="DD400" s="12"/>
      <c r="DR400" s="12"/>
      <c r="EF400" s="12"/>
    </row>
    <row r="401" spans="8:136" ht="10.199999999999999" x14ac:dyDescent="0.2">
      <c r="H401" s="12"/>
      <c r="V401" s="12"/>
      <c r="AJ401" s="12"/>
      <c r="AX401" s="12"/>
      <c r="BL401" s="12"/>
      <c r="BZ401" s="12"/>
      <c r="CB401" s="12"/>
      <c r="CP401" s="12"/>
      <c r="DD401" s="12"/>
      <c r="DR401" s="12"/>
      <c r="EF401" s="12"/>
    </row>
    <row r="402" spans="8:136" ht="10.199999999999999" x14ac:dyDescent="0.2">
      <c r="H402" s="12"/>
      <c r="V402" s="12"/>
      <c r="AJ402" s="12"/>
      <c r="AX402" s="12"/>
      <c r="BL402" s="12"/>
      <c r="BZ402" s="12"/>
      <c r="CB402" s="12"/>
      <c r="CP402" s="12"/>
      <c r="DD402" s="12"/>
      <c r="DR402" s="12"/>
      <c r="EF402" s="12"/>
    </row>
    <row r="403" spans="8:136" ht="10.199999999999999" x14ac:dyDescent="0.2">
      <c r="H403" s="12"/>
      <c r="V403" s="12"/>
      <c r="AJ403" s="12"/>
      <c r="AX403" s="12"/>
      <c r="BL403" s="12"/>
      <c r="BZ403" s="12"/>
      <c r="CB403" s="12"/>
      <c r="CP403" s="12"/>
      <c r="DD403" s="12"/>
      <c r="DR403" s="12"/>
      <c r="EF403" s="12"/>
    </row>
    <row r="404" spans="8:136" ht="10.199999999999999" x14ac:dyDescent="0.2">
      <c r="H404" s="12"/>
      <c r="V404" s="12"/>
      <c r="AJ404" s="12"/>
      <c r="AX404" s="12"/>
      <c r="BL404" s="12"/>
      <c r="BZ404" s="12"/>
      <c r="CB404" s="12"/>
      <c r="CP404" s="12"/>
      <c r="DD404" s="12"/>
      <c r="DR404" s="12"/>
      <c r="EF404" s="12"/>
    </row>
    <row r="405" spans="8:136" ht="10.199999999999999" x14ac:dyDescent="0.2">
      <c r="H405" s="12"/>
      <c r="V405" s="12"/>
      <c r="AJ405" s="12"/>
      <c r="AX405" s="12"/>
      <c r="BL405" s="12"/>
      <c r="BZ405" s="12"/>
      <c r="CB405" s="12"/>
      <c r="CP405" s="12"/>
      <c r="DD405" s="12"/>
      <c r="DR405" s="12"/>
      <c r="EF405" s="12"/>
    </row>
    <row r="406" spans="8:136" ht="10.199999999999999" x14ac:dyDescent="0.2">
      <c r="H406" s="12"/>
      <c r="V406" s="12"/>
      <c r="AJ406" s="12"/>
      <c r="AX406" s="12"/>
      <c r="BL406" s="12"/>
      <c r="BZ406" s="12"/>
      <c r="CB406" s="12"/>
      <c r="CP406" s="12"/>
      <c r="DD406" s="12"/>
      <c r="DR406" s="12"/>
      <c r="EF406" s="12"/>
    </row>
    <row r="407" spans="8:136" ht="10.199999999999999" x14ac:dyDescent="0.2">
      <c r="H407" s="12"/>
      <c r="V407" s="12"/>
      <c r="AJ407" s="12"/>
      <c r="AX407" s="12"/>
      <c r="BL407" s="12"/>
      <c r="BZ407" s="12"/>
      <c r="CB407" s="12"/>
      <c r="CP407" s="12"/>
      <c r="DD407" s="12"/>
      <c r="DR407" s="12"/>
      <c r="EF407" s="12"/>
    </row>
    <row r="408" spans="8:136" ht="10.199999999999999" x14ac:dyDescent="0.2">
      <c r="H408" s="12"/>
      <c r="V408" s="12"/>
      <c r="AJ408" s="12"/>
      <c r="AX408" s="12"/>
      <c r="BL408" s="12"/>
      <c r="BZ408" s="12"/>
      <c r="CB408" s="12"/>
      <c r="CP408" s="12"/>
      <c r="DD408" s="12"/>
      <c r="DR408" s="12"/>
      <c r="EF408" s="12"/>
    </row>
    <row r="409" spans="8:136" ht="10.199999999999999" x14ac:dyDescent="0.2">
      <c r="H409" s="12"/>
      <c r="V409" s="12"/>
      <c r="AJ409" s="12"/>
      <c r="AX409" s="12"/>
      <c r="BL409" s="12"/>
      <c r="BZ409" s="12"/>
      <c r="CB409" s="12"/>
      <c r="CP409" s="12"/>
      <c r="DD409" s="12"/>
      <c r="DR409" s="12"/>
      <c r="EF409" s="12"/>
    </row>
    <row r="410" spans="8:136" ht="10.199999999999999" x14ac:dyDescent="0.2">
      <c r="H410" s="12"/>
      <c r="V410" s="12"/>
      <c r="AJ410" s="12"/>
      <c r="AX410" s="12"/>
      <c r="BL410" s="12"/>
      <c r="BZ410" s="12"/>
      <c r="CB410" s="12"/>
      <c r="CP410" s="12"/>
      <c r="DD410" s="12"/>
      <c r="DR410" s="12"/>
      <c r="EF410" s="12"/>
    </row>
    <row r="411" spans="8:136" ht="10.199999999999999" x14ac:dyDescent="0.2">
      <c r="H411" s="12"/>
      <c r="V411" s="12"/>
      <c r="AJ411" s="12"/>
      <c r="AX411" s="12"/>
      <c r="BL411" s="12"/>
      <c r="BZ411" s="12"/>
      <c r="CB411" s="12"/>
      <c r="CP411" s="12"/>
      <c r="DD411" s="12"/>
      <c r="DR411" s="12"/>
      <c r="EF411" s="12"/>
    </row>
    <row r="412" spans="8:136" ht="10.199999999999999" x14ac:dyDescent="0.2">
      <c r="H412" s="12"/>
      <c r="V412" s="12"/>
      <c r="AJ412" s="12"/>
      <c r="AX412" s="12"/>
      <c r="BL412" s="12"/>
      <c r="BZ412" s="12"/>
      <c r="CB412" s="12"/>
      <c r="CP412" s="12"/>
      <c r="DD412" s="12"/>
      <c r="DR412" s="12"/>
      <c r="EF412" s="12"/>
    </row>
    <row r="413" spans="8:136" ht="10.199999999999999" x14ac:dyDescent="0.2">
      <c r="H413" s="12"/>
      <c r="V413" s="12"/>
      <c r="AJ413" s="12"/>
      <c r="AX413" s="12"/>
      <c r="BL413" s="12"/>
      <c r="BZ413" s="12"/>
      <c r="CB413" s="12"/>
      <c r="CP413" s="12"/>
      <c r="DD413" s="12"/>
      <c r="DR413" s="12"/>
      <c r="EF413" s="12"/>
    </row>
    <row r="414" spans="8:136" ht="10.199999999999999" x14ac:dyDescent="0.2">
      <c r="H414" s="12"/>
      <c r="V414" s="12"/>
      <c r="AJ414" s="12"/>
      <c r="AX414" s="12"/>
      <c r="BL414" s="12"/>
      <c r="BZ414" s="12"/>
      <c r="CB414" s="12"/>
      <c r="CP414" s="12"/>
      <c r="DD414" s="12"/>
      <c r="DR414" s="12"/>
      <c r="EF414" s="12"/>
    </row>
    <row r="415" spans="8:136" ht="10.199999999999999" x14ac:dyDescent="0.2">
      <c r="H415" s="12"/>
      <c r="V415" s="12"/>
      <c r="AJ415" s="12"/>
      <c r="AX415" s="12"/>
      <c r="BL415" s="12"/>
      <c r="BZ415" s="12"/>
      <c r="CB415" s="12"/>
      <c r="CP415" s="12"/>
      <c r="DD415" s="12"/>
      <c r="DR415" s="12"/>
      <c r="EF415" s="12"/>
    </row>
    <row r="416" spans="8:136" ht="10.199999999999999" x14ac:dyDescent="0.2">
      <c r="H416" s="12"/>
      <c r="V416" s="12"/>
      <c r="AJ416" s="12"/>
      <c r="AX416" s="12"/>
      <c r="BL416" s="12"/>
      <c r="BZ416" s="12"/>
      <c r="CB416" s="12"/>
      <c r="CP416" s="12"/>
      <c r="DD416" s="12"/>
      <c r="DR416" s="12"/>
      <c r="EF416" s="12"/>
    </row>
    <row r="417" spans="8:136" ht="10.199999999999999" x14ac:dyDescent="0.2">
      <c r="H417" s="12"/>
      <c r="V417" s="12"/>
      <c r="AJ417" s="12"/>
      <c r="AX417" s="12"/>
      <c r="BL417" s="12"/>
      <c r="BZ417" s="12"/>
      <c r="CB417" s="12"/>
      <c r="CP417" s="12"/>
      <c r="DD417" s="12"/>
      <c r="DR417" s="12"/>
      <c r="EF417" s="12"/>
    </row>
    <row r="418" spans="8:136" ht="10.199999999999999" x14ac:dyDescent="0.2">
      <c r="H418" s="12"/>
      <c r="V418" s="12"/>
      <c r="AJ418" s="12"/>
      <c r="AX418" s="12"/>
      <c r="BL418" s="12"/>
      <c r="BZ418" s="12"/>
      <c r="CB418" s="12"/>
      <c r="CP418" s="12"/>
      <c r="DD418" s="12"/>
      <c r="DR418" s="12"/>
      <c r="EF418" s="12"/>
    </row>
    <row r="419" spans="8:136" ht="10.199999999999999" x14ac:dyDescent="0.2">
      <c r="H419" s="12"/>
      <c r="V419" s="12"/>
      <c r="AJ419" s="12"/>
      <c r="AX419" s="12"/>
      <c r="BL419" s="12"/>
      <c r="BZ419" s="12"/>
      <c r="CB419" s="12"/>
      <c r="CP419" s="12"/>
      <c r="DD419" s="12"/>
      <c r="DR419" s="12"/>
      <c r="EF419" s="12"/>
    </row>
    <row r="420" spans="8:136" ht="10.199999999999999" x14ac:dyDescent="0.2">
      <c r="H420" s="12"/>
      <c r="V420" s="12"/>
      <c r="AJ420" s="12"/>
      <c r="AX420" s="12"/>
      <c r="BL420" s="12"/>
      <c r="BZ420" s="12"/>
      <c r="CB420" s="12"/>
      <c r="CP420" s="12"/>
      <c r="DD420" s="12"/>
      <c r="DR420" s="12"/>
      <c r="EF420" s="12"/>
    </row>
    <row r="421" spans="8:136" ht="10.199999999999999" x14ac:dyDescent="0.2">
      <c r="H421" s="12"/>
      <c r="V421" s="12"/>
      <c r="AJ421" s="12"/>
      <c r="AX421" s="12"/>
      <c r="BL421" s="12"/>
      <c r="BZ421" s="12"/>
      <c r="CB421" s="12"/>
      <c r="CP421" s="12"/>
      <c r="DD421" s="12"/>
      <c r="DR421" s="12"/>
      <c r="EF421" s="12"/>
    </row>
    <row r="422" spans="8:136" ht="10.199999999999999" x14ac:dyDescent="0.2">
      <c r="H422" s="12"/>
      <c r="V422" s="12"/>
      <c r="AJ422" s="12"/>
      <c r="AX422" s="12"/>
      <c r="BL422" s="12"/>
      <c r="BZ422" s="12"/>
      <c r="CB422" s="12"/>
      <c r="CP422" s="12"/>
      <c r="DD422" s="12"/>
      <c r="DR422" s="12"/>
      <c r="EF422" s="12"/>
    </row>
    <row r="423" spans="8:136" ht="10.199999999999999" x14ac:dyDescent="0.2">
      <c r="H423" s="12"/>
      <c r="V423" s="12"/>
      <c r="AJ423" s="12"/>
      <c r="AX423" s="12"/>
      <c r="BL423" s="12"/>
      <c r="BZ423" s="12"/>
      <c r="CB423" s="12"/>
      <c r="CP423" s="12"/>
      <c r="DD423" s="12"/>
      <c r="DR423" s="12"/>
      <c r="EF423" s="12"/>
    </row>
    <row r="424" spans="8:136" ht="10.199999999999999" x14ac:dyDescent="0.2">
      <c r="H424" s="12"/>
      <c r="V424" s="12"/>
      <c r="AJ424" s="12"/>
      <c r="AX424" s="12"/>
      <c r="BL424" s="12"/>
      <c r="BZ424" s="12"/>
      <c r="CB424" s="12"/>
      <c r="CP424" s="12"/>
      <c r="DD424" s="12"/>
      <c r="DR424" s="12"/>
      <c r="EF424" s="12"/>
    </row>
    <row r="425" spans="8:136" ht="10.199999999999999" x14ac:dyDescent="0.2">
      <c r="H425" s="12"/>
      <c r="V425" s="12"/>
      <c r="AJ425" s="12"/>
      <c r="AX425" s="12"/>
      <c r="BL425" s="12"/>
      <c r="BZ425" s="12"/>
      <c r="CB425" s="12"/>
      <c r="CP425" s="12"/>
      <c r="DD425" s="12"/>
      <c r="DR425" s="12"/>
      <c r="EF425" s="12"/>
    </row>
    <row r="426" spans="8:136" ht="10.199999999999999" x14ac:dyDescent="0.2">
      <c r="H426" s="12"/>
      <c r="V426" s="12"/>
      <c r="AJ426" s="12"/>
      <c r="AX426" s="12"/>
      <c r="BL426" s="12"/>
      <c r="BZ426" s="12"/>
      <c r="CB426" s="12"/>
      <c r="CP426" s="12"/>
      <c r="DD426" s="12"/>
      <c r="DR426" s="12"/>
      <c r="EF426" s="12"/>
    </row>
    <row r="427" spans="8:136" ht="10.199999999999999" x14ac:dyDescent="0.2">
      <c r="H427" s="12"/>
      <c r="V427" s="12"/>
      <c r="AJ427" s="12"/>
      <c r="AX427" s="12"/>
      <c r="BL427" s="12"/>
      <c r="BZ427" s="12"/>
      <c r="CB427" s="12"/>
      <c r="CP427" s="12"/>
      <c r="DD427" s="12"/>
      <c r="DR427" s="12"/>
      <c r="EF427" s="12"/>
    </row>
    <row r="428" spans="8:136" ht="10.199999999999999" x14ac:dyDescent="0.2">
      <c r="H428" s="12"/>
      <c r="V428" s="12"/>
      <c r="AJ428" s="12"/>
      <c r="AX428" s="12"/>
      <c r="BL428" s="12"/>
      <c r="BZ428" s="12"/>
      <c r="CB428" s="12"/>
      <c r="CP428" s="12"/>
      <c r="DD428" s="12"/>
      <c r="DR428" s="12"/>
      <c r="EF428" s="12"/>
    </row>
    <row r="429" spans="8:136" ht="10.199999999999999" x14ac:dyDescent="0.2">
      <c r="H429" s="12"/>
      <c r="V429" s="12"/>
      <c r="AJ429" s="12"/>
      <c r="AX429" s="12"/>
      <c r="BL429" s="12"/>
      <c r="BZ429" s="12"/>
      <c r="CB429" s="12"/>
      <c r="CP429" s="12"/>
      <c r="DD429" s="12"/>
      <c r="DR429" s="12"/>
      <c r="EF429" s="12"/>
    </row>
    <row r="430" spans="8:136" ht="10.199999999999999" x14ac:dyDescent="0.2">
      <c r="H430" s="12"/>
      <c r="V430" s="12"/>
      <c r="AJ430" s="12"/>
      <c r="AX430" s="12"/>
      <c r="BL430" s="12"/>
      <c r="BZ430" s="12"/>
      <c r="CB430" s="12"/>
      <c r="CP430" s="12"/>
      <c r="DD430" s="12"/>
      <c r="DR430" s="12"/>
      <c r="EF430" s="12"/>
    </row>
    <row r="431" spans="8:136" ht="10.199999999999999" x14ac:dyDescent="0.2">
      <c r="H431" s="12"/>
      <c r="V431" s="12"/>
      <c r="AJ431" s="12"/>
      <c r="AX431" s="12"/>
      <c r="BL431" s="12"/>
      <c r="BZ431" s="12"/>
      <c r="CB431" s="12"/>
      <c r="CP431" s="12"/>
      <c r="DD431" s="12"/>
      <c r="DR431" s="12"/>
      <c r="EF431" s="12"/>
    </row>
    <row r="432" spans="8:136" ht="10.199999999999999" x14ac:dyDescent="0.2">
      <c r="H432" s="12"/>
      <c r="V432" s="12"/>
      <c r="AJ432" s="12"/>
      <c r="AX432" s="12"/>
      <c r="BL432" s="12"/>
      <c r="BZ432" s="12"/>
      <c r="CB432" s="12"/>
      <c r="CP432" s="12"/>
      <c r="DD432" s="12"/>
      <c r="DR432" s="12"/>
      <c r="EF432" s="12"/>
    </row>
    <row r="433" spans="8:136" ht="10.199999999999999" x14ac:dyDescent="0.2">
      <c r="H433" s="12"/>
      <c r="V433" s="12"/>
      <c r="AJ433" s="12"/>
      <c r="AX433" s="12"/>
      <c r="BL433" s="12"/>
      <c r="BZ433" s="12"/>
      <c r="CB433" s="12"/>
      <c r="CP433" s="12"/>
      <c r="DD433" s="12"/>
      <c r="DR433" s="12"/>
      <c r="EF433" s="12"/>
    </row>
    <row r="434" spans="8:136" ht="10.199999999999999" x14ac:dyDescent="0.2">
      <c r="H434" s="12"/>
      <c r="V434" s="12"/>
      <c r="AJ434" s="12"/>
      <c r="AX434" s="12"/>
      <c r="BL434" s="12"/>
      <c r="BZ434" s="12"/>
      <c r="CB434" s="12"/>
      <c r="CP434" s="12"/>
      <c r="DD434" s="12"/>
      <c r="DR434" s="12"/>
      <c r="EF434" s="12"/>
    </row>
    <row r="435" spans="8:136" ht="10.199999999999999" x14ac:dyDescent="0.2">
      <c r="H435" s="12"/>
      <c r="V435" s="12"/>
      <c r="AJ435" s="12"/>
      <c r="AX435" s="12"/>
      <c r="BL435" s="12"/>
      <c r="BZ435" s="12"/>
      <c r="CB435" s="12"/>
      <c r="CP435" s="12"/>
      <c r="DD435" s="12"/>
      <c r="DR435" s="12"/>
      <c r="EF435" s="12"/>
    </row>
    <row r="436" spans="8:136" ht="10.199999999999999" x14ac:dyDescent="0.2">
      <c r="H436" s="12"/>
      <c r="V436" s="12"/>
      <c r="AJ436" s="12"/>
      <c r="AX436" s="12"/>
      <c r="BL436" s="12"/>
      <c r="BZ436" s="12"/>
      <c r="CB436" s="12"/>
      <c r="CP436" s="12"/>
      <c r="DD436" s="12"/>
      <c r="DR436" s="12"/>
      <c r="EF436" s="12"/>
    </row>
    <row r="437" spans="8:136" ht="10.199999999999999" x14ac:dyDescent="0.2">
      <c r="H437" s="12"/>
      <c r="V437" s="12"/>
      <c r="AJ437" s="12"/>
      <c r="AX437" s="12"/>
      <c r="BL437" s="12"/>
      <c r="BZ437" s="12"/>
      <c r="CB437" s="12"/>
      <c r="CP437" s="12"/>
      <c r="DD437" s="12"/>
      <c r="DR437" s="12"/>
      <c r="EF437" s="12"/>
    </row>
    <row r="438" spans="8:136" ht="10.199999999999999" x14ac:dyDescent="0.2">
      <c r="H438" s="12"/>
      <c r="V438" s="12"/>
      <c r="AJ438" s="12"/>
      <c r="AX438" s="12"/>
      <c r="BL438" s="12"/>
      <c r="BZ438" s="12"/>
      <c r="CB438" s="12"/>
      <c r="CP438" s="12"/>
      <c r="DD438" s="12"/>
      <c r="DR438" s="12"/>
      <c r="EF438" s="12"/>
    </row>
    <row r="439" spans="8:136" ht="10.199999999999999" x14ac:dyDescent="0.2">
      <c r="H439" s="12"/>
      <c r="V439" s="12"/>
      <c r="AJ439" s="12"/>
      <c r="AX439" s="12"/>
      <c r="BL439" s="12"/>
      <c r="BZ439" s="12"/>
      <c r="CB439" s="12"/>
      <c r="CP439" s="12"/>
      <c r="DD439" s="12"/>
      <c r="DR439" s="12"/>
      <c r="EF439" s="12"/>
    </row>
    <row r="440" spans="8:136" ht="10.199999999999999" x14ac:dyDescent="0.2">
      <c r="H440" s="12"/>
      <c r="V440" s="12"/>
      <c r="AJ440" s="12"/>
      <c r="AX440" s="12"/>
      <c r="BL440" s="12"/>
      <c r="BZ440" s="12"/>
      <c r="CB440" s="12"/>
      <c r="CP440" s="12"/>
      <c r="DD440" s="12"/>
      <c r="DR440" s="12"/>
      <c r="EF440" s="12"/>
    </row>
    <row r="441" spans="8:136" ht="10.199999999999999" x14ac:dyDescent="0.2">
      <c r="H441" s="12"/>
      <c r="V441" s="12"/>
      <c r="AJ441" s="12"/>
      <c r="AX441" s="12"/>
      <c r="BL441" s="12"/>
      <c r="BZ441" s="12"/>
      <c r="CB441" s="12"/>
      <c r="CP441" s="12"/>
      <c r="DD441" s="12"/>
      <c r="DR441" s="12"/>
      <c r="EF441" s="12"/>
    </row>
    <row r="442" spans="8:136" ht="10.199999999999999" x14ac:dyDescent="0.2">
      <c r="H442" s="12"/>
      <c r="V442" s="12"/>
      <c r="AJ442" s="12"/>
      <c r="AX442" s="12"/>
      <c r="BL442" s="12"/>
      <c r="BZ442" s="12"/>
      <c r="CB442" s="12"/>
      <c r="CP442" s="12"/>
      <c r="DD442" s="12"/>
      <c r="DR442" s="12"/>
      <c r="EF442" s="12"/>
    </row>
    <row r="443" spans="8:136" ht="10.199999999999999" x14ac:dyDescent="0.2">
      <c r="H443" s="12"/>
      <c r="V443" s="12"/>
      <c r="AJ443" s="12"/>
      <c r="AX443" s="12"/>
      <c r="BL443" s="12"/>
      <c r="BZ443" s="12"/>
      <c r="CB443" s="12"/>
      <c r="CP443" s="12"/>
      <c r="DD443" s="12"/>
      <c r="DR443" s="12"/>
      <c r="EF443" s="12"/>
    </row>
    <row r="444" spans="8:136" ht="10.199999999999999" x14ac:dyDescent="0.2">
      <c r="H444" s="12"/>
      <c r="V444" s="12"/>
      <c r="AJ444" s="12"/>
      <c r="AX444" s="12"/>
      <c r="BL444" s="12"/>
      <c r="BZ444" s="12"/>
      <c r="CB444" s="12"/>
      <c r="CP444" s="12"/>
      <c r="DD444" s="12"/>
      <c r="DR444" s="12"/>
      <c r="EF444" s="12"/>
    </row>
    <row r="445" spans="8:136" ht="10.199999999999999" x14ac:dyDescent="0.2">
      <c r="H445" s="12"/>
      <c r="V445" s="12"/>
      <c r="AJ445" s="12"/>
      <c r="AX445" s="12"/>
      <c r="BL445" s="12"/>
      <c r="BZ445" s="12"/>
      <c r="CB445" s="12"/>
      <c r="CP445" s="12"/>
      <c r="DD445" s="12"/>
      <c r="DR445" s="12"/>
      <c r="EF445" s="12"/>
    </row>
    <row r="446" spans="8:136" ht="10.199999999999999" x14ac:dyDescent="0.2">
      <c r="H446" s="12"/>
      <c r="V446" s="12"/>
      <c r="AJ446" s="12"/>
      <c r="AX446" s="12"/>
      <c r="BL446" s="12"/>
      <c r="BZ446" s="12"/>
      <c r="CB446" s="12"/>
      <c r="CP446" s="12"/>
      <c r="DD446" s="12"/>
      <c r="DR446" s="12"/>
      <c r="EF446" s="12"/>
    </row>
    <row r="447" spans="8:136" ht="10.199999999999999" x14ac:dyDescent="0.2">
      <c r="H447" s="12"/>
      <c r="V447" s="12"/>
      <c r="AJ447" s="12"/>
      <c r="AX447" s="12"/>
      <c r="BL447" s="12"/>
      <c r="BZ447" s="12"/>
      <c r="CB447" s="12"/>
      <c r="CP447" s="12"/>
      <c r="DD447" s="12"/>
      <c r="DR447" s="12"/>
      <c r="EF447" s="12"/>
    </row>
    <row r="448" spans="8:136" ht="10.199999999999999" x14ac:dyDescent="0.2">
      <c r="H448" s="12"/>
      <c r="V448" s="12"/>
      <c r="AJ448" s="12"/>
      <c r="AX448" s="12"/>
      <c r="BL448" s="12"/>
      <c r="BZ448" s="12"/>
      <c r="CB448" s="12"/>
      <c r="CP448" s="12"/>
      <c r="DD448" s="12"/>
      <c r="DR448" s="12"/>
      <c r="EF448" s="12"/>
    </row>
    <row r="449" spans="8:136" ht="10.199999999999999" x14ac:dyDescent="0.2">
      <c r="H449" s="12"/>
      <c r="V449" s="12"/>
      <c r="AJ449" s="12"/>
      <c r="AX449" s="12"/>
      <c r="BL449" s="12"/>
      <c r="BZ449" s="12"/>
      <c r="CB449" s="12"/>
      <c r="CP449" s="12"/>
      <c r="DD449" s="12"/>
      <c r="DR449" s="12"/>
      <c r="EF449" s="12"/>
    </row>
    <row r="450" spans="8:136" ht="10.199999999999999" x14ac:dyDescent="0.2">
      <c r="H450" s="12"/>
      <c r="V450" s="12"/>
      <c r="AJ450" s="12"/>
      <c r="AX450" s="12"/>
      <c r="BL450" s="12"/>
      <c r="BZ450" s="12"/>
      <c r="CB450" s="12"/>
      <c r="CP450" s="12"/>
      <c r="DD450" s="12"/>
      <c r="DR450" s="12"/>
      <c r="EF450" s="12"/>
    </row>
    <row r="451" spans="8:136" ht="10.199999999999999" x14ac:dyDescent="0.2">
      <c r="H451" s="12"/>
      <c r="V451" s="12"/>
      <c r="AJ451" s="12"/>
      <c r="AX451" s="12"/>
      <c r="BL451" s="12"/>
      <c r="BZ451" s="12"/>
      <c r="CB451" s="12"/>
      <c r="CP451" s="12"/>
      <c r="DD451" s="12"/>
      <c r="DR451" s="12"/>
      <c r="EF451" s="12"/>
    </row>
    <row r="452" spans="8:136" ht="10.199999999999999" x14ac:dyDescent="0.2">
      <c r="H452" s="12"/>
      <c r="V452" s="12"/>
      <c r="AJ452" s="12"/>
      <c r="AX452" s="12"/>
      <c r="BL452" s="12"/>
      <c r="BZ452" s="12"/>
      <c r="CB452" s="12"/>
      <c r="CP452" s="12"/>
      <c r="DD452" s="12"/>
      <c r="DR452" s="12"/>
      <c r="EF452" s="12"/>
    </row>
    <row r="453" spans="8:136" ht="10.199999999999999" x14ac:dyDescent="0.2">
      <c r="H453" s="12"/>
      <c r="V453" s="12"/>
      <c r="AJ453" s="12"/>
      <c r="AX453" s="12"/>
      <c r="BL453" s="12"/>
      <c r="BZ453" s="12"/>
      <c r="CB453" s="12"/>
      <c r="CP453" s="12"/>
      <c r="DD453" s="12"/>
      <c r="DR453" s="12"/>
      <c r="EF453" s="12"/>
    </row>
    <row r="454" spans="8:136" ht="10.199999999999999" x14ac:dyDescent="0.2">
      <c r="H454" s="12"/>
      <c r="V454" s="12"/>
      <c r="AJ454" s="12"/>
      <c r="AX454" s="12"/>
      <c r="BL454" s="12"/>
      <c r="BZ454" s="12"/>
      <c r="CB454" s="12"/>
      <c r="CP454" s="12"/>
      <c r="DD454" s="12"/>
      <c r="DR454" s="12"/>
      <c r="EF454" s="12"/>
    </row>
    <row r="455" spans="8:136" ht="10.199999999999999" x14ac:dyDescent="0.2">
      <c r="H455" s="12"/>
      <c r="V455" s="12"/>
      <c r="AJ455" s="12"/>
      <c r="AX455" s="12"/>
      <c r="BL455" s="12"/>
      <c r="BZ455" s="12"/>
      <c r="CB455" s="12"/>
      <c r="CP455" s="12"/>
      <c r="DD455" s="12"/>
      <c r="DR455" s="12"/>
      <c r="EF455" s="12"/>
    </row>
    <row r="456" spans="8:136" ht="10.199999999999999" x14ac:dyDescent="0.2">
      <c r="H456" s="12"/>
      <c r="V456" s="12"/>
      <c r="AJ456" s="12"/>
      <c r="AX456" s="12"/>
      <c r="BL456" s="12"/>
      <c r="BZ456" s="12"/>
      <c r="CB456" s="12"/>
      <c r="CP456" s="12"/>
      <c r="DD456" s="12"/>
      <c r="DR456" s="12"/>
      <c r="EF456" s="12"/>
    </row>
    <row r="457" spans="8:136" ht="10.199999999999999" x14ac:dyDescent="0.2">
      <c r="H457" s="12"/>
      <c r="V457" s="12"/>
      <c r="AJ457" s="12"/>
      <c r="AX457" s="12"/>
      <c r="BL457" s="12"/>
      <c r="BZ457" s="12"/>
      <c r="CB457" s="12"/>
      <c r="CP457" s="12"/>
      <c r="DD457" s="12"/>
      <c r="DR457" s="12"/>
      <c r="EF457" s="12"/>
    </row>
    <row r="458" spans="8:136" ht="10.199999999999999" x14ac:dyDescent="0.2">
      <c r="H458" s="12"/>
      <c r="V458" s="12"/>
      <c r="AJ458" s="12"/>
      <c r="AX458" s="12"/>
      <c r="BL458" s="12"/>
      <c r="BZ458" s="12"/>
      <c r="CB458" s="12"/>
      <c r="CP458" s="12"/>
      <c r="DD458" s="12"/>
      <c r="DR458" s="12"/>
      <c r="EF458" s="12"/>
    </row>
    <row r="459" spans="8:136" ht="10.199999999999999" x14ac:dyDescent="0.2">
      <c r="H459" s="12"/>
      <c r="V459" s="12"/>
      <c r="AJ459" s="12"/>
      <c r="AX459" s="12"/>
      <c r="BL459" s="12"/>
      <c r="BZ459" s="12"/>
      <c r="CB459" s="12"/>
      <c r="CP459" s="12"/>
      <c r="DD459" s="12"/>
      <c r="DR459" s="12"/>
      <c r="EF459" s="12"/>
    </row>
    <row r="460" spans="8:136" ht="10.199999999999999" x14ac:dyDescent="0.2">
      <c r="H460" s="12"/>
      <c r="V460" s="12"/>
      <c r="AJ460" s="12"/>
      <c r="AX460" s="12"/>
      <c r="BL460" s="12"/>
      <c r="BZ460" s="12"/>
      <c r="CB460" s="12"/>
      <c r="CP460" s="12"/>
      <c r="DD460" s="12"/>
      <c r="DR460" s="12"/>
      <c r="EF460" s="12"/>
    </row>
    <row r="461" spans="8:136" ht="10.199999999999999" x14ac:dyDescent="0.2">
      <c r="H461" s="12"/>
      <c r="V461" s="12"/>
      <c r="AJ461" s="12"/>
      <c r="AX461" s="12"/>
      <c r="BL461" s="12"/>
      <c r="BZ461" s="12"/>
      <c r="CB461" s="12"/>
      <c r="CP461" s="12"/>
      <c r="DD461" s="12"/>
      <c r="DR461" s="12"/>
      <c r="EF461" s="12"/>
    </row>
    <row r="462" spans="8:136" ht="10.199999999999999" x14ac:dyDescent="0.2">
      <c r="H462" s="12"/>
      <c r="V462" s="12"/>
      <c r="AJ462" s="12"/>
      <c r="AX462" s="12"/>
      <c r="BL462" s="12"/>
      <c r="BZ462" s="12"/>
      <c r="CB462" s="12"/>
      <c r="CP462" s="12"/>
      <c r="DD462" s="12"/>
      <c r="DR462" s="12"/>
      <c r="EF462" s="12"/>
    </row>
    <row r="463" spans="8:136" ht="10.199999999999999" x14ac:dyDescent="0.2">
      <c r="H463" s="12"/>
      <c r="V463" s="12"/>
      <c r="AJ463" s="12"/>
      <c r="AX463" s="12"/>
      <c r="BL463" s="12"/>
      <c r="BZ463" s="12"/>
      <c r="CB463" s="12"/>
      <c r="CP463" s="12"/>
      <c r="DD463" s="12"/>
      <c r="DR463" s="12"/>
      <c r="EF463" s="12"/>
    </row>
    <row r="464" spans="8:136" ht="10.199999999999999" x14ac:dyDescent="0.2">
      <c r="H464" s="12"/>
      <c r="V464" s="12"/>
      <c r="AJ464" s="12"/>
      <c r="AX464" s="12"/>
      <c r="BL464" s="12"/>
      <c r="BZ464" s="12"/>
      <c r="CB464" s="12"/>
      <c r="CP464" s="12"/>
      <c r="DD464" s="12"/>
      <c r="DR464" s="12"/>
      <c r="EF464" s="12"/>
    </row>
    <row r="465" spans="8:136" ht="10.199999999999999" x14ac:dyDescent="0.2">
      <c r="H465" s="12"/>
      <c r="V465" s="12"/>
      <c r="AJ465" s="12"/>
      <c r="AX465" s="12"/>
      <c r="BL465" s="12"/>
      <c r="BZ465" s="12"/>
      <c r="CB465" s="12"/>
      <c r="CP465" s="12"/>
      <c r="DD465" s="12"/>
      <c r="DR465" s="12"/>
      <c r="EF465" s="12"/>
    </row>
    <row r="466" spans="8:136" ht="10.199999999999999" x14ac:dyDescent="0.2">
      <c r="H466" s="12"/>
      <c r="V466" s="12"/>
      <c r="AJ466" s="12"/>
      <c r="AX466" s="12"/>
      <c r="BL466" s="12"/>
      <c r="BZ466" s="12"/>
      <c r="CB466" s="12"/>
      <c r="CP466" s="12"/>
      <c r="DD466" s="12"/>
      <c r="DR466" s="12"/>
      <c r="EF466" s="12"/>
    </row>
    <row r="467" spans="8:136" ht="10.199999999999999" x14ac:dyDescent="0.2">
      <c r="H467" s="12"/>
      <c r="V467" s="12"/>
      <c r="AJ467" s="12"/>
      <c r="AX467" s="12"/>
      <c r="BL467" s="12"/>
      <c r="BZ467" s="12"/>
      <c r="CB467" s="12"/>
      <c r="CP467" s="12"/>
      <c r="DD467" s="12"/>
      <c r="DR467" s="12"/>
      <c r="EF467" s="12"/>
    </row>
    <row r="468" spans="8:136" ht="10.199999999999999" x14ac:dyDescent="0.2">
      <c r="H468" s="12"/>
      <c r="V468" s="12"/>
      <c r="AJ468" s="12"/>
      <c r="AX468" s="12"/>
      <c r="BL468" s="12"/>
      <c r="BZ468" s="12"/>
      <c r="CB468" s="12"/>
      <c r="CP468" s="12"/>
      <c r="DD468" s="12"/>
      <c r="DR468" s="12"/>
      <c r="EF468" s="12"/>
    </row>
    <row r="469" spans="8:136" ht="10.199999999999999" x14ac:dyDescent="0.2">
      <c r="H469" s="12"/>
      <c r="V469" s="12"/>
      <c r="AJ469" s="12"/>
      <c r="AX469" s="12"/>
      <c r="BL469" s="12"/>
      <c r="BZ469" s="12"/>
      <c r="CB469" s="12"/>
      <c r="CP469" s="12"/>
      <c r="DD469" s="12"/>
      <c r="DR469" s="12"/>
      <c r="EF469" s="12"/>
    </row>
    <row r="470" spans="8:136" ht="10.199999999999999" x14ac:dyDescent="0.2">
      <c r="H470" s="12"/>
      <c r="V470" s="12"/>
      <c r="AJ470" s="12"/>
      <c r="AX470" s="12"/>
      <c r="BL470" s="12"/>
      <c r="BZ470" s="12"/>
      <c r="CB470" s="12"/>
      <c r="CP470" s="12"/>
      <c r="DD470" s="12"/>
      <c r="DR470" s="12"/>
      <c r="EF470" s="12"/>
    </row>
    <row r="471" spans="8:136" ht="10.199999999999999" x14ac:dyDescent="0.2">
      <c r="H471" s="12"/>
      <c r="V471" s="12"/>
      <c r="AJ471" s="12"/>
      <c r="AX471" s="12"/>
      <c r="BL471" s="12"/>
      <c r="BZ471" s="12"/>
      <c r="CB471" s="12"/>
      <c r="CP471" s="12"/>
      <c r="DD471" s="12"/>
      <c r="DR471" s="12"/>
      <c r="EF471" s="12"/>
    </row>
    <row r="472" spans="8:136" ht="10.199999999999999" x14ac:dyDescent="0.2">
      <c r="H472" s="12"/>
      <c r="V472" s="12"/>
      <c r="AJ472" s="12"/>
      <c r="AX472" s="12"/>
      <c r="BL472" s="12"/>
      <c r="BZ472" s="12"/>
      <c r="CB472" s="12"/>
      <c r="CP472" s="12"/>
      <c r="DD472" s="12"/>
      <c r="DR472" s="12"/>
      <c r="EF472" s="12"/>
    </row>
    <row r="473" spans="8:136" ht="10.199999999999999" x14ac:dyDescent="0.2">
      <c r="H473" s="12"/>
      <c r="V473" s="12"/>
      <c r="AJ473" s="12"/>
      <c r="AX473" s="12"/>
      <c r="BL473" s="12"/>
      <c r="BZ473" s="12"/>
      <c r="CB473" s="12"/>
      <c r="CP473" s="12"/>
      <c r="DD473" s="12"/>
      <c r="DR473" s="12"/>
      <c r="EF473" s="12"/>
    </row>
    <row r="474" spans="8:136" ht="10.199999999999999" x14ac:dyDescent="0.2">
      <c r="H474" s="12"/>
      <c r="V474" s="12"/>
      <c r="AJ474" s="12"/>
      <c r="AX474" s="12"/>
      <c r="BL474" s="12"/>
      <c r="BZ474" s="12"/>
      <c r="CB474" s="12"/>
      <c r="CP474" s="12"/>
      <c r="DD474" s="12"/>
      <c r="DR474" s="12"/>
      <c r="EF474" s="12"/>
    </row>
    <row r="475" spans="8:136" ht="10.199999999999999" x14ac:dyDescent="0.2">
      <c r="H475" s="12"/>
      <c r="V475" s="12"/>
      <c r="AJ475" s="12"/>
      <c r="AX475" s="12"/>
      <c r="BL475" s="12"/>
      <c r="BZ475" s="12"/>
      <c r="CB475" s="12"/>
      <c r="CP475" s="12"/>
      <c r="DD475" s="12"/>
      <c r="DR475" s="12"/>
      <c r="EF475" s="12"/>
    </row>
    <row r="476" spans="8:136" ht="10.199999999999999" x14ac:dyDescent="0.2">
      <c r="H476" s="12"/>
      <c r="V476" s="12"/>
      <c r="AJ476" s="12"/>
      <c r="AX476" s="12"/>
      <c r="BL476" s="12"/>
      <c r="BZ476" s="12"/>
      <c r="CB476" s="12"/>
      <c r="CP476" s="12"/>
      <c r="DD476" s="12"/>
      <c r="DR476" s="12"/>
      <c r="EF476" s="12"/>
    </row>
    <row r="477" spans="8:136" ht="10.199999999999999" x14ac:dyDescent="0.2">
      <c r="H477" s="12"/>
      <c r="V477" s="12"/>
      <c r="AJ477" s="12"/>
      <c r="AX477" s="12"/>
      <c r="BL477" s="12"/>
      <c r="BZ477" s="12"/>
      <c r="CB477" s="12"/>
      <c r="CP477" s="12"/>
      <c r="DD477" s="12"/>
      <c r="DR477" s="12"/>
      <c r="EF477" s="12"/>
    </row>
    <row r="478" spans="8:136" ht="10.199999999999999" x14ac:dyDescent="0.2">
      <c r="H478" s="12"/>
      <c r="V478" s="12"/>
      <c r="AJ478" s="12"/>
      <c r="AX478" s="12"/>
      <c r="BL478" s="12"/>
      <c r="BZ478" s="12"/>
      <c r="CB478" s="12"/>
      <c r="CP478" s="12"/>
      <c r="DD478" s="12"/>
      <c r="DR478" s="12"/>
      <c r="EF478" s="12"/>
    </row>
    <row r="479" spans="8:136" ht="10.199999999999999" x14ac:dyDescent="0.2">
      <c r="H479" s="12"/>
      <c r="V479" s="12"/>
      <c r="AJ479" s="12"/>
      <c r="AX479" s="12"/>
      <c r="BL479" s="12"/>
      <c r="BZ479" s="12"/>
      <c r="CB479" s="12"/>
      <c r="CP479" s="12"/>
      <c r="DD479" s="12"/>
      <c r="DR479" s="12"/>
      <c r="EF479" s="12"/>
    </row>
    <row r="480" spans="8:136" ht="10.199999999999999" x14ac:dyDescent="0.2">
      <c r="H480" s="12"/>
      <c r="V480" s="12"/>
      <c r="AJ480" s="12"/>
      <c r="AX480" s="12"/>
      <c r="BL480" s="12"/>
      <c r="BZ480" s="12"/>
      <c r="CB480" s="12"/>
      <c r="CP480" s="12"/>
      <c r="DD480" s="12"/>
      <c r="DR480" s="12"/>
      <c r="EF480" s="12"/>
    </row>
    <row r="481" spans="8:136" ht="10.199999999999999" x14ac:dyDescent="0.2">
      <c r="H481" s="12"/>
      <c r="V481" s="12"/>
      <c r="AJ481" s="12"/>
      <c r="AX481" s="12"/>
      <c r="BL481" s="12"/>
      <c r="BZ481" s="12"/>
      <c r="CB481" s="12"/>
      <c r="CP481" s="12"/>
      <c r="DD481" s="12"/>
      <c r="DR481" s="12"/>
      <c r="EF481" s="12"/>
    </row>
    <row r="482" spans="8:136" ht="10.199999999999999" x14ac:dyDescent="0.2">
      <c r="H482" s="12"/>
      <c r="V482" s="12"/>
      <c r="AJ482" s="12"/>
      <c r="AX482" s="12"/>
      <c r="BL482" s="12"/>
      <c r="BZ482" s="12"/>
      <c r="CB482" s="12"/>
      <c r="CP482" s="12"/>
      <c r="DD482" s="12"/>
      <c r="DR482" s="12"/>
      <c r="EF482" s="12"/>
    </row>
    <row r="483" spans="8:136" ht="10.199999999999999" x14ac:dyDescent="0.2">
      <c r="H483" s="12"/>
      <c r="V483" s="12"/>
      <c r="AJ483" s="12"/>
      <c r="AX483" s="12"/>
      <c r="BL483" s="12"/>
      <c r="BZ483" s="12"/>
      <c r="CB483" s="12"/>
      <c r="CP483" s="12"/>
      <c r="DD483" s="12"/>
      <c r="DR483" s="12"/>
      <c r="EF483" s="12"/>
    </row>
    <row r="484" spans="8:136" ht="10.199999999999999" x14ac:dyDescent="0.2">
      <c r="H484" s="12"/>
      <c r="V484" s="12"/>
      <c r="AJ484" s="12"/>
      <c r="AX484" s="12"/>
      <c r="BL484" s="12"/>
      <c r="BZ484" s="12"/>
      <c r="CB484" s="12"/>
      <c r="CP484" s="12"/>
      <c r="DD484" s="12"/>
      <c r="DR484" s="12"/>
      <c r="EF484" s="12"/>
    </row>
    <row r="485" spans="8:136" ht="10.199999999999999" x14ac:dyDescent="0.2">
      <c r="H485" s="12"/>
      <c r="V485" s="12"/>
      <c r="AJ485" s="12"/>
      <c r="AX485" s="12"/>
      <c r="BL485" s="12"/>
      <c r="BZ485" s="12"/>
      <c r="CB485" s="12"/>
      <c r="CP485" s="12"/>
      <c r="DD485" s="12"/>
      <c r="DR485" s="12"/>
      <c r="EF485" s="12"/>
    </row>
    <row r="486" spans="8:136" ht="10.199999999999999" x14ac:dyDescent="0.2">
      <c r="H486" s="12"/>
      <c r="V486" s="12"/>
      <c r="AJ486" s="12"/>
      <c r="AX486" s="12"/>
      <c r="BL486" s="12"/>
      <c r="BZ486" s="12"/>
      <c r="CB486" s="12"/>
      <c r="CP486" s="12"/>
      <c r="DD486" s="12"/>
      <c r="DR486" s="12"/>
      <c r="EF486" s="12"/>
    </row>
    <row r="487" spans="8:136" ht="10.199999999999999" x14ac:dyDescent="0.2">
      <c r="H487" s="12"/>
      <c r="V487" s="12"/>
      <c r="AJ487" s="12"/>
      <c r="AX487" s="12"/>
      <c r="BL487" s="12"/>
      <c r="BZ487" s="12"/>
      <c r="CB487" s="12"/>
      <c r="CP487" s="12"/>
      <c r="DD487" s="12"/>
      <c r="DR487" s="12"/>
      <c r="EF487" s="12"/>
    </row>
    <row r="488" spans="8:136" ht="10.199999999999999" x14ac:dyDescent="0.2">
      <c r="H488" s="12"/>
      <c r="V488" s="12"/>
      <c r="AJ488" s="12"/>
      <c r="AX488" s="12"/>
      <c r="BL488" s="12"/>
      <c r="BZ488" s="12"/>
      <c r="CB488" s="12"/>
      <c r="CP488" s="12"/>
      <c r="DD488" s="12"/>
      <c r="DR488" s="12"/>
      <c r="EF488" s="12"/>
    </row>
    <row r="489" spans="8:136" ht="10.199999999999999" x14ac:dyDescent="0.2">
      <c r="H489" s="12"/>
      <c r="V489" s="12"/>
      <c r="AJ489" s="12"/>
      <c r="AX489" s="12"/>
      <c r="BL489" s="12"/>
      <c r="BZ489" s="12"/>
      <c r="CB489" s="12"/>
      <c r="CP489" s="12"/>
      <c r="DD489" s="12"/>
      <c r="DR489" s="12"/>
      <c r="EF489" s="12"/>
    </row>
    <row r="490" spans="8:136" ht="10.199999999999999" x14ac:dyDescent="0.2">
      <c r="H490" s="12"/>
      <c r="V490" s="12"/>
      <c r="AJ490" s="12"/>
      <c r="AX490" s="12"/>
      <c r="BL490" s="12"/>
      <c r="BZ490" s="12"/>
      <c r="CB490" s="12"/>
      <c r="CP490" s="12"/>
      <c r="DD490" s="12"/>
      <c r="DR490" s="12"/>
      <c r="EF490" s="12"/>
    </row>
    <row r="491" spans="8:136" ht="10.199999999999999" x14ac:dyDescent="0.2">
      <c r="H491" s="12"/>
      <c r="V491" s="12"/>
      <c r="AJ491" s="12"/>
      <c r="AX491" s="12"/>
      <c r="BL491" s="12"/>
      <c r="BZ491" s="12"/>
      <c r="CB491" s="12"/>
      <c r="CP491" s="12"/>
      <c r="DD491" s="12"/>
      <c r="DR491" s="12"/>
      <c r="EF491" s="12"/>
    </row>
    <row r="492" spans="8:136" ht="10.199999999999999" x14ac:dyDescent="0.2">
      <c r="H492" s="12"/>
      <c r="V492" s="12"/>
      <c r="AJ492" s="12"/>
      <c r="AX492" s="12"/>
      <c r="BL492" s="12"/>
      <c r="BZ492" s="12"/>
      <c r="CB492" s="12"/>
      <c r="CP492" s="12"/>
      <c r="DD492" s="12"/>
      <c r="DR492" s="12"/>
      <c r="EF492" s="12"/>
    </row>
    <row r="493" spans="8:136" ht="10.199999999999999" x14ac:dyDescent="0.2">
      <c r="H493" s="12"/>
      <c r="V493" s="12"/>
      <c r="AJ493" s="12"/>
      <c r="AX493" s="12"/>
      <c r="BL493" s="12"/>
      <c r="BZ493" s="12"/>
      <c r="CB493" s="12"/>
      <c r="CP493" s="12"/>
      <c r="DD493" s="12"/>
      <c r="DR493" s="12"/>
      <c r="EF493" s="12"/>
    </row>
    <row r="494" spans="8:136" ht="10.199999999999999" x14ac:dyDescent="0.2">
      <c r="H494" s="12"/>
      <c r="V494" s="12"/>
      <c r="AJ494" s="12"/>
      <c r="AX494" s="12"/>
      <c r="BL494" s="12"/>
      <c r="BZ494" s="12"/>
      <c r="CB494" s="12"/>
      <c r="CP494" s="12"/>
      <c r="DD494" s="12"/>
      <c r="DR494" s="12"/>
      <c r="EF494" s="12"/>
    </row>
    <row r="495" spans="8:136" ht="10.199999999999999" x14ac:dyDescent="0.2">
      <c r="H495" s="12"/>
      <c r="V495" s="12"/>
      <c r="AJ495" s="12"/>
      <c r="AX495" s="12"/>
      <c r="BL495" s="12"/>
      <c r="BZ495" s="12"/>
      <c r="CB495" s="12"/>
      <c r="CP495" s="12"/>
      <c r="DD495" s="12"/>
      <c r="DR495" s="12"/>
      <c r="EF495" s="12"/>
    </row>
    <row r="496" spans="8:136" ht="10.199999999999999" x14ac:dyDescent="0.2">
      <c r="H496" s="12"/>
      <c r="V496" s="12"/>
      <c r="AJ496" s="12"/>
      <c r="AX496" s="12"/>
      <c r="BL496" s="12"/>
      <c r="BZ496" s="12"/>
      <c r="CB496" s="12"/>
      <c r="CP496" s="12"/>
      <c r="DD496" s="12"/>
      <c r="DR496" s="12"/>
      <c r="EF496" s="12"/>
    </row>
    <row r="497" spans="8:136" ht="10.199999999999999" x14ac:dyDescent="0.2">
      <c r="H497" s="12"/>
      <c r="V497" s="12"/>
      <c r="AJ497" s="12"/>
      <c r="AX497" s="12"/>
      <c r="BL497" s="12"/>
      <c r="BZ497" s="12"/>
      <c r="CB497" s="12"/>
      <c r="CP497" s="12"/>
      <c r="DD497" s="12"/>
      <c r="DR497" s="12"/>
      <c r="EF497" s="12"/>
    </row>
    <row r="498" spans="8:136" ht="10.199999999999999" x14ac:dyDescent="0.2">
      <c r="H498" s="12"/>
      <c r="V498" s="12"/>
      <c r="AJ498" s="12"/>
      <c r="AX498" s="12"/>
      <c r="BL498" s="12"/>
      <c r="BZ498" s="12"/>
      <c r="CB498" s="12"/>
      <c r="CP498" s="12"/>
      <c r="DD498" s="12"/>
      <c r="DR498" s="12"/>
      <c r="EF498" s="12"/>
    </row>
    <row r="499" spans="8:136" ht="10.199999999999999" x14ac:dyDescent="0.2">
      <c r="H499" s="12"/>
      <c r="V499" s="12"/>
      <c r="AJ499" s="12"/>
      <c r="AX499" s="12"/>
      <c r="BL499" s="12"/>
      <c r="BZ499" s="12"/>
      <c r="CB499" s="12"/>
      <c r="CP499" s="12"/>
      <c r="DD499" s="12"/>
      <c r="DR499" s="12"/>
      <c r="EF499" s="12"/>
    </row>
    <row r="500" spans="8:136" ht="10.199999999999999" x14ac:dyDescent="0.2">
      <c r="H500" s="12"/>
      <c r="V500" s="12"/>
      <c r="AJ500" s="12"/>
      <c r="AX500" s="12"/>
      <c r="BL500" s="12"/>
      <c r="BZ500" s="12"/>
      <c r="CB500" s="12"/>
      <c r="CP500" s="12"/>
      <c r="DD500" s="12"/>
      <c r="DR500" s="12"/>
      <c r="EF500" s="12"/>
    </row>
    <row r="501" spans="8:136" ht="10.199999999999999" x14ac:dyDescent="0.2">
      <c r="H501" s="12"/>
      <c r="V501" s="12"/>
      <c r="AJ501" s="12"/>
      <c r="AX501" s="12"/>
      <c r="BL501" s="12"/>
      <c r="BZ501" s="12"/>
      <c r="CB501" s="12"/>
      <c r="CP501" s="12"/>
      <c r="DD501" s="12"/>
      <c r="DR501" s="12"/>
      <c r="EF501" s="12"/>
    </row>
    <row r="502" spans="8:136" ht="10.199999999999999" x14ac:dyDescent="0.2">
      <c r="H502" s="12"/>
      <c r="V502" s="12"/>
      <c r="AJ502" s="12"/>
      <c r="AX502" s="12"/>
      <c r="BL502" s="12"/>
      <c r="BZ502" s="12"/>
      <c r="CB502" s="12"/>
      <c r="CP502" s="12"/>
      <c r="DD502" s="12"/>
      <c r="DR502" s="12"/>
      <c r="EF502" s="12"/>
    </row>
    <row r="503" spans="8:136" ht="10.199999999999999" x14ac:dyDescent="0.2">
      <c r="H503" s="12"/>
      <c r="V503" s="12"/>
      <c r="AJ503" s="12"/>
      <c r="AX503" s="12"/>
      <c r="BL503" s="12"/>
      <c r="BZ503" s="12"/>
      <c r="CB503" s="12"/>
      <c r="CP503" s="12"/>
      <c r="DD503" s="12"/>
      <c r="DR503" s="12"/>
      <c r="EF503" s="12"/>
    </row>
    <row r="504" spans="8:136" ht="10.199999999999999" x14ac:dyDescent="0.2">
      <c r="H504" s="12"/>
      <c r="V504" s="12"/>
      <c r="AJ504" s="12"/>
      <c r="AX504" s="12"/>
      <c r="BL504" s="12"/>
      <c r="BZ504" s="12"/>
      <c r="CB504" s="12"/>
      <c r="CP504" s="12"/>
      <c r="DD504" s="12"/>
      <c r="DR504" s="12"/>
      <c r="EF504" s="12"/>
    </row>
    <row r="505" spans="8:136" ht="10.199999999999999" x14ac:dyDescent="0.2">
      <c r="H505" s="12"/>
      <c r="V505" s="12"/>
      <c r="AJ505" s="12"/>
      <c r="AX505" s="12"/>
      <c r="BL505" s="12"/>
      <c r="BZ505" s="12"/>
      <c r="CB505" s="12"/>
      <c r="CP505" s="12"/>
      <c r="DD505" s="12"/>
      <c r="DR505" s="12"/>
      <c r="EF505" s="12"/>
    </row>
    <row r="506" spans="8:136" ht="10.199999999999999" x14ac:dyDescent="0.2">
      <c r="H506" s="12"/>
      <c r="V506" s="12"/>
      <c r="AJ506" s="12"/>
      <c r="AX506" s="12"/>
      <c r="BL506" s="12"/>
      <c r="BZ506" s="12"/>
      <c r="CB506" s="12"/>
      <c r="CP506" s="12"/>
      <c r="DD506" s="12"/>
      <c r="DR506" s="12"/>
      <c r="EF506" s="12"/>
    </row>
    <row r="507" spans="8:136" ht="10.199999999999999" x14ac:dyDescent="0.2">
      <c r="H507" s="12"/>
      <c r="V507" s="12"/>
      <c r="AJ507" s="12"/>
      <c r="AX507" s="12"/>
      <c r="BL507" s="12"/>
      <c r="BZ507" s="12"/>
      <c r="CB507" s="12"/>
      <c r="CP507" s="12"/>
      <c r="DD507" s="12"/>
      <c r="DR507" s="12"/>
      <c r="EF507" s="12"/>
    </row>
    <row r="508" spans="8:136" ht="10.199999999999999" x14ac:dyDescent="0.2">
      <c r="H508" s="12"/>
      <c r="V508" s="12"/>
      <c r="AJ508" s="12"/>
      <c r="AX508" s="12"/>
      <c r="BL508" s="12"/>
      <c r="BZ508" s="12"/>
      <c r="CB508" s="12"/>
      <c r="CP508" s="12"/>
      <c r="DD508" s="12"/>
      <c r="DR508" s="12"/>
      <c r="EF508" s="12"/>
    </row>
    <row r="509" spans="8:136" ht="10.199999999999999" x14ac:dyDescent="0.2">
      <c r="H509" s="12"/>
      <c r="V509" s="12"/>
      <c r="AJ509" s="12"/>
      <c r="AX509" s="12"/>
      <c r="BL509" s="12"/>
      <c r="BZ509" s="12"/>
      <c r="CB509" s="12"/>
      <c r="CP509" s="12"/>
      <c r="DD509" s="12"/>
      <c r="DR509" s="12"/>
      <c r="EF509" s="12"/>
    </row>
    <row r="510" spans="8:136" ht="10.199999999999999" x14ac:dyDescent="0.2">
      <c r="H510" s="12"/>
      <c r="V510" s="12"/>
      <c r="AJ510" s="12"/>
      <c r="AX510" s="12"/>
      <c r="BL510" s="12"/>
      <c r="BZ510" s="12"/>
      <c r="CB510" s="12"/>
      <c r="CP510" s="12"/>
      <c r="DD510" s="12"/>
      <c r="DR510" s="12"/>
      <c r="EF510" s="12"/>
    </row>
    <row r="511" spans="8:136" ht="10.199999999999999" x14ac:dyDescent="0.2">
      <c r="H511" s="12"/>
      <c r="V511" s="12"/>
      <c r="AJ511" s="12"/>
      <c r="AX511" s="12"/>
      <c r="BL511" s="12"/>
      <c r="BZ511" s="12"/>
      <c r="CB511" s="12"/>
      <c r="CP511" s="12"/>
      <c r="DD511" s="12"/>
      <c r="DR511" s="12"/>
      <c r="EF511" s="12"/>
    </row>
    <row r="512" spans="8:136" ht="10.199999999999999" x14ac:dyDescent="0.2">
      <c r="H512" s="12"/>
      <c r="V512" s="12"/>
      <c r="AJ512" s="12"/>
      <c r="AX512" s="12"/>
      <c r="BL512" s="12"/>
      <c r="BZ512" s="12"/>
      <c r="CB512" s="12"/>
      <c r="CP512" s="12"/>
      <c r="DD512" s="12"/>
      <c r="DR512" s="12"/>
      <c r="EF512" s="12"/>
    </row>
    <row r="513" spans="8:136" ht="10.199999999999999" x14ac:dyDescent="0.2">
      <c r="H513" s="12"/>
      <c r="V513" s="12"/>
      <c r="AJ513" s="12"/>
      <c r="AX513" s="12"/>
      <c r="BL513" s="12"/>
      <c r="BZ513" s="12"/>
      <c r="CB513" s="12"/>
      <c r="CP513" s="12"/>
      <c r="DD513" s="12"/>
      <c r="DR513" s="12"/>
      <c r="EF513" s="12"/>
    </row>
    <row r="514" spans="8:136" ht="10.199999999999999" x14ac:dyDescent="0.2">
      <c r="H514" s="12"/>
      <c r="V514" s="12"/>
      <c r="AJ514" s="12"/>
      <c r="AX514" s="12"/>
      <c r="BL514" s="12"/>
      <c r="BZ514" s="12"/>
      <c r="CB514" s="12"/>
      <c r="CP514" s="12"/>
      <c r="DD514" s="12"/>
      <c r="DR514" s="12"/>
      <c r="EF514" s="12"/>
    </row>
    <row r="515" spans="8:136" ht="10.199999999999999" x14ac:dyDescent="0.2">
      <c r="H515" s="12"/>
      <c r="V515" s="12"/>
      <c r="AJ515" s="12"/>
      <c r="AX515" s="12"/>
      <c r="BL515" s="12"/>
      <c r="BZ515" s="12"/>
      <c r="CB515" s="12"/>
      <c r="CP515" s="12"/>
      <c r="DD515" s="12"/>
      <c r="DR515" s="12"/>
      <c r="EF515" s="12"/>
    </row>
    <row r="516" spans="8:136" ht="10.199999999999999" x14ac:dyDescent="0.2">
      <c r="H516" s="12"/>
      <c r="V516" s="12"/>
      <c r="AJ516" s="12"/>
      <c r="AX516" s="12"/>
      <c r="BL516" s="12"/>
      <c r="BZ516" s="12"/>
      <c r="CB516" s="12"/>
      <c r="CP516" s="12"/>
      <c r="DD516" s="12"/>
      <c r="DR516" s="12"/>
      <c r="EF516" s="12"/>
    </row>
    <row r="517" spans="8:136" ht="10.199999999999999" x14ac:dyDescent="0.2">
      <c r="H517" s="12"/>
      <c r="V517" s="12"/>
      <c r="AJ517" s="12"/>
      <c r="AX517" s="12"/>
      <c r="BL517" s="12"/>
      <c r="BZ517" s="12"/>
      <c r="CB517" s="12"/>
      <c r="CP517" s="12"/>
      <c r="DD517" s="12"/>
      <c r="DR517" s="12"/>
      <c r="EF517" s="12"/>
    </row>
    <row r="518" spans="8:136" ht="10.199999999999999" x14ac:dyDescent="0.2">
      <c r="H518" s="12"/>
      <c r="V518" s="12"/>
      <c r="AJ518" s="12"/>
      <c r="AX518" s="12"/>
      <c r="BL518" s="12"/>
      <c r="BZ518" s="12"/>
      <c r="CB518" s="12"/>
      <c r="CP518" s="12"/>
      <c r="DD518" s="12"/>
      <c r="DR518" s="12"/>
      <c r="EF518" s="12"/>
    </row>
    <row r="519" spans="8:136" ht="10.199999999999999" x14ac:dyDescent="0.2">
      <c r="H519" s="12"/>
      <c r="V519" s="12"/>
      <c r="AJ519" s="12"/>
      <c r="AX519" s="12"/>
      <c r="BL519" s="12"/>
      <c r="BZ519" s="12"/>
      <c r="CB519" s="12"/>
      <c r="CP519" s="12"/>
      <c r="DD519" s="12"/>
      <c r="DR519" s="12"/>
      <c r="EF519" s="12"/>
    </row>
    <row r="520" spans="8:136" ht="10.199999999999999" x14ac:dyDescent="0.2">
      <c r="H520" s="12"/>
      <c r="V520" s="12"/>
      <c r="AJ520" s="12"/>
      <c r="AX520" s="12"/>
      <c r="BL520" s="12"/>
      <c r="BZ520" s="12"/>
      <c r="CB520" s="12"/>
      <c r="CP520" s="12"/>
      <c r="DD520" s="12"/>
      <c r="DR520" s="12"/>
      <c r="EF520" s="12"/>
    </row>
    <row r="521" spans="8:136" ht="10.199999999999999" x14ac:dyDescent="0.2">
      <c r="H521" s="12"/>
      <c r="V521" s="12"/>
      <c r="AJ521" s="12"/>
      <c r="AX521" s="12"/>
      <c r="BL521" s="12"/>
      <c r="BZ521" s="12"/>
      <c r="CB521" s="12"/>
      <c r="CP521" s="12"/>
      <c r="DD521" s="12"/>
      <c r="DR521" s="12"/>
      <c r="EF521" s="12"/>
    </row>
    <row r="522" spans="8:136" ht="10.199999999999999" x14ac:dyDescent="0.2">
      <c r="H522" s="12"/>
      <c r="V522" s="12"/>
      <c r="AJ522" s="12"/>
      <c r="AX522" s="12"/>
      <c r="BL522" s="12"/>
      <c r="BZ522" s="12"/>
      <c r="CB522" s="12"/>
      <c r="CP522" s="12"/>
      <c r="DD522" s="12"/>
      <c r="DR522" s="12"/>
      <c r="EF522" s="12"/>
    </row>
    <row r="523" spans="8:136" ht="10.199999999999999" x14ac:dyDescent="0.2">
      <c r="H523" s="12"/>
      <c r="V523" s="12"/>
      <c r="AJ523" s="12"/>
      <c r="AX523" s="12"/>
      <c r="BL523" s="12"/>
      <c r="BZ523" s="12"/>
      <c r="CB523" s="12"/>
      <c r="CP523" s="12"/>
      <c r="DD523" s="12"/>
      <c r="DR523" s="12"/>
      <c r="EF523" s="12"/>
    </row>
    <row r="524" spans="8:136" ht="10.199999999999999" x14ac:dyDescent="0.2">
      <c r="H524" s="12"/>
      <c r="V524" s="12"/>
      <c r="AJ524" s="12"/>
      <c r="AX524" s="12"/>
      <c r="BL524" s="12"/>
      <c r="BZ524" s="12"/>
      <c r="CB524" s="12"/>
      <c r="CP524" s="12"/>
      <c r="DD524" s="12"/>
      <c r="DR524" s="12"/>
      <c r="EF524" s="12"/>
    </row>
    <row r="525" spans="8:136" ht="10.199999999999999" x14ac:dyDescent="0.2">
      <c r="H525" s="12"/>
      <c r="V525" s="12"/>
      <c r="AJ525" s="12"/>
      <c r="AX525" s="12"/>
      <c r="BL525" s="12"/>
      <c r="BZ525" s="12"/>
      <c r="CB525" s="12"/>
      <c r="CP525" s="12"/>
      <c r="DD525" s="12"/>
      <c r="DR525" s="12"/>
      <c r="EF525" s="12"/>
    </row>
    <row r="526" spans="8:136" ht="10.199999999999999" x14ac:dyDescent="0.2">
      <c r="H526" s="12"/>
      <c r="V526" s="12"/>
      <c r="AJ526" s="12"/>
      <c r="AX526" s="12"/>
      <c r="BL526" s="12"/>
      <c r="BZ526" s="12"/>
      <c r="CB526" s="12"/>
      <c r="CP526" s="12"/>
      <c r="DD526" s="12"/>
      <c r="DR526" s="12"/>
      <c r="EF526" s="12"/>
    </row>
    <row r="527" spans="8:136" ht="10.199999999999999" x14ac:dyDescent="0.2">
      <c r="H527" s="12"/>
      <c r="V527" s="12"/>
      <c r="AJ527" s="12"/>
      <c r="AX527" s="12"/>
      <c r="BL527" s="12"/>
      <c r="BZ527" s="12"/>
      <c r="CB527" s="12"/>
      <c r="CP527" s="12"/>
      <c r="DD527" s="12"/>
      <c r="DR527" s="12"/>
      <c r="EF527" s="12"/>
    </row>
    <row r="528" spans="8:136" ht="10.199999999999999" x14ac:dyDescent="0.2">
      <c r="H528" s="12"/>
      <c r="V528" s="12"/>
      <c r="AJ528" s="12"/>
      <c r="AX528" s="12"/>
      <c r="BL528" s="12"/>
      <c r="BZ528" s="12"/>
      <c r="CB528" s="12"/>
      <c r="CP528" s="12"/>
      <c r="DD528" s="12"/>
      <c r="DR528" s="12"/>
      <c r="EF528" s="12"/>
    </row>
    <row r="529" spans="8:136" ht="10.199999999999999" x14ac:dyDescent="0.2">
      <c r="H529" s="12"/>
      <c r="V529" s="12"/>
      <c r="AJ529" s="12"/>
      <c r="AX529" s="12"/>
      <c r="BL529" s="12"/>
      <c r="BZ529" s="12"/>
      <c r="CB529" s="12"/>
      <c r="CP529" s="12"/>
      <c r="DD529" s="12"/>
      <c r="DR529" s="12"/>
      <c r="EF529" s="12"/>
    </row>
    <row r="530" spans="8:136" ht="10.199999999999999" x14ac:dyDescent="0.2">
      <c r="H530" s="12"/>
      <c r="V530" s="12"/>
      <c r="AJ530" s="12"/>
      <c r="AX530" s="12"/>
      <c r="BL530" s="12"/>
      <c r="BZ530" s="12"/>
      <c r="CB530" s="12"/>
      <c r="CP530" s="12"/>
      <c r="DD530" s="12"/>
      <c r="DR530" s="12"/>
      <c r="EF530" s="12"/>
    </row>
    <row r="531" spans="8:136" ht="10.199999999999999" x14ac:dyDescent="0.2">
      <c r="H531" s="12"/>
      <c r="V531" s="12"/>
      <c r="AJ531" s="12"/>
      <c r="AX531" s="12"/>
      <c r="BL531" s="12"/>
      <c r="BZ531" s="12"/>
      <c r="CB531" s="12"/>
      <c r="CP531" s="12"/>
      <c r="DD531" s="12"/>
      <c r="DR531" s="12"/>
      <c r="EF531" s="12"/>
    </row>
    <row r="532" spans="8:136" ht="10.199999999999999" x14ac:dyDescent="0.2">
      <c r="H532" s="12"/>
      <c r="V532" s="12"/>
      <c r="AJ532" s="12"/>
      <c r="AX532" s="12"/>
      <c r="BL532" s="12"/>
      <c r="BZ532" s="12"/>
      <c r="CB532" s="12"/>
      <c r="CP532" s="12"/>
      <c r="DD532" s="12"/>
      <c r="DR532" s="12"/>
      <c r="EF532" s="12"/>
    </row>
    <row r="533" spans="8:136" ht="10.199999999999999" x14ac:dyDescent="0.2">
      <c r="H533" s="12"/>
      <c r="V533" s="12"/>
      <c r="AJ533" s="12"/>
      <c r="AX533" s="12"/>
      <c r="BL533" s="12"/>
      <c r="BZ533" s="12"/>
      <c r="CB533" s="12"/>
      <c r="CP533" s="12"/>
      <c r="DD533" s="12"/>
      <c r="DR533" s="12"/>
      <c r="EF533" s="12"/>
    </row>
    <row r="534" spans="8:136" ht="10.199999999999999" x14ac:dyDescent="0.2">
      <c r="H534" s="12"/>
      <c r="V534" s="12"/>
      <c r="AJ534" s="12"/>
      <c r="AX534" s="12"/>
      <c r="BL534" s="12"/>
      <c r="BZ534" s="12"/>
      <c r="CB534" s="12"/>
      <c r="CP534" s="12"/>
      <c r="DD534" s="12"/>
      <c r="DR534" s="12"/>
      <c r="EF534" s="12"/>
    </row>
    <row r="535" spans="8:136" ht="10.199999999999999" x14ac:dyDescent="0.2">
      <c r="H535" s="12"/>
      <c r="V535" s="12"/>
      <c r="AJ535" s="12"/>
      <c r="AX535" s="12"/>
      <c r="BL535" s="12"/>
      <c r="BZ535" s="12"/>
      <c r="CB535" s="12"/>
      <c r="CP535" s="12"/>
      <c r="DD535" s="12"/>
      <c r="DR535" s="12"/>
      <c r="EF535" s="12"/>
    </row>
    <row r="536" spans="8:136" ht="10.199999999999999" x14ac:dyDescent="0.2">
      <c r="H536" s="12"/>
      <c r="V536" s="12"/>
      <c r="AJ536" s="12"/>
      <c r="AX536" s="12"/>
      <c r="BL536" s="12"/>
      <c r="BZ536" s="12"/>
      <c r="CB536" s="12"/>
      <c r="CP536" s="12"/>
      <c r="DD536" s="12"/>
      <c r="DR536" s="12"/>
      <c r="EF536" s="12"/>
    </row>
    <row r="537" spans="8:136" ht="10.199999999999999" x14ac:dyDescent="0.2">
      <c r="H537" s="12"/>
      <c r="V537" s="12"/>
      <c r="AJ537" s="12"/>
      <c r="AX537" s="12"/>
      <c r="BL537" s="12"/>
      <c r="BZ537" s="12"/>
      <c r="CB537" s="12"/>
      <c r="CP537" s="12"/>
      <c r="DD537" s="12"/>
      <c r="DR537" s="12"/>
      <c r="EF537" s="12"/>
    </row>
    <row r="538" spans="8:136" ht="10.199999999999999" x14ac:dyDescent="0.2">
      <c r="H538" s="12"/>
      <c r="V538" s="12"/>
      <c r="AJ538" s="12"/>
      <c r="AX538" s="12"/>
      <c r="BL538" s="12"/>
      <c r="BZ538" s="12"/>
      <c r="CB538" s="12"/>
      <c r="CP538" s="12"/>
      <c r="DD538" s="12"/>
      <c r="DR538" s="12"/>
      <c r="EF538" s="12"/>
    </row>
    <row r="539" spans="8:136" ht="10.199999999999999" x14ac:dyDescent="0.2">
      <c r="H539" s="12"/>
      <c r="V539" s="12"/>
      <c r="AJ539" s="12"/>
      <c r="AX539" s="12"/>
      <c r="BL539" s="12"/>
      <c r="BZ539" s="12"/>
      <c r="CB539" s="12"/>
      <c r="CP539" s="12"/>
      <c r="DD539" s="12"/>
      <c r="DR539" s="12"/>
      <c r="EF539" s="12"/>
    </row>
    <row r="540" spans="8:136" ht="10.199999999999999" x14ac:dyDescent="0.2">
      <c r="H540" s="12"/>
      <c r="V540" s="12"/>
      <c r="AJ540" s="12"/>
      <c r="AX540" s="12"/>
      <c r="BL540" s="12"/>
      <c r="BZ540" s="12"/>
      <c r="CB540" s="12"/>
      <c r="CP540" s="12"/>
      <c r="DD540" s="12"/>
      <c r="DR540" s="12"/>
      <c r="EF540" s="12"/>
    </row>
    <row r="541" spans="8:136" ht="10.199999999999999" x14ac:dyDescent="0.2">
      <c r="H541" s="12"/>
      <c r="V541" s="12"/>
      <c r="AJ541" s="12"/>
      <c r="AX541" s="12"/>
      <c r="BL541" s="12"/>
      <c r="BZ541" s="12"/>
      <c r="CB541" s="12"/>
      <c r="CP541" s="12"/>
      <c r="DD541" s="12"/>
      <c r="DR541" s="12"/>
      <c r="EF541" s="12"/>
    </row>
    <row r="542" spans="8:136" ht="10.199999999999999" x14ac:dyDescent="0.2">
      <c r="H542" s="12"/>
      <c r="V542" s="12"/>
      <c r="AJ542" s="12"/>
      <c r="AX542" s="12"/>
      <c r="BL542" s="12"/>
      <c r="BZ542" s="12"/>
      <c r="CB542" s="12"/>
      <c r="CP542" s="12"/>
      <c r="DD542" s="12"/>
      <c r="DR542" s="12"/>
      <c r="EF542" s="12"/>
    </row>
    <row r="543" spans="8:136" ht="10.199999999999999" x14ac:dyDescent="0.2">
      <c r="H543" s="12"/>
      <c r="V543" s="12"/>
      <c r="AJ543" s="12"/>
      <c r="AX543" s="12"/>
      <c r="BL543" s="12"/>
      <c r="BZ543" s="12"/>
      <c r="CB543" s="12"/>
      <c r="CP543" s="12"/>
      <c r="DD543" s="12"/>
      <c r="DR543" s="12"/>
      <c r="EF543" s="12"/>
    </row>
    <row r="544" spans="8:136" ht="10.199999999999999" x14ac:dyDescent="0.2">
      <c r="H544" s="12"/>
      <c r="V544" s="12"/>
      <c r="AJ544" s="12"/>
      <c r="AX544" s="12"/>
      <c r="BL544" s="12"/>
      <c r="BZ544" s="12"/>
      <c r="CB544" s="12"/>
      <c r="CP544" s="12"/>
      <c r="DD544" s="12"/>
      <c r="DR544" s="12"/>
      <c r="EF544" s="12"/>
    </row>
    <row r="545" spans="8:136" ht="10.199999999999999" x14ac:dyDescent="0.2">
      <c r="H545" s="12"/>
      <c r="V545" s="12"/>
      <c r="AJ545" s="12"/>
      <c r="AX545" s="12"/>
      <c r="BL545" s="12"/>
      <c r="BZ545" s="12"/>
      <c r="CB545" s="12"/>
      <c r="CP545" s="12"/>
      <c r="DD545" s="12"/>
      <c r="DR545" s="12"/>
      <c r="EF545" s="12"/>
    </row>
    <row r="546" spans="8:136" ht="10.199999999999999" x14ac:dyDescent="0.2">
      <c r="H546" s="12"/>
      <c r="V546" s="12"/>
      <c r="AJ546" s="12"/>
      <c r="AX546" s="12"/>
      <c r="BL546" s="12"/>
      <c r="BZ546" s="12"/>
      <c r="CB546" s="12"/>
      <c r="CP546" s="12"/>
      <c r="DD546" s="12"/>
      <c r="DR546" s="12"/>
      <c r="EF546" s="12"/>
    </row>
    <row r="547" spans="8:136" ht="10.199999999999999" x14ac:dyDescent="0.2">
      <c r="H547" s="12"/>
      <c r="V547" s="12"/>
      <c r="AJ547" s="12"/>
      <c r="AX547" s="12"/>
      <c r="BL547" s="12"/>
      <c r="BZ547" s="12"/>
      <c r="CB547" s="12"/>
      <c r="CP547" s="12"/>
      <c r="DD547" s="12"/>
      <c r="DR547" s="12"/>
      <c r="EF547" s="12"/>
    </row>
    <row r="548" spans="8:136" ht="10.199999999999999" x14ac:dyDescent="0.2">
      <c r="H548" s="12"/>
      <c r="V548" s="12"/>
      <c r="AJ548" s="12"/>
      <c r="AX548" s="12"/>
      <c r="BL548" s="12"/>
      <c r="BZ548" s="12"/>
      <c r="CB548" s="12"/>
      <c r="CP548" s="12"/>
      <c r="DD548" s="12"/>
      <c r="DR548" s="12"/>
      <c r="EF548" s="12"/>
    </row>
    <row r="549" spans="8:136" ht="10.199999999999999" x14ac:dyDescent="0.2">
      <c r="H549" s="12"/>
      <c r="V549" s="12"/>
      <c r="AJ549" s="12"/>
      <c r="AX549" s="12"/>
      <c r="BL549" s="12"/>
      <c r="BZ549" s="12"/>
      <c r="CB549" s="12"/>
      <c r="CP549" s="12"/>
      <c r="DD549" s="12"/>
      <c r="DR549" s="12"/>
      <c r="EF549" s="12"/>
    </row>
    <row r="550" spans="8:136" ht="10.199999999999999" x14ac:dyDescent="0.2">
      <c r="H550" s="12"/>
      <c r="V550" s="12"/>
      <c r="AJ550" s="12"/>
      <c r="AX550" s="12"/>
      <c r="BL550" s="12"/>
      <c r="BZ550" s="12"/>
      <c r="CB550" s="12"/>
      <c r="CP550" s="12"/>
      <c r="DD550" s="12"/>
      <c r="DR550" s="12"/>
      <c r="EF550" s="12"/>
    </row>
    <row r="551" spans="8:136" ht="10.199999999999999" x14ac:dyDescent="0.2">
      <c r="H551" s="12"/>
      <c r="V551" s="12"/>
      <c r="AJ551" s="12"/>
      <c r="AX551" s="12"/>
      <c r="BL551" s="12"/>
      <c r="BZ551" s="12"/>
      <c r="CB551" s="12"/>
      <c r="CP551" s="12"/>
      <c r="DD551" s="12"/>
      <c r="DR551" s="12"/>
      <c r="EF551" s="12"/>
    </row>
    <row r="552" spans="8:136" ht="10.199999999999999" x14ac:dyDescent="0.2">
      <c r="H552" s="12"/>
      <c r="V552" s="12"/>
      <c r="AJ552" s="12"/>
      <c r="AX552" s="12"/>
      <c r="BL552" s="12"/>
      <c r="BZ552" s="12"/>
      <c r="CB552" s="12"/>
      <c r="CP552" s="12"/>
      <c r="DD552" s="12"/>
      <c r="DR552" s="12"/>
      <c r="EF552" s="12"/>
    </row>
    <row r="553" spans="8:136" ht="10.199999999999999" x14ac:dyDescent="0.2">
      <c r="H553" s="12"/>
      <c r="V553" s="12"/>
      <c r="AJ553" s="12"/>
      <c r="AX553" s="12"/>
      <c r="BL553" s="12"/>
      <c r="BZ553" s="12"/>
      <c r="CB553" s="12"/>
      <c r="CP553" s="12"/>
      <c r="DD553" s="12"/>
      <c r="DR553" s="12"/>
      <c r="EF553" s="12"/>
    </row>
    <row r="554" spans="8:136" ht="10.199999999999999" x14ac:dyDescent="0.2">
      <c r="H554" s="12"/>
      <c r="V554" s="12"/>
      <c r="AJ554" s="12"/>
      <c r="AX554" s="12"/>
      <c r="BL554" s="12"/>
      <c r="BZ554" s="12"/>
      <c r="CB554" s="12"/>
      <c r="CP554" s="12"/>
      <c r="DD554" s="12"/>
      <c r="DR554" s="12"/>
      <c r="EF554" s="12"/>
    </row>
    <row r="555" spans="8:136" ht="10.199999999999999" x14ac:dyDescent="0.2">
      <c r="H555" s="12"/>
      <c r="V555" s="12"/>
      <c r="AJ555" s="12"/>
      <c r="AX555" s="12"/>
      <c r="BL555" s="12"/>
      <c r="BZ555" s="12"/>
      <c r="CB555" s="12"/>
      <c r="CP555" s="12"/>
      <c r="DD555" s="12"/>
      <c r="DR555" s="12"/>
      <c r="EF555" s="12"/>
    </row>
    <row r="556" spans="8:136" ht="10.199999999999999" x14ac:dyDescent="0.2">
      <c r="H556" s="12"/>
      <c r="V556" s="12"/>
      <c r="AJ556" s="12"/>
      <c r="AX556" s="12"/>
      <c r="BL556" s="12"/>
      <c r="BZ556" s="12"/>
      <c r="CB556" s="12"/>
      <c r="CP556" s="12"/>
      <c r="DD556" s="12"/>
      <c r="DR556" s="12"/>
      <c r="EF556" s="12"/>
    </row>
    <row r="557" spans="8:136" ht="10.199999999999999" x14ac:dyDescent="0.2">
      <c r="H557" s="12"/>
      <c r="V557" s="12"/>
      <c r="AJ557" s="12"/>
      <c r="AX557" s="12"/>
      <c r="BL557" s="12"/>
      <c r="BZ557" s="12"/>
      <c r="CB557" s="12"/>
      <c r="CP557" s="12"/>
      <c r="DD557" s="12"/>
      <c r="DR557" s="12"/>
      <c r="EF557" s="12"/>
    </row>
    <row r="558" spans="8:136" ht="10.199999999999999" x14ac:dyDescent="0.2">
      <c r="H558" s="12"/>
      <c r="V558" s="12"/>
      <c r="AJ558" s="12"/>
      <c r="AX558" s="12"/>
      <c r="BL558" s="12"/>
      <c r="BZ558" s="12"/>
      <c r="CB558" s="12"/>
      <c r="CP558" s="12"/>
      <c r="DD558" s="12"/>
      <c r="DR558" s="12"/>
      <c r="EF558" s="12"/>
    </row>
    <row r="559" spans="8:136" ht="10.199999999999999" x14ac:dyDescent="0.2">
      <c r="H559" s="12"/>
      <c r="V559" s="12"/>
      <c r="AJ559" s="12"/>
      <c r="AX559" s="12"/>
      <c r="BL559" s="12"/>
      <c r="BZ559" s="12"/>
      <c r="CB559" s="12"/>
      <c r="CP559" s="12"/>
      <c r="DD559" s="12"/>
      <c r="DR559" s="12"/>
      <c r="EF559" s="12"/>
    </row>
    <row r="560" spans="8:136" ht="10.199999999999999" x14ac:dyDescent="0.2">
      <c r="H560" s="12"/>
      <c r="V560" s="12"/>
      <c r="AJ560" s="12"/>
      <c r="AX560" s="12"/>
      <c r="BL560" s="12"/>
      <c r="BZ560" s="12"/>
      <c r="CB560" s="12"/>
      <c r="CP560" s="12"/>
      <c r="DD560" s="12"/>
      <c r="DR560" s="12"/>
      <c r="EF560" s="12"/>
    </row>
    <row r="561" spans="8:136" ht="10.199999999999999" x14ac:dyDescent="0.2">
      <c r="H561" s="12"/>
      <c r="V561" s="12"/>
      <c r="AJ561" s="12"/>
      <c r="AX561" s="12"/>
      <c r="BL561" s="12"/>
      <c r="BZ561" s="12"/>
      <c r="CB561" s="12"/>
      <c r="CP561" s="12"/>
      <c r="DD561" s="12"/>
      <c r="DR561" s="12"/>
      <c r="EF561" s="12"/>
    </row>
    <row r="562" spans="8:136" ht="10.199999999999999" x14ac:dyDescent="0.2">
      <c r="H562" s="12"/>
      <c r="V562" s="12"/>
      <c r="AJ562" s="12"/>
      <c r="AX562" s="12"/>
      <c r="BL562" s="12"/>
      <c r="BZ562" s="12"/>
      <c r="CB562" s="12"/>
      <c r="CP562" s="12"/>
      <c r="DD562" s="12"/>
      <c r="DR562" s="12"/>
      <c r="EF562" s="12"/>
    </row>
    <row r="563" spans="8:136" ht="10.199999999999999" x14ac:dyDescent="0.2">
      <c r="H563" s="12"/>
      <c r="V563" s="12"/>
      <c r="AJ563" s="12"/>
      <c r="AX563" s="12"/>
      <c r="BL563" s="12"/>
      <c r="BZ563" s="12"/>
      <c r="CB563" s="12"/>
      <c r="CP563" s="12"/>
      <c r="DD563" s="12"/>
      <c r="DR563" s="12"/>
      <c r="EF563" s="12"/>
    </row>
    <row r="564" spans="8:136" ht="10.199999999999999" x14ac:dyDescent="0.2">
      <c r="H564" s="12"/>
      <c r="V564" s="12"/>
      <c r="AJ564" s="12"/>
      <c r="AX564" s="12"/>
      <c r="BL564" s="12"/>
      <c r="BZ564" s="12"/>
      <c r="CB564" s="12"/>
      <c r="CP564" s="12"/>
      <c r="DD564" s="12"/>
      <c r="DR564" s="12"/>
      <c r="EF564" s="12"/>
    </row>
    <row r="565" spans="8:136" ht="10.199999999999999" x14ac:dyDescent="0.2">
      <c r="H565" s="12"/>
      <c r="V565" s="12"/>
      <c r="AJ565" s="12"/>
      <c r="AX565" s="12"/>
      <c r="BL565" s="12"/>
      <c r="BZ565" s="12"/>
      <c r="CB565" s="12"/>
      <c r="CP565" s="12"/>
      <c r="DD565" s="12"/>
      <c r="DR565" s="12"/>
      <c r="EF565" s="12"/>
    </row>
    <row r="566" spans="8:136" ht="10.199999999999999" x14ac:dyDescent="0.2">
      <c r="H566" s="12"/>
      <c r="V566" s="12"/>
      <c r="AJ566" s="12"/>
      <c r="AX566" s="12"/>
      <c r="BL566" s="12"/>
      <c r="BZ566" s="12"/>
      <c r="CB566" s="12"/>
      <c r="CP566" s="12"/>
      <c r="DD566" s="12"/>
      <c r="DR566" s="12"/>
      <c r="EF566" s="12"/>
    </row>
    <row r="567" spans="8:136" ht="10.199999999999999" x14ac:dyDescent="0.2">
      <c r="H567" s="12"/>
      <c r="V567" s="12"/>
      <c r="AJ567" s="12"/>
      <c r="AX567" s="12"/>
      <c r="BL567" s="12"/>
      <c r="BZ567" s="12"/>
      <c r="CB567" s="12"/>
      <c r="CP567" s="12"/>
      <c r="DD567" s="12"/>
      <c r="DR567" s="12"/>
      <c r="EF567" s="12"/>
    </row>
    <row r="568" spans="8:136" ht="10.199999999999999" x14ac:dyDescent="0.2">
      <c r="H568" s="12"/>
      <c r="V568" s="12"/>
      <c r="AJ568" s="12"/>
      <c r="AX568" s="12"/>
      <c r="BL568" s="12"/>
      <c r="BZ568" s="12"/>
      <c r="CB568" s="12"/>
      <c r="CP568" s="12"/>
      <c r="DD568" s="12"/>
      <c r="DR568" s="12"/>
      <c r="EF568" s="12"/>
    </row>
    <row r="569" spans="8:136" ht="10.199999999999999" x14ac:dyDescent="0.2">
      <c r="H569" s="12"/>
      <c r="V569" s="12"/>
      <c r="AJ569" s="12"/>
      <c r="AX569" s="12"/>
      <c r="BL569" s="12"/>
      <c r="BZ569" s="12"/>
      <c r="CB569" s="12"/>
      <c r="CP569" s="12"/>
      <c r="DD569" s="12"/>
      <c r="DR569" s="12"/>
      <c r="EF569" s="12"/>
    </row>
    <row r="570" spans="8:136" ht="10.199999999999999" x14ac:dyDescent="0.2">
      <c r="H570" s="12"/>
      <c r="V570" s="12"/>
      <c r="AJ570" s="12"/>
      <c r="AX570" s="12"/>
      <c r="BL570" s="12"/>
      <c r="BZ570" s="12"/>
      <c r="CB570" s="12"/>
      <c r="CP570" s="12"/>
      <c r="DD570" s="12"/>
      <c r="DR570" s="12"/>
      <c r="EF570" s="12"/>
    </row>
    <row r="571" spans="8:136" ht="10.199999999999999" x14ac:dyDescent="0.2">
      <c r="H571" s="12"/>
      <c r="V571" s="12"/>
      <c r="AJ571" s="12"/>
      <c r="AX571" s="12"/>
      <c r="BL571" s="12"/>
      <c r="BZ571" s="12"/>
      <c r="CB571" s="12"/>
      <c r="CP571" s="12"/>
      <c r="DD571" s="12"/>
      <c r="DR571" s="12"/>
      <c r="EF571" s="12"/>
    </row>
    <row r="572" spans="8:136" ht="10.199999999999999" x14ac:dyDescent="0.2">
      <c r="H572" s="12"/>
      <c r="V572" s="12"/>
      <c r="AJ572" s="12"/>
      <c r="AX572" s="12"/>
      <c r="BL572" s="12"/>
      <c r="BZ572" s="12"/>
      <c r="CB572" s="12"/>
      <c r="CP572" s="12"/>
      <c r="DD572" s="12"/>
      <c r="DR572" s="12"/>
      <c r="EF572" s="12"/>
    </row>
    <row r="573" spans="8:136" ht="10.199999999999999" x14ac:dyDescent="0.2">
      <c r="H573" s="12"/>
      <c r="V573" s="12"/>
      <c r="AJ573" s="12"/>
      <c r="AX573" s="12"/>
      <c r="BL573" s="12"/>
      <c r="BZ573" s="12"/>
      <c r="CB573" s="12"/>
      <c r="CP573" s="12"/>
      <c r="DD573" s="12"/>
      <c r="DR573" s="12"/>
      <c r="EF573" s="12"/>
    </row>
    <row r="574" spans="8:136" ht="10.199999999999999" x14ac:dyDescent="0.2">
      <c r="H574" s="12"/>
      <c r="V574" s="12"/>
      <c r="AJ574" s="12"/>
      <c r="AX574" s="12"/>
      <c r="BL574" s="12"/>
      <c r="BZ574" s="12"/>
      <c r="CB574" s="12"/>
      <c r="CP574" s="12"/>
      <c r="DD574" s="12"/>
      <c r="DR574" s="12"/>
      <c r="EF574" s="12"/>
    </row>
    <row r="575" spans="8:136" ht="10.199999999999999" x14ac:dyDescent="0.2">
      <c r="H575" s="12"/>
      <c r="V575" s="12"/>
      <c r="AJ575" s="12"/>
      <c r="AX575" s="12"/>
      <c r="BL575" s="12"/>
      <c r="BZ575" s="12"/>
      <c r="CB575" s="12"/>
      <c r="CP575" s="12"/>
      <c r="DD575" s="12"/>
      <c r="DR575" s="12"/>
      <c r="EF575" s="12"/>
    </row>
    <row r="576" spans="8:136" ht="10.199999999999999" x14ac:dyDescent="0.2">
      <c r="H576" s="12"/>
      <c r="V576" s="12"/>
      <c r="AJ576" s="12"/>
      <c r="AX576" s="12"/>
      <c r="BL576" s="12"/>
      <c r="BZ576" s="12"/>
      <c r="CB576" s="12"/>
      <c r="CP576" s="12"/>
      <c r="DD576" s="12"/>
      <c r="DR576" s="12"/>
      <c r="EF576" s="12"/>
    </row>
    <row r="577" spans="8:136" ht="10.199999999999999" x14ac:dyDescent="0.2">
      <c r="H577" s="12"/>
      <c r="V577" s="12"/>
      <c r="AJ577" s="12"/>
      <c r="AX577" s="12"/>
      <c r="BL577" s="12"/>
      <c r="BZ577" s="12"/>
      <c r="CB577" s="12"/>
      <c r="CP577" s="12"/>
      <c r="DD577" s="12"/>
      <c r="DR577" s="12"/>
      <c r="EF577" s="12"/>
    </row>
    <row r="578" spans="8:136" ht="10.199999999999999" x14ac:dyDescent="0.2">
      <c r="H578" s="12"/>
      <c r="V578" s="12"/>
      <c r="AJ578" s="12"/>
      <c r="AX578" s="12"/>
      <c r="BL578" s="12"/>
      <c r="BZ578" s="12"/>
      <c r="CB578" s="12"/>
      <c r="CP578" s="12"/>
      <c r="DD578" s="12"/>
      <c r="DR578" s="12"/>
      <c r="EF578" s="12"/>
    </row>
    <row r="579" spans="8:136" ht="10.199999999999999" x14ac:dyDescent="0.2">
      <c r="H579" s="12"/>
      <c r="V579" s="12"/>
      <c r="AJ579" s="12"/>
      <c r="AX579" s="12"/>
      <c r="BL579" s="12"/>
      <c r="BZ579" s="12"/>
      <c r="CB579" s="12"/>
      <c r="CP579" s="12"/>
      <c r="DD579" s="12"/>
      <c r="DR579" s="12"/>
      <c r="EF579" s="12"/>
    </row>
    <row r="580" spans="8:136" ht="10.199999999999999" x14ac:dyDescent="0.2">
      <c r="H580" s="12"/>
      <c r="V580" s="12"/>
      <c r="AJ580" s="12"/>
      <c r="AX580" s="12"/>
      <c r="BL580" s="12"/>
      <c r="BZ580" s="12"/>
      <c r="CB580" s="12"/>
      <c r="CP580" s="12"/>
      <c r="DD580" s="12"/>
      <c r="DR580" s="12"/>
      <c r="EF580" s="12"/>
    </row>
    <row r="581" spans="8:136" ht="10.199999999999999" x14ac:dyDescent="0.2">
      <c r="H581" s="12"/>
      <c r="V581" s="12"/>
      <c r="AJ581" s="12"/>
      <c r="AX581" s="12"/>
      <c r="BL581" s="12"/>
      <c r="BZ581" s="12"/>
      <c r="CB581" s="12"/>
      <c r="CP581" s="12"/>
      <c r="DD581" s="12"/>
      <c r="DR581" s="12"/>
      <c r="EF581" s="12"/>
    </row>
    <row r="582" spans="8:136" ht="10.199999999999999" x14ac:dyDescent="0.2">
      <c r="H582" s="12"/>
      <c r="V582" s="12"/>
      <c r="AJ582" s="12"/>
      <c r="AX582" s="12"/>
      <c r="BL582" s="12"/>
      <c r="BZ582" s="12"/>
      <c r="CB582" s="12"/>
      <c r="CP582" s="12"/>
      <c r="DD582" s="12"/>
      <c r="DR582" s="12"/>
      <c r="EF582" s="12"/>
    </row>
    <row r="583" spans="8:136" ht="10.199999999999999" x14ac:dyDescent="0.2">
      <c r="H583" s="12"/>
      <c r="V583" s="12"/>
      <c r="AJ583" s="12"/>
      <c r="AX583" s="12"/>
      <c r="BL583" s="12"/>
      <c r="BZ583" s="12"/>
      <c r="CB583" s="12"/>
      <c r="CP583" s="12"/>
      <c r="DD583" s="12"/>
      <c r="DR583" s="12"/>
      <c r="EF583" s="12"/>
    </row>
    <row r="584" spans="8:136" ht="10.199999999999999" x14ac:dyDescent="0.2">
      <c r="H584" s="12"/>
      <c r="V584" s="12"/>
      <c r="AJ584" s="12"/>
      <c r="AX584" s="12"/>
      <c r="BL584" s="12"/>
      <c r="BZ584" s="12"/>
      <c r="CB584" s="12"/>
      <c r="CP584" s="12"/>
      <c r="DD584" s="12"/>
      <c r="DR584" s="12"/>
      <c r="EF584" s="12"/>
    </row>
    <row r="585" spans="8:136" ht="10.199999999999999" x14ac:dyDescent="0.2">
      <c r="H585" s="12"/>
      <c r="V585" s="12"/>
      <c r="AJ585" s="12"/>
      <c r="AX585" s="12"/>
      <c r="BL585" s="12"/>
      <c r="BZ585" s="12"/>
      <c r="CB585" s="12"/>
      <c r="CP585" s="12"/>
      <c r="DD585" s="12"/>
      <c r="DR585" s="12"/>
      <c r="EF585" s="12"/>
    </row>
    <row r="586" spans="8:136" ht="10.199999999999999" x14ac:dyDescent="0.2">
      <c r="H586" s="12"/>
      <c r="V586" s="12"/>
      <c r="AJ586" s="12"/>
      <c r="AX586" s="12"/>
      <c r="BL586" s="12"/>
      <c r="BZ586" s="12"/>
      <c r="CB586" s="12"/>
      <c r="CP586" s="12"/>
      <c r="DD586" s="12"/>
      <c r="DR586" s="12"/>
      <c r="EF586" s="12"/>
    </row>
    <row r="587" spans="8:136" ht="10.199999999999999" x14ac:dyDescent="0.2">
      <c r="H587" s="12"/>
      <c r="V587" s="12"/>
      <c r="AJ587" s="12"/>
      <c r="AX587" s="12"/>
      <c r="BL587" s="12"/>
      <c r="BZ587" s="12"/>
      <c r="CB587" s="12"/>
      <c r="CP587" s="12"/>
      <c r="DD587" s="12"/>
      <c r="DR587" s="12"/>
      <c r="EF587" s="12"/>
    </row>
    <row r="588" spans="8:136" ht="10.199999999999999" x14ac:dyDescent="0.2">
      <c r="H588" s="12"/>
      <c r="V588" s="12"/>
      <c r="AJ588" s="12"/>
      <c r="AX588" s="12"/>
      <c r="BL588" s="12"/>
      <c r="BZ588" s="12"/>
      <c r="CB588" s="12"/>
      <c r="CP588" s="12"/>
      <c r="DD588" s="12"/>
      <c r="DR588" s="12"/>
      <c r="EF588" s="12"/>
    </row>
    <row r="589" spans="8:136" ht="10.199999999999999" x14ac:dyDescent="0.2">
      <c r="H589" s="12"/>
      <c r="V589" s="12"/>
      <c r="AJ589" s="12"/>
      <c r="AX589" s="12"/>
      <c r="BL589" s="12"/>
      <c r="BZ589" s="12"/>
      <c r="CB589" s="12"/>
      <c r="CP589" s="12"/>
      <c r="DD589" s="12"/>
      <c r="DR589" s="12"/>
      <c r="EF589" s="12"/>
    </row>
    <row r="590" spans="8:136" ht="10.199999999999999" x14ac:dyDescent="0.2">
      <c r="H590" s="12"/>
      <c r="V590" s="12"/>
      <c r="AJ590" s="12"/>
      <c r="AX590" s="12"/>
      <c r="BL590" s="12"/>
      <c r="BZ590" s="12"/>
      <c r="CB590" s="12"/>
      <c r="CP590" s="12"/>
      <c r="DD590" s="12"/>
      <c r="DR590" s="12"/>
      <c r="EF590" s="12"/>
    </row>
    <row r="591" spans="8:136" ht="10.199999999999999" x14ac:dyDescent="0.2">
      <c r="H591" s="12"/>
      <c r="V591" s="12"/>
      <c r="AJ591" s="12"/>
      <c r="AX591" s="12"/>
      <c r="BL591" s="12"/>
      <c r="BZ591" s="12"/>
      <c r="CB591" s="12"/>
      <c r="CP591" s="12"/>
      <c r="DD591" s="12"/>
      <c r="DR591" s="12"/>
      <c r="EF591" s="12"/>
    </row>
    <row r="592" spans="8:136" ht="10.199999999999999" x14ac:dyDescent="0.2">
      <c r="H592" s="12"/>
      <c r="V592" s="12"/>
      <c r="AJ592" s="12"/>
      <c r="AX592" s="12"/>
      <c r="BL592" s="12"/>
      <c r="BZ592" s="12"/>
      <c r="CB592" s="12"/>
      <c r="CP592" s="12"/>
      <c r="DD592" s="12"/>
      <c r="DR592" s="12"/>
      <c r="EF592" s="12"/>
    </row>
    <row r="593" spans="8:136" ht="10.199999999999999" x14ac:dyDescent="0.2">
      <c r="H593" s="12"/>
      <c r="V593" s="12"/>
      <c r="AJ593" s="12"/>
      <c r="AX593" s="12"/>
      <c r="BL593" s="12"/>
      <c r="BZ593" s="12"/>
      <c r="CB593" s="12"/>
      <c r="CP593" s="12"/>
      <c r="DD593" s="12"/>
      <c r="DR593" s="12"/>
      <c r="EF593" s="12"/>
    </row>
    <row r="594" spans="8:136" ht="10.199999999999999" x14ac:dyDescent="0.2">
      <c r="H594" s="12"/>
      <c r="V594" s="12"/>
      <c r="AJ594" s="12"/>
      <c r="AX594" s="12"/>
      <c r="BL594" s="12"/>
      <c r="BZ594" s="12"/>
      <c r="CB594" s="12"/>
      <c r="CP594" s="12"/>
      <c r="DD594" s="12"/>
      <c r="DR594" s="12"/>
      <c r="EF594" s="12"/>
    </row>
    <row r="595" spans="8:136" ht="10.199999999999999" x14ac:dyDescent="0.2">
      <c r="H595" s="12"/>
      <c r="V595" s="12"/>
      <c r="AJ595" s="12"/>
      <c r="AX595" s="12"/>
      <c r="BL595" s="12"/>
      <c r="BZ595" s="12"/>
      <c r="CB595" s="12"/>
      <c r="CP595" s="12"/>
      <c r="DD595" s="12"/>
      <c r="DR595" s="12"/>
      <c r="EF595" s="12"/>
    </row>
    <row r="596" spans="8:136" ht="10.199999999999999" x14ac:dyDescent="0.2">
      <c r="H596" s="12"/>
      <c r="V596" s="12"/>
      <c r="AJ596" s="12"/>
      <c r="AX596" s="12"/>
      <c r="BL596" s="12"/>
      <c r="BZ596" s="12"/>
      <c r="CB596" s="12"/>
      <c r="CP596" s="12"/>
      <c r="DD596" s="12"/>
      <c r="DR596" s="12"/>
      <c r="EF596" s="12"/>
    </row>
    <row r="597" spans="8:136" ht="10.199999999999999" x14ac:dyDescent="0.2">
      <c r="H597" s="12"/>
      <c r="V597" s="12"/>
      <c r="AJ597" s="12"/>
      <c r="AX597" s="12"/>
      <c r="BL597" s="12"/>
      <c r="BZ597" s="12"/>
      <c r="CB597" s="12"/>
      <c r="CP597" s="12"/>
      <c r="DD597" s="12"/>
      <c r="DR597" s="12"/>
      <c r="EF597" s="12"/>
    </row>
    <row r="598" spans="8:136" ht="10.199999999999999" x14ac:dyDescent="0.2">
      <c r="H598" s="12"/>
      <c r="V598" s="12"/>
      <c r="AJ598" s="12"/>
      <c r="AX598" s="12"/>
      <c r="BL598" s="12"/>
      <c r="BZ598" s="12"/>
      <c r="CB598" s="12"/>
      <c r="CP598" s="12"/>
      <c r="DD598" s="12"/>
      <c r="DR598" s="12"/>
      <c r="EF598" s="12"/>
    </row>
    <row r="599" spans="8:136" ht="10.199999999999999" x14ac:dyDescent="0.2">
      <c r="H599" s="12"/>
      <c r="V599" s="12"/>
      <c r="AJ599" s="12"/>
      <c r="AX599" s="12"/>
      <c r="BL599" s="12"/>
      <c r="BZ599" s="12"/>
      <c r="CB599" s="12"/>
      <c r="CP599" s="12"/>
      <c r="DD599" s="12"/>
      <c r="DR599" s="12"/>
      <c r="EF599" s="12"/>
    </row>
    <row r="600" spans="8:136" ht="10.199999999999999" x14ac:dyDescent="0.2">
      <c r="H600" s="12"/>
      <c r="V600" s="12"/>
      <c r="AJ600" s="12"/>
      <c r="AX600" s="12"/>
      <c r="BL600" s="12"/>
      <c r="BZ600" s="12"/>
      <c r="CB600" s="12"/>
      <c r="CP600" s="12"/>
      <c r="DD600" s="12"/>
      <c r="DR600" s="12"/>
      <c r="EF600" s="12"/>
    </row>
    <row r="601" spans="8:136" ht="10.199999999999999" x14ac:dyDescent="0.2">
      <c r="H601" s="12"/>
      <c r="V601" s="12"/>
      <c r="AJ601" s="12"/>
      <c r="AX601" s="12"/>
      <c r="BL601" s="12"/>
      <c r="BZ601" s="12"/>
      <c r="CB601" s="12"/>
      <c r="CP601" s="12"/>
      <c r="DD601" s="12"/>
      <c r="DR601" s="12"/>
      <c r="EF601" s="12"/>
    </row>
    <row r="602" spans="8:136" ht="10.199999999999999" x14ac:dyDescent="0.2">
      <c r="H602" s="12"/>
      <c r="V602" s="12"/>
      <c r="AJ602" s="12"/>
      <c r="AX602" s="12"/>
      <c r="BL602" s="12"/>
      <c r="BZ602" s="12"/>
      <c r="CB602" s="12"/>
      <c r="CP602" s="12"/>
      <c r="DD602" s="12"/>
      <c r="DR602" s="12"/>
      <c r="EF602" s="12"/>
    </row>
    <row r="603" spans="8:136" ht="10.199999999999999" x14ac:dyDescent="0.2">
      <c r="H603" s="12"/>
      <c r="V603" s="12"/>
      <c r="AJ603" s="12"/>
      <c r="AX603" s="12"/>
      <c r="BL603" s="12"/>
      <c r="BZ603" s="12"/>
      <c r="CB603" s="12"/>
      <c r="CP603" s="12"/>
      <c r="DD603" s="12"/>
      <c r="DR603" s="12"/>
      <c r="EF603" s="12"/>
    </row>
    <row r="604" spans="8:136" ht="10.199999999999999" x14ac:dyDescent="0.2">
      <c r="H604" s="12"/>
      <c r="V604" s="12"/>
      <c r="AJ604" s="12"/>
      <c r="AX604" s="12"/>
      <c r="BL604" s="12"/>
      <c r="BZ604" s="12"/>
      <c r="CB604" s="12"/>
      <c r="CP604" s="12"/>
      <c r="DD604" s="12"/>
      <c r="DR604" s="12"/>
      <c r="EF604" s="12"/>
    </row>
    <row r="605" spans="8:136" ht="10.199999999999999" x14ac:dyDescent="0.2">
      <c r="H605" s="12"/>
      <c r="V605" s="12"/>
      <c r="AJ605" s="12"/>
      <c r="AX605" s="12"/>
      <c r="BL605" s="12"/>
      <c r="BZ605" s="12"/>
      <c r="CB605" s="12"/>
      <c r="CP605" s="12"/>
      <c r="DD605" s="12"/>
      <c r="DR605" s="12"/>
      <c r="EF605" s="12"/>
    </row>
    <row r="606" spans="8:136" ht="10.199999999999999" x14ac:dyDescent="0.2">
      <c r="H606" s="12"/>
      <c r="V606" s="12"/>
      <c r="AJ606" s="12"/>
      <c r="AX606" s="12"/>
      <c r="BL606" s="12"/>
      <c r="BZ606" s="12"/>
      <c r="CB606" s="12"/>
      <c r="CP606" s="12"/>
      <c r="DD606" s="12"/>
      <c r="DR606" s="12"/>
      <c r="EF606" s="12"/>
    </row>
    <row r="607" spans="8:136" ht="10.199999999999999" x14ac:dyDescent="0.2">
      <c r="H607" s="12"/>
      <c r="V607" s="12"/>
      <c r="AJ607" s="12"/>
      <c r="AX607" s="12"/>
      <c r="BL607" s="12"/>
      <c r="BZ607" s="12"/>
      <c r="CB607" s="12"/>
      <c r="CP607" s="12"/>
      <c r="DD607" s="12"/>
      <c r="DR607" s="12"/>
      <c r="EF607" s="12"/>
    </row>
    <row r="608" spans="8:136" ht="10.199999999999999" x14ac:dyDescent="0.2">
      <c r="H608" s="12"/>
      <c r="V608" s="12"/>
      <c r="AJ608" s="12"/>
      <c r="AX608" s="12"/>
      <c r="BL608" s="12"/>
      <c r="BZ608" s="12"/>
      <c r="CB608" s="12"/>
      <c r="CP608" s="12"/>
      <c r="DD608" s="12"/>
      <c r="DR608" s="12"/>
      <c r="EF608" s="12"/>
    </row>
    <row r="609" spans="8:136" ht="10.199999999999999" x14ac:dyDescent="0.2">
      <c r="H609" s="12"/>
      <c r="V609" s="12"/>
      <c r="AJ609" s="12"/>
      <c r="AX609" s="12"/>
      <c r="BL609" s="12"/>
      <c r="BZ609" s="12"/>
      <c r="CB609" s="12"/>
      <c r="CP609" s="12"/>
      <c r="DD609" s="12"/>
      <c r="DR609" s="12"/>
      <c r="EF609" s="12"/>
    </row>
    <row r="610" spans="8:136" ht="10.199999999999999" x14ac:dyDescent="0.2">
      <c r="H610" s="12"/>
      <c r="V610" s="12"/>
      <c r="AJ610" s="12"/>
      <c r="AX610" s="12"/>
      <c r="BL610" s="12"/>
      <c r="BZ610" s="12"/>
      <c r="CB610" s="12"/>
      <c r="CP610" s="12"/>
      <c r="DD610" s="12"/>
      <c r="DR610" s="12"/>
      <c r="EF610" s="12"/>
    </row>
    <row r="611" spans="8:136" ht="10.199999999999999" x14ac:dyDescent="0.2">
      <c r="H611" s="12"/>
      <c r="V611" s="12"/>
      <c r="AJ611" s="12"/>
      <c r="AX611" s="12"/>
      <c r="BL611" s="12"/>
      <c r="BZ611" s="12"/>
      <c r="CB611" s="12"/>
      <c r="CP611" s="12"/>
      <c r="DD611" s="12"/>
      <c r="DR611" s="12"/>
      <c r="EF611" s="12"/>
    </row>
    <row r="612" spans="8:136" ht="10.199999999999999" x14ac:dyDescent="0.2">
      <c r="H612" s="12"/>
      <c r="V612" s="12"/>
      <c r="AJ612" s="12"/>
      <c r="AX612" s="12"/>
      <c r="BL612" s="12"/>
      <c r="BZ612" s="12"/>
      <c r="CB612" s="12"/>
      <c r="CP612" s="12"/>
      <c r="DD612" s="12"/>
      <c r="DR612" s="12"/>
      <c r="EF612" s="12"/>
    </row>
    <row r="613" spans="8:136" ht="10.199999999999999" x14ac:dyDescent="0.2">
      <c r="H613" s="12"/>
      <c r="V613" s="12"/>
      <c r="AJ613" s="12"/>
      <c r="AX613" s="12"/>
      <c r="BL613" s="12"/>
      <c r="BZ613" s="12"/>
      <c r="CB613" s="12"/>
      <c r="CP613" s="12"/>
      <c r="DD613" s="12"/>
      <c r="DR613" s="12"/>
      <c r="EF613" s="12"/>
    </row>
    <row r="614" spans="8:136" ht="10.199999999999999" x14ac:dyDescent="0.2">
      <c r="H614" s="12"/>
      <c r="V614" s="12"/>
      <c r="AJ614" s="12"/>
      <c r="AX614" s="12"/>
      <c r="BL614" s="12"/>
      <c r="BZ614" s="12"/>
      <c r="CB614" s="12"/>
      <c r="CP614" s="12"/>
      <c r="DD614" s="12"/>
      <c r="DR614" s="12"/>
      <c r="EF614" s="12"/>
    </row>
    <row r="615" spans="8:136" ht="10.199999999999999" x14ac:dyDescent="0.2">
      <c r="H615" s="12"/>
      <c r="V615" s="12"/>
      <c r="AJ615" s="12"/>
      <c r="AX615" s="12"/>
      <c r="BL615" s="12"/>
      <c r="BZ615" s="12"/>
      <c r="CB615" s="12"/>
      <c r="CP615" s="12"/>
      <c r="DD615" s="12"/>
      <c r="DR615" s="12"/>
      <c r="EF615" s="12"/>
    </row>
    <row r="616" spans="8:136" ht="10.199999999999999" x14ac:dyDescent="0.2">
      <c r="H616" s="12"/>
      <c r="V616" s="12"/>
      <c r="AJ616" s="12"/>
      <c r="AX616" s="12"/>
      <c r="BL616" s="12"/>
      <c r="BZ616" s="12"/>
      <c r="CB616" s="12"/>
      <c r="CP616" s="12"/>
      <c r="DD616" s="12"/>
      <c r="DR616" s="12"/>
      <c r="EF616" s="12"/>
    </row>
    <row r="617" spans="8:136" ht="10.199999999999999" x14ac:dyDescent="0.2">
      <c r="H617" s="12"/>
      <c r="V617" s="12"/>
      <c r="AJ617" s="12"/>
      <c r="AX617" s="12"/>
      <c r="BL617" s="12"/>
      <c r="BZ617" s="12"/>
      <c r="CB617" s="12"/>
      <c r="CP617" s="12"/>
      <c r="DD617" s="12"/>
      <c r="DR617" s="12"/>
      <c r="EF617" s="12"/>
    </row>
    <row r="618" spans="8:136" ht="10.199999999999999" x14ac:dyDescent="0.2">
      <c r="H618" s="12"/>
      <c r="V618" s="12"/>
      <c r="AJ618" s="12"/>
      <c r="AX618" s="12"/>
      <c r="BL618" s="12"/>
      <c r="BZ618" s="12"/>
      <c r="CB618" s="12"/>
      <c r="CP618" s="12"/>
      <c r="DD618" s="12"/>
      <c r="DR618" s="12"/>
      <c r="EF618" s="12"/>
    </row>
    <row r="619" spans="8:136" ht="10.199999999999999" x14ac:dyDescent="0.2">
      <c r="H619" s="12"/>
      <c r="V619" s="12"/>
      <c r="AJ619" s="12"/>
      <c r="AX619" s="12"/>
      <c r="BL619" s="12"/>
      <c r="BZ619" s="12"/>
      <c r="CB619" s="12"/>
      <c r="CP619" s="12"/>
      <c r="DD619" s="12"/>
      <c r="DR619" s="12"/>
      <c r="EF619" s="12"/>
    </row>
    <row r="620" spans="8:136" ht="10.199999999999999" x14ac:dyDescent="0.2">
      <c r="H620" s="12"/>
      <c r="V620" s="12"/>
      <c r="AJ620" s="12"/>
      <c r="AX620" s="12"/>
      <c r="BL620" s="12"/>
      <c r="BZ620" s="12"/>
      <c r="CB620" s="12"/>
      <c r="CP620" s="12"/>
      <c r="DD620" s="12"/>
      <c r="DR620" s="12"/>
      <c r="EF620" s="12"/>
    </row>
    <row r="621" spans="8:136" ht="10.199999999999999" x14ac:dyDescent="0.2">
      <c r="H621" s="12"/>
      <c r="V621" s="12"/>
      <c r="AJ621" s="12"/>
      <c r="AX621" s="12"/>
      <c r="BL621" s="12"/>
      <c r="BZ621" s="12"/>
      <c r="CB621" s="12"/>
      <c r="CP621" s="12"/>
      <c r="DD621" s="12"/>
      <c r="DR621" s="12"/>
      <c r="EF621" s="12"/>
    </row>
    <row r="622" spans="8:136" ht="10.199999999999999" x14ac:dyDescent="0.2">
      <c r="H622" s="12"/>
      <c r="V622" s="12"/>
      <c r="AJ622" s="12"/>
      <c r="AX622" s="12"/>
      <c r="BL622" s="12"/>
      <c r="BZ622" s="12"/>
      <c r="CB622" s="12"/>
      <c r="CP622" s="12"/>
      <c r="DD622" s="12"/>
      <c r="DR622" s="12"/>
      <c r="EF622" s="12"/>
    </row>
    <row r="623" spans="8:136" ht="10.199999999999999" x14ac:dyDescent="0.2">
      <c r="H623" s="12"/>
      <c r="V623" s="12"/>
      <c r="AJ623" s="12"/>
      <c r="AX623" s="12"/>
      <c r="BL623" s="12"/>
      <c r="BZ623" s="12"/>
      <c r="CB623" s="12"/>
      <c r="CP623" s="12"/>
      <c r="DD623" s="12"/>
      <c r="DR623" s="12"/>
      <c r="EF623" s="12"/>
    </row>
    <row r="624" spans="8:136" ht="10.199999999999999" x14ac:dyDescent="0.2">
      <c r="H624" s="12"/>
      <c r="V624" s="12"/>
      <c r="AJ624" s="12"/>
      <c r="AX624" s="12"/>
      <c r="BL624" s="12"/>
      <c r="BZ624" s="12"/>
      <c r="CB624" s="12"/>
      <c r="CP624" s="12"/>
      <c r="DD624" s="12"/>
      <c r="DR624" s="12"/>
      <c r="EF624" s="12"/>
    </row>
    <row r="625" spans="8:136" ht="10.199999999999999" x14ac:dyDescent="0.2">
      <c r="H625" s="12"/>
      <c r="V625" s="12"/>
      <c r="AJ625" s="12"/>
      <c r="AX625" s="12"/>
      <c r="BL625" s="12"/>
      <c r="BZ625" s="12"/>
      <c r="CB625" s="12"/>
      <c r="CP625" s="12"/>
      <c r="DD625" s="12"/>
      <c r="DR625" s="12"/>
      <c r="EF625" s="12"/>
    </row>
    <row r="626" spans="8:136" ht="10.199999999999999" x14ac:dyDescent="0.2">
      <c r="H626" s="12"/>
      <c r="V626" s="12"/>
      <c r="AJ626" s="12"/>
      <c r="AX626" s="12"/>
      <c r="BL626" s="12"/>
      <c r="BZ626" s="12"/>
      <c r="CB626" s="12"/>
      <c r="CP626" s="12"/>
      <c r="DD626" s="12"/>
      <c r="DR626" s="12"/>
      <c r="EF626" s="12"/>
    </row>
    <row r="627" spans="8:136" ht="10.199999999999999" x14ac:dyDescent="0.2">
      <c r="H627" s="12"/>
      <c r="V627" s="12"/>
      <c r="AJ627" s="12"/>
      <c r="AX627" s="12"/>
      <c r="BL627" s="12"/>
      <c r="BZ627" s="12"/>
      <c r="CB627" s="12"/>
      <c r="CP627" s="12"/>
      <c r="DD627" s="12"/>
      <c r="DR627" s="12"/>
      <c r="EF627" s="12"/>
    </row>
    <row r="628" spans="8:136" ht="10.199999999999999" x14ac:dyDescent="0.2">
      <c r="H628" s="12"/>
      <c r="V628" s="12"/>
      <c r="AJ628" s="12"/>
      <c r="AX628" s="12"/>
      <c r="BL628" s="12"/>
      <c r="BZ628" s="12"/>
      <c r="CB628" s="12"/>
      <c r="CP628" s="12"/>
      <c r="DD628" s="12"/>
      <c r="DR628" s="12"/>
      <c r="EF628" s="12"/>
    </row>
    <row r="629" spans="8:136" ht="10.199999999999999" x14ac:dyDescent="0.2">
      <c r="H629" s="12"/>
      <c r="V629" s="12"/>
      <c r="AJ629" s="12"/>
      <c r="AX629" s="12"/>
      <c r="BL629" s="12"/>
      <c r="BZ629" s="12"/>
      <c r="CB629" s="12"/>
      <c r="CP629" s="12"/>
      <c r="DD629" s="12"/>
      <c r="DR629" s="12"/>
      <c r="EF629" s="12"/>
    </row>
    <row r="630" spans="8:136" ht="10.199999999999999" x14ac:dyDescent="0.2">
      <c r="H630" s="12"/>
      <c r="V630" s="12"/>
      <c r="AJ630" s="12"/>
      <c r="AX630" s="12"/>
      <c r="BL630" s="12"/>
      <c r="BZ630" s="12"/>
      <c r="CB630" s="12"/>
      <c r="CP630" s="12"/>
      <c r="DD630" s="12"/>
      <c r="DR630" s="12"/>
      <c r="EF630" s="12"/>
    </row>
    <row r="631" spans="8:136" ht="10.199999999999999" x14ac:dyDescent="0.2">
      <c r="H631" s="12"/>
      <c r="V631" s="12"/>
      <c r="AJ631" s="12"/>
      <c r="AX631" s="12"/>
      <c r="BL631" s="12"/>
      <c r="BZ631" s="12"/>
      <c r="CB631" s="12"/>
      <c r="CP631" s="12"/>
      <c r="DD631" s="12"/>
      <c r="DR631" s="12"/>
      <c r="EF631" s="12"/>
    </row>
    <row r="632" spans="8:136" ht="10.199999999999999" x14ac:dyDescent="0.2">
      <c r="H632" s="12"/>
      <c r="V632" s="12"/>
      <c r="AJ632" s="12"/>
      <c r="AX632" s="12"/>
      <c r="BL632" s="12"/>
      <c r="BZ632" s="12"/>
      <c r="CB632" s="12"/>
      <c r="CP632" s="12"/>
      <c r="DD632" s="12"/>
      <c r="DR632" s="12"/>
      <c r="EF632" s="12"/>
    </row>
    <row r="633" spans="8:136" ht="10.199999999999999" x14ac:dyDescent="0.2">
      <c r="H633" s="12"/>
      <c r="V633" s="12"/>
      <c r="AJ633" s="12"/>
      <c r="AX633" s="12"/>
      <c r="BL633" s="12"/>
      <c r="BZ633" s="12"/>
      <c r="CB633" s="12"/>
      <c r="CP633" s="12"/>
      <c r="DD633" s="12"/>
      <c r="DR633" s="12"/>
      <c r="EF633" s="12"/>
    </row>
    <row r="634" spans="8:136" ht="10.199999999999999" x14ac:dyDescent="0.2">
      <c r="H634" s="12"/>
      <c r="V634" s="12"/>
      <c r="AJ634" s="12"/>
      <c r="AX634" s="12"/>
      <c r="BL634" s="12"/>
      <c r="BZ634" s="12"/>
      <c r="CB634" s="12"/>
      <c r="CP634" s="12"/>
      <c r="DD634" s="12"/>
      <c r="DR634" s="12"/>
      <c r="EF634" s="12"/>
    </row>
    <row r="635" spans="8:136" ht="10.199999999999999" x14ac:dyDescent="0.2">
      <c r="H635" s="12"/>
      <c r="V635" s="12"/>
      <c r="AJ635" s="12"/>
      <c r="AX635" s="12"/>
      <c r="BL635" s="12"/>
      <c r="BZ635" s="12"/>
      <c r="CB635" s="12"/>
      <c r="CP635" s="12"/>
      <c r="DD635" s="12"/>
      <c r="DR635" s="12"/>
      <c r="EF635" s="12"/>
    </row>
    <row r="636" spans="8:136" ht="10.199999999999999" x14ac:dyDescent="0.2">
      <c r="H636" s="12"/>
      <c r="V636" s="12"/>
      <c r="AJ636" s="12"/>
      <c r="AX636" s="12"/>
      <c r="BL636" s="12"/>
      <c r="BZ636" s="12"/>
      <c r="CB636" s="12"/>
      <c r="CP636" s="12"/>
      <c r="DD636" s="12"/>
      <c r="DR636" s="12"/>
      <c r="EF636" s="12"/>
    </row>
    <row r="637" spans="8:136" ht="10.199999999999999" x14ac:dyDescent="0.2">
      <c r="H637" s="12"/>
      <c r="V637" s="12"/>
      <c r="AJ637" s="12"/>
      <c r="AX637" s="12"/>
      <c r="BL637" s="12"/>
      <c r="BZ637" s="12"/>
      <c r="CB637" s="12"/>
      <c r="CP637" s="12"/>
      <c r="DD637" s="12"/>
      <c r="DR637" s="12"/>
      <c r="EF637" s="12"/>
    </row>
    <row r="638" spans="8:136" ht="10.199999999999999" x14ac:dyDescent="0.2">
      <c r="H638" s="12"/>
      <c r="V638" s="12"/>
      <c r="AJ638" s="12"/>
      <c r="AX638" s="12"/>
      <c r="BL638" s="12"/>
      <c r="BZ638" s="12"/>
      <c r="CB638" s="12"/>
      <c r="CP638" s="12"/>
      <c r="DD638" s="12"/>
      <c r="DR638" s="12"/>
      <c r="EF638" s="12"/>
    </row>
    <row r="639" spans="8:136" ht="10.199999999999999" x14ac:dyDescent="0.2">
      <c r="H639" s="12"/>
      <c r="V639" s="12"/>
      <c r="AJ639" s="12"/>
      <c r="AX639" s="12"/>
      <c r="BL639" s="12"/>
      <c r="BZ639" s="12"/>
      <c r="CB639" s="12"/>
      <c r="CP639" s="12"/>
      <c r="DD639" s="12"/>
      <c r="DR639" s="12"/>
      <c r="EF639" s="12"/>
    </row>
    <row r="640" spans="8:136" ht="10.199999999999999" x14ac:dyDescent="0.2">
      <c r="H640" s="12"/>
      <c r="V640" s="12"/>
      <c r="AJ640" s="12"/>
      <c r="AX640" s="12"/>
      <c r="BL640" s="12"/>
      <c r="BZ640" s="12"/>
      <c r="CB640" s="12"/>
      <c r="CP640" s="12"/>
      <c r="DD640" s="12"/>
      <c r="DR640" s="12"/>
      <c r="EF640" s="12"/>
    </row>
    <row r="641" spans="8:136" ht="10.199999999999999" x14ac:dyDescent="0.2">
      <c r="H641" s="12"/>
      <c r="V641" s="12"/>
      <c r="AJ641" s="12"/>
      <c r="AX641" s="12"/>
      <c r="BL641" s="12"/>
      <c r="BZ641" s="12"/>
      <c r="CB641" s="12"/>
      <c r="CP641" s="12"/>
      <c r="DD641" s="12"/>
      <c r="DR641" s="12"/>
      <c r="EF641" s="12"/>
    </row>
    <row r="642" spans="8:136" ht="10.199999999999999" x14ac:dyDescent="0.2">
      <c r="H642" s="12"/>
      <c r="V642" s="12"/>
      <c r="AJ642" s="12"/>
      <c r="AX642" s="12"/>
      <c r="BL642" s="12"/>
      <c r="BZ642" s="12"/>
      <c r="CB642" s="12"/>
      <c r="CP642" s="12"/>
      <c r="DD642" s="12"/>
      <c r="DR642" s="12"/>
      <c r="EF642" s="12"/>
    </row>
    <row r="643" spans="8:136" ht="10.199999999999999" x14ac:dyDescent="0.2">
      <c r="H643" s="12"/>
      <c r="V643" s="12"/>
      <c r="AJ643" s="12"/>
      <c r="AX643" s="12"/>
      <c r="BL643" s="12"/>
      <c r="BZ643" s="12"/>
      <c r="CB643" s="12"/>
      <c r="CP643" s="12"/>
      <c r="DD643" s="12"/>
      <c r="DR643" s="12"/>
      <c r="EF643" s="12"/>
    </row>
    <row r="644" spans="8:136" ht="10.199999999999999" x14ac:dyDescent="0.2">
      <c r="H644" s="12"/>
      <c r="V644" s="12"/>
      <c r="AJ644" s="12"/>
      <c r="AX644" s="12"/>
      <c r="BL644" s="12"/>
      <c r="BZ644" s="12"/>
      <c r="CB644" s="12"/>
      <c r="CP644" s="12"/>
      <c r="DD644" s="12"/>
      <c r="DR644" s="12"/>
      <c r="EF644" s="12"/>
    </row>
    <row r="645" spans="8:136" ht="10.199999999999999" x14ac:dyDescent="0.2">
      <c r="H645" s="12"/>
      <c r="V645" s="12"/>
      <c r="AJ645" s="12"/>
      <c r="AX645" s="12"/>
      <c r="BL645" s="12"/>
      <c r="BZ645" s="12"/>
      <c r="CB645" s="12"/>
      <c r="CP645" s="12"/>
      <c r="DD645" s="12"/>
      <c r="DR645" s="12"/>
      <c r="EF645" s="12"/>
    </row>
    <row r="646" spans="8:136" ht="10.199999999999999" x14ac:dyDescent="0.2">
      <c r="H646" s="12"/>
      <c r="V646" s="12"/>
      <c r="AJ646" s="12"/>
      <c r="AX646" s="12"/>
      <c r="BL646" s="12"/>
      <c r="BZ646" s="12"/>
      <c r="CB646" s="12"/>
      <c r="CP646" s="12"/>
      <c r="DD646" s="12"/>
      <c r="DR646" s="12"/>
      <c r="EF646" s="12"/>
    </row>
    <row r="647" spans="8:136" ht="10.199999999999999" x14ac:dyDescent="0.2">
      <c r="H647" s="12"/>
      <c r="V647" s="12"/>
      <c r="AJ647" s="12"/>
      <c r="AX647" s="12"/>
      <c r="BL647" s="12"/>
      <c r="BZ647" s="12"/>
      <c r="CB647" s="12"/>
      <c r="CP647" s="12"/>
      <c r="DD647" s="12"/>
      <c r="DR647" s="12"/>
      <c r="EF647" s="12"/>
    </row>
    <row r="648" spans="8:136" ht="10.199999999999999" x14ac:dyDescent="0.2">
      <c r="H648" s="12"/>
      <c r="V648" s="12"/>
      <c r="AJ648" s="12"/>
      <c r="AX648" s="12"/>
      <c r="BL648" s="12"/>
      <c r="BZ648" s="12"/>
      <c r="CB648" s="12"/>
      <c r="CP648" s="12"/>
      <c r="DD648" s="12"/>
      <c r="DR648" s="12"/>
      <c r="EF648" s="12"/>
    </row>
    <row r="649" spans="8:136" ht="10.199999999999999" x14ac:dyDescent="0.2">
      <c r="H649" s="12"/>
      <c r="V649" s="12"/>
      <c r="AJ649" s="12"/>
      <c r="AX649" s="12"/>
      <c r="BL649" s="12"/>
      <c r="BZ649" s="12"/>
      <c r="CB649" s="12"/>
      <c r="CP649" s="12"/>
      <c r="DD649" s="12"/>
      <c r="DR649" s="12"/>
      <c r="EF649" s="12"/>
    </row>
    <row r="650" spans="8:136" ht="10.199999999999999" x14ac:dyDescent="0.2">
      <c r="H650" s="12"/>
      <c r="V650" s="12"/>
      <c r="AJ650" s="12"/>
      <c r="AX650" s="12"/>
      <c r="BL650" s="12"/>
      <c r="BZ650" s="12"/>
      <c r="CB650" s="12"/>
      <c r="CP650" s="12"/>
      <c r="DD650" s="12"/>
      <c r="DR650" s="12"/>
      <c r="EF650" s="12"/>
    </row>
    <row r="651" spans="8:136" ht="10.199999999999999" x14ac:dyDescent="0.2">
      <c r="H651" s="12"/>
      <c r="V651" s="12"/>
      <c r="AJ651" s="12"/>
      <c r="AX651" s="12"/>
      <c r="BL651" s="12"/>
      <c r="BZ651" s="12"/>
      <c r="CB651" s="12"/>
      <c r="CP651" s="12"/>
      <c r="DD651" s="12"/>
      <c r="DR651" s="12"/>
      <c r="EF651" s="12"/>
    </row>
    <row r="652" spans="8:136" ht="10.199999999999999" x14ac:dyDescent="0.2">
      <c r="H652" s="12"/>
      <c r="V652" s="12"/>
      <c r="AJ652" s="12"/>
      <c r="AX652" s="12"/>
      <c r="BL652" s="12"/>
      <c r="BZ652" s="12"/>
      <c r="CB652" s="12"/>
      <c r="CP652" s="12"/>
      <c r="DD652" s="12"/>
      <c r="DR652" s="12"/>
      <c r="EF652" s="12"/>
    </row>
    <row r="653" spans="8:136" ht="10.199999999999999" x14ac:dyDescent="0.2">
      <c r="H653" s="12"/>
      <c r="V653" s="12"/>
      <c r="AJ653" s="12"/>
      <c r="AX653" s="12"/>
      <c r="BL653" s="12"/>
      <c r="BZ653" s="12"/>
      <c r="CB653" s="12"/>
      <c r="CP653" s="12"/>
      <c r="DD653" s="12"/>
      <c r="DR653" s="12"/>
      <c r="EF653" s="12"/>
    </row>
    <row r="654" spans="8:136" ht="10.199999999999999" x14ac:dyDescent="0.2">
      <c r="H654" s="12"/>
      <c r="V654" s="12"/>
      <c r="AJ654" s="12"/>
      <c r="AX654" s="12"/>
      <c r="BL654" s="12"/>
      <c r="BZ654" s="12"/>
      <c r="CB654" s="12"/>
      <c r="CP654" s="12"/>
      <c r="DD654" s="12"/>
      <c r="DR654" s="12"/>
      <c r="EF654" s="12"/>
    </row>
    <row r="655" spans="8:136" ht="10.199999999999999" x14ac:dyDescent="0.2">
      <c r="H655" s="12"/>
      <c r="V655" s="12"/>
      <c r="AJ655" s="12"/>
      <c r="AX655" s="12"/>
      <c r="BL655" s="12"/>
      <c r="BZ655" s="12"/>
      <c r="CB655" s="12"/>
      <c r="CP655" s="12"/>
      <c r="DD655" s="12"/>
      <c r="DR655" s="12"/>
      <c r="EF655" s="12"/>
    </row>
    <row r="656" spans="8:136" ht="10.199999999999999" x14ac:dyDescent="0.2">
      <c r="H656" s="12"/>
      <c r="V656" s="12"/>
      <c r="AJ656" s="12"/>
      <c r="AX656" s="12"/>
      <c r="BL656" s="12"/>
      <c r="BZ656" s="12"/>
      <c r="CB656" s="12"/>
      <c r="CP656" s="12"/>
      <c r="DD656" s="12"/>
      <c r="DR656" s="12"/>
      <c r="EF656" s="12"/>
    </row>
    <row r="657" spans="8:136" ht="10.199999999999999" x14ac:dyDescent="0.2">
      <c r="H657" s="12"/>
      <c r="V657" s="12"/>
      <c r="AJ657" s="12"/>
      <c r="AX657" s="12"/>
      <c r="BL657" s="12"/>
      <c r="BZ657" s="12"/>
      <c r="CB657" s="12"/>
      <c r="CP657" s="12"/>
      <c r="DD657" s="12"/>
      <c r="DR657" s="12"/>
      <c r="EF657" s="12"/>
    </row>
    <row r="658" spans="8:136" ht="10.199999999999999" x14ac:dyDescent="0.2">
      <c r="H658" s="12"/>
      <c r="V658" s="12"/>
      <c r="AJ658" s="12"/>
      <c r="AX658" s="12"/>
      <c r="BL658" s="12"/>
      <c r="BZ658" s="12"/>
      <c r="CB658" s="12"/>
      <c r="CP658" s="12"/>
      <c r="DD658" s="12"/>
      <c r="DR658" s="12"/>
      <c r="EF658" s="12"/>
    </row>
    <row r="659" spans="8:136" ht="10.199999999999999" x14ac:dyDescent="0.2">
      <c r="H659" s="12"/>
      <c r="V659" s="12"/>
      <c r="AJ659" s="12"/>
      <c r="AX659" s="12"/>
      <c r="BL659" s="12"/>
      <c r="BZ659" s="12"/>
      <c r="CB659" s="12"/>
      <c r="CP659" s="12"/>
      <c r="DD659" s="12"/>
      <c r="DR659" s="12"/>
      <c r="EF659" s="12"/>
    </row>
    <row r="660" spans="8:136" ht="10.199999999999999" x14ac:dyDescent="0.2">
      <c r="H660" s="12"/>
      <c r="V660" s="12"/>
      <c r="AJ660" s="12"/>
      <c r="AX660" s="12"/>
      <c r="BL660" s="12"/>
      <c r="BZ660" s="12"/>
      <c r="CB660" s="12"/>
      <c r="CP660" s="12"/>
      <c r="DD660" s="12"/>
      <c r="DR660" s="12"/>
      <c r="EF660" s="12"/>
    </row>
    <row r="661" spans="8:136" ht="10.199999999999999" x14ac:dyDescent="0.2">
      <c r="H661" s="12"/>
      <c r="V661" s="12"/>
      <c r="AJ661" s="12"/>
      <c r="AX661" s="12"/>
      <c r="BL661" s="12"/>
      <c r="BZ661" s="12"/>
      <c r="CB661" s="12"/>
      <c r="CP661" s="12"/>
      <c r="DD661" s="12"/>
      <c r="DR661" s="12"/>
      <c r="EF661" s="12"/>
    </row>
    <row r="662" spans="8:136" ht="10.199999999999999" x14ac:dyDescent="0.2">
      <c r="H662" s="12"/>
      <c r="V662" s="12"/>
      <c r="AJ662" s="12"/>
      <c r="AX662" s="12"/>
      <c r="BL662" s="12"/>
      <c r="BZ662" s="12"/>
      <c r="CB662" s="12"/>
      <c r="CP662" s="12"/>
      <c r="DD662" s="12"/>
      <c r="DR662" s="12"/>
      <c r="EF662" s="12"/>
    </row>
    <row r="663" spans="8:136" ht="10.199999999999999" x14ac:dyDescent="0.2">
      <c r="H663" s="12"/>
      <c r="V663" s="12"/>
      <c r="AJ663" s="12"/>
      <c r="AX663" s="12"/>
      <c r="BL663" s="12"/>
      <c r="BZ663" s="12"/>
      <c r="CB663" s="12"/>
      <c r="CP663" s="12"/>
      <c r="DD663" s="12"/>
      <c r="DR663" s="12"/>
      <c r="EF663" s="12"/>
    </row>
    <row r="664" spans="8:136" ht="10.199999999999999" x14ac:dyDescent="0.2">
      <c r="H664" s="12"/>
      <c r="V664" s="12"/>
      <c r="AJ664" s="12"/>
      <c r="AX664" s="12"/>
      <c r="BL664" s="12"/>
      <c r="BZ664" s="12"/>
      <c r="CB664" s="12"/>
      <c r="CP664" s="12"/>
      <c r="DD664" s="12"/>
      <c r="DR664" s="12"/>
      <c r="EF664" s="12"/>
    </row>
    <row r="665" spans="8:136" ht="10.199999999999999" x14ac:dyDescent="0.2">
      <c r="H665" s="12"/>
      <c r="V665" s="12"/>
      <c r="AJ665" s="12"/>
      <c r="AX665" s="12"/>
      <c r="BL665" s="12"/>
      <c r="BZ665" s="12"/>
      <c r="CB665" s="12"/>
      <c r="CP665" s="12"/>
      <c r="DD665" s="12"/>
      <c r="DR665" s="12"/>
      <c r="EF665" s="12"/>
    </row>
    <row r="666" spans="8:136" ht="10.199999999999999" x14ac:dyDescent="0.2">
      <c r="H666" s="12"/>
      <c r="V666" s="12"/>
      <c r="AJ666" s="12"/>
      <c r="AX666" s="12"/>
      <c r="BL666" s="12"/>
      <c r="BZ666" s="12"/>
      <c r="CB666" s="12"/>
      <c r="CP666" s="12"/>
      <c r="DD666" s="12"/>
      <c r="DR666" s="12"/>
      <c r="EF666" s="12"/>
    </row>
    <row r="667" spans="8:136" ht="10.199999999999999" x14ac:dyDescent="0.2">
      <c r="H667" s="12"/>
      <c r="V667" s="12"/>
      <c r="AJ667" s="12"/>
      <c r="AX667" s="12"/>
      <c r="BL667" s="12"/>
      <c r="BZ667" s="12"/>
      <c r="CB667" s="12"/>
      <c r="CP667" s="12"/>
      <c r="DD667" s="12"/>
      <c r="DR667" s="12"/>
      <c r="EF667" s="12"/>
    </row>
    <row r="668" spans="8:136" ht="10.199999999999999" x14ac:dyDescent="0.2">
      <c r="H668" s="12"/>
      <c r="V668" s="12"/>
      <c r="AJ668" s="12"/>
      <c r="AX668" s="12"/>
      <c r="BL668" s="12"/>
      <c r="BZ668" s="12"/>
      <c r="CB668" s="12"/>
      <c r="CP668" s="12"/>
      <c r="DD668" s="12"/>
      <c r="DR668" s="12"/>
      <c r="EF668" s="12"/>
    </row>
    <row r="669" spans="8:136" ht="10.199999999999999" x14ac:dyDescent="0.2">
      <c r="H669" s="12"/>
      <c r="V669" s="12"/>
      <c r="AJ669" s="12"/>
      <c r="AX669" s="12"/>
      <c r="BL669" s="12"/>
      <c r="BZ669" s="12"/>
      <c r="CB669" s="12"/>
      <c r="CP669" s="12"/>
      <c r="DD669" s="12"/>
      <c r="DR669" s="12"/>
      <c r="EF669" s="12"/>
    </row>
    <row r="670" spans="8:136" ht="10.199999999999999" x14ac:dyDescent="0.2">
      <c r="H670" s="12"/>
      <c r="V670" s="12"/>
      <c r="AJ670" s="12"/>
      <c r="AX670" s="12"/>
      <c r="BL670" s="12"/>
      <c r="BZ670" s="12"/>
      <c r="CB670" s="12"/>
      <c r="CP670" s="12"/>
      <c r="DD670" s="12"/>
      <c r="DR670" s="12"/>
      <c r="EF670" s="12"/>
    </row>
    <row r="671" spans="8:136" ht="10.199999999999999" x14ac:dyDescent="0.2">
      <c r="H671" s="12"/>
      <c r="V671" s="12"/>
      <c r="AJ671" s="12"/>
      <c r="AX671" s="12"/>
      <c r="BL671" s="12"/>
      <c r="BZ671" s="12"/>
      <c r="CB671" s="12"/>
      <c r="CP671" s="12"/>
      <c r="DD671" s="12"/>
      <c r="DR671" s="12"/>
      <c r="EF671" s="12"/>
    </row>
    <row r="672" spans="8:136" ht="10.199999999999999" x14ac:dyDescent="0.2">
      <c r="H672" s="12"/>
      <c r="V672" s="12"/>
      <c r="AJ672" s="12"/>
      <c r="AX672" s="12"/>
      <c r="BL672" s="12"/>
      <c r="BZ672" s="12"/>
      <c r="CB672" s="12"/>
      <c r="CP672" s="12"/>
      <c r="DD672" s="12"/>
      <c r="DR672" s="12"/>
      <c r="EF672" s="12"/>
    </row>
    <row r="673" spans="8:136" ht="10.199999999999999" x14ac:dyDescent="0.2">
      <c r="H673" s="12"/>
      <c r="V673" s="12"/>
      <c r="AJ673" s="12"/>
      <c r="AX673" s="12"/>
      <c r="BL673" s="12"/>
      <c r="BZ673" s="12"/>
      <c r="CB673" s="12"/>
      <c r="CP673" s="12"/>
      <c r="DD673" s="12"/>
      <c r="DR673" s="12"/>
      <c r="EF673" s="12"/>
    </row>
    <row r="674" spans="8:136" ht="10.199999999999999" x14ac:dyDescent="0.2">
      <c r="H674" s="12"/>
      <c r="V674" s="12"/>
      <c r="AJ674" s="12"/>
      <c r="AX674" s="12"/>
      <c r="BL674" s="12"/>
      <c r="BZ674" s="12"/>
      <c r="CB674" s="12"/>
      <c r="CP674" s="12"/>
      <c r="DD674" s="12"/>
      <c r="DR674" s="12"/>
      <c r="EF674" s="12"/>
    </row>
    <row r="675" spans="8:136" ht="10.199999999999999" x14ac:dyDescent="0.2">
      <c r="H675" s="12"/>
      <c r="V675" s="12"/>
      <c r="AJ675" s="12"/>
      <c r="AX675" s="12"/>
      <c r="BL675" s="12"/>
      <c r="BZ675" s="12"/>
      <c r="CB675" s="12"/>
      <c r="CP675" s="12"/>
      <c r="DD675" s="12"/>
      <c r="DR675" s="12"/>
      <c r="EF675" s="12"/>
    </row>
    <row r="676" spans="8:136" ht="10.199999999999999" x14ac:dyDescent="0.2">
      <c r="H676" s="12"/>
      <c r="V676" s="12"/>
      <c r="AJ676" s="12"/>
      <c r="AX676" s="12"/>
      <c r="BL676" s="12"/>
      <c r="BZ676" s="12"/>
      <c r="CB676" s="12"/>
      <c r="CP676" s="12"/>
      <c r="DD676" s="12"/>
      <c r="DR676" s="12"/>
      <c r="EF676" s="12"/>
    </row>
    <row r="677" spans="8:136" ht="10.199999999999999" x14ac:dyDescent="0.2">
      <c r="H677" s="12"/>
      <c r="V677" s="12"/>
      <c r="AJ677" s="12"/>
      <c r="AX677" s="12"/>
      <c r="BL677" s="12"/>
      <c r="BZ677" s="12"/>
      <c r="CB677" s="12"/>
      <c r="CP677" s="12"/>
      <c r="DD677" s="12"/>
      <c r="DR677" s="12"/>
      <c r="EF677" s="12"/>
    </row>
    <row r="678" spans="8:136" ht="10.199999999999999" x14ac:dyDescent="0.2">
      <c r="H678" s="12"/>
      <c r="V678" s="12"/>
      <c r="AJ678" s="12"/>
      <c r="AX678" s="12"/>
      <c r="BL678" s="12"/>
      <c r="BZ678" s="12"/>
      <c r="CB678" s="12"/>
      <c r="CP678" s="12"/>
      <c r="DD678" s="12"/>
      <c r="DR678" s="12"/>
      <c r="EF678" s="12"/>
    </row>
    <row r="679" spans="8:136" ht="10.199999999999999" x14ac:dyDescent="0.2">
      <c r="H679" s="12"/>
      <c r="V679" s="12"/>
      <c r="AJ679" s="12"/>
      <c r="AX679" s="12"/>
      <c r="BL679" s="12"/>
      <c r="BZ679" s="12"/>
      <c r="CB679" s="12"/>
      <c r="CP679" s="12"/>
      <c r="DD679" s="12"/>
      <c r="DR679" s="12"/>
      <c r="EF679" s="12"/>
    </row>
    <row r="680" spans="8:136" ht="10.199999999999999" x14ac:dyDescent="0.2">
      <c r="H680" s="12"/>
      <c r="V680" s="12"/>
      <c r="AJ680" s="12"/>
      <c r="AX680" s="12"/>
      <c r="BL680" s="12"/>
      <c r="BZ680" s="12"/>
      <c r="CB680" s="12"/>
      <c r="CP680" s="12"/>
      <c r="DD680" s="12"/>
      <c r="DR680" s="12"/>
      <c r="EF680" s="12"/>
    </row>
    <row r="681" spans="8:136" ht="10.199999999999999" x14ac:dyDescent="0.2">
      <c r="H681" s="12"/>
      <c r="V681" s="12"/>
      <c r="AJ681" s="12"/>
      <c r="AX681" s="12"/>
      <c r="BL681" s="12"/>
      <c r="BZ681" s="12"/>
      <c r="CB681" s="12"/>
      <c r="CP681" s="12"/>
      <c r="DD681" s="12"/>
      <c r="DR681" s="12"/>
      <c r="EF681" s="12"/>
    </row>
    <row r="682" spans="8:136" ht="10.199999999999999" x14ac:dyDescent="0.2">
      <c r="H682" s="12"/>
      <c r="V682" s="12"/>
      <c r="AJ682" s="12"/>
      <c r="AX682" s="12"/>
      <c r="BL682" s="12"/>
      <c r="BZ682" s="12"/>
      <c r="CB682" s="12"/>
      <c r="CP682" s="12"/>
      <c r="DD682" s="12"/>
      <c r="DR682" s="12"/>
      <c r="EF682" s="12"/>
    </row>
    <row r="683" spans="8:136" ht="10.199999999999999" x14ac:dyDescent="0.2">
      <c r="H683" s="12"/>
      <c r="V683" s="12"/>
      <c r="AJ683" s="12"/>
      <c r="AX683" s="12"/>
      <c r="BL683" s="12"/>
      <c r="BZ683" s="12"/>
      <c r="CB683" s="12"/>
      <c r="CP683" s="12"/>
      <c r="DD683" s="12"/>
      <c r="DR683" s="12"/>
      <c r="EF683" s="12"/>
    </row>
    <row r="684" spans="8:136" ht="10.199999999999999" x14ac:dyDescent="0.2">
      <c r="H684" s="12"/>
      <c r="V684" s="12"/>
      <c r="AJ684" s="12"/>
      <c r="AX684" s="12"/>
      <c r="BL684" s="12"/>
      <c r="BZ684" s="12"/>
      <c r="CB684" s="12"/>
      <c r="CP684" s="12"/>
      <c r="DD684" s="12"/>
      <c r="DR684" s="12"/>
      <c r="EF684" s="12"/>
    </row>
    <row r="685" spans="8:136" ht="10.199999999999999" x14ac:dyDescent="0.2">
      <c r="H685" s="12"/>
      <c r="V685" s="12"/>
      <c r="AJ685" s="12"/>
      <c r="AX685" s="12"/>
      <c r="BL685" s="12"/>
      <c r="BZ685" s="12"/>
      <c r="CB685" s="12"/>
      <c r="CP685" s="12"/>
      <c r="DD685" s="12"/>
      <c r="DR685" s="12"/>
      <c r="EF685" s="12"/>
    </row>
    <row r="686" spans="8:136" ht="10.199999999999999" x14ac:dyDescent="0.2">
      <c r="H686" s="12"/>
      <c r="V686" s="12"/>
      <c r="AJ686" s="12"/>
      <c r="AX686" s="12"/>
      <c r="BL686" s="12"/>
      <c r="BZ686" s="12"/>
      <c r="CB686" s="12"/>
      <c r="CP686" s="12"/>
      <c r="DD686" s="12"/>
      <c r="DR686" s="12"/>
      <c r="EF686" s="12"/>
    </row>
    <row r="687" spans="8:136" ht="10.199999999999999" x14ac:dyDescent="0.2">
      <c r="H687" s="12"/>
      <c r="V687" s="12"/>
      <c r="AJ687" s="12"/>
      <c r="AX687" s="12"/>
      <c r="BL687" s="12"/>
      <c r="BZ687" s="12"/>
      <c r="CB687" s="12"/>
      <c r="CP687" s="12"/>
      <c r="DD687" s="12"/>
      <c r="DR687" s="12"/>
      <c r="EF687" s="12"/>
    </row>
    <row r="688" spans="8:136" ht="10.199999999999999" x14ac:dyDescent="0.2">
      <c r="H688" s="12"/>
      <c r="V688" s="12"/>
      <c r="AJ688" s="12"/>
      <c r="AX688" s="12"/>
      <c r="BL688" s="12"/>
      <c r="BZ688" s="12"/>
      <c r="CB688" s="12"/>
      <c r="CP688" s="12"/>
      <c r="DD688" s="12"/>
      <c r="DR688" s="12"/>
      <c r="EF688" s="12"/>
    </row>
    <row r="689" spans="8:136" ht="10.199999999999999" x14ac:dyDescent="0.2">
      <c r="H689" s="12"/>
      <c r="V689" s="12"/>
      <c r="AJ689" s="12"/>
      <c r="AX689" s="12"/>
      <c r="BL689" s="12"/>
      <c r="BZ689" s="12"/>
      <c r="CB689" s="12"/>
      <c r="CP689" s="12"/>
      <c r="DD689" s="12"/>
      <c r="DR689" s="12"/>
      <c r="EF689" s="12"/>
    </row>
    <row r="690" spans="8:136" ht="10.199999999999999" x14ac:dyDescent="0.2">
      <c r="H690" s="12"/>
      <c r="V690" s="12"/>
      <c r="AJ690" s="12"/>
      <c r="AX690" s="12"/>
      <c r="BL690" s="12"/>
      <c r="BZ690" s="12"/>
      <c r="CB690" s="12"/>
      <c r="CP690" s="12"/>
      <c r="DD690" s="12"/>
      <c r="DR690" s="12"/>
      <c r="EF690" s="12"/>
    </row>
    <row r="691" spans="8:136" ht="10.199999999999999" x14ac:dyDescent="0.2">
      <c r="H691" s="12"/>
      <c r="V691" s="12"/>
      <c r="AJ691" s="12"/>
      <c r="AX691" s="12"/>
      <c r="BL691" s="12"/>
      <c r="BZ691" s="12"/>
      <c r="CB691" s="12"/>
      <c r="CP691" s="12"/>
      <c r="DD691" s="12"/>
      <c r="DR691" s="12"/>
      <c r="EF691" s="12"/>
    </row>
    <row r="692" spans="8:136" ht="10.199999999999999" x14ac:dyDescent="0.2">
      <c r="H692" s="12"/>
      <c r="V692" s="12"/>
      <c r="AJ692" s="12"/>
      <c r="AX692" s="12"/>
      <c r="BL692" s="12"/>
      <c r="BZ692" s="12"/>
      <c r="CB692" s="12"/>
      <c r="CP692" s="12"/>
      <c r="DD692" s="12"/>
      <c r="DR692" s="12"/>
      <c r="EF692" s="12"/>
    </row>
    <row r="693" spans="8:136" ht="10.199999999999999" x14ac:dyDescent="0.2">
      <c r="H693" s="12"/>
      <c r="V693" s="12"/>
      <c r="AJ693" s="12"/>
      <c r="AX693" s="12"/>
      <c r="BL693" s="12"/>
      <c r="BZ693" s="12"/>
      <c r="CB693" s="12"/>
      <c r="CP693" s="12"/>
      <c r="DD693" s="12"/>
      <c r="DR693" s="12"/>
      <c r="EF693" s="12"/>
    </row>
    <row r="694" spans="8:136" ht="10.199999999999999" x14ac:dyDescent="0.2">
      <c r="H694" s="12"/>
      <c r="V694" s="12"/>
      <c r="AJ694" s="12"/>
      <c r="AX694" s="12"/>
      <c r="BL694" s="12"/>
      <c r="BZ694" s="12"/>
      <c r="CB694" s="12"/>
      <c r="CP694" s="12"/>
      <c r="DD694" s="12"/>
      <c r="DR694" s="12"/>
      <c r="EF694" s="12"/>
    </row>
    <row r="695" spans="8:136" ht="10.199999999999999" x14ac:dyDescent="0.2">
      <c r="H695" s="12"/>
      <c r="V695" s="12"/>
      <c r="AJ695" s="12"/>
      <c r="AX695" s="12"/>
      <c r="BL695" s="12"/>
      <c r="BZ695" s="12"/>
      <c r="CB695" s="12"/>
      <c r="CP695" s="12"/>
      <c r="DD695" s="12"/>
      <c r="DR695" s="12"/>
      <c r="EF695" s="12"/>
    </row>
    <row r="696" spans="8:136" ht="10.199999999999999" x14ac:dyDescent="0.2">
      <c r="H696" s="12"/>
      <c r="V696" s="12"/>
      <c r="AJ696" s="12"/>
      <c r="AX696" s="12"/>
      <c r="BL696" s="12"/>
      <c r="BZ696" s="12"/>
      <c r="CB696" s="12"/>
      <c r="CP696" s="12"/>
      <c r="DD696" s="12"/>
      <c r="DR696" s="12"/>
      <c r="EF696" s="12"/>
    </row>
    <row r="697" spans="8:136" ht="10.199999999999999" x14ac:dyDescent="0.2">
      <c r="H697" s="12"/>
      <c r="V697" s="12"/>
      <c r="AJ697" s="12"/>
      <c r="AX697" s="12"/>
      <c r="BL697" s="12"/>
      <c r="BZ697" s="12"/>
      <c r="CB697" s="12"/>
      <c r="CP697" s="12"/>
      <c r="DD697" s="12"/>
      <c r="DR697" s="12"/>
      <c r="EF697" s="12"/>
    </row>
    <row r="698" spans="8:136" ht="10.199999999999999" x14ac:dyDescent="0.2">
      <c r="H698" s="12"/>
      <c r="V698" s="12"/>
      <c r="AJ698" s="12"/>
      <c r="AX698" s="12"/>
      <c r="BL698" s="12"/>
      <c r="BZ698" s="12"/>
      <c r="CB698" s="12"/>
      <c r="CP698" s="12"/>
      <c r="DD698" s="12"/>
      <c r="DR698" s="12"/>
      <c r="EF698" s="12"/>
    </row>
    <row r="699" spans="8:136" ht="10.199999999999999" x14ac:dyDescent="0.2">
      <c r="H699" s="12"/>
      <c r="V699" s="12"/>
      <c r="AJ699" s="12"/>
      <c r="AX699" s="12"/>
      <c r="BL699" s="12"/>
      <c r="BZ699" s="12"/>
      <c r="CB699" s="12"/>
      <c r="CP699" s="12"/>
      <c r="DD699" s="12"/>
      <c r="DR699" s="12"/>
      <c r="EF699" s="12"/>
    </row>
    <row r="700" spans="8:136" ht="10.199999999999999" x14ac:dyDescent="0.2">
      <c r="H700" s="12"/>
      <c r="V700" s="12"/>
      <c r="AJ700" s="12"/>
      <c r="AX700" s="12"/>
      <c r="BL700" s="12"/>
      <c r="BZ700" s="12"/>
      <c r="CB700" s="12"/>
      <c r="CP700" s="12"/>
      <c r="DD700" s="12"/>
      <c r="DR700" s="12"/>
      <c r="EF700" s="12"/>
    </row>
    <row r="701" spans="8:136" ht="10.199999999999999" x14ac:dyDescent="0.2">
      <c r="H701" s="12"/>
      <c r="V701" s="12"/>
      <c r="AJ701" s="12"/>
      <c r="AX701" s="12"/>
      <c r="BL701" s="12"/>
      <c r="BZ701" s="12"/>
      <c r="CB701" s="12"/>
      <c r="CP701" s="12"/>
      <c r="DD701" s="12"/>
      <c r="DR701" s="12"/>
      <c r="EF701" s="12"/>
    </row>
    <row r="702" spans="8:136" ht="10.199999999999999" x14ac:dyDescent="0.2">
      <c r="H702" s="12"/>
      <c r="V702" s="12"/>
      <c r="AJ702" s="12"/>
      <c r="AX702" s="12"/>
      <c r="BL702" s="12"/>
      <c r="BZ702" s="12"/>
      <c r="CB702" s="12"/>
      <c r="CP702" s="12"/>
      <c r="DD702" s="12"/>
      <c r="DR702" s="12"/>
      <c r="EF702" s="12"/>
    </row>
    <row r="703" spans="8:136" ht="10.199999999999999" x14ac:dyDescent="0.2">
      <c r="H703" s="12"/>
      <c r="V703" s="12"/>
      <c r="AJ703" s="12"/>
      <c r="AX703" s="12"/>
      <c r="BL703" s="12"/>
      <c r="BZ703" s="12"/>
      <c r="CB703" s="12"/>
      <c r="CP703" s="12"/>
      <c r="DD703" s="12"/>
      <c r="DR703" s="12"/>
      <c r="EF703" s="12"/>
    </row>
    <row r="704" spans="8:136" ht="10.199999999999999" x14ac:dyDescent="0.2">
      <c r="H704" s="12"/>
      <c r="V704" s="12"/>
      <c r="AJ704" s="12"/>
      <c r="AX704" s="12"/>
      <c r="BL704" s="12"/>
      <c r="BZ704" s="12"/>
      <c r="CB704" s="12"/>
      <c r="CP704" s="12"/>
      <c r="DD704" s="12"/>
      <c r="DR704" s="12"/>
      <c r="EF704" s="12"/>
    </row>
    <row r="705" spans="8:136" ht="10.199999999999999" x14ac:dyDescent="0.2">
      <c r="H705" s="12"/>
      <c r="V705" s="12"/>
      <c r="AJ705" s="12"/>
      <c r="AX705" s="12"/>
      <c r="BL705" s="12"/>
      <c r="BZ705" s="12"/>
      <c r="CB705" s="12"/>
      <c r="CP705" s="12"/>
      <c r="DD705" s="12"/>
      <c r="DR705" s="12"/>
      <c r="EF705" s="12"/>
    </row>
    <row r="706" spans="8:136" ht="10.199999999999999" x14ac:dyDescent="0.2">
      <c r="H706" s="12"/>
      <c r="V706" s="12"/>
      <c r="AJ706" s="12"/>
      <c r="AX706" s="12"/>
      <c r="BL706" s="12"/>
      <c r="BZ706" s="12"/>
      <c r="CB706" s="12"/>
      <c r="CP706" s="12"/>
      <c r="DD706" s="12"/>
      <c r="DR706" s="12"/>
      <c r="EF706" s="12"/>
    </row>
    <row r="707" spans="8:136" ht="10.199999999999999" x14ac:dyDescent="0.2">
      <c r="H707" s="12"/>
      <c r="V707" s="12"/>
      <c r="AJ707" s="12"/>
      <c r="AX707" s="12"/>
      <c r="BL707" s="12"/>
      <c r="BZ707" s="12"/>
      <c r="CB707" s="12"/>
      <c r="CP707" s="12"/>
      <c r="DD707" s="12"/>
      <c r="DR707" s="12"/>
      <c r="EF707" s="12"/>
    </row>
    <row r="708" spans="8:136" ht="10.199999999999999" x14ac:dyDescent="0.2">
      <c r="H708" s="12"/>
      <c r="V708" s="12"/>
      <c r="AJ708" s="12"/>
      <c r="AX708" s="12"/>
      <c r="BL708" s="12"/>
      <c r="BZ708" s="12"/>
      <c r="CB708" s="12"/>
      <c r="CP708" s="12"/>
      <c r="DD708" s="12"/>
      <c r="DR708" s="12"/>
      <c r="EF708" s="12"/>
    </row>
    <row r="709" spans="8:136" ht="10.199999999999999" x14ac:dyDescent="0.2">
      <c r="H709" s="12"/>
      <c r="V709" s="12"/>
      <c r="AJ709" s="12"/>
      <c r="AX709" s="12"/>
      <c r="BL709" s="12"/>
      <c r="BZ709" s="12"/>
      <c r="CB709" s="12"/>
      <c r="CP709" s="12"/>
      <c r="DD709" s="12"/>
      <c r="DR709" s="12"/>
      <c r="EF709" s="12"/>
    </row>
    <row r="710" spans="8:136" ht="10.199999999999999" x14ac:dyDescent="0.2">
      <c r="H710" s="12"/>
      <c r="V710" s="12"/>
      <c r="AJ710" s="12"/>
      <c r="AX710" s="12"/>
      <c r="BL710" s="12"/>
      <c r="BZ710" s="12"/>
      <c r="CB710" s="12"/>
      <c r="CP710" s="12"/>
      <c r="DD710" s="12"/>
      <c r="DR710" s="12"/>
      <c r="EF710" s="12"/>
    </row>
    <row r="711" spans="8:136" ht="10.199999999999999" x14ac:dyDescent="0.2">
      <c r="H711" s="12"/>
      <c r="V711" s="12"/>
      <c r="AJ711" s="12"/>
      <c r="AX711" s="12"/>
      <c r="BL711" s="12"/>
      <c r="BZ711" s="12"/>
      <c r="CB711" s="12"/>
      <c r="CP711" s="12"/>
      <c r="DD711" s="12"/>
      <c r="DR711" s="12"/>
      <c r="EF711" s="12"/>
    </row>
    <row r="712" spans="8:136" ht="10.199999999999999" x14ac:dyDescent="0.2">
      <c r="H712" s="12"/>
      <c r="V712" s="12"/>
      <c r="AJ712" s="12"/>
      <c r="AX712" s="12"/>
      <c r="BL712" s="12"/>
      <c r="BZ712" s="12"/>
      <c r="CB712" s="12"/>
      <c r="CP712" s="12"/>
      <c r="DD712" s="12"/>
      <c r="DR712" s="12"/>
      <c r="EF712" s="12"/>
    </row>
    <row r="713" spans="8:136" ht="10.199999999999999" x14ac:dyDescent="0.2">
      <c r="H713" s="12"/>
      <c r="V713" s="12"/>
      <c r="AJ713" s="12"/>
      <c r="AX713" s="12"/>
      <c r="BL713" s="12"/>
      <c r="BZ713" s="12"/>
      <c r="CB713" s="12"/>
      <c r="CP713" s="12"/>
      <c r="DD713" s="12"/>
      <c r="DR713" s="12"/>
      <c r="EF713" s="12"/>
    </row>
    <row r="714" spans="8:136" ht="10.199999999999999" x14ac:dyDescent="0.2">
      <c r="H714" s="12"/>
      <c r="V714" s="12"/>
      <c r="AJ714" s="12"/>
      <c r="AX714" s="12"/>
      <c r="BL714" s="12"/>
      <c r="BZ714" s="12"/>
      <c r="CB714" s="12"/>
      <c r="CP714" s="12"/>
      <c r="DD714" s="12"/>
      <c r="DR714" s="12"/>
      <c r="EF714" s="12"/>
    </row>
    <row r="715" spans="8:136" ht="10.199999999999999" x14ac:dyDescent="0.2">
      <c r="H715" s="12"/>
      <c r="V715" s="12"/>
      <c r="AJ715" s="12"/>
      <c r="AX715" s="12"/>
      <c r="BL715" s="12"/>
      <c r="BZ715" s="12"/>
      <c r="CB715" s="12"/>
      <c r="CP715" s="12"/>
      <c r="DD715" s="12"/>
      <c r="DR715" s="12"/>
      <c r="EF715" s="12"/>
    </row>
    <row r="716" spans="8:136" ht="10.199999999999999" x14ac:dyDescent="0.2">
      <c r="H716" s="12"/>
      <c r="V716" s="12"/>
      <c r="AJ716" s="12"/>
      <c r="AX716" s="12"/>
      <c r="BL716" s="12"/>
      <c r="BZ716" s="12"/>
      <c r="CB716" s="12"/>
      <c r="CP716" s="12"/>
      <c r="DD716" s="12"/>
      <c r="DR716" s="12"/>
      <c r="EF716" s="12"/>
    </row>
    <row r="717" spans="8:136" ht="10.199999999999999" x14ac:dyDescent="0.2">
      <c r="H717" s="12"/>
      <c r="V717" s="12"/>
      <c r="AJ717" s="12"/>
      <c r="AX717" s="12"/>
      <c r="BL717" s="12"/>
      <c r="BZ717" s="12"/>
      <c r="CB717" s="12"/>
      <c r="CP717" s="12"/>
      <c r="DD717" s="12"/>
      <c r="DR717" s="12"/>
      <c r="EF717" s="12"/>
    </row>
    <row r="718" spans="8:136" ht="10.199999999999999" x14ac:dyDescent="0.2">
      <c r="H718" s="12"/>
      <c r="V718" s="12"/>
      <c r="AJ718" s="12"/>
      <c r="AX718" s="12"/>
      <c r="BL718" s="12"/>
      <c r="BZ718" s="12"/>
      <c r="CB718" s="12"/>
      <c r="CP718" s="12"/>
      <c r="DD718" s="12"/>
      <c r="DR718" s="12"/>
      <c r="EF718" s="12"/>
    </row>
    <row r="719" spans="8:136" ht="10.199999999999999" x14ac:dyDescent="0.2">
      <c r="H719" s="12"/>
      <c r="V719" s="12"/>
      <c r="AJ719" s="12"/>
      <c r="AX719" s="12"/>
      <c r="BL719" s="12"/>
      <c r="BZ719" s="12"/>
      <c r="CB719" s="12"/>
      <c r="CP719" s="12"/>
      <c r="DD719" s="12"/>
      <c r="DR719" s="12"/>
      <c r="EF719" s="12"/>
    </row>
    <row r="720" spans="8:136" ht="10.199999999999999" x14ac:dyDescent="0.2">
      <c r="H720" s="12"/>
      <c r="V720" s="12"/>
      <c r="AJ720" s="12"/>
      <c r="AX720" s="12"/>
      <c r="BL720" s="12"/>
      <c r="BZ720" s="12"/>
      <c r="CB720" s="12"/>
      <c r="CP720" s="12"/>
      <c r="DD720" s="12"/>
      <c r="DR720" s="12"/>
      <c r="EF720" s="12"/>
    </row>
    <row r="721" spans="8:136" ht="10.199999999999999" x14ac:dyDescent="0.2">
      <c r="H721" s="12"/>
      <c r="V721" s="12"/>
      <c r="AJ721" s="12"/>
      <c r="AX721" s="12"/>
      <c r="BL721" s="12"/>
      <c r="BZ721" s="12"/>
      <c r="CB721" s="12"/>
      <c r="CP721" s="12"/>
      <c r="DD721" s="12"/>
      <c r="DR721" s="12"/>
      <c r="EF721" s="12"/>
    </row>
    <row r="722" spans="8:136" ht="10.199999999999999" x14ac:dyDescent="0.2">
      <c r="H722" s="12"/>
      <c r="V722" s="12"/>
      <c r="AJ722" s="12"/>
      <c r="AX722" s="12"/>
      <c r="BL722" s="12"/>
      <c r="BZ722" s="12"/>
      <c r="CB722" s="12"/>
      <c r="CP722" s="12"/>
      <c r="DD722" s="12"/>
      <c r="DR722" s="12"/>
      <c r="EF722" s="12"/>
    </row>
    <row r="723" spans="8:136" ht="10.199999999999999" x14ac:dyDescent="0.2">
      <c r="H723" s="12"/>
      <c r="V723" s="12"/>
      <c r="AJ723" s="12"/>
      <c r="AX723" s="12"/>
      <c r="BL723" s="12"/>
      <c r="BZ723" s="12"/>
      <c r="CB723" s="12"/>
      <c r="CP723" s="12"/>
      <c r="DD723" s="12"/>
      <c r="DR723" s="12"/>
      <c r="EF723" s="12"/>
    </row>
    <row r="724" spans="8:136" ht="10.199999999999999" x14ac:dyDescent="0.2">
      <c r="H724" s="12"/>
      <c r="V724" s="12"/>
      <c r="AJ724" s="12"/>
      <c r="AX724" s="12"/>
      <c r="BL724" s="12"/>
      <c r="BZ724" s="12"/>
      <c r="CB724" s="12"/>
      <c r="CP724" s="12"/>
      <c r="DD724" s="12"/>
      <c r="DR724" s="12"/>
      <c r="EF724" s="12"/>
    </row>
    <row r="725" spans="8:136" ht="10.199999999999999" x14ac:dyDescent="0.2">
      <c r="H725" s="12"/>
      <c r="V725" s="12"/>
      <c r="AJ725" s="12"/>
      <c r="AX725" s="12"/>
      <c r="BL725" s="12"/>
      <c r="BZ725" s="12"/>
      <c r="CB725" s="12"/>
      <c r="CP725" s="12"/>
      <c r="DD725" s="12"/>
      <c r="DR725" s="12"/>
      <c r="EF725" s="12"/>
    </row>
    <row r="726" spans="8:136" ht="10.199999999999999" x14ac:dyDescent="0.2">
      <c r="H726" s="12"/>
      <c r="V726" s="12"/>
      <c r="AJ726" s="12"/>
      <c r="AX726" s="12"/>
      <c r="BL726" s="12"/>
      <c r="BZ726" s="12"/>
      <c r="CB726" s="12"/>
      <c r="CP726" s="12"/>
      <c r="DD726" s="12"/>
      <c r="DR726" s="12"/>
      <c r="EF726" s="12"/>
    </row>
    <row r="727" spans="8:136" ht="10.199999999999999" x14ac:dyDescent="0.2">
      <c r="H727" s="12"/>
      <c r="V727" s="12"/>
      <c r="AJ727" s="12"/>
      <c r="AX727" s="12"/>
      <c r="BL727" s="12"/>
      <c r="BZ727" s="12"/>
      <c r="CB727" s="12"/>
      <c r="CP727" s="12"/>
      <c r="DD727" s="12"/>
      <c r="DR727" s="12"/>
      <c r="EF727" s="12"/>
    </row>
    <row r="728" spans="8:136" ht="10.199999999999999" x14ac:dyDescent="0.2">
      <c r="H728" s="12"/>
      <c r="V728" s="12"/>
      <c r="AJ728" s="12"/>
      <c r="AX728" s="12"/>
      <c r="BL728" s="12"/>
      <c r="BZ728" s="12"/>
      <c r="CB728" s="12"/>
      <c r="CP728" s="12"/>
      <c r="DD728" s="12"/>
      <c r="DR728" s="12"/>
      <c r="EF728" s="12"/>
    </row>
    <row r="729" spans="8:136" ht="10.199999999999999" x14ac:dyDescent="0.2">
      <c r="H729" s="12"/>
      <c r="V729" s="12"/>
      <c r="AJ729" s="12"/>
      <c r="AX729" s="12"/>
      <c r="BL729" s="12"/>
      <c r="BZ729" s="12"/>
      <c r="CB729" s="12"/>
      <c r="CP729" s="12"/>
      <c r="DD729" s="12"/>
      <c r="DR729" s="12"/>
      <c r="EF729" s="12"/>
    </row>
    <row r="730" spans="8:136" ht="10.199999999999999" x14ac:dyDescent="0.2">
      <c r="H730" s="12"/>
      <c r="V730" s="12"/>
      <c r="AJ730" s="12"/>
      <c r="AX730" s="12"/>
      <c r="BL730" s="12"/>
      <c r="BZ730" s="12"/>
      <c r="CB730" s="12"/>
      <c r="CP730" s="12"/>
      <c r="DD730" s="12"/>
      <c r="DR730" s="12"/>
      <c r="EF730" s="12"/>
    </row>
    <row r="731" spans="8:136" ht="10.199999999999999" x14ac:dyDescent="0.2">
      <c r="H731" s="12"/>
      <c r="V731" s="12"/>
      <c r="AJ731" s="12"/>
      <c r="AX731" s="12"/>
      <c r="BL731" s="12"/>
      <c r="BZ731" s="12"/>
      <c r="CB731" s="12"/>
      <c r="CP731" s="12"/>
      <c r="DD731" s="12"/>
      <c r="DR731" s="12"/>
      <c r="EF731" s="12"/>
    </row>
    <row r="732" spans="8:136" ht="10.199999999999999" x14ac:dyDescent="0.2">
      <c r="H732" s="12"/>
      <c r="V732" s="12"/>
      <c r="AJ732" s="12"/>
      <c r="AX732" s="12"/>
      <c r="BL732" s="12"/>
      <c r="BZ732" s="12"/>
      <c r="CB732" s="12"/>
      <c r="CP732" s="12"/>
      <c r="DD732" s="12"/>
      <c r="DR732" s="12"/>
      <c r="EF732" s="12"/>
    </row>
    <row r="733" spans="8:136" ht="10.199999999999999" x14ac:dyDescent="0.2">
      <c r="H733" s="12"/>
      <c r="V733" s="12"/>
      <c r="AJ733" s="12"/>
      <c r="AX733" s="12"/>
      <c r="BL733" s="12"/>
      <c r="BZ733" s="12"/>
      <c r="CB733" s="12"/>
      <c r="CP733" s="12"/>
      <c r="DD733" s="12"/>
      <c r="DR733" s="12"/>
      <c r="EF733" s="12"/>
    </row>
    <row r="734" spans="8:136" ht="10.199999999999999" x14ac:dyDescent="0.2">
      <c r="H734" s="12"/>
      <c r="V734" s="12"/>
      <c r="AJ734" s="12"/>
      <c r="AX734" s="12"/>
      <c r="BL734" s="12"/>
      <c r="BZ734" s="12"/>
      <c r="CB734" s="12"/>
      <c r="CP734" s="12"/>
      <c r="DD734" s="12"/>
      <c r="DR734" s="12"/>
      <c r="EF734" s="12"/>
    </row>
    <row r="735" spans="8:136" ht="10.199999999999999" x14ac:dyDescent="0.2">
      <c r="H735" s="12"/>
      <c r="V735" s="12"/>
      <c r="AJ735" s="12"/>
      <c r="AX735" s="12"/>
      <c r="BL735" s="12"/>
      <c r="BZ735" s="12"/>
      <c r="CB735" s="12"/>
      <c r="CP735" s="12"/>
      <c r="DD735" s="12"/>
      <c r="DR735" s="12"/>
      <c r="EF735" s="12"/>
    </row>
    <row r="736" spans="8:136" ht="10.199999999999999" x14ac:dyDescent="0.2">
      <c r="H736" s="12"/>
      <c r="V736" s="12"/>
      <c r="AJ736" s="12"/>
      <c r="AX736" s="12"/>
      <c r="BL736" s="12"/>
      <c r="BZ736" s="12"/>
      <c r="CB736" s="12"/>
      <c r="CP736" s="12"/>
      <c r="DD736" s="12"/>
      <c r="DR736" s="12"/>
      <c r="EF736" s="12"/>
    </row>
    <row r="737" spans="8:136" ht="10.199999999999999" x14ac:dyDescent="0.2">
      <c r="H737" s="12"/>
      <c r="V737" s="12"/>
      <c r="AJ737" s="12"/>
      <c r="AX737" s="12"/>
      <c r="BL737" s="12"/>
      <c r="BZ737" s="12"/>
      <c r="CB737" s="12"/>
      <c r="CP737" s="12"/>
      <c r="DD737" s="12"/>
      <c r="DR737" s="12"/>
      <c r="EF737" s="12"/>
    </row>
    <row r="738" spans="8:136" ht="10.199999999999999" x14ac:dyDescent="0.2">
      <c r="H738" s="12"/>
      <c r="V738" s="12"/>
      <c r="AJ738" s="12"/>
      <c r="AX738" s="12"/>
      <c r="BL738" s="12"/>
      <c r="BZ738" s="12"/>
      <c r="CB738" s="12"/>
      <c r="CP738" s="12"/>
      <c r="DD738" s="12"/>
      <c r="DR738" s="12"/>
      <c r="EF738" s="12"/>
    </row>
    <row r="739" spans="8:136" ht="10.199999999999999" x14ac:dyDescent="0.2">
      <c r="H739" s="12"/>
      <c r="V739" s="12"/>
      <c r="AJ739" s="12"/>
      <c r="AX739" s="12"/>
      <c r="BL739" s="12"/>
      <c r="BZ739" s="12"/>
      <c r="CB739" s="12"/>
      <c r="CP739" s="12"/>
      <c r="DD739" s="12"/>
      <c r="DR739" s="12"/>
      <c r="EF739" s="12"/>
    </row>
    <row r="740" spans="8:136" ht="10.199999999999999" x14ac:dyDescent="0.2">
      <c r="H740" s="12"/>
      <c r="V740" s="12"/>
      <c r="AJ740" s="12"/>
      <c r="AX740" s="12"/>
      <c r="BL740" s="12"/>
      <c r="BZ740" s="12"/>
      <c r="CB740" s="12"/>
      <c r="CP740" s="12"/>
      <c r="DD740" s="12"/>
      <c r="DR740" s="12"/>
      <c r="EF740" s="12"/>
    </row>
    <row r="741" spans="8:136" ht="10.199999999999999" x14ac:dyDescent="0.2">
      <c r="H741" s="12"/>
      <c r="V741" s="12"/>
      <c r="AJ741" s="12"/>
      <c r="AX741" s="12"/>
      <c r="BL741" s="12"/>
      <c r="BZ741" s="12"/>
      <c r="CB741" s="12"/>
      <c r="CP741" s="12"/>
      <c r="DD741" s="12"/>
      <c r="DR741" s="12"/>
      <c r="EF741" s="12"/>
    </row>
    <row r="742" spans="8:136" ht="10.199999999999999" x14ac:dyDescent="0.2">
      <c r="H742" s="12"/>
      <c r="V742" s="12"/>
      <c r="AJ742" s="12"/>
      <c r="AX742" s="12"/>
      <c r="BL742" s="12"/>
      <c r="BZ742" s="12"/>
      <c r="CB742" s="12"/>
      <c r="CP742" s="12"/>
      <c r="DD742" s="12"/>
      <c r="DR742" s="12"/>
      <c r="EF742" s="12"/>
    </row>
    <row r="743" spans="8:136" ht="10.199999999999999" x14ac:dyDescent="0.2">
      <c r="H743" s="12"/>
      <c r="V743" s="12"/>
      <c r="AJ743" s="12"/>
      <c r="AX743" s="12"/>
      <c r="BL743" s="12"/>
      <c r="BZ743" s="12"/>
      <c r="CB743" s="12"/>
      <c r="CP743" s="12"/>
      <c r="DD743" s="12"/>
      <c r="DR743" s="12"/>
      <c r="EF743" s="12"/>
    </row>
    <row r="744" spans="8:136" ht="10.199999999999999" x14ac:dyDescent="0.2">
      <c r="H744" s="12"/>
      <c r="V744" s="12"/>
      <c r="AJ744" s="12"/>
      <c r="AX744" s="12"/>
      <c r="BL744" s="12"/>
      <c r="BZ744" s="12"/>
      <c r="CB744" s="12"/>
      <c r="CP744" s="12"/>
      <c r="DD744" s="12"/>
      <c r="DR744" s="12"/>
      <c r="EF744" s="12"/>
    </row>
    <row r="745" spans="8:136" ht="10.199999999999999" x14ac:dyDescent="0.2">
      <c r="H745" s="12"/>
      <c r="V745" s="12"/>
      <c r="AJ745" s="12"/>
      <c r="AX745" s="12"/>
      <c r="BL745" s="12"/>
      <c r="BZ745" s="12"/>
      <c r="CB745" s="12"/>
      <c r="CP745" s="12"/>
      <c r="DD745" s="12"/>
      <c r="DR745" s="12"/>
      <c r="EF745" s="12"/>
    </row>
    <row r="746" spans="8:136" ht="10.199999999999999" x14ac:dyDescent="0.2">
      <c r="H746" s="12"/>
      <c r="V746" s="12"/>
      <c r="AJ746" s="12"/>
      <c r="AX746" s="12"/>
      <c r="BL746" s="12"/>
      <c r="BZ746" s="12"/>
      <c r="CB746" s="12"/>
      <c r="CP746" s="12"/>
      <c r="DD746" s="12"/>
      <c r="DR746" s="12"/>
      <c r="EF746" s="12"/>
    </row>
    <row r="747" spans="8:136" ht="10.199999999999999" x14ac:dyDescent="0.2">
      <c r="H747" s="12"/>
      <c r="V747" s="12"/>
      <c r="AJ747" s="12"/>
      <c r="AX747" s="12"/>
      <c r="BL747" s="12"/>
      <c r="BZ747" s="12"/>
      <c r="CB747" s="12"/>
      <c r="CP747" s="12"/>
      <c r="DD747" s="12"/>
      <c r="DR747" s="12"/>
      <c r="EF747" s="12"/>
    </row>
    <row r="748" spans="8:136" ht="10.199999999999999" x14ac:dyDescent="0.2">
      <c r="H748" s="12"/>
      <c r="V748" s="12"/>
      <c r="AJ748" s="12"/>
      <c r="AX748" s="12"/>
      <c r="BL748" s="12"/>
      <c r="BZ748" s="12"/>
      <c r="CB748" s="12"/>
      <c r="CP748" s="12"/>
      <c r="DD748" s="12"/>
      <c r="DR748" s="12"/>
      <c r="EF748" s="12"/>
    </row>
    <row r="749" spans="8:136" ht="10.199999999999999" x14ac:dyDescent="0.2">
      <c r="H749" s="12"/>
      <c r="V749" s="12"/>
      <c r="AJ749" s="12"/>
      <c r="AX749" s="12"/>
      <c r="BL749" s="12"/>
      <c r="BZ749" s="12"/>
      <c r="CB749" s="12"/>
      <c r="CP749" s="12"/>
      <c r="DD749" s="12"/>
      <c r="DR749" s="12"/>
      <c r="EF749" s="12"/>
    </row>
    <row r="750" spans="8:136" ht="10.199999999999999" x14ac:dyDescent="0.2">
      <c r="H750" s="12"/>
      <c r="V750" s="12"/>
      <c r="AJ750" s="12"/>
      <c r="AX750" s="12"/>
      <c r="BL750" s="12"/>
      <c r="BZ750" s="12"/>
      <c r="CB750" s="12"/>
      <c r="CP750" s="12"/>
      <c r="DD750" s="12"/>
      <c r="DR750" s="12"/>
      <c r="EF750" s="12"/>
    </row>
    <row r="751" spans="8:136" ht="10.199999999999999" x14ac:dyDescent="0.2">
      <c r="H751" s="12"/>
      <c r="V751" s="12"/>
      <c r="AJ751" s="12"/>
      <c r="AX751" s="12"/>
      <c r="BL751" s="12"/>
      <c r="BZ751" s="12"/>
      <c r="CB751" s="12"/>
      <c r="CP751" s="12"/>
      <c r="DD751" s="12"/>
      <c r="DR751" s="12"/>
      <c r="EF751" s="12"/>
    </row>
    <row r="752" spans="8:136" ht="10.199999999999999" x14ac:dyDescent="0.2">
      <c r="H752" s="12"/>
      <c r="V752" s="12"/>
      <c r="AJ752" s="12"/>
      <c r="AX752" s="12"/>
      <c r="BL752" s="12"/>
      <c r="BZ752" s="12"/>
      <c r="CB752" s="12"/>
      <c r="CP752" s="12"/>
      <c r="DD752" s="12"/>
      <c r="DR752" s="12"/>
      <c r="EF752" s="12"/>
    </row>
    <row r="753" spans="8:136" ht="10.199999999999999" x14ac:dyDescent="0.2">
      <c r="H753" s="12"/>
      <c r="V753" s="12"/>
      <c r="AJ753" s="12"/>
      <c r="AX753" s="12"/>
      <c r="BL753" s="12"/>
      <c r="BZ753" s="12"/>
      <c r="CB753" s="12"/>
      <c r="CP753" s="12"/>
      <c r="DD753" s="12"/>
      <c r="DR753" s="12"/>
      <c r="EF753" s="12"/>
    </row>
    <row r="754" spans="8:136" ht="10.199999999999999" x14ac:dyDescent="0.2">
      <c r="H754" s="12"/>
      <c r="V754" s="12"/>
      <c r="AJ754" s="12"/>
      <c r="AX754" s="12"/>
      <c r="BL754" s="12"/>
      <c r="BZ754" s="12"/>
      <c r="CB754" s="12"/>
      <c r="CP754" s="12"/>
      <c r="DD754" s="12"/>
      <c r="DR754" s="12"/>
      <c r="EF754" s="12"/>
    </row>
    <row r="755" spans="8:136" ht="10.199999999999999" x14ac:dyDescent="0.2">
      <c r="H755" s="12"/>
      <c r="V755" s="12"/>
      <c r="AJ755" s="12"/>
      <c r="AX755" s="12"/>
      <c r="BL755" s="12"/>
      <c r="BZ755" s="12"/>
      <c r="CB755" s="12"/>
      <c r="CP755" s="12"/>
      <c r="DD755" s="12"/>
      <c r="DR755" s="12"/>
      <c r="EF755" s="12"/>
    </row>
    <row r="756" spans="8:136" ht="10.199999999999999" x14ac:dyDescent="0.2">
      <c r="H756" s="12"/>
      <c r="V756" s="12"/>
      <c r="AJ756" s="12"/>
      <c r="AX756" s="12"/>
      <c r="BL756" s="12"/>
      <c r="BZ756" s="12"/>
      <c r="CB756" s="12"/>
      <c r="CP756" s="12"/>
      <c r="DD756" s="12"/>
      <c r="DR756" s="12"/>
      <c r="EF756" s="12"/>
    </row>
    <row r="757" spans="8:136" ht="10.199999999999999" x14ac:dyDescent="0.2">
      <c r="H757" s="12"/>
      <c r="V757" s="12"/>
      <c r="AJ757" s="12"/>
      <c r="AX757" s="12"/>
      <c r="BL757" s="12"/>
      <c r="BZ757" s="12"/>
      <c r="CB757" s="12"/>
      <c r="CP757" s="12"/>
      <c r="DD757" s="12"/>
      <c r="DR757" s="12"/>
      <c r="EF757" s="12"/>
    </row>
    <row r="758" spans="8:136" ht="10.199999999999999" x14ac:dyDescent="0.2">
      <c r="H758" s="12"/>
      <c r="V758" s="12"/>
      <c r="AJ758" s="12"/>
      <c r="AX758" s="12"/>
      <c r="BL758" s="12"/>
      <c r="BZ758" s="12"/>
      <c r="CB758" s="12"/>
      <c r="CP758" s="12"/>
      <c r="DD758" s="12"/>
      <c r="DR758" s="12"/>
      <c r="EF758" s="12"/>
    </row>
    <row r="759" spans="8:136" ht="10.199999999999999" x14ac:dyDescent="0.2">
      <c r="H759" s="12"/>
      <c r="V759" s="12"/>
      <c r="AJ759" s="12"/>
      <c r="AX759" s="12"/>
      <c r="BL759" s="12"/>
      <c r="BZ759" s="12"/>
      <c r="CB759" s="12"/>
      <c r="CP759" s="12"/>
      <c r="DD759" s="12"/>
      <c r="DR759" s="12"/>
      <c r="EF759" s="12"/>
    </row>
    <row r="760" spans="8:136" ht="10.199999999999999" x14ac:dyDescent="0.2">
      <c r="H760" s="12"/>
      <c r="V760" s="12"/>
      <c r="AJ760" s="12"/>
      <c r="AX760" s="12"/>
      <c r="BL760" s="12"/>
      <c r="BZ760" s="12"/>
      <c r="CB760" s="12"/>
      <c r="CP760" s="12"/>
      <c r="DD760" s="12"/>
      <c r="DR760" s="12"/>
      <c r="EF760" s="12"/>
    </row>
    <row r="761" spans="8:136" ht="10.199999999999999" x14ac:dyDescent="0.2">
      <c r="H761" s="12"/>
      <c r="V761" s="12"/>
      <c r="AJ761" s="12"/>
      <c r="AX761" s="12"/>
      <c r="BL761" s="12"/>
      <c r="BZ761" s="12"/>
      <c r="CB761" s="12"/>
      <c r="CP761" s="12"/>
      <c r="DD761" s="12"/>
      <c r="DR761" s="12"/>
      <c r="EF761" s="12"/>
    </row>
    <row r="762" spans="8:136" ht="10.199999999999999" x14ac:dyDescent="0.2">
      <c r="H762" s="12"/>
      <c r="V762" s="12"/>
      <c r="AJ762" s="12"/>
      <c r="AX762" s="12"/>
      <c r="BL762" s="12"/>
      <c r="BZ762" s="12"/>
      <c r="CB762" s="12"/>
      <c r="CP762" s="12"/>
      <c r="DD762" s="12"/>
      <c r="DR762" s="12"/>
      <c r="EF762" s="12"/>
    </row>
    <row r="763" spans="8:136" ht="10.199999999999999" x14ac:dyDescent="0.2">
      <c r="H763" s="12"/>
      <c r="V763" s="12"/>
      <c r="AJ763" s="12"/>
      <c r="AX763" s="12"/>
      <c r="BL763" s="12"/>
      <c r="BZ763" s="12"/>
      <c r="CB763" s="12"/>
      <c r="CP763" s="12"/>
      <c r="DD763" s="12"/>
      <c r="DR763" s="12"/>
      <c r="EF763" s="12"/>
    </row>
    <row r="764" spans="8:136" ht="10.199999999999999" x14ac:dyDescent="0.2">
      <c r="H764" s="12"/>
      <c r="V764" s="12"/>
      <c r="AJ764" s="12"/>
      <c r="AX764" s="12"/>
      <c r="BL764" s="12"/>
      <c r="BZ764" s="12"/>
      <c r="CB764" s="12"/>
      <c r="CP764" s="12"/>
      <c r="DD764" s="12"/>
      <c r="DR764" s="12"/>
      <c r="EF764" s="12"/>
    </row>
    <row r="765" spans="8:136" ht="10.199999999999999" x14ac:dyDescent="0.2">
      <c r="H765" s="12"/>
      <c r="V765" s="12"/>
      <c r="AJ765" s="12"/>
      <c r="AX765" s="12"/>
      <c r="BL765" s="12"/>
      <c r="BZ765" s="12"/>
      <c r="CB765" s="12"/>
      <c r="CP765" s="12"/>
      <c r="DD765" s="12"/>
      <c r="DR765" s="12"/>
      <c r="EF765" s="12"/>
    </row>
    <row r="766" spans="8:136" ht="10.199999999999999" x14ac:dyDescent="0.2">
      <c r="H766" s="12"/>
      <c r="V766" s="12"/>
      <c r="AJ766" s="12"/>
      <c r="AX766" s="12"/>
      <c r="BL766" s="12"/>
      <c r="BZ766" s="12"/>
      <c r="CB766" s="12"/>
      <c r="CP766" s="12"/>
      <c r="DD766" s="12"/>
      <c r="DR766" s="12"/>
      <c r="EF766" s="12"/>
    </row>
    <row r="767" spans="8:136" ht="10.199999999999999" x14ac:dyDescent="0.2">
      <c r="H767" s="12"/>
      <c r="V767" s="12"/>
      <c r="AJ767" s="12"/>
      <c r="AX767" s="12"/>
      <c r="BL767" s="12"/>
      <c r="BZ767" s="12"/>
      <c r="CB767" s="12"/>
      <c r="CP767" s="12"/>
      <c r="DD767" s="12"/>
      <c r="DR767" s="12"/>
      <c r="EF767" s="12"/>
    </row>
    <row r="768" spans="8:136" ht="10.199999999999999" x14ac:dyDescent="0.2">
      <c r="H768" s="12"/>
      <c r="V768" s="12"/>
      <c r="AJ768" s="12"/>
      <c r="AX768" s="12"/>
      <c r="BL768" s="12"/>
      <c r="BZ768" s="12"/>
      <c r="CB768" s="12"/>
      <c r="CP768" s="12"/>
      <c r="DD768" s="12"/>
      <c r="DR768" s="12"/>
      <c r="EF768" s="12"/>
    </row>
    <row r="769" spans="8:136" ht="10.199999999999999" x14ac:dyDescent="0.2">
      <c r="H769" s="12"/>
      <c r="V769" s="12"/>
      <c r="AJ769" s="12"/>
      <c r="AX769" s="12"/>
      <c r="BL769" s="12"/>
      <c r="BZ769" s="12"/>
      <c r="CB769" s="12"/>
      <c r="CP769" s="12"/>
      <c r="DD769" s="12"/>
      <c r="DR769" s="12"/>
      <c r="EF769" s="12"/>
    </row>
    <row r="770" spans="8:136" ht="10.199999999999999" x14ac:dyDescent="0.2">
      <c r="H770" s="12"/>
      <c r="V770" s="12"/>
      <c r="AJ770" s="12"/>
      <c r="AX770" s="12"/>
      <c r="BL770" s="12"/>
      <c r="BZ770" s="12"/>
      <c r="CB770" s="12"/>
      <c r="CP770" s="12"/>
      <c r="DD770" s="12"/>
      <c r="DR770" s="12"/>
      <c r="EF770" s="12"/>
    </row>
    <row r="771" spans="8:136" ht="10.199999999999999" x14ac:dyDescent="0.2">
      <c r="H771" s="12"/>
      <c r="V771" s="12"/>
      <c r="AJ771" s="12"/>
      <c r="AX771" s="12"/>
      <c r="BL771" s="12"/>
      <c r="BZ771" s="12"/>
      <c r="CB771" s="12"/>
      <c r="CP771" s="12"/>
      <c r="DD771" s="12"/>
      <c r="DR771" s="12"/>
      <c r="EF771" s="12"/>
    </row>
    <row r="772" spans="8:136" ht="10.199999999999999" x14ac:dyDescent="0.2">
      <c r="H772" s="12"/>
      <c r="V772" s="12"/>
      <c r="AJ772" s="12"/>
      <c r="AX772" s="12"/>
      <c r="BL772" s="12"/>
      <c r="BZ772" s="12"/>
      <c r="CB772" s="12"/>
      <c r="CP772" s="12"/>
      <c r="DD772" s="12"/>
      <c r="DR772" s="12"/>
      <c r="EF772" s="12"/>
    </row>
    <row r="773" spans="8:136" ht="10.199999999999999" x14ac:dyDescent="0.2">
      <c r="H773" s="12"/>
      <c r="V773" s="12"/>
      <c r="AJ773" s="12"/>
      <c r="AX773" s="12"/>
      <c r="BL773" s="12"/>
      <c r="BZ773" s="12"/>
      <c r="CB773" s="12"/>
      <c r="CP773" s="12"/>
      <c r="DD773" s="12"/>
      <c r="DR773" s="12"/>
      <c r="EF773" s="12"/>
    </row>
    <row r="774" spans="8:136" ht="10.199999999999999" x14ac:dyDescent="0.2">
      <c r="H774" s="12"/>
      <c r="V774" s="12"/>
      <c r="AJ774" s="12"/>
      <c r="AX774" s="12"/>
      <c r="BL774" s="12"/>
      <c r="BZ774" s="12"/>
      <c r="CB774" s="12"/>
      <c r="CP774" s="12"/>
      <c r="DD774" s="12"/>
      <c r="DR774" s="12"/>
      <c r="EF774" s="12"/>
    </row>
    <row r="775" spans="8:136" ht="10.199999999999999" x14ac:dyDescent="0.2">
      <c r="H775" s="12"/>
      <c r="V775" s="12"/>
      <c r="AJ775" s="12"/>
      <c r="AX775" s="12"/>
      <c r="BL775" s="12"/>
      <c r="BZ775" s="12"/>
      <c r="CB775" s="12"/>
      <c r="CP775" s="12"/>
      <c r="DD775" s="12"/>
      <c r="DR775" s="12"/>
      <c r="EF775" s="12"/>
    </row>
    <row r="776" spans="8:136" ht="10.199999999999999" x14ac:dyDescent="0.2">
      <c r="H776" s="12"/>
      <c r="V776" s="12"/>
      <c r="AJ776" s="12"/>
      <c r="AX776" s="12"/>
      <c r="BL776" s="12"/>
      <c r="BZ776" s="12"/>
      <c r="CB776" s="12"/>
      <c r="CP776" s="12"/>
      <c r="DD776" s="12"/>
      <c r="DR776" s="12"/>
      <c r="EF776" s="12"/>
    </row>
    <row r="777" spans="8:136" ht="10.199999999999999" x14ac:dyDescent="0.2">
      <c r="H777" s="12"/>
      <c r="V777" s="12"/>
      <c r="AJ777" s="12"/>
      <c r="AX777" s="12"/>
      <c r="BL777" s="12"/>
      <c r="BZ777" s="12"/>
      <c r="CB777" s="12"/>
      <c r="CP777" s="12"/>
      <c r="DD777" s="12"/>
      <c r="DR777" s="12"/>
      <c r="EF777" s="12"/>
    </row>
    <row r="778" spans="8:136" ht="10.199999999999999" x14ac:dyDescent="0.2">
      <c r="H778" s="12"/>
      <c r="V778" s="12"/>
      <c r="AJ778" s="12"/>
      <c r="AX778" s="12"/>
      <c r="BL778" s="12"/>
      <c r="BZ778" s="12"/>
      <c r="CB778" s="12"/>
      <c r="CP778" s="12"/>
      <c r="DD778" s="12"/>
      <c r="DR778" s="12"/>
      <c r="EF778" s="12"/>
    </row>
    <row r="779" spans="8:136" ht="10.199999999999999" x14ac:dyDescent="0.2">
      <c r="H779" s="12"/>
      <c r="V779" s="12"/>
      <c r="AJ779" s="12"/>
      <c r="AX779" s="12"/>
      <c r="BL779" s="12"/>
      <c r="BZ779" s="12"/>
      <c r="CB779" s="12"/>
      <c r="CP779" s="12"/>
      <c r="DD779" s="12"/>
      <c r="DR779" s="12"/>
      <c r="EF779" s="12"/>
    </row>
    <row r="780" spans="8:136" ht="10.199999999999999" x14ac:dyDescent="0.2">
      <c r="H780" s="12"/>
      <c r="V780" s="12"/>
      <c r="AJ780" s="12"/>
      <c r="AX780" s="12"/>
      <c r="BL780" s="12"/>
      <c r="BZ780" s="12"/>
      <c r="CB780" s="12"/>
      <c r="CP780" s="12"/>
      <c r="DD780" s="12"/>
      <c r="DR780" s="12"/>
      <c r="EF780" s="12"/>
    </row>
    <row r="781" spans="8:136" ht="10.199999999999999" x14ac:dyDescent="0.2">
      <c r="H781" s="12"/>
      <c r="V781" s="12"/>
      <c r="AJ781" s="12"/>
      <c r="AX781" s="12"/>
      <c r="BL781" s="12"/>
      <c r="BZ781" s="12"/>
      <c r="CB781" s="12"/>
      <c r="CP781" s="12"/>
      <c r="DD781" s="12"/>
      <c r="DR781" s="12"/>
      <c r="EF781" s="12"/>
    </row>
    <row r="782" spans="8:136" ht="10.199999999999999" x14ac:dyDescent="0.2">
      <c r="H782" s="12"/>
      <c r="V782" s="12"/>
      <c r="AJ782" s="12"/>
      <c r="AX782" s="12"/>
      <c r="BL782" s="12"/>
      <c r="BZ782" s="12"/>
      <c r="CB782" s="12"/>
      <c r="CP782" s="12"/>
      <c r="DD782" s="12"/>
      <c r="DR782" s="12"/>
      <c r="EF782" s="12"/>
    </row>
    <row r="783" spans="8:136" ht="10.199999999999999" x14ac:dyDescent="0.2">
      <c r="H783" s="12"/>
      <c r="V783" s="12"/>
      <c r="AJ783" s="12"/>
      <c r="AX783" s="12"/>
      <c r="BL783" s="12"/>
      <c r="BZ783" s="12"/>
      <c r="CB783" s="12"/>
      <c r="CP783" s="12"/>
      <c r="DD783" s="12"/>
      <c r="DR783" s="12"/>
      <c r="EF783" s="12"/>
    </row>
    <row r="784" spans="8:136" ht="10.199999999999999" x14ac:dyDescent="0.2">
      <c r="H784" s="12"/>
      <c r="V784" s="12"/>
      <c r="AJ784" s="12"/>
      <c r="AX784" s="12"/>
      <c r="BL784" s="12"/>
      <c r="BZ784" s="12"/>
      <c r="CB784" s="12"/>
      <c r="CP784" s="12"/>
      <c r="DD784" s="12"/>
      <c r="DR784" s="12"/>
      <c r="EF784" s="12"/>
    </row>
    <row r="785" spans="8:136" ht="10.199999999999999" x14ac:dyDescent="0.2">
      <c r="H785" s="12"/>
      <c r="V785" s="12"/>
      <c r="AJ785" s="12"/>
      <c r="AX785" s="12"/>
      <c r="BL785" s="12"/>
      <c r="BZ785" s="12"/>
      <c r="CB785" s="12"/>
      <c r="CP785" s="12"/>
      <c r="DD785" s="12"/>
      <c r="DR785" s="12"/>
      <c r="EF785" s="12"/>
    </row>
    <row r="786" spans="8:136" ht="10.199999999999999" x14ac:dyDescent="0.2">
      <c r="H786" s="12"/>
      <c r="V786" s="12"/>
      <c r="AJ786" s="12"/>
      <c r="AX786" s="12"/>
      <c r="BL786" s="12"/>
      <c r="BZ786" s="12"/>
      <c r="CB786" s="12"/>
      <c r="CP786" s="12"/>
      <c r="DD786" s="12"/>
      <c r="DR786" s="12"/>
      <c r="EF786" s="12"/>
    </row>
    <row r="787" spans="8:136" ht="10.199999999999999" x14ac:dyDescent="0.2">
      <c r="H787" s="12"/>
      <c r="V787" s="12"/>
      <c r="AJ787" s="12"/>
      <c r="AX787" s="12"/>
      <c r="BL787" s="12"/>
      <c r="BZ787" s="12"/>
      <c r="CB787" s="12"/>
      <c r="CP787" s="12"/>
      <c r="DD787" s="12"/>
      <c r="DR787" s="12"/>
      <c r="EF787" s="12"/>
    </row>
    <row r="788" spans="8:136" ht="10.199999999999999" x14ac:dyDescent="0.2">
      <c r="H788" s="12"/>
      <c r="V788" s="12"/>
      <c r="AJ788" s="12"/>
      <c r="AX788" s="12"/>
      <c r="BL788" s="12"/>
      <c r="BZ788" s="12"/>
      <c r="CB788" s="12"/>
      <c r="CP788" s="12"/>
      <c r="DD788" s="12"/>
      <c r="DR788" s="12"/>
      <c r="EF788" s="12"/>
    </row>
    <row r="789" spans="8:136" ht="10.199999999999999" x14ac:dyDescent="0.2">
      <c r="H789" s="12"/>
      <c r="V789" s="12"/>
      <c r="AJ789" s="12"/>
      <c r="AX789" s="12"/>
      <c r="BL789" s="12"/>
      <c r="BZ789" s="12"/>
      <c r="CB789" s="12"/>
      <c r="CP789" s="12"/>
      <c r="DD789" s="12"/>
      <c r="DR789" s="12"/>
      <c r="EF789" s="12"/>
    </row>
    <row r="790" spans="8:136" ht="10.199999999999999" x14ac:dyDescent="0.2">
      <c r="H790" s="12"/>
      <c r="V790" s="12"/>
      <c r="AJ790" s="12"/>
      <c r="AX790" s="12"/>
      <c r="BL790" s="12"/>
      <c r="BZ790" s="12"/>
      <c r="CB790" s="12"/>
      <c r="CP790" s="12"/>
      <c r="DD790" s="12"/>
      <c r="DR790" s="12"/>
      <c r="EF790" s="12"/>
    </row>
    <row r="791" spans="8:136" ht="10.199999999999999" x14ac:dyDescent="0.2">
      <c r="H791" s="12"/>
      <c r="V791" s="12"/>
      <c r="AJ791" s="12"/>
      <c r="AX791" s="12"/>
      <c r="BL791" s="12"/>
      <c r="BZ791" s="12"/>
      <c r="CB791" s="12"/>
      <c r="CP791" s="12"/>
      <c r="DD791" s="12"/>
      <c r="DR791" s="12"/>
      <c r="EF791" s="12"/>
    </row>
    <row r="792" spans="8:136" ht="10.199999999999999" x14ac:dyDescent="0.2">
      <c r="H792" s="12"/>
      <c r="V792" s="12"/>
      <c r="AJ792" s="12"/>
      <c r="AX792" s="12"/>
      <c r="BL792" s="12"/>
      <c r="BZ792" s="12"/>
      <c r="CB792" s="12"/>
      <c r="CP792" s="12"/>
      <c r="DD792" s="12"/>
      <c r="DR792" s="12"/>
      <c r="EF792" s="12"/>
    </row>
    <row r="793" spans="8:136" ht="10.199999999999999" x14ac:dyDescent="0.2">
      <c r="H793" s="12"/>
      <c r="V793" s="12"/>
      <c r="AJ793" s="12"/>
      <c r="AX793" s="12"/>
      <c r="BL793" s="12"/>
      <c r="BZ793" s="12"/>
      <c r="CB793" s="12"/>
      <c r="CP793" s="12"/>
      <c r="DD793" s="12"/>
      <c r="DR793" s="12"/>
      <c r="EF793" s="12"/>
    </row>
    <row r="794" spans="8:136" ht="10.199999999999999" x14ac:dyDescent="0.2">
      <c r="H794" s="12"/>
      <c r="V794" s="12"/>
      <c r="AJ794" s="12"/>
      <c r="AX794" s="12"/>
      <c r="BL794" s="12"/>
      <c r="BZ794" s="12"/>
      <c r="CB794" s="12"/>
      <c r="CP794" s="12"/>
      <c r="DD794" s="12"/>
      <c r="DR794" s="12"/>
      <c r="EF794" s="12"/>
    </row>
    <row r="795" spans="8:136" ht="10.199999999999999" x14ac:dyDescent="0.2">
      <c r="H795" s="12"/>
      <c r="V795" s="12"/>
      <c r="AJ795" s="12"/>
      <c r="AX795" s="12"/>
      <c r="BL795" s="12"/>
      <c r="BZ795" s="12"/>
      <c r="CB795" s="12"/>
      <c r="CP795" s="12"/>
      <c r="DD795" s="12"/>
      <c r="DR795" s="12"/>
      <c r="EF795" s="12"/>
    </row>
    <row r="796" spans="8:136" ht="10.199999999999999" x14ac:dyDescent="0.2">
      <c r="H796" s="12"/>
      <c r="V796" s="12"/>
      <c r="AJ796" s="12"/>
      <c r="AX796" s="12"/>
      <c r="BL796" s="12"/>
      <c r="BZ796" s="12"/>
      <c r="CB796" s="12"/>
      <c r="CP796" s="12"/>
      <c r="DD796" s="12"/>
      <c r="DR796" s="12"/>
      <c r="EF796" s="12"/>
    </row>
    <row r="797" spans="8:136" ht="10.199999999999999" x14ac:dyDescent="0.2">
      <c r="H797" s="12"/>
      <c r="V797" s="12"/>
      <c r="AJ797" s="12"/>
      <c r="AX797" s="12"/>
      <c r="BL797" s="12"/>
      <c r="BZ797" s="12"/>
      <c r="CB797" s="12"/>
      <c r="CP797" s="12"/>
      <c r="DD797" s="12"/>
      <c r="DR797" s="12"/>
      <c r="EF797" s="12"/>
    </row>
    <row r="798" spans="8:136" ht="10.199999999999999" x14ac:dyDescent="0.2">
      <c r="H798" s="12"/>
      <c r="V798" s="12"/>
      <c r="AJ798" s="12"/>
      <c r="AX798" s="12"/>
      <c r="BL798" s="12"/>
      <c r="BZ798" s="12"/>
      <c r="CB798" s="12"/>
      <c r="CP798" s="12"/>
      <c r="DD798" s="12"/>
      <c r="DR798" s="12"/>
      <c r="EF798" s="12"/>
    </row>
    <row r="799" spans="8:136" ht="10.199999999999999" x14ac:dyDescent="0.2">
      <c r="H799" s="12"/>
      <c r="V799" s="12"/>
      <c r="AJ799" s="12"/>
      <c r="AX799" s="12"/>
      <c r="BL799" s="12"/>
      <c r="BZ799" s="12"/>
      <c r="CB799" s="12"/>
      <c r="CP799" s="12"/>
      <c r="DD799" s="12"/>
      <c r="DR799" s="12"/>
      <c r="EF799" s="12"/>
    </row>
    <row r="800" spans="8:136" ht="10.199999999999999" x14ac:dyDescent="0.2">
      <c r="H800" s="12"/>
      <c r="V800" s="12"/>
      <c r="AJ800" s="12"/>
      <c r="AX800" s="12"/>
      <c r="BL800" s="12"/>
      <c r="BZ800" s="12"/>
      <c r="CB800" s="12"/>
      <c r="CP800" s="12"/>
      <c r="DD800" s="12"/>
      <c r="DR800" s="12"/>
      <c r="EF800" s="12"/>
    </row>
    <row r="801" spans="8:136" ht="10.199999999999999" x14ac:dyDescent="0.2">
      <c r="H801" s="12"/>
      <c r="V801" s="12"/>
      <c r="AJ801" s="12"/>
      <c r="AX801" s="12"/>
      <c r="BL801" s="12"/>
      <c r="BZ801" s="12"/>
      <c r="CB801" s="12"/>
      <c r="CP801" s="12"/>
      <c r="DD801" s="12"/>
      <c r="DR801" s="12"/>
      <c r="EF801" s="12"/>
    </row>
    <row r="802" spans="8:136" ht="10.199999999999999" x14ac:dyDescent="0.2">
      <c r="H802" s="12"/>
      <c r="V802" s="12"/>
      <c r="AJ802" s="12"/>
      <c r="AX802" s="12"/>
      <c r="BL802" s="12"/>
      <c r="BZ802" s="12"/>
      <c r="CB802" s="12"/>
      <c r="CP802" s="12"/>
      <c r="DD802" s="12"/>
      <c r="DR802" s="12"/>
      <c r="EF802" s="12"/>
    </row>
    <row r="803" spans="8:136" ht="10.199999999999999" x14ac:dyDescent="0.2">
      <c r="H803" s="12"/>
      <c r="V803" s="12"/>
      <c r="AJ803" s="12"/>
      <c r="AX803" s="12"/>
      <c r="BL803" s="12"/>
      <c r="BZ803" s="12"/>
      <c r="CB803" s="12"/>
      <c r="CP803" s="12"/>
      <c r="DD803" s="12"/>
      <c r="DR803" s="12"/>
      <c r="EF803" s="12"/>
    </row>
    <row r="804" spans="8:136" ht="10.199999999999999" x14ac:dyDescent="0.2">
      <c r="H804" s="12"/>
      <c r="V804" s="12"/>
      <c r="AJ804" s="12"/>
      <c r="AX804" s="12"/>
      <c r="BL804" s="12"/>
      <c r="BZ804" s="12"/>
      <c r="CB804" s="12"/>
      <c r="CP804" s="12"/>
      <c r="DD804" s="12"/>
      <c r="DR804" s="12"/>
      <c r="EF804" s="12"/>
    </row>
    <row r="805" spans="8:136" ht="10.199999999999999" x14ac:dyDescent="0.2">
      <c r="H805" s="12"/>
      <c r="V805" s="12"/>
      <c r="AJ805" s="12"/>
      <c r="AX805" s="12"/>
      <c r="BL805" s="12"/>
      <c r="BZ805" s="12"/>
      <c r="CB805" s="12"/>
      <c r="CP805" s="12"/>
      <c r="DD805" s="12"/>
      <c r="DR805" s="12"/>
      <c r="EF805" s="12"/>
    </row>
    <row r="806" spans="8:136" ht="10.199999999999999" x14ac:dyDescent="0.2">
      <c r="H806" s="12"/>
      <c r="V806" s="12"/>
      <c r="AJ806" s="12"/>
      <c r="AX806" s="12"/>
      <c r="BL806" s="12"/>
      <c r="BZ806" s="12"/>
      <c r="CB806" s="12"/>
      <c r="CP806" s="12"/>
      <c r="DD806" s="12"/>
      <c r="DR806" s="12"/>
      <c r="EF806" s="12"/>
    </row>
    <row r="807" spans="8:136" ht="10.199999999999999" x14ac:dyDescent="0.2">
      <c r="H807" s="12"/>
      <c r="V807" s="12"/>
      <c r="AJ807" s="12"/>
      <c r="AX807" s="12"/>
      <c r="BL807" s="12"/>
      <c r="BZ807" s="12"/>
      <c r="CB807" s="12"/>
      <c r="CP807" s="12"/>
      <c r="DD807" s="12"/>
      <c r="DR807" s="12"/>
      <c r="EF807" s="12"/>
    </row>
    <row r="808" spans="8:136" ht="10.199999999999999" x14ac:dyDescent="0.2">
      <c r="H808" s="12"/>
      <c r="V808" s="12"/>
      <c r="AJ808" s="12"/>
      <c r="AX808" s="12"/>
      <c r="BL808" s="12"/>
      <c r="BZ808" s="12"/>
      <c r="CB808" s="12"/>
      <c r="CP808" s="12"/>
      <c r="DD808" s="12"/>
      <c r="DR808" s="12"/>
      <c r="EF808" s="12"/>
    </row>
    <row r="809" spans="8:136" ht="10.199999999999999" x14ac:dyDescent="0.2">
      <c r="H809" s="12"/>
      <c r="V809" s="12"/>
      <c r="AJ809" s="12"/>
      <c r="AX809" s="12"/>
      <c r="BL809" s="12"/>
      <c r="BZ809" s="12"/>
      <c r="CB809" s="12"/>
      <c r="CP809" s="12"/>
      <c r="DD809" s="12"/>
      <c r="DR809" s="12"/>
      <c r="EF809" s="12"/>
    </row>
    <row r="810" spans="8:136" ht="10.199999999999999" x14ac:dyDescent="0.2">
      <c r="H810" s="12"/>
      <c r="V810" s="12"/>
      <c r="AJ810" s="12"/>
      <c r="AX810" s="12"/>
      <c r="BL810" s="12"/>
      <c r="BZ810" s="12"/>
      <c r="CB810" s="12"/>
      <c r="CP810" s="12"/>
      <c r="DD810" s="12"/>
      <c r="DR810" s="12"/>
      <c r="EF810" s="12"/>
    </row>
    <row r="811" spans="8:136" ht="10.199999999999999" x14ac:dyDescent="0.2">
      <c r="H811" s="12"/>
      <c r="V811" s="12"/>
      <c r="AJ811" s="12"/>
      <c r="AX811" s="12"/>
      <c r="BL811" s="12"/>
      <c r="BZ811" s="12"/>
      <c r="CB811" s="12"/>
      <c r="CP811" s="12"/>
      <c r="DD811" s="12"/>
      <c r="DR811" s="12"/>
      <c r="EF811" s="12"/>
    </row>
    <row r="812" spans="8:136" ht="10.199999999999999" x14ac:dyDescent="0.2">
      <c r="H812" s="12"/>
      <c r="V812" s="12"/>
      <c r="AJ812" s="12"/>
      <c r="AX812" s="12"/>
      <c r="BL812" s="12"/>
      <c r="BZ812" s="12"/>
      <c r="CB812" s="12"/>
      <c r="CP812" s="12"/>
      <c r="DD812" s="12"/>
      <c r="DR812" s="12"/>
      <c r="EF812" s="12"/>
    </row>
    <row r="813" spans="8:136" ht="10.199999999999999" x14ac:dyDescent="0.2">
      <c r="H813" s="12"/>
      <c r="V813" s="12"/>
      <c r="AJ813" s="12"/>
      <c r="AX813" s="12"/>
      <c r="BL813" s="12"/>
      <c r="BZ813" s="12"/>
      <c r="CB813" s="12"/>
      <c r="CP813" s="12"/>
      <c r="DD813" s="12"/>
      <c r="DR813" s="12"/>
      <c r="EF813" s="12"/>
    </row>
    <row r="814" spans="8:136" ht="10.199999999999999" x14ac:dyDescent="0.2">
      <c r="H814" s="12"/>
      <c r="V814" s="12"/>
      <c r="AJ814" s="12"/>
      <c r="AX814" s="12"/>
      <c r="BL814" s="12"/>
      <c r="BZ814" s="12"/>
      <c r="CB814" s="12"/>
      <c r="CP814" s="12"/>
      <c r="DD814" s="12"/>
      <c r="DR814" s="12"/>
      <c r="EF814" s="12"/>
    </row>
    <row r="815" spans="8:136" ht="10.199999999999999" x14ac:dyDescent="0.2">
      <c r="H815" s="12"/>
      <c r="V815" s="12"/>
      <c r="AJ815" s="12"/>
      <c r="AX815" s="12"/>
      <c r="BL815" s="12"/>
      <c r="BZ815" s="12"/>
      <c r="CB815" s="12"/>
      <c r="CP815" s="12"/>
      <c r="DD815" s="12"/>
      <c r="DR815" s="12"/>
      <c r="EF815" s="12"/>
    </row>
    <row r="816" spans="8:136" ht="10.199999999999999" x14ac:dyDescent="0.2">
      <c r="H816" s="12"/>
      <c r="V816" s="12"/>
      <c r="AJ816" s="12"/>
      <c r="AX816" s="12"/>
      <c r="BL816" s="12"/>
      <c r="BZ816" s="12"/>
      <c r="CB816" s="12"/>
      <c r="CP816" s="12"/>
      <c r="DD816" s="12"/>
      <c r="DR816" s="12"/>
      <c r="EF816" s="12"/>
    </row>
    <row r="817" spans="8:136" ht="10.199999999999999" x14ac:dyDescent="0.2">
      <c r="H817" s="12"/>
      <c r="V817" s="12"/>
      <c r="AJ817" s="12"/>
      <c r="AX817" s="12"/>
      <c r="BL817" s="12"/>
      <c r="BZ817" s="12"/>
      <c r="CB817" s="12"/>
      <c r="CP817" s="12"/>
      <c r="DD817" s="12"/>
      <c r="DR817" s="12"/>
      <c r="EF817" s="12"/>
    </row>
    <row r="818" spans="8:136" ht="10.199999999999999" x14ac:dyDescent="0.2">
      <c r="H818" s="12"/>
      <c r="V818" s="12"/>
      <c r="AJ818" s="12"/>
      <c r="AX818" s="12"/>
      <c r="BL818" s="12"/>
      <c r="BZ818" s="12"/>
      <c r="CB818" s="12"/>
      <c r="CP818" s="12"/>
      <c r="DD818" s="12"/>
      <c r="DR818" s="12"/>
      <c r="EF818" s="12"/>
    </row>
    <row r="819" spans="8:136" ht="10.199999999999999" x14ac:dyDescent="0.2">
      <c r="H819" s="12"/>
      <c r="V819" s="12"/>
      <c r="AJ819" s="12"/>
      <c r="AX819" s="12"/>
      <c r="BL819" s="12"/>
      <c r="BZ819" s="12"/>
      <c r="CB819" s="12"/>
      <c r="CP819" s="12"/>
      <c r="DD819" s="12"/>
      <c r="DR819" s="12"/>
      <c r="EF819" s="12"/>
    </row>
    <row r="820" spans="8:136" ht="10.199999999999999" x14ac:dyDescent="0.2">
      <c r="H820" s="12"/>
      <c r="V820" s="12"/>
      <c r="AJ820" s="12"/>
      <c r="AX820" s="12"/>
      <c r="BL820" s="12"/>
      <c r="BZ820" s="12"/>
      <c r="CB820" s="12"/>
      <c r="CP820" s="12"/>
      <c r="DD820" s="12"/>
      <c r="DR820" s="12"/>
      <c r="EF820" s="12"/>
    </row>
    <row r="821" spans="8:136" ht="10.199999999999999" x14ac:dyDescent="0.2">
      <c r="H821" s="12"/>
      <c r="V821" s="12"/>
      <c r="AJ821" s="12"/>
      <c r="AX821" s="12"/>
      <c r="BL821" s="12"/>
      <c r="BZ821" s="12"/>
      <c r="CB821" s="12"/>
      <c r="CP821" s="12"/>
      <c r="DD821" s="12"/>
      <c r="DR821" s="12"/>
      <c r="EF821" s="12"/>
    </row>
    <row r="822" spans="8:136" ht="10.199999999999999" x14ac:dyDescent="0.2">
      <c r="H822" s="12"/>
      <c r="V822" s="12"/>
      <c r="AJ822" s="12"/>
      <c r="AX822" s="12"/>
      <c r="BL822" s="12"/>
      <c r="BZ822" s="12"/>
      <c r="CB822" s="12"/>
      <c r="CP822" s="12"/>
      <c r="DD822" s="12"/>
      <c r="DR822" s="12"/>
      <c r="EF822" s="12"/>
    </row>
    <row r="823" spans="8:136" ht="10.199999999999999" x14ac:dyDescent="0.2">
      <c r="H823" s="12"/>
      <c r="V823" s="12"/>
      <c r="AJ823" s="12"/>
      <c r="AX823" s="12"/>
      <c r="BL823" s="12"/>
      <c r="BZ823" s="12"/>
      <c r="CB823" s="12"/>
      <c r="CP823" s="12"/>
      <c r="DD823" s="12"/>
      <c r="DR823" s="12"/>
      <c r="EF823" s="12"/>
    </row>
    <row r="824" spans="8:136" ht="10.199999999999999" x14ac:dyDescent="0.2">
      <c r="H824" s="12"/>
      <c r="V824" s="12"/>
      <c r="AJ824" s="12"/>
      <c r="AX824" s="12"/>
      <c r="BL824" s="12"/>
      <c r="BZ824" s="12"/>
      <c r="CB824" s="12"/>
      <c r="CP824" s="12"/>
      <c r="DD824" s="12"/>
      <c r="DR824" s="12"/>
      <c r="EF824" s="12"/>
    </row>
    <row r="825" spans="8:136" ht="10.199999999999999" x14ac:dyDescent="0.2">
      <c r="H825" s="12"/>
      <c r="V825" s="12"/>
      <c r="AJ825" s="12"/>
      <c r="AX825" s="12"/>
      <c r="BL825" s="12"/>
      <c r="BZ825" s="12"/>
      <c r="CB825" s="12"/>
      <c r="CP825" s="12"/>
      <c r="DD825" s="12"/>
      <c r="DR825" s="12"/>
      <c r="EF825" s="12"/>
    </row>
    <row r="826" spans="8:136" ht="10.199999999999999" x14ac:dyDescent="0.2">
      <c r="H826" s="12"/>
      <c r="V826" s="12"/>
      <c r="AJ826" s="12"/>
      <c r="AX826" s="12"/>
      <c r="BL826" s="12"/>
      <c r="BZ826" s="12"/>
      <c r="CB826" s="12"/>
      <c r="CP826" s="12"/>
      <c r="DD826" s="12"/>
      <c r="DR826" s="12"/>
      <c r="EF826" s="12"/>
    </row>
    <row r="827" spans="8:136" ht="10.199999999999999" x14ac:dyDescent="0.2">
      <c r="H827" s="12"/>
      <c r="V827" s="12"/>
      <c r="AJ827" s="12"/>
      <c r="AX827" s="12"/>
      <c r="BL827" s="12"/>
      <c r="BZ827" s="12"/>
      <c r="CB827" s="12"/>
      <c r="CP827" s="12"/>
      <c r="DD827" s="12"/>
      <c r="DR827" s="12"/>
      <c r="EF827" s="12"/>
    </row>
    <row r="828" spans="8:136" ht="10.199999999999999" x14ac:dyDescent="0.2">
      <c r="H828" s="12"/>
      <c r="V828" s="12"/>
      <c r="AJ828" s="12"/>
      <c r="AX828" s="12"/>
      <c r="BL828" s="12"/>
      <c r="BZ828" s="12"/>
      <c r="CB828" s="12"/>
      <c r="CP828" s="12"/>
      <c r="DD828" s="12"/>
      <c r="DR828" s="12"/>
      <c r="EF828" s="12"/>
    </row>
    <row r="829" spans="8:136" ht="10.199999999999999" x14ac:dyDescent="0.2">
      <c r="H829" s="12"/>
      <c r="V829" s="12"/>
      <c r="AJ829" s="12"/>
      <c r="AX829" s="12"/>
      <c r="BL829" s="12"/>
      <c r="BZ829" s="12"/>
      <c r="CB829" s="12"/>
      <c r="CP829" s="12"/>
      <c r="DD829" s="12"/>
      <c r="DR829" s="12"/>
      <c r="EF829" s="12"/>
    </row>
    <row r="830" spans="8:136" ht="10.199999999999999" x14ac:dyDescent="0.2">
      <c r="H830" s="12"/>
      <c r="V830" s="12"/>
      <c r="AJ830" s="12"/>
      <c r="AX830" s="12"/>
      <c r="BL830" s="12"/>
      <c r="BZ830" s="12"/>
      <c r="CB830" s="12"/>
      <c r="CP830" s="12"/>
      <c r="DD830" s="12"/>
      <c r="DR830" s="12"/>
      <c r="EF830" s="12"/>
    </row>
    <row r="831" spans="8:136" ht="10.199999999999999" x14ac:dyDescent="0.2">
      <c r="H831" s="12"/>
      <c r="V831" s="12"/>
      <c r="AJ831" s="12"/>
      <c r="AX831" s="12"/>
      <c r="BL831" s="12"/>
      <c r="BZ831" s="12"/>
      <c r="CB831" s="12"/>
      <c r="CP831" s="12"/>
      <c r="DD831" s="12"/>
      <c r="DR831" s="12"/>
      <c r="EF831" s="12"/>
    </row>
    <row r="832" spans="8:136" ht="10.199999999999999" x14ac:dyDescent="0.2">
      <c r="H832" s="12"/>
      <c r="V832" s="12"/>
      <c r="AJ832" s="12"/>
      <c r="AX832" s="12"/>
      <c r="BL832" s="12"/>
      <c r="BZ832" s="12"/>
      <c r="CB832" s="12"/>
      <c r="CP832" s="12"/>
      <c r="DD832" s="12"/>
      <c r="DR832" s="12"/>
      <c r="EF832" s="12"/>
    </row>
    <row r="833" spans="8:136" ht="10.199999999999999" x14ac:dyDescent="0.2">
      <c r="H833" s="12"/>
      <c r="V833" s="12"/>
      <c r="AJ833" s="12"/>
      <c r="AX833" s="12"/>
      <c r="BL833" s="12"/>
      <c r="BZ833" s="12"/>
      <c r="CB833" s="12"/>
      <c r="CP833" s="12"/>
      <c r="DD833" s="12"/>
      <c r="DR833" s="12"/>
      <c r="EF833" s="12"/>
    </row>
    <row r="834" spans="8:136" ht="10.199999999999999" x14ac:dyDescent="0.2">
      <c r="H834" s="12"/>
      <c r="V834" s="12"/>
      <c r="AJ834" s="12"/>
      <c r="AX834" s="12"/>
      <c r="BL834" s="12"/>
      <c r="BZ834" s="12"/>
      <c r="CB834" s="12"/>
      <c r="CP834" s="12"/>
      <c r="DD834" s="12"/>
      <c r="DR834" s="12"/>
      <c r="EF834" s="12"/>
    </row>
    <row r="835" spans="8:136" ht="10.199999999999999" x14ac:dyDescent="0.2">
      <c r="H835" s="12"/>
      <c r="V835" s="12"/>
      <c r="AJ835" s="12"/>
      <c r="AX835" s="12"/>
      <c r="BL835" s="12"/>
      <c r="BZ835" s="12"/>
      <c r="CB835" s="12"/>
      <c r="CP835" s="12"/>
      <c r="DD835" s="12"/>
      <c r="DR835" s="12"/>
      <c r="EF835" s="12"/>
    </row>
    <row r="836" spans="8:136" ht="10.199999999999999" x14ac:dyDescent="0.2">
      <c r="H836" s="12"/>
      <c r="V836" s="12"/>
      <c r="AJ836" s="12"/>
      <c r="AX836" s="12"/>
      <c r="BL836" s="12"/>
      <c r="BZ836" s="12"/>
      <c r="CB836" s="12"/>
      <c r="CP836" s="12"/>
      <c r="DD836" s="12"/>
      <c r="DR836" s="12"/>
      <c r="EF836" s="12"/>
    </row>
    <row r="837" spans="8:136" ht="10.199999999999999" x14ac:dyDescent="0.2">
      <c r="H837" s="12"/>
      <c r="V837" s="12"/>
      <c r="AJ837" s="12"/>
      <c r="AX837" s="12"/>
      <c r="BL837" s="12"/>
      <c r="BZ837" s="12"/>
      <c r="CB837" s="12"/>
      <c r="CP837" s="12"/>
      <c r="DD837" s="12"/>
      <c r="DR837" s="12"/>
      <c r="EF837" s="12"/>
    </row>
    <row r="838" spans="8:136" ht="10.199999999999999" x14ac:dyDescent="0.2">
      <c r="H838" s="12"/>
      <c r="V838" s="12"/>
      <c r="AJ838" s="12"/>
      <c r="AX838" s="12"/>
      <c r="BL838" s="12"/>
      <c r="BZ838" s="12"/>
      <c r="CB838" s="12"/>
      <c r="CP838" s="12"/>
      <c r="DD838" s="12"/>
      <c r="DR838" s="12"/>
      <c r="EF838" s="12"/>
    </row>
    <row r="839" spans="8:136" ht="10.199999999999999" x14ac:dyDescent="0.2">
      <c r="H839" s="12"/>
      <c r="V839" s="12"/>
      <c r="AJ839" s="12"/>
      <c r="AX839" s="12"/>
      <c r="BL839" s="12"/>
      <c r="BZ839" s="12"/>
      <c r="CB839" s="12"/>
      <c r="CP839" s="12"/>
      <c r="DD839" s="12"/>
      <c r="DR839" s="12"/>
      <c r="EF839" s="12"/>
    </row>
    <row r="840" spans="8:136" ht="10.199999999999999" x14ac:dyDescent="0.2">
      <c r="H840" s="12"/>
      <c r="V840" s="12"/>
      <c r="AJ840" s="12"/>
      <c r="AX840" s="12"/>
      <c r="BL840" s="12"/>
      <c r="BZ840" s="12"/>
      <c r="CB840" s="12"/>
      <c r="CP840" s="12"/>
      <c r="DD840" s="12"/>
      <c r="DR840" s="12"/>
      <c r="EF840" s="12"/>
    </row>
    <row r="841" spans="8:136" ht="10.199999999999999" x14ac:dyDescent="0.2">
      <c r="H841" s="12"/>
      <c r="V841" s="12"/>
      <c r="AJ841" s="12"/>
      <c r="AX841" s="12"/>
      <c r="BL841" s="12"/>
      <c r="BZ841" s="12"/>
      <c r="CB841" s="12"/>
      <c r="CP841" s="12"/>
      <c r="DD841" s="12"/>
      <c r="DR841" s="12"/>
      <c r="EF841" s="12"/>
    </row>
    <row r="842" spans="8:136" ht="10.199999999999999" x14ac:dyDescent="0.2">
      <c r="H842" s="12"/>
      <c r="V842" s="12"/>
      <c r="AJ842" s="12"/>
      <c r="AX842" s="12"/>
      <c r="BL842" s="12"/>
      <c r="BZ842" s="12"/>
      <c r="CB842" s="12"/>
      <c r="CP842" s="12"/>
      <c r="DD842" s="12"/>
      <c r="DR842" s="12"/>
      <c r="EF842" s="12"/>
    </row>
    <row r="843" spans="8:136" ht="10.199999999999999" x14ac:dyDescent="0.2">
      <c r="H843" s="12"/>
      <c r="V843" s="12"/>
      <c r="AJ843" s="12"/>
      <c r="AX843" s="12"/>
      <c r="BL843" s="12"/>
      <c r="BZ843" s="12"/>
      <c r="CB843" s="12"/>
      <c r="CP843" s="12"/>
      <c r="DD843" s="12"/>
      <c r="DR843" s="12"/>
      <c r="EF843" s="12"/>
    </row>
    <row r="844" spans="8:136" ht="10.199999999999999" x14ac:dyDescent="0.2">
      <c r="H844" s="12"/>
      <c r="V844" s="12"/>
      <c r="AJ844" s="12"/>
      <c r="AX844" s="12"/>
      <c r="BL844" s="12"/>
      <c r="BZ844" s="12"/>
      <c r="CB844" s="12"/>
      <c r="CP844" s="12"/>
      <c r="DD844" s="12"/>
      <c r="DR844" s="12"/>
      <c r="EF844" s="12"/>
    </row>
    <row r="845" spans="8:136" ht="10.199999999999999" x14ac:dyDescent="0.2">
      <c r="H845" s="12"/>
      <c r="V845" s="12"/>
      <c r="AJ845" s="12"/>
      <c r="AX845" s="12"/>
      <c r="BL845" s="12"/>
      <c r="BZ845" s="12"/>
      <c r="CB845" s="12"/>
      <c r="CP845" s="12"/>
      <c r="DD845" s="12"/>
      <c r="DR845" s="12"/>
      <c r="EF845" s="12"/>
    </row>
    <row r="846" spans="8:136" ht="10.199999999999999" x14ac:dyDescent="0.2">
      <c r="H846" s="12"/>
      <c r="V846" s="12"/>
      <c r="AJ846" s="12"/>
      <c r="AX846" s="12"/>
      <c r="BL846" s="12"/>
      <c r="BZ846" s="12"/>
      <c r="CB846" s="12"/>
      <c r="CP846" s="12"/>
      <c r="DD846" s="12"/>
      <c r="DR846" s="12"/>
      <c r="EF846" s="12"/>
    </row>
    <row r="847" spans="8:136" ht="10.199999999999999" x14ac:dyDescent="0.2">
      <c r="H847" s="12"/>
      <c r="V847" s="12"/>
      <c r="AJ847" s="12"/>
      <c r="AX847" s="12"/>
      <c r="BL847" s="12"/>
      <c r="BZ847" s="12"/>
      <c r="CB847" s="12"/>
      <c r="CP847" s="12"/>
      <c r="DD847" s="12"/>
      <c r="DR847" s="12"/>
      <c r="EF847" s="12"/>
    </row>
    <row r="848" spans="8:136" ht="10.199999999999999" x14ac:dyDescent="0.2">
      <c r="H848" s="12"/>
      <c r="V848" s="12"/>
      <c r="AJ848" s="12"/>
      <c r="AX848" s="12"/>
      <c r="BL848" s="12"/>
      <c r="BZ848" s="12"/>
      <c r="CB848" s="12"/>
      <c r="CP848" s="12"/>
      <c r="DD848" s="12"/>
      <c r="DR848" s="12"/>
      <c r="EF848" s="12"/>
    </row>
    <row r="849" spans="8:136" ht="10.199999999999999" x14ac:dyDescent="0.2">
      <c r="H849" s="12"/>
      <c r="V849" s="12"/>
      <c r="AJ849" s="12"/>
      <c r="AX849" s="12"/>
      <c r="BL849" s="12"/>
      <c r="BZ849" s="12"/>
      <c r="CB849" s="12"/>
      <c r="CP849" s="12"/>
      <c r="DD849" s="12"/>
      <c r="DR849" s="12"/>
      <c r="EF849" s="12"/>
    </row>
    <row r="850" spans="8:136" ht="10.199999999999999" x14ac:dyDescent="0.2">
      <c r="H850" s="12"/>
      <c r="V850" s="12"/>
      <c r="AJ850" s="12"/>
      <c r="AX850" s="12"/>
      <c r="BL850" s="12"/>
      <c r="BZ850" s="12"/>
      <c r="CB850" s="12"/>
      <c r="CP850" s="12"/>
      <c r="DD850" s="12"/>
      <c r="DR850" s="12"/>
      <c r="EF850" s="12"/>
    </row>
    <row r="851" spans="8:136" ht="10.199999999999999" x14ac:dyDescent="0.2">
      <c r="H851" s="12"/>
      <c r="V851" s="12"/>
      <c r="AJ851" s="12"/>
      <c r="AX851" s="12"/>
      <c r="BL851" s="12"/>
      <c r="BZ851" s="12"/>
      <c r="CB851" s="12"/>
      <c r="CP851" s="12"/>
      <c r="DD851" s="12"/>
      <c r="DR851" s="12"/>
      <c r="EF851" s="12"/>
    </row>
    <row r="852" spans="8:136" ht="10.199999999999999" x14ac:dyDescent="0.2">
      <c r="H852" s="12"/>
      <c r="V852" s="12"/>
      <c r="AJ852" s="12"/>
      <c r="AX852" s="12"/>
      <c r="BL852" s="12"/>
      <c r="BZ852" s="12"/>
      <c r="CB852" s="12"/>
      <c r="CP852" s="12"/>
      <c r="DD852" s="12"/>
      <c r="DR852" s="12"/>
      <c r="EF852" s="12"/>
    </row>
    <row r="853" spans="8:136" ht="10.199999999999999" x14ac:dyDescent="0.2">
      <c r="H853" s="12"/>
      <c r="V853" s="12"/>
      <c r="AJ853" s="12"/>
      <c r="AX853" s="12"/>
      <c r="BL853" s="12"/>
      <c r="BZ853" s="12"/>
      <c r="CB853" s="12"/>
      <c r="CP853" s="12"/>
      <c r="DD853" s="12"/>
      <c r="DR853" s="12"/>
      <c r="EF853" s="12"/>
    </row>
    <row r="854" spans="8:136" ht="10.199999999999999" x14ac:dyDescent="0.2">
      <c r="H854" s="12"/>
      <c r="V854" s="12"/>
      <c r="AJ854" s="12"/>
      <c r="AX854" s="12"/>
      <c r="BL854" s="12"/>
      <c r="BZ854" s="12"/>
      <c r="CB854" s="12"/>
      <c r="CP854" s="12"/>
      <c r="DD854" s="12"/>
      <c r="DR854" s="12"/>
      <c r="EF854" s="12"/>
    </row>
    <row r="855" spans="8:136" ht="10.199999999999999" x14ac:dyDescent="0.2">
      <c r="H855" s="12"/>
      <c r="V855" s="12"/>
      <c r="AJ855" s="12"/>
      <c r="AX855" s="12"/>
      <c r="BL855" s="12"/>
      <c r="BZ855" s="12"/>
      <c r="CB855" s="12"/>
      <c r="CP855" s="12"/>
      <c r="DD855" s="12"/>
      <c r="DR855" s="12"/>
      <c r="EF855" s="12"/>
    </row>
    <row r="856" spans="8:136" ht="10.199999999999999" x14ac:dyDescent="0.2">
      <c r="H856" s="12"/>
      <c r="V856" s="12"/>
      <c r="AJ856" s="12"/>
      <c r="AX856" s="12"/>
      <c r="BL856" s="12"/>
      <c r="BZ856" s="12"/>
      <c r="CB856" s="12"/>
      <c r="CP856" s="12"/>
      <c r="DD856" s="12"/>
      <c r="DR856" s="12"/>
      <c r="EF856" s="12"/>
    </row>
    <row r="857" spans="8:136" ht="10.199999999999999" x14ac:dyDescent="0.2">
      <c r="H857" s="12"/>
      <c r="V857" s="12"/>
      <c r="AJ857" s="12"/>
      <c r="AX857" s="12"/>
      <c r="BL857" s="12"/>
      <c r="BZ857" s="12"/>
      <c r="CB857" s="12"/>
      <c r="CP857" s="12"/>
      <c r="DD857" s="12"/>
      <c r="DR857" s="12"/>
      <c r="EF857" s="12"/>
    </row>
    <row r="858" spans="8:136" ht="10.199999999999999" x14ac:dyDescent="0.2">
      <c r="H858" s="12"/>
      <c r="V858" s="12"/>
      <c r="AJ858" s="12"/>
      <c r="AX858" s="12"/>
      <c r="BL858" s="12"/>
      <c r="BZ858" s="12"/>
      <c r="CB858" s="12"/>
      <c r="CP858" s="12"/>
      <c r="DD858" s="12"/>
      <c r="DR858" s="12"/>
      <c r="EF858" s="12"/>
    </row>
    <row r="859" spans="8:136" ht="10.199999999999999" x14ac:dyDescent="0.2">
      <c r="H859" s="12"/>
      <c r="V859" s="12"/>
      <c r="AJ859" s="12"/>
      <c r="AX859" s="12"/>
      <c r="BL859" s="12"/>
      <c r="BZ859" s="12"/>
      <c r="CB859" s="12"/>
      <c r="CP859" s="12"/>
      <c r="DD859" s="12"/>
      <c r="DR859" s="12"/>
      <c r="EF859" s="12"/>
    </row>
    <row r="860" spans="8:136" ht="10.199999999999999" x14ac:dyDescent="0.2">
      <c r="H860" s="12"/>
      <c r="V860" s="12"/>
      <c r="AJ860" s="12"/>
      <c r="AX860" s="12"/>
      <c r="BL860" s="12"/>
      <c r="BZ860" s="12"/>
      <c r="CB860" s="12"/>
      <c r="CP860" s="12"/>
      <c r="DD860" s="12"/>
      <c r="DR860" s="12"/>
      <c r="EF860" s="12"/>
    </row>
    <row r="861" spans="8:136" ht="10.199999999999999" x14ac:dyDescent="0.2">
      <c r="H861" s="12"/>
      <c r="V861" s="12"/>
      <c r="AJ861" s="12"/>
      <c r="AX861" s="12"/>
      <c r="BL861" s="12"/>
      <c r="BZ861" s="12"/>
      <c r="CB861" s="12"/>
      <c r="CP861" s="12"/>
      <c r="DD861" s="12"/>
      <c r="DR861" s="12"/>
      <c r="EF861" s="12"/>
    </row>
    <row r="862" spans="8:136" ht="10.199999999999999" x14ac:dyDescent="0.2">
      <c r="H862" s="12"/>
      <c r="V862" s="12"/>
      <c r="AJ862" s="12"/>
      <c r="AX862" s="12"/>
      <c r="BL862" s="12"/>
      <c r="BZ862" s="12"/>
      <c r="CB862" s="12"/>
      <c r="CP862" s="12"/>
      <c r="DD862" s="12"/>
      <c r="DR862" s="12"/>
      <c r="EF862" s="12"/>
    </row>
    <row r="863" spans="8:136" ht="10.199999999999999" x14ac:dyDescent="0.2">
      <c r="H863" s="12"/>
      <c r="V863" s="12"/>
      <c r="AJ863" s="12"/>
      <c r="AX863" s="12"/>
      <c r="BL863" s="12"/>
      <c r="BZ863" s="12"/>
      <c r="CB863" s="12"/>
      <c r="CP863" s="12"/>
      <c r="DD863" s="12"/>
      <c r="DR863" s="12"/>
      <c r="EF863" s="12"/>
    </row>
    <row r="864" spans="8:136" ht="10.199999999999999" x14ac:dyDescent="0.2">
      <c r="H864" s="12"/>
      <c r="V864" s="12"/>
      <c r="AJ864" s="12"/>
      <c r="AX864" s="12"/>
      <c r="BL864" s="12"/>
      <c r="BZ864" s="12"/>
      <c r="CB864" s="12"/>
      <c r="CP864" s="12"/>
      <c r="DD864" s="12"/>
      <c r="DR864" s="12"/>
      <c r="EF864" s="12"/>
    </row>
    <row r="865" spans="8:136" ht="10.199999999999999" x14ac:dyDescent="0.2">
      <c r="H865" s="12"/>
      <c r="V865" s="12"/>
      <c r="AJ865" s="12"/>
      <c r="AX865" s="12"/>
      <c r="BL865" s="12"/>
      <c r="BZ865" s="12"/>
      <c r="CB865" s="12"/>
      <c r="CP865" s="12"/>
      <c r="DD865" s="12"/>
      <c r="DR865" s="12"/>
      <c r="EF865" s="12"/>
    </row>
    <row r="866" spans="8:136" ht="10.199999999999999" x14ac:dyDescent="0.2">
      <c r="H866" s="12"/>
      <c r="V866" s="12"/>
      <c r="AJ866" s="12"/>
      <c r="AX866" s="12"/>
      <c r="BL866" s="12"/>
      <c r="BZ866" s="12"/>
      <c r="CB866" s="12"/>
      <c r="CP866" s="12"/>
      <c r="DD866" s="12"/>
      <c r="DR866" s="12"/>
      <c r="EF866" s="12"/>
    </row>
    <row r="867" spans="8:136" ht="10.199999999999999" x14ac:dyDescent="0.2">
      <c r="H867" s="12"/>
      <c r="V867" s="12"/>
      <c r="AJ867" s="12"/>
      <c r="AX867" s="12"/>
      <c r="BL867" s="12"/>
      <c r="BZ867" s="12"/>
      <c r="CB867" s="12"/>
      <c r="CP867" s="12"/>
      <c r="DD867" s="12"/>
      <c r="DR867" s="12"/>
      <c r="EF867" s="12"/>
    </row>
    <row r="868" spans="8:136" ht="10.199999999999999" x14ac:dyDescent="0.2">
      <c r="H868" s="12"/>
      <c r="V868" s="12"/>
      <c r="AJ868" s="12"/>
      <c r="AX868" s="12"/>
      <c r="BL868" s="12"/>
      <c r="BZ868" s="12"/>
      <c r="CB868" s="12"/>
      <c r="CP868" s="12"/>
      <c r="DD868" s="12"/>
      <c r="DR868" s="12"/>
      <c r="EF868" s="12"/>
    </row>
    <row r="869" spans="8:136" ht="10.199999999999999" x14ac:dyDescent="0.2">
      <c r="H869" s="12"/>
      <c r="V869" s="12"/>
      <c r="AJ869" s="12"/>
      <c r="AX869" s="12"/>
      <c r="BL869" s="12"/>
      <c r="BZ869" s="12"/>
      <c r="CB869" s="12"/>
      <c r="CP869" s="12"/>
      <c r="DD869" s="12"/>
      <c r="DR869" s="12"/>
      <c r="EF869" s="12"/>
    </row>
    <row r="870" spans="8:136" ht="10.199999999999999" x14ac:dyDescent="0.2">
      <c r="H870" s="12"/>
      <c r="V870" s="12"/>
      <c r="AJ870" s="12"/>
      <c r="AX870" s="12"/>
      <c r="BL870" s="12"/>
      <c r="BZ870" s="12"/>
      <c r="CB870" s="12"/>
      <c r="CP870" s="12"/>
      <c r="DD870" s="12"/>
      <c r="DR870" s="12"/>
      <c r="EF870" s="12"/>
    </row>
    <row r="871" spans="8:136" ht="10.199999999999999" x14ac:dyDescent="0.2">
      <c r="H871" s="12"/>
      <c r="V871" s="12"/>
      <c r="AJ871" s="12"/>
      <c r="AX871" s="12"/>
      <c r="BL871" s="12"/>
      <c r="BZ871" s="12"/>
      <c r="CB871" s="12"/>
      <c r="CP871" s="12"/>
      <c r="DD871" s="12"/>
      <c r="DR871" s="12"/>
      <c r="EF871" s="12"/>
    </row>
    <row r="872" spans="8:136" ht="10.199999999999999" x14ac:dyDescent="0.2">
      <c r="H872" s="12"/>
      <c r="V872" s="12"/>
      <c r="AJ872" s="12"/>
      <c r="AX872" s="12"/>
      <c r="BL872" s="12"/>
      <c r="BZ872" s="12"/>
      <c r="CB872" s="12"/>
      <c r="CP872" s="12"/>
      <c r="DD872" s="12"/>
      <c r="DR872" s="12"/>
      <c r="EF872" s="12"/>
    </row>
    <row r="873" spans="8:136" ht="10.199999999999999" x14ac:dyDescent="0.2">
      <c r="H873" s="12"/>
      <c r="V873" s="12"/>
      <c r="AJ873" s="12"/>
      <c r="AX873" s="12"/>
      <c r="BL873" s="12"/>
      <c r="BZ873" s="12"/>
      <c r="CB873" s="12"/>
      <c r="CP873" s="12"/>
      <c r="DD873" s="12"/>
      <c r="DR873" s="12"/>
      <c r="EF873" s="12"/>
    </row>
    <row r="874" spans="8:136" ht="10.199999999999999" x14ac:dyDescent="0.2">
      <c r="H874" s="12"/>
      <c r="V874" s="12"/>
      <c r="AJ874" s="12"/>
      <c r="AX874" s="12"/>
      <c r="BL874" s="12"/>
      <c r="BZ874" s="12"/>
      <c r="CB874" s="12"/>
      <c r="CP874" s="12"/>
      <c r="DD874" s="12"/>
      <c r="DR874" s="12"/>
      <c r="EF874" s="12"/>
    </row>
    <row r="875" spans="8:136" ht="10.199999999999999" x14ac:dyDescent="0.2">
      <c r="H875" s="12"/>
      <c r="V875" s="12"/>
      <c r="AJ875" s="12"/>
      <c r="AX875" s="12"/>
      <c r="BL875" s="12"/>
      <c r="BZ875" s="12"/>
      <c r="CB875" s="12"/>
      <c r="CP875" s="12"/>
      <c r="DD875" s="12"/>
      <c r="DR875" s="12"/>
      <c r="EF875" s="12"/>
    </row>
    <row r="876" spans="8:136" ht="10.199999999999999" x14ac:dyDescent="0.2">
      <c r="H876" s="12"/>
      <c r="V876" s="12"/>
      <c r="AJ876" s="12"/>
      <c r="AX876" s="12"/>
      <c r="BL876" s="12"/>
      <c r="BZ876" s="12"/>
      <c r="CB876" s="12"/>
      <c r="CP876" s="12"/>
      <c r="DD876" s="12"/>
      <c r="DR876" s="12"/>
      <c r="EF876" s="12"/>
    </row>
    <row r="877" spans="8:136" ht="10.199999999999999" x14ac:dyDescent="0.2">
      <c r="H877" s="12"/>
      <c r="V877" s="12"/>
      <c r="AJ877" s="12"/>
      <c r="AX877" s="12"/>
      <c r="BL877" s="12"/>
      <c r="BZ877" s="12"/>
      <c r="CB877" s="12"/>
      <c r="CP877" s="12"/>
      <c r="DD877" s="12"/>
      <c r="DR877" s="12"/>
      <c r="EF877" s="12"/>
    </row>
    <row r="878" spans="8:136" ht="10.199999999999999" x14ac:dyDescent="0.2">
      <c r="H878" s="12"/>
      <c r="V878" s="12"/>
      <c r="AJ878" s="12"/>
      <c r="AX878" s="12"/>
      <c r="BL878" s="12"/>
      <c r="BZ878" s="12"/>
      <c r="CB878" s="12"/>
      <c r="CP878" s="12"/>
      <c r="DD878" s="12"/>
      <c r="DR878" s="12"/>
      <c r="EF878" s="12"/>
    </row>
    <row r="879" spans="8:136" ht="10.199999999999999" x14ac:dyDescent="0.2">
      <c r="H879" s="12"/>
      <c r="V879" s="12"/>
      <c r="AJ879" s="12"/>
      <c r="AX879" s="12"/>
      <c r="BL879" s="12"/>
      <c r="BZ879" s="12"/>
      <c r="CB879" s="12"/>
      <c r="CP879" s="12"/>
      <c r="DD879" s="12"/>
      <c r="DR879" s="12"/>
      <c r="EF879" s="12"/>
    </row>
    <row r="880" spans="8:136" ht="10.199999999999999" x14ac:dyDescent="0.2">
      <c r="H880" s="12"/>
      <c r="V880" s="12"/>
      <c r="AJ880" s="12"/>
      <c r="AX880" s="12"/>
      <c r="BL880" s="12"/>
      <c r="BZ880" s="12"/>
      <c r="CB880" s="12"/>
      <c r="CP880" s="12"/>
      <c r="DD880" s="12"/>
      <c r="DR880" s="12"/>
      <c r="EF880" s="12"/>
    </row>
    <row r="881" spans="8:136" ht="10.199999999999999" x14ac:dyDescent="0.2">
      <c r="H881" s="12"/>
      <c r="V881" s="12"/>
      <c r="AJ881" s="12"/>
      <c r="AX881" s="12"/>
      <c r="BL881" s="12"/>
      <c r="BZ881" s="12"/>
      <c r="CB881" s="12"/>
      <c r="CP881" s="12"/>
      <c r="DD881" s="12"/>
      <c r="DR881" s="12"/>
      <c r="EF881" s="12"/>
    </row>
    <row r="882" spans="8:136" ht="10.199999999999999" x14ac:dyDescent="0.2">
      <c r="H882" s="12"/>
      <c r="V882" s="12"/>
      <c r="AJ882" s="12"/>
      <c r="AX882" s="12"/>
      <c r="BL882" s="12"/>
      <c r="BZ882" s="12"/>
      <c r="CB882" s="12"/>
      <c r="CP882" s="12"/>
      <c r="DD882" s="12"/>
      <c r="DR882" s="12"/>
      <c r="EF882" s="12"/>
    </row>
    <row r="883" spans="8:136" ht="10.199999999999999" x14ac:dyDescent="0.2">
      <c r="H883" s="12"/>
      <c r="V883" s="12"/>
      <c r="AJ883" s="12"/>
      <c r="AX883" s="12"/>
      <c r="BL883" s="12"/>
      <c r="BZ883" s="12"/>
      <c r="CB883" s="12"/>
      <c r="CP883" s="12"/>
      <c r="DD883" s="12"/>
      <c r="DR883" s="12"/>
      <c r="EF883" s="12"/>
    </row>
    <row r="884" spans="8:136" ht="10.199999999999999" x14ac:dyDescent="0.2">
      <c r="H884" s="12"/>
      <c r="V884" s="12"/>
      <c r="AJ884" s="12"/>
      <c r="AX884" s="12"/>
      <c r="BL884" s="12"/>
      <c r="BZ884" s="12"/>
      <c r="CB884" s="12"/>
      <c r="CP884" s="12"/>
      <c r="DD884" s="12"/>
      <c r="DR884" s="12"/>
      <c r="EF884" s="12"/>
    </row>
    <row r="885" spans="8:136" ht="10.199999999999999" x14ac:dyDescent="0.2">
      <c r="H885" s="12"/>
      <c r="V885" s="12"/>
      <c r="AJ885" s="12"/>
      <c r="AX885" s="12"/>
      <c r="BL885" s="12"/>
      <c r="BZ885" s="12"/>
      <c r="CB885" s="12"/>
      <c r="CP885" s="12"/>
      <c r="DD885" s="12"/>
      <c r="DR885" s="12"/>
      <c r="EF885" s="12"/>
    </row>
    <row r="886" spans="8:136" ht="10.199999999999999" x14ac:dyDescent="0.2">
      <c r="H886" s="12"/>
      <c r="V886" s="12"/>
      <c r="AJ886" s="12"/>
      <c r="AX886" s="12"/>
      <c r="BL886" s="12"/>
      <c r="BZ886" s="12"/>
      <c r="CB886" s="12"/>
      <c r="CP886" s="12"/>
      <c r="DD886" s="12"/>
      <c r="DR886" s="12"/>
      <c r="EF886" s="12"/>
    </row>
    <row r="887" spans="8:136" ht="10.199999999999999" x14ac:dyDescent="0.2">
      <c r="H887" s="12"/>
      <c r="V887" s="12"/>
      <c r="AJ887" s="12"/>
      <c r="AX887" s="12"/>
      <c r="BL887" s="12"/>
      <c r="BZ887" s="12"/>
      <c r="CB887" s="12"/>
      <c r="CP887" s="12"/>
      <c r="DD887" s="12"/>
      <c r="DR887" s="12"/>
      <c r="EF887" s="12"/>
    </row>
    <row r="888" spans="8:136" ht="10.199999999999999" x14ac:dyDescent="0.2">
      <c r="H888" s="12"/>
      <c r="V888" s="12"/>
      <c r="AJ888" s="12"/>
      <c r="AX888" s="12"/>
      <c r="BL888" s="12"/>
      <c r="BZ888" s="12"/>
      <c r="CB888" s="12"/>
      <c r="CP888" s="12"/>
      <c r="DD888" s="12"/>
      <c r="DR888" s="12"/>
      <c r="EF888" s="12"/>
    </row>
    <row r="889" spans="8:136" ht="10.199999999999999" x14ac:dyDescent="0.2">
      <c r="H889" s="12"/>
      <c r="V889" s="12"/>
      <c r="AJ889" s="12"/>
      <c r="AX889" s="12"/>
      <c r="BL889" s="12"/>
      <c r="BZ889" s="12"/>
      <c r="CB889" s="12"/>
      <c r="CP889" s="12"/>
      <c r="DD889" s="12"/>
      <c r="DR889" s="12"/>
      <c r="EF889" s="12"/>
    </row>
    <row r="890" spans="8:136" ht="10.199999999999999" x14ac:dyDescent="0.2">
      <c r="H890" s="12"/>
      <c r="V890" s="12"/>
      <c r="AJ890" s="12"/>
      <c r="AX890" s="12"/>
      <c r="BL890" s="12"/>
      <c r="BZ890" s="12"/>
      <c r="CB890" s="12"/>
      <c r="CP890" s="12"/>
      <c r="DD890" s="12"/>
      <c r="DR890" s="12"/>
      <c r="EF890" s="12"/>
    </row>
    <row r="891" spans="8:136" ht="10.199999999999999" x14ac:dyDescent="0.2">
      <c r="H891" s="12"/>
      <c r="V891" s="12"/>
      <c r="AJ891" s="12"/>
      <c r="AX891" s="12"/>
      <c r="BL891" s="12"/>
      <c r="BZ891" s="12"/>
      <c r="CB891" s="12"/>
      <c r="CP891" s="12"/>
      <c r="DD891" s="12"/>
      <c r="DR891" s="12"/>
      <c r="EF891" s="12"/>
    </row>
    <row r="892" spans="8:136" ht="10.199999999999999" x14ac:dyDescent="0.2">
      <c r="H892" s="12"/>
      <c r="V892" s="12"/>
      <c r="AJ892" s="12"/>
      <c r="AX892" s="12"/>
      <c r="BL892" s="12"/>
      <c r="BZ892" s="12"/>
      <c r="CB892" s="12"/>
      <c r="CP892" s="12"/>
      <c r="DD892" s="12"/>
      <c r="DR892" s="12"/>
      <c r="EF892" s="12"/>
    </row>
    <row r="893" spans="8:136" ht="10.199999999999999" x14ac:dyDescent="0.2">
      <c r="H893" s="12"/>
      <c r="V893" s="12"/>
      <c r="AJ893" s="12"/>
      <c r="AX893" s="12"/>
      <c r="BL893" s="12"/>
      <c r="BZ893" s="12"/>
      <c r="CB893" s="12"/>
      <c r="CP893" s="12"/>
      <c r="DD893" s="12"/>
      <c r="DR893" s="12"/>
      <c r="EF893" s="12"/>
    </row>
    <row r="894" spans="8:136" ht="10.199999999999999" x14ac:dyDescent="0.2">
      <c r="H894" s="12"/>
      <c r="V894" s="12"/>
      <c r="AJ894" s="12"/>
      <c r="AX894" s="12"/>
      <c r="BL894" s="12"/>
      <c r="BZ894" s="12"/>
      <c r="CB894" s="12"/>
      <c r="CP894" s="12"/>
      <c r="DD894" s="12"/>
      <c r="DR894" s="12"/>
      <c r="EF894" s="12"/>
    </row>
    <row r="895" spans="8:136" ht="10.199999999999999" x14ac:dyDescent="0.2">
      <c r="H895" s="12"/>
      <c r="V895" s="12"/>
      <c r="AJ895" s="12"/>
      <c r="AX895" s="12"/>
      <c r="BL895" s="12"/>
      <c r="BZ895" s="12"/>
      <c r="CB895" s="12"/>
      <c r="CP895" s="12"/>
      <c r="DD895" s="12"/>
      <c r="DR895" s="12"/>
      <c r="EF895" s="12"/>
    </row>
    <row r="896" spans="8:136" ht="10.199999999999999" x14ac:dyDescent="0.2">
      <c r="H896" s="12"/>
      <c r="V896" s="12"/>
      <c r="AJ896" s="12"/>
      <c r="AX896" s="12"/>
      <c r="BL896" s="12"/>
      <c r="BZ896" s="12"/>
      <c r="CB896" s="12"/>
      <c r="CP896" s="12"/>
      <c r="DD896" s="12"/>
      <c r="DR896" s="12"/>
      <c r="EF896" s="12"/>
    </row>
    <row r="897" spans="8:136" ht="10.199999999999999" x14ac:dyDescent="0.2">
      <c r="H897" s="12"/>
      <c r="V897" s="12"/>
      <c r="AJ897" s="12"/>
      <c r="AX897" s="12"/>
      <c r="BL897" s="12"/>
      <c r="BZ897" s="12"/>
      <c r="CB897" s="12"/>
      <c r="CP897" s="12"/>
      <c r="DD897" s="12"/>
      <c r="DR897" s="12"/>
      <c r="EF897" s="12"/>
    </row>
    <row r="898" spans="8:136" ht="10.199999999999999" x14ac:dyDescent="0.2">
      <c r="H898" s="12"/>
      <c r="V898" s="12"/>
      <c r="AJ898" s="12"/>
      <c r="AX898" s="12"/>
      <c r="BL898" s="12"/>
      <c r="BZ898" s="12"/>
      <c r="CB898" s="12"/>
      <c r="CP898" s="12"/>
      <c r="DD898" s="12"/>
      <c r="DR898" s="12"/>
      <c r="EF898" s="12"/>
    </row>
    <row r="899" spans="8:136" ht="10.199999999999999" x14ac:dyDescent="0.2">
      <c r="H899" s="12"/>
      <c r="V899" s="12"/>
      <c r="AJ899" s="12"/>
      <c r="AX899" s="12"/>
      <c r="BL899" s="12"/>
      <c r="BZ899" s="12"/>
      <c r="CB899" s="12"/>
      <c r="CP899" s="12"/>
      <c r="DD899" s="12"/>
      <c r="DR899" s="12"/>
      <c r="EF899" s="12"/>
    </row>
    <row r="900" spans="8:136" ht="10.199999999999999" x14ac:dyDescent="0.2">
      <c r="H900" s="12"/>
      <c r="V900" s="12"/>
      <c r="AJ900" s="12"/>
      <c r="AX900" s="12"/>
      <c r="BL900" s="12"/>
      <c r="BZ900" s="12"/>
      <c r="CB900" s="12"/>
      <c r="CP900" s="12"/>
      <c r="DD900" s="12"/>
      <c r="DR900" s="12"/>
      <c r="EF900" s="12"/>
    </row>
    <row r="901" spans="8:136" ht="10.199999999999999" x14ac:dyDescent="0.2">
      <c r="H901" s="12"/>
      <c r="V901" s="12"/>
      <c r="AJ901" s="12"/>
      <c r="AX901" s="12"/>
      <c r="BL901" s="12"/>
      <c r="BZ901" s="12"/>
      <c r="CB901" s="12"/>
      <c r="CP901" s="12"/>
      <c r="DD901" s="12"/>
      <c r="DR901" s="12"/>
      <c r="EF901" s="12"/>
    </row>
    <row r="902" spans="8:136" ht="10.199999999999999" x14ac:dyDescent="0.2">
      <c r="H902" s="12"/>
      <c r="V902" s="12"/>
      <c r="AJ902" s="12"/>
      <c r="AX902" s="12"/>
      <c r="BL902" s="12"/>
      <c r="BZ902" s="12"/>
      <c r="CB902" s="12"/>
      <c r="CP902" s="12"/>
      <c r="DD902" s="12"/>
      <c r="DR902" s="12"/>
      <c r="EF902" s="12"/>
    </row>
    <row r="903" spans="8:136" ht="10.199999999999999" x14ac:dyDescent="0.2">
      <c r="H903" s="12"/>
      <c r="V903" s="12"/>
      <c r="AJ903" s="12"/>
      <c r="AX903" s="12"/>
      <c r="BL903" s="12"/>
      <c r="BZ903" s="12"/>
      <c r="CB903" s="12"/>
      <c r="CP903" s="12"/>
      <c r="DD903" s="12"/>
      <c r="DR903" s="12"/>
      <c r="EF903" s="12"/>
    </row>
    <row r="904" spans="8:136" ht="10.199999999999999" x14ac:dyDescent="0.2">
      <c r="H904" s="12"/>
      <c r="V904" s="12"/>
      <c r="AJ904" s="12"/>
      <c r="AX904" s="12"/>
      <c r="BL904" s="12"/>
      <c r="BZ904" s="12"/>
      <c r="CB904" s="12"/>
      <c r="CP904" s="12"/>
      <c r="DD904" s="12"/>
      <c r="DR904" s="12"/>
      <c r="EF904" s="12"/>
    </row>
    <row r="905" spans="8:136" ht="10.199999999999999" x14ac:dyDescent="0.2">
      <c r="H905" s="12"/>
      <c r="V905" s="12"/>
      <c r="AJ905" s="12"/>
      <c r="AX905" s="12"/>
      <c r="BL905" s="12"/>
      <c r="BZ905" s="12"/>
      <c r="CB905" s="12"/>
      <c r="CP905" s="12"/>
      <c r="DD905" s="12"/>
      <c r="DR905" s="12"/>
      <c r="EF905" s="12"/>
    </row>
    <row r="906" spans="8:136" ht="10.199999999999999" x14ac:dyDescent="0.2">
      <c r="H906" s="12"/>
      <c r="V906" s="12"/>
      <c r="AJ906" s="12"/>
      <c r="AX906" s="12"/>
      <c r="BL906" s="12"/>
      <c r="BZ906" s="12"/>
      <c r="CB906" s="12"/>
      <c r="CP906" s="12"/>
      <c r="DD906" s="12"/>
      <c r="DR906" s="12"/>
      <c r="EF906" s="12"/>
    </row>
    <row r="907" spans="8:136" ht="10.199999999999999" x14ac:dyDescent="0.2">
      <c r="H907" s="12"/>
      <c r="V907" s="12"/>
      <c r="AJ907" s="12"/>
      <c r="AX907" s="12"/>
      <c r="BL907" s="12"/>
      <c r="BZ907" s="12"/>
      <c r="CB907" s="12"/>
      <c r="CP907" s="12"/>
      <c r="DD907" s="12"/>
      <c r="DR907" s="12"/>
      <c r="EF907" s="12"/>
    </row>
    <row r="908" spans="8:136" ht="10.199999999999999" x14ac:dyDescent="0.2">
      <c r="H908" s="12"/>
      <c r="V908" s="12"/>
      <c r="AJ908" s="12"/>
      <c r="AX908" s="12"/>
      <c r="BL908" s="12"/>
      <c r="BZ908" s="12"/>
      <c r="CB908" s="12"/>
      <c r="CP908" s="12"/>
      <c r="DD908" s="12"/>
      <c r="DR908" s="12"/>
      <c r="EF908" s="12"/>
    </row>
    <row r="909" spans="8:136" ht="10.199999999999999" x14ac:dyDescent="0.2">
      <c r="H909" s="12"/>
      <c r="V909" s="12"/>
      <c r="AJ909" s="12"/>
      <c r="AX909" s="12"/>
      <c r="BL909" s="12"/>
      <c r="BZ909" s="12"/>
      <c r="CB909" s="12"/>
      <c r="CP909" s="12"/>
      <c r="DD909" s="12"/>
      <c r="DR909" s="12"/>
      <c r="EF909" s="12"/>
    </row>
    <row r="910" spans="8:136" ht="10.199999999999999" x14ac:dyDescent="0.2">
      <c r="H910" s="12"/>
      <c r="V910" s="12"/>
      <c r="AJ910" s="12"/>
      <c r="AX910" s="12"/>
      <c r="BL910" s="12"/>
      <c r="BZ910" s="12"/>
      <c r="CB910" s="12"/>
      <c r="CP910" s="12"/>
      <c r="DD910" s="12"/>
      <c r="DR910" s="12"/>
      <c r="EF910" s="12"/>
    </row>
    <row r="911" spans="8:136" ht="10.199999999999999" x14ac:dyDescent="0.2">
      <c r="H911" s="12"/>
      <c r="V911" s="12"/>
      <c r="AJ911" s="12"/>
      <c r="AX911" s="12"/>
      <c r="BL911" s="12"/>
      <c r="BZ911" s="12"/>
      <c r="CB911" s="12"/>
      <c r="CP911" s="12"/>
      <c r="DD911" s="12"/>
      <c r="DR911" s="12"/>
      <c r="EF911" s="12"/>
    </row>
    <row r="912" spans="8:136" ht="10.199999999999999" x14ac:dyDescent="0.2">
      <c r="H912" s="12"/>
      <c r="V912" s="12"/>
      <c r="AJ912" s="12"/>
      <c r="AX912" s="12"/>
      <c r="BL912" s="12"/>
      <c r="BZ912" s="12"/>
      <c r="CB912" s="12"/>
      <c r="CP912" s="12"/>
      <c r="DD912" s="12"/>
      <c r="DR912" s="12"/>
      <c r="EF912" s="12"/>
    </row>
    <row r="913" spans="8:136" ht="10.199999999999999" x14ac:dyDescent="0.2">
      <c r="H913" s="12"/>
      <c r="V913" s="12"/>
      <c r="AJ913" s="12"/>
      <c r="AX913" s="12"/>
      <c r="BL913" s="12"/>
      <c r="BZ913" s="12"/>
      <c r="CB913" s="12"/>
      <c r="CP913" s="12"/>
      <c r="DD913" s="12"/>
      <c r="DR913" s="12"/>
      <c r="EF913" s="12"/>
    </row>
    <row r="914" spans="8:136" ht="10.199999999999999" x14ac:dyDescent="0.2">
      <c r="H914" s="12"/>
      <c r="V914" s="12"/>
      <c r="AJ914" s="12"/>
      <c r="AX914" s="12"/>
      <c r="BL914" s="12"/>
      <c r="BZ914" s="12"/>
      <c r="CB914" s="12"/>
      <c r="CP914" s="12"/>
      <c r="DD914" s="12"/>
      <c r="DR914" s="12"/>
      <c r="EF914" s="12"/>
    </row>
    <row r="915" spans="8:136" ht="10.199999999999999" x14ac:dyDescent="0.2">
      <c r="H915" s="12"/>
      <c r="V915" s="12"/>
      <c r="AJ915" s="12"/>
      <c r="AX915" s="12"/>
      <c r="BL915" s="12"/>
      <c r="BZ915" s="12"/>
      <c r="CB915" s="12"/>
      <c r="CP915" s="12"/>
      <c r="DD915" s="12"/>
      <c r="DR915" s="12"/>
      <c r="EF915" s="12"/>
    </row>
    <row r="916" spans="8:136" ht="10.199999999999999" x14ac:dyDescent="0.2">
      <c r="H916" s="12"/>
      <c r="V916" s="12"/>
      <c r="AJ916" s="12"/>
      <c r="AX916" s="12"/>
      <c r="BL916" s="12"/>
      <c r="BZ916" s="12"/>
      <c r="CB916" s="12"/>
      <c r="CP916" s="12"/>
      <c r="DD916" s="12"/>
      <c r="DR916" s="12"/>
      <c r="EF916" s="12"/>
    </row>
    <row r="917" spans="8:136" ht="10.199999999999999" x14ac:dyDescent="0.2">
      <c r="H917" s="12"/>
      <c r="V917" s="12"/>
      <c r="AJ917" s="12"/>
      <c r="AX917" s="12"/>
      <c r="BL917" s="12"/>
      <c r="BZ917" s="12"/>
      <c r="CB917" s="12"/>
      <c r="CP917" s="12"/>
      <c r="DD917" s="12"/>
      <c r="DR917" s="12"/>
      <c r="EF917" s="12"/>
    </row>
    <row r="918" spans="8:136" ht="10.199999999999999" x14ac:dyDescent="0.2">
      <c r="H918" s="12"/>
      <c r="V918" s="12"/>
      <c r="AJ918" s="12"/>
      <c r="AX918" s="12"/>
      <c r="BL918" s="12"/>
      <c r="BZ918" s="12"/>
      <c r="CB918" s="12"/>
      <c r="CP918" s="12"/>
      <c r="DD918" s="12"/>
      <c r="DR918" s="12"/>
      <c r="EF918" s="12"/>
    </row>
    <row r="919" spans="8:136" ht="10.199999999999999" x14ac:dyDescent="0.2">
      <c r="H919" s="12"/>
      <c r="V919" s="12"/>
      <c r="AJ919" s="12"/>
      <c r="AX919" s="12"/>
      <c r="BL919" s="12"/>
      <c r="BZ919" s="12"/>
      <c r="CB919" s="12"/>
      <c r="CP919" s="12"/>
      <c r="DD919" s="12"/>
      <c r="DR919" s="12"/>
      <c r="EF919" s="12"/>
    </row>
    <row r="920" spans="8:136" ht="10.199999999999999" x14ac:dyDescent="0.2">
      <c r="H920" s="12"/>
      <c r="V920" s="12"/>
      <c r="AJ920" s="12"/>
      <c r="AX920" s="12"/>
      <c r="BL920" s="12"/>
      <c r="BZ920" s="12"/>
      <c r="CB920" s="12"/>
      <c r="CP920" s="12"/>
      <c r="DD920" s="12"/>
      <c r="DR920" s="12"/>
      <c r="EF920" s="12"/>
    </row>
    <row r="921" spans="8:136" ht="10.199999999999999" x14ac:dyDescent="0.2">
      <c r="H921" s="12"/>
      <c r="V921" s="12"/>
      <c r="AJ921" s="12"/>
      <c r="AX921" s="12"/>
      <c r="BL921" s="12"/>
      <c r="BZ921" s="12"/>
      <c r="CB921" s="12"/>
      <c r="CP921" s="12"/>
      <c r="DD921" s="12"/>
      <c r="DR921" s="12"/>
      <c r="EF921" s="12"/>
    </row>
    <row r="922" spans="8:136" ht="10.199999999999999" x14ac:dyDescent="0.2">
      <c r="H922" s="12"/>
      <c r="V922" s="12"/>
      <c r="AJ922" s="12"/>
      <c r="AX922" s="12"/>
      <c r="BL922" s="12"/>
      <c r="BZ922" s="12"/>
      <c r="CB922" s="12"/>
      <c r="CP922" s="12"/>
      <c r="DD922" s="12"/>
      <c r="DR922" s="12"/>
      <c r="EF922" s="12"/>
    </row>
    <row r="923" spans="8:136" ht="10.199999999999999" x14ac:dyDescent="0.2">
      <c r="H923" s="12"/>
      <c r="V923" s="12"/>
      <c r="AJ923" s="12"/>
      <c r="AX923" s="12"/>
      <c r="BL923" s="12"/>
      <c r="BZ923" s="12"/>
      <c r="CB923" s="12"/>
      <c r="CP923" s="12"/>
      <c r="DD923" s="12"/>
      <c r="DR923" s="12"/>
      <c r="EF923" s="12"/>
    </row>
    <row r="924" spans="8:136" ht="10.199999999999999" x14ac:dyDescent="0.2">
      <c r="H924" s="12"/>
      <c r="V924" s="12"/>
      <c r="AJ924" s="12"/>
      <c r="AX924" s="12"/>
      <c r="BL924" s="12"/>
      <c r="BZ924" s="12"/>
      <c r="CB924" s="12"/>
      <c r="CP924" s="12"/>
      <c r="DD924" s="12"/>
      <c r="DR924" s="12"/>
      <c r="EF924" s="12"/>
    </row>
    <row r="925" spans="8:136" ht="10.199999999999999" x14ac:dyDescent="0.2">
      <c r="H925" s="12"/>
      <c r="V925" s="12"/>
      <c r="AJ925" s="12"/>
      <c r="AX925" s="12"/>
      <c r="BL925" s="12"/>
      <c r="BZ925" s="12"/>
      <c r="CB925" s="12"/>
      <c r="CP925" s="12"/>
      <c r="DD925" s="12"/>
      <c r="DR925" s="12"/>
      <c r="EF925" s="12"/>
    </row>
    <row r="926" spans="8:136" ht="10.199999999999999" x14ac:dyDescent="0.2">
      <c r="H926" s="12"/>
      <c r="V926" s="12"/>
      <c r="AJ926" s="12"/>
      <c r="AX926" s="12"/>
      <c r="BL926" s="12"/>
      <c r="BZ926" s="12"/>
      <c r="CB926" s="12"/>
      <c r="CP926" s="12"/>
      <c r="DD926" s="12"/>
      <c r="DR926" s="12"/>
      <c r="EF926" s="12"/>
    </row>
    <row r="927" spans="8:136" ht="10.199999999999999" x14ac:dyDescent="0.2">
      <c r="H927" s="12"/>
      <c r="V927" s="12"/>
      <c r="AJ927" s="12"/>
      <c r="AX927" s="12"/>
      <c r="BL927" s="12"/>
      <c r="BZ927" s="12"/>
      <c r="CB927" s="12"/>
      <c r="CP927" s="12"/>
      <c r="DD927" s="12"/>
      <c r="DR927" s="12"/>
      <c r="EF927" s="12"/>
    </row>
    <row r="928" spans="8:136" ht="10.199999999999999" x14ac:dyDescent="0.2">
      <c r="H928" s="12"/>
      <c r="V928" s="12"/>
      <c r="AJ928" s="12"/>
      <c r="AX928" s="12"/>
      <c r="BL928" s="12"/>
      <c r="BZ928" s="12"/>
      <c r="CB928" s="12"/>
      <c r="CP928" s="12"/>
      <c r="DD928" s="12"/>
      <c r="DR928" s="12"/>
      <c r="EF928" s="12"/>
    </row>
    <row r="929" spans="8:136" ht="10.199999999999999" x14ac:dyDescent="0.2">
      <c r="H929" s="12"/>
      <c r="V929" s="12"/>
      <c r="AJ929" s="12"/>
      <c r="AX929" s="12"/>
      <c r="BL929" s="12"/>
      <c r="BZ929" s="12"/>
      <c r="CB929" s="12"/>
      <c r="CP929" s="12"/>
      <c r="DD929" s="12"/>
      <c r="DR929" s="12"/>
      <c r="EF929" s="12"/>
    </row>
    <row r="930" spans="8:136" ht="10.199999999999999" x14ac:dyDescent="0.2">
      <c r="H930" s="12"/>
      <c r="V930" s="12"/>
      <c r="AJ930" s="12"/>
      <c r="AX930" s="12"/>
      <c r="BL930" s="12"/>
      <c r="BZ930" s="12"/>
      <c r="CB930" s="12"/>
      <c r="CP930" s="12"/>
      <c r="DD930" s="12"/>
      <c r="DR930" s="12"/>
      <c r="EF930" s="12"/>
    </row>
    <row r="931" spans="8:136" ht="10.199999999999999" x14ac:dyDescent="0.2">
      <c r="H931" s="12"/>
      <c r="V931" s="12"/>
      <c r="AJ931" s="12"/>
      <c r="AX931" s="12"/>
      <c r="BL931" s="12"/>
      <c r="BZ931" s="12"/>
      <c r="CB931" s="12"/>
      <c r="CP931" s="12"/>
      <c r="DD931" s="12"/>
      <c r="DR931" s="12"/>
      <c r="EF931" s="12"/>
    </row>
    <row r="932" spans="8:136" ht="10.199999999999999" x14ac:dyDescent="0.2">
      <c r="H932" s="12"/>
      <c r="V932" s="12"/>
      <c r="AJ932" s="12"/>
      <c r="AX932" s="12"/>
      <c r="BL932" s="12"/>
      <c r="BZ932" s="12"/>
      <c r="CB932" s="12"/>
      <c r="CP932" s="12"/>
      <c r="DD932" s="12"/>
      <c r="DR932" s="12"/>
      <c r="EF932" s="12"/>
    </row>
    <row r="933" spans="8:136" ht="10.199999999999999" x14ac:dyDescent="0.2">
      <c r="H933" s="12"/>
      <c r="V933" s="12"/>
      <c r="AJ933" s="12"/>
      <c r="AX933" s="12"/>
      <c r="BL933" s="12"/>
      <c r="BZ933" s="12"/>
      <c r="CB933" s="12"/>
      <c r="CP933" s="12"/>
      <c r="DD933" s="12"/>
      <c r="DR933" s="12"/>
      <c r="EF933" s="12"/>
    </row>
    <row r="934" spans="8:136" ht="10.199999999999999" x14ac:dyDescent="0.2">
      <c r="H934" s="12"/>
      <c r="V934" s="12"/>
      <c r="AJ934" s="12"/>
      <c r="AX934" s="12"/>
      <c r="BL934" s="12"/>
      <c r="BZ934" s="12"/>
      <c r="CB934" s="12"/>
      <c r="CP934" s="12"/>
      <c r="DD934" s="12"/>
      <c r="DR934" s="12"/>
      <c r="EF934" s="12"/>
    </row>
    <row r="935" spans="8:136" ht="10.199999999999999" x14ac:dyDescent="0.2">
      <c r="H935" s="12"/>
      <c r="V935" s="12"/>
      <c r="AJ935" s="12"/>
      <c r="AX935" s="12"/>
      <c r="BL935" s="12"/>
      <c r="BZ935" s="12"/>
      <c r="CB935" s="12"/>
      <c r="CP935" s="12"/>
      <c r="DD935" s="12"/>
      <c r="DR935" s="12"/>
      <c r="EF935" s="12"/>
    </row>
    <row r="936" spans="8:136" ht="10.199999999999999" x14ac:dyDescent="0.2">
      <c r="H936" s="12"/>
      <c r="V936" s="12"/>
      <c r="AJ936" s="12"/>
      <c r="AX936" s="12"/>
      <c r="BL936" s="12"/>
      <c r="BZ936" s="12"/>
      <c r="CB936" s="12"/>
      <c r="CP936" s="12"/>
      <c r="DD936" s="12"/>
      <c r="DR936" s="12"/>
      <c r="EF936" s="12"/>
    </row>
    <row r="937" spans="8:136" ht="10.199999999999999" x14ac:dyDescent="0.2">
      <c r="H937" s="12"/>
      <c r="V937" s="12"/>
      <c r="AJ937" s="12"/>
      <c r="AX937" s="12"/>
      <c r="BL937" s="12"/>
      <c r="BZ937" s="12"/>
      <c r="CB937" s="12"/>
      <c r="CP937" s="12"/>
      <c r="DD937" s="12"/>
      <c r="DR937" s="12"/>
      <c r="EF937" s="12"/>
    </row>
    <row r="938" spans="8:136" ht="10.199999999999999" x14ac:dyDescent="0.2">
      <c r="H938" s="12"/>
      <c r="V938" s="12"/>
      <c r="AJ938" s="12"/>
      <c r="AX938" s="12"/>
      <c r="BL938" s="12"/>
      <c r="BZ938" s="12"/>
      <c r="CB938" s="12"/>
      <c r="CP938" s="12"/>
      <c r="DD938" s="12"/>
      <c r="DR938" s="12"/>
      <c r="EF938" s="12"/>
    </row>
    <row r="939" spans="8:136" ht="10.199999999999999" x14ac:dyDescent="0.2">
      <c r="H939" s="12"/>
      <c r="V939" s="12"/>
      <c r="AJ939" s="12"/>
      <c r="AX939" s="12"/>
      <c r="BL939" s="12"/>
      <c r="BZ939" s="12"/>
      <c r="CB939" s="12"/>
      <c r="CP939" s="12"/>
      <c r="DD939" s="12"/>
      <c r="DR939" s="12"/>
      <c r="EF939" s="12"/>
    </row>
    <row r="940" spans="8:136" ht="10.199999999999999" x14ac:dyDescent="0.2">
      <c r="H940" s="12"/>
      <c r="V940" s="12"/>
      <c r="AJ940" s="12"/>
      <c r="AX940" s="12"/>
      <c r="BL940" s="12"/>
      <c r="BZ940" s="12"/>
      <c r="CB940" s="12"/>
      <c r="CP940" s="12"/>
      <c r="DD940" s="12"/>
      <c r="DR940" s="12"/>
      <c r="EF940" s="12"/>
    </row>
    <row r="941" spans="8:136" ht="10.199999999999999" x14ac:dyDescent="0.2">
      <c r="H941" s="12"/>
      <c r="V941" s="12"/>
      <c r="AJ941" s="12"/>
      <c r="AX941" s="12"/>
      <c r="BL941" s="12"/>
      <c r="BZ941" s="12"/>
      <c r="CB941" s="12"/>
      <c r="CP941" s="12"/>
      <c r="DD941" s="12"/>
      <c r="DR941" s="12"/>
      <c r="EF941" s="12"/>
    </row>
    <row r="942" spans="8:136" ht="10.199999999999999" x14ac:dyDescent="0.2">
      <c r="H942" s="12"/>
      <c r="V942" s="12"/>
      <c r="AJ942" s="12"/>
      <c r="AX942" s="12"/>
      <c r="BL942" s="12"/>
      <c r="BZ942" s="12"/>
      <c r="CB942" s="12"/>
      <c r="CP942" s="12"/>
      <c r="DD942" s="12"/>
      <c r="DR942" s="12"/>
      <c r="EF942" s="12"/>
    </row>
    <row r="943" spans="8:136" ht="10.199999999999999" x14ac:dyDescent="0.2">
      <c r="H943" s="12"/>
      <c r="V943" s="12"/>
      <c r="AJ943" s="12"/>
      <c r="AX943" s="12"/>
      <c r="BL943" s="12"/>
      <c r="BZ943" s="12"/>
      <c r="CB943" s="12"/>
      <c r="CP943" s="12"/>
      <c r="DD943" s="12"/>
      <c r="DR943" s="12"/>
      <c r="EF943" s="12"/>
    </row>
    <row r="944" spans="8:136" ht="10.199999999999999" x14ac:dyDescent="0.2">
      <c r="H944" s="12"/>
      <c r="V944" s="12"/>
      <c r="AJ944" s="12"/>
      <c r="AX944" s="12"/>
      <c r="BL944" s="12"/>
      <c r="BZ944" s="12"/>
      <c r="CB944" s="12"/>
      <c r="CP944" s="12"/>
      <c r="DD944" s="12"/>
      <c r="DR944" s="12"/>
      <c r="EF944" s="12"/>
    </row>
    <row r="945" spans="8:136" ht="10.199999999999999" x14ac:dyDescent="0.2">
      <c r="H945" s="12"/>
      <c r="V945" s="12"/>
      <c r="AJ945" s="12"/>
      <c r="AX945" s="12"/>
      <c r="BL945" s="12"/>
      <c r="BZ945" s="12"/>
      <c r="CB945" s="12"/>
      <c r="CP945" s="12"/>
      <c r="DD945" s="12"/>
      <c r="DR945" s="12"/>
      <c r="EF945" s="12"/>
    </row>
    <row r="946" spans="8:136" ht="10.199999999999999" x14ac:dyDescent="0.2">
      <c r="H946" s="12"/>
      <c r="V946" s="12"/>
      <c r="AJ946" s="12"/>
      <c r="AX946" s="12"/>
      <c r="BL946" s="12"/>
      <c r="BZ946" s="12"/>
      <c r="CB946" s="12"/>
      <c r="CP946" s="12"/>
      <c r="DD946" s="12"/>
      <c r="DR946" s="12"/>
      <c r="EF946" s="12"/>
    </row>
    <row r="947" spans="8:136" ht="10.199999999999999" x14ac:dyDescent="0.2">
      <c r="H947" s="12"/>
      <c r="V947" s="12"/>
      <c r="AJ947" s="12"/>
      <c r="AX947" s="12"/>
      <c r="BL947" s="12"/>
      <c r="BZ947" s="12"/>
      <c r="CB947" s="12"/>
      <c r="CP947" s="12"/>
      <c r="DD947" s="12"/>
      <c r="DR947" s="12"/>
      <c r="EF947" s="12"/>
    </row>
    <row r="948" spans="8:136" ht="10.199999999999999" x14ac:dyDescent="0.2">
      <c r="H948" s="12"/>
      <c r="V948" s="12"/>
      <c r="AJ948" s="12"/>
      <c r="AX948" s="12"/>
      <c r="BL948" s="12"/>
      <c r="BZ948" s="12"/>
      <c r="CB948" s="12"/>
      <c r="CP948" s="12"/>
      <c r="DD948" s="12"/>
      <c r="DR948" s="12"/>
      <c r="EF948" s="12"/>
    </row>
    <row r="949" spans="8:136" ht="10.199999999999999" x14ac:dyDescent="0.2">
      <c r="H949" s="12"/>
      <c r="V949" s="12"/>
      <c r="AJ949" s="12"/>
      <c r="AX949" s="12"/>
      <c r="BL949" s="12"/>
      <c r="BZ949" s="12"/>
      <c r="CB949" s="12"/>
      <c r="CP949" s="12"/>
      <c r="DD949" s="12"/>
      <c r="DR949" s="12"/>
      <c r="EF949" s="12"/>
    </row>
    <row r="950" spans="8:136" ht="10.199999999999999" x14ac:dyDescent="0.2">
      <c r="H950" s="12"/>
      <c r="V950" s="12"/>
      <c r="AJ950" s="12"/>
      <c r="AX950" s="12"/>
      <c r="BL950" s="12"/>
      <c r="BZ950" s="12"/>
      <c r="CB950" s="12"/>
      <c r="CP950" s="12"/>
      <c r="DD950" s="12"/>
      <c r="DR950" s="12"/>
      <c r="EF950" s="12"/>
    </row>
    <row r="951" spans="8:136" ht="10.199999999999999" x14ac:dyDescent="0.2">
      <c r="H951" s="12"/>
      <c r="V951" s="12"/>
      <c r="AJ951" s="12"/>
      <c r="AX951" s="12"/>
      <c r="BL951" s="12"/>
      <c r="BZ951" s="12"/>
      <c r="CB951" s="12"/>
      <c r="CP951" s="12"/>
      <c r="DD951" s="12"/>
      <c r="DR951" s="12"/>
      <c r="EF951" s="12"/>
    </row>
    <row r="952" spans="8:136" ht="10.199999999999999" x14ac:dyDescent="0.2">
      <c r="H952" s="12"/>
      <c r="V952" s="12"/>
      <c r="AJ952" s="12"/>
      <c r="AX952" s="12"/>
      <c r="BL952" s="12"/>
      <c r="BZ952" s="12"/>
      <c r="CB952" s="12"/>
      <c r="CP952" s="12"/>
      <c r="DD952" s="12"/>
      <c r="DR952" s="12"/>
      <c r="EF952" s="12"/>
    </row>
    <row r="953" spans="8:136" ht="10.199999999999999" x14ac:dyDescent="0.2">
      <c r="H953" s="12"/>
      <c r="V953" s="12"/>
      <c r="AJ953" s="12"/>
      <c r="AX953" s="12"/>
      <c r="BL953" s="12"/>
      <c r="BZ953" s="12"/>
      <c r="CB953" s="12"/>
      <c r="CP953" s="12"/>
      <c r="DD953" s="12"/>
      <c r="DR953" s="12"/>
      <c r="EF953" s="12"/>
    </row>
    <row r="954" spans="8:136" ht="10.199999999999999" x14ac:dyDescent="0.2">
      <c r="H954" s="12"/>
      <c r="V954" s="12"/>
      <c r="AJ954" s="12"/>
      <c r="AX954" s="12"/>
      <c r="BL954" s="12"/>
      <c r="BZ954" s="12"/>
      <c r="CB954" s="12"/>
      <c r="CP954" s="12"/>
      <c r="DD954" s="12"/>
      <c r="DR954" s="12"/>
      <c r="EF954" s="12"/>
    </row>
    <row r="955" spans="8:136" ht="10.199999999999999" x14ac:dyDescent="0.2">
      <c r="H955" s="12"/>
      <c r="V955" s="12"/>
      <c r="AJ955" s="12"/>
      <c r="AX955" s="12"/>
      <c r="BL955" s="12"/>
      <c r="BZ955" s="12"/>
      <c r="CB955" s="12"/>
      <c r="CP955" s="12"/>
      <c r="DD955" s="12"/>
      <c r="DR955" s="12"/>
      <c r="EF955" s="12"/>
    </row>
    <row r="956" spans="8:136" ht="10.199999999999999" x14ac:dyDescent="0.2">
      <c r="H956" s="12"/>
      <c r="V956" s="12"/>
      <c r="AJ956" s="12"/>
      <c r="AX956" s="12"/>
      <c r="BL956" s="12"/>
      <c r="BZ956" s="12"/>
      <c r="CB956" s="12"/>
      <c r="CP956" s="12"/>
      <c r="DD956" s="12"/>
      <c r="DR956" s="12"/>
      <c r="EF956" s="12"/>
    </row>
    <row r="957" spans="8:136" ht="10.199999999999999" x14ac:dyDescent="0.2">
      <c r="H957" s="12"/>
      <c r="V957" s="12"/>
      <c r="AJ957" s="12"/>
      <c r="AX957" s="12"/>
      <c r="BL957" s="12"/>
      <c r="BZ957" s="12"/>
      <c r="CB957" s="12"/>
      <c r="CP957" s="12"/>
      <c r="DD957" s="12"/>
      <c r="DR957" s="12"/>
      <c r="EF957" s="12"/>
    </row>
    <row r="958" spans="8:136" ht="10.199999999999999" x14ac:dyDescent="0.2">
      <c r="H958" s="12"/>
      <c r="V958" s="12"/>
      <c r="AJ958" s="12"/>
      <c r="AX958" s="12"/>
      <c r="BL958" s="12"/>
      <c r="BZ958" s="12"/>
      <c r="CB958" s="12"/>
      <c r="CP958" s="12"/>
      <c r="DD958" s="12"/>
      <c r="DR958" s="12"/>
      <c r="EF958" s="12"/>
    </row>
    <row r="959" spans="8:136" ht="10.199999999999999" x14ac:dyDescent="0.2">
      <c r="H959" s="12"/>
      <c r="V959" s="12"/>
      <c r="AJ959" s="12"/>
      <c r="AX959" s="12"/>
      <c r="BL959" s="12"/>
      <c r="BZ959" s="12"/>
      <c r="CB959" s="12"/>
      <c r="CP959" s="12"/>
      <c r="DD959" s="12"/>
      <c r="DR959" s="12"/>
      <c r="EF959" s="12"/>
    </row>
    <row r="960" spans="8:136" ht="10.199999999999999" x14ac:dyDescent="0.2">
      <c r="H960" s="12"/>
      <c r="V960" s="12"/>
      <c r="AJ960" s="12"/>
      <c r="AX960" s="12"/>
      <c r="BL960" s="12"/>
      <c r="BZ960" s="12"/>
      <c r="CB960" s="12"/>
      <c r="CP960" s="12"/>
      <c r="DD960" s="12"/>
      <c r="DR960" s="12"/>
      <c r="EF960" s="12"/>
    </row>
    <row r="961" spans="8:136" ht="10.199999999999999" x14ac:dyDescent="0.2">
      <c r="H961" s="12"/>
      <c r="V961" s="12"/>
      <c r="AJ961" s="12"/>
      <c r="AX961" s="12"/>
      <c r="BL961" s="12"/>
      <c r="BZ961" s="12"/>
      <c r="CB961" s="12"/>
      <c r="CP961" s="12"/>
      <c r="DD961" s="12"/>
      <c r="DR961" s="12"/>
      <c r="EF961" s="12"/>
    </row>
    <row r="962" spans="8:136" ht="10.199999999999999" x14ac:dyDescent="0.2">
      <c r="H962" s="12"/>
      <c r="V962" s="12"/>
      <c r="AJ962" s="12"/>
      <c r="AX962" s="12"/>
      <c r="BL962" s="12"/>
      <c r="BZ962" s="12"/>
      <c r="CB962" s="12"/>
      <c r="CP962" s="12"/>
      <c r="DD962" s="12"/>
      <c r="DR962" s="12"/>
      <c r="EF962" s="12"/>
    </row>
    <row r="963" spans="8:136" ht="10.199999999999999" x14ac:dyDescent="0.2">
      <c r="H963" s="12"/>
      <c r="V963" s="12"/>
      <c r="AJ963" s="12"/>
      <c r="AX963" s="12"/>
      <c r="BL963" s="12"/>
      <c r="BZ963" s="12"/>
      <c r="CB963" s="12"/>
      <c r="CP963" s="12"/>
      <c r="DD963" s="12"/>
      <c r="DR963" s="12"/>
      <c r="EF963" s="12"/>
    </row>
    <row r="964" spans="8:136" ht="10.199999999999999" x14ac:dyDescent="0.2">
      <c r="H964" s="12"/>
      <c r="V964" s="12"/>
      <c r="AJ964" s="12"/>
      <c r="AX964" s="12"/>
      <c r="BL964" s="12"/>
      <c r="BZ964" s="12"/>
      <c r="CB964" s="12"/>
      <c r="CP964" s="12"/>
      <c r="DD964" s="12"/>
      <c r="DR964" s="12"/>
      <c r="EF964" s="12"/>
    </row>
    <row r="965" spans="8:136" ht="10.199999999999999" x14ac:dyDescent="0.2">
      <c r="H965" s="12"/>
      <c r="V965" s="12"/>
      <c r="AJ965" s="12"/>
      <c r="AX965" s="12"/>
      <c r="BL965" s="12"/>
      <c r="BZ965" s="12"/>
      <c r="CB965" s="12"/>
      <c r="CP965" s="12"/>
      <c r="DD965" s="12"/>
      <c r="DR965" s="12"/>
      <c r="EF965" s="12"/>
    </row>
    <row r="966" spans="8:136" ht="10.199999999999999" x14ac:dyDescent="0.2">
      <c r="H966" s="12"/>
      <c r="V966" s="12"/>
      <c r="AJ966" s="12"/>
      <c r="AX966" s="12"/>
      <c r="BL966" s="12"/>
      <c r="BZ966" s="12"/>
      <c r="CB966" s="12"/>
      <c r="CP966" s="12"/>
      <c r="DD966" s="12"/>
      <c r="DR966" s="12"/>
      <c r="EF966" s="12"/>
    </row>
    <row r="967" spans="8:136" ht="10.199999999999999" x14ac:dyDescent="0.2">
      <c r="H967" s="12"/>
      <c r="V967" s="12"/>
      <c r="AJ967" s="12"/>
      <c r="AX967" s="12"/>
      <c r="BL967" s="12"/>
      <c r="BZ967" s="12"/>
      <c r="CB967" s="12"/>
      <c r="CP967" s="12"/>
      <c r="DD967" s="12"/>
      <c r="DR967" s="12"/>
      <c r="EF967" s="12"/>
    </row>
    <row r="968" spans="8:136" ht="10.199999999999999" x14ac:dyDescent="0.2">
      <c r="H968" s="12"/>
      <c r="V968" s="12"/>
      <c r="AJ968" s="12"/>
      <c r="AX968" s="12"/>
      <c r="BL968" s="12"/>
      <c r="BZ968" s="12"/>
      <c r="CB968" s="12"/>
      <c r="CP968" s="12"/>
      <c r="DD968" s="12"/>
      <c r="DR968" s="12"/>
      <c r="EF968" s="12"/>
    </row>
    <row r="969" spans="8:136" ht="10.199999999999999" x14ac:dyDescent="0.2">
      <c r="H969" s="12"/>
      <c r="V969" s="12"/>
      <c r="AJ969" s="12"/>
      <c r="AX969" s="12"/>
      <c r="BL969" s="12"/>
      <c r="BZ969" s="12"/>
      <c r="CB969" s="12"/>
      <c r="CP969" s="12"/>
      <c r="DD969" s="12"/>
      <c r="DR969" s="12"/>
      <c r="EF969" s="12"/>
    </row>
    <row r="970" spans="8:136" ht="10.199999999999999" x14ac:dyDescent="0.2">
      <c r="H970" s="12"/>
      <c r="V970" s="12"/>
      <c r="AJ970" s="12"/>
      <c r="AX970" s="12"/>
      <c r="BL970" s="12"/>
      <c r="BZ970" s="12"/>
      <c r="CB970" s="12"/>
      <c r="CP970" s="12"/>
      <c r="DD970" s="12"/>
      <c r="DR970" s="12"/>
      <c r="EF970" s="12"/>
    </row>
    <row r="971" spans="8:136" ht="10.199999999999999" x14ac:dyDescent="0.2">
      <c r="H971" s="12"/>
      <c r="V971" s="12"/>
      <c r="AJ971" s="12"/>
      <c r="AX971" s="12"/>
      <c r="BL971" s="12"/>
      <c r="BZ971" s="12"/>
      <c r="CB971" s="12"/>
      <c r="CP971" s="12"/>
      <c r="DD971" s="12"/>
      <c r="DR971" s="12"/>
      <c r="EF971" s="12"/>
    </row>
    <row r="972" spans="8:136" ht="10.199999999999999" x14ac:dyDescent="0.2">
      <c r="H972" s="12"/>
      <c r="V972" s="12"/>
      <c r="AJ972" s="12"/>
      <c r="AX972" s="12"/>
      <c r="BL972" s="12"/>
      <c r="BZ972" s="12"/>
      <c r="CB972" s="12"/>
      <c r="CP972" s="12"/>
      <c r="DD972" s="12"/>
      <c r="DR972" s="12"/>
      <c r="EF972" s="12"/>
    </row>
    <row r="973" spans="8:136" ht="10.199999999999999" x14ac:dyDescent="0.2">
      <c r="H973" s="12"/>
      <c r="V973" s="12"/>
      <c r="AJ973" s="12"/>
      <c r="AX973" s="12"/>
      <c r="BL973" s="12"/>
      <c r="BZ973" s="12"/>
      <c r="CB973" s="12"/>
      <c r="CP973" s="12"/>
      <c r="DD973" s="12"/>
      <c r="DR973" s="12"/>
      <c r="EF973" s="12"/>
    </row>
    <row r="974" spans="8:136" ht="10.199999999999999" x14ac:dyDescent="0.2">
      <c r="H974" s="12"/>
      <c r="V974" s="12"/>
      <c r="AJ974" s="12"/>
      <c r="AX974" s="12"/>
      <c r="BL974" s="12"/>
      <c r="BZ974" s="12"/>
      <c r="CB974" s="12"/>
      <c r="CP974" s="12"/>
      <c r="DD974" s="12"/>
      <c r="DR974" s="12"/>
      <c r="EF974" s="12"/>
    </row>
    <row r="975" spans="8:136" ht="10.199999999999999" x14ac:dyDescent="0.2">
      <c r="H975" s="12"/>
      <c r="V975" s="12"/>
      <c r="AJ975" s="12"/>
      <c r="AX975" s="12"/>
      <c r="BL975" s="12"/>
      <c r="BZ975" s="12"/>
      <c r="CB975" s="12"/>
      <c r="CP975" s="12"/>
      <c r="DD975" s="12"/>
      <c r="DR975" s="12"/>
      <c r="EF975" s="12"/>
    </row>
    <row r="976" spans="8:136" ht="10.199999999999999" x14ac:dyDescent="0.2">
      <c r="H976" s="12"/>
      <c r="V976" s="12"/>
      <c r="AJ976" s="12"/>
      <c r="AX976" s="12"/>
      <c r="BL976" s="12"/>
      <c r="BZ976" s="12"/>
      <c r="CB976" s="12"/>
      <c r="CP976" s="12"/>
      <c r="DD976" s="12"/>
      <c r="DR976" s="12"/>
      <c r="EF976" s="12"/>
    </row>
    <row r="977" spans="8:136" ht="10.199999999999999" x14ac:dyDescent="0.2">
      <c r="H977" s="12"/>
      <c r="V977" s="12"/>
      <c r="AJ977" s="12"/>
      <c r="AX977" s="12"/>
      <c r="BL977" s="12"/>
      <c r="BZ977" s="12"/>
      <c r="CB977" s="12"/>
      <c r="CP977" s="12"/>
      <c r="DD977" s="12"/>
      <c r="DR977" s="12"/>
      <c r="EF977" s="12"/>
    </row>
    <row r="978" spans="8:136" ht="10.199999999999999" x14ac:dyDescent="0.2">
      <c r="H978" s="12"/>
      <c r="V978" s="12"/>
      <c r="AJ978" s="12"/>
      <c r="AX978" s="12"/>
      <c r="BL978" s="12"/>
      <c r="BZ978" s="12"/>
      <c r="CB978" s="12"/>
      <c r="CP978" s="12"/>
      <c r="DD978" s="12"/>
      <c r="DR978" s="12"/>
      <c r="EF978" s="12"/>
    </row>
    <row r="979" spans="8:136" ht="10.199999999999999" x14ac:dyDescent="0.2">
      <c r="H979" s="12"/>
      <c r="V979" s="12"/>
      <c r="AJ979" s="12"/>
      <c r="AX979" s="12"/>
      <c r="BL979" s="12"/>
      <c r="BZ979" s="12"/>
      <c r="CB979" s="12"/>
      <c r="CP979" s="12"/>
      <c r="DD979" s="12"/>
      <c r="DR979" s="12"/>
      <c r="EF979" s="12"/>
    </row>
    <row r="980" spans="8:136" ht="10.199999999999999" x14ac:dyDescent="0.2">
      <c r="H980" s="12"/>
      <c r="V980" s="12"/>
      <c r="AJ980" s="12"/>
      <c r="AX980" s="12"/>
      <c r="BL980" s="12"/>
      <c r="BZ980" s="12"/>
      <c r="CB980" s="12"/>
      <c r="CP980" s="12"/>
      <c r="DD980" s="12"/>
      <c r="DR980" s="12"/>
      <c r="EF980" s="12"/>
    </row>
    <row r="981" spans="8:136" ht="10.199999999999999" x14ac:dyDescent="0.2">
      <c r="H981" s="12"/>
      <c r="V981" s="12"/>
      <c r="AJ981" s="12"/>
      <c r="AX981" s="12"/>
      <c r="BL981" s="12"/>
      <c r="BZ981" s="12"/>
      <c r="CB981" s="12"/>
      <c r="CP981" s="12"/>
      <c r="DD981" s="12"/>
      <c r="DR981" s="12"/>
      <c r="EF981" s="12"/>
    </row>
    <row r="982" spans="8:136" ht="10.199999999999999" x14ac:dyDescent="0.2">
      <c r="H982" s="12"/>
      <c r="V982" s="12"/>
      <c r="AJ982" s="12"/>
      <c r="AX982" s="12"/>
      <c r="BL982" s="12"/>
      <c r="BZ982" s="12"/>
      <c r="CB982" s="12"/>
      <c r="CP982" s="12"/>
      <c r="DD982" s="12"/>
      <c r="DR982" s="12"/>
      <c r="EF982" s="12"/>
    </row>
    <row r="983" spans="8:136" ht="10.199999999999999" x14ac:dyDescent="0.2">
      <c r="H983" s="12"/>
      <c r="V983" s="12"/>
      <c r="AJ983" s="12"/>
      <c r="AX983" s="12"/>
      <c r="BL983" s="12"/>
      <c r="BZ983" s="12"/>
      <c r="CB983" s="12"/>
      <c r="CP983" s="12"/>
      <c r="DD983" s="12"/>
      <c r="DR983" s="12"/>
      <c r="EF983" s="12"/>
    </row>
    <row r="984" spans="8:136" ht="10.199999999999999" x14ac:dyDescent="0.2">
      <c r="H984" s="12"/>
      <c r="V984" s="12"/>
      <c r="AJ984" s="12"/>
      <c r="AX984" s="12"/>
      <c r="BL984" s="12"/>
      <c r="BZ984" s="12"/>
      <c r="CB984" s="12"/>
      <c r="CP984" s="12"/>
      <c r="DD984" s="12"/>
      <c r="DR984" s="12"/>
      <c r="EF984" s="12"/>
    </row>
    <row r="985" spans="8:136" ht="10.199999999999999" x14ac:dyDescent="0.2">
      <c r="H985" s="12"/>
      <c r="V985" s="12"/>
      <c r="AJ985" s="12"/>
      <c r="AX985" s="12"/>
      <c r="BL985" s="12"/>
      <c r="BZ985" s="12"/>
      <c r="CB985" s="12"/>
      <c r="CP985" s="12"/>
      <c r="DD985" s="12"/>
      <c r="DR985" s="12"/>
      <c r="EF985" s="12"/>
    </row>
    <row r="986" spans="8:136" ht="10.199999999999999" x14ac:dyDescent="0.2">
      <c r="H986" s="12"/>
      <c r="V986" s="12"/>
      <c r="AJ986" s="12"/>
      <c r="AX986" s="12"/>
      <c r="BL986" s="12"/>
      <c r="BZ986" s="12"/>
      <c r="CB986" s="12"/>
      <c r="CP986" s="12"/>
      <c r="DD986" s="12"/>
      <c r="DR986" s="12"/>
      <c r="EF986" s="12"/>
    </row>
    <row r="987" spans="8:136" ht="10.199999999999999" x14ac:dyDescent="0.2">
      <c r="H987" s="12"/>
      <c r="V987" s="12"/>
      <c r="AJ987" s="12"/>
      <c r="AX987" s="12"/>
      <c r="BL987" s="12"/>
      <c r="BZ987" s="12"/>
      <c r="CB987" s="12"/>
      <c r="CP987" s="12"/>
      <c r="DD987" s="12"/>
      <c r="DR987" s="12"/>
      <c r="EF987" s="12"/>
    </row>
    <row r="988" spans="8:136" ht="10.199999999999999" x14ac:dyDescent="0.2">
      <c r="H988" s="12"/>
      <c r="V988" s="12"/>
      <c r="AJ988" s="12"/>
      <c r="AX988" s="12"/>
      <c r="BL988" s="12"/>
      <c r="BZ988" s="12"/>
      <c r="CB988" s="12"/>
      <c r="CP988" s="12"/>
      <c r="DD988" s="12"/>
      <c r="DR988" s="12"/>
      <c r="EF988" s="12"/>
    </row>
    <row r="989" spans="8:136" ht="10.199999999999999" x14ac:dyDescent="0.2">
      <c r="H989" s="12"/>
      <c r="V989" s="12"/>
      <c r="AJ989" s="12"/>
      <c r="AX989" s="12"/>
      <c r="BL989" s="12"/>
      <c r="BZ989" s="12"/>
      <c r="CB989" s="12"/>
      <c r="CP989" s="12"/>
      <c r="DD989" s="12"/>
      <c r="DR989" s="12"/>
      <c r="EF989" s="12"/>
    </row>
    <row r="990" spans="8:136" ht="10.199999999999999" x14ac:dyDescent="0.2">
      <c r="H990" s="12"/>
      <c r="V990" s="12"/>
      <c r="AJ990" s="12"/>
      <c r="AX990" s="12"/>
      <c r="BL990" s="12"/>
      <c r="BZ990" s="12"/>
      <c r="CB990" s="12"/>
      <c r="CP990" s="12"/>
      <c r="DD990" s="12"/>
      <c r="DR990" s="12"/>
      <c r="EF990" s="12"/>
    </row>
    <row r="991" spans="8:136" ht="10.199999999999999" x14ac:dyDescent="0.2">
      <c r="H991" s="12"/>
      <c r="V991" s="12"/>
      <c r="AJ991" s="12"/>
      <c r="AX991" s="12"/>
      <c r="BL991" s="12"/>
      <c r="BZ991" s="12"/>
      <c r="CB991" s="12"/>
      <c r="CP991" s="12"/>
      <c r="DD991" s="12"/>
      <c r="DR991" s="12"/>
      <c r="EF991" s="12"/>
    </row>
    <row r="992" spans="8:136" ht="10.199999999999999" x14ac:dyDescent="0.2">
      <c r="H992" s="12"/>
      <c r="V992" s="12"/>
      <c r="AJ992" s="12"/>
      <c r="AX992" s="12"/>
      <c r="BL992" s="12"/>
      <c r="BZ992" s="12"/>
      <c r="CB992" s="12"/>
      <c r="CP992" s="12"/>
      <c r="DD992" s="12"/>
      <c r="DR992" s="12"/>
      <c r="EF992" s="12"/>
    </row>
    <row r="993" spans="8:136" ht="10.199999999999999" x14ac:dyDescent="0.2">
      <c r="H993" s="12"/>
      <c r="V993" s="12"/>
      <c r="AJ993" s="12"/>
      <c r="AX993" s="12"/>
      <c r="BL993" s="12"/>
      <c r="BZ993" s="12"/>
      <c r="CB993" s="12"/>
      <c r="CP993" s="12"/>
      <c r="DD993" s="12"/>
      <c r="DR993" s="12"/>
      <c r="EF993" s="12"/>
    </row>
    <row r="994" spans="8:136" ht="10.199999999999999" x14ac:dyDescent="0.2">
      <c r="H994" s="12"/>
      <c r="V994" s="12"/>
      <c r="AJ994" s="12"/>
      <c r="AX994" s="12"/>
      <c r="BL994" s="12"/>
      <c r="BZ994" s="12"/>
      <c r="CB994" s="12"/>
      <c r="CP994" s="12"/>
      <c r="DD994" s="12"/>
      <c r="DR994" s="12"/>
      <c r="EF994" s="12"/>
    </row>
    <row r="995" spans="8:136" ht="10.199999999999999" x14ac:dyDescent="0.2">
      <c r="H995" s="12"/>
      <c r="V995" s="12"/>
      <c r="AJ995" s="12"/>
      <c r="AX995" s="12"/>
      <c r="BL995" s="12"/>
      <c r="BZ995" s="12"/>
      <c r="CB995" s="12"/>
      <c r="CP995" s="12"/>
      <c r="DD995" s="12"/>
      <c r="DR995" s="12"/>
      <c r="EF995" s="12"/>
    </row>
    <row r="996" spans="8:136" ht="10.199999999999999" x14ac:dyDescent="0.2">
      <c r="H996" s="12"/>
      <c r="V996" s="12"/>
      <c r="AJ996" s="12"/>
      <c r="AX996" s="12"/>
      <c r="BL996" s="12"/>
      <c r="BZ996" s="12"/>
      <c r="CB996" s="12"/>
      <c r="CP996" s="12"/>
      <c r="DD996" s="12"/>
      <c r="DR996" s="12"/>
      <c r="EF996" s="12"/>
    </row>
    <row r="997" spans="8:136" ht="10.199999999999999" x14ac:dyDescent="0.2">
      <c r="H997" s="12"/>
      <c r="V997" s="12"/>
      <c r="AJ997" s="12"/>
      <c r="AX997" s="12"/>
      <c r="BL997" s="12"/>
      <c r="BZ997" s="12"/>
      <c r="CB997" s="12"/>
      <c r="CP997" s="12"/>
      <c r="DD997" s="12"/>
      <c r="DR997" s="12"/>
      <c r="EF997" s="12"/>
    </row>
    <row r="998" spans="8:136" ht="10.199999999999999" x14ac:dyDescent="0.2">
      <c r="H998" s="12"/>
      <c r="V998" s="12"/>
      <c r="AJ998" s="12"/>
      <c r="AX998" s="12"/>
      <c r="BL998" s="12"/>
      <c r="BZ998" s="12"/>
      <c r="CB998" s="12"/>
      <c r="CP998" s="12"/>
      <c r="DD998" s="12"/>
      <c r="DR998" s="12"/>
      <c r="EF998" s="12"/>
    </row>
    <row r="999" spans="8:136" ht="10.199999999999999" x14ac:dyDescent="0.2">
      <c r="H999" s="12"/>
      <c r="V999" s="12"/>
      <c r="AJ999" s="12"/>
      <c r="AX999" s="12"/>
      <c r="BL999" s="12"/>
      <c r="BZ999" s="12"/>
      <c r="CB999" s="12"/>
      <c r="CP999" s="12"/>
      <c r="DD999" s="12"/>
      <c r="DR999" s="12"/>
      <c r="EF999" s="12"/>
    </row>
    <row r="1000" spans="8:136" ht="10.199999999999999" x14ac:dyDescent="0.2">
      <c r="H1000" s="12"/>
      <c r="V1000" s="12"/>
      <c r="AJ1000" s="12"/>
      <c r="AX1000" s="12"/>
      <c r="BL1000" s="12"/>
      <c r="BZ1000" s="12"/>
      <c r="CB1000" s="12"/>
      <c r="CP1000" s="12"/>
      <c r="DD1000" s="12"/>
      <c r="DR1000" s="12"/>
      <c r="EF1000" s="12"/>
    </row>
    <row r="1001" spans="8:136" ht="10.199999999999999" x14ac:dyDescent="0.2">
      <c r="H1001" s="12"/>
      <c r="V1001" s="12"/>
      <c r="AJ1001" s="12"/>
      <c r="AX1001" s="12"/>
      <c r="BL1001" s="12"/>
      <c r="BZ1001" s="12"/>
      <c r="CB1001" s="12"/>
      <c r="CP1001" s="12"/>
      <c r="DD1001" s="12"/>
      <c r="DR1001" s="12"/>
      <c r="EF1001" s="12"/>
    </row>
    <row r="1002" spans="8:136" ht="10.199999999999999" x14ac:dyDescent="0.2">
      <c r="H1002" s="12"/>
      <c r="V1002" s="12"/>
      <c r="AJ1002" s="12"/>
      <c r="AX1002" s="12"/>
      <c r="BL1002" s="12"/>
      <c r="BZ1002" s="12"/>
      <c r="CB1002" s="12"/>
      <c r="CP1002" s="12"/>
      <c r="DD1002" s="12"/>
      <c r="DR1002" s="12"/>
      <c r="EF1002" s="12"/>
    </row>
    <row r="1003" spans="8:136" ht="10.199999999999999" x14ac:dyDescent="0.2">
      <c r="H1003" s="12"/>
      <c r="V1003" s="12"/>
      <c r="AJ1003" s="12"/>
      <c r="AX1003" s="12"/>
      <c r="BL1003" s="12"/>
      <c r="BZ1003" s="12"/>
      <c r="CB1003" s="12"/>
      <c r="CP1003" s="12"/>
      <c r="DD1003" s="12"/>
      <c r="DR1003" s="12"/>
      <c r="EF1003" s="12"/>
    </row>
    <row r="1004" spans="8:136" ht="10.199999999999999" x14ac:dyDescent="0.2">
      <c r="H1004" s="12"/>
      <c r="V1004" s="12"/>
      <c r="AJ1004" s="12"/>
      <c r="AX1004" s="12"/>
      <c r="BL1004" s="12"/>
      <c r="BZ1004" s="12"/>
      <c r="CB1004" s="12"/>
      <c r="CP1004" s="12"/>
      <c r="DD1004" s="12"/>
      <c r="DR1004" s="12"/>
      <c r="EF1004" s="12"/>
    </row>
    <row r="1005" spans="8:136" ht="10.199999999999999" x14ac:dyDescent="0.2">
      <c r="H1005" s="12"/>
      <c r="V1005" s="12"/>
      <c r="AJ1005" s="12"/>
      <c r="AX1005" s="12"/>
      <c r="BL1005" s="12"/>
      <c r="BZ1005" s="12"/>
      <c r="CB1005" s="12"/>
      <c r="CP1005" s="12"/>
      <c r="DD1005" s="12"/>
      <c r="DR1005" s="12"/>
      <c r="EF1005" s="12"/>
    </row>
    <row r="1006" spans="8:136" ht="10.199999999999999" x14ac:dyDescent="0.2">
      <c r="H1006" s="12"/>
      <c r="V1006" s="12"/>
      <c r="AJ1006" s="12"/>
      <c r="AX1006" s="12"/>
      <c r="BL1006" s="12"/>
      <c r="BZ1006" s="12"/>
      <c r="CB1006" s="12"/>
      <c r="CP1006" s="12"/>
      <c r="DD1006" s="12"/>
      <c r="DR1006" s="12"/>
      <c r="EF1006" s="12"/>
    </row>
    <row r="1007" spans="8:136" ht="10.199999999999999" x14ac:dyDescent="0.2">
      <c r="H1007" s="12"/>
      <c r="V1007" s="12"/>
      <c r="AJ1007" s="12"/>
      <c r="AX1007" s="12"/>
      <c r="BL1007" s="12"/>
      <c r="BZ1007" s="12"/>
      <c r="CB1007" s="12"/>
      <c r="CP1007" s="12"/>
      <c r="DD1007" s="12"/>
      <c r="DR1007" s="12"/>
      <c r="EF1007" s="12"/>
    </row>
    <row r="1008" spans="8:136" ht="10.199999999999999" x14ac:dyDescent="0.2">
      <c r="H1008" s="12"/>
      <c r="V1008" s="12"/>
      <c r="AJ1008" s="12"/>
      <c r="AX1008" s="12"/>
      <c r="BL1008" s="12"/>
      <c r="BZ1008" s="12"/>
      <c r="CB1008" s="12"/>
      <c r="CP1008" s="12"/>
      <c r="DD1008" s="12"/>
      <c r="DR1008" s="12"/>
      <c r="EF1008" s="12"/>
    </row>
    <row r="1009" spans="8:136" ht="10.199999999999999" x14ac:dyDescent="0.2">
      <c r="H1009" s="12"/>
      <c r="V1009" s="12"/>
      <c r="AJ1009" s="12"/>
      <c r="AX1009" s="12"/>
      <c r="BL1009" s="12"/>
      <c r="BZ1009" s="12"/>
      <c r="CB1009" s="12"/>
      <c r="CP1009" s="12"/>
      <c r="DD1009" s="12"/>
      <c r="DR1009" s="12"/>
      <c r="EF1009" s="12"/>
    </row>
    <row r="1010" spans="8:136" ht="10.199999999999999" x14ac:dyDescent="0.2">
      <c r="H1010" s="12"/>
      <c r="V1010" s="12"/>
      <c r="AJ1010" s="12"/>
      <c r="AX1010" s="12"/>
      <c r="BL1010" s="12"/>
      <c r="BZ1010" s="12"/>
      <c r="CB1010" s="12"/>
      <c r="CP1010" s="12"/>
      <c r="DD1010" s="12"/>
      <c r="DR1010" s="12"/>
      <c r="EF1010" s="12"/>
    </row>
    <row r="1011" spans="8:136" ht="10.199999999999999" x14ac:dyDescent="0.2">
      <c r="H1011" s="12"/>
      <c r="V1011" s="12"/>
      <c r="AJ1011" s="12"/>
      <c r="AX1011" s="12"/>
      <c r="BL1011" s="12"/>
      <c r="BZ1011" s="12"/>
      <c r="CB1011" s="12"/>
      <c r="CP1011" s="12"/>
      <c r="DD1011" s="12"/>
      <c r="DR1011" s="12"/>
      <c r="EF1011" s="12"/>
    </row>
    <row r="1012" spans="8:136" ht="10.199999999999999" x14ac:dyDescent="0.2">
      <c r="H1012" s="12"/>
      <c r="V1012" s="12"/>
      <c r="AJ1012" s="12"/>
      <c r="AX1012" s="12"/>
      <c r="BL1012" s="12"/>
      <c r="BZ1012" s="12"/>
      <c r="CB1012" s="12"/>
      <c r="CP1012" s="12"/>
      <c r="DD1012" s="12"/>
      <c r="DR1012" s="12"/>
      <c r="EF1012" s="12"/>
    </row>
    <row r="1013" spans="8:136" ht="10.199999999999999" x14ac:dyDescent="0.2">
      <c r="H1013" s="12"/>
      <c r="V1013" s="12"/>
      <c r="AJ1013" s="12"/>
      <c r="AX1013" s="12"/>
      <c r="BL1013" s="12"/>
      <c r="BZ1013" s="12"/>
      <c r="CB1013" s="12"/>
      <c r="CP1013" s="12"/>
      <c r="DD1013" s="12"/>
      <c r="DR1013" s="12"/>
      <c r="EF1013" s="12"/>
    </row>
    <row r="1014" spans="8:136" ht="10.199999999999999" x14ac:dyDescent="0.2">
      <c r="H1014" s="12"/>
      <c r="V1014" s="12"/>
      <c r="AJ1014" s="12"/>
      <c r="AX1014" s="12"/>
      <c r="BL1014" s="12"/>
      <c r="BZ1014" s="12"/>
      <c r="CB1014" s="12"/>
      <c r="CP1014" s="12"/>
      <c r="DD1014" s="12"/>
      <c r="DR1014" s="12"/>
      <c r="EF1014" s="12"/>
    </row>
    <row r="1015" spans="8:136" ht="10.199999999999999" x14ac:dyDescent="0.2">
      <c r="H1015" s="12"/>
      <c r="V1015" s="12"/>
      <c r="AJ1015" s="12"/>
      <c r="AX1015" s="12"/>
      <c r="BL1015" s="12"/>
      <c r="BZ1015" s="12"/>
      <c r="CB1015" s="12"/>
      <c r="CP1015" s="12"/>
      <c r="DD1015" s="12"/>
      <c r="DR1015" s="12"/>
      <c r="EF1015" s="12"/>
    </row>
    <row r="1016" spans="8:136" ht="10.199999999999999" x14ac:dyDescent="0.2">
      <c r="H1016" s="12"/>
      <c r="V1016" s="12"/>
      <c r="AJ1016" s="12"/>
      <c r="AX1016" s="12"/>
      <c r="BL1016" s="12"/>
      <c r="BZ1016" s="12"/>
      <c r="CB1016" s="12"/>
      <c r="CP1016" s="12"/>
      <c r="DD1016" s="12"/>
      <c r="DR1016" s="12"/>
      <c r="EF1016" s="12"/>
    </row>
    <row r="1017" spans="8:136" ht="10.199999999999999" x14ac:dyDescent="0.2">
      <c r="H1017" s="12"/>
      <c r="V1017" s="12"/>
      <c r="AJ1017" s="12"/>
      <c r="AX1017" s="12"/>
      <c r="BL1017" s="12"/>
      <c r="BZ1017" s="12"/>
      <c r="CB1017" s="12"/>
      <c r="CP1017" s="12"/>
      <c r="DD1017" s="12"/>
      <c r="DR1017" s="12"/>
      <c r="EF1017" s="12"/>
    </row>
    <row r="1018" spans="8:136" ht="10.199999999999999" x14ac:dyDescent="0.2">
      <c r="H1018" s="12"/>
      <c r="V1018" s="12"/>
      <c r="AJ1018" s="12"/>
      <c r="AX1018" s="12"/>
      <c r="BL1018" s="12"/>
      <c r="BZ1018" s="12"/>
      <c r="CB1018" s="12"/>
      <c r="CP1018" s="12"/>
      <c r="DD1018" s="12"/>
      <c r="DR1018" s="12"/>
      <c r="EF1018" s="12"/>
    </row>
    <row r="1019" spans="8:136" ht="10.199999999999999" x14ac:dyDescent="0.2">
      <c r="H1019" s="12"/>
      <c r="V1019" s="12"/>
      <c r="AJ1019" s="12"/>
      <c r="AX1019" s="12"/>
      <c r="BL1019" s="12"/>
      <c r="BZ1019" s="12"/>
      <c r="CB1019" s="12"/>
      <c r="CP1019" s="12"/>
      <c r="DD1019" s="12"/>
      <c r="DR1019" s="12"/>
      <c r="EF1019" s="12"/>
    </row>
    <row r="1020" spans="8:136" ht="10.199999999999999" x14ac:dyDescent="0.2">
      <c r="H1020" s="12"/>
      <c r="V1020" s="12"/>
      <c r="AJ1020" s="12"/>
      <c r="AX1020" s="12"/>
      <c r="BL1020" s="12"/>
      <c r="BZ1020" s="12"/>
      <c r="CB1020" s="12"/>
      <c r="CP1020" s="12"/>
      <c r="DD1020" s="12"/>
      <c r="DR1020" s="12"/>
      <c r="EF1020" s="12"/>
    </row>
    <row r="1021" spans="8:136" ht="10.199999999999999" x14ac:dyDescent="0.2">
      <c r="H1021" s="12"/>
      <c r="V1021" s="12"/>
      <c r="AJ1021" s="12"/>
      <c r="AX1021" s="12"/>
      <c r="BL1021" s="12"/>
      <c r="BZ1021" s="12"/>
      <c r="CB1021" s="12"/>
      <c r="CP1021" s="12"/>
      <c r="DD1021" s="12"/>
      <c r="DR1021" s="12"/>
      <c r="EF1021" s="12"/>
    </row>
    <row r="1022" spans="8:136" ht="10.199999999999999" x14ac:dyDescent="0.2">
      <c r="H1022" s="12"/>
      <c r="V1022" s="12"/>
      <c r="AJ1022" s="12"/>
      <c r="AX1022" s="12"/>
      <c r="BL1022" s="12"/>
      <c r="BZ1022" s="12"/>
      <c r="CB1022" s="12"/>
      <c r="CP1022" s="12"/>
      <c r="DD1022" s="12"/>
      <c r="DR1022" s="12"/>
      <c r="EF1022" s="12"/>
    </row>
    <row r="1023" spans="8:136" ht="10.199999999999999" x14ac:dyDescent="0.2">
      <c r="H1023" s="12"/>
      <c r="V1023" s="12"/>
      <c r="AJ1023" s="12"/>
      <c r="AX1023" s="12"/>
      <c r="BL1023" s="12"/>
      <c r="BZ1023" s="12"/>
      <c r="CB1023" s="12"/>
      <c r="CP1023" s="12"/>
      <c r="DD1023" s="12"/>
      <c r="DR1023" s="12"/>
      <c r="EF1023" s="12"/>
    </row>
    <row r="1024" spans="8:136" ht="10.199999999999999" x14ac:dyDescent="0.2">
      <c r="H1024" s="12"/>
      <c r="V1024" s="12"/>
      <c r="AJ1024" s="12"/>
      <c r="AX1024" s="12"/>
      <c r="BL1024" s="12"/>
      <c r="BZ1024" s="12"/>
      <c r="CB1024" s="12"/>
      <c r="CP1024" s="12"/>
      <c r="DD1024" s="12"/>
      <c r="DR1024" s="12"/>
      <c r="EF1024" s="12"/>
    </row>
    <row r="1025" spans="8:136" ht="10.199999999999999" x14ac:dyDescent="0.2">
      <c r="H1025" s="12"/>
      <c r="V1025" s="12"/>
      <c r="AJ1025" s="12"/>
      <c r="AX1025" s="12"/>
      <c r="BL1025" s="12"/>
      <c r="BZ1025" s="12"/>
      <c r="CB1025" s="12"/>
      <c r="CP1025" s="12"/>
      <c r="DD1025" s="12"/>
      <c r="DR1025" s="12"/>
      <c r="EF1025" s="12"/>
    </row>
    <row r="1026" spans="8:136" ht="10.199999999999999" x14ac:dyDescent="0.2">
      <c r="H1026" s="12"/>
      <c r="V1026" s="12"/>
      <c r="AJ1026" s="12"/>
      <c r="AX1026" s="12"/>
      <c r="BL1026" s="12"/>
      <c r="BZ1026" s="12"/>
      <c r="CB1026" s="12"/>
      <c r="CP1026" s="12"/>
      <c r="DD1026" s="12"/>
      <c r="DR1026" s="12"/>
      <c r="EF1026" s="12"/>
    </row>
    <row r="1027" spans="8:136" ht="10.199999999999999" x14ac:dyDescent="0.2">
      <c r="H1027" s="12"/>
      <c r="V1027" s="12"/>
      <c r="AJ1027" s="12"/>
      <c r="AX1027" s="12"/>
      <c r="BL1027" s="12"/>
      <c r="BZ1027" s="12"/>
      <c r="CB1027" s="12"/>
      <c r="CP1027" s="12"/>
      <c r="DD1027" s="12"/>
      <c r="DR1027" s="12"/>
      <c r="EF1027" s="12"/>
    </row>
    <row r="1028" spans="8:136" ht="10.199999999999999" x14ac:dyDescent="0.2">
      <c r="H1028" s="12"/>
      <c r="V1028" s="12"/>
      <c r="AJ1028" s="12"/>
      <c r="AX1028" s="12"/>
      <c r="BL1028" s="12"/>
      <c r="BZ1028" s="12"/>
      <c r="CB1028" s="12"/>
      <c r="CP1028" s="12"/>
      <c r="DD1028" s="12"/>
      <c r="DR1028" s="12"/>
      <c r="EF1028" s="12"/>
    </row>
    <row r="1029" spans="8:136" ht="10.199999999999999" x14ac:dyDescent="0.2">
      <c r="H1029" s="12"/>
      <c r="V1029" s="12"/>
      <c r="AJ1029" s="12"/>
      <c r="AX1029" s="12"/>
      <c r="BL1029" s="12"/>
      <c r="BZ1029" s="12"/>
      <c r="CB1029" s="12"/>
      <c r="CP1029" s="12"/>
      <c r="DD1029" s="12"/>
      <c r="DR1029" s="12"/>
      <c r="EF1029" s="12"/>
    </row>
    <row r="1030" spans="8:136" ht="10.199999999999999" x14ac:dyDescent="0.2">
      <c r="H1030" s="12"/>
      <c r="V1030" s="12"/>
      <c r="AJ1030" s="12"/>
      <c r="AX1030" s="12"/>
      <c r="BL1030" s="12"/>
      <c r="BZ1030" s="12"/>
      <c r="CB1030" s="12"/>
      <c r="CP1030" s="12"/>
      <c r="DD1030" s="12"/>
      <c r="DR1030" s="12"/>
      <c r="EF1030" s="12"/>
    </row>
    <row r="1031" spans="8:136" ht="10.199999999999999" x14ac:dyDescent="0.2">
      <c r="H1031" s="12"/>
      <c r="V1031" s="12"/>
      <c r="AJ1031" s="12"/>
      <c r="AX1031" s="12"/>
      <c r="BL1031" s="12"/>
      <c r="BZ1031" s="12"/>
      <c r="CB1031" s="12"/>
      <c r="CP1031" s="12"/>
      <c r="DD1031" s="12"/>
      <c r="DR1031" s="12"/>
      <c r="EF1031" s="12"/>
    </row>
    <row r="1032" spans="8:136" ht="10.199999999999999" x14ac:dyDescent="0.2">
      <c r="H1032" s="12"/>
      <c r="V1032" s="12"/>
      <c r="AJ1032" s="12"/>
      <c r="AX1032" s="12"/>
      <c r="BL1032" s="12"/>
      <c r="BZ1032" s="12"/>
      <c r="CB1032" s="12"/>
      <c r="CP1032" s="12"/>
      <c r="DD1032" s="12"/>
      <c r="DR1032" s="12"/>
      <c r="EF1032" s="12"/>
    </row>
    <row r="1033" spans="8:136" ht="10.199999999999999" x14ac:dyDescent="0.2">
      <c r="H1033" s="12"/>
      <c r="V1033" s="12"/>
      <c r="AJ1033" s="12"/>
      <c r="AX1033" s="12"/>
      <c r="BL1033" s="12"/>
      <c r="BZ1033" s="12"/>
      <c r="CB1033" s="12"/>
      <c r="CP1033" s="12"/>
      <c r="DD1033" s="12"/>
      <c r="DR1033" s="12"/>
      <c r="EF1033" s="12"/>
    </row>
    <row r="1034" spans="8:136" ht="10.199999999999999" x14ac:dyDescent="0.2">
      <c r="H1034" s="12"/>
      <c r="V1034" s="12"/>
      <c r="AJ1034" s="12"/>
      <c r="AX1034" s="12"/>
      <c r="BL1034" s="12"/>
      <c r="BZ1034" s="12"/>
      <c r="CB1034" s="12"/>
      <c r="CP1034" s="12"/>
      <c r="DD1034" s="12"/>
      <c r="DR1034" s="12"/>
      <c r="EF1034" s="12"/>
    </row>
    <row r="1035" spans="8:136" ht="10.199999999999999" x14ac:dyDescent="0.2">
      <c r="H1035" s="12"/>
      <c r="V1035" s="12"/>
      <c r="AJ1035" s="12"/>
      <c r="AX1035" s="12"/>
      <c r="BL1035" s="12"/>
      <c r="BZ1035" s="12"/>
      <c r="CB1035" s="12"/>
      <c r="CP1035" s="12"/>
      <c r="DD1035" s="12"/>
      <c r="DR1035" s="12"/>
      <c r="EF1035" s="12"/>
    </row>
    <row r="1036" spans="8:136" ht="10.199999999999999" x14ac:dyDescent="0.2">
      <c r="H1036" s="12"/>
      <c r="V1036" s="12"/>
      <c r="AJ1036" s="12"/>
      <c r="AX1036" s="12"/>
      <c r="BL1036" s="12"/>
      <c r="BZ1036" s="12"/>
      <c r="CB1036" s="12"/>
      <c r="CP1036" s="12"/>
      <c r="DD1036" s="12"/>
      <c r="DR1036" s="12"/>
      <c r="EF1036" s="12"/>
    </row>
    <row r="1037" spans="8:136" ht="10.199999999999999" x14ac:dyDescent="0.2">
      <c r="H1037" s="12"/>
      <c r="V1037" s="12"/>
      <c r="AJ1037" s="12"/>
      <c r="AX1037" s="12"/>
      <c r="BL1037" s="12"/>
      <c r="BZ1037" s="12"/>
      <c r="CB1037" s="12"/>
      <c r="CP1037" s="12"/>
      <c r="DD1037" s="12"/>
      <c r="DR1037" s="12"/>
      <c r="EF1037" s="12"/>
    </row>
    <row r="1038" spans="8:136" ht="10.199999999999999" x14ac:dyDescent="0.2">
      <c r="H1038" s="12"/>
      <c r="V1038" s="12"/>
      <c r="AJ1038" s="12"/>
      <c r="AX1038" s="12"/>
      <c r="BL1038" s="12"/>
      <c r="BZ1038" s="12"/>
      <c r="CB1038" s="12"/>
      <c r="CP1038" s="12"/>
      <c r="DD1038" s="12"/>
      <c r="DR1038" s="12"/>
      <c r="EF1038" s="12"/>
    </row>
    <row r="1039" spans="8:136" ht="10.199999999999999" x14ac:dyDescent="0.2">
      <c r="H1039" s="12"/>
      <c r="V1039" s="12"/>
      <c r="AJ1039" s="12"/>
      <c r="AX1039" s="12"/>
      <c r="BL1039" s="12"/>
      <c r="BZ1039" s="12"/>
      <c r="CB1039" s="12"/>
      <c r="CP1039" s="12"/>
      <c r="DD1039" s="12"/>
      <c r="DR1039" s="12"/>
      <c r="EF1039" s="12"/>
    </row>
    <row r="1040" spans="8:136" ht="10.199999999999999" x14ac:dyDescent="0.2">
      <c r="H1040" s="12"/>
      <c r="V1040" s="12"/>
      <c r="AJ1040" s="12"/>
      <c r="AX1040" s="12"/>
      <c r="BL1040" s="12"/>
      <c r="BZ1040" s="12"/>
      <c r="CB1040" s="12"/>
      <c r="CP1040" s="12"/>
      <c r="DD1040" s="12"/>
      <c r="DR1040" s="12"/>
      <c r="EF1040" s="12"/>
    </row>
    <row r="1041" spans="8:136" ht="10.199999999999999" x14ac:dyDescent="0.2">
      <c r="H1041" s="12"/>
      <c r="V1041" s="12"/>
      <c r="AJ1041" s="12"/>
      <c r="AX1041" s="12"/>
      <c r="BL1041" s="12"/>
      <c r="BZ1041" s="12"/>
      <c r="CB1041" s="12"/>
      <c r="CP1041" s="12"/>
      <c r="DD1041" s="12"/>
      <c r="DR1041" s="12"/>
      <c r="EF1041" s="12"/>
    </row>
    <row r="1042" spans="8:136" ht="10.199999999999999" x14ac:dyDescent="0.2">
      <c r="H1042" s="12"/>
      <c r="V1042" s="12"/>
      <c r="AJ1042" s="12"/>
      <c r="AX1042" s="12"/>
      <c r="BL1042" s="12"/>
      <c r="BZ1042" s="12"/>
      <c r="CB1042" s="12"/>
      <c r="CP1042" s="12"/>
      <c r="DD1042" s="12"/>
      <c r="DR1042" s="12"/>
      <c r="EF1042" s="12"/>
    </row>
    <row r="1043" spans="8:136" ht="10.199999999999999" x14ac:dyDescent="0.2">
      <c r="H1043" s="12"/>
      <c r="V1043" s="12"/>
      <c r="AJ1043" s="12"/>
      <c r="AX1043" s="12"/>
      <c r="BL1043" s="12"/>
      <c r="BZ1043" s="12"/>
      <c r="CB1043" s="12"/>
      <c r="CP1043" s="12"/>
      <c r="DD1043" s="12"/>
      <c r="DR1043" s="12"/>
      <c r="EF1043" s="12"/>
    </row>
    <row r="1044" spans="8:136" ht="10.199999999999999" x14ac:dyDescent="0.2">
      <c r="H1044" s="12"/>
      <c r="V1044" s="12"/>
      <c r="AJ1044" s="12"/>
      <c r="AX1044" s="12"/>
      <c r="BL1044" s="12"/>
      <c r="BZ1044" s="12"/>
      <c r="CB1044" s="12"/>
      <c r="CP1044" s="12"/>
      <c r="DD1044" s="12"/>
      <c r="DR1044" s="12"/>
      <c r="EF1044" s="12"/>
    </row>
    <row r="1045" spans="8:136" ht="10.199999999999999" x14ac:dyDescent="0.2">
      <c r="H1045" s="12"/>
      <c r="V1045" s="12"/>
      <c r="AJ1045" s="12"/>
      <c r="AX1045" s="12"/>
      <c r="BL1045" s="12"/>
      <c r="BZ1045" s="12"/>
      <c r="CB1045" s="12"/>
      <c r="CP1045" s="12"/>
      <c r="DD1045" s="12"/>
      <c r="DR1045" s="12"/>
      <c r="EF1045" s="12"/>
    </row>
    <row r="1046" spans="8:136" ht="10.199999999999999" x14ac:dyDescent="0.2">
      <c r="H1046" s="12"/>
      <c r="V1046" s="12"/>
      <c r="AJ1046" s="12"/>
      <c r="AX1046" s="12"/>
      <c r="BL1046" s="12"/>
      <c r="BZ1046" s="12"/>
      <c r="CB1046" s="12"/>
      <c r="CP1046" s="12"/>
      <c r="DD1046" s="12"/>
      <c r="DR1046" s="12"/>
      <c r="EF1046" s="12"/>
    </row>
    <row r="1047" spans="8:136" ht="10.199999999999999" x14ac:dyDescent="0.2">
      <c r="H1047" s="12"/>
      <c r="V1047" s="12"/>
      <c r="AJ1047" s="12"/>
      <c r="AX1047" s="12"/>
      <c r="BL1047" s="12"/>
      <c r="BZ1047" s="12"/>
      <c r="CB1047" s="12"/>
      <c r="CP1047" s="12"/>
      <c r="DD1047" s="12"/>
      <c r="DR1047" s="12"/>
      <c r="EF1047" s="12"/>
    </row>
    <row r="1048" spans="8:136" ht="10.199999999999999" x14ac:dyDescent="0.2">
      <c r="H1048" s="12"/>
      <c r="V1048" s="12"/>
      <c r="AJ1048" s="12"/>
      <c r="AX1048" s="12"/>
      <c r="BL1048" s="12"/>
      <c r="BZ1048" s="12"/>
      <c r="CB1048" s="12"/>
      <c r="CP1048" s="12"/>
      <c r="DD1048" s="12"/>
      <c r="DR1048" s="12"/>
      <c r="EF1048" s="12"/>
    </row>
    <row r="1049" spans="8:136" ht="10.199999999999999" x14ac:dyDescent="0.2">
      <c r="H1049" s="12"/>
      <c r="V1049" s="12"/>
      <c r="AJ1049" s="12"/>
      <c r="AX1049" s="12"/>
      <c r="BL1049" s="12"/>
      <c r="BZ1049" s="12"/>
      <c r="CB1049" s="12"/>
      <c r="CP1049" s="12"/>
      <c r="DD1049" s="12"/>
      <c r="DR1049" s="12"/>
      <c r="EF1049" s="12"/>
    </row>
    <row r="1050" spans="8:136" ht="10.199999999999999" x14ac:dyDescent="0.2">
      <c r="H1050" s="12"/>
      <c r="V1050" s="12"/>
      <c r="AJ1050" s="12"/>
      <c r="AX1050" s="12"/>
      <c r="BL1050" s="12"/>
      <c r="BZ1050" s="12"/>
      <c r="CB1050" s="12"/>
      <c r="CP1050" s="12"/>
      <c r="DD1050" s="12"/>
      <c r="DR1050" s="12"/>
      <c r="EF1050" s="12"/>
    </row>
    <row r="1051" spans="8:136" ht="10.199999999999999" x14ac:dyDescent="0.2">
      <c r="H1051" s="12"/>
      <c r="V1051" s="12"/>
      <c r="AJ1051" s="12"/>
      <c r="AX1051" s="12"/>
      <c r="BL1051" s="12"/>
      <c r="BZ1051" s="12"/>
      <c r="CB1051" s="12"/>
      <c r="CP1051" s="12"/>
      <c r="DD1051" s="12"/>
      <c r="DR1051" s="12"/>
      <c r="EF1051" s="12"/>
    </row>
    <row r="1052" spans="8:136" ht="10.199999999999999" x14ac:dyDescent="0.2">
      <c r="H1052" s="12"/>
      <c r="V1052" s="12"/>
      <c r="AJ1052" s="12"/>
      <c r="AX1052" s="12"/>
      <c r="BL1052" s="12"/>
      <c r="BZ1052" s="12"/>
      <c r="CB1052" s="12"/>
      <c r="CP1052" s="12"/>
      <c r="DD1052" s="12"/>
      <c r="DR1052" s="12"/>
      <c r="EF1052" s="12"/>
    </row>
    <row r="1053" spans="8:136" ht="10.199999999999999" x14ac:dyDescent="0.2">
      <c r="H1053" s="12"/>
      <c r="V1053" s="12"/>
      <c r="AJ1053" s="12"/>
      <c r="AX1053" s="12"/>
      <c r="BL1053" s="12"/>
      <c r="BZ1053" s="12"/>
      <c r="CB1053" s="12"/>
      <c r="CP1053" s="12"/>
      <c r="DD1053" s="12"/>
      <c r="DR1053" s="12"/>
      <c r="EF1053" s="12"/>
    </row>
    <row r="1054" spans="8:136" ht="10.199999999999999" x14ac:dyDescent="0.2">
      <c r="H1054" s="12"/>
      <c r="V1054" s="12"/>
      <c r="AJ1054" s="12"/>
      <c r="AX1054" s="12"/>
      <c r="BL1054" s="12"/>
      <c r="BZ1054" s="12"/>
      <c r="CB1054" s="12"/>
      <c r="CP1054" s="12"/>
      <c r="DD1054" s="12"/>
      <c r="DR1054" s="12"/>
      <c r="EF1054" s="12"/>
    </row>
    <row r="1055" spans="8:136" ht="10.199999999999999" x14ac:dyDescent="0.2">
      <c r="H1055" s="12"/>
      <c r="V1055" s="12"/>
      <c r="AJ1055" s="12"/>
      <c r="AX1055" s="12"/>
      <c r="BL1055" s="12"/>
      <c r="BZ1055" s="12"/>
      <c r="CB1055" s="12"/>
      <c r="CP1055" s="12"/>
      <c r="DD1055" s="12"/>
      <c r="DR1055" s="12"/>
      <c r="EF1055" s="12"/>
    </row>
    <row r="1056" spans="8:136" ht="10.199999999999999" x14ac:dyDescent="0.2">
      <c r="H1056" s="12"/>
      <c r="V1056" s="12"/>
      <c r="AJ1056" s="12"/>
      <c r="AX1056" s="12"/>
      <c r="BL1056" s="12"/>
      <c r="BZ1056" s="12"/>
      <c r="CB1056" s="12"/>
      <c r="CP1056" s="12"/>
      <c r="DD1056" s="12"/>
      <c r="DR1056" s="12"/>
      <c r="EF1056" s="12"/>
    </row>
    <row r="1057" spans="8:136" ht="10.199999999999999" x14ac:dyDescent="0.2">
      <c r="H1057" s="12"/>
      <c r="V1057" s="12"/>
      <c r="AJ1057" s="12"/>
      <c r="AX1057" s="12"/>
      <c r="BL1057" s="12"/>
      <c r="BZ1057" s="12"/>
      <c r="CB1057" s="12"/>
      <c r="CP1057" s="12"/>
      <c r="DD1057" s="12"/>
      <c r="DR1057" s="12"/>
      <c r="EF1057" s="12"/>
    </row>
    <row r="1058" spans="8:136" ht="10.199999999999999" x14ac:dyDescent="0.2">
      <c r="H1058" s="12"/>
      <c r="V1058" s="12"/>
      <c r="AJ1058" s="12"/>
      <c r="AX1058" s="12"/>
      <c r="BL1058" s="12"/>
      <c r="BZ1058" s="12"/>
      <c r="CB1058" s="12"/>
      <c r="CP1058" s="12"/>
      <c r="DD1058" s="12"/>
      <c r="DR1058" s="12"/>
      <c r="EF1058" s="12"/>
    </row>
    <row r="1059" spans="8:136" ht="10.199999999999999" x14ac:dyDescent="0.2">
      <c r="H1059" s="12"/>
      <c r="V1059" s="12"/>
      <c r="AJ1059" s="12"/>
      <c r="AX1059" s="12"/>
      <c r="BL1059" s="12"/>
      <c r="BZ1059" s="12"/>
      <c r="CB1059" s="12"/>
      <c r="CP1059" s="12"/>
      <c r="DD1059" s="12"/>
      <c r="DR1059" s="12"/>
      <c r="EF1059" s="12"/>
    </row>
    <row r="1060" spans="8:136" ht="10.199999999999999" x14ac:dyDescent="0.2">
      <c r="H1060" s="12"/>
      <c r="V1060" s="12"/>
      <c r="AJ1060" s="12"/>
      <c r="AX1060" s="12"/>
      <c r="BL1060" s="12"/>
      <c r="BZ1060" s="12"/>
      <c r="CB1060" s="12"/>
      <c r="CP1060" s="12"/>
      <c r="DD1060" s="12"/>
      <c r="DR1060" s="12"/>
      <c r="EF1060" s="12"/>
    </row>
    <row r="1061" spans="8:136" ht="10.199999999999999" x14ac:dyDescent="0.2">
      <c r="H1061" s="12"/>
      <c r="V1061" s="12"/>
      <c r="AJ1061" s="12"/>
      <c r="AX1061" s="12"/>
      <c r="BL1061" s="12"/>
      <c r="BZ1061" s="12"/>
      <c r="CB1061" s="12"/>
      <c r="CP1061" s="12"/>
      <c r="DD1061" s="12"/>
      <c r="DR1061" s="12"/>
      <c r="EF1061" s="12"/>
    </row>
    <row r="1062" spans="8:136" ht="10.199999999999999" x14ac:dyDescent="0.2">
      <c r="H1062" s="12"/>
      <c r="V1062" s="12"/>
      <c r="AJ1062" s="12"/>
      <c r="AX1062" s="12"/>
      <c r="BL1062" s="12"/>
      <c r="BZ1062" s="12"/>
      <c r="CB1062" s="12"/>
      <c r="CP1062" s="12"/>
      <c r="DD1062" s="12"/>
      <c r="DR1062" s="12"/>
      <c r="EF1062" s="12"/>
    </row>
    <row r="1063" spans="8:136" ht="10.199999999999999" x14ac:dyDescent="0.2">
      <c r="H1063" s="12"/>
      <c r="V1063" s="12"/>
      <c r="AJ1063" s="12"/>
      <c r="AX1063" s="12"/>
      <c r="BL1063" s="12"/>
      <c r="BZ1063" s="12"/>
      <c r="CB1063" s="12"/>
      <c r="CP1063" s="12"/>
      <c r="DD1063" s="12"/>
      <c r="DR1063" s="12"/>
      <c r="EF1063" s="12"/>
    </row>
    <row r="1064" spans="8:136" ht="10.199999999999999" x14ac:dyDescent="0.2">
      <c r="H1064" s="12"/>
      <c r="V1064" s="12"/>
      <c r="AJ1064" s="12"/>
      <c r="AX1064" s="12"/>
      <c r="BL1064" s="12"/>
      <c r="BZ1064" s="12"/>
      <c r="CB1064" s="12"/>
      <c r="CP1064" s="12"/>
      <c r="DD1064" s="12"/>
      <c r="DR1064" s="12"/>
      <c r="EF1064" s="12"/>
    </row>
    <row r="1065" spans="8:136" ht="10.199999999999999" x14ac:dyDescent="0.2">
      <c r="H1065" s="12"/>
      <c r="V1065" s="12"/>
      <c r="AJ1065" s="12"/>
      <c r="AX1065" s="12"/>
      <c r="BL1065" s="12"/>
      <c r="BZ1065" s="12"/>
      <c r="CB1065" s="12"/>
      <c r="CP1065" s="12"/>
      <c r="DD1065" s="12"/>
      <c r="DR1065" s="12"/>
      <c r="EF1065" s="12"/>
    </row>
    <row r="1066" spans="8:136" ht="10.199999999999999" x14ac:dyDescent="0.2">
      <c r="H1066" s="12"/>
      <c r="V1066" s="12"/>
      <c r="AJ1066" s="12"/>
      <c r="AX1066" s="12"/>
      <c r="BL1066" s="12"/>
      <c r="BZ1066" s="12"/>
      <c r="CB1066" s="12"/>
      <c r="CP1066" s="12"/>
      <c r="DD1066" s="12"/>
      <c r="DR1066" s="12"/>
      <c r="EF1066" s="12"/>
    </row>
    <row r="1067" spans="8:136" ht="10.199999999999999" x14ac:dyDescent="0.2">
      <c r="H1067" s="12"/>
      <c r="V1067" s="12"/>
      <c r="AJ1067" s="12"/>
      <c r="AX1067" s="12"/>
      <c r="BL1067" s="12"/>
      <c r="BZ1067" s="12"/>
      <c r="CB1067" s="12"/>
      <c r="CP1067" s="12"/>
      <c r="DD1067" s="12"/>
      <c r="DR1067" s="12"/>
      <c r="EF1067" s="12"/>
    </row>
    <row r="1068" spans="8:136" ht="10.199999999999999" x14ac:dyDescent="0.2">
      <c r="H1068" s="12"/>
      <c r="V1068" s="12"/>
      <c r="AJ1068" s="12"/>
      <c r="AX1068" s="12"/>
      <c r="BL1068" s="12"/>
      <c r="BZ1068" s="12"/>
      <c r="CB1068" s="12"/>
      <c r="CP1068" s="12"/>
      <c r="DD1068" s="12"/>
      <c r="DR1068" s="12"/>
      <c r="EF1068" s="12"/>
    </row>
    <row r="1069" spans="8:136" ht="10.199999999999999" x14ac:dyDescent="0.2">
      <c r="H1069" s="12"/>
      <c r="V1069" s="12"/>
      <c r="AJ1069" s="12"/>
      <c r="AX1069" s="12"/>
      <c r="BL1069" s="12"/>
      <c r="BZ1069" s="12"/>
      <c r="CB1069" s="12"/>
      <c r="CP1069" s="12"/>
      <c r="DD1069" s="12"/>
      <c r="DR1069" s="12"/>
      <c r="EF1069" s="12"/>
    </row>
    <row r="1070" spans="8:136" ht="10.199999999999999" x14ac:dyDescent="0.2">
      <c r="H1070" s="12"/>
      <c r="V1070" s="12"/>
      <c r="AJ1070" s="12"/>
      <c r="AX1070" s="12"/>
      <c r="BL1070" s="12"/>
      <c r="BZ1070" s="12"/>
      <c r="CB1070" s="12"/>
      <c r="CP1070" s="12"/>
      <c r="DD1070" s="12"/>
      <c r="DR1070" s="12"/>
      <c r="EF1070" s="12"/>
    </row>
    <row r="1071" spans="8:136" ht="10.199999999999999" x14ac:dyDescent="0.2">
      <c r="H1071" s="12"/>
      <c r="V1071" s="12"/>
      <c r="AJ1071" s="12"/>
      <c r="AX1071" s="12"/>
      <c r="BL1071" s="12"/>
      <c r="BZ1071" s="12"/>
      <c r="CB1071" s="12"/>
      <c r="CP1071" s="12"/>
      <c r="DD1071" s="12"/>
      <c r="DR1071" s="12"/>
      <c r="EF1071" s="12"/>
    </row>
    <row r="1072" spans="8:136" ht="10.199999999999999" x14ac:dyDescent="0.2">
      <c r="H1072" s="12"/>
      <c r="V1072" s="12"/>
      <c r="AJ1072" s="12"/>
      <c r="AX1072" s="12"/>
      <c r="BL1072" s="12"/>
      <c r="BZ1072" s="12"/>
      <c r="CB1072" s="12"/>
      <c r="CP1072" s="12"/>
      <c r="DD1072" s="12"/>
      <c r="DR1072" s="12"/>
      <c r="EF1072" s="12"/>
    </row>
    <row r="1073" spans="8:136" ht="10.199999999999999" x14ac:dyDescent="0.2">
      <c r="H1073" s="12"/>
      <c r="V1073" s="12"/>
      <c r="AJ1073" s="12"/>
      <c r="AX1073" s="12"/>
      <c r="BL1073" s="12"/>
      <c r="BZ1073" s="12"/>
      <c r="CB1073" s="12"/>
      <c r="CP1073" s="12"/>
      <c r="DD1073" s="12"/>
      <c r="DR1073" s="12"/>
      <c r="EF1073" s="12"/>
    </row>
    <row r="1074" spans="8:136" ht="10.199999999999999" x14ac:dyDescent="0.2">
      <c r="H1074" s="12"/>
      <c r="V1074" s="12"/>
      <c r="AJ1074" s="12"/>
      <c r="AX1074" s="12"/>
      <c r="BL1074" s="12"/>
      <c r="BZ1074" s="12"/>
      <c r="CB1074" s="12"/>
      <c r="CP1074" s="12"/>
      <c r="DD1074" s="12"/>
      <c r="DR1074" s="12"/>
      <c r="EF1074" s="12"/>
    </row>
    <row r="1075" spans="8:136" ht="10.199999999999999" x14ac:dyDescent="0.2">
      <c r="H1075" s="12"/>
      <c r="V1075" s="12"/>
      <c r="AJ1075" s="12"/>
      <c r="AX1075" s="12"/>
      <c r="BL1075" s="12"/>
      <c r="BZ1075" s="12"/>
      <c r="CB1075" s="12"/>
      <c r="CP1075" s="12"/>
      <c r="DD1075" s="12"/>
      <c r="DR1075" s="12"/>
      <c r="EF1075" s="12"/>
    </row>
    <row r="1076" spans="8:136" ht="10.199999999999999" x14ac:dyDescent="0.2">
      <c r="H1076" s="12"/>
      <c r="V1076" s="12"/>
      <c r="AJ1076" s="12"/>
      <c r="AX1076" s="12"/>
      <c r="BL1076" s="12"/>
      <c r="BZ1076" s="12"/>
      <c r="CB1076" s="12"/>
      <c r="CP1076" s="12"/>
      <c r="DD1076" s="12"/>
      <c r="DR1076" s="12"/>
      <c r="EF1076" s="12"/>
    </row>
    <row r="1077" spans="8:136" ht="10.199999999999999" x14ac:dyDescent="0.2">
      <c r="H1077" s="12"/>
      <c r="V1077" s="12"/>
      <c r="AJ1077" s="12"/>
      <c r="AX1077" s="12"/>
      <c r="BL1077" s="12"/>
      <c r="BZ1077" s="12"/>
      <c r="CB1077" s="12"/>
      <c r="CP1077" s="12"/>
      <c r="DD1077" s="12"/>
      <c r="DR1077" s="12"/>
      <c r="EF1077" s="12"/>
    </row>
    <row r="1078" spans="8:136" ht="10.199999999999999" x14ac:dyDescent="0.2">
      <c r="H1078" s="12"/>
      <c r="V1078" s="12"/>
      <c r="AJ1078" s="12"/>
      <c r="AX1078" s="12"/>
      <c r="BL1078" s="12"/>
      <c r="BZ1078" s="12"/>
      <c r="CB1078" s="12"/>
      <c r="CP1078" s="12"/>
      <c r="DD1078" s="12"/>
      <c r="DR1078" s="12"/>
      <c r="EF1078" s="12"/>
    </row>
    <row r="1079" spans="8:136" ht="10.199999999999999" x14ac:dyDescent="0.2">
      <c r="H1079" s="12"/>
      <c r="V1079" s="12"/>
      <c r="AJ1079" s="12"/>
      <c r="AX1079" s="12"/>
      <c r="BL1079" s="12"/>
      <c r="BZ1079" s="12"/>
      <c r="CB1079" s="12"/>
      <c r="CP1079" s="12"/>
      <c r="DD1079" s="12"/>
      <c r="DR1079" s="12"/>
      <c r="EF1079" s="12"/>
    </row>
    <row r="1080" spans="8:136" ht="10.199999999999999" x14ac:dyDescent="0.2">
      <c r="H1080" s="12"/>
      <c r="V1080" s="12"/>
      <c r="AJ1080" s="12"/>
      <c r="AX1080" s="12"/>
      <c r="BL1080" s="12"/>
      <c r="BZ1080" s="12"/>
      <c r="CB1080" s="12"/>
      <c r="CP1080" s="12"/>
      <c r="DD1080" s="12"/>
      <c r="DR1080" s="12"/>
      <c r="EF1080" s="12"/>
    </row>
    <row r="1081" spans="8:136" ht="10.199999999999999" x14ac:dyDescent="0.2">
      <c r="H1081" s="12"/>
      <c r="V1081" s="12"/>
      <c r="AJ1081" s="12"/>
      <c r="AX1081" s="12"/>
      <c r="BL1081" s="12"/>
      <c r="BZ1081" s="12"/>
      <c r="CB1081" s="12"/>
      <c r="CP1081" s="12"/>
      <c r="DD1081" s="12"/>
      <c r="DR1081" s="12"/>
      <c r="EF1081" s="12"/>
    </row>
    <row r="1082" spans="8:136" ht="10.199999999999999" x14ac:dyDescent="0.2">
      <c r="H1082" s="12"/>
      <c r="V1082" s="12"/>
      <c r="AJ1082" s="12"/>
      <c r="AX1082" s="12"/>
      <c r="BL1082" s="12"/>
      <c r="BZ1082" s="12"/>
      <c r="CB1082" s="12"/>
      <c r="CP1082" s="12"/>
      <c r="DD1082" s="12"/>
      <c r="DR1082" s="12"/>
      <c r="EF1082" s="12"/>
    </row>
    <row r="1083" spans="8:136" ht="10.199999999999999" x14ac:dyDescent="0.2">
      <c r="H1083" s="12"/>
      <c r="V1083" s="12"/>
      <c r="AJ1083" s="12"/>
      <c r="AX1083" s="12"/>
      <c r="BL1083" s="12"/>
      <c r="BZ1083" s="12"/>
      <c r="CB1083" s="12"/>
      <c r="CP1083" s="12"/>
      <c r="DD1083" s="12"/>
      <c r="DR1083" s="12"/>
      <c r="EF1083" s="12"/>
    </row>
    <row r="1084" spans="8:136" ht="10.199999999999999" x14ac:dyDescent="0.2">
      <c r="H1084" s="12"/>
      <c r="V1084" s="12"/>
      <c r="AJ1084" s="12"/>
      <c r="AX1084" s="12"/>
      <c r="BL1084" s="12"/>
      <c r="BZ1084" s="12"/>
      <c r="CB1084" s="12"/>
      <c r="CP1084" s="12"/>
      <c r="DD1084" s="12"/>
      <c r="DR1084" s="12"/>
      <c r="EF1084" s="12"/>
    </row>
    <row r="1085" spans="8:136" ht="10.199999999999999" x14ac:dyDescent="0.2">
      <c r="H1085" s="12"/>
      <c r="V1085" s="12"/>
      <c r="AJ1085" s="12"/>
      <c r="AX1085" s="12"/>
      <c r="BL1085" s="12"/>
      <c r="BZ1085" s="12"/>
      <c r="CB1085" s="12"/>
      <c r="CP1085" s="12"/>
      <c r="DD1085" s="12"/>
      <c r="DR1085" s="12"/>
      <c r="EF1085" s="12"/>
    </row>
    <row r="1086" spans="8:136" ht="10.199999999999999" x14ac:dyDescent="0.2">
      <c r="H1086" s="12"/>
      <c r="V1086" s="12"/>
      <c r="AJ1086" s="12"/>
      <c r="AX1086" s="12"/>
      <c r="BL1086" s="12"/>
      <c r="BZ1086" s="12"/>
      <c r="CB1086" s="12"/>
      <c r="CP1086" s="12"/>
      <c r="DD1086" s="12"/>
      <c r="DR1086" s="12"/>
      <c r="EF1086" s="12"/>
    </row>
    <row r="1087" spans="8:136" ht="10.199999999999999" x14ac:dyDescent="0.2">
      <c r="H1087" s="12"/>
      <c r="V1087" s="12"/>
      <c r="AJ1087" s="12"/>
      <c r="AX1087" s="12"/>
      <c r="BL1087" s="12"/>
      <c r="BZ1087" s="12"/>
      <c r="CB1087" s="12"/>
      <c r="CP1087" s="12"/>
      <c r="DD1087" s="12"/>
      <c r="DR1087" s="12"/>
      <c r="EF1087" s="12"/>
    </row>
    <row r="1088" spans="8:136" ht="10.199999999999999" x14ac:dyDescent="0.2">
      <c r="H1088" s="12"/>
      <c r="V1088" s="12"/>
      <c r="AJ1088" s="12"/>
      <c r="AX1088" s="12"/>
      <c r="BL1088" s="12"/>
      <c r="BZ1088" s="12"/>
      <c r="CB1088" s="12"/>
      <c r="CP1088" s="12"/>
      <c r="DD1088" s="12"/>
      <c r="DR1088" s="12"/>
      <c r="EF1088" s="12"/>
    </row>
    <row r="1089" spans="8:136" ht="10.199999999999999" x14ac:dyDescent="0.2">
      <c r="H1089" s="12"/>
      <c r="V1089" s="12"/>
      <c r="AJ1089" s="12"/>
      <c r="AX1089" s="12"/>
      <c r="BL1089" s="12"/>
      <c r="BZ1089" s="12"/>
      <c r="CB1089" s="12"/>
      <c r="CP1089" s="12"/>
      <c r="DD1089" s="12"/>
      <c r="DR1089" s="12"/>
      <c r="EF1089" s="12"/>
    </row>
    <row r="1090" spans="8:136" ht="10.199999999999999" x14ac:dyDescent="0.2">
      <c r="H1090" s="12"/>
      <c r="V1090" s="12"/>
      <c r="AJ1090" s="12"/>
      <c r="AX1090" s="12"/>
      <c r="BL1090" s="12"/>
      <c r="BZ1090" s="12"/>
      <c r="CB1090" s="12"/>
      <c r="CP1090" s="12"/>
      <c r="DD1090" s="12"/>
      <c r="DR1090" s="12"/>
      <c r="EF1090" s="12"/>
    </row>
    <row r="1091" spans="8:136" ht="10.199999999999999" x14ac:dyDescent="0.2">
      <c r="H1091" s="12"/>
      <c r="V1091" s="12"/>
      <c r="AJ1091" s="12"/>
      <c r="AX1091" s="12"/>
      <c r="BL1091" s="12"/>
      <c r="BZ1091" s="12"/>
      <c r="CB1091" s="12"/>
      <c r="CP1091" s="12"/>
      <c r="DD1091" s="12"/>
      <c r="DR1091" s="12"/>
      <c r="EF1091" s="12"/>
    </row>
    <row r="1092" spans="8:136" ht="10.199999999999999" x14ac:dyDescent="0.2">
      <c r="H1092" s="12"/>
      <c r="V1092" s="12"/>
      <c r="AJ1092" s="12"/>
      <c r="AX1092" s="12"/>
      <c r="BL1092" s="12"/>
      <c r="BZ1092" s="12"/>
      <c r="CB1092" s="12"/>
      <c r="CP1092" s="12"/>
      <c r="DD1092" s="12"/>
      <c r="DR1092" s="12"/>
      <c r="EF1092" s="12"/>
    </row>
    <row r="1093" spans="8:136" ht="10.199999999999999" x14ac:dyDescent="0.2">
      <c r="H1093" s="12"/>
      <c r="V1093" s="12"/>
      <c r="AJ1093" s="12"/>
      <c r="AX1093" s="12"/>
      <c r="BL1093" s="12"/>
      <c r="BZ1093" s="12"/>
      <c r="CB1093" s="12"/>
      <c r="CP1093" s="12"/>
      <c r="DD1093" s="12"/>
      <c r="DR1093" s="12"/>
      <c r="EF1093" s="12"/>
    </row>
    <row r="1094" spans="8:136" ht="10.199999999999999" x14ac:dyDescent="0.2">
      <c r="H1094" s="12"/>
      <c r="V1094" s="12"/>
      <c r="AJ1094" s="12"/>
      <c r="AX1094" s="12"/>
      <c r="BL1094" s="12"/>
      <c r="BZ1094" s="12"/>
      <c r="CB1094" s="12"/>
      <c r="CP1094" s="12"/>
      <c r="DD1094" s="12"/>
      <c r="DR1094" s="12"/>
      <c r="EF1094" s="12"/>
    </row>
    <row r="1095" spans="8:136" ht="10.199999999999999" x14ac:dyDescent="0.2">
      <c r="H1095" s="12"/>
      <c r="V1095" s="12"/>
      <c r="AJ1095" s="12"/>
      <c r="AX1095" s="12"/>
      <c r="BL1095" s="12"/>
      <c r="BZ1095" s="12"/>
      <c r="CB1095" s="12"/>
      <c r="CP1095" s="12"/>
      <c r="DD1095" s="12"/>
      <c r="DR1095" s="12"/>
      <c r="EF1095" s="12"/>
    </row>
    <row r="1096" spans="8:136" ht="10.199999999999999" x14ac:dyDescent="0.2">
      <c r="H1096" s="12"/>
      <c r="V1096" s="12"/>
      <c r="AJ1096" s="12"/>
      <c r="AX1096" s="12"/>
      <c r="BL1096" s="12"/>
      <c r="BZ1096" s="12"/>
      <c r="CB1096" s="12"/>
      <c r="CP1096" s="12"/>
      <c r="DD1096" s="12"/>
      <c r="DR1096" s="12"/>
      <c r="EF1096" s="12"/>
    </row>
    <row r="1097" spans="8:136" ht="10.199999999999999" x14ac:dyDescent="0.2">
      <c r="H1097" s="12"/>
      <c r="V1097" s="12"/>
      <c r="AJ1097" s="12"/>
      <c r="AX1097" s="12"/>
      <c r="BL1097" s="12"/>
      <c r="BZ1097" s="12"/>
      <c r="CB1097" s="12"/>
      <c r="CP1097" s="12"/>
      <c r="DD1097" s="12"/>
      <c r="DR1097" s="12"/>
      <c r="EF1097" s="12"/>
    </row>
    <row r="1098" spans="8:136" ht="10.199999999999999" x14ac:dyDescent="0.2">
      <c r="H1098" s="12"/>
      <c r="V1098" s="12"/>
      <c r="AJ1098" s="12"/>
      <c r="AX1098" s="12"/>
      <c r="BL1098" s="12"/>
      <c r="BZ1098" s="12"/>
      <c r="CB1098" s="12"/>
      <c r="CP1098" s="12"/>
      <c r="DD1098" s="12"/>
      <c r="DR1098" s="12"/>
      <c r="EF1098" s="12"/>
    </row>
    <row r="1099" spans="8:136" ht="10.199999999999999" x14ac:dyDescent="0.2">
      <c r="H1099" s="12"/>
      <c r="V1099" s="12"/>
      <c r="AJ1099" s="12"/>
      <c r="AX1099" s="12"/>
      <c r="BL1099" s="12"/>
      <c r="BZ1099" s="12"/>
      <c r="CB1099" s="12"/>
      <c r="CP1099" s="12"/>
      <c r="DD1099" s="12"/>
      <c r="DR1099" s="12"/>
      <c r="EF1099" s="12"/>
    </row>
    <row r="1100" spans="8:136" ht="10.199999999999999" x14ac:dyDescent="0.2">
      <c r="H1100" s="12"/>
      <c r="V1100" s="12"/>
      <c r="AJ1100" s="12"/>
      <c r="AX1100" s="12"/>
      <c r="BL1100" s="12"/>
      <c r="BZ1100" s="12"/>
      <c r="CB1100" s="12"/>
      <c r="CP1100" s="12"/>
      <c r="DD1100" s="12"/>
      <c r="DR1100" s="12"/>
      <c r="EF1100" s="12"/>
    </row>
    <row r="1101" spans="8:136" ht="10.199999999999999" x14ac:dyDescent="0.2">
      <c r="H1101" s="12"/>
      <c r="V1101" s="12"/>
      <c r="AJ1101" s="12"/>
      <c r="AX1101" s="12"/>
      <c r="BL1101" s="12"/>
      <c r="BZ1101" s="12"/>
      <c r="CB1101" s="12"/>
      <c r="CP1101" s="12"/>
      <c r="DD1101" s="12"/>
      <c r="DR1101" s="12"/>
      <c r="EF1101" s="12"/>
    </row>
    <row r="1102" spans="8:136" ht="10.199999999999999" x14ac:dyDescent="0.2">
      <c r="H1102" s="12"/>
      <c r="V1102" s="12"/>
      <c r="AJ1102" s="12"/>
      <c r="AX1102" s="12"/>
      <c r="BL1102" s="12"/>
      <c r="BZ1102" s="12"/>
      <c r="CB1102" s="12"/>
      <c r="CP1102" s="12"/>
      <c r="DD1102" s="12"/>
      <c r="DR1102" s="12"/>
      <c r="EF1102" s="12"/>
    </row>
    <row r="1103" spans="8:136" ht="10.199999999999999" x14ac:dyDescent="0.2">
      <c r="H1103" s="12"/>
      <c r="V1103" s="12"/>
      <c r="AJ1103" s="12"/>
      <c r="AX1103" s="12"/>
      <c r="BL1103" s="12"/>
      <c r="BZ1103" s="12"/>
      <c r="CB1103" s="12"/>
      <c r="CP1103" s="12"/>
      <c r="DD1103" s="12"/>
      <c r="DR1103" s="12"/>
      <c r="EF1103" s="12"/>
    </row>
    <row r="1104" spans="8:136" ht="10.199999999999999" x14ac:dyDescent="0.2">
      <c r="H1104" s="12"/>
      <c r="V1104" s="12"/>
      <c r="AJ1104" s="12"/>
      <c r="AX1104" s="12"/>
      <c r="BL1104" s="12"/>
      <c r="BZ1104" s="12"/>
      <c r="CB1104" s="12"/>
      <c r="CP1104" s="12"/>
      <c r="DD1104" s="12"/>
      <c r="DR1104" s="12"/>
      <c r="EF1104" s="12"/>
    </row>
    <row r="1105" spans="8:136" ht="10.199999999999999" x14ac:dyDescent="0.2">
      <c r="H1105" s="12"/>
      <c r="V1105" s="12"/>
      <c r="AJ1105" s="12"/>
      <c r="AX1105" s="12"/>
      <c r="BL1105" s="12"/>
      <c r="BZ1105" s="12"/>
      <c r="CB1105" s="12"/>
      <c r="CP1105" s="12"/>
      <c r="DD1105" s="12"/>
      <c r="DR1105" s="12"/>
      <c r="EF1105" s="12"/>
    </row>
    <row r="1106" spans="8:136" ht="10.199999999999999" x14ac:dyDescent="0.2">
      <c r="H1106" s="12"/>
      <c r="V1106" s="12"/>
      <c r="AJ1106" s="12"/>
      <c r="AX1106" s="12"/>
      <c r="BL1106" s="12"/>
      <c r="BZ1106" s="12"/>
      <c r="CB1106" s="12"/>
      <c r="CP1106" s="12"/>
      <c r="DD1106" s="12"/>
      <c r="DR1106" s="12"/>
      <c r="EF1106" s="12"/>
    </row>
    <row r="1107" spans="8:136" ht="10.199999999999999" x14ac:dyDescent="0.2">
      <c r="H1107" s="12"/>
      <c r="V1107" s="12"/>
      <c r="AJ1107" s="12"/>
      <c r="AX1107" s="12"/>
      <c r="BL1107" s="12"/>
      <c r="BZ1107" s="12"/>
      <c r="CB1107" s="12"/>
      <c r="CP1107" s="12"/>
      <c r="DD1107" s="12"/>
      <c r="DR1107" s="12"/>
      <c r="EF1107" s="12"/>
    </row>
    <row r="1108" spans="8:136" ht="10.199999999999999" x14ac:dyDescent="0.2">
      <c r="H1108" s="12"/>
      <c r="V1108" s="12"/>
      <c r="AJ1108" s="12"/>
      <c r="AX1108" s="12"/>
      <c r="BL1108" s="12"/>
      <c r="BZ1108" s="12"/>
      <c r="CB1108" s="12"/>
      <c r="CP1108" s="12"/>
      <c r="DD1108" s="12"/>
      <c r="DR1108" s="12"/>
      <c r="EF1108" s="12"/>
    </row>
    <row r="1109" spans="8:136" ht="10.199999999999999" x14ac:dyDescent="0.2">
      <c r="H1109" s="12"/>
      <c r="V1109" s="12"/>
      <c r="AJ1109" s="12"/>
      <c r="AX1109" s="12"/>
      <c r="BL1109" s="12"/>
      <c r="BZ1109" s="12"/>
      <c r="CB1109" s="12"/>
      <c r="CP1109" s="12"/>
      <c r="DD1109" s="12"/>
      <c r="DR1109" s="12"/>
      <c r="EF1109" s="12"/>
    </row>
    <row r="1110" spans="8:136" ht="10.199999999999999" x14ac:dyDescent="0.2">
      <c r="H1110" s="12"/>
      <c r="V1110" s="12"/>
      <c r="AJ1110" s="12"/>
      <c r="AX1110" s="12"/>
      <c r="BL1110" s="12"/>
      <c r="BZ1110" s="12"/>
      <c r="CB1110" s="12"/>
      <c r="CP1110" s="12"/>
      <c r="DD1110" s="12"/>
      <c r="DR1110" s="12"/>
      <c r="EF1110" s="12"/>
    </row>
    <row r="1111" spans="8:136" ht="10.199999999999999" x14ac:dyDescent="0.2">
      <c r="H1111" s="12"/>
      <c r="V1111" s="12"/>
      <c r="AJ1111" s="12"/>
      <c r="AX1111" s="12"/>
      <c r="BL1111" s="12"/>
      <c r="BZ1111" s="12"/>
      <c r="CB1111" s="12"/>
      <c r="CP1111" s="12"/>
      <c r="DD1111" s="12"/>
      <c r="DR1111" s="12"/>
      <c r="EF1111" s="12"/>
    </row>
    <row r="1112" spans="8:136" ht="10.199999999999999" x14ac:dyDescent="0.2">
      <c r="H1112" s="12"/>
      <c r="V1112" s="12"/>
      <c r="AJ1112" s="12"/>
      <c r="AX1112" s="12"/>
      <c r="BL1112" s="12"/>
      <c r="BZ1112" s="12"/>
      <c r="CB1112" s="12"/>
      <c r="CP1112" s="12"/>
      <c r="DD1112" s="12"/>
      <c r="DR1112" s="12"/>
      <c r="EF1112" s="12"/>
    </row>
    <row r="1113" spans="8:136" ht="10.199999999999999" x14ac:dyDescent="0.2">
      <c r="H1113" s="12"/>
      <c r="V1113" s="12"/>
      <c r="AJ1113" s="12"/>
      <c r="AX1113" s="12"/>
      <c r="BL1113" s="12"/>
      <c r="BZ1113" s="12"/>
      <c r="CB1113" s="12"/>
      <c r="CP1113" s="12"/>
      <c r="DD1113" s="12"/>
      <c r="DR1113" s="12"/>
      <c r="EF1113" s="12"/>
    </row>
    <row r="1114" spans="8:136" ht="10.199999999999999" x14ac:dyDescent="0.2">
      <c r="H1114" s="12"/>
      <c r="V1114" s="12"/>
      <c r="AJ1114" s="12"/>
      <c r="AX1114" s="12"/>
      <c r="BL1114" s="12"/>
      <c r="BZ1114" s="12"/>
      <c r="CB1114" s="12"/>
      <c r="CP1114" s="12"/>
      <c r="DD1114" s="12"/>
      <c r="DR1114" s="12"/>
      <c r="EF1114" s="12"/>
    </row>
    <row r="1115" spans="8:136" ht="10.199999999999999" x14ac:dyDescent="0.2">
      <c r="H1115" s="12"/>
      <c r="V1115" s="12"/>
      <c r="AJ1115" s="12"/>
      <c r="AX1115" s="12"/>
      <c r="BL1115" s="12"/>
      <c r="BZ1115" s="12"/>
      <c r="CB1115" s="12"/>
      <c r="CP1115" s="12"/>
      <c r="DD1115" s="12"/>
      <c r="DR1115" s="12"/>
      <c r="EF1115" s="12"/>
    </row>
    <row r="1116" spans="8:136" ht="10.199999999999999" x14ac:dyDescent="0.2">
      <c r="H1116" s="12"/>
      <c r="V1116" s="12"/>
      <c r="AJ1116" s="12"/>
      <c r="AX1116" s="12"/>
      <c r="BL1116" s="12"/>
      <c r="BZ1116" s="12"/>
      <c r="CB1116" s="12"/>
      <c r="CP1116" s="12"/>
      <c r="DD1116" s="12"/>
      <c r="DR1116" s="12"/>
      <c r="EF1116" s="12"/>
    </row>
    <row r="1117" spans="8:136" ht="10.199999999999999" x14ac:dyDescent="0.2">
      <c r="H1117" s="12"/>
      <c r="V1117" s="12"/>
      <c r="AJ1117" s="12"/>
      <c r="AX1117" s="12"/>
      <c r="BL1117" s="12"/>
      <c r="BZ1117" s="12"/>
      <c r="CB1117" s="12"/>
      <c r="CP1117" s="12"/>
      <c r="DD1117" s="12"/>
      <c r="DR1117" s="12"/>
      <c r="EF1117" s="12"/>
    </row>
    <row r="1118" spans="8:136" ht="10.199999999999999" x14ac:dyDescent="0.2">
      <c r="H1118" s="12"/>
      <c r="V1118" s="12"/>
      <c r="AJ1118" s="12"/>
      <c r="AX1118" s="12"/>
      <c r="BL1118" s="12"/>
      <c r="BZ1118" s="12"/>
      <c r="CB1118" s="12"/>
      <c r="CP1118" s="12"/>
      <c r="DD1118" s="12"/>
      <c r="DR1118" s="12"/>
      <c r="EF1118" s="12"/>
    </row>
    <row r="1119" spans="8:136" ht="10.199999999999999" x14ac:dyDescent="0.2">
      <c r="H1119" s="12"/>
      <c r="V1119" s="12"/>
      <c r="AJ1119" s="12"/>
      <c r="AX1119" s="12"/>
      <c r="BL1119" s="12"/>
      <c r="BZ1119" s="12"/>
      <c r="CB1119" s="12"/>
      <c r="CP1119" s="12"/>
      <c r="DD1119" s="12"/>
      <c r="DR1119" s="12"/>
      <c r="EF1119" s="12"/>
    </row>
    <row r="1120" spans="8:136" ht="10.199999999999999" x14ac:dyDescent="0.2">
      <c r="H1120" s="12"/>
      <c r="V1120" s="12"/>
      <c r="AJ1120" s="12"/>
      <c r="AX1120" s="12"/>
      <c r="BL1120" s="12"/>
      <c r="BZ1120" s="12"/>
      <c r="CB1120" s="12"/>
      <c r="CP1120" s="12"/>
      <c r="DD1120" s="12"/>
      <c r="DR1120" s="12"/>
      <c r="EF1120" s="12"/>
    </row>
    <row r="1121" spans="8:136" ht="10.199999999999999" x14ac:dyDescent="0.2">
      <c r="H1121" s="12"/>
      <c r="V1121" s="12"/>
      <c r="AJ1121" s="12"/>
      <c r="AX1121" s="12"/>
      <c r="BL1121" s="12"/>
      <c r="BZ1121" s="12"/>
      <c r="CB1121" s="12"/>
      <c r="CP1121" s="12"/>
      <c r="DD1121" s="12"/>
      <c r="DR1121" s="12"/>
      <c r="EF1121" s="12"/>
    </row>
    <row r="1122" spans="8:136" ht="10.199999999999999" x14ac:dyDescent="0.2">
      <c r="H1122" s="12"/>
      <c r="V1122" s="12"/>
      <c r="AJ1122" s="12"/>
      <c r="AX1122" s="12"/>
      <c r="BL1122" s="12"/>
      <c r="BZ1122" s="12"/>
      <c r="CB1122" s="12"/>
      <c r="CP1122" s="12"/>
      <c r="DD1122" s="12"/>
      <c r="DR1122" s="12"/>
      <c r="EF1122" s="12"/>
    </row>
    <row r="1123" spans="8:136" ht="10.199999999999999" x14ac:dyDescent="0.2">
      <c r="H1123" s="12"/>
      <c r="V1123" s="12"/>
      <c r="AJ1123" s="12"/>
      <c r="AX1123" s="12"/>
      <c r="BL1123" s="12"/>
      <c r="BZ1123" s="12"/>
      <c r="CB1123" s="12"/>
      <c r="CP1123" s="12"/>
      <c r="DD1123" s="12"/>
      <c r="DR1123" s="12"/>
      <c r="EF1123" s="12"/>
    </row>
    <row r="1124" spans="8:136" ht="10.199999999999999" x14ac:dyDescent="0.2">
      <c r="H1124" s="12"/>
      <c r="V1124" s="12"/>
      <c r="AJ1124" s="12"/>
      <c r="AX1124" s="12"/>
      <c r="BL1124" s="12"/>
      <c r="BZ1124" s="12"/>
      <c r="CB1124" s="12"/>
      <c r="CP1124" s="12"/>
      <c r="DD1124" s="12"/>
      <c r="DR1124" s="12"/>
      <c r="EF1124" s="12"/>
    </row>
    <row r="1125" spans="8:136" ht="10.199999999999999" x14ac:dyDescent="0.2">
      <c r="H1125" s="12"/>
      <c r="V1125" s="12"/>
      <c r="AJ1125" s="12"/>
      <c r="AX1125" s="12"/>
      <c r="BL1125" s="12"/>
      <c r="BZ1125" s="12"/>
      <c r="CB1125" s="12"/>
      <c r="CP1125" s="12"/>
      <c r="DD1125" s="12"/>
      <c r="DR1125" s="12"/>
      <c r="EF1125" s="12"/>
    </row>
    <row r="1126" spans="8:136" ht="10.199999999999999" x14ac:dyDescent="0.2">
      <c r="H1126" s="12"/>
      <c r="V1126" s="12"/>
      <c r="AJ1126" s="12"/>
      <c r="AX1126" s="12"/>
      <c r="BL1126" s="12"/>
      <c r="BZ1126" s="12"/>
      <c r="CB1126" s="12"/>
      <c r="CP1126" s="12"/>
      <c r="DD1126" s="12"/>
      <c r="DR1126" s="12"/>
      <c r="EF1126" s="12"/>
    </row>
    <row r="1127" spans="8:136" ht="10.199999999999999" x14ac:dyDescent="0.2">
      <c r="H1127" s="12"/>
      <c r="V1127" s="12"/>
      <c r="AJ1127" s="12"/>
      <c r="AX1127" s="12"/>
      <c r="BL1127" s="12"/>
      <c r="BZ1127" s="12"/>
      <c r="CB1127" s="12"/>
      <c r="CP1127" s="12"/>
      <c r="DD1127" s="12"/>
      <c r="DR1127" s="12"/>
      <c r="EF1127" s="12"/>
    </row>
    <row r="1128" spans="8:136" ht="10.199999999999999" x14ac:dyDescent="0.2">
      <c r="H1128" s="12"/>
      <c r="V1128" s="12"/>
      <c r="AJ1128" s="12"/>
      <c r="AX1128" s="12"/>
      <c r="BL1128" s="12"/>
      <c r="BZ1128" s="12"/>
      <c r="CB1128" s="12"/>
      <c r="CP1128" s="12"/>
      <c r="DD1128" s="12"/>
      <c r="DR1128" s="12"/>
      <c r="EF1128" s="12"/>
    </row>
    <row r="1129" spans="8:136" ht="10.199999999999999" x14ac:dyDescent="0.2">
      <c r="H1129" s="12"/>
      <c r="V1129" s="12"/>
      <c r="AJ1129" s="12"/>
      <c r="AX1129" s="12"/>
      <c r="BL1129" s="12"/>
      <c r="BZ1129" s="12"/>
      <c r="CB1129" s="12"/>
      <c r="CP1129" s="12"/>
      <c r="DD1129" s="12"/>
      <c r="DR1129" s="12"/>
      <c r="EF1129" s="12"/>
    </row>
    <row r="1130" spans="8:136" ht="10.199999999999999" x14ac:dyDescent="0.2">
      <c r="H1130" s="12"/>
      <c r="V1130" s="12"/>
      <c r="AJ1130" s="12"/>
      <c r="AX1130" s="12"/>
      <c r="BL1130" s="12"/>
      <c r="BZ1130" s="12"/>
      <c r="CB1130" s="12"/>
      <c r="CP1130" s="12"/>
      <c r="DD1130" s="12"/>
      <c r="DR1130" s="12"/>
      <c r="EF1130" s="12"/>
    </row>
    <row r="1131" spans="8:136" ht="10.199999999999999" x14ac:dyDescent="0.2">
      <c r="H1131" s="12"/>
      <c r="V1131" s="12"/>
      <c r="AJ1131" s="12"/>
      <c r="AX1131" s="12"/>
      <c r="BL1131" s="12"/>
      <c r="BZ1131" s="12"/>
      <c r="CB1131" s="12"/>
      <c r="CP1131" s="12"/>
      <c r="DD1131" s="12"/>
      <c r="DR1131" s="12"/>
      <c r="EF1131" s="12"/>
    </row>
    <row r="1132" spans="8:136" ht="10.199999999999999" x14ac:dyDescent="0.2">
      <c r="H1132" s="12"/>
      <c r="V1132" s="12"/>
      <c r="AJ1132" s="12"/>
      <c r="AX1132" s="12"/>
      <c r="BL1132" s="12"/>
      <c r="BZ1132" s="12"/>
      <c r="CB1132" s="12"/>
      <c r="CP1132" s="12"/>
      <c r="DD1132" s="12"/>
      <c r="DR1132" s="12"/>
      <c r="EF1132" s="12"/>
    </row>
    <row r="1133" spans="8:136" ht="10.199999999999999" x14ac:dyDescent="0.2">
      <c r="H1133" s="12"/>
      <c r="V1133" s="12"/>
      <c r="AJ1133" s="12"/>
      <c r="AX1133" s="12"/>
      <c r="BL1133" s="12"/>
      <c r="BZ1133" s="12"/>
      <c r="CB1133" s="12"/>
      <c r="CP1133" s="12"/>
      <c r="DD1133" s="12"/>
      <c r="DR1133" s="12"/>
      <c r="EF1133" s="12"/>
    </row>
    <row r="1134" spans="8:136" ht="10.199999999999999" x14ac:dyDescent="0.2">
      <c r="H1134" s="12"/>
      <c r="V1134" s="12"/>
      <c r="AJ1134" s="12"/>
      <c r="AX1134" s="12"/>
      <c r="BL1134" s="12"/>
      <c r="BZ1134" s="12"/>
      <c r="CB1134" s="12"/>
      <c r="CP1134" s="12"/>
      <c r="DD1134" s="12"/>
      <c r="DR1134" s="12"/>
      <c r="EF1134" s="12"/>
    </row>
    <row r="1135" spans="8:136" ht="10.199999999999999" x14ac:dyDescent="0.2">
      <c r="H1135" s="12"/>
      <c r="V1135" s="12"/>
      <c r="AJ1135" s="12"/>
      <c r="AX1135" s="12"/>
      <c r="BL1135" s="12"/>
      <c r="BZ1135" s="12"/>
      <c r="CB1135" s="12"/>
      <c r="CP1135" s="12"/>
      <c r="DD1135" s="12"/>
      <c r="DR1135" s="12"/>
      <c r="EF1135" s="12"/>
    </row>
    <row r="1136" spans="8:136" ht="10.199999999999999" x14ac:dyDescent="0.2">
      <c r="H1136" s="12"/>
      <c r="V1136" s="12"/>
      <c r="AJ1136" s="12"/>
      <c r="AX1136" s="12"/>
      <c r="BL1136" s="12"/>
      <c r="BZ1136" s="12"/>
      <c r="CB1136" s="12"/>
      <c r="CP1136" s="12"/>
      <c r="DD1136" s="12"/>
      <c r="DR1136" s="12"/>
      <c r="EF1136" s="12"/>
    </row>
    <row r="1137" spans="8:136" ht="10.199999999999999" x14ac:dyDescent="0.2">
      <c r="H1137" s="12"/>
      <c r="V1137" s="12"/>
      <c r="AJ1137" s="12"/>
      <c r="AX1137" s="12"/>
      <c r="BL1137" s="12"/>
      <c r="BZ1137" s="12"/>
      <c r="CB1137" s="12"/>
      <c r="CP1137" s="12"/>
      <c r="DD1137" s="12"/>
      <c r="DR1137" s="12"/>
      <c r="EF1137" s="12"/>
    </row>
    <row r="1138" spans="8:136" ht="10.199999999999999" x14ac:dyDescent="0.2">
      <c r="H1138" s="12"/>
      <c r="V1138" s="12"/>
      <c r="AJ1138" s="12"/>
      <c r="AX1138" s="12"/>
      <c r="BL1138" s="12"/>
      <c r="BZ1138" s="12"/>
      <c r="CB1138" s="12"/>
      <c r="CP1138" s="12"/>
      <c r="DD1138" s="12"/>
      <c r="DR1138" s="12"/>
      <c r="EF1138" s="12"/>
    </row>
    <row r="1139" spans="8:136" ht="10.199999999999999" x14ac:dyDescent="0.2">
      <c r="H1139" s="12"/>
      <c r="V1139" s="12"/>
      <c r="AJ1139" s="12"/>
      <c r="AX1139" s="12"/>
      <c r="BL1139" s="12"/>
      <c r="BZ1139" s="12"/>
      <c r="CB1139" s="12"/>
      <c r="CP1139" s="12"/>
      <c r="DD1139" s="12"/>
      <c r="DR1139" s="12"/>
      <c r="EF1139" s="12"/>
    </row>
    <row r="1140" spans="8:136" ht="10.199999999999999" x14ac:dyDescent="0.2">
      <c r="H1140" s="12"/>
      <c r="V1140" s="12"/>
      <c r="AJ1140" s="12"/>
      <c r="AX1140" s="12"/>
      <c r="BL1140" s="12"/>
      <c r="BZ1140" s="12"/>
      <c r="CB1140" s="12"/>
      <c r="CP1140" s="12"/>
      <c r="DD1140" s="12"/>
      <c r="DR1140" s="12"/>
      <c r="EF1140" s="12"/>
    </row>
    <row r="1141" spans="8:136" ht="10.199999999999999" x14ac:dyDescent="0.2">
      <c r="H1141" s="12"/>
      <c r="V1141" s="12"/>
      <c r="AJ1141" s="12"/>
      <c r="AX1141" s="12"/>
      <c r="BL1141" s="12"/>
      <c r="BZ1141" s="12"/>
      <c r="CB1141" s="12"/>
      <c r="CP1141" s="12"/>
      <c r="DD1141" s="12"/>
      <c r="DR1141" s="12"/>
      <c r="EF1141" s="12"/>
    </row>
    <row r="1142" spans="8:136" ht="10.199999999999999" x14ac:dyDescent="0.2">
      <c r="H1142" s="12"/>
      <c r="V1142" s="12"/>
      <c r="AJ1142" s="12"/>
      <c r="AX1142" s="12"/>
      <c r="BL1142" s="12"/>
      <c r="BZ1142" s="12"/>
      <c r="CB1142" s="12"/>
      <c r="CP1142" s="12"/>
      <c r="DD1142" s="12"/>
      <c r="DR1142" s="12"/>
      <c r="EF1142" s="12"/>
    </row>
    <row r="1143" spans="8:136" ht="10.199999999999999" x14ac:dyDescent="0.2">
      <c r="H1143" s="12"/>
      <c r="V1143" s="12"/>
      <c r="AJ1143" s="12"/>
      <c r="AX1143" s="12"/>
      <c r="BL1143" s="12"/>
      <c r="BZ1143" s="12"/>
      <c r="CB1143" s="12"/>
      <c r="CP1143" s="12"/>
      <c r="DD1143" s="12"/>
      <c r="DR1143" s="12"/>
      <c r="EF1143" s="12"/>
    </row>
    <row r="1144" spans="8:136" ht="10.199999999999999" x14ac:dyDescent="0.2">
      <c r="H1144" s="12"/>
      <c r="V1144" s="12"/>
      <c r="AJ1144" s="12"/>
      <c r="AX1144" s="12"/>
      <c r="BL1144" s="12"/>
      <c r="BZ1144" s="12"/>
      <c r="CB1144" s="12"/>
      <c r="CP1144" s="12"/>
      <c r="DD1144" s="12"/>
      <c r="DR1144" s="12"/>
      <c r="EF1144" s="12"/>
    </row>
    <row r="1145" spans="8:136" ht="10.199999999999999" x14ac:dyDescent="0.2">
      <c r="H1145" s="12"/>
      <c r="V1145" s="12"/>
      <c r="AJ1145" s="12"/>
      <c r="AX1145" s="12"/>
      <c r="BL1145" s="12"/>
      <c r="BZ1145" s="12"/>
      <c r="CB1145" s="12"/>
      <c r="CP1145" s="12"/>
      <c r="DD1145" s="12"/>
      <c r="DR1145" s="12"/>
      <c r="EF1145" s="12"/>
    </row>
    <row r="1146" spans="8:136" ht="10.199999999999999" x14ac:dyDescent="0.2">
      <c r="H1146" s="12"/>
      <c r="V1146" s="12"/>
      <c r="AJ1146" s="12"/>
      <c r="AX1146" s="12"/>
      <c r="BL1146" s="12"/>
      <c r="BZ1146" s="12"/>
      <c r="CB1146" s="12"/>
      <c r="CP1146" s="12"/>
      <c r="DD1146" s="12"/>
      <c r="DR1146" s="12"/>
      <c r="EF1146" s="12"/>
    </row>
    <row r="1147" spans="8:136" ht="10.199999999999999" x14ac:dyDescent="0.2">
      <c r="H1147" s="12"/>
      <c r="V1147" s="12"/>
      <c r="AJ1147" s="12"/>
      <c r="AX1147" s="12"/>
      <c r="BL1147" s="12"/>
      <c r="BZ1147" s="12"/>
      <c r="CB1147" s="12"/>
      <c r="CP1147" s="12"/>
      <c r="DD1147" s="12"/>
      <c r="DR1147" s="12"/>
      <c r="EF1147" s="12"/>
    </row>
    <row r="1148" spans="8:136" ht="10.199999999999999" x14ac:dyDescent="0.2">
      <c r="H1148" s="12"/>
      <c r="V1148" s="12"/>
      <c r="AJ1148" s="12"/>
      <c r="AX1148" s="12"/>
      <c r="BL1148" s="12"/>
      <c r="BZ1148" s="12"/>
      <c r="CB1148" s="12"/>
      <c r="CP1148" s="12"/>
      <c r="DD1148" s="12"/>
      <c r="DR1148" s="12"/>
      <c r="EF1148" s="12"/>
    </row>
    <row r="1149" spans="8:136" ht="10.199999999999999" x14ac:dyDescent="0.2">
      <c r="H1149" s="12"/>
      <c r="V1149" s="12"/>
      <c r="AJ1149" s="12"/>
      <c r="AX1149" s="12"/>
      <c r="BL1149" s="12"/>
      <c r="BZ1149" s="12"/>
      <c r="CB1149" s="12"/>
      <c r="CP1149" s="12"/>
      <c r="DD1149" s="12"/>
      <c r="DR1149" s="12"/>
      <c r="EF1149" s="12"/>
    </row>
    <row r="1150" spans="8:136" ht="10.199999999999999" x14ac:dyDescent="0.2">
      <c r="H1150" s="12"/>
      <c r="V1150" s="12"/>
      <c r="AJ1150" s="12"/>
      <c r="AX1150" s="12"/>
      <c r="BL1150" s="12"/>
      <c r="BZ1150" s="12"/>
      <c r="CB1150" s="12"/>
      <c r="CP1150" s="12"/>
      <c r="DD1150" s="12"/>
      <c r="DR1150" s="12"/>
      <c r="EF1150" s="12"/>
    </row>
    <row r="1151" spans="8:136" ht="10.199999999999999" x14ac:dyDescent="0.2">
      <c r="H1151" s="12"/>
      <c r="V1151" s="12"/>
      <c r="AJ1151" s="12"/>
      <c r="AX1151" s="12"/>
      <c r="BL1151" s="12"/>
      <c r="BZ1151" s="12"/>
      <c r="CB1151" s="12"/>
      <c r="CP1151" s="12"/>
      <c r="DD1151" s="12"/>
      <c r="DR1151" s="12"/>
      <c r="EF1151" s="12"/>
    </row>
    <row r="1152" spans="8:136" ht="10.199999999999999" x14ac:dyDescent="0.2">
      <c r="H1152" s="12"/>
      <c r="V1152" s="12"/>
      <c r="AJ1152" s="12"/>
      <c r="AX1152" s="12"/>
      <c r="BL1152" s="12"/>
      <c r="BZ1152" s="12"/>
      <c r="CB1152" s="12"/>
      <c r="CP1152" s="12"/>
      <c r="DD1152" s="12"/>
      <c r="DR1152" s="12"/>
      <c r="EF1152" s="12"/>
    </row>
    <row r="1153" spans="8:136" ht="10.199999999999999" x14ac:dyDescent="0.2">
      <c r="H1153" s="12"/>
      <c r="V1153" s="12"/>
      <c r="AJ1153" s="12"/>
      <c r="AX1153" s="12"/>
      <c r="BL1153" s="12"/>
      <c r="BZ1153" s="12"/>
      <c r="CB1153" s="12"/>
      <c r="CP1153" s="12"/>
      <c r="DD1153" s="12"/>
      <c r="DR1153" s="12"/>
      <c r="EF1153" s="12"/>
    </row>
    <row r="1154" spans="8:136" ht="10.199999999999999" x14ac:dyDescent="0.2">
      <c r="H1154" s="12"/>
      <c r="V1154" s="12"/>
      <c r="AJ1154" s="12"/>
      <c r="AX1154" s="12"/>
      <c r="BL1154" s="12"/>
      <c r="BZ1154" s="12"/>
      <c r="CB1154" s="12"/>
      <c r="CP1154" s="12"/>
      <c r="DD1154" s="12"/>
      <c r="DR1154" s="12"/>
      <c r="EF1154" s="12"/>
    </row>
    <row r="1155" spans="8:136" ht="10.199999999999999" x14ac:dyDescent="0.2">
      <c r="H1155" s="12"/>
      <c r="V1155" s="12"/>
      <c r="AJ1155" s="12"/>
      <c r="AX1155" s="12"/>
      <c r="BL1155" s="12"/>
      <c r="BZ1155" s="12"/>
      <c r="CB1155" s="12"/>
      <c r="CP1155" s="12"/>
      <c r="DD1155" s="12"/>
      <c r="DR1155" s="12"/>
      <c r="EF1155" s="12"/>
    </row>
    <row r="1156" spans="8:136" ht="10.199999999999999" x14ac:dyDescent="0.2">
      <c r="H1156" s="12"/>
      <c r="V1156" s="12"/>
      <c r="AJ1156" s="12"/>
      <c r="AX1156" s="12"/>
      <c r="BL1156" s="12"/>
      <c r="BZ1156" s="12"/>
      <c r="CB1156" s="12"/>
      <c r="CP1156" s="12"/>
      <c r="DD1156" s="12"/>
      <c r="DR1156" s="12"/>
      <c r="EF1156" s="12"/>
    </row>
    <row r="1157" spans="8:136" ht="10.199999999999999" x14ac:dyDescent="0.2">
      <c r="H1157" s="12"/>
      <c r="V1157" s="12"/>
      <c r="AJ1157" s="12"/>
      <c r="AX1157" s="12"/>
      <c r="BL1157" s="12"/>
      <c r="BZ1157" s="12"/>
      <c r="CB1157" s="12"/>
      <c r="CP1157" s="12"/>
      <c r="DD1157" s="12"/>
      <c r="DR1157" s="12"/>
      <c r="EF1157" s="12"/>
    </row>
    <row r="1158" spans="8:136" ht="10.199999999999999" x14ac:dyDescent="0.2">
      <c r="H1158" s="12"/>
      <c r="V1158" s="12"/>
      <c r="AJ1158" s="12"/>
      <c r="AX1158" s="12"/>
      <c r="BL1158" s="12"/>
      <c r="BZ1158" s="12"/>
      <c r="CB1158" s="12"/>
      <c r="CP1158" s="12"/>
      <c r="DD1158" s="12"/>
      <c r="DR1158" s="12"/>
      <c r="EF1158" s="12"/>
    </row>
    <row r="1159" spans="8:136" ht="10.199999999999999" x14ac:dyDescent="0.2">
      <c r="H1159" s="12"/>
      <c r="V1159" s="12"/>
      <c r="AJ1159" s="12"/>
      <c r="AX1159" s="12"/>
      <c r="BL1159" s="12"/>
      <c r="BZ1159" s="12"/>
      <c r="CB1159" s="12"/>
      <c r="CP1159" s="12"/>
      <c r="DD1159" s="12"/>
      <c r="DR1159" s="12"/>
      <c r="EF1159" s="12"/>
    </row>
    <row r="1160" spans="8:136" ht="10.199999999999999" x14ac:dyDescent="0.2">
      <c r="H1160" s="12"/>
      <c r="V1160" s="12"/>
      <c r="AJ1160" s="12"/>
      <c r="AX1160" s="12"/>
      <c r="BL1160" s="12"/>
      <c r="BZ1160" s="12"/>
      <c r="CB1160" s="12"/>
      <c r="CP1160" s="12"/>
      <c r="DD1160" s="12"/>
      <c r="DR1160" s="12"/>
      <c r="EF1160" s="12"/>
    </row>
    <row r="1161" spans="8:136" ht="10.199999999999999" x14ac:dyDescent="0.2">
      <c r="H1161" s="12"/>
      <c r="V1161" s="12"/>
      <c r="AJ1161" s="12"/>
      <c r="AX1161" s="12"/>
      <c r="BL1161" s="12"/>
      <c r="BZ1161" s="12"/>
      <c r="CB1161" s="12"/>
      <c r="CP1161" s="12"/>
      <c r="DD1161" s="12"/>
      <c r="DR1161" s="12"/>
      <c r="EF1161" s="12"/>
    </row>
    <row r="1162" spans="8:136" ht="10.199999999999999" x14ac:dyDescent="0.2">
      <c r="H1162" s="12"/>
      <c r="V1162" s="12"/>
      <c r="AJ1162" s="12"/>
      <c r="AX1162" s="12"/>
      <c r="BL1162" s="12"/>
      <c r="BZ1162" s="12"/>
      <c r="CB1162" s="12"/>
      <c r="CP1162" s="12"/>
      <c r="DD1162" s="12"/>
      <c r="DR1162" s="12"/>
      <c r="EF1162" s="12"/>
    </row>
    <row r="1163" spans="8:136" ht="10.199999999999999" x14ac:dyDescent="0.2">
      <c r="H1163" s="12"/>
      <c r="V1163" s="12"/>
      <c r="AJ1163" s="12"/>
      <c r="AX1163" s="12"/>
      <c r="BL1163" s="12"/>
      <c r="BZ1163" s="12"/>
      <c r="CB1163" s="12"/>
      <c r="CP1163" s="12"/>
      <c r="DD1163" s="12"/>
      <c r="DR1163" s="12"/>
      <c r="EF1163" s="12"/>
    </row>
    <row r="1164" spans="8:136" ht="10.199999999999999" x14ac:dyDescent="0.2">
      <c r="H1164" s="12"/>
      <c r="V1164" s="12"/>
      <c r="AJ1164" s="12"/>
      <c r="AX1164" s="12"/>
      <c r="BL1164" s="12"/>
      <c r="BZ1164" s="12"/>
      <c r="CB1164" s="12"/>
      <c r="CP1164" s="12"/>
      <c r="DD1164" s="12"/>
      <c r="DR1164" s="12"/>
      <c r="EF1164" s="12"/>
    </row>
    <row r="1165" spans="8:136" ht="10.199999999999999" x14ac:dyDescent="0.2">
      <c r="H1165" s="12"/>
      <c r="V1165" s="12"/>
      <c r="AJ1165" s="12"/>
      <c r="AX1165" s="12"/>
      <c r="BL1165" s="12"/>
      <c r="BZ1165" s="12"/>
      <c r="CB1165" s="12"/>
      <c r="CP1165" s="12"/>
      <c r="DD1165" s="12"/>
      <c r="DR1165" s="12"/>
      <c r="EF1165" s="12"/>
    </row>
    <row r="1166" spans="8:136" ht="10.199999999999999" x14ac:dyDescent="0.2">
      <c r="H1166" s="12"/>
      <c r="V1166" s="12"/>
      <c r="AJ1166" s="12"/>
      <c r="AX1166" s="12"/>
      <c r="BL1166" s="12"/>
      <c r="BZ1166" s="12"/>
      <c r="CB1166" s="12"/>
      <c r="CP1166" s="12"/>
      <c r="DD1166" s="12"/>
      <c r="DR1166" s="12"/>
      <c r="EF1166" s="12"/>
    </row>
    <row r="1167" spans="8:136" ht="10.199999999999999" x14ac:dyDescent="0.2">
      <c r="H1167" s="12"/>
      <c r="V1167" s="12"/>
      <c r="AJ1167" s="12"/>
      <c r="AX1167" s="12"/>
      <c r="BL1167" s="12"/>
      <c r="BZ1167" s="12"/>
      <c r="CB1167" s="12"/>
      <c r="CP1167" s="12"/>
      <c r="DD1167" s="12"/>
      <c r="DR1167" s="12"/>
      <c r="EF1167" s="12"/>
    </row>
    <row r="1168" spans="8:136" ht="10.199999999999999" x14ac:dyDescent="0.2">
      <c r="H1168" s="12"/>
      <c r="V1168" s="12"/>
      <c r="AJ1168" s="12"/>
      <c r="AX1168" s="12"/>
      <c r="BL1168" s="12"/>
      <c r="BZ1168" s="12"/>
      <c r="CB1168" s="12"/>
      <c r="CP1168" s="12"/>
      <c r="DD1168" s="12"/>
      <c r="DR1168" s="12"/>
      <c r="EF1168" s="12"/>
    </row>
    <row r="1169" spans="8:136" ht="10.199999999999999" x14ac:dyDescent="0.2">
      <c r="H1169" s="12"/>
      <c r="V1169" s="12"/>
      <c r="AJ1169" s="12"/>
      <c r="AX1169" s="12"/>
      <c r="BL1169" s="12"/>
      <c r="BZ1169" s="12"/>
      <c r="CB1169" s="12"/>
      <c r="CP1169" s="12"/>
      <c r="DD1169" s="12"/>
      <c r="DR1169" s="12"/>
      <c r="EF1169" s="12"/>
    </row>
    <row r="1170" spans="8:136" ht="10.199999999999999" x14ac:dyDescent="0.2">
      <c r="H1170" s="12"/>
      <c r="V1170" s="12"/>
      <c r="AJ1170" s="12"/>
      <c r="AX1170" s="12"/>
      <c r="BL1170" s="12"/>
      <c r="BZ1170" s="12"/>
      <c r="CB1170" s="12"/>
      <c r="CP1170" s="12"/>
      <c r="DD1170" s="12"/>
      <c r="DR1170" s="12"/>
      <c r="EF1170" s="12"/>
    </row>
    <row r="1171" spans="8:136" ht="10.199999999999999" x14ac:dyDescent="0.2">
      <c r="H1171" s="12"/>
      <c r="V1171" s="12"/>
      <c r="AJ1171" s="12"/>
      <c r="AX1171" s="12"/>
      <c r="BL1171" s="12"/>
      <c r="BZ1171" s="12"/>
      <c r="CB1171" s="12"/>
      <c r="CP1171" s="12"/>
      <c r="DD1171" s="12"/>
      <c r="DR1171" s="12"/>
      <c r="EF1171" s="12"/>
    </row>
    <row r="1172" spans="8:136" ht="10.199999999999999" x14ac:dyDescent="0.2">
      <c r="H1172" s="12"/>
      <c r="V1172" s="12"/>
      <c r="AJ1172" s="12"/>
      <c r="AX1172" s="12"/>
      <c r="BL1172" s="12"/>
      <c r="BZ1172" s="12"/>
      <c r="CB1172" s="12"/>
      <c r="CP1172" s="12"/>
      <c r="DD1172" s="12"/>
      <c r="DR1172" s="12"/>
      <c r="EF1172" s="12"/>
    </row>
    <row r="1173" spans="8:136" ht="10.199999999999999" x14ac:dyDescent="0.2">
      <c r="H1173" s="12"/>
      <c r="V1173" s="12"/>
      <c r="AJ1173" s="12"/>
      <c r="AX1173" s="12"/>
      <c r="BL1173" s="12"/>
      <c r="BZ1173" s="12"/>
      <c r="CB1173" s="12"/>
      <c r="CP1173" s="12"/>
      <c r="DD1173" s="12"/>
      <c r="DR1173" s="12"/>
      <c r="EF1173" s="12"/>
    </row>
    <row r="1174" spans="8:136" ht="10.199999999999999" x14ac:dyDescent="0.2">
      <c r="H1174" s="12"/>
      <c r="V1174" s="12"/>
      <c r="AJ1174" s="12"/>
      <c r="AX1174" s="12"/>
      <c r="BL1174" s="12"/>
      <c r="BZ1174" s="12"/>
      <c r="CB1174" s="12"/>
      <c r="CP1174" s="12"/>
      <c r="DD1174" s="12"/>
      <c r="DR1174" s="12"/>
      <c r="EF1174" s="12"/>
    </row>
    <row r="1175" spans="8:136" ht="10.199999999999999" x14ac:dyDescent="0.2">
      <c r="H1175" s="12"/>
      <c r="V1175" s="12"/>
      <c r="AJ1175" s="12"/>
      <c r="AX1175" s="12"/>
      <c r="BL1175" s="12"/>
      <c r="BZ1175" s="12"/>
      <c r="CB1175" s="12"/>
      <c r="CP1175" s="12"/>
      <c r="DD1175" s="12"/>
      <c r="DR1175" s="12"/>
      <c r="EF1175" s="12"/>
    </row>
    <row r="1176" spans="8:136" ht="10.199999999999999" x14ac:dyDescent="0.2">
      <c r="H1176" s="12"/>
      <c r="V1176" s="12"/>
      <c r="AJ1176" s="12"/>
      <c r="AX1176" s="12"/>
      <c r="BL1176" s="12"/>
      <c r="BZ1176" s="12"/>
      <c r="CB1176" s="12"/>
      <c r="CP1176" s="12"/>
      <c r="DD1176" s="12"/>
      <c r="DR1176" s="12"/>
      <c r="EF1176" s="12"/>
    </row>
    <row r="1177" spans="8:136" ht="10.199999999999999" x14ac:dyDescent="0.2">
      <c r="H1177" s="12"/>
      <c r="V1177" s="12"/>
      <c r="AJ1177" s="12"/>
      <c r="AX1177" s="12"/>
      <c r="BL1177" s="12"/>
      <c r="BZ1177" s="12"/>
      <c r="CB1177" s="12"/>
      <c r="CP1177" s="12"/>
      <c r="DD1177" s="12"/>
      <c r="DR1177" s="12"/>
      <c r="EF1177" s="12"/>
    </row>
    <row r="1178" spans="8:136" ht="10.199999999999999" x14ac:dyDescent="0.2">
      <c r="H1178" s="12"/>
      <c r="V1178" s="12"/>
      <c r="AJ1178" s="12"/>
      <c r="AX1178" s="12"/>
      <c r="BL1178" s="12"/>
      <c r="BZ1178" s="12"/>
      <c r="CB1178" s="12"/>
      <c r="CP1178" s="12"/>
      <c r="DD1178" s="12"/>
      <c r="DR1178" s="12"/>
      <c r="EF1178" s="12"/>
    </row>
    <row r="1179" spans="8:136" ht="10.199999999999999" x14ac:dyDescent="0.2">
      <c r="H1179" s="12"/>
      <c r="V1179" s="12"/>
      <c r="AJ1179" s="12"/>
      <c r="AX1179" s="12"/>
      <c r="BL1179" s="12"/>
      <c r="BZ1179" s="12"/>
      <c r="CB1179" s="12"/>
      <c r="CP1179" s="12"/>
      <c r="DD1179" s="12"/>
      <c r="DR1179" s="12"/>
      <c r="EF1179" s="12"/>
    </row>
    <row r="1180" spans="8:136" ht="10.199999999999999" x14ac:dyDescent="0.2">
      <c r="H1180" s="12"/>
      <c r="V1180" s="12"/>
      <c r="AJ1180" s="12"/>
      <c r="AX1180" s="12"/>
      <c r="BL1180" s="12"/>
      <c r="BZ1180" s="12"/>
      <c r="CB1180" s="12"/>
      <c r="CP1180" s="12"/>
      <c r="DD1180" s="12"/>
      <c r="DR1180" s="12"/>
      <c r="EF1180" s="12"/>
    </row>
    <row r="1181" spans="8:136" ht="10.199999999999999" x14ac:dyDescent="0.2">
      <c r="H1181" s="12"/>
      <c r="V1181" s="12"/>
      <c r="AJ1181" s="12"/>
      <c r="AX1181" s="12"/>
      <c r="BL1181" s="12"/>
      <c r="BZ1181" s="12"/>
      <c r="CB1181" s="12"/>
      <c r="CP1181" s="12"/>
      <c r="DD1181" s="12"/>
      <c r="DR1181" s="12"/>
      <c r="EF1181" s="12"/>
    </row>
    <row r="1182" spans="8:136" ht="10.199999999999999" x14ac:dyDescent="0.2">
      <c r="H1182" s="12"/>
      <c r="V1182" s="12"/>
      <c r="AJ1182" s="12"/>
      <c r="AX1182" s="12"/>
      <c r="BL1182" s="12"/>
      <c r="BZ1182" s="12"/>
      <c r="CB1182" s="12"/>
      <c r="CP1182" s="12"/>
      <c r="DD1182" s="12"/>
      <c r="DR1182" s="12"/>
      <c r="EF1182" s="12"/>
    </row>
    <row r="1183" spans="8:136" ht="10.199999999999999" x14ac:dyDescent="0.2">
      <c r="H1183" s="12"/>
      <c r="V1183" s="12"/>
      <c r="AJ1183" s="12"/>
      <c r="AX1183" s="12"/>
      <c r="BL1183" s="12"/>
      <c r="BZ1183" s="12"/>
      <c r="CB1183" s="12"/>
      <c r="CP1183" s="12"/>
      <c r="DD1183" s="12"/>
      <c r="DR1183" s="12"/>
      <c r="EF1183" s="12"/>
    </row>
    <row r="1184" spans="8:136" ht="10.199999999999999" x14ac:dyDescent="0.2">
      <c r="H1184" s="12"/>
      <c r="V1184" s="12"/>
      <c r="AJ1184" s="12"/>
      <c r="AX1184" s="12"/>
      <c r="BL1184" s="12"/>
      <c r="BZ1184" s="12"/>
      <c r="CB1184" s="12"/>
      <c r="CP1184" s="12"/>
      <c r="DD1184" s="12"/>
      <c r="DR1184" s="12"/>
      <c r="EF1184" s="12"/>
    </row>
    <row r="1185" spans="8:136" ht="10.199999999999999" x14ac:dyDescent="0.2">
      <c r="H1185" s="12"/>
      <c r="V1185" s="12"/>
      <c r="AJ1185" s="12"/>
      <c r="AX1185" s="12"/>
      <c r="BL1185" s="12"/>
      <c r="BZ1185" s="12"/>
      <c r="CB1185" s="12"/>
      <c r="CP1185" s="12"/>
      <c r="DD1185" s="12"/>
      <c r="DR1185" s="12"/>
      <c r="EF1185" s="12"/>
    </row>
    <row r="1186" spans="8:136" ht="10.199999999999999" x14ac:dyDescent="0.2">
      <c r="H1186" s="12"/>
      <c r="V1186" s="12"/>
      <c r="AJ1186" s="12"/>
      <c r="AX1186" s="12"/>
      <c r="BL1186" s="12"/>
      <c r="BZ1186" s="12"/>
      <c r="CB1186" s="12"/>
      <c r="CP1186" s="12"/>
      <c r="DD1186" s="12"/>
      <c r="DR1186" s="12"/>
      <c r="EF1186" s="12"/>
    </row>
    <row r="1187" spans="8:136" ht="10.199999999999999" x14ac:dyDescent="0.2">
      <c r="H1187" s="12"/>
      <c r="V1187" s="12"/>
      <c r="AJ1187" s="12"/>
      <c r="AX1187" s="12"/>
      <c r="BL1187" s="12"/>
      <c r="BZ1187" s="12"/>
      <c r="CB1187" s="12"/>
      <c r="CP1187" s="12"/>
      <c r="DD1187" s="12"/>
      <c r="DR1187" s="12"/>
      <c r="EF1187" s="12"/>
    </row>
    <row r="1188" spans="8:136" ht="10.199999999999999" x14ac:dyDescent="0.2">
      <c r="H1188" s="12"/>
      <c r="V1188" s="12"/>
      <c r="AJ1188" s="12"/>
      <c r="AX1188" s="12"/>
      <c r="BL1188" s="12"/>
      <c r="BZ1188" s="12"/>
      <c r="CB1188" s="12"/>
      <c r="CP1188" s="12"/>
      <c r="DD1188" s="12"/>
      <c r="DR1188" s="12"/>
      <c r="EF1188" s="12"/>
    </row>
    <row r="1189" spans="8:136" ht="10.199999999999999" x14ac:dyDescent="0.2">
      <c r="H1189" s="12"/>
      <c r="V1189" s="12"/>
      <c r="AJ1189" s="12"/>
      <c r="AX1189" s="12"/>
      <c r="BL1189" s="12"/>
      <c r="BZ1189" s="12"/>
      <c r="CB1189" s="12"/>
      <c r="CP1189" s="12"/>
      <c r="DD1189" s="12"/>
      <c r="DR1189" s="12"/>
      <c r="EF1189" s="12"/>
    </row>
    <row r="1190" spans="8:136" ht="10.199999999999999" x14ac:dyDescent="0.2">
      <c r="H1190" s="12"/>
      <c r="V1190" s="12"/>
      <c r="AJ1190" s="12"/>
      <c r="AX1190" s="12"/>
      <c r="BL1190" s="12"/>
      <c r="BZ1190" s="12"/>
      <c r="CB1190" s="12"/>
      <c r="CP1190" s="12"/>
      <c r="DD1190" s="12"/>
      <c r="DR1190" s="12"/>
      <c r="EF1190" s="12"/>
    </row>
    <row r="1191" spans="8:136" ht="10.199999999999999" x14ac:dyDescent="0.2">
      <c r="H1191" s="12"/>
      <c r="V1191" s="12"/>
      <c r="AJ1191" s="12"/>
      <c r="AX1191" s="12"/>
      <c r="BL1191" s="12"/>
      <c r="BZ1191" s="12"/>
      <c r="CB1191" s="12"/>
      <c r="CP1191" s="12"/>
      <c r="DD1191" s="12"/>
      <c r="DR1191" s="12"/>
      <c r="EF1191" s="12"/>
    </row>
    <row r="1192" spans="8:136" ht="10.199999999999999" x14ac:dyDescent="0.2">
      <c r="H1192" s="12"/>
      <c r="V1192" s="12"/>
      <c r="AJ1192" s="12"/>
      <c r="AX1192" s="12"/>
      <c r="BL1192" s="12"/>
      <c r="BZ1192" s="12"/>
      <c r="CB1192" s="12"/>
      <c r="CP1192" s="12"/>
      <c r="DD1192" s="12"/>
      <c r="DR1192" s="12"/>
      <c r="EF1192" s="12"/>
    </row>
    <row r="1193" spans="8:136" ht="10.199999999999999" x14ac:dyDescent="0.2">
      <c r="H1193" s="12"/>
      <c r="V1193" s="12"/>
      <c r="AJ1193" s="12"/>
      <c r="AX1193" s="12"/>
      <c r="BL1193" s="12"/>
      <c r="BZ1193" s="12"/>
      <c r="CB1193" s="12"/>
      <c r="CP1193" s="12"/>
      <c r="DD1193" s="12"/>
      <c r="DR1193" s="12"/>
      <c r="EF1193" s="12"/>
    </row>
    <row r="1194" spans="8:136" ht="10.199999999999999" x14ac:dyDescent="0.2">
      <c r="H1194" s="12"/>
      <c r="V1194" s="12"/>
      <c r="AJ1194" s="12"/>
      <c r="AX1194" s="12"/>
      <c r="BL1194" s="12"/>
      <c r="BZ1194" s="12"/>
      <c r="CB1194" s="12"/>
      <c r="CP1194" s="12"/>
      <c r="DD1194" s="12"/>
      <c r="DR1194" s="12"/>
      <c r="EF1194" s="12"/>
    </row>
    <row r="1195" spans="8:136" ht="10.199999999999999" x14ac:dyDescent="0.2">
      <c r="H1195" s="12"/>
      <c r="V1195" s="12"/>
      <c r="AJ1195" s="12"/>
      <c r="AX1195" s="12"/>
      <c r="BL1195" s="12"/>
      <c r="BZ1195" s="12"/>
      <c r="CB1195" s="12"/>
      <c r="CP1195" s="12"/>
      <c r="DD1195" s="12"/>
      <c r="DR1195" s="12"/>
      <c r="EF1195" s="12"/>
    </row>
    <row r="1196" spans="8:136" ht="10.199999999999999" x14ac:dyDescent="0.2">
      <c r="H1196" s="12"/>
      <c r="V1196" s="12"/>
      <c r="AJ1196" s="12"/>
      <c r="AX1196" s="12"/>
      <c r="BL1196" s="12"/>
      <c r="BZ1196" s="12"/>
      <c r="CB1196" s="12"/>
      <c r="CP1196" s="12"/>
      <c r="DD1196" s="12"/>
      <c r="DR1196" s="12"/>
      <c r="EF1196" s="12"/>
    </row>
    <row r="1197" spans="8:136" ht="10.199999999999999" x14ac:dyDescent="0.2">
      <c r="H1197" s="12"/>
      <c r="V1197" s="12"/>
      <c r="AJ1197" s="12"/>
      <c r="AX1197" s="12"/>
      <c r="BL1197" s="12"/>
      <c r="BZ1197" s="12"/>
      <c r="CB1197" s="12"/>
      <c r="CP1197" s="12"/>
      <c r="DD1197" s="12"/>
      <c r="DR1197" s="12"/>
      <c r="EF1197" s="12"/>
    </row>
    <row r="1198" spans="8:136" ht="10.199999999999999" x14ac:dyDescent="0.2">
      <c r="H1198" s="12"/>
      <c r="V1198" s="12"/>
      <c r="AJ1198" s="12"/>
      <c r="AX1198" s="12"/>
      <c r="BL1198" s="12"/>
      <c r="BZ1198" s="12"/>
      <c r="CB1198" s="12"/>
      <c r="CP1198" s="12"/>
      <c r="DD1198" s="12"/>
      <c r="DR1198" s="12"/>
      <c r="EF1198" s="12"/>
    </row>
    <row r="1199" spans="8:136" ht="10.199999999999999" x14ac:dyDescent="0.2">
      <c r="H1199" s="12"/>
      <c r="V1199" s="12"/>
      <c r="AJ1199" s="12"/>
      <c r="AX1199" s="12"/>
      <c r="BL1199" s="12"/>
      <c r="BZ1199" s="12"/>
      <c r="CB1199" s="12"/>
      <c r="CP1199" s="12"/>
      <c r="DD1199" s="12"/>
      <c r="DR1199" s="12"/>
      <c r="EF1199" s="12"/>
    </row>
    <row r="1200" spans="8:136" ht="10.199999999999999" x14ac:dyDescent="0.2">
      <c r="H1200" s="12"/>
      <c r="V1200" s="12"/>
      <c r="AJ1200" s="12"/>
      <c r="AX1200" s="12"/>
      <c r="BL1200" s="12"/>
      <c r="BZ1200" s="12"/>
      <c r="CB1200" s="12"/>
      <c r="CP1200" s="12"/>
      <c r="DD1200" s="12"/>
      <c r="DR1200" s="12"/>
      <c r="EF1200" s="12"/>
    </row>
    <row r="1201" spans="8:136" ht="10.199999999999999" x14ac:dyDescent="0.2">
      <c r="H1201" s="12"/>
      <c r="V1201" s="12"/>
      <c r="AJ1201" s="12"/>
      <c r="AX1201" s="12"/>
      <c r="BL1201" s="12"/>
      <c r="BZ1201" s="12"/>
      <c r="CB1201" s="12"/>
      <c r="CP1201" s="12"/>
      <c r="DD1201" s="12"/>
      <c r="DR1201" s="12"/>
      <c r="EF1201" s="12"/>
    </row>
    <row r="1202" spans="8:136" ht="10.199999999999999" x14ac:dyDescent="0.2">
      <c r="H1202" s="12"/>
      <c r="V1202" s="12"/>
      <c r="AJ1202" s="12"/>
      <c r="AX1202" s="12"/>
      <c r="BL1202" s="12"/>
      <c r="BZ1202" s="12"/>
      <c r="CB1202" s="12"/>
      <c r="CP1202" s="12"/>
      <c r="DD1202" s="12"/>
      <c r="DR1202" s="12"/>
      <c r="EF1202" s="12"/>
    </row>
    <row r="1203" spans="8:136" ht="10.199999999999999" x14ac:dyDescent="0.2">
      <c r="H1203" s="12"/>
      <c r="V1203" s="12"/>
      <c r="AJ1203" s="12"/>
      <c r="AX1203" s="12"/>
      <c r="BL1203" s="12"/>
      <c r="BZ1203" s="12"/>
      <c r="CB1203" s="12"/>
      <c r="CP1203" s="12"/>
      <c r="DD1203" s="12"/>
      <c r="DR1203" s="12"/>
      <c r="EF1203" s="12"/>
    </row>
    <row r="1204" spans="8:136" ht="10.199999999999999" x14ac:dyDescent="0.2">
      <c r="H1204" s="12"/>
      <c r="V1204" s="12"/>
      <c r="AJ1204" s="12"/>
      <c r="AX1204" s="12"/>
      <c r="BL1204" s="12"/>
      <c r="BZ1204" s="12"/>
      <c r="CB1204" s="12"/>
      <c r="CP1204" s="12"/>
      <c r="DD1204" s="12"/>
      <c r="DR1204" s="12"/>
      <c r="EF1204" s="12"/>
    </row>
    <row r="1205" spans="8:136" ht="10.199999999999999" x14ac:dyDescent="0.2">
      <c r="H1205" s="12"/>
      <c r="V1205" s="12"/>
      <c r="AJ1205" s="12"/>
      <c r="AX1205" s="12"/>
      <c r="BL1205" s="12"/>
      <c r="BZ1205" s="12"/>
      <c r="CB1205" s="12"/>
      <c r="CP1205" s="12"/>
      <c r="DD1205" s="12"/>
      <c r="DR1205" s="12"/>
      <c r="EF1205" s="12"/>
    </row>
    <row r="1206" spans="8:136" ht="10.199999999999999" x14ac:dyDescent="0.2">
      <c r="H1206" s="12"/>
      <c r="V1206" s="12"/>
      <c r="AJ1206" s="12"/>
      <c r="AX1206" s="12"/>
      <c r="BL1206" s="12"/>
      <c r="BZ1206" s="12"/>
      <c r="CB1206" s="12"/>
      <c r="CP1206" s="12"/>
      <c r="DD1206" s="12"/>
      <c r="DR1206" s="12"/>
      <c r="EF1206" s="12"/>
    </row>
    <row r="1207" spans="8:136" ht="10.199999999999999" x14ac:dyDescent="0.2">
      <c r="H1207" s="12"/>
      <c r="V1207" s="12"/>
      <c r="AJ1207" s="12"/>
      <c r="AX1207" s="12"/>
      <c r="BL1207" s="12"/>
      <c r="BZ1207" s="12"/>
      <c r="CB1207" s="12"/>
      <c r="CP1207" s="12"/>
      <c r="DD1207" s="12"/>
      <c r="DR1207" s="12"/>
      <c r="EF1207" s="12"/>
    </row>
    <row r="1208" spans="8:136" ht="10.199999999999999" x14ac:dyDescent="0.2">
      <c r="H1208" s="12"/>
      <c r="V1208" s="12"/>
      <c r="AJ1208" s="12"/>
      <c r="AX1208" s="12"/>
      <c r="BL1208" s="12"/>
      <c r="BZ1208" s="12"/>
      <c r="CB1208" s="12"/>
      <c r="CP1208" s="12"/>
      <c r="DD1208" s="12"/>
      <c r="DR1208" s="12"/>
      <c r="EF1208" s="12"/>
    </row>
    <row r="1209" spans="8:136" ht="10.199999999999999" x14ac:dyDescent="0.2">
      <c r="H1209" s="12"/>
      <c r="V1209" s="12"/>
      <c r="AJ1209" s="12"/>
      <c r="AX1209" s="12"/>
      <c r="BL1209" s="12"/>
      <c r="BZ1209" s="12"/>
      <c r="CB1209" s="12"/>
      <c r="CP1209" s="12"/>
      <c r="DD1209" s="12"/>
      <c r="DR1209" s="12"/>
      <c r="EF1209" s="12"/>
    </row>
    <row r="1210" spans="8:136" ht="10.199999999999999" x14ac:dyDescent="0.2">
      <c r="H1210" s="12"/>
      <c r="V1210" s="12"/>
      <c r="AJ1210" s="12"/>
      <c r="AX1210" s="12"/>
      <c r="BL1210" s="12"/>
      <c r="BZ1210" s="12"/>
      <c r="CB1210" s="12"/>
      <c r="CP1210" s="12"/>
      <c r="DD1210" s="12"/>
      <c r="DR1210" s="12"/>
      <c r="EF1210" s="12"/>
    </row>
    <row r="1211" spans="8:136" ht="10.199999999999999" x14ac:dyDescent="0.2">
      <c r="H1211" s="12"/>
      <c r="V1211" s="12"/>
      <c r="AJ1211" s="12"/>
      <c r="AX1211" s="12"/>
      <c r="BL1211" s="12"/>
      <c r="BZ1211" s="12"/>
      <c r="CB1211" s="12"/>
      <c r="CP1211" s="12"/>
      <c r="DD1211" s="12"/>
      <c r="DR1211" s="12"/>
      <c r="EF1211" s="12"/>
    </row>
    <row r="1212" spans="8:136" ht="10.199999999999999" x14ac:dyDescent="0.2">
      <c r="H1212" s="12"/>
      <c r="V1212" s="12"/>
      <c r="AJ1212" s="12"/>
      <c r="AX1212" s="12"/>
      <c r="BL1212" s="12"/>
      <c r="BZ1212" s="12"/>
      <c r="CB1212" s="12"/>
      <c r="CP1212" s="12"/>
      <c r="DD1212" s="12"/>
      <c r="DR1212" s="12"/>
      <c r="EF1212" s="12"/>
    </row>
    <row r="1213" spans="8:136" ht="10.199999999999999" x14ac:dyDescent="0.2">
      <c r="H1213" s="12"/>
      <c r="V1213" s="12"/>
      <c r="AJ1213" s="12"/>
      <c r="AX1213" s="12"/>
      <c r="BL1213" s="12"/>
      <c r="BZ1213" s="12"/>
      <c r="CB1213" s="12"/>
      <c r="CP1213" s="12"/>
      <c r="DD1213" s="12"/>
      <c r="DR1213" s="12"/>
      <c r="EF1213" s="12"/>
    </row>
    <row r="1214" spans="8:136" ht="10.199999999999999" x14ac:dyDescent="0.2">
      <c r="H1214" s="12"/>
      <c r="V1214" s="12"/>
      <c r="AJ1214" s="12"/>
      <c r="AX1214" s="12"/>
      <c r="BL1214" s="12"/>
      <c r="BZ1214" s="12"/>
      <c r="CB1214" s="12"/>
      <c r="CP1214" s="12"/>
      <c r="DD1214" s="12"/>
      <c r="DR1214" s="12"/>
      <c r="EF1214" s="12"/>
    </row>
    <row r="1215" spans="8:136" ht="10.199999999999999" x14ac:dyDescent="0.2">
      <c r="H1215" s="12"/>
      <c r="V1215" s="12"/>
      <c r="AJ1215" s="12"/>
      <c r="AX1215" s="12"/>
      <c r="BL1215" s="12"/>
      <c r="BZ1215" s="12"/>
      <c r="CB1215" s="12"/>
      <c r="CP1215" s="12"/>
      <c r="DD1215" s="12"/>
      <c r="DR1215" s="12"/>
      <c r="EF1215" s="12"/>
    </row>
    <row r="1216" spans="8:136" ht="10.199999999999999" x14ac:dyDescent="0.2">
      <c r="H1216" s="12"/>
      <c r="V1216" s="12"/>
      <c r="AJ1216" s="12"/>
      <c r="AX1216" s="12"/>
      <c r="BL1216" s="12"/>
      <c r="BZ1216" s="12"/>
      <c r="CB1216" s="12"/>
      <c r="CP1216" s="12"/>
      <c r="DD1216" s="12"/>
      <c r="DR1216" s="12"/>
      <c r="EF1216" s="12"/>
    </row>
    <row r="1217" spans="8:136" ht="10.199999999999999" x14ac:dyDescent="0.2">
      <c r="H1217" s="12"/>
      <c r="V1217" s="12"/>
      <c r="AJ1217" s="12"/>
      <c r="AX1217" s="12"/>
      <c r="BL1217" s="12"/>
      <c r="BZ1217" s="12"/>
      <c r="CB1217" s="12"/>
      <c r="CP1217" s="12"/>
      <c r="DD1217" s="12"/>
      <c r="DR1217" s="12"/>
      <c r="EF1217" s="12"/>
    </row>
    <row r="1218" spans="8:136" ht="10.199999999999999" x14ac:dyDescent="0.2">
      <c r="H1218" s="12"/>
      <c r="V1218" s="12"/>
      <c r="AJ1218" s="12"/>
      <c r="AX1218" s="12"/>
      <c r="BL1218" s="12"/>
      <c r="BZ1218" s="12"/>
      <c r="CB1218" s="12"/>
      <c r="CP1218" s="12"/>
      <c r="DD1218" s="12"/>
      <c r="DR1218" s="12"/>
      <c r="EF1218" s="12"/>
    </row>
    <row r="1219" spans="8:136" ht="10.199999999999999" x14ac:dyDescent="0.2">
      <c r="H1219" s="12"/>
      <c r="V1219" s="12"/>
      <c r="AJ1219" s="12"/>
      <c r="AX1219" s="12"/>
      <c r="BL1219" s="12"/>
      <c r="BZ1219" s="12"/>
      <c r="CB1219" s="12"/>
      <c r="CP1219" s="12"/>
      <c r="DD1219" s="12"/>
      <c r="DR1219" s="12"/>
      <c r="EF1219" s="12"/>
    </row>
    <row r="1220" spans="8:136" ht="10.199999999999999" x14ac:dyDescent="0.2">
      <c r="H1220" s="12"/>
      <c r="V1220" s="12"/>
      <c r="AJ1220" s="12"/>
      <c r="AX1220" s="12"/>
      <c r="BL1220" s="12"/>
      <c r="BZ1220" s="12"/>
      <c r="CB1220" s="12"/>
      <c r="CP1220" s="12"/>
      <c r="DD1220" s="12"/>
      <c r="DR1220" s="12"/>
      <c r="EF1220" s="12"/>
    </row>
    <row r="1221" spans="8:136" ht="10.199999999999999" x14ac:dyDescent="0.2">
      <c r="H1221" s="12"/>
      <c r="V1221" s="12"/>
      <c r="AJ1221" s="12"/>
      <c r="AX1221" s="12"/>
      <c r="BL1221" s="12"/>
      <c r="BZ1221" s="12"/>
      <c r="CB1221" s="12"/>
      <c r="CP1221" s="12"/>
      <c r="DD1221" s="12"/>
      <c r="DR1221" s="12"/>
      <c r="EF1221" s="12"/>
    </row>
    <row r="1222" spans="8:136" ht="10.199999999999999" x14ac:dyDescent="0.2">
      <c r="H1222" s="12"/>
      <c r="V1222" s="12"/>
      <c r="AJ1222" s="12"/>
      <c r="AX1222" s="12"/>
      <c r="BL1222" s="12"/>
      <c r="BZ1222" s="12"/>
      <c r="CB1222" s="12"/>
      <c r="CP1222" s="12"/>
      <c r="DD1222" s="12"/>
      <c r="DR1222" s="12"/>
      <c r="EF1222" s="12"/>
    </row>
    <row r="1223" spans="8:136" ht="10.199999999999999" x14ac:dyDescent="0.2">
      <c r="H1223" s="12"/>
      <c r="V1223" s="12"/>
      <c r="AJ1223" s="12"/>
      <c r="AX1223" s="12"/>
      <c r="BL1223" s="12"/>
      <c r="BZ1223" s="12"/>
      <c r="CB1223" s="12"/>
      <c r="CP1223" s="12"/>
      <c r="DD1223" s="12"/>
      <c r="DR1223" s="12"/>
      <c r="EF1223" s="12"/>
    </row>
    <row r="1224" spans="8:136" ht="10.199999999999999" x14ac:dyDescent="0.2">
      <c r="H1224" s="12"/>
      <c r="V1224" s="12"/>
      <c r="AJ1224" s="12"/>
      <c r="AX1224" s="12"/>
      <c r="BL1224" s="12"/>
      <c r="BZ1224" s="12"/>
      <c r="CB1224" s="12"/>
      <c r="CP1224" s="12"/>
      <c r="DD1224" s="12"/>
      <c r="DR1224" s="12"/>
      <c r="EF1224" s="12"/>
    </row>
    <row r="1225" spans="8:136" ht="10.199999999999999" x14ac:dyDescent="0.2">
      <c r="H1225" s="12"/>
      <c r="V1225" s="12"/>
      <c r="AJ1225" s="12"/>
      <c r="AX1225" s="12"/>
      <c r="BL1225" s="12"/>
      <c r="BZ1225" s="12"/>
      <c r="CB1225" s="12"/>
      <c r="CP1225" s="12"/>
      <c r="DD1225" s="12"/>
      <c r="DR1225" s="12"/>
      <c r="EF1225" s="12"/>
    </row>
    <row r="1226" spans="8:136" ht="10.199999999999999" x14ac:dyDescent="0.2">
      <c r="H1226" s="12"/>
      <c r="V1226" s="12"/>
      <c r="AJ1226" s="12"/>
      <c r="AX1226" s="12"/>
      <c r="BL1226" s="12"/>
      <c r="BZ1226" s="12"/>
      <c r="CB1226" s="12"/>
      <c r="CP1226" s="12"/>
      <c r="DD1226" s="12"/>
      <c r="DR1226" s="12"/>
      <c r="EF1226" s="12"/>
    </row>
    <row r="1227" spans="8:136" ht="10.199999999999999" x14ac:dyDescent="0.2">
      <c r="H1227" s="12"/>
      <c r="V1227" s="12"/>
      <c r="AJ1227" s="12"/>
      <c r="AX1227" s="12"/>
      <c r="BL1227" s="12"/>
      <c r="BZ1227" s="12"/>
      <c r="CB1227" s="12"/>
      <c r="CP1227" s="12"/>
      <c r="DD1227" s="12"/>
      <c r="DR1227" s="12"/>
      <c r="EF1227" s="12"/>
    </row>
    <row r="1228" spans="8:136" ht="10.199999999999999" x14ac:dyDescent="0.2">
      <c r="H1228" s="12"/>
      <c r="V1228" s="12"/>
      <c r="AJ1228" s="12"/>
      <c r="AX1228" s="12"/>
      <c r="BL1228" s="12"/>
      <c r="BZ1228" s="12"/>
      <c r="CB1228" s="12"/>
      <c r="CP1228" s="12"/>
      <c r="DD1228" s="12"/>
      <c r="DR1228" s="12"/>
      <c r="EF1228" s="12"/>
    </row>
    <row r="1229" spans="8:136" ht="10.199999999999999" x14ac:dyDescent="0.2">
      <c r="H1229" s="12"/>
      <c r="V1229" s="12"/>
      <c r="AJ1229" s="12"/>
      <c r="AX1229" s="12"/>
      <c r="BL1229" s="12"/>
      <c r="BZ1229" s="12"/>
      <c r="CB1229" s="12"/>
      <c r="CP1229" s="12"/>
      <c r="DD1229" s="12"/>
      <c r="DR1229" s="12"/>
      <c r="EF1229" s="12"/>
    </row>
    <row r="1230" spans="8:136" ht="10.199999999999999" x14ac:dyDescent="0.2">
      <c r="H1230" s="12"/>
      <c r="V1230" s="12"/>
      <c r="AJ1230" s="12"/>
      <c r="AX1230" s="12"/>
      <c r="BL1230" s="12"/>
      <c r="BZ1230" s="12"/>
      <c r="CB1230" s="12"/>
      <c r="CP1230" s="12"/>
      <c r="DD1230" s="12"/>
      <c r="DR1230" s="12"/>
      <c r="EF1230" s="12"/>
    </row>
    <row r="1231" spans="8:136" ht="10.199999999999999" x14ac:dyDescent="0.2">
      <c r="H1231" s="12"/>
      <c r="V1231" s="12"/>
      <c r="AJ1231" s="12"/>
      <c r="AX1231" s="12"/>
      <c r="BL1231" s="12"/>
      <c r="BZ1231" s="12"/>
      <c r="CB1231" s="12"/>
      <c r="CP1231" s="12"/>
      <c r="DD1231" s="12"/>
      <c r="DR1231" s="12"/>
      <c r="EF1231" s="12"/>
    </row>
    <row r="1232" spans="8:136" ht="10.199999999999999" x14ac:dyDescent="0.2">
      <c r="H1232" s="12"/>
      <c r="V1232" s="12"/>
      <c r="AJ1232" s="12"/>
      <c r="AX1232" s="12"/>
      <c r="BL1232" s="12"/>
      <c r="BZ1232" s="12"/>
      <c r="CB1232" s="12"/>
      <c r="CP1232" s="12"/>
      <c r="DD1232" s="12"/>
      <c r="DR1232" s="12"/>
      <c r="EF1232" s="12"/>
    </row>
    <row r="1233" spans="8:136" ht="10.199999999999999" x14ac:dyDescent="0.2">
      <c r="H1233" s="12"/>
      <c r="V1233" s="12"/>
      <c r="AJ1233" s="12"/>
      <c r="AX1233" s="12"/>
      <c r="BL1233" s="12"/>
      <c r="BZ1233" s="12"/>
      <c r="CB1233" s="12"/>
      <c r="CP1233" s="12"/>
      <c r="DD1233" s="12"/>
      <c r="DR1233" s="12"/>
      <c r="EF1233" s="12"/>
    </row>
    <row r="1234" spans="8:136" ht="10.199999999999999" x14ac:dyDescent="0.2">
      <c r="H1234" s="12"/>
      <c r="V1234" s="12"/>
      <c r="AJ1234" s="12"/>
      <c r="AX1234" s="12"/>
      <c r="BL1234" s="12"/>
      <c r="BZ1234" s="12"/>
      <c r="CB1234" s="12"/>
      <c r="CP1234" s="12"/>
      <c r="DD1234" s="12"/>
      <c r="DR1234" s="12"/>
      <c r="EF1234" s="12"/>
    </row>
    <row r="1235" spans="8:136" ht="10.199999999999999" x14ac:dyDescent="0.2">
      <c r="H1235" s="12"/>
      <c r="V1235" s="12"/>
      <c r="AJ1235" s="12"/>
      <c r="AX1235" s="12"/>
      <c r="BL1235" s="12"/>
      <c r="BZ1235" s="12"/>
      <c r="CB1235" s="12"/>
      <c r="CP1235" s="12"/>
      <c r="DD1235" s="12"/>
      <c r="DR1235" s="12"/>
      <c r="EF1235" s="12"/>
    </row>
    <row r="1236" spans="8:136" ht="10.199999999999999" x14ac:dyDescent="0.2">
      <c r="H1236" s="12"/>
      <c r="V1236" s="12"/>
      <c r="AJ1236" s="12"/>
      <c r="AX1236" s="12"/>
      <c r="BL1236" s="12"/>
      <c r="BZ1236" s="12"/>
      <c r="CB1236" s="12"/>
      <c r="CP1236" s="12"/>
      <c r="DD1236" s="12"/>
      <c r="DR1236" s="12"/>
      <c r="EF1236" s="12"/>
    </row>
    <row r="1237" spans="8:136" ht="10.199999999999999" x14ac:dyDescent="0.2">
      <c r="H1237" s="12"/>
      <c r="V1237" s="12"/>
      <c r="AJ1237" s="12"/>
      <c r="AX1237" s="12"/>
      <c r="BL1237" s="12"/>
      <c r="BZ1237" s="12"/>
      <c r="CB1237" s="12"/>
      <c r="CP1237" s="12"/>
      <c r="DD1237" s="12"/>
      <c r="DR1237" s="12"/>
      <c r="EF1237" s="12"/>
    </row>
    <row r="1238" spans="8:136" ht="10.199999999999999" x14ac:dyDescent="0.2">
      <c r="H1238" s="12"/>
      <c r="V1238" s="12"/>
      <c r="AJ1238" s="12"/>
      <c r="AX1238" s="12"/>
      <c r="BL1238" s="12"/>
      <c r="BZ1238" s="12"/>
      <c r="CB1238" s="12"/>
      <c r="CP1238" s="12"/>
      <c r="DD1238" s="12"/>
      <c r="DR1238" s="12"/>
      <c r="EF1238" s="12"/>
    </row>
    <row r="1239" spans="8:136" ht="10.199999999999999" x14ac:dyDescent="0.2">
      <c r="H1239" s="12"/>
      <c r="V1239" s="12"/>
      <c r="AJ1239" s="12"/>
      <c r="AX1239" s="12"/>
      <c r="BL1239" s="12"/>
      <c r="BZ1239" s="12"/>
      <c r="CB1239" s="12"/>
      <c r="CP1239" s="12"/>
      <c r="DD1239" s="12"/>
      <c r="DR1239" s="12"/>
      <c r="EF1239" s="12"/>
    </row>
    <row r="1240" spans="8:136" ht="10.199999999999999" x14ac:dyDescent="0.2">
      <c r="H1240" s="12"/>
      <c r="V1240" s="12"/>
      <c r="AJ1240" s="12"/>
      <c r="AX1240" s="12"/>
      <c r="BL1240" s="12"/>
      <c r="BZ1240" s="12"/>
      <c r="CB1240" s="12"/>
      <c r="CP1240" s="12"/>
      <c r="DD1240" s="12"/>
      <c r="DR1240" s="12"/>
      <c r="EF1240" s="12"/>
    </row>
    <row r="1241" spans="8:136" ht="10.199999999999999" x14ac:dyDescent="0.2">
      <c r="H1241" s="12"/>
      <c r="V1241" s="12"/>
      <c r="AJ1241" s="12"/>
      <c r="AX1241" s="12"/>
      <c r="BL1241" s="12"/>
      <c r="BZ1241" s="12"/>
      <c r="CB1241" s="12"/>
      <c r="CP1241" s="12"/>
      <c r="DD1241" s="12"/>
      <c r="DR1241" s="12"/>
      <c r="EF1241" s="12"/>
    </row>
    <row r="1242" spans="8:136" ht="10.199999999999999" x14ac:dyDescent="0.2">
      <c r="H1242" s="12"/>
      <c r="V1242" s="12"/>
      <c r="AJ1242" s="12"/>
      <c r="AX1242" s="12"/>
      <c r="BL1242" s="12"/>
      <c r="BZ1242" s="12"/>
      <c r="CB1242" s="12"/>
      <c r="CP1242" s="12"/>
      <c r="DD1242" s="12"/>
      <c r="DR1242" s="12"/>
      <c r="EF1242" s="12"/>
    </row>
    <row r="1243" spans="8:136" ht="10.199999999999999" x14ac:dyDescent="0.2">
      <c r="H1243" s="12"/>
      <c r="V1243" s="12"/>
      <c r="AJ1243" s="12"/>
      <c r="AX1243" s="12"/>
      <c r="BL1243" s="12"/>
      <c r="BZ1243" s="12"/>
      <c r="CB1243" s="12"/>
      <c r="CP1243" s="12"/>
      <c r="DD1243" s="12"/>
      <c r="DR1243" s="12"/>
      <c r="EF1243" s="12"/>
    </row>
    <row r="1244" spans="8:136" ht="10.199999999999999" x14ac:dyDescent="0.2">
      <c r="H1244" s="12"/>
      <c r="V1244" s="12"/>
      <c r="AJ1244" s="12"/>
      <c r="AX1244" s="12"/>
      <c r="BL1244" s="12"/>
      <c r="BZ1244" s="12"/>
      <c r="CB1244" s="12"/>
      <c r="CP1244" s="12"/>
      <c r="DD1244" s="12"/>
      <c r="DR1244" s="12"/>
      <c r="EF1244" s="12"/>
    </row>
    <row r="1245" spans="8:136" ht="10.199999999999999" x14ac:dyDescent="0.2">
      <c r="H1245" s="12"/>
      <c r="V1245" s="12"/>
      <c r="AJ1245" s="12"/>
      <c r="AX1245" s="12"/>
      <c r="BL1245" s="12"/>
      <c r="BZ1245" s="12"/>
      <c r="CB1245" s="12"/>
      <c r="CP1245" s="12"/>
      <c r="DD1245" s="12"/>
      <c r="DR1245" s="12"/>
      <c r="EF1245" s="12"/>
    </row>
    <row r="1246" spans="8:136" ht="10.199999999999999" x14ac:dyDescent="0.2">
      <c r="H1246" s="12"/>
      <c r="V1246" s="12"/>
      <c r="AJ1246" s="12"/>
      <c r="AX1246" s="12"/>
      <c r="BL1246" s="12"/>
      <c r="BZ1246" s="12"/>
      <c r="CB1246" s="12"/>
      <c r="CP1246" s="12"/>
      <c r="DD1246" s="12"/>
      <c r="DR1246" s="12"/>
      <c r="EF1246" s="12"/>
    </row>
    <row r="1247" spans="8:136" ht="10.199999999999999" x14ac:dyDescent="0.2">
      <c r="H1247" s="12"/>
      <c r="V1247" s="12"/>
      <c r="AJ1247" s="12"/>
      <c r="AX1247" s="12"/>
      <c r="BL1247" s="12"/>
      <c r="BZ1247" s="12"/>
      <c r="CB1247" s="12"/>
      <c r="CP1247" s="12"/>
      <c r="DD1247" s="12"/>
      <c r="DR1247" s="12"/>
      <c r="EF1247" s="12"/>
    </row>
    <row r="1248" spans="8:136" ht="10.199999999999999" x14ac:dyDescent="0.2">
      <c r="H1248" s="12"/>
      <c r="V1248" s="12"/>
      <c r="AJ1248" s="12"/>
      <c r="AX1248" s="12"/>
      <c r="BL1248" s="12"/>
      <c r="BZ1248" s="12"/>
      <c r="CB1248" s="12"/>
      <c r="CP1248" s="12"/>
      <c r="DD1248" s="12"/>
      <c r="DR1248" s="12"/>
      <c r="EF1248" s="12"/>
    </row>
    <row r="1249" spans="8:136" ht="10.199999999999999" x14ac:dyDescent="0.2">
      <c r="H1249" s="12"/>
      <c r="V1249" s="12"/>
      <c r="AJ1249" s="12"/>
      <c r="AX1249" s="12"/>
      <c r="BL1249" s="12"/>
      <c r="BZ1249" s="12"/>
      <c r="CB1249" s="12"/>
      <c r="CP1249" s="12"/>
      <c r="DD1249" s="12"/>
      <c r="DR1249" s="12"/>
      <c r="EF1249" s="12"/>
    </row>
    <row r="1250" spans="8:136" ht="10.199999999999999" x14ac:dyDescent="0.2">
      <c r="H1250" s="12"/>
      <c r="V1250" s="12"/>
      <c r="AJ1250" s="12"/>
      <c r="AX1250" s="12"/>
      <c r="BL1250" s="12"/>
      <c r="BZ1250" s="12"/>
      <c r="CB1250" s="12"/>
      <c r="CP1250" s="12"/>
      <c r="DD1250" s="12"/>
      <c r="DR1250" s="12"/>
      <c r="EF1250" s="12"/>
    </row>
    <row r="1251" spans="8:136" ht="10.199999999999999" x14ac:dyDescent="0.2">
      <c r="H1251" s="12"/>
      <c r="V1251" s="12"/>
      <c r="AJ1251" s="12"/>
      <c r="AX1251" s="12"/>
      <c r="BL1251" s="12"/>
      <c r="BZ1251" s="12"/>
      <c r="CB1251" s="12"/>
      <c r="CP1251" s="12"/>
      <c r="DD1251" s="12"/>
      <c r="DR1251" s="12"/>
      <c r="EF1251" s="12"/>
    </row>
    <row r="1252" spans="8:136" ht="10.199999999999999" x14ac:dyDescent="0.2">
      <c r="H1252" s="12"/>
      <c r="V1252" s="12"/>
      <c r="AJ1252" s="12"/>
      <c r="AX1252" s="12"/>
      <c r="BL1252" s="12"/>
      <c r="BZ1252" s="12"/>
      <c r="CB1252" s="12"/>
      <c r="CP1252" s="12"/>
      <c r="DD1252" s="12"/>
      <c r="DR1252" s="12"/>
      <c r="EF1252" s="12"/>
    </row>
    <row r="1253" spans="8:136" ht="10.199999999999999" x14ac:dyDescent="0.2">
      <c r="H1253" s="12"/>
      <c r="V1253" s="12"/>
      <c r="AJ1253" s="12"/>
      <c r="AX1253" s="12"/>
      <c r="BL1253" s="12"/>
      <c r="BZ1253" s="12"/>
      <c r="CB1253" s="12"/>
      <c r="CP1253" s="12"/>
      <c r="DD1253" s="12"/>
      <c r="DR1253" s="12"/>
      <c r="EF1253" s="12"/>
    </row>
    <row r="1254" spans="8:136" ht="10.199999999999999" x14ac:dyDescent="0.2">
      <c r="H1254" s="12"/>
      <c r="V1254" s="12"/>
      <c r="AJ1254" s="12"/>
      <c r="AX1254" s="12"/>
      <c r="BL1254" s="12"/>
      <c r="BZ1254" s="12"/>
      <c r="CB1254" s="12"/>
      <c r="CP1254" s="12"/>
      <c r="DD1254" s="12"/>
      <c r="DR1254" s="12"/>
      <c r="EF1254" s="12"/>
    </row>
    <row r="1255" spans="8:136" ht="10.199999999999999" x14ac:dyDescent="0.2">
      <c r="H1255" s="12"/>
      <c r="V1255" s="12"/>
      <c r="AJ1255" s="12"/>
      <c r="AX1255" s="12"/>
      <c r="BL1255" s="12"/>
      <c r="BZ1255" s="12"/>
      <c r="CB1255" s="12"/>
      <c r="CP1255" s="12"/>
      <c r="DD1255" s="12"/>
      <c r="DR1255" s="12"/>
      <c r="EF1255" s="12"/>
    </row>
    <row r="1256" spans="8:136" ht="10.199999999999999" x14ac:dyDescent="0.2">
      <c r="H1256" s="12"/>
      <c r="V1256" s="12"/>
      <c r="AJ1256" s="12"/>
      <c r="AX1256" s="12"/>
      <c r="BL1256" s="12"/>
      <c r="BZ1256" s="12"/>
      <c r="CB1256" s="12"/>
      <c r="CP1256" s="12"/>
      <c r="DD1256" s="12"/>
      <c r="DR1256" s="12"/>
      <c r="EF1256" s="12"/>
    </row>
    <row r="1257" spans="8:136" ht="10.199999999999999" x14ac:dyDescent="0.2">
      <c r="H1257" s="12"/>
      <c r="V1257" s="12"/>
      <c r="AJ1257" s="12"/>
      <c r="AX1257" s="12"/>
      <c r="BL1257" s="12"/>
      <c r="BZ1257" s="12"/>
      <c r="CB1257" s="12"/>
      <c r="CP1257" s="12"/>
      <c r="DD1257" s="12"/>
      <c r="DR1257" s="12"/>
      <c r="EF1257" s="12"/>
    </row>
    <row r="1258" spans="8:136" ht="10.199999999999999" x14ac:dyDescent="0.2">
      <c r="H1258" s="12"/>
      <c r="V1258" s="12"/>
      <c r="AJ1258" s="12"/>
      <c r="AX1258" s="12"/>
      <c r="BL1258" s="12"/>
      <c r="BZ1258" s="12"/>
      <c r="CB1258" s="12"/>
      <c r="CP1258" s="12"/>
      <c r="DD1258" s="12"/>
      <c r="DR1258" s="12"/>
      <c r="EF1258" s="12"/>
    </row>
    <row r="1259" spans="8:136" ht="10.199999999999999" x14ac:dyDescent="0.2">
      <c r="H1259" s="12"/>
      <c r="V1259" s="12"/>
      <c r="AJ1259" s="12"/>
      <c r="AX1259" s="12"/>
      <c r="BL1259" s="12"/>
      <c r="BZ1259" s="12"/>
      <c r="CB1259" s="12"/>
      <c r="CP1259" s="12"/>
      <c r="DD1259" s="12"/>
      <c r="DR1259" s="12"/>
      <c r="EF1259" s="12"/>
    </row>
    <row r="1260" spans="8:136" ht="10.199999999999999" x14ac:dyDescent="0.2">
      <c r="H1260" s="12"/>
      <c r="V1260" s="12"/>
      <c r="AJ1260" s="12"/>
      <c r="AX1260" s="12"/>
      <c r="BL1260" s="12"/>
      <c r="BZ1260" s="12"/>
      <c r="CB1260" s="12"/>
      <c r="CP1260" s="12"/>
      <c r="DD1260" s="12"/>
      <c r="DR1260" s="12"/>
      <c r="EF1260" s="12"/>
    </row>
    <row r="1261" spans="8:136" ht="10.199999999999999" x14ac:dyDescent="0.2">
      <c r="H1261" s="12"/>
      <c r="V1261" s="12"/>
      <c r="AJ1261" s="12"/>
      <c r="AX1261" s="12"/>
      <c r="BL1261" s="12"/>
      <c r="BZ1261" s="12"/>
      <c r="CB1261" s="12"/>
      <c r="CP1261" s="12"/>
      <c r="DD1261" s="12"/>
      <c r="DR1261" s="12"/>
      <c r="EF1261" s="12"/>
    </row>
    <row r="1262" spans="8:136" ht="10.199999999999999" x14ac:dyDescent="0.2">
      <c r="H1262" s="12"/>
      <c r="V1262" s="12"/>
      <c r="AJ1262" s="12"/>
      <c r="AX1262" s="12"/>
      <c r="BL1262" s="12"/>
      <c r="BZ1262" s="12"/>
      <c r="CB1262" s="12"/>
      <c r="CP1262" s="12"/>
      <c r="DD1262" s="12"/>
      <c r="DR1262" s="12"/>
      <c r="EF1262" s="12"/>
    </row>
    <row r="1263" spans="8:136" ht="10.199999999999999" x14ac:dyDescent="0.2">
      <c r="H1263" s="12"/>
      <c r="V1263" s="12"/>
      <c r="AJ1263" s="12"/>
      <c r="AX1263" s="12"/>
      <c r="BL1263" s="12"/>
      <c r="BZ1263" s="12"/>
      <c r="CB1263" s="12"/>
      <c r="CP1263" s="12"/>
      <c r="DD1263" s="12"/>
      <c r="DR1263" s="12"/>
      <c r="EF1263" s="12"/>
    </row>
    <row r="1264" spans="8:136" ht="10.199999999999999" x14ac:dyDescent="0.2">
      <c r="H1264" s="12"/>
      <c r="V1264" s="12"/>
      <c r="AJ1264" s="12"/>
      <c r="AX1264" s="12"/>
      <c r="BL1264" s="12"/>
      <c r="BZ1264" s="12"/>
      <c r="CB1264" s="12"/>
      <c r="CP1264" s="12"/>
      <c r="DD1264" s="12"/>
      <c r="DR1264" s="12"/>
      <c r="EF1264" s="12"/>
    </row>
    <row r="1265" spans="8:136" ht="10.199999999999999" x14ac:dyDescent="0.2">
      <c r="H1265" s="12"/>
      <c r="V1265" s="12"/>
      <c r="AJ1265" s="12"/>
      <c r="AX1265" s="12"/>
      <c r="BL1265" s="12"/>
      <c r="BZ1265" s="12"/>
      <c r="CB1265" s="12"/>
      <c r="CP1265" s="12"/>
      <c r="DD1265" s="12"/>
      <c r="DR1265" s="12"/>
      <c r="EF1265" s="12"/>
    </row>
    <row r="1266" spans="8:136" ht="10.199999999999999" x14ac:dyDescent="0.2">
      <c r="H1266" s="12"/>
      <c r="V1266" s="12"/>
      <c r="AJ1266" s="12"/>
      <c r="AX1266" s="12"/>
      <c r="BL1266" s="12"/>
      <c r="BZ1266" s="12"/>
      <c r="CB1266" s="12"/>
      <c r="CP1266" s="12"/>
      <c r="DD1266" s="12"/>
      <c r="DR1266" s="12"/>
      <c r="EF1266" s="12"/>
    </row>
    <row r="1267" spans="8:136" ht="10.199999999999999" x14ac:dyDescent="0.2">
      <c r="H1267" s="12"/>
      <c r="V1267" s="12"/>
      <c r="AJ1267" s="12"/>
      <c r="AX1267" s="12"/>
      <c r="BL1267" s="12"/>
      <c r="BZ1267" s="12"/>
      <c r="CB1267" s="12"/>
      <c r="CP1267" s="12"/>
      <c r="DD1267" s="12"/>
      <c r="DR1267" s="12"/>
      <c r="EF1267" s="12"/>
    </row>
    <row r="1268" spans="8:136" ht="10.199999999999999" x14ac:dyDescent="0.2">
      <c r="H1268" s="12"/>
      <c r="V1268" s="12"/>
      <c r="AJ1268" s="12"/>
      <c r="AX1268" s="12"/>
      <c r="BL1268" s="12"/>
      <c r="BZ1268" s="12"/>
      <c r="CB1268" s="12"/>
      <c r="CP1268" s="12"/>
      <c r="DD1268" s="12"/>
      <c r="DR1268" s="12"/>
      <c r="EF1268" s="12"/>
    </row>
    <row r="1269" spans="8:136" ht="10.199999999999999" x14ac:dyDescent="0.2">
      <c r="H1269" s="12"/>
      <c r="V1269" s="12"/>
      <c r="AJ1269" s="12"/>
      <c r="AX1269" s="12"/>
      <c r="BL1269" s="12"/>
      <c r="BZ1269" s="12"/>
      <c r="CB1269" s="12"/>
      <c r="CP1269" s="12"/>
      <c r="DD1269" s="12"/>
      <c r="DR1269" s="12"/>
      <c r="EF1269" s="12"/>
    </row>
    <row r="1270" spans="8:136" ht="10.199999999999999" x14ac:dyDescent="0.2">
      <c r="H1270" s="12"/>
      <c r="V1270" s="12"/>
      <c r="AJ1270" s="12"/>
      <c r="AX1270" s="12"/>
      <c r="BL1270" s="12"/>
      <c r="BZ1270" s="12"/>
      <c r="CB1270" s="12"/>
      <c r="CP1270" s="12"/>
      <c r="DD1270" s="12"/>
      <c r="DR1270" s="12"/>
      <c r="EF1270" s="12"/>
    </row>
    <row r="1271" spans="8:136" ht="10.199999999999999" x14ac:dyDescent="0.2">
      <c r="H1271" s="12"/>
      <c r="V1271" s="12"/>
      <c r="AJ1271" s="12"/>
      <c r="AX1271" s="12"/>
      <c r="BL1271" s="12"/>
      <c r="BZ1271" s="12"/>
      <c r="CB1271" s="12"/>
      <c r="CP1271" s="12"/>
      <c r="DD1271" s="12"/>
      <c r="DR1271" s="12"/>
      <c r="EF1271" s="12"/>
    </row>
    <row r="1272" spans="8:136" ht="10.199999999999999" x14ac:dyDescent="0.2">
      <c r="H1272" s="12"/>
      <c r="V1272" s="12"/>
      <c r="AJ1272" s="12"/>
      <c r="AX1272" s="12"/>
      <c r="BL1272" s="12"/>
      <c r="BZ1272" s="12"/>
      <c r="CB1272" s="12"/>
      <c r="CP1272" s="12"/>
      <c r="DD1272" s="12"/>
      <c r="DR1272" s="12"/>
      <c r="EF1272" s="12"/>
    </row>
    <row r="1273" spans="8:136" ht="10.199999999999999" x14ac:dyDescent="0.2">
      <c r="H1273" s="12"/>
      <c r="V1273" s="12"/>
      <c r="AJ1273" s="12"/>
      <c r="AX1273" s="12"/>
      <c r="BL1273" s="12"/>
      <c r="BZ1273" s="12"/>
      <c r="CB1273" s="12"/>
      <c r="CP1273" s="12"/>
      <c r="DD1273" s="12"/>
      <c r="DR1273" s="12"/>
      <c r="EF1273" s="12"/>
    </row>
    <row r="1274" spans="8:136" ht="10.199999999999999" x14ac:dyDescent="0.2">
      <c r="H1274" s="12"/>
      <c r="V1274" s="12"/>
      <c r="AJ1274" s="12"/>
      <c r="AX1274" s="12"/>
      <c r="BL1274" s="12"/>
      <c r="BZ1274" s="12"/>
      <c r="CB1274" s="12"/>
      <c r="CP1274" s="12"/>
      <c r="DD1274" s="12"/>
      <c r="DR1274" s="12"/>
      <c r="EF1274" s="12"/>
    </row>
    <row r="1275" spans="8:136" ht="10.199999999999999" x14ac:dyDescent="0.2">
      <c r="H1275" s="12"/>
      <c r="V1275" s="12"/>
      <c r="AJ1275" s="12"/>
      <c r="AX1275" s="12"/>
      <c r="BL1275" s="12"/>
      <c r="BZ1275" s="12"/>
      <c r="CB1275" s="12"/>
      <c r="CP1275" s="12"/>
      <c r="DD1275" s="12"/>
      <c r="DR1275" s="12"/>
      <c r="EF1275" s="12"/>
    </row>
    <row r="1276" spans="8:136" ht="10.199999999999999" x14ac:dyDescent="0.2">
      <c r="H1276" s="12"/>
      <c r="V1276" s="12"/>
      <c r="AJ1276" s="12"/>
      <c r="AX1276" s="12"/>
      <c r="BL1276" s="12"/>
      <c r="BZ1276" s="12"/>
      <c r="CB1276" s="12"/>
      <c r="CP1276" s="12"/>
      <c r="DD1276" s="12"/>
      <c r="DR1276" s="12"/>
      <c r="EF1276" s="12"/>
    </row>
    <row r="1277" spans="8:136" ht="10.199999999999999" x14ac:dyDescent="0.2">
      <c r="H1277" s="12"/>
      <c r="V1277" s="12"/>
      <c r="AJ1277" s="12"/>
      <c r="AX1277" s="12"/>
      <c r="BL1277" s="12"/>
      <c r="BZ1277" s="12"/>
      <c r="CB1277" s="12"/>
      <c r="CP1277" s="12"/>
      <c r="DD1277" s="12"/>
      <c r="DR1277" s="12"/>
      <c r="EF1277" s="12"/>
    </row>
    <row r="1278" spans="8:136" ht="10.199999999999999" x14ac:dyDescent="0.2">
      <c r="H1278" s="12"/>
      <c r="V1278" s="12"/>
      <c r="AJ1278" s="12"/>
      <c r="AX1278" s="12"/>
      <c r="BL1278" s="12"/>
      <c r="BZ1278" s="12"/>
      <c r="CB1278" s="12"/>
      <c r="CP1278" s="12"/>
      <c r="DD1278" s="12"/>
      <c r="DR1278" s="12"/>
      <c r="EF1278" s="12"/>
    </row>
    <row r="1279" spans="8:136" ht="10.199999999999999" x14ac:dyDescent="0.2">
      <c r="H1279" s="12"/>
      <c r="V1279" s="12"/>
      <c r="AJ1279" s="12"/>
      <c r="AX1279" s="12"/>
      <c r="BL1279" s="12"/>
      <c r="BZ1279" s="12"/>
      <c r="CB1279" s="12"/>
      <c r="CP1279" s="12"/>
      <c r="DD1279" s="12"/>
      <c r="DR1279" s="12"/>
      <c r="EF1279" s="12"/>
    </row>
    <row r="1280" spans="8:136" ht="10.199999999999999" x14ac:dyDescent="0.2">
      <c r="H1280" s="12"/>
      <c r="V1280" s="12"/>
      <c r="AJ1280" s="12"/>
      <c r="AX1280" s="12"/>
      <c r="BL1280" s="12"/>
      <c r="BZ1280" s="12"/>
      <c r="CB1280" s="12"/>
      <c r="CP1280" s="12"/>
      <c r="DD1280" s="12"/>
      <c r="DR1280" s="12"/>
      <c r="EF1280" s="12"/>
    </row>
    <row r="1281" spans="8:136" ht="10.199999999999999" x14ac:dyDescent="0.2">
      <c r="H1281" s="12"/>
      <c r="V1281" s="12"/>
      <c r="AJ1281" s="12"/>
      <c r="AX1281" s="12"/>
      <c r="BL1281" s="12"/>
      <c r="BZ1281" s="12"/>
      <c r="CB1281" s="12"/>
      <c r="CP1281" s="12"/>
      <c r="DD1281" s="12"/>
      <c r="DR1281" s="12"/>
      <c r="EF1281" s="12"/>
    </row>
    <row r="1282" spans="8:136" ht="10.199999999999999" x14ac:dyDescent="0.2">
      <c r="H1282" s="12"/>
      <c r="V1282" s="12"/>
      <c r="AJ1282" s="12"/>
      <c r="AX1282" s="12"/>
      <c r="BL1282" s="12"/>
      <c r="BZ1282" s="12"/>
      <c r="CB1282" s="12"/>
      <c r="CP1282" s="12"/>
      <c r="DD1282" s="12"/>
      <c r="DR1282" s="12"/>
      <c r="EF1282" s="12"/>
    </row>
    <row r="1283" spans="8:136" ht="10.199999999999999" x14ac:dyDescent="0.2">
      <c r="H1283" s="12"/>
      <c r="V1283" s="12"/>
      <c r="AJ1283" s="12"/>
      <c r="AX1283" s="12"/>
      <c r="BL1283" s="12"/>
      <c r="BZ1283" s="12"/>
      <c r="CB1283" s="12"/>
      <c r="CP1283" s="12"/>
      <c r="DD1283" s="12"/>
      <c r="DR1283" s="12"/>
      <c r="EF1283" s="12"/>
    </row>
    <row r="1284" spans="8:136" ht="10.199999999999999" x14ac:dyDescent="0.2">
      <c r="H1284" s="12"/>
      <c r="V1284" s="12"/>
      <c r="AJ1284" s="12"/>
      <c r="AX1284" s="12"/>
      <c r="BL1284" s="12"/>
      <c r="BZ1284" s="12"/>
      <c r="CB1284" s="12"/>
      <c r="CP1284" s="12"/>
      <c r="DD1284" s="12"/>
      <c r="DR1284" s="12"/>
      <c r="EF1284" s="12"/>
    </row>
    <row r="1285" spans="8:136" ht="10.199999999999999" x14ac:dyDescent="0.2">
      <c r="H1285" s="12"/>
      <c r="V1285" s="12"/>
      <c r="AJ1285" s="12"/>
      <c r="AX1285" s="12"/>
      <c r="BL1285" s="12"/>
      <c r="BZ1285" s="12"/>
      <c r="CB1285" s="12"/>
      <c r="CP1285" s="12"/>
      <c r="DD1285" s="12"/>
      <c r="DR1285" s="12"/>
      <c r="EF1285" s="12"/>
    </row>
    <row r="1286" spans="8:136" ht="10.199999999999999" x14ac:dyDescent="0.2">
      <c r="H1286" s="12"/>
      <c r="V1286" s="12"/>
      <c r="AJ1286" s="12"/>
      <c r="AX1286" s="12"/>
      <c r="BL1286" s="12"/>
      <c r="BZ1286" s="12"/>
      <c r="CB1286" s="12"/>
      <c r="CP1286" s="12"/>
      <c r="DD1286" s="12"/>
      <c r="DR1286" s="12"/>
      <c r="EF1286" s="12"/>
    </row>
    <row r="1287" spans="8:136" ht="10.199999999999999" x14ac:dyDescent="0.2">
      <c r="H1287" s="12"/>
      <c r="V1287" s="12"/>
      <c r="AJ1287" s="12"/>
      <c r="AX1287" s="12"/>
      <c r="BL1287" s="12"/>
      <c r="BZ1287" s="12"/>
      <c r="CB1287" s="12"/>
      <c r="CP1287" s="12"/>
      <c r="DD1287" s="12"/>
      <c r="DR1287" s="12"/>
      <c r="EF1287" s="12"/>
    </row>
    <row r="1288" spans="8:136" ht="10.199999999999999" x14ac:dyDescent="0.2">
      <c r="H1288" s="12"/>
      <c r="V1288" s="12"/>
      <c r="AJ1288" s="12"/>
      <c r="AX1288" s="12"/>
      <c r="BL1288" s="12"/>
      <c r="BZ1288" s="12"/>
      <c r="CB1288" s="12"/>
      <c r="CP1288" s="12"/>
      <c r="DD1288" s="12"/>
      <c r="DR1288" s="12"/>
      <c r="EF1288" s="12"/>
    </row>
    <row r="1289" spans="8:136" ht="10.199999999999999" x14ac:dyDescent="0.2">
      <c r="H1289" s="12"/>
      <c r="V1289" s="12"/>
      <c r="AJ1289" s="12"/>
      <c r="AX1289" s="12"/>
      <c r="BL1289" s="12"/>
      <c r="BZ1289" s="12"/>
      <c r="CB1289" s="12"/>
      <c r="CP1289" s="12"/>
      <c r="DD1289" s="12"/>
      <c r="DR1289" s="12"/>
      <c r="EF1289" s="12"/>
    </row>
    <row r="1290" spans="8:136" ht="10.199999999999999" x14ac:dyDescent="0.2">
      <c r="H1290" s="12"/>
      <c r="V1290" s="12"/>
      <c r="AJ1290" s="12"/>
      <c r="AX1290" s="12"/>
      <c r="BL1290" s="12"/>
      <c r="BZ1290" s="12"/>
      <c r="CB1290" s="12"/>
      <c r="CP1290" s="12"/>
      <c r="DD1290" s="12"/>
      <c r="DR1290" s="12"/>
      <c r="EF1290" s="12"/>
    </row>
    <row r="1291" spans="8:136" ht="10.199999999999999" x14ac:dyDescent="0.2">
      <c r="H1291" s="12"/>
      <c r="V1291" s="12"/>
      <c r="AJ1291" s="12"/>
      <c r="AX1291" s="12"/>
      <c r="BL1291" s="12"/>
      <c r="BZ1291" s="12"/>
      <c r="CB1291" s="12"/>
      <c r="CP1291" s="12"/>
      <c r="DD1291" s="12"/>
      <c r="DR1291" s="12"/>
      <c r="EF1291" s="12"/>
    </row>
    <row r="1292" spans="8:136" ht="10.199999999999999" x14ac:dyDescent="0.2">
      <c r="H1292" s="12"/>
      <c r="V1292" s="12"/>
      <c r="AJ1292" s="12"/>
      <c r="AX1292" s="12"/>
      <c r="BL1292" s="12"/>
      <c r="BZ1292" s="12"/>
      <c r="CB1292" s="12"/>
      <c r="CP1292" s="12"/>
      <c r="DD1292" s="12"/>
      <c r="DR1292" s="12"/>
      <c r="EF1292" s="12"/>
    </row>
    <row r="1293" spans="8:136" ht="10.199999999999999" x14ac:dyDescent="0.2">
      <c r="H1293" s="12"/>
      <c r="V1293" s="12"/>
      <c r="AJ1293" s="12"/>
      <c r="AX1293" s="12"/>
      <c r="BL1293" s="12"/>
      <c r="BZ1293" s="12"/>
      <c r="CB1293" s="12"/>
      <c r="CP1293" s="12"/>
      <c r="DD1293" s="12"/>
      <c r="DR1293" s="12"/>
      <c r="EF1293" s="12"/>
    </row>
    <row r="1294" spans="8:136" ht="10.199999999999999" x14ac:dyDescent="0.2">
      <c r="H1294" s="12"/>
      <c r="V1294" s="12"/>
      <c r="AJ1294" s="12"/>
      <c r="AX1294" s="12"/>
      <c r="BL1294" s="12"/>
      <c r="BZ1294" s="12"/>
      <c r="CB1294" s="12"/>
      <c r="CP1294" s="12"/>
      <c r="DD1294" s="12"/>
      <c r="DR1294" s="12"/>
      <c r="EF1294" s="12"/>
    </row>
    <row r="1295" spans="8:136" ht="10.199999999999999" x14ac:dyDescent="0.2">
      <c r="H1295" s="12"/>
      <c r="V1295" s="12"/>
      <c r="AJ1295" s="12"/>
      <c r="AX1295" s="12"/>
      <c r="BL1295" s="12"/>
      <c r="BZ1295" s="12"/>
      <c r="CB1295" s="12"/>
      <c r="CP1295" s="12"/>
      <c r="DD1295" s="12"/>
      <c r="DR1295" s="12"/>
      <c r="EF1295" s="12"/>
    </row>
    <row r="1296" spans="8:136" ht="10.199999999999999" x14ac:dyDescent="0.2">
      <c r="H1296" s="12"/>
      <c r="V1296" s="12"/>
      <c r="AJ1296" s="12"/>
      <c r="AX1296" s="12"/>
      <c r="BL1296" s="12"/>
      <c r="BZ1296" s="12"/>
      <c r="CB1296" s="12"/>
      <c r="CP1296" s="12"/>
      <c r="DD1296" s="12"/>
      <c r="DR1296" s="12"/>
      <c r="EF1296" s="12"/>
    </row>
    <row r="1297" spans="8:136" ht="10.199999999999999" x14ac:dyDescent="0.2">
      <c r="H1297" s="12"/>
      <c r="V1297" s="12"/>
      <c r="AJ1297" s="12"/>
      <c r="AX1297" s="12"/>
      <c r="BL1297" s="12"/>
      <c r="BZ1297" s="12"/>
      <c r="CB1297" s="12"/>
      <c r="CP1297" s="12"/>
      <c r="DD1297" s="12"/>
      <c r="DR1297" s="12"/>
      <c r="EF1297" s="12"/>
    </row>
    <row r="1298" spans="8:136" ht="10.199999999999999" x14ac:dyDescent="0.2">
      <c r="H1298" s="12"/>
      <c r="V1298" s="12"/>
      <c r="AJ1298" s="12"/>
      <c r="AX1298" s="12"/>
      <c r="BL1298" s="12"/>
      <c r="BZ1298" s="12"/>
      <c r="CB1298" s="12"/>
      <c r="CP1298" s="12"/>
      <c r="DD1298" s="12"/>
      <c r="DR1298" s="12"/>
      <c r="EF1298" s="12"/>
    </row>
    <row r="1299" spans="8:136" ht="10.199999999999999" x14ac:dyDescent="0.2">
      <c r="H1299" s="12"/>
      <c r="V1299" s="12"/>
      <c r="AJ1299" s="12"/>
      <c r="AX1299" s="12"/>
      <c r="BL1299" s="12"/>
      <c r="BZ1299" s="12"/>
      <c r="CB1299" s="12"/>
      <c r="CP1299" s="12"/>
      <c r="DD1299" s="12"/>
      <c r="DR1299" s="12"/>
      <c r="EF1299" s="12"/>
    </row>
    <row r="1300" spans="8:136" ht="10.199999999999999" x14ac:dyDescent="0.2">
      <c r="H1300" s="12"/>
      <c r="V1300" s="12"/>
      <c r="AJ1300" s="12"/>
      <c r="AX1300" s="12"/>
      <c r="BL1300" s="12"/>
      <c r="BZ1300" s="12"/>
      <c r="CB1300" s="12"/>
      <c r="CP1300" s="12"/>
      <c r="DD1300" s="12"/>
      <c r="DR1300" s="12"/>
      <c r="EF1300" s="12"/>
    </row>
    <row r="1301" spans="8:136" ht="10.199999999999999" x14ac:dyDescent="0.2">
      <c r="H1301" s="12"/>
      <c r="V1301" s="12"/>
      <c r="AJ1301" s="12"/>
      <c r="AX1301" s="12"/>
      <c r="BL1301" s="12"/>
      <c r="BZ1301" s="12"/>
      <c r="CB1301" s="12"/>
      <c r="CP1301" s="12"/>
      <c r="DD1301" s="12"/>
      <c r="DR1301" s="12"/>
      <c r="EF1301" s="12"/>
    </row>
    <row r="1302" spans="8:136" ht="10.199999999999999" x14ac:dyDescent="0.2">
      <c r="H1302" s="12"/>
      <c r="V1302" s="12"/>
      <c r="AJ1302" s="12"/>
      <c r="AX1302" s="12"/>
      <c r="BL1302" s="12"/>
      <c r="BZ1302" s="12"/>
      <c r="CB1302" s="12"/>
      <c r="CP1302" s="12"/>
      <c r="DD1302" s="12"/>
      <c r="DR1302" s="12"/>
      <c r="EF1302" s="12"/>
    </row>
    <row r="1303" spans="8:136" ht="10.199999999999999" x14ac:dyDescent="0.2">
      <c r="H1303" s="12"/>
      <c r="V1303" s="12"/>
      <c r="AJ1303" s="12"/>
      <c r="AX1303" s="12"/>
      <c r="BL1303" s="12"/>
      <c r="BZ1303" s="12"/>
      <c r="CB1303" s="12"/>
      <c r="CP1303" s="12"/>
      <c r="DD1303" s="12"/>
      <c r="DR1303" s="12"/>
      <c r="EF1303" s="12"/>
    </row>
    <row r="1304" spans="8:136" ht="10.199999999999999" x14ac:dyDescent="0.2">
      <c r="H1304" s="12"/>
      <c r="V1304" s="12"/>
      <c r="AJ1304" s="12"/>
      <c r="AX1304" s="12"/>
      <c r="BL1304" s="12"/>
      <c r="BZ1304" s="12"/>
      <c r="CB1304" s="12"/>
      <c r="CP1304" s="12"/>
      <c r="DD1304" s="12"/>
      <c r="DR1304" s="12"/>
      <c r="EF1304" s="12"/>
    </row>
    <row r="1305" spans="8:136" ht="10.199999999999999" x14ac:dyDescent="0.2">
      <c r="H1305" s="12"/>
      <c r="V1305" s="12"/>
      <c r="AJ1305" s="12"/>
      <c r="AX1305" s="12"/>
      <c r="BL1305" s="12"/>
      <c r="BZ1305" s="12"/>
      <c r="CB1305" s="12"/>
      <c r="CP1305" s="12"/>
      <c r="DD1305" s="12"/>
      <c r="DR1305" s="12"/>
      <c r="EF1305" s="12"/>
    </row>
    <row r="1306" spans="8:136" ht="10.199999999999999" x14ac:dyDescent="0.2">
      <c r="H1306" s="12"/>
      <c r="V1306" s="12"/>
      <c r="AJ1306" s="12"/>
      <c r="AX1306" s="12"/>
      <c r="BL1306" s="12"/>
      <c r="BZ1306" s="12"/>
      <c r="CB1306" s="12"/>
      <c r="CP1306" s="12"/>
      <c r="DD1306" s="12"/>
      <c r="DR1306" s="12"/>
      <c r="EF1306" s="12"/>
    </row>
    <row r="1307" spans="8:136" ht="10.199999999999999" x14ac:dyDescent="0.2">
      <c r="H1307" s="12"/>
      <c r="V1307" s="12"/>
      <c r="AJ1307" s="12"/>
      <c r="AX1307" s="12"/>
      <c r="BL1307" s="12"/>
      <c r="BZ1307" s="12"/>
      <c r="CB1307" s="12"/>
      <c r="CP1307" s="12"/>
      <c r="DD1307" s="12"/>
      <c r="DR1307" s="12"/>
      <c r="EF1307" s="12"/>
    </row>
    <row r="1308" spans="8:136" ht="10.199999999999999" x14ac:dyDescent="0.2">
      <c r="H1308" s="12"/>
      <c r="V1308" s="12"/>
      <c r="AJ1308" s="12"/>
      <c r="AX1308" s="12"/>
      <c r="BL1308" s="12"/>
      <c r="BZ1308" s="12"/>
      <c r="CB1308" s="12"/>
      <c r="CP1308" s="12"/>
      <c r="DD1308" s="12"/>
      <c r="DR1308" s="12"/>
      <c r="EF1308" s="12"/>
    </row>
    <row r="1309" spans="8:136" ht="10.199999999999999" x14ac:dyDescent="0.2">
      <c r="H1309" s="12"/>
      <c r="V1309" s="12"/>
      <c r="AJ1309" s="12"/>
      <c r="AX1309" s="12"/>
      <c r="BL1309" s="12"/>
      <c r="BZ1309" s="12"/>
      <c r="CB1309" s="12"/>
      <c r="CP1309" s="12"/>
      <c r="DD1309" s="12"/>
      <c r="DR1309" s="12"/>
      <c r="EF1309" s="12"/>
    </row>
    <row r="1310" spans="8:136" ht="10.199999999999999" x14ac:dyDescent="0.2">
      <c r="H1310" s="12"/>
      <c r="V1310" s="12"/>
      <c r="AJ1310" s="12"/>
      <c r="AX1310" s="12"/>
      <c r="BL1310" s="12"/>
      <c r="BZ1310" s="12"/>
      <c r="CB1310" s="12"/>
      <c r="CP1310" s="12"/>
      <c r="DD1310" s="12"/>
      <c r="DR1310" s="12"/>
      <c r="EF1310" s="12"/>
    </row>
    <row r="1311" spans="8:136" ht="10.199999999999999" x14ac:dyDescent="0.2">
      <c r="H1311" s="12"/>
      <c r="V1311" s="12"/>
      <c r="AJ1311" s="12"/>
      <c r="AX1311" s="12"/>
      <c r="BL1311" s="12"/>
      <c r="BZ1311" s="12"/>
      <c r="CB1311" s="12"/>
      <c r="CP1311" s="12"/>
      <c r="DD1311" s="12"/>
      <c r="DR1311" s="12"/>
      <c r="EF1311" s="12"/>
    </row>
    <row r="1312" spans="8:136" ht="10.199999999999999" x14ac:dyDescent="0.2">
      <c r="H1312" s="12"/>
      <c r="V1312" s="12"/>
      <c r="AJ1312" s="12"/>
      <c r="AX1312" s="12"/>
      <c r="BL1312" s="12"/>
      <c r="BZ1312" s="12"/>
      <c r="CB1312" s="12"/>
      <c r="CP1312" s="12"/>
      <c r="DD1312" s="12"/>
      <c r="DR1312" s="12"/>
      <c r="EF1312" s="12"/>
    </row>
    <row r="1313" spans="8:136" ht="10.199999999999999" x14ac:dyDescent="0.2">
      <c r="H1313" s="12"/>
      <c r="V1313" s="12"/>
      <c r="AJ1313" s="12"/>
      <c r="AX1313" s="12"/>
      <c r="BL1313" s="12"/>
      <c r="BZ1313" s="12"/>
      <c r="CB1313" s="12"/>
      <c r="CP1313" s="12"/>
      <c r="DD1313" s="12"/>
      <c r="DR1313" s="12"/>
      <c r="EF1313" s="12"/>
    </row>
    <row r="1314" spans="8:136" ht="10.199999999999999" x14ac:dyDescent="0.2">
      <c r="H1314" s="12"/>
      <c r="V1314" s="12"/>
      <c r="AJ1314" s="12"/>
      <c r="AX1314" s="12"/>
      <c r="BL1314" s="12"/>
      <c r="BZ1314" s="12"/>
      <c r="CB1314" s="12"/>
      <c r="CP1314" s="12"/>
      <c r="DD1314" s="12"/>
      <c r="DR1314" s="12"/>
      <c r="EF1314" s="12"/>
    </row>
    <row r="1315" spans="8:136" ht="10.199999999999999" x14ac:dyDescent="0.2">
      <c r="H1315" s="12"/>
      <c r="V1315" s="12"/>
      <c r="AJ1315" s="12"/>
      <c r="AX1315" s="12"/>
      <c r="BL1315" s="12"/>
      <c r="BZ1315" s="12"/>
      <c r="CB1315" s="12"/>
      <c r="CP1315" s="12"/>
      <c r="DD1315" s="12"/>
      <c r="DR1315" s="12"/>
      <c r="EF1315" s="12"/>
    </row>
    <row r="1316" spans="8:136" ht="10.199999999999999" x14ac:dyDescent="0.2">
      <c r="H1316" s="12"/>
      <c r="V1316" s="12"/>
      <c r="AJ1316" s="12"/>
      <c r="AX1316" s="12"/>
      <c r="BL1316" s="12"/>
      <c r="BZ1316" s="12"/>
      <c r="CB1316" s="12"/>
      <c r="CP1316" s="12"/>
      <c r="DD1316" s="12"/>
      <c r="DR1316" s="12"/>
      <c r="EF1316" s="12"/>
    </row>
    <row r="1317" spans="8:136" ht="10.199999999999999" x14ac:dyDescent="0.2">
      <c r="H1317" s="12"/>
      <c r="V1317" s="12"/>
      <c r="AJ1317" s="12"/>
      <c r="AX1317" s="12"/>
      <c r="BL1317" s="12"/>
      <c r="BZ1317" s="12"/>
      <c r="CB1317" s="12"/>
      <c r="CP1317" s="12"/>
      <c r="DD1317" s="12"/>
      <c r="DR1317" s="12"/>
      <c r="EF1317" s="12"/>
    </row>
    <row r="1318" spans="8:136" ht="10.199999999999999" x14ac:dyDescent="0.2">
      <c r="H1318" s="12"/>
      <c r="V1318" s="12"/>
      <c r="AJ1318" s="12"/>
      <c r="AX1318" s="12"/>
      <c r="BL1318" s="12"/>
      <c r="BZ1318" s="12"/>
      <c r="CB1318" s="12"/>
      <c r="CP1318" s="12"/>
      <c r="DD1318" s="12"/>
      <c r="DR1318" s="12"/>
      <c r="EF1318" s="12"/>
    </row>
    <row r="1319" spans="8:136" ht="10.199999999999999" x14ac:dyDescent="0.2">
      <c r="H1319" s="12"/>
      <c r="V1319" s="12"/>
      <c r="AJ1319" s="12"/>
      <c r="AX1319" s="12"/>
      <c r="BL1319" s="12"/>
      <c r="BZ1319" s="12"/>
      <c r="CB1319" s="12"/>
      <c r="CP1319" s="12"/>
      <c r="DD1319" s="12"/>
      <c r="DR1319" s="12"/>
      <c r="EF1319" s="12"/>
    </row>
    <row r="1320" spans="8:136" ht="10.199999999999999" x14ac:dyDescent="0.2">
      <c r="H1320" s="12"/>
      <c r="V1320" s="12"/>
      <c r="AJ1320" s="12"/>
      <c r="AX1320" s="12"/>
      <c r="BL1320" s="12"/>
      <c r="BZ1320" s="12"/>
      <c r="CB1320" s="12"/>
      <c r="CP1320" s="12"/>
      <c r="DD1320" s="12"/>
      <c r="DR1320" s="12"/>
      <c r="EF1320" s="12"/>
    </row>
    <row r="1321" spans="8:136" ht="10.199999999999999" x14ac:dyDescent="0.2">
      <c r="H1321" s="12"/>
      <c r="V1321" s="12"/>
      <c r="AJ1321" s="12"/>
      <c r="AX1321" s="12"/>
      <c r="BL1321" s="12"/>
      <c r="BZ1321" s="12"/>
      <c r="CB1321" s="12"/>
      <c r="CP1321" s="12"/>
      <c r="DD1321" s="12"/>
      <c r="DR1321" s="12"/>
      <c r="EF1321" s="12"/>
    </row>
    <row r="1322" spans="8:136" ht="10.199999999999999" x14ac:dyDescent="0.2">
      <c r="H1322" s="12"/>
      <c r="V1322" s="12"/>
      <c r="AJ1322" s="12"/>
      <c r="AX1322" s="12"/>
      <c r="BL1322" s="12"/>
      <c r="BZ1322" s="12"/>
      <c r="CB1322" s="12"/>
      <c r="CP1322" s="12"/>
      <c r="DD1322" s="12"/>
      <c r="DR1322" s="12"/>
      <c r="EF1322" s="12"/>
    </row>
    <row r="1323" spans="8:136" ht="10.199999999999999" x14ac:dyDescent="0.2">
      <c r="H1323" s="12"/>
      <c r="V1323" s="12"/>
      <c r="AJ1323" s="12"/>
      <c r="AX1323" s="12"/>
      <c r="BL1323" s="12"/>
      <c r="BZ1323" s="12"/>
      <c r="CB1323" s="12"/>
      <c r="CP1323" s="12"/>
      <c r="DD1323" s="12"/>
      <c r="DR1323" s="12"/>
      <c r="EF1323" s="12"/>
    </row>
    <row r="1324" spans="8:136" ht="10.199999999999999" x14ac:dyDescent="0.2">
      <c r="H1324" s="12"/>
      <c r="V1324" s="12"/>
      <c r="AJ1324" s="12"/>
      <c r="AX1324" s="12"/>
      <c r="BL1324" s="12"/>
      <c r="BZ1324" s="12"/>
      <c r="CB1324" s="12"/>
      <c r="CP1324" s="12"/>
      <c r="DD1324" s="12"/>
      <c r="DR1324" s="12"/>
      <c r="EF1324" s="12"/>
    </row>
    <row r="1325" spans="8:136" ht="10.199999999999999" x14ac:dyDescent="0.2">
      <c r="H1325" s="12"/>
      <c r="V1325" s="12"/>
      <c r="AJ1325" s="12"/>
      <c r="AX1325" s="12"/>
      <c r="BL1325" s="12"/>
      <c r="BZ1325" s="12"/>
      <c r="CB1325" s="12"/>
      <c r="CP1325" s="12"/>
      <c r="DD1325" s="12"/>
      <c r="DR1325" s="12"/>
      <c r="EF1325" s="12"/>
    </row>
    <row r="1326" spans="8:136" ht="10.199999999999999" x14ac:dyDescent="0.2">
      <c r="H1326" s="12"/>
      <c r="V1326" s="12"/>
      <c r="AJ1326" s="12"/>
      <c r="AX1326" s="12"/>
      <c r="BL1326" s="12"/>
      <c r="BZ1326" s="12"/>
      <c r="CB1326" s="12"/>
      <c r="CP1326" s="12"/>
      <c r="DD1326" s="12"/>
      <c r="DR1326" s="12"/>
      <c r="EF1326" s="12"/>
    </row>
    <row r="1327" spans="8:136" ht="10.199999999999999" x14ac:dyDescent="0.2">
      <c r="H1327" s="12"/>
      <c r="V1327" s="12"/>
      <c r="AJ1327" s="12"/>
      <c r="AX1327" s="12"/>
      <c r="BL1327" s="12"/>
      <c r="BZ1327" s="12"/>
      <c r="CB1327" s="12"/>
      <c r="CP1327" s="12"/>
      <c r="DD1327" s="12"/>
      <c r="DR1327" s="12"/>
      <c r="EF1327" s="12"/>
    </row>
    <row r="1328" spans="8:136" ht="10.199999999999999" x14ac:dyDescent="0.2">
      <c r="H1328" s="12"/>
      <c r="V1328" s="12"/>
      <c r="AJ1328" s="12"/>
      <c r="AX1328" s="12"/>
      <c r="BL1328" s="12"/>
      <c r="BZ1328" s="12"/>
      <c r="CB1328" s="12"/>
      <c r="CP1328" s="12"/>
      <c r="DD1328" s="12"/>
      <c r="DR1328" s="12"/>
      <c r="EF1328" s="12"/>
    </row>
    <row r="1329" spans="8:136" ht="10.199999999999999" x14ac:dyDescent="0.2">
      <c r="H1329" s="12"/>
      <c r="V1329" s="12"/>
      <c r="AJ1329" s="12"/>
      <c r="AX1329" s="12"/>
      <c r="BL1329" s="12"/>
      <c r="BZ1329" s="12"/>
      <c r="CB1329" s="12"/>
      <c r="CP1329" s="12"/>
      <c r="DD1329" s="12"/>
      <c r="DR1329" s="12"/>
      <c r="EF1329" s="12"/>
    </row>
    <row r="1330" spans="8:136" ht="10.199999999999999" x14ac:dyDescent="0.2">
      <c r="H1330" s="12"/>
      <c r="V1330" s="12"/>
      <c r="AJ1330" s="12"/>
      <c r="AX1330" s="12"/>
      <c r="BL1330" s="12"/>
      <c r="BZ1330" s="12"/>
      <c r="CB1330" s="12"/>
      <c r="CP1330" s="12"/>
      <c r="DD1330" s="12"/>
      <c r="DR1330" s="12"/>
      <c r="EF1330" s="12"/>
    </row>
    <row r="1331" spans="8:136" ht="10.199999999999999" x14ac:dyDescent="0.2">
      <c r="H1331" s="12"/>
      <c r="V1331" s="12"/>
      <c r="AJ1331" s="12"/>
      <c r="AX1331" s="12"/>
      <c r="BL1331" s="12"/>
      <c r="BZ1331" s="12"/>
      <c r="CB1331" s="12"/>
      <c r="CP1331" s="12"/>
      <c r="DD1331" s="12"/>
      <c r="DR1331" s="12"/>
      <c r="EF1331" s="12"/>
    </row>
    <row r="1332" spans="8:136" ht="10.199999999999999" x14ac:dyDescent="0.2">
      <c r="H1332" s="12"/>
      <c r="V1332" s="12"/>
      <c r="AJ1332" s="12"/>
      <c r="AX1332" s="12"/>
      <c r="BL1332" s="12"/>
      <c r="BZ1332" s="12"/>
      <c r="CB1332" s="12"/>
      <c r="CP1332" s="12"/>
      <c r="DD1332" s="12"/>
      <c r="DR1332" s="12"/>
      <c r="EF1332" s="12"/>
    </row>
    <row r="1333" spans="8:136" ht="10.199999999999999" x14ac:dyDescent="0.2">
      <c r="H1333" s="12"/>
      <c r="V1333" s="12"/>
      <c r="AJ1333" s="12"/>
      <c r="AX1333" s="12"/>
      <c r="BL1333" s="12"/>
      <c r="BZ1333" s="12"/>
      <c r="CB1333" s="12"/>
      <c r="CP1333" s="12"/>
      <c r="DD1333" s="12"/>
      <c r="DR1333" s="12"/>
      <c r="EF1333" s="12"/>
    </row>
    <row r="1334" spans="8:136" ht="10.199999999999999" x14ac:dyDescent="0.2">
      <c r="H1334" s="12"/>
      <c r="V1334" s="12"/>
      <c r="AJ1334" s="12"/>
      <c r="AX1334" s="12"/>
      <c r="BL1334" s="12"/>
      <c r="BZ1334" s="12"/>
      <c r="CB1334" s="12"/>
      <c r="CP1334" s="12"/>
      <c r="DD1334" s="12"/>
      <c r="DR1334" s="12"/>
      <c r="EF1334" s="12"/>
    </row>
    <row r="1335" spans="8:136" ht="10.199999999999999" x14ac:dyDescent="0.2">
      <c r="H1335" s="12"/>
      <c r="V1335" s="12"/>
      <c r="AJ1335" s="12"/>
      <c r="AX1335" s="12"/>
      <c r="BL1335" s="12"/>
      <c r="BZ1335" s="12"/>
      <c r="CB1335" s="12"/>
      <c r="CP1335" s="12"/>
      <c r="DD1335" s="12"/>
      <c r="DR1335" s="12"/>
      <c r="EF1335" s="12"/>
    </row>
    <row r="1336" spans="8:136" ht="10.199999999999999" x14ac:dyDescent="0.2">
      <c r="H1336" s="12"/>
      <c r="V1336" s="12"/>
      <c r="AJ1336" s="12"/>
      <c r="AX1336" s="12"/>
      <c r="BL1336" s="12"/>
      <c r="BZ1336" s="12"/>
      <c r="CB1336" s="12"/>
      <c r="CP1336" s="12"/>
      <c r="DD1336" s="12"/>
      <c r="DR1336" s="12"/>
      <c r="EF1336" s="12"/>
    </row>
    <row r="1337" spans="8:136" ht="10.199999999999999" x14ac:dyDescent="0.2">
      <c r="H1337" s="12"/>
      <c r="V1337" s="12"/>
      <c r="AJ1337" s="12"/>
      <c r="AX1337" s="12"/>
      <c r="BL1337" s="12"/>
      <c r="BZ1337" s="12"/>
      <c r="CB1337" s="12"/>
      <c r="CP1337" s="12"/>
      <c r="DD1337" s="12"/>
      <c r="DR1337" s="12"/>
      <c r="EF1337" s="12"/>
    </row>
    <row r="1338" spans="8:136" ht="10.199999999999999" x14ac:dyDescent="0.2">
      <c r="H1338" s="12"/>
      <c r="V1338" s="12"/>
      <c r="AJ1338" s="12"/>
      <c r="AX1338" s="12"/>
      <c r="BL1338" s="12"/>
      <c r="BZ1338" s="12"/>
      <c r="CB1338" s="12"/>
      <c r="CP1338" s="12"/>
      <c r="DD1338" s="12"/>
      <c r="DR1338" s="12"/>
      <c r="EF1338" s="12"/>
    </row>
    <row r="1339" spans="8:136" ht="10.199999999999999" x14ac:dyDescent="0.2">
      <c r="H1339" s="12"/>
      <c r="V1339" s="12"/>
      <c r="AJ1339" s="12"/>
      <c r="AX1339" s="12"/>
      <c r="BL1339" s="12"/>
      <c r="BZ1339" s="12"/>
      <c r="CB1339" s="12"/>
      <c r="CP1339" s="12"/>
      <c r="DD1339" s="12"/>
      <c r="DR1339" s="12"/>
      <c r="EF1339" s="12"/>
    </row>
    <row r="1340" spans="8:136" ht="10.199999999999999" x14ac:dyDescent="0.2">
      <c r="H1340" s="12"/>
      <c r="V1340" s="12"/>
      <c r="AJ1340" s="12"/>
      <c r="AX1340" s="12"/>
      <c r="BL1340" s="12"/>
      <c r="BZ1340" s="12"/>
      <c r="CB1340" s="12"/>
      <c r="CP1340" s="12"/>
      <c r="DD1340" s="12"/>
      <c r="DR1340" s="12"/>
      <c r="EF1340" s="12"/>
    </row>
    <row r="1341" spans="8:136" ht="10.199999999999999" x14ac:dyDescent="0.2">
      <c r="H1341" s="12"/>
      <c r="V1341" s="12"/>
      <c r="AJ1341" s="12"/>
      <c r="AX1341" s="12"/>
      <c r="BL1341" s="12"/>
      <c r="BZ1341" s="12"/>
      <c r="CB1341" s="12"/>
      <c r="CP1341" s="12"/>
      <c r="DD1341" s="12"/>
      <c r="DR1341" s="12"/>
      <c r="EF1341" s="12"/>
    </row>
    <row r="1342" spans="8:136" ht="10.199999999999999" x14ac:dyDescent="0.2">
      <c r="H1342" s="12"/>
      <c r="V1342" s="12"/>
      <c r="AJ1342" s="12"/>
      <c r="AX1342" s="12"/>
      <c r="BL1342" s="12"/>
      <c r="BZ1342" s="12"/>
      <c r="CB1342" s="12"/>
      <c r="CP1342" s="12"/>
      <c r="DD1342" s="12"/>
      <c r="DR1342" s="12"/>
      <c r="EF1342" s="12"/>
    </row>
    <row r="1343" spans="8:136" ht="10.199999999999999" x14ac:dyDescent="0.2">
      <c r="H1343" s="12"/>
      <c r="V1343" s="12"/>
      <c r="AJ1343" s="12"/>
      <c r="AX1343" s="12"/>
      <c r="BL1343" s="12"/>
      <c r="BZ1343" s="12"/>
      <c r="CB1343" s="12"/>
      <c r="CP1343" s="12"/>
      <c r="DD1343" s="12"/>
      <c r="DR1343" s="12"/>
      <c r="EF1343" s="12"/>
    </row>
    <row r="1344" spans="8:136" ht="10.199999999999999" x14ac:dyDescent="0.2">
      <c r="H1344" s="12"/>
      <c r="V1344" s="12"/>
      <c r="AJ1344" s="12"/>
      <c r="AX1344" s="12"/>
      <c r="BL1344" s="12"/>
      <c r="BZ1344" s="12"/>
      <c r="CB1344" s="12"/>
      <c r="CP1344" s="12"/>
      <c r="DD1344" s="12"/>
      <c r="DR1344" s="12"/>
      <c r="EF1344" s="12"/>
    </row>
    <row r="1345" spans="8:136" ht="10.199999999999999" x14ac:dyDescent="0.2">
      <c r="H1345" s="12"/>
      <c r="V1345" s="12"/>
      <c r="AJ1345" s="12"/>
      <c r="AX1345" s="12"/>
      <c r="BL1345" s="12"/>
      <c r="BZ1345" s="12"/>
      <c r="CB1345" s="12"/>
      <c r="CP1345" s="12"/>
      <c r="DD1345" s="12"/>
      <c r="DR1345" s="12"/>
      <c r="EF1345" s="12"/>
    </row>
    <row r="1346" spans="8:136" ht="10.199999999999999" x14ac:dyDescent="0.2">
      <c r="H1346" s="12"/>
      <c r="V1346" s="12"/>
      <c r="AJ1346" s="12"/>
      <c r="AX1346" s="12"/>
      <c r="BL1346" s="12"/>
      <c r="BZ1346" s="12"/>
      <c r="CB1346" s="12"/>
      <c r="CP1346" s="12"/>
      <c r="DD1346" s="12"/>
      <c r="DR1346" s="12"/>
      <c r="EF1346" s="12"/>
    </row>
    <row r="1347" spans="8:136" ht="10.199999999999999" x14ac:dyDescent="0.2">
      <c r="H1347" s="12"/>
      <c r="V1347" s="12"/>
      <c r="AJ1347" s="12"/>
      <c r="AX1347" s="12"/>
      <c r="BL1347" s="12"/>
      <c r="BZ1347" s="12"/>
      <c r="CB1347" s="12"/>
      <c r="CP1347" s="12"/>
      <c r="DD1347" s="12"/>
      <c r="DR1347" s="12"/>
      <c r="EF1347" s="12"/>
    </row>
    <row r="1348" spans="8:136" ht="10.199999999999999" x14ac:dyDescent="0.2">
      <c r="H1348" s="12"/>
      <c r="V1348" s="12"/>
      <c r="AJ1348" s="12"/>
      <c r="AX1348" s="12"/>
      <c r="BL1348" s="12"/>
      <c r="BZ1348" s="12"/>
      <c r="CB1348" s="12"/>
      <c r="CP1348" s="12"/>
      <c r="DD1348" s="12"/>
      <c r="DR1348" s="12"/>
      <c r="EF1348" s="12"/>
    </row>
    <row r="1349" spans="8:136" ht="10.199999999999999" x14ac:dyDescent="0.2">
      <c r="H1349" s="12"/>
      <c r="V1349" s="12"/>
      <c r="AJ1349" s="12"/>
      <c r="AX1349" s="12"/>
      <c r="BL1349" s="12"/>
      <c r="BZ1349" s="12"/>
      <c r="CB1349" s="12"/>
      <c r="CP1349" s="12"/>
      <c r="DD1349" s="12"/>
      <c r="DR1349" s="12"/>
      <c r="EF1349" s="12"/>
    </row>
    <row r="1350" spans="8:136" ht="10.199999999999999" x14ac:dyDescent="0.2">
      <c r="H1350" s="12"/>
      <c r="V1350" s="12"/>
      <c r="AJ1350" s="12"/>
      <c r="AX1350" s="12"/>
      <c r="BL1350" s="12"/>
      <c r="BZ1350" s="12"/>
      <c r="CB1350" s="12"/>
      <c r="CP1350" s="12"/>
      <c r="DD1350" s="12"/>
      <c r="DR1350" s="12"/>
      <c r="EF1350" s="12"/>
    </row>
    <row r="1351" spans="8:136" ht="10.199999999999999" x14ac:dyDescent="0.2">
      <c r="H1351" s="12"/>
      <c r="V1351" s="12"/>
      <c r="AJ1351" s="12"/>
      <c r="AX1351" s="12"/>
      <c r="BL1351" s="12"/>
      <c r="BZ1351" s="12"/>
      <c r="CB1351" s="12"/>
      <c r="CP1351" s="12"/>
      <c r="DD1351" s="12"/>
      <c r="DR1351" s="12"/>
      <c r="EF1351" s="12"/>
    </row>
    <row r="1352" spans="8:136" ht="10.199999999999999" x14ac:dyDescent="0.2">
      <c r="H1352" s="12"/>
      <c r="V1352" s="12"/>
      <c r="AJ1352" s="12"/>
      <c r="AX1352" s="12"/>
      <c r="BL1352" s="12"/>
      <c r="BZ1352" s="12"/>
      <c r="CB1352" s="12"/>
      <c r="CP1352" s="12"/>
      <c r="DD1352" s="12"/>
      <c r="DR1352" s="12"/>
      <c r="EF1352" s="12"/>
    </row>
    <row r="1353" spans="8:136" ht="10.199999999999999" x14ac:dyDescent="0.2">
      <c r="H1353" s="12"/>
      <c r="V1353" s="12"/>
      <c r="AJ1353" s="12"/>
      <c r="AX1353" s="12"/>
      <c r="BL1353" s="12"/>
      <c r="BZ1353" s="12"/>
      <c r="CB1353" s="12"/>
      <c r="CP1353" s="12"/>
      <c r="DD1353" s="12"/>
      <c r="DR1353" s="12"/>
      <c r="EF1353" s="12"/>
    </row>
    <row r="1354" spans="8:136" ht="10.199999999999999" x14ac:dyDescent="0.2">
      <c r="H1354" s="12"/>
      <c r="V1354" s="12"/>
      <c r="AJ1354" s="12"/>
      <c r="AX1354" s="12"/>
      <c r="BL1354" s="12"/>
      <c r="BZ1354" s="12"/>
      <c r="CB1354" s="12"/>
      <c r="CP1354" s="12"/>
      <c r="DD1354" s="12"/>
      <c r="DR1354" s="12"/>
      <c r="EF1354" s="12"/>
    </row>
    <row r="1355" spans="8:136" ht="10.199999999999999" x14ac:dyDescent="0.2">
      <c r="H1355" s="12"/>
      <c r="V1355" s="12"/>
      <c r="AJ1355" s="12"/>
      <c r="AX1355" s="12"/>
      <c r="BL1355" s="12"/>
      <c r="BZ1355" s="12"/>
      <c r="CB1355" s="12"/>
      <c r="CP1355" s="12"/>
      <c r="DD1355" s="12"/>
      <c r="DR1355" s="12"/>
      <c r="EF1355" s="12"/>
    </row>
    <row r="1356" spans="8:136" ht="10.199999999999999" x14ac:dyDescent="0.2">
      <c r="H1356" s="12"/>
      <c r="V1356" s="12"/>
      <c r="AJ1356" s="12"/>
      <c r="AX1356" s="12"/>
      <c r="BL1356" s="12"/>
      <c r="BZ1356" s="12"/>
      <c r="CB1356" s="12"/>
      <c r="CP1356" s="12"/>
      <c r="DD1356" s="12"/>
      <c r="DR1356" s="12"/>
      <c r="EF1356" s="12"/>
    </row>
    <row r="1357" spans="8:136" ht="10.199999999999999" x14ac:dyDescent="0.2">
      <c r="H1357" s="12"/>
      <c r="V1357" s="12"/>
      <c r="AJ1357" s="12"/>
      <c r="AX1357" s="12"/>
      <c r="BL1357" s="12"/>
      <c r="BZ1357" s="12"/>
      <c r="CB1357" s="12"/>
      <c r="CP1357" s="12"/>
      <c r="DD1357" s="12"/>
      <c r="DR1357" s="12"/>
      <c r="EF1357" s="12"/>
    </row>
    <row r="1358" spans="8:136" ht="10.199999999999999" x14ac:dyDescent="0.2">
      <c r="H1358" s="12"/>
      <c r="V1358" s="12"/>
      <c r="AJ1358" s="12"/>
      <c r="AX1358" s="12"/>
      <c r="BL1358" s="12"/>
      <c r="BZ1358" s="12"/>
      <c r="CB1358" s="12"/>
      <c r="CP1358" s="12"/>
      <c r="DD1358" s="12"/>
      <c r="DR1358" s="12"/>
      <c r="EF1358" s="12"/>
    </row>
    <row r="1359" spans="8:136" ht="10.199999999999999" x14ac:dyDescent="0.2">
      <c r="H1359" s="12"/>
      <c r="V1359" s="12"/>
      <c r="AJ1359" s="12"/>
      <c r="AX1359" s="12"/>
      <c r="BL1359" s="12"/>
      <c r="BZ1359" s="12"/>
      <c r="CB1359" s="12"/>
      <c r="CP1359" s="12"/>
      <c r="DD1359" s="12"/>
      <c r="DR1359" s="12"/>
      <c r="EF1359" s="12"/>
    </row>
    <row r="1360" spans="8:136" ht="10.199999999999999" x14ac:dyDescent="0.2">
      <c r="H1360" s="12"/>
      <c r="V1360" s="12"/>
      <c r="AJ1360" s="12"/>
      <c r="AX1360" s="12"/>
      <c r="BL1360" s="12"/>
      <c r="BZ1360" s="12"/>
      <c r="CB1360" s="12"/>
      <c r="CP1360" s="12"/>
      <c r="DD1360" s="12"/>
      <c r="DR1360" s="12"/>
      <c r="EF1360" s="12"/>
    </row>
    <row r="1361" spans="8:136" ht="10.199999999999999" x14ac:dyDescent="0.2">
      <c r="H1361" s="12"/>
      <c r="V1361" s="12"/>
      <c r="AJ1361" s="12"/>
      <c r="AX1361" s="12"/>
      <c r="BL1361" s="12"/>
      <c r="BZ1361" s="12"/>
      <c r="CB1361" s="12"/>
      <c r="CP1361" s="12"/>
      <c r="DD1361" s="12"/>
      <c r="DR1361" s="12"/>
      <c r="EF1361" s="12"/>
    </row>
    <row r="1362" spans="8:136" ht="10.199999999999999" x14ac:dyDescent="0.2">
      <c r="H1362" s="12"/>
      <c r="V1362" s="12"/>
      <c r="AJ1362" s="12"/>
      <c r="AX1362" s="12"/>
      <c r="BL1362" s="12"/>
      <c r="BZ1362" s="12"/>
      <c r="CB1362" s="12"/>
      <c r="CP1362" s="12"/>
      <c r="DD1362" s="12"/>
      <c r="DR1362" s="12"/>
      <c r="EF1362" s="12"/>
    </row>
    <row r="1363" spans="8:136" ht="10.199999999999999" x14ac:dyDescent="0.2">
      <c r="H1363" s="12"/>
      <c r="V1363" s="12"/>
      <c r="AJ1363" s="12"/>
      <c r="AX1363" s="12"/>
      <c r="BL1363" s="12"/>
      <c r="BZ1363" s="12"/>
      <c r="CB1363" s="12"/>
      <c r="CP1363" s="12"/>
      <c r="DD1363" s="12"/>
      <c r="DR1363" s="12"/>
      <c r="EF1363" s="12"/>
    </row>
    <row r="1364" spans="8:136" ht="10.199999999999999" x14ac:dyDescent="0.2">
      <c r="H1364" s="12"/>
      <c r="V1364" s="12"/>
      <c r="AJ1364" s="12"/>
      <c r="AX1364" s="12"/>
      <c r="BL1364" s="12"/>
      <c r="BZ1364" s="12"/>
      <c r="CB1364" s="12"/>
      <c r="CP1364" s="12"/>
      <c r="DD1364" s="12"/>
      <c r="DR1364" s="12"/>
      <c r="EF1364" s="12"/>
    </row>
    <row r="1365" spans="8:136" ht="10.199999999999999" x14ac:dyDescent="0.2">
      <c r="H1365" s="12"/>
      <c r="V1365" s="12"/>
      <c r="AJ1365" s="12"/>
      <c r="AX1365" s="12"/>
      <c r="BL1365" s="12"/>
      <c r="BZ1365" s="12"/>
      <c r="CB1365" s="12"/>
      <c r="CP1365" s="12"/>
      <c r="DD1365" s="12"/>
      <c r="DR1365" s="12"/>
      <c r="EF1365" s="12"/>
    </row>
    <row r="1366" spans="8:136" ht="10.199999999999999" x14ac:dyDescent="0.2">
      <c r="H1366" s="12"/>
      <c r="V1366" s="12"/>
      <c r="AJ1366" s="12"/>
      <c r="AX1366" s="12"/>
      <c r="BL1366" s="12"/>
      <c r="BZ1366" s="12"/>
      <c r="CB1366" s="12"/>
      <c r="CP1366" s="12"/>
      <c r="DD1366" s="12"/>
      <c r="DR1366" s="12"/>
      <c r="EF1366" s="12"/>
    </row>
    <row r="1367" spans="8:136" ht="10.199999999999999" x14ac:dyDescent="0.2">
      <c r="H1367" s="12"/>
      <c r="V1367" s="12"/>
      <c r="AJ1367" s="12"/>
      <c r="AX1367" s="12"/>
      <c r="BL1367" s="12"/>
      <c r="BZ1367" s="12"/>
      <c r="CB1367" s="12"/>
      <c r="CP1367" s="12"/>
      <c r="DD1367" s="12"/>
      <c r="DR1367" s="12"/>
      <c r="EF1367" s="12"/>
    </row>
    <row r="1368" spans="8:136" ht="10.199999999999999" x14ac:dyDescent="0.2">
      <c r="H1368" s="12"/>
      <c r="V1368" s="12"/>
      <c r="AJ1368" s="12"/>
      <c r="AX1368" s="12"/>
      <c r="BL1368" s="12"/>
      <c r="BZ1368" s="12"/>
      <c r="CB1368" s="12"/>
      <c r="CP1368" s="12"/>
      <c r="DD1368" s="12"/>
      <c r="DR1368" s="12"/>
      <c r="EF1368" s="12"/>
    </row>
    <row r="1369" spans="8:136" ht="10.199999999999999" x14ac:dyDescent="0.2">
      <c r="H1369" s="12"/>
      <c r="V1369" s="12"/>
      <c r="AJ1369" s="12"/>
      <c r="AX1369" s="12"/>
      <c r="BL1369" s="12"/>
      <c r="BZ1369" s="12"/>
      <c r="CB1369" s="12"/>
      <c r="CP1369" s="12"/>
      <c r="DD1369" s="12"/>
      <c r="DR1369" s="12"/>
      <c r="EF1369" s="12"/>
    </row>
    <row r="1370" spans="8:136" ht="10.199999999999999" x14ac:dyDescent="0.2">
      <c r="H1370" s="12"/>
      <c r="V1370" s="12"/>
      <c r="AJ1370" s="12"/>
      <c r="AX1370" s="12"/>
      <c r="BL1370" s="12"/>
      <c r="BZ1370" s="12"/>
      <c r="CB1370" s="12"/>
      <c r="CP1370" s="12"/>
      <c r="DD1370" s="12"/>
      <c r="DR1370" s="12"/>
      <c r="EF1370" s="12"/>
    </row>
    <row r="1371" spans="8:136" ht="10.199999999999999" x14ac:dyDescent="0.2">
      <c r="H1371" s="12"/>
      <c r="V1371" s="12"/>
      <c r="AJ1371" s="12"/>
      <c r="AX1371" s="12"/>
      <c r="BL1371" s="12"/>
      <c r="BZ1371" s="12"/>
      <c r="CB1371" s="12"/>
      <c r="CP1371" s="12"/>
      <c r="DD1371" s="12"/>
      <c r="DR1371" s="12"/>
      <c r="EF1371" s="12"/>
    </row>
    <row r="1372" spans="8:136" ht="10.199999999999999" x14ac:dyDescent="0.2">
      <c r="H1372" s="12"/>
      <c r="V1372" s="12"/>
      <c r="AJ1372" s="12"/>
      <c r="AX1372" s="12"/>
      <c r="BL1372" s="12"/>
      <c r="BZ1372" s="12"/>
      <c r="CB1372" s="12"/>
      <c r="CP1372" s="12"/>
      <c r="DD1372" s="12"/>
      <c r="DR1372" s="12"/>
      <c r="EF1372" s="12"/>
    </row>
    <row r="1373" spans="8:136" ht="10.199999999999999" x14ac:dyDescent="0.2">
      <c r="H1373" s="12"/>
      <c r="V1373" s="12"/>
      <c r="AJ1373" s="12"/>
      <c r="AX1373" s="12"/>
      <c r="BL1373" s="12"/>
      <c r="BZ1373" s="12"/>
      <c r="CB1373" s="12"/>
      <c r="CP1373" s="12"/>
      <c r="DD1373" s="12"/>
      <c r="DR1373" s="12"/>
      <c r="EF1373" s="12"/>
    </row>
    <row r="1374" spans="8:136" ht="10.199999999999999" x14ac:dyDescent="0.2">
      <c r="H1374" s="12"/>
      <c r="V1374" s="12"/>
      <c r="AJ1374" s="12"/>
      <c r="AX1374" s="12"/>
      <c r="BL1374" s="12"/>
      <c r="BZ1374" s="12"/>
      <c r="CB1374" s="12"/>
      <c r="CP1374" s="12"/>
      <c r="DD1374" s="12"/>
      <c r="DR1374" s="12"/>
      <c r="EF1374" s="12"/>
    </row>
    <row r="1375" spans="8:136" ht="10.199999999999999" x14ac:dyDescent="0.2">
      <c r="H1375" s="12"/>
      <c r="V1375" s="12"/>
      <c r="AJ1375" s="12"/>
      <c r="AX1375" s="12"/>
      <c r="BL1375" s="12"/>
      <c r="BZ1375" s="12"/>
      <c r="CB1375" s="12"/>
      <c r="CP1375" s="12"/>
      <c r="DD1375" s="12"/>
      <c r="DR1375" s="12"/>
      <c r="EF1375" s="12"/>
    </row>
    <row r="1376" spans="8:136" ht="10.199999999999999" x14ac:dyDescent="0.2">
      <c r="H1376" s="12"/>
      <c r="V1376" s="12"/>
      <c r="AJ1376" s="12"/>
      <c r="AX1376" s="12"/>
      <c r="BL1376" s="12"/>
      <c r="BZ1376" s="12"/>
      <c r="CB1376" s="12"/>
      <c r="CP1376" s="12"/>
      <c r="DD1376" s="12"/>
      <c r="DR1376" s="12"/>
      <c r="EF1376" s="12"/>
    </row>
    <row r="1377" spans="8:136" ht="10.199999999999999" x14ac:dyDescent="0.2">
      <c r="H1377" s="12"/>
      <c r="V1377" s="12"/>
      <c r="AJ1377" s="12"/>
      <c r="AX1377" s="12"/>
      <c r="BL1377" s="12"/>
      <c r="BZ1377" s="12"/>
      <c r="CB1377" s="12"/>
      <c r="CP1377" s="12"/>
      <c r="DD1377" s="12"/>
      <c r="DR1377" s="12"/>
      <c r="EF1377" s="12"/>
    </row>
    <row r="1378" spans="8:136" ht="10.199999999999999" x14ac:dyDescent="0.2">
      <c r="H1378" s="12"/>
      <c r="V1378" s="12"/>
      <c r="AJ1378" s="12"/>
      <c r="AX1378" s="12"/>
      <c r="BL1378" s="12"/>
      <c r="BZ1378" s="12"/>
      <c r="CB1378" s="12"/>
      <c r="CP1378" s="12"/>
      <c r="DD1378" s="12"/>
      <c r="DR1378" s="12"/>
      <c r="EF1378" s="12"/>
    </row>
    <row r="1379" spans="8:136" ht="10.199999999999999" x14ac:dyDescent="0.2">
      <c r="H1379" s="12"/>
      <c r="V1379" s="12"/>
      <c r="AJ1379" s="12"/>
      <c r="AX1379" s="12"/>
      <c r="BL1379" s="12"/>
      <c r="BZ1379" s="12"/>
      <c r="CB1379" s="12"/>
      <c r="CP1379" s="12"/>
      <c r="DD1379" s="12"/>
      <c r="DR1379" s="12"/>
      <c r="EF1379" s="12"/>
    </row>
    <row r="1380" spans="8:136" ht="10.199999999999999" x14ac:dyDescent="0.2">
      <c r="H1380" s="12"/>
      <c r="V1380" s="12"/>
      <c r="AJ1380" s="12"/>
      <c r="AX1380" s="12"/>
      <c r="BL1380" s="12"/>
      <c r="BZ1380" s="12"/>
      <c r="CB1380" s="12"/>
      <c r="CP1380" s="12"/>
      <c r="DD1380" s="12"/>
      <c r="DR1380" s="12"/>
      <c r="EF1380" s="12"/>
    </row>
    <row r="1381" spans="8:136" ht="10.199999999999999" x14ac:dyDescent="0.2">
      <c r="H1381" s="12"/>
      <c r="V1381" s="12"/>
      <c r="AJ1381" s="12"/>
      <c r="AX1381" s="12"/>
      <c r="BL1381" s="12"/>
      <c r="BZ1381" s="12"/>
      <c r="CB1381" s="12"/>
      <c r="CP1381" s="12"/>
      <c r="DD1381" s="12"/>
      <c r="DR1381" s="12"/>
      <c r="EF1381" s="12"/>
    </row>
    <row r="1382" spans="8:136" ht="10.199999999999999" x14ac:dyDescent="0.2">
      <c r="H1382" s="12"/>
      <c r="V1382" s="12"/>
      <c r="AJ1382" s="12"/>
      <c r="AX1382" s="12"/>
      <c r="BL1382" s="12"/>
      <c r="BZ1382" s="12"/>
      <c r="CB1382" s="12"/>
      <c r="CP1382" s="12"/>
      <c r="DD1382" s="12"/>
      <c r="DR1382" s="12"/>
      <c r="EF1382" s="12"/>
    </row>
    <row r="1383" spans="8:136" ht="10.199999999999999" x14ac:dyDescent="0.2">
      <c r="H1383" s="12"/>
      <c r="V1383" s="12"/>
      <c r="AJ1383" s="12"/>
      <c r="AX1383" s="12"/>
      <c r="BL1383" s="12"/>
      <c r="BZ1383" s="12"/>
      <c r="CB1383" s="12"/>
      <c r="CP1383" s="12"/>
      <c r="DD1383" s="12"/>
      <c r="DR1383" s="12"/>
      <c r="EF1383" s="12"/>
    </row>
    <row r="1384" spans="8:136" ht="10.199999999999999" x14ac:dyDescent="0.2">
      <c r="H1384" s="12"/>
      <c r="V1384" s="12"/>
      <c r="AJ1384" s="12"/>
      <c r="AX1384" s="12"/>
      <c r="BL1384" s="12"/>
      <c r="BZ1384" s="12"/>
      <c r="CB1384" s="12"/>
      <c r="CP1384" s="12"/>
      <c r="DD1384" s="12"/>
      <c r="DR1384" s="12"/>
      <c r="EF1384" s="12"/>
    </row>
    <row r="1385" spans="8:136" ht="10.199999999999999" x14ac:dyDescent="0.2">
      <c r="H1385" s="12"/>
      <c r="V1385" s="12"/>
      <c r="AJ1385" s="12"/>
      <c r="AX1385" s="12"/>
      <c r="BL1385" s="12"/>
      <c r="BZ1385" s="12"/>
      <c r="CB1385" s="12"/>
      <c r="CP1385" s="12"/>
      <c r="DD1385" s="12"/>
      <c r="DR1385" s="12"/>
      <c r="EF1385" s="12"/>
    </row>
    <row r="1386" spans="8:136" ht="10.199999999999999" x14ac:dyDescent="0.2">
      <c r="H1386" s="12"/>
      <c r="V1386" s="12"/>
      <c r="AJ1386" s="12"/>
      <c r="AX1386" s="12"/>
      <c r="BL1386" s="12"/>
      <c r="BZ1386" s="12"/>
      <c r="CB1386" s="12"/>
      <c r="CP1386" s="12"/>
      <c r="DD1386" s="12"/>
      <c r="DR1386" s="12"/>
      <c r="EF1386" s="12"/>
    </row>
    <row r="1387" spans="8:136" ht="10.199999999999999" x14ac:dyDescent="0.2">
      <c r="H1387" s="12"/>
      <c r="V1387" s="12"/>
      <c r="AJ1387" s="12"/>
      <c r="AX1387" s="12"/>
      <c r="BL1387" s="12"/>
      <c r="BZ1387" s="12"/>
      <c r="CB1387" s="12"/>
      <c r="CP1387" s="12"/>
      <c r="DD1387" s="12"/>
      <c r="DR1387" s="12"/>
      <c r="EF1387" s="12"/>
    </row>
    <row r="1388" spans="8:136" ht="10.199999999999999" x14ac:dyDescent="0.2">
      <c r="H1388" s="12"/>
      <c r="V1388" s="12"/>
      <c r="AJ1388" s="12"/>
      <c r="AX1388" s="12"/>
      <c r="BL1388" s="12"/>
      <c r="BZ1388" s="12"/>
      <c r="CB1388" s="12"/>
      <c r="CP1388" s="12"/>
      <c r="DD1388" s="12"/>
      <c r="DR1388" s="12"/>
      <c r="EF1388" s="12"/>
    </row>
    <row r="1389" spans="8:136" ht="10.199999999999999" x14ac:dyDescent="0.2">
      <c r="H1389" s="12"/>
      <c r="V1389" s="12"/>
      <c r="AJ1389" s="12"/>
      <c r="AX1389" s="12"/>
      <c r="BL1389" s="12"/>
      <c r="BZ1389" s="12"/>
      <c r="CB1389" s="12"/>
      <c r="CP1389" s="12"/>
      <c r="DD1389" s="12"/>
      <c r="DR1389" s="12"/>
      <c r="EF1389" s="12"/>
    </row>
    <row r="1390" spans="8:136" ht="10.199999999999999" x14ac:dyDescent="0.2">
      <c r="H1390" s="12"/>
      <c r="V1390" s="12"/>
      <c r="AJ1390" s="12"/>
      <c r="AX1390" s="12"/>
      <c r="BL1390" s="12"/>
      <c r="BZ1390" s="12"/>
      <c r="CB1390" s="12"/>
      <c r="CP1390" s="12"/>
      <c r="DD1390" s="12"/>
      <c r="DR1390" s="12"/>
      <c r="EF1390" s="12"/>
    </row>
    <row r="1391" spans="8:136" ht="10.199999999999999" x14ac:dyDescent="0.2">
      <c r="H1391" s="12"/>
      <c r="V1391" s="12"/>
      <c r="AJ1391" s="12"/>
      <c r="AX1391" s="12"/>
      <c r="BL1391" s="12"/>
      <c r="BZ1391" s="12"/>
      <c r="CB1391" s="12"/>
      <c r="CP1391" s="12"/>
      <c r="DD1391" s="12"/>
      <c r="DR1391" s="12"/>
      <c r="EF1391" s="12"/>
    </row>
    <row r="1392" spans="8:136" ht="10.199999999999999" x14ac:dyDescent="0.2">
      <c r="H1392" s="12"/>
      <c r="V1392" s="12"/>
      <c r="AJ1392" s="12"/>
      <c r="AX1392" s="12"/>
      <c r="BL1392" s="12"/>
      <c r="BZ1392" s="12"/>
      <c r="CB1392" s="12"/>
      <c r="CP1392" s="12"/>
      <c r="DD1392" s="12"/>
      <c r="DR1392" s="12"/>
      <c r="EF1392" s="12"/>
    </row>
    <row r="1393" spans="8:136" ht="10.199999999999999" x14ac:dyDescent="0.2">
      <c r="H1393" s="12"/>
      <c r="V1393" s="12"/>
      <c r="AJ1393" s="12"/>
      <c r="AX1393" s="12"/>
      <c r="BL1393" s="12"/>
      <c r="BZ1393" s="12"/>
      <c r="CB1393" s="12"/>
      <c r="CP1393" s="12"/>
      <c r="DD1393" s="12"/>
      <c r="DR1393" s="12"/>
      <c r="EF1393" s="12"/>
    </row>
    <row r="1394" spans="8:136" ht="10.199999999999999" x14ac:dyDescent="0.2">
      <c r="H1394" s="12"/>
      <c r="V1394" s="12"/>
      <c r="AJ1394" s="12"/>
      <c r="AX1394" s="12"/>
      <c r="BL1394" s="12"/>
      <c r="BZ1394" s="12"/>
      <c r="CB1394" s="12"/>
      <c r="CP1394" s="12"/>
      <c r="DD1394" s="12"/>
      <c r="DR1394" s="12"/>
      <c r="EF1394" s="12"/>
    </row>
    <row r="1395" spans="8:136" ht="10.199999999999999" x14ac:dyDescent="0.2">
      <c r="H1395" s="12"/>
      <c r="V1395" s="12"/>
      <c r="AJ1395" s="12"/>
      <c r="AX1395" s="12"/>
      <c r="BL1395" s="12"/>
      <c r="BZ1395" s="12"/>
      <c r="CB1395" s="12"/>
      <c r="CP1395" s="12"/>
      <c r="DD1395" s="12"/>
      <c r="DR1395" s="12"/>
      <c r="EF1395" s="12"/>
    </row>
    <row r="1396" spans="8:136" ht="10.199999999999999" x14ac:dyDescent="0.2">
      <c r="H1396" s="12"/>
      <c r="V1396" s="12"/>
      <c r="AJ1396" s="12"/>
      <c r="AX1396" s="12"/>
      <c r="BL1396" s="12"/>
      <c r="BZ1396" s="12"/>
      <c r="CB1396" s="12"/>
      <c r="CP1396" s="12"/>
      <c r="DD1396" s="12"/>
      <c r="DR1396" s="12"/>
      <c r="EF1396" s="12"/>
    </row>
    <row r="1397" spans="8:136" ht="10.199999999999999" x14ac:dyDescent="0.2">
      <c r="H1397" s="12"/>
      <c r="V1397" s="12"/>
      <c r="AJ1397" s="12"/>
      <c r="AX1397" s="12"/>
      <c r="BL1397" s="12"/>
      <c r="BZ1397" s="12"/>
      <c r="CB1397" s="12"/>
      <c r="CP1397" s="12"/>
      <c r="DD1397" s="12"/>
      <c r="DR1397" s="12"/>
      <c r="EF1397" s="12"/>
    </row>
    <row r="1398" spans="8:136" ht="10.199999999999999" x14ac:dyDescent="0.2">
      <c r="H1398" s="12"/>
      <c r="V1398" s="12"/>
      <c r="AJ1398" s="12"/>
      <c r="AX1398" s="12"/>
      <c r="BL1398" s="12"/>
      <c r="BZ1398" s="12"/>
      <c r="CB1398" s="12"/>
      <c r="CP1398" s="12"/>
      <c r="DD1398" s="12"/>
      <c r="DR1398" s="12"/>
      <c r="EF1398" s="12"/>
    </row>
    <row r="1399" spans="8:136" ht="10.199999999999999" x14ac:dyDescent="0.2">
      <c r="H1399" s="12"/>
      <c r="V1399" s="12"/>
      <c r="AJ1399" s="12"/>
      <c r="AX1399" s="12"/>
      <c r="BL1399" s="12"/>
      <c r="BZ1399" s="12"/>
      <c r="CB1399" s="12"/>
      <c r="CP1399" s="12"/>
      <c r="DD1399" s="12"/>
      <c r="DR1399" s="12"/>
      <c r="EF1399" s="12"/>
    </row>
    <row r="1400" spans="8:136" ht="10.199999999999999" x14ac:dyDescent="0.2">
      <c r="H1400" s="12"/>
      <c r="V1400" s="12"/>
      <c r="AJ1400" s="12"/>
      <c r="AX1400" s="12"/>
      <c r="BL1400" s="12"/>
      <c r="BZ1400" s="12"/>
      <c r="CB1400" s="12"/>
      <c r="CP1400" s="12"/>
      <c r="DD1400" s="12"/>
      <c r="DR1400" s="12"/>
      <c r="EF1400" s="12"/>
    </row>
    <row r="1401" spans="8:136" ht="10.199999999999999" x14ac:dyDescent="0.2">
      <c r="H1401" s="12"/>
      <c r="V1401" s="12"/>
      <c r="AJ1401" s="12"/>
      <c r="AX1401" s="12"/>
      <c r="BL1401" s="12"/>
      <c r="BZ1401" s="12"/>
      <c r="CB1401" s="12"/>
      <c r="CP1401" s="12"/>
      <c r="DD1401" s="12"/>
      <c r="DR1401" s="12"/>
      <c r="EF1401" s="12"/>
    </row>
    <row r="1402" spans="8:136" ht="10.199999999999999" x14ac:dyDescent="0.2">
      <c r="H1402" s="12"/>
      <c r="V1402" s="12"/>
      <c r="AJ1402" s="12"/>
      <c r="AX1402" s="12"/>
      <c r="BL1402" s="12"/>
      <c r="BZ1402" s="12"/>
      <c r="CB1402" s="12"/>
      <c r="CP1402" s="12"/>
      <c r="DD1402" s="12"/>
      <c r="DR1402" s="12"/>
      <c r="EF1402" s="12"/>
    </row>
    <row r="1403" spans="8:136" ht="10.199999999999999" x14ac:dyDescent="0.2">
      <c r="H1403" s="12"/>
      <c r="V1403" s="12"/>
      <c r="AJ1403" s="12"/>
      <c r="AX1403" s="12"/>
      <c r="BL1403" s="12"/>
      <c r="BZ1403" s="12"/>
      <c r="CB1403" s="12"/>
      <c r="CP1403" s="12"/>
      <c r="DD1403" s="12"/>
      <c r="DR1403" s="12"/>
      <c r="EF1403" s="12"/>
    </row>
    <row r="1404" spans="8:136" ht="10.199999999999999" x14ac:dyDescent="0.2">
      <c r="H1404" s="12"/>
      <c r="V1404" s="12"/>
      <c r="AJ1404" s="12"/>
      <c r="AX1404" s="12"/>
      <c r="BL1404" s="12"/>
      <c r="BZ1404" s="12"/>
      <c r="CB1404" s="12"/>
      <c r="CP1404" s="12"/>
      <c r="DD1404" s="12"/>
      <c r="DR1404" s="12"/>
      <c r="EF1404" s="12"/>
    </row>
    <row r="1405" spans="8:136" ht="10.199999999999999" x14ac:dyDescent="0.2">
      <c r="H1405" s="12"/>
      <c r="V1405" s="12"/>
      <c r="AJ1405" s="12"/>
      <c r="AX1405" s="12"/>
      <c r="BL1405" s="12"/>
      <c r="BZ1405" s="12"/>
      <c r="CB1405" s="12"/>
      <c r="CP1405" s="12"/>
      <c r="DD1405" s="12"/>
      <c r="DR1405" s="12"/>
      <c r="EF1405" s="12"/>
    </row>
    <row r="1406" spans="8:136" ht="10.199999999999999" x14ac:dyDescent="0.2">
      <c r="H1406" s="12"/>
      <c r="V1406" s="12"/>
      <c r="AJ1406" s="12"/>
      <c r="AX1406" s="12"/>
      <c r="BL1406" s="12"/>
      <c r="BZ1406" s="12"/>
      <c r="CB1406" s="12"/>
      <c r="CP1406" s="12"/>
      <c r="DD1406" s="12"/>
      <c r="DR1406" s="12"/>
      <c r="EF1406" s="12"/>
    </row>
    <row r="1407" spans="8:136" ht="10.199999999999999" x14ac:dyDescent="0.2">
      <c r="H1407" s="12"/>
      <c r="V1407" s="12"/>
      <c r="AJ1407" s="12"/>
      <c r="AX1407" s="12"/>
      <c r="BL1407" s="12"/>
      <c r="BZ1407" s="12"/>
      <c r="CB1407" s="12"/>
      <c r="CP1407" s="12"/>
      <c r="DD1407" s="12"/>
      <c r="DR1407" s="12"/>
      <c r="EF1407" s="12"/>
    </row>
    <row r="1408" spans="8:136" ht="10.199999999999999" x14ac:dyDescent="0.2">
      <c r="H1408" s="12"/>
      <c r="V1408" s="12"/>
      <c r="AJ1408" s="12"/>
      <c r="AX1408" s="12"/>
      <c r="BL1408" s="12"/>
      <c r="BZ1408" s="12"/>
      <c r="CB1408" s="12"/>
      <c r="CP1408" s="12"/>
      <c r="DD1408" s="12"/>
      <c r="DR1408" s="12"/>
      <c r="EF1408" s="12"/>
    </row>
    <row r="1409" spans="8:136" ht="10.199999999999999" x14ac:dyDescent="0.2">
      <c r="H1409" s="12"/>
      <c r="V1409" s="12"/>
      <c r="AJ1409" s="12"/>
      <c r="AX1409" s="12"/>
      <c r="BL1409" s="12"/>
      <c r="BZ1409" s="12"/>
      <c r="CB1409" s="12"/>
      <c r="CP1409" s="12"/>
      <c r="DD1409" s="12"/>
      <c r="DR1409" s="12"/>
      <c r="EF1409" s="12"/>
    </row>
    <row r="1410" spans="8:136" ht="10.199999999999999" x14ac:dyDescent="0.2">
      <c r="H1410" s="12"/>
      <c r="V1410" s="12"/>
      <c r="AJ1410" s="12"/>
      <c r="AX1410" s="12"/>
      <c r="BL1410" s="12"/>
      <c r="BZ1410" s="12"/>
      <c r="CB1410" s="12"/>
      <c r="CP1410" s="12"/>
      <c r="DD1410" s="12"/>
      <c r="DR1410" s="12"/>
      <c r="EF1410" s="12"/>
    </row>
    <row r="1411" spans="8:136" ht="10.199999999999999" x14ac:dyDescent="0.2">
      <c r="H1411" s="12"/>
      <c r="V1411" s="12"/>
      <c r="AJ1411" s="12"/>
      <c r="AX1411" s="12"/>
      <c r="BL1411" s="12"/>
      <c r="BZ1411" s="12"/>
      <c r="CB1411" s="12"/>
      <c r="CP1411" s="12"/>
      <c r="DD1411" s="12"/>
      <c r="DR1411" s="12"/>
      <c r="EF1411" s="12"/>
    </row>
    <row r="1412" spans="8:136" ht="10.199999999999999" x14ac:dyDescent="0.2">
      <c r="H1412" s="12"/>
      <c r="V1412" s="12"/>
      <c r="AJ1412" s="12"/>
      <c r="AX1412" s="12"/>
      <c r="BL1412" s="12"/>
      <c r="BZ1412" s="12"/>
      <c r="CB1412" s="12"/>
      <c r="CP1412" s="12"/>
      <c r="DD1412" s="12"/>
      <c r="DR1412" s="12"/>
      <c r="EF1412" s="12"/>
    </row>
    <row r="1413" spans="8:136" ht="10.199999999999999" x14ac:dyDescent="0.2">
      <c r="H1413" s="12"/>
      <c r="V1413" s="12"/>
      <c r="AJ1413" s="12"/>
      <c r="AX1413" s="12"/>
      <c r="BL1413" s="12"/>
      <c r="BZ1413" s="12"/>
      <c r="CB1413" s="12"/>
      <c r="CP1413" s="12"/>
      <c r="DD1413" s="12"/>
      <c r="DR1413" s="12"/>
      <c r="EF1413" s="12"/>
    </row>
    <row r="1414" spans="8:136" ht="10.199999999999999" x14ac:dyDescent="0.2">
      <c r="H1414" s="12"/>
      <c r="V1414" s="12"/>
      <c r="AJ1414" s="12"/>
      <c r="AX1414" s="12"/>
      <c r="BL1414" s="12"/>
      <c r="BZ1414" s="12"/>
      <c r="CB1414" s="12"/>
      <c r="CP1414" s="12"/>
      <c r="DD1414" s="12"/>
      <c r="DR1414" s="12"/>
      <c r="EF1414" s="12"/>
    </row>
    <row r="1415" spans="8:136" ht="10.199999999999999" x14ac:dyDescent="0.2">
      <c r="H1415" s="12"/>
      <c r="V1415" s="12"/>
      <c r="AJ1415" s="12"/>
      <c r="AX1415" s="12"/>
      <c r="BL1415" s="12"/>
      <c r="BZ1415" s="12"/>
      <c r="CB1415" s="12"/>
      <c r="CP1415" s="12"/>
      <c r="DD1415" s="12"/>
      <c r="DR1415" s="12"/>
      <c r="EF1415" s="12"/>
    </row>
    <row r="1416" spans="8:136" ht="10.199999999999999" x14ac:dyDescent="0.2">
      <c r="H1416" s="12"/>
      <c r="V1416" s="12"/>
      <c r="AJ1416" s="12"/>
      <c r="AX1416" s="12"/>
      <c r="BL1416" s="12"/>
      <c r="BZ1416" s="12"/>
      <c r="CB1416" s="12"/>
      <c r="CP1416" s="12"/>
      <c r="DD1416" s="12"/>
      <c r="DR1416" s="12"/>
      <c r="EF1416" s="12"/>
    </row>
    <row r="1417" spans="8:136" ht="10.199999999999999" x14ac:dyDescent="0.2">
      <c r="H1417" s="12"/>
      <c r="V1417" s="12"/>
      <c r="AJ1417" s="12"/>
      <c r="AX1417" s="12"/>
      <c r="BL1417" s="12"/>
      <c r="BZ1417" s="12"/>
      <c r="CB1417" s="12"/>
      <c r="CP1417" s="12"/>
      <c r="DD1417" s="12"/>
      <c r="DR1417" s="12"/>
      <c r="EF1417" s="12"/>
    </row>
    <row r="1418" spans="8:136" ht="10.199999999999999" x14ac:dyDescent="0.2">
      <c r="H1418" s="12"/>
      <c r="V1418" s="12"/>
      <c r="AJ1418" s="12"/>
      <c r="AX1418" s="12"/>
      <c r="BL1418" s="12"/>
      <c r="BZ1418" s="12"/>
      <c r="CB1418" s="12"/>
      <c r="CP1418" s="12"/>
      <c r="DD1418" s="12"/>
      <c r="DR1418" s="12"/>
      <c r="EF1418" s="12"/>
    </row>
    <row r="1419" spans="8:136" ht="10.199999999999999" x14ac:dyDescent="0.2">
      <c r="H1419" s="12"/>
      <c r="V1419" s="12"/>
      <c r="AJ1419" s="12"/>
      <c r="AX1419" s="12"/>
      <c r="BL1419" s="12"/>
      <c r="BZ1419" s="12"/>
      <c r="CB1419" s="12"/>
      <c r="CP1419" s="12"/>
      <c r="DD1419" s="12"/>
      <c r="DR1419" s="12"/>
      <c r="EF1419" s="12"/>
    </row>
    <row r="1420" spans="8:136" ht="10.199999999999999" x14ac:dyDescent="0.2">
      <c r="H1420" s="12"/>
      <c r="V1420" s="12"/>
      <c r="AJ1420" s="12"/>
      <c r="AX1420" s="12"/>
      <c r="BL1420" s="12"/>
      <c r="BZ1420" s="12"/>
      <c r="CB1420" s="12"/>
      <c r="CP1420" s="12"/>
      <c r="DD1420" s="12"/>
      <c r="DR1420" s="12"/>
      <c r="EF1420" s="12"/>
    </row>
    <row r="1421" spans="8:136" ht="10.199999999999999" x14ac:dyDescent="0.2">
      <c r="H1421" s="12"/>
      <c r="V1421" s="12"/>
      <c r="AJ1421" s="12"/>
      <c r="AX1421" s="12"/>
      <c r="BL1421" s="12"/>
      <c r="BZ1421" s="12"/>
      <c r="CB1421" s="12"/>
      <c r="CP1421" s="12"/>
      <c r="DD1421" s="12"/>
      <c r="DR1421" s="12"/>
      <c r="EF1421" s="12"/>
    </row>
    <row r="1422" spans="8:136" ht="10.199999999999999" x14ac:dyDescent="0.2">
      <c r="H1422" s="12"/>
      <c r="V1422" s="12"/>
      <c r="AJ1422" s="12"/>
      <c r="AX1422" s="12"/>
      <c r="BL1422" s="12"/>
      <c r="BZ1422" s="12"/>
      <c r="CB1422" s="12"/>
      <c r="CP1422" s="12"/>
      <c r="DD1422" s="12"/>
      <c r="DR1422" s="12"/>
      <c r="EF1422" s="12"/>
    </row>
    <row r="1423" spans="8:136" ht="10.199999999999999" x14ac:dyDescent="0.2">
      <c r="H1423" s="12"/>
      <c r="V1423" s="12"/>
      <c r="AJ1423" s="12"/>
      <c r="AX1423" s="12"/>
      <c r="BL1423" s="12"/>
      <c r="BZ1423" s="12"/>
      <c r="CB1423" s="12"/>
      <c r="CP1423" s="12"/>
      <c r="DD1423" s="12"/>
      <c r="DR1423" s="12"/>
      <c r="EF1423" s="12"/>
    </row>
    <row r="1424" spans="8:136" ht="10.199999999999999" x14ac:dyDescent="0.2">
      <c r="H1424" s="12"/>
      <c r="V1424" s="12"/>
      <c r="AJ1424" s="12"/>
      <c r="AX1424" s="12"/>
      <c r="BL1424" s="12"/>
      <c r="BZ1424" s="12"/>
      <c r="CB1424" s="12"/>
      <c r="CP1424" s="12"/>
      <c r="DD1424" s="12"/>
      <c r="DR1424" s="12"/>
      <c r="EF1424" s="12"/>
    </row>
    <row r="1425" spans="8:136" ht="10.199999999999999" x14ac:dyDescent="0.2">
      <c r="H1425" s="12"/>
      <c r="V1425" s="12"/>
      <c r="AJ1425" s="12"/>
      <c r="AX1425" s="12"/>
      <c r="BL1425" s="12"/>
      <c r="BZ1425" s="12"/>
      <c r="CB1425" s="12"/>
      <c r="CP1425" s="12"/>
      <c r="DD1425" s="12"/>
      <c r="DR1425" s="12"/>
      <c r="EF1425" s="12"/>
    </row>
    <row r="1426" spans="8:136" ht="10.199999999999999" x14ac:dyDescent="0.2">
      <c r="H1426" s="12"/>
      <c r="V1426" s="12"/>
      <c r="AJ1426" s="12"/>
      <c r="AX1426" s="12"/>
      <c r="BL1426" s="12"/>
      <c r="BZ1426" s="12"/>
      <c r="CB1426" s="12"/>
      <c r="CP1426" s="12"/>
      <c r="DD1426" s="12"/>
      <c r="DR1426" s="12"/>
      <c r="EF1426" s="12"/>
    </row>
    <row r="1427" spans="8:136" ht="10.199999999999999" x14ac:dyDescent="0.2">
      <c r="H1427" s="12"/>
      <c r="V1427" s="12"/>
      <c r="AJ1427" s="12"/>
      <c r="AX1427" s="12"/>
      <c r="BL1427" s="12"/>
      <c r="BZ1427" s="12"/>
      <c r="CB1427" s="12"/>
      <c r="CP1427" s="12"/>
      <c r="DD1427" s="12"/>
      <c r="DR1427" s="12"/>
      <c r="EF1427" s="12"/>
    </row>
    <row r="1428" spans="8:136" ht="10.199999999999999" x14ac:dyDescent="0.2">
      <c r="H1428" s="12"/>
      <c r="V1428" s="12"/>
      <c r="AJ1428" s="12"/>
      <c r="AX1428" s="12"/>
      <c r="BL1428" s="12"/>
      <c r="BZ1428" s="12"/>
      <c r="CB1428" s="12"/>
      <c r="CP1428" s="12"/>
      <c r="DD1428" s="12"/>
      <c r="DR1428" s="12"/>
      <c r="EF1428" s="12"/>
    </row>
    <row r="1429" spans="8:136" ht="10.199999999999999" x14ac:dyDescent="0.2">
      <c r="H1429" s="12"/>
      <c r="V1429" s="12"/>
      <c r="AJ1429" s="12"/>
      <c r="AX1429" s="12"/>
      <c r="BL1429" s="12"/>
      <c r="BZ1429" s="12"/>
      <c r="CB1429" s="12"/>
      <c r="CP1429" s="12"/>
      <c r="DD1429" s="12"/>
      <c r="DR1429" s="12"/>
      <c r="EF1429" s="12"/>
    </row>
    <row r="1430" spans="8:136" ht="10.199999999999999" x14ac:dyDescent="0.2">
      <c r="H1430" s="12"/>
      <c r="V1430" s="12"/>
      <c r="AJ1430" s="12"/>
      <c r="AX1430" s="12"/>
      <c r="BL1430" s="12"/>
      <c r="BZ1430" s="12"/>
      <c r="CB1430" s="12"/>
      <c r="CP1430" s="12"/>
      <c r="DD1430" s="12"/>
      <c r="DR1430" s="12"/>
      <c r="EF1430" s="12"/>
    </row>
    <row r="1431" spans="8:136" ht="10.199999999999999" x14ac:dyDescent="0.2">
      <c r="H1431" s="12"/>
      <c r="V1431" s="12"/>
      <c r="AJ1431" s="12"/>
      <c r="AX1431" s="12"/>
      <c r="BL1431" s="12"/>
      <c r="BZ1431" s="12"/>
      <c r="CB1431" s="12"/>
      <c r="CP1431" s="12"/>
      <c r="DD1431" s="12"/>
      <c r="DR1431" s="12"/>
      <c r="EF1431" s="12"/>
    </row>
    <row r="1432" spans="8:136" ht="10.199999999999999" x14ac:dyDescent="0.2">
      <c r="H1432" s="12"/>
      <c r="V1432" s="12"/>
      <c r="AJ1432" s="12"/>
      <c r="AX1432" s="12"/>
      <c r="BL1432" s="12"/>
      <c r="BZ1432" s="12"/>
      <c r="CB1432" s="12"/>
      <c r="CP1432" s="12"/>
      <c r="DD1432" s="12"/>
      <c r="DR1432" s="12"/>
      <c r="EF1432" s="12"/>
    </row>
    <row r="1433" spans="8:136" ht="10.199999999999999" x14ac:dyDescent="0.2">
      <c r="H1433" s="12"/>
      <c r="V1433" s="12"/>
      <c r="AJ1433" s="12"/>
      <c r="AX1433" s="12"/>
      <c r="BL1433" s="12"/>
      <c r="BZ1433" s="12"/>
      <c r="CB1433" s="12"/>
      <c r="CP1433" s="12"/>
      <c r="DD1433" s="12"/>
      <c r="DR1433" s="12"/>
      <c r="EF1433" s="12"/>
    </row>
    <row r="1434" spans="8:136" ht="10.199999999999999" x14ac:dyDescent="0.2">
      <c r="H1434" s="12"/>
      <c r="V1434" s="12"/>
      <c r="AJ1434" s="12"/>
      <c r="AX1434" s="12"/>
      <c r="BL1434" s="12"/>
      <c r="BZ1434" s="12"/>
      <c r="CB1434" s="12"/>
      <c r="CP1434" s="12"/>
      <c r="DD1434" s="12"/>
      <c r="DR1434" s="12"/>
      <c r="EF1434" s="12"/>
    </row>
    <row r="1435" spans="8:136" ht="10.199999999999999" x14ac:dyDescent="0.2">
      <c r="H1435" s="12"/>
      <c r="V1435" s="12"/>
      <c r="AJ1435" s="12"/>
      <c r="AX1435" s="12"/>
      <c r="BL1435" s="12"/>
      <c r="BZ1435" s="12"/>
      <c r="CB1435" s="12"/>
      <c r="CP1435" s="12"/>
      <c r="DD1435" s="12"/>
      <c r="DR1435" s="12"/>
      <c r="EF1435" s="12"/>
    </row>
    <row r="1436" spans="8:136" ht="10.199999999999999" x14ac:dyDescent="0.2">
      <c r="H1436" s="12"/>
      <c r="V1436" s="12"/>
      <c r="AJ1436" s="12"/>
      <c r="AX1436" s="12"/>
      <c r="BL1436" s="12"/>
      <c r="BZ1436" s="12"/>
      <c r="CB1436" s="12"/>
      <c r="CP1436" s="12"/>
      <c r="DD1436" s="12"/>
      <c r="DR1436" s="12"/>
      <c r="EF1436" s="12"/>
    </row>
    <row r="1437" spans="8:136" ht="10.199999999999999" x14ac:dyDescent="0.2">
      <c r="H1437" s="12"/>
      <c r="V1437" s="12"/>
      <c r="AJ1437" s="12"/>
      <c r="AX1437" s="12"/>
      <c r="BL1437" s="12"/>
      <c r="BZ1437" s="12"/>
      <c r="CB1437" s="12"/>
      <c r="CP1437" s="12"/>
      <c r="DD1437" s="12"/>
      <c r="DR1437" s="12"/>
      <c r="EF1437" s="12"/>
    </row>
    <row r="1438" spans="8:136" ht="10.199999999999999" x14ac:dyDescent="0.2">
      <c r="H1438" s="12"/>
      <c r="V1438" s="12"/>
      <c r="AJ1438" s="12"/>
      <c r="AX1438" s="12"/>
      <c r="BL1438" s="12"/>
      <c r="BZ1438" s="12"/>
      <c r="CB1438" s="12"/>
      <c r="CP1438" s="12"/>
      <c r="DD1438" s="12"/>
      <c r="DR1438" s="12"/>
      <c r="EF1438" s="12"/>
    </row>
    <row r="1439" spans="8:136" ht="10.199999999999999" x14ac:dyDescent="0.2">
      <c r="H1439" s="12"/>
      <c r="V1439" s="12"/>
      <c r="AJ1439" s="12"/>
      <c r="AX1439" s="12"/>
      <c r="BL1439" s="12"/>
      <c r="BZ1439" s="12"/>
      <c r="CB1439" s="12"/>
      <c r="CP1439" s="12"/>
      <c r="DD1439" s="12"/>
      <c r="DR1439" s="12"/>
      <c r="EF1439" s="12"/>
    </row>
    <row r="1440" spans="8:136" ht="10.199999999999999" x14ac:dyDescent="0.2">
      <c r="H1440" s="12"/>
      <c r="V1440" s="12"/>
      <c r="AJ1440" s="12"/>
      <c r="AX1440" s="12"/>
      <c r="BL1440" s="12"/>
      <c r="BZ1440" s="12"/>
      <c r="CB1440" s="12"/>
      <c r="CP1440" s="12"/>
      <c r="DD1440" s="12"/>
      <c r="DR1440" s="12"/>
      <c r="EF1440" s="12"/>
    </row>
    <row r="1441" spans="8:136" ht="10.199999999999999" x14ac:dyDescent="0.2">
      <c r="H1441" s="12"/>
      <c r="V1441" s="12"/>
      <c r="AJ1441" s="12"/>
      <c r="AX1441" s="12"/>
      <c r="BL1441" s="12"/>
      <c r="BZ1441" s="12"/>
      <c r="CB1441" s="12"/>
      <c r="CP1441" s="12"/>
      <c r="DD1441" s="12"/>
      <c r="DR1441" s="12"/>
      <c r="EF1441" s="12"/>
    </row>
    <row r="1442" spans="8:136" ht="10.199999999999999" x14ac:dyDescent="0.2">
      <c r="H1442" s="12"/>
      <c r="V1442" s="12"/>
      <c r="AJ1442" s="12"/>
      <c r="AX1442" s="12"/>
      <c r="BL1442" s="12"/>
      <c r="BZ1442" s="12"/>
      <c r="CB1442" s="12"/>
      <c r="CP1442" s="12"/>
      <c r="DD1442" s="12"/>
      <c r="DR1442" s="12"/>
      <c r="EF1442" s="12"/>
    </row>
    <row r="1443" spans="8:136" ht="10.199999999999999" x14ac:dyDescent="0.2">
      <c r="H1443" s="12"/>
      <c r="V1443" s="12"/>
      <c r="AJ1443" s="12"/>
      <c r="AX1443" s="12"/>
      <c r="BL1443" s="12"/>
      <c r="BZ1443" s="12"/>
      <c r="CB1443" s="12"/>
      <c r="CP1443" s="12"/>
      <c r="DD1443" s="12"/>
      <c r="DR1443" s="12"/>
      <c r="EF1443" s="12"/>
    </row>
    <row r="1444" spans="8:136" ht="10.199999999999999" x14ac:dyDescent="0.2">
      <c r="H1444" s="12"/>
      <c r="V1444" s="12"/>
      <c r="AJ1444" s="12"/>
      <c r="AX1444" s="12"/>
      <c r="BL1444" s="12"/>
      <c r="BZ1444" s="12"/>
      <c r="CB1444" s="12"/>
      <c r="CP1444" s="12"/>
      <c r="DD1444" s="12"/>
      <c r="DR1444" s="12"/>
      <c r="EF1444" s="12"/>
    </row>
    <row r="1445" spans="8:136" ht="10.199999999999999" x14ac:dyDescent="0.2">
      <c r="H1445" s="12"/>
      <c r="V1445" s="12"/>
      <c r="AJ1445" s="12"/>
      <c r="AX1445" s="12"/>
      <c r="BL1445" s="12"/>
      <c r="BZ1445" s="12"/>
      <c r="CB1445" s="12"/>
      <c r="CP1445" s="12"/>
      <c r="DD1445" s="12"/>
      <c r="DR1445" s="12"/>
      <c r="EF1445" s="12"/>
    </row>
    <row r="1446" spans="8:136" ht="10.199999999999999" x14ac:dyDescent="0.2">
      <c r="H1446" s="12"/>
      <c r="V1446" s="12"/>
      <c r="AJ1446" s="12"/>
      <c r="AX1446" s="12"/>
      <c r="BL1446" s="12"/>
      <c r="BZ1446" s="12"/>
      <c r="CB1446" s="12"/>
      <c r="CP1446" s="12"/>
      <c r="DD1446" s="12"/>
      <c r="DR1446" s="12"/>
      <c r="EF1446" s="12"/>
    </row>
    <row r="1447" spans="8:136" ht="10.199999999999999" x14ac:dyDescent="0.2">
      <c r="H1447" s="12"/>
      <c r="V1447" s="12"/>
      <c r="AJ1447" s="12"/>
      <c r="AX1447" s="12"/>
      <c r="BL1447" s="12"/>
      <c r="BZ1447" s="12"/>
      <c r="CB1447" s="12"/>
      <c r="CP1447" s="12"/>
      <c r="DD1447" s="12"/>
      <c r="DR1447" s="12"/>
      <c r="EF1447" s="12"/>
    </row>
    <row r="1448" spans="8:136" ht="10.199999999999999" x14ac:dyDescent="0.2">
      <c r="H1448" s="12"/>
      <c r="V1448" s="12"/>
      <c r="AJ1448" s="12"/>
      <c r="AX1448" s="12"/>
      <c r="BL1448" s="12"/>
      <c r="BZ1448" s="12"/>
      <c r="CB1448" s="12"/>
      <c r="CP1448" s="12"/>
      <c r="DD1448" s="12"/>
      <c r="DR1448" s="12"/>
      <c r="EF1448" s="12"/>
    </row>
    <row r="1449" spans="8:136" ht="10.199999999999999" x14ac:dyDescent="0.2">
      <c r="H1449" s="12"/>
      <c r="V1449" s="12"/>
      <c r="AJ1449" s="12"/>
      <c r="AX1449" s="12"/>
      <c r="BL1449" s="12"/>
      <c r="BZ1449" s="12"/>
      <c r="CB1449" s="12"/>
      <c r="CP1449" s="12"/>
      <c r="DD1449" s="12"/>
      <c r="DR1449" s="12"/>
      <c r="EF1449" s="12"/>
    </row>
    <row r="1450" spans="8:136" ht="10.199999999999999" x14ac:dyDescent="0.2">
      <c r="H1450" s="12"/>
      <c r="V1450" s="12"/>
      <c r="AJ1450" s="12"/>
      <c r="AX1450" s="12"/>
      <c r="BL1450" s="12"/>
      <c r="BZ1450" s="12"/>
      <c r="CB1450" s="12"/>
      <c r="CP1450" s="12"/>
      <c r="DD1450" s="12"/>
      <c r="DR1450" s="12"/>
      <c r="EF1450" s="12"/>
    </row>
    <row r="1451" spans="8:136" ht="10.199999999999999" x14ac:dyDescent="0.2">
      <c r="H1451" s="12"/>
      <c r="V1451" s="12"/>
      <c r="AJ1451" s="12"/>
      <c r="AX1451" s="12"/>
      <c r="BL1451" s="12"/>
      <c r="BZ1451" s="12"/>
      <c r="CB1451" s="12"/>
      <c r="CP1451" s="12"/>
      <c r="DD1451" s="12"/>
      <c r="DR1451" s="12"/>
      <c r="EF1451" s="12"/>
    </row>
    <row r="1452" spans="8:136" ht="10.199999999999999" x14ac:dyDescent="0.2">
      <c r="H1452" s="12"/>
      <c r="V1452" s="12"/>
      <c r="AJ1452" s="12"/>
      <c r="AX1452" s="12"/>
      <c r="BL1452" s="12"/>
      <c r="BZ1452" s="12"/>
      <c r="CB1452" s="12"/>
      <c r="CP1452" s="12"/>
      <c r="DD1452" s="12"/>
      <c r="DR1452" s="12"/>
      <c r="EF1452" s="12"/>
    </row>
    <row r="1453" spans="8:136" ht="10.199999999999999" x14ac:dyDescent="0.2">
      <c r="H1453" s="12"/>
      <c r="V1453" s="12"/>
      <c r="AJ1453" s="12"/>
      <c r="AX1453" s="12"/>
      <c r="BL1453" s="12"/>
      <c r="BZ1453" s="12"/>
      <c r="CB1453" s="12"/>
      <c r="CP1453" s="12"/>
      <c r="DD1453" s="12"/>
      <c r="DR1453" s="12"/>
      <c r="EF1453" s="12"/>
    </row>
    <row r="1454" spans="8:136" ht="10.199999999999999" x14ac:dyDescent="0.2">
      <c r="H1454" s="12"/>
      <c r="V1454" s="12"/>
      <c r="AJ1454" s="12"/>
      <c r="AX1454" s="12"/>
      <c r="BL1454" s="12"/>
      <c r="BZ1454" s="12"/>
      <c r="CB1454" s="12"/>
      <c r="CP1454" s="12"/>
      <c r="DD1454" s="12"/>
      <c r="DR1454" s="12"/>
      <c r="EF1454" s="12"/>
    </row>
    <row r="1455" spans="8:136" ht="10.199999999999999" x14ac:dyDescent="0.2">
      <c r="H1455" s="12"/>
      <c r="V1455" s="12"/>
      <c r="AJ1455" s="12"/>
      <c r="AX1455" s="12"/>
      <c r="BL1455" s="12"/>
      <c r="BZ1455" s="12"/>
      <c r="CB1455" s="12"/>
      <c r="CP1455" s="12"/>
      <c r="DD1455" s="12"/>
      <c r="DR1455" s="12"/>
      <c r="EF1455" s="12"/>
    </row>
    <row r="1456" spans="8:136" ht="10.199999999999999" x14ac:dyDescent="0.2">
      <c r="H1456" s="12"/>
      <c r="V1456" s="12"/>
      <c r="AJ1456" s="12"/>
      <c r="AX1456" s="12"/>
      <c r="BL1456" s="12"/>
      <c r="BZ1456" s="12"/>
      <c r="CB1456" s="12"/>
      <c r="CP1456" s="12"/>
      <c r="DD1456" s="12"/>
      <c r="DR1456" s="12"/>
      <c r="EF1456" s="12"/>
    </row>
    <row r="1457" spans="8:136" ht="10.199999999999999" x14ac:dyDescent="0.2">
      <c r="H1457" s="12"/>
      <c r="V1457" s="12"/>
      <c r="AJ1457" s="12"/>
      <c r="AX1457" s="12"/>
      <c r="BL1457" s="12"/>
      <c r="BZ1457" s="12"/>
      <c r="CB1457" s="12"/>
      <c r="CP1457" s="12"/>
      <c r="DD1457" s="12"/>
      <c r="DR1457" s="12"/>
      <c r="EF1457" s="12"/>
    </row>
    <row r="1458" spans="8:136" ht="10.199999999999999" x14ac:dyDescent="0.2">
      <c r="H1458" s="12"/>
      <c r="V1458" s="12"/>
      <c r="AJ1458" s="12"/>
      <c r="AX1458" s="12"/>
      <c r="BL1458" s="12"/>
      <c r="BZ1458" s="12"/>
      <c r="CB1458" s="12"/>
      <c r="CP1458" s="12"/>
      <c r="DD1458" s="12"/>
      <c r="DR1458" s="12"/>
      <c r="EF1458" s="12"/>
    </row>
    <row r="1459" spans="8:136" ht="10.199999999999999" x14ac:dyDescent="0.2">
      <c r="H1459" s="12"/>
      <c r="V1459" s="12"/>
      <c r="AJ1459" s="12"/>
      <c r="AX1459" s="12"/>
      <c r="BL1459" s="12"/>
      <c r="BZ1459" s="12"/>
      <c r="CB1459" s="12"/>
      <c r="CP1459" s="12"/>
      <c r="DD1459" s="12"/>
      <c r="DR1459" s="12"/>
      <c r="EF1459" s="12"/>
    </row>
    <row r="1460" spans="8:136" ht="10.199999999999999" x14ac:dyDescent="0.2">
      <c r="H1460" s="12"/>
      <c r="V1460" s="12"/>
      <c r="AJ1460" s="12"/>
      <c r="AX1460" s="12"/>
      <c r="BL1460" s="12"/>
      <c r="BZ1460" s="12"/>
      <c r="CB1460" s="12"/>
      <c r="CP1460" s="12"/>
      <c r="DD1460" s="12"/>
      <c r="DR1460" s="12"/>
      <c r="EF1460" s="12"/>
    </row>
    <row r="1461" spans="8:136" ht="10.199999999999999" x14ac:dyDescent="0.2">
      <c r="H1461" s="12"/>
      <c r="V1461" s="12"/>
      <c r="AJ1461" s="12"/>
      <c r="AX1461" s="12"/>
      <c r="BL1461" s="12"/>
      <c r="BZ1461" s="12"/>
      <c r="CB1461" s="12"/>
      <c r="CP1461" s="12"/>
      <c r="DD1461" s="12"/>
      <c r="DR1461" s="12"/>
      <c r="EF1461" s="12"/>
    </row>
    <row r="1462" spans="8:136" ht="10.199999999999999" x14ac:dyDescent="0.2">
      <c r="H1462" s="12"/>
      <c r="V1462" s="12"/>
      <c r="AJ1462" s="12"/>
      <c r="AX1462" s="12"/>
      <c r="BL1462" s="12"/>
      <c r="BZ1462" s="12"/>
      <c r="CB1462" s="12"/>
      <c r="CP1462" s="12"/>
      <c r="DD1462" s="12"/>
      <c r="DR1462" s="12"/>
      <c r="EF1462" s="12"/>
    </row>
    <row r="1463" spans="8:136" ht="10.199999999999999" x14ac:dyDescent="0.2">
      <c r="H1463" s="12"/>
      <c r="V1463" s="12"/>
      <c r="AJ1463" s="12"/>
      <c r="AX1463" s="12"/>
      <c r="BL1463" s="12"/>
      <c r="BZ1463" s="12"/>
      <c r="CB1463" s="12"/>
      <c r="CP1463" s="12"/>
      <c r="DD1463" s="12"/>
      <c r="DR1463" s="12"/>
      <c r="EF1463" s="12"/>
    </row>
    <row r="1464" spans="8:136" ht="10.199999999999999" x14ac:dyDescent="0.2">
      <c r="H1464" s="12"/>
      <c r="V1464" s="12"/>
      <c r="AJ1464" s="12"/>
      <c r="AX1464" s="12"/>
      <c r="BL1464" s="12"/>
      <c r="BZ1464" s="12"/>
      <c r="CB1464" s="12"/>
      <c r="CP1464" s="12"/>
      <c r="DD1464" s="12"/>
      <c r="DR1464" s="12"/>
      <c r="EF1464" s="12"/>
    </row>
    <row r="1465" spans="8:136" ht="10.199999999999999" x14ac:dyDescent="0.2">
      <c r="H1465" s="12"/>
      <c r="V1465" s="12"/>
      <c r="AJ1465" s="12"/>
      <c r="AX1465" s="12"/>
      <c r="BL1465" s="12"/>
      <c r="BZ1465" s="12"/>
      <c r="CB1465" s="12"/>
      <c r="CP1465" s="12"/>
      <c r="DD1465" s="12"/>
      <c r="DR1465" s="12"/>
      <c r="EF1465" s="12"/>
    </row>
    <row r="1466" spans="8:136" ht="10.199999999999999" x14ac:dyDescent="0.2">
      <c r="H1466" s="12"/>
      <c r="V1466" s="12"/>
      <c r="AJ1466" s="12"/>
      <c r="AX1466" s="12"/>
      <c r="BL1466" s="12"/>
      <c r="BZ1466" s="12"/>
      <c r="CB1466" s="12"/>
      <c r="CP1466" s="12"/>
      <c r="DD1466" s="12"/>
      <c r="DR1466" s="12"/>
      <c r="EF1466" s="12"/>
    </row>
    <row r="1467" spans="8:136" ht="10.199999999999999" x14ac:dyDescent="0.2">
      <c r="H1467" s="12"/>
      <c r="V1467" s="12"/>
      <c r="AJ1467" s="12"/>
      <c r="AX1467" s="12"/>
      <c r="BL1467" s="12"/>
      <c r="BZ1467" s="12"/>
      <c r="CB1467" s="12"/>
      <c r="CP1467" s="12"/>
      <c r="DD1467" s="12"/>
      <c r="DR1467" s="12"/>
      <c r="EF1467" s="12"/>
    </row>
    <row r="1468" spans="8:136" ht="10.199999999999999" x14ac:dyDescent="0.2">
      <c r="H1468" s="12"/>
      <c r="V1468" s="12"/>
      <c r="AJ1468" s="12"/>
      <c r="AX1468" s="12"/>
      <c r="BL1468" s="12"/>
      <c r="BZ1468" s="12"/>
      <c r="CB1468" s="12"/>
      <c r="CP1468" s="12"/>
      <c r="DD1468" s="12"/>
      <c r="DR1468" s="12"/>
      <c r="EF1468" s="12"/>
    </row>
    <row r="1469" spans="8:136" ht="10.199999999999999" x14ac:dyDescent="0.2">
      <c r="H1469" s="12"/>
      <c r="V1469" s="12"/>
      <c r="AJ1469" s="12"/>
      <c r="AX1469" s="12"/>
      <c r="BL1469" s="12"/>
      <c r="BZ1469" s="12"/>
      <c r="CB1469" s="12"/>
      <c r="CP1469" s="12"/>
      <c r="DD1469" s="12"/>
      <c r="DR1469" s="12"/>
      <c r="EF1469" s="12"/>
    </row>
    <row r="1470" spans="8:136" ht="10.199999999999999" x14ac:dyDescent="0.2">
      <c r="H1470" s="12"/>
      <c r="V1470" s="12"/>
      <c r="AJ1470" s="12"/>
      <c r="AX1470" s="12"/>
      <c r="BL1470" s="12"/>
      <c r="BZ1470" s="12"/>
      <c r="CB1470" s="12"/>
      <c r="CP1470" s="12"/>
      <c r="DD1470" s="12"/>
      <c r="DR1470" s="12"/>
      <c r="EF1470" s="12"/>
    </row>
    <row r="1471" spans="8:136" ht="10.199999999999999" x14ac:dyDescent="0.2">
      <c r="H1471" s="12"/>
      <c r="V1471" s="12"/>
      <c r="AJ1471" s="12"/>
      <c r="AX1471" s="12"/>
      <c r="BL1471" s="12"/>
      <c r="BZ1471" s="12"/>
      <c r="CB1471" s="12"/>
      <c r="CP1471" s="12"/>
      <c r="DD1471" s="12"/>
      <c r="DR1471" s="12"/>
      <c r="EF1471" s="12"/>
    </row>
    <row r="1472" spans="8:136" ht="10.199999999999999" x14ac:dyDescent="0.2">
      <c r="H1472" s="12"/>
      <c r="V1472" s="12"/>
      <c r="AJ1472" s="12"/>
      <c r="AX1472" s="12"/>
      <c r="BL1472" s="12"/>
      <c r="BZ1472" s="12"/>
      <c r="CB1472" s="12"/>
      <c r="CP1472" s="12"/>
      <c r="DD1472" s="12"/>
      <c r="DR1472" s="12"/>
      <c r="EF1472" s="12"/>
    </row>
    <row r="1473" spans="8:136" ht="10.199999999999999" x14ac:dyDescent="0.2">
      <c r="H1473" s="12"/>
      <c r="V1473" s="12"/>
      <c r="AJ1473" s="12"/>
      <c r="AX1473" s="12"/>
      <c r="BL1473" s="12"/>
      <c r="BZ1473" s="12"/>
      <c r="CB1473" s="12"/>
      <c r="CP1473" s="12"/>
      <c r="DD1473" s="12"/>
      <c r="DR1473" s="12"/>
      <c r="EF1473" s="12"/>
    </row>
    <row r="1474" spans="8:136" ht="10.199999999999999" x14ac:dyDescent="0.2">
      <c r="H1474" s="12"/>
      <c r="V1474" s="12"/>
      <c r="AJ1474" s="12"/>
      <c r="AX1474" s="12"/>
      <c r="BL1474" s="12"/>
      <c r="BZ1474" s="12"/>
      <c r="CB1474" s="12"/>
      <c r="CP1474" s="12"/>
      <c r="DD1474" s="12"/>
      <c r="DR1474" s="12"/>
      <c r="EF1474" s="12"/>
    </row>
    <row r="1475" spans="8:136" ht="10.199999999999999" x14ac:dyDescent="0.2">
      <c r="H1475" s="12"/>
      <c r="V1475" s="12"/>
      <c r="AJ1475" s="12"/>
      <c r="AX1475" s="12"/>
      <c r="BL1475" s="12"/>
      <c r="BZ1475" s="12"/>
      <c r="CB1475" s="12"/>
      <c r="CP1475" s="12"/>
      <c r="DD1475" s="12"/>
      <c r="DR1475" s="12"/>
      <c r="EF1475" s="12"/>
    </row>
    <row r="1476" spans="8:136" ht="10.199999999999999" x14ac:dyDescent="0.2">
      <c r="H1476" s="12"/>
      <c r="V1476" s="12"/>
      <c r="AJ1476" s="12"/>
      <c r="AX1476" s="12"/>
      <c r="BL1476" s="12"/>
      <c r="BZ1476" s="12"/>
      <c r="CB1476" s="12"/>
      <c r="CP1476" s="12"/>
      <c r="DD1476" s="12"/>
      <c r="DR1476" s="12"/>
      <c r="EF1476" s="12"/>
    </row>
    <row r="1477" spans="8:136" ht="10.199999999999999" x14ac:dyDescent="0.2">
      <c r="H1477" s="12"/>
      <c r="V1477" s="12"/>
      <c r="AJ1477" s="12"/>
      <c r="AX1477" s="12"/>
      <c r="BL1477" s="12"/>
      <c r="BZ1477" s="12"/>
      <c r="CB1477" s="12"/>
      <c r="CP1477" s="12"/>
      <c r="DD1477" s="12"/>
      <c r="DR1477" s="12"/>
      <c r="EF1477" s="12"/>
    </row>
    <row r="1478" spans="8:136" ht="10.199999999999999" x14ac:dyDescent="0.2">
      <c r="H1478" s="12"/>
      <c r="V1478" s="12"/>
      <c r="AJ1478" s="12"/>
      <c r="AX1478" s="12"/>
      <c r="BL1478" s="12"/>
      <c r="BZ1478" s="12"/>
      <c r="CB1478" s="12"/>
      <c r="CP1478" s="12"/>
      <c r="DD1478" s="12"/>
      <c r="DR1478" s="12"/>
      <c r="EF1478" s="12"/>
    </row>
    <row r="1479" spans="8:136" ht="10.199999999999999" x14ac:dyDescent="0.2">
      <c r="H1479" s="12"/>
      <c r="V1479" s="12"/>
      <c r="AJ1479" s="12"/>
      <c r="AX1479" s="12"/>
      <c r="BL1479" s="12"/>
      <c r="BZ1479" s="12"/>
      <c r="CB1479" s="12"/>
      <c r="CP1479" s="12"/>
      <c r="DD1479" s="12"/>
      <c r="DR1479" s="12"/>
      <c r="EF1479" s="12"/>
    </row>
    <row r="1480" spans="8:136" ht="10.199999999999999" x14ac:dyDescent="0.2">
      <c r="H1480" s="12"/>
      <c r="V1480" s="12"/>
      <c r="AJ1480" s="12"/>
      <c r="AX1480" s="12"/>
      <c r="BL1480" s="12"/>
      <c r="BZ1480" s="12"/>
      <c r="CB1480" s="12"/>
      <c r="CP1480" s="12"/>
      <c r="DD1480" s="12"/>
      <c r="DR1480" s="12"/>
      <c r="EF1480" s="12"/>
    </row>
    <row r="1481" spans="8:136" ht="10.199999999999999" x14ac:dyDescent="0.2">
      <c r="H1481" s="12"/>
      <c r="V1481" s="12"/>
      <c r="AJ1481" s="12"/>
      <c r="AX1481" s="12"/>
      <c r="BL1481" s="12"/>
      <c r="BZ1481" s="12"/>
      <c r="CB1481" s="12"/>
      <c r="CP1481" s="12"/>
      <c r="DD1481" s="12"/>
      <c r="DR1481" s="12"/>
      <c r="EF1481" s="12"/>
    </row>
    <row r="1482" spans="8:136" ht="10.199999999999999" x14ac:dyDescent="0.2">
      <c r="H1482" s="12"/>
      <c r="V1482" s="12"/>
      <c r="AJ1482" s="12"/>
      <c r="AX1482" s="12"/>
      <c r="BL1482" s="12"/>
      <c r="BZ1482" s="12"/>
      <c r="CB1482" s="12"/>
      <c r="CP1482" s="12"/>
      <c r="DD1482" s="12"/>
      <c r="DR1482" s="12"/>
      <c r="EF1482" s="12"/>
    </row>
    <row r="1483" spans="8:136" ht="10.199999999999999" x14ac:dyDescent="0.2">
      <c r="H1483" s="12"/>
      <c r="V1483" s="12"/>
      <c r="AJ1483" s="12"/>
      <c r="AX1483" s="12"/>
      <c r="BL1483" s="12"/>
      <c r="BZ1483" s="12"/>
      <c r="CB1483" s="12"/>
      <c r="CP1483" s="12"/>
      <c r="DD1483" s="12"/>
      <c r="DR1483" s="12"/>
      <c r="EF1483" s="12"/>
    </row>
    <row r="1484" spans="8:136" ht="10.199999999999999" x14ac:dyDescent="0.2">
      <c r="H1484" s="12"/>
      <c r="V1484" s="12"/>
      <c r="AJ1484" s="12"/>
      <c r="AX1484" s="12"/>
      <c r="BL1484" s="12"/>
      <c r="BZ1484" s="12"/>
      <c r="CB1484" s="12"/>
      <c r="CP1484" s="12"/>
      <c r="DD1484" s="12"/>
      <c r="DR1484" s="12"/>
      <c r="EF1484" s="12"/>
    </row>
    <row r="1485" spans="8:136" ht="10.199999999999999" x14ac:dyDescent="0.2">
      <c r="H1485" s="12"/>
      <c r="V1485" s="12"/>
      <c r="AJ1485" s="12"/>
      <c r="AX1485" s="12"/>
      <c r="BL1485" s="12"/>
      <c r="BZ1485" s="12"/>
      <c r="CB1485" s="12"/>
      <c r="CP1485" s="12"/>
      <c r="DD1485" s="12"/>
      <c r="DR1485" s="12"/>
      <c r="EF1485" s="12"/>
    </row>
    <row r="1486" spans="8:136" ht="10.199999999999999" x14ac:dyDescent="0.2">
      <c r="H1486" s="12"/>
      <c r="V1486" s="12"/>
      <c r="AJ1486" s="12"/>
      <c r="AX1486" s="12"/>
      <c r="BL1486" s="12"/>
      <c r="BZ1486" s="12"/>
      <c r="CB1486" s="12"/>
      <c r="CP1486" s="12"/>
      <c r="DD1486" s="12"/>
      <c r="DR1486" s="12"/>
      <c r="EF1486" s="12"/>
    </row>
    <row r="1487" spans="8:136" ht="10.199999999999999" x14ac:dyDescent="0.2">
      <c r="H1487" s="12"/>
      <c r="V1487" s="12"/>
      <c r="AJ1487" s="12"/>
      <c r="AX1487" s="12"/>
      <c r="BL1487" s="12"/>
      <c r="BZ1487" s="12"/>
      <c r="CB1487" s="12"/>
      <c r="CP1487" s="12"/>
      <c r="DD1487" s="12"/>
      <c r="DR1487" s="12"/>
      <c r="EF1487" s="12"/>
    </row>
    <row r="1488" spans="8:136" ht="10.199999999999999" x14ac:dyDescent="0.2">
      <c r="H1488" s="12"/>
      <c r="V1488" s="12"/>
      <c r="AJ1488" s="12"/>
      <c r="AX1488" s="12"/>
      <c r="BL1488" s="12"/>
      <c r="BZ1488" s="12"/>
      <c r="CB1488" s="12"/>
      <c r="CP1488" s="12"/>
      <c r="DD1488" s="12"/>
      <c r="DR1488" s="12"/>
      <c r="EF1488" s="12"/>
    </row>
    <row r="1489" spans="8:136" ht="10.199999999999999" x14ac:dyDescent="0.2">
      <c r="H1489" s="12"/>
      <c r="V1489" s="12"/>
      <c r="AJ1489" s="12"/>
      <c r="AX1489" s="12"/>
      <c r="BL1489" s="12"/>
      <c r="BZ1489" s="12"/>
      <c r="CB1489" s="12"/>
      <c r="CP1489" s="12"/>
      <c r="DD1489" s="12"/>
      <c r="DR1489" s="12"/>
      <c r="EF1489" s="12"/>
    </row>
    <row r="1490" spans="8:136" ht="10.199999999999999" x14ac:dyDescent="0.2">
      <c r="H1490" s="12"/>
      <c r="V1490" s="12"/>
      <c r="AJ1490" s="12"/>
      <c r="AX1490" s="12"/>
      <c r="BL1490" s="12"/>
      <c r="BZ1490" s="12"/>
      <c r="CB1490" s="12"/>
      <c r="CP1490" s="12"/>
      <c r="DD1490" s="12"/>
      <c r="DR1490" s="12"/>
      <c r="EF1490" s="12"/>
    </row>
    <row r="1491" spans="8:136" ht="10.199999999999999" x14ac:dyDescent="0.2">
      <c r="H1491" s="12"/>
      <c r="V1491" s="12"/>
      <c r="AJ1491" s="12"/>
      <c r="AX1491" s="12"/>
      <c r="BL1491" s="12"/>
      <c r="BZ1491" s="12"/>
      <c r="CB1491" s="12"/>
      <c r="CP1491" s="12"/>
      <c r="DD1491" s="12"/>
      <c r="DR1491" s="12"/>
      <c r="EF1491" s="12"/>
    </row>
    <row r="1492" spans="8:136" ht="10.199999999999999" x14ac:dyDescent="0.2">
      <c r="H1492" s="12"/>
      <c r="V1492" s="12"/>
      <c r="AJ1492" s="12"/>
      <c r="AX1492" s="12"/>
      <c r="BL1492" s="12"/>
      <c r="BZ1492" s="12"/>
      <c r="CB1492" s="12"/>
      <c r="CP1492" s="12"/>
      <c r="DD1492" s="12"/>
      <c r="DR1492" s="12"/>
      <c r="EF1492" s="12"/>
    </row>
    <row r="1493" spans="8:136" ht="10.199999999999999" x14ac:dyDescent="0.2">
      <c r="H1493" s="12"/>
      <c r="V1493" s="12"/>
      <c r="AJ1493" s="12"/>
      <c r="AX1493" s="12"/>
      <c r="BL1493" s="12"/>
      <c r="BZ1493" s="12"/>
      <c r="CB1493" s="12"/>
      <c r="CP1493" s="12"/>
      <c r="DD1493" s="12"/>
      <c r="DR1493" s="12"/>
      <c r="EF1493" s="12"/>
    </row>
    <row r="1494" spans="8:136" ht="10.199999999999999" x14ac:dyDescent="0.2">
      <c r="H1494" s="12"/>
      <c r="V1494" s="12"/>
      <c r="AJ1494" s="12"/>
      <c r="AX1494" s="12"/>
      <c r="BL1494" s="12"/>
      <c r="BZ1494" s="12"/>
      <c r="CB1494" s="12"/>
      <c r="CP1494" s="12"/>
      <c r="DD1494" s="12"/>
      <c r="DR1494" s="12"/>
      <c r="EF1494" s="12"/>
    </row>
    <row r="1495" spans="8:136" ht="10.199999999999999" x14ac:dyDescent="0.2">
      <c r="H1495" s="12"/>
      <c r="V1495" s="12"/>
      <c r="AJ1495" s="12"/>
      <c r="AX1495" s="12"/>
      <c r="BL1495" s="12"/>
      <c r="BZ1495" s="12"/>
      <c r="CB1495" s="12"/>
      <c r="CP1495" s="12"/>
      <c r="DD1495" s="12"/>
      <c r="DR1495" s="12"/>
      <c r="EF1495" s="12"/>
    </row>
    <row r="1496" spans="8:136" ht="10.199999999999999" x14ac:dyDescent="0.2">
      <c r="H1496" s="12"/>
      <c r="V1496" s="12"/>
      <c r="AJ1496" s="12"/>
      <c r="AX1496" s="12"/>
      <c r="BL1496" s="12"/>
      <c r="BZ1496" s="12"/>
      <c r="CB1496" s="12"/>
      <c r="CP1496" s="12"/>
      <c r="DD1496" s="12"/>
      <c r="DR1496" s="12"/>
      <c r="EF1496" s="12"/>
    </row>
    <row r="1497" spans="8:136" ht="10.199999999999999" x14ac:dyDescent="0.2">
      <c r="H1497" s="12"/>
      <c r="V1497" s="12"/>
      <c r="AJ1497" s="12"/>
      <c r="AX1497" s="12"/>
      <c r="BL1497" s="12"/>
      <c r="BZ1497" s="12"/>
      <c r="CB1497" s="12"/>
      <c r="CP1497" s="12"/>
      <c r="DD1497" s="12"/>
      <c r="DR1497" s="12"/>
      <c r="EF1497" s="12"/>
    </row>
    <row r="1498" spans="8:136" ht="10.199999999999999" x14ac:dyDescent="0.2">
      <c r="H1498" s="12"/>
      <c r="V1498" s="12"/>
      <c r="AJ1498" s="12"/>
      <c r="AX1498" s="12"/>
      <c r="BL1498" s="12"/>
      <c r="BZ1498" s="12"/>
      <c r="CB1498" s="12"/>
      <c r="CP1498" s="12"/>
      <c r="DD1498" s="12"/>
      <c r="DR1498" s="12"/>
      <c r="EF1498" s="12"/>
    </row>
    <row r="1499" spans="8:136" ht="10.199999999999999" x14ac:dyDescent="0.2">
      <c r="H1499" s="12"/>
      <c r="V1499" s="12"/>
      <c r="AJ1499" s="12"/>
      <c r="AX1499" s="12"/>
      <c r="BL1499" s="12"/>
      <c r="BZ1499" s="12"/>
      <c r="CB1499" s="12"/>
      <c r="CP1499" s="12"/>
      <c r="DD1499" s="12"/>
      <c r="DR1499" s="12"/>
      <c r="EF1499" s="12"/>
    </row>
    <row r="1500" spans="8:136" ht="10.199999999999999" x14ac:dyDescent="0.2">
      <c r="H1500" s="12"/>
      <c r="V1500" s="12"/>
      <c r="AJ1500" s="12"/>
      <c r="AX1500" s="12"/>
      <c r="BL1500" s="12"/>
      <c r="BZ1500" s="12"/>
      <c r="CB1500" s="12"/>
      <c r="CP1500" s="12"/>
      <c r="DD1500" s="12"/>
      <c r="DR1500" s="12"/>
      <c r="EF1500" s="12"/>
    </row>
    <row r="1501" spans="8:136" ht="10.199999999999999" x14ac:dyDescent="0.2">
      <c r="H1501" s="12"/>
      <c r="V1501" s="12"/>
      <c r="AJ1501" s="12"/>
      <c r="AX1501" s="12"/>
      <c r="BL1501" s="12"/>
      <c r="BZ1501" s="12"/>
      <c r="CB1501" s="12"/>
      <c r="CP1501" s="12"/>
      <c r="DD1501" s="12"/>
      <c r="DR1501" s="12"/>
      <c r="EF1501" s="12"/>
    </row>
    <row r="1502" spans="8:136" ht="10.199999999999999" x14ac:dyDescent="0.2">
      <c r="H1502" s="12"/>
      <c r="V1502" s="12"/>
      <c r="AJ1502" s="12"/>
      <c r="AX1502" s="12"/>
      <c r="BL1502" s="12"/>
      <c r="BZ1502" s="12"/>
      <c r="CB1502" s="12"/>
      <c r="CP1502" s="12"/>
      <c r="DD1502" s="12"/>
      <c r="DR1502" s="12"/>
      <c r="EF1502" s="12"/>
    </row>
    <row r="1503" spans="8:136" ht="10.199999999999999" x14ac:dyDescent="0.2">
      <c r="H1503" s="12"/>
      <c r="V1503" s="12"/>
      <c r="AJ1503" s="12"/>
      <c r="AX1503" s="12"/>
      <c r="BL1503" s="12"/>
      <c r="BZ1503" s="12"/>
      <c r="CB1503" s="12"/>
      <c r="CP1503" s="12"/>
      <c r="DD1503" s="12"/>
      <c r="DR1503" s="12"/>
      <c r="EF1503" s="12"/>
    </row>
    <row r="1504" spans="8:136" ht="10.199999999999999" x14ac:dyDescent="0.2">
      <c r="H1504" s="12"/>
      <c r="V1504" s="12"/>
      <c r="AJ1504" s="12"/>
      <c r="AX1504" s="12"/>
      <c r="BL1504" s="12"/>
      <c r="BZ1504" s="12"/>
      <c r="CB1504" s="12"/>
      <c r="CP1504" s="12"/>
      <c r="DD1504" s="12"/>
      <c r="DR1504" s="12"/>
      <c r="EF1504" s="12"/>
    </row>
    <row r="1505" spans="8:136" ht="10.199999999999999" x14ac:dyDescent="0.2">
      <c r="H1505" s="12"/>
      <c r="V1505" s="12"/>
      <c r="AJ1505" s="12"/>
      <c r="AX1505" s="12"/>
      <c r="BL1505" s="12"/>
      <c r="BZ1505" s="12"/>
      <c r="CB1505" s="12"/>
      <c r="CP1505" s="12"/>
      <c r="DD1505" s="12"/>
      <c r="DR1505" s="12"/>
      <c r="EF1505" s="12"/>
    </row>
    <row r="1506" spans="8:136" ht="10.199999999999999" x14ac:dyDescent="0.2">
      <c r="H1506" s="12"/>
      <c r="V1506" s="12"/>
      <c r="AJ1506" s="12"/>
      <c r="AX1506" s="12"/>
      <c r="BL1506" s="12"/>
      <c r="BZ1506" s="12"/>
      <c r="CB1506" s="12"/>
      <c r="CP1506" s="12"/>
      <c r="DD1506" s="12"/>
      <c r="DR1506" s="12"/>
      <c r="EF1506" s="12"/>
    </row>
    <row r="1507" spans="8:136" ht="10.199999999999999" x14ac:dyDescent="0.2">
      <c r="H1507" s="12"/>
      <c r="V1507" s="12"/>
      <c r="AJ1507" s="12"/>
      <c r="AX1507" s="12"/>
      <c r="BL1507" s="12"/>
      <c r="BZ1507" s="12"/>
      <c r="CB1507" s="12"/>
      <c r="CP1507" s="12"/>
      <c r="DD1507" s="12"/>
      <c r="DR1507" s="12"/>
      <c r="EF1507" s="12"/>
    </row>
    <row r="1508" spans="8:136" ht="10.199999999999999" x14ac:dyDescent="0.2">
      <c r="H1508" s="12"/>
      <c r="V1508" s="12"/>
      <c r="AJ1508" s="12"/>
      <c r="AX1508" s="12"/>
      <c r="BL1508" s="12"/>
      <c r="BZ1508" s="12"/>
      <c r="CB1508" s="12"/>
      <c r="CP1508" s="12"/>
      <c r="DD1508" s="12"/>
      <c r="DR1508" s="12"/>
      <c r="EF1508" s="12"/>
    </row>
    <row r="1509" spans="8:136" ht="10.199999999999999" x14ac:dyDescent="0.2">
      <c r="H1509" s="12"/>
      <c r="V1509" s="12"/>
      <c r="AJ1509" s="12"/>
      <c r="AX1509" s="12"/>
      <c r="BL1509" s="12"/>
      <c r="BZ1509" s="12"/>
      <c r="CB1509" s="12"/>
      <c r="CP1509" s="12"/>
      <c r="DD1509" s="12"/>
      <c r="DR1509" s="12"/>
      <c r="EF1509" s="12"/>
    </row>
    <row r="1510" spans="8:136" ht="10.199999999999999" x14ac:dyDescent="0.2">
      <c r="H1510" s="12"/>
      <c r="V1510" s="12"/>
      <c r="AJ1510" s="12"/>
      <c r="AX1510" s="12"/>
      <c r="BL1510" s="12"/>
      <c r="BZ1510" s="12"/>
      <c r="CB1510" s="12"/>
      <c r="CP1510" s="12"/>
      <c r="DD1510" s="12"/>
      <c r="DR1510" s="12"/>
      <c r="EF1510" s="12"/>
    </row>
    <row r="1511" spans="8:136" ht="10.199999999999999" x14ac:dyDescent="0.2">
      <c r="H1511" s="12"/>
      <c r="V1511" s="12"/>
      <c r="AJ1511" s="12"/>
      <c r="AX1511" s="12"/>
      <c r="BL1511" s="12"/>
      <c r="BZ1511" s="12"/>
      <c r="CB1511" s="12"/>
      <c r="CP1511" s="12"/>
      <c r="DD1511" s="12"/>
      <c r="DR1511" s="12"/>
      <c r="EF1511" s="12"/>
    </row>
    <row r="1512" spans="8:136" ht="10.199999999999999" x14ac:dyDescent="0.2">
      <c r="H1512" s="12"/>
      <c r="V1512" s="12"/>
      <c r="AJ1512" s="12"/>
      <c r="AX1512" s="12"/>
      <c r="BL1512" s="12"/>
      <c r="BZ1512" s="12"/>
      <c r="CB1512" s="12"/>
      <c r="CP1512" s="12"/>
      <c r="DD1512" s="12"/>
      <c r="DR1512" s="12"/>
      <c r="EF1512" s="12"/>
    </row>
    <row r="1513" spans="8:136" ht="10.199999999999999" x14ac:dyDescent="0.2">
      <c r="H1513" s="12"/>
      <c r="V1513" s="12"/>
      <c r="AJ1513" s="12"/>
      <c r="AX1513" s="12"/>
      <c r="BL1513" s="12"/>
      <c r="BZ1513" s="12"/>
      <c r="CB1513" s="12"/>
      <c r="CP1513" s="12"/>
      <c r="DD1513" s="12"/>
      <c r="DR1513" s="12"/>
      <c r="EF1513" s="12"/>
    </row>
    <row r="1514" spans="8:136" ht="10.199999999999999" x14ac:dyDescent="0.2">
      <c r="H1514" s="12"/>
      <c r="V1514" s="12"/>
      <c r="AJ1514" s="12"/>
      <c r="AX1514" s="12"/>
      <c r="BL1514" s="12"/>
      <c r="BZ1514" s="12"/>
      <c r="CB1514" s="12"/>
      <c r="CP1514" s="12"/>
      <c r="DD1514" s="12"/>
      <c r="DR1514" s="12"/>
      <c r="EF1514" s="12"/>
    </row>
    <row r="1515" spans="8:136" ht="10.199999999999999" x14ac:dyDescent="0.2">
      <c r="H1515" s="12"/>
      <c r="V1515" s="12"/>
      <c r="AJ1515" s="12"/>
      <c r="AX1515" s="12"/>
      <c r="BL1515" s="12"/>
      <c r="BZ1515" s="12"/>
      <c r="CB1515" s="12"/>
      <c r="CP1515" s="12"/>
      <c r="DD1515" s="12"/>
      <c r="DR1515" s="12"/>
      <c r="EF1515" s="12"/>
    </row>
    <row r="1516" spans="8:136" ht="10.199999999999999" x14ac:dyDescent="0.2">
      <c r="H1516" s="12"/>
      <c r="V1516" s="12"/>
      <c r="AJ1516" s="12"/>
      <c r="AX1516" s="12"/>
      <c r="BL1516" s="12"/>
      <c r="BZ1516" s="12"/>
      <c r="CB1516" s="12"/>
      <c r="CP1516" s="12"/>
      <c r="DD1516" s="12"/>
      <c r="DR1516" s="12"/>
      <c r="EF1516" s="12"/>
    </row>
    <row r="1517" spans="8:136" ht="10.199999999999999" x14ac:dyDescent="0.2">
      <c r="H1517" s="12"/>
      <c r="V1517" s="12"/>
      <c r="AJ1517" s="12"/>
      <c r="AX1517" s="12"/>
      <c r="BL1517" s="12"/>
      <c r="BZ1517" s="12"/>
      <c r="CB1517" s="12"/>
      <c r="CP1517" s="12"/>
      <c r="DD1517" s="12"/>
      <c r="DR1517" s="12"/>
      <c r="EF1517" s="12"/>
    </row>
    <row r="1518" spans="8:136" ht="10.199999999999999" x14ac:dyDescent="0.2">
      <c r="H1518" s="12"/>
      <c r="V1518" s="12"/>
      <c r="AJ1518" s="12"/>
      <c r="AX1518" s="12"/>
      <c r="BL1518" s="12"/>
      <c r="BZ1518" s="12"/>
      <c r="CB1518" s="12"/>
      <c r="CP1518" s="12"/>
      <c r="DD1518" s="12"/>
      <c r="DR1518" s="12"/>
      <c r="EF1518" s="12"/>
    </row>
    <row r="1519" spans="8:136" ht="10.199999999999999" x14ac:dyDescent="0.2">
      <c r="H1519" s="12"/>
      <c r="V1519" s="12"/>
      <c r="AJ1519" s="12"/>
      <c r="AX1519" s="12"/>
      <c r="BL1519" s="12"/>
      <c r="BZ1519" s="12"/>
      <c r="CB1519" s="12"/>
      <c r="CP1519" s="12"/>
      <c r="DD1519" s="12"/>
      <c r="DR1519" s="12"/>
      <c r="EF1519" s="12"/>
    </row>
    <row r="1520" spans="8:136" ht="10.199999999999999" x14ac:dyDescent="0.2">
      <c r="H1520" s="12"/>
      <c r="V1520" s="12"/>
      <c r="AJ1520" s="12"/>
      <c r="AX1520" s="12"/>
      <c r="BL1520" s="12"/>
      <c r="BZ1520" s="12"/>
      <c r="CB1520" s="12"/>
      <c r="CP1520" s="12"/>
      <c r="DD1520" s="12"/>
      <c r="DR1520" s="12"/>
      <c r="EF1520" s="12"/>
    </row>
    <row r="1521" spans="8:136" ht="10.199999999999999" x14ac:dyDescent="0.2">
      <c r="H1521" s="12"/>
      <c r="V1521" s="12"/>
      <c r="AJ1521" s="12"/>
      <c r="AX1521" s="12"/>
      <c r="BL1521" s="12"/>
      <c r="BZ1521" s="12"/>
      <c r="CB1521" s="12"/>
      <c r="CP1521" s="12"/>
      <c r="DD1521" s="12"/>
      <c r="DR1521" s="12"/>
      <c r="EF1521" s="12"/>
    </row>
    <row r="1522" spans="8:136" ht="10.199999999999999" x14ac:dyDescent="0.2">
      <c r="H1522" s="12"/>
      <c r="V1522" s="12"/>
      <c r="AJ1522" s="12"/>
      <c r="AX1522" s="12"/>
      <c r="BL1522" s="12"/>
      <c r="BZ1522" s="12"/>
      <c r="CB1522" s="12"/>
      <c r="CP1522" s="12"/>
      <c r="DD1522" s="12"/>
      <c r="DR1522" s="12"/>
      <c r="EF1522" s="12"/>
    </row>
    <row r="1523" spans="8:136" ht="10.199999999999999" x14ac:dyDescent="0.2">
      <c r="H1523" s="12"/>
      <c r="V1523" s="12"/>
      <c r="AJ1523" s="12"/>
      <c r="AX1523" s="12"/>
      <c r="BL1523" s="12"/>
      <c r="BZ1523" s="12"/>
      <c r="CB1523" s="12"/>
      <c r="CP1523" s="12"/>
      <c r="DD1523" s="12"/>
      <c r="DR1523" s="12"/>
      <c r="EF1523" s="12"/>
    </row>
    <row r="1524" spans="8:136" ht="10.199999999999999" x14ac:dyDescent="0.2">
      <c r="H1524" s="12"/>
      <c r="V1524" s="12"/>
      <c r="AJ1524" s="12"/>
      <c r="AX1524" s="12"/>
      <c r="BL1524" s="12"/>
      <c r="BZ1524" s="12"/>
      <c r="CB1524" s="12"/>
      <c r="CP1524" s="12"/>
      <c r="DD1524" s="12"/>
      <c r="DR1524" s="12"/>
      <c r="EF1524" s="12"/>
    </row>
    <row r="1525" spans="8:136" ht="10.199999999999999" x14ac:dyDescent="0.2">
      <c r="H1525" s="12"/>
      <c r="V1525" s="12"/>
      <c r="AJ1525" s="12"/>
      <c r="AX1525" s="12"/>
      <c r="BL1525" s="12"/>
      <c r="BZ1525" s="12"/>
      <c r="CB1525" s="12"/>
      <c r="CP1525" s="12"/>
      <c r="DD1525" s="12"/>
      <c r="DR1525" s="12"/>
      <c r="EF1525" s="12"/>
    </row>
    <row r="1526" spans="8:136" ht="10.199999999999999" x14ac:dyDescent="0.2">
      <c r="H1526" s="12"/>
      <c r="V1526" s="12"/>
      <c r="AJ1526" s="12"/>
      <c r="AX1526" s="12"/>
      <c r="BL1526" s="12"/>
      <c r="BZ1526" s="12"/>
      <c r="CB1526" s="12"/>
      <c r="CP1526" s="12"/>
      <c r="DD1526" s="12"/>
      <c r="DR1526" s="12"/>
      <c r="EF1526" s="12"/>
    </row>
    <row r="1527" spans="8:136" ht="10.199999999999999" x14ac:dyDescent="0.2">
      <c r="H1527" s="12"/>
      <c r="V1527" s="12"/>
      <c r="AJ1527" s="12"/>
      <c r="AX1527" s="12"/>
      <c r="BL1527" s="12"/>
      <c r="BZ1527" s="12"/>
      <c r="CB1527" s="12"/>
      <c r="CP1527" s="12"/>
      <c r="DD1527" s="12"/>
      <c r="DR1527" s="12"/>
      <c r="EF1527" s="12"/>
    </row>
    <row r="1528" spans="8:136" ht="10.199999999999999" x14ac:dyDescent="0.2">
      <c r="H1528" s="12"/>
      <c r="V1528" s="12"/>
      <c r="AJ1528" s="12"/>
      <c r="AX1528" s="12"/>
      <c r="BL1528" s="12"/>
      <c r="BZ1528" s="12"/>
      <c r="CB1528" s="12"/>
      <c r="CP1528" s="12"/>
      <c r="DD1528" s="12"/>
      <c r="DR1528" s="12"/>
      <c r="EF1528" s="12"/>
    </row>
    <row r="1529" spans="8:136" ht="10.199999999999999" x14ac:dyDescent="0.2">
      <c r="H1529" s="12"/>
      <c r="V1529" s="12"/>
      <c r="AJ1529" s="12"/>
      <c r="AX1529" s="12"/>
      <c r="BL1529" s="12"/>
      <c r="BZ1529" s="12"/>
      <c r="CB1529" s="12"/>
      <c r="CP1529" s="12"/>
      <c r="DD1529" s="12"/>
      <c r="DR1529" s="12"/>
      <c r="EF1529" s="12"/>
    </row>
    <row r="1530" spans="8:136" ht="10.199999999999999" x14ac:dyDescent="0.2">
      <c r="H1530" s="12"/>
      <c r="V1530" s="12"/>
      <c r="AJ1530" s="12"/>
      <c r="AX1530" s="12"/>
      <c r="BL1530" s="12"/>
      <c r="BZ1530" s="12"/>
      <c r="CB1530" s="12"/>
      <c r="CP1530" s="12"/>
      <c r="DD1530" s="12"/>
      <c r="DR1530" s="12"/>
      <c r="EF1530" s="12"/>
    </row>
    <row r="1531" spans="8:136" ht="10.199999999999999" x14ac:dyDescent="0.2">
      <c r="H1531" s="12"/>
      <c r="V1531" s="12"/>
      <c r="AJ1531" s="12"/>
      <c r="AX1531" s="12"/>
      <c r="BL1531" s="12"/>
      <c r="BZ1531" s="12"/>
      <c r="CB1531" s="12"/>
      <c r="CP1531" s="12"/>
      <c r="DD1531" s="12"/>
      <c r="DR1531" s="12"/>
      <c r="EF1531" s="12"/>
    </row>
    <row r="1532" spans="8:136" ht="10.199999999999999" x14ac:dyDescent="0.2">
      <c r="H1532" s="12"/>
      <c r="V1532" s="12"/>
      <c r="AJ1532" s="12"/>
      <c r="AX1532" s="12"/>
      <c r="BL1532" s="12"/>
      <c r="BZ1532" s="12"/>
      <c r="CB1532" s="12"/>
      <c r="CP1532" s="12"/>
      <c r="DD1532" s="12"/>
      <c r="DR1532" s="12"/>
      <c r="EF1532" s="12"/>
    </row>
    <row r="1533" spans="8:136" ht="10.199999999999999" x14ac:dyDescent="0.2">
      <c r="H1533" s="12"/>
      <c r="V1533" s="12"/>
      <c r="AJ1533" s="12"/>
      <c r="AX1533" s="12"/>
      <c r="BL1533" s="12"/>
      <c r="BZ1533" s="12"/>
      <c r="CB1533" s="12"/>
      <c r="CP1533" s="12"/>
      <c r="DD1533" s="12"/>
      <c r="DR1533" s="12"/>
      <c r="EF1533" s="12"/>
    </row>
    <row r="1534" spans="8:136" ht="10.199999999999999" x14ac:dyDescent="0.2">
      <c r="H1534" s="12"/>
      <c r="V1534" s="12"/>
      <c r="AJ1534" s="12"/>
      <c r="AX1534" s="12"/>
      <c r="BL1534" s="12"/>
      <c r="BZ1534" s="12"/>
      <c r="CB1534" s="12"/>
      <c r="CP1534" s="12"/>
      <c r="DD1534" s="12"/>
      <c r="DR1534" s="12"/>
      <c r="EF1534" s="12"/>
    </row>
    <row r="1535" spans="8:136" ht="10.199999999999999" x14ac:dyDescent="0.2">
      <c r="H1535" s="12"/>
      <c r="V1535" s="12"/>
      <c r="AJ1535" s="12"/>
      <c r="AX1535" s="12"/>
      <c r="BL1535" s="12"/>
      <c r="BZ1535" s="12"/>
      <c r="CB1535" s="12"/>
      <c r="CP1535" s="12"/>
      <c r="DD1535" s="12"/>
      <c r="DR1535" s="12"/>
      <c r="EF1535" s="12"/>
    </row>
    <row r="1536" spans="8:136" ht="10.199999999999999" x14ac:dyDescent="0.2">
      <c r="H1536" s="12"/>
      <c r="V1536" s="12"/>
      <c r="AJ1536" s="12"/>
      <c r="AX1536" s="12"/>
      <c r="BL1536" s="12"/>
      <c r="BZ1536" s="12"/>
      <c r="CB1536" s="12"/>
      <c r="CP1536" s="12"/>
      <c r="DD1536" s="12"/>
      <c r="DR1536" s="12"/>
      <c r="EF1536" s="12"/>
    </row>
    <row r="1537" spans="8:136" ht="10.199999999999999" x14ac:dyDescent="0.2">
      <c r="H1537" s="12"/>
      <c r="V1537" s="12"/>
      <c r="AJ1537" s="12"/>
      <c r="AX1537" s="12"/>
      <c r="BL1537" s="12"/>
      <c r="BZ1537" s="12"/>
      <c r="CB1537" s="12"/>
      <c r="CP1537" s="12"/>
      <c r="DD1537" s="12"/>
      <c r="DR1537" s="12"/>
      <c r="EF1537" s="12"/>
    </row>
    <row r="1538" spans="8:136" ht="10.199999999999999" x14ac:dyDescent="0.2">
      <c r="H1538" s="12"/>
      <c r="V1538" s="12"/>
      <c r="AJ1538" s="12"/>
      <c r="AX1538" s="12"/>
      <c r="BL1538" s="12"/>
      <c r="BZ1538" s="12"/>
      <c r="CB1538" s="12"/>
      <c r="CP1538" s="12"/>
      <c r="DD1538" s="12"/>
      <c r="DR1538" s="12"/>
      <c r="EF1538" s="12"/>
    </row>
    <row r="1539" spans="8:136" ht="10.199999999999999" x14ac:dyDescent="0.2">
      <c r="H1539" s="12"/>
      <c r="V1539" s="12"/>
      <c r="AJ1539" s="12"/>
      <c r="AX1539" s="12"/>
      <c r="BL1539" s="12"/>
      <c r="BZ1539" s="12"/>
      <c r="CB1539" s="12"/>
      <c r="CP1539" s="12"/>
      <c r="DD1539" s="12"/>
      <c r="DR1539" s="12"/>
      <c r="EF1539" s="12"/>
    </row>
    <row r="1540" spans="8:136" ht="10.199999999999999" x14ac:dyDescent="0.2">
      <c r="H1540" s="12"/>
      <c r="V1540" s="12"/>
      <c r="AJ1540" s="12"/>
      <c r="AX1540" s="12"/>
      <c r="BL1540" s="12"/>
      <c r="BZ1540" s="12"/>
      <c r="CB1540" s="12"/>
      <c r="CP1540" s="12"/>
      <c r="DD1540" s="12"/>
      <c r="DR1540" s="12"/>
      <c r="EF1540" s="12"/>
    </row>
    <row r="1541" spans="8:136" ht="10.199999999999999" x14ac:dyDescent="0.2">
      <c r="H1541" s="12"/>
      <c r="V1541" s="12"/>
      <c r="AJ1541" s="12"/>
      <c r="AX1541" s="12"/>
      <c r="BL1541" s="12"/>
      <c r="BZ1541" s="12"/>
      <c r="CB1541" s="12"/>
      <c r="CP1541" s="12"/>
      <c r="DD1541" s="12"/>
      <c r="DR1541" s="12"/>
      <c r="EF1541" s="12"/>
    </row>
    <row r="1542" spans="8:136" ht="10.199999999999999" x14ac:dyDescent="0.2">
      <c r="H1542" s="12"/>
      <c r="V1542" s="12"/>
      <c r="AJ1542" s="12"/>
      <c r="AX1542" s="12"/>
      <c r="BL1542" s="12"/>
      <c r="BZ1542" s="12"/>
      <c r="CB1542" s="12"/>
      <c r="CP1542" s="12"/>
      <c r="DD1542" s="12"/>
      <c r="DR1542" s="12"/>
      <c r="EF1542" s="12"/>
    </row>
    <row r="1543" spans="8:136" ht="10.199999999999999" x14ac:dyDescent="0.2">
      <c r="H1543" s="12"/>
      <c r="V1543" s="12"/>
      <c r="AJ1543" s="12"/>
      <c r="AX1543" s="12"/>
      <c r="BL1543" s="12"/>
      <c r="BZ1543" s="12"/>
      <c r="CB1543" s="12"/>
      <c r="CP1543" s="12"/>
      <c r="DD1543" s="12"/>
      <c r="DR1543" s="12"/>
      <c r="EF1543" s="12"/>
    </row>
    <row r="1544" spans="8:136" ht="10.199999999999999" x14ac:dyDescent="0.2">
      <c r="H1544" s="12"/>
      <c r="V1544" s="12"/>
      <c r="AJ1544" s="12"/>
      <c r="AX1544" s="12"/>
      <c r="BL1544" s="12"/>
      <c r="BZ1544" s="12"/>
      <c r="CB1544" s="12"/>
      <c r="CP1544" s="12"/>
      <c r="DD1544" s="12"/>
      <c r="DR1544" s="12"/>
      <c r="EF1544" s="12"/>
    </row>
    <row r="1545" spans="8:136" ht="10.199999999999999" x14ac:dyDescent="0.2">
      <c r="H1545" s="12"/>
      <c r="V1545" s="12"/>
      <c r="AJ1545" s="12"/>
      <c r="AX1545" s="12"/>
      <c r="BL1545" s="12"/>
      <c r="BZ1545" s="12"/>
      <c r="CB1545" s="12"/>
      <c r="CP1545" s="12"/>
      <c r="DD1545" s="12"/>
      <c r="DR1545" s="12"/>
      <c r="EF1545" s="12"/>
    </row>
    <row r="1546" spans="8:136" ht="10.199999999999999" x14ac:dyDescent="0.2">
      <c r="H1546" s="12"/>
      <c r="V1546" s="12"/>
      <c r="AJ1546" s="12"/>
      <c r="AX1546" s="12"/>
      <c r="BL1546" s="12"/>
      <c r="BZ1546" s="12"/>
      <c r="CB1546" s="12"/>
      <c r="CP1546" s="12"/>
      <c r="DD1546" s="12"/>
      <c r="DR1546" s="12"/>
      <c r="EF1546" s="12"/>
    </row>
    <row r="1547" spans="8:136" ht="10.199999999999999" x14ac:dyDescent="0.2">
      <c r="H1547" s="12"/>
      <c r="V1547" s="12"/>
      <c r="AJ1547" s="12"/>
      <c r="AX1547" s="12"/>
      <c r="BL1547" s="12"/>
      <c r="BZ1547" s="12"/>
      <c r="CB1547" s="12"/>
      <c r="CP1547" s="12"/>
      <c r="DD1547" s="12"/>
      <c r="DR1547" s="12"/>
      <c r="EF1547" s="12"/>
    </row>
    <row r="1548" spans="8:136" ht="10.199999999999999" x14ac:dyDescent="0.2">
      <c r="H1548" s="12"/>
      <c r="V1548" s="12"/>
      <c r="AJ1548" s="12"/>
      <c r="AX1548" s="12"/>
      <c r="BL1548" s="12"/>
      <c r="BZ1548" s="12"/>
      <c r="CB1548" s="12"/>
      <c r="CP1548" s="12"/>
      <c r="DD1548" s="12"/>
      <c r="DR1548" s="12"/>
      <c r="EF1548" s="12"/>
    </row>
    <row r="1549" spans="8:136" ht="10.199999999999999" x14ac:dyDescent="0.2">
      <c r="H1549" s="12"/>
      <c r="V1549" s="12"/>
      <c r="AJ1549" s="12"/>
      <c r="AX1549" s="12"/>
      <c r="BL1549" s="12"/>
      <c r="BZ1549" s="12"/>
      <c r="CB1549" s="12"/>
      <c r="CP1549" s="12"/>
      <c r="DD1549" s="12"/>
      <c r="DR1549" s="12"/>
      <c r="EF1549" s="12"/>
    </row>
    <row r="1550" spans="8:136" ht="10.199999999999999" x14ac:dyDescent="0.2">
      <c r="H1550" s="12"/>
      <c r="V1550" s="12"/>
      <c r="AJ1550" s="12"/>
      <c r="AX1550" s="12"/>
      <c r="BL1550" s="12"/>
      <c r="BZ1550" s="12"/>
      <c r="CB1550" s="12"/>
      <c r="CP1550" s="12"/>
      <c r="DD1550" s="12"/>
      <c r="DR1550" s="12"/>
      <c r="EF1550" s="12"/>
    </row>
    <row r="1551" spans="8:136" ht="10.199999999999999" x14ac:dyDescent="0.2">
      <c r="H1551" s="12"/>
      <c r="V1551" s="12"/>
      <c r="AJ1551" s="12"/>
      <c r="AX1551" s="12"/>
      <c r="BL1551" s="12"/>
      <c r="BZ1551" s="12"/>
      <c r="CB1551" s="12"/>
      <c r="CP1551" s="12"/>
      <c r="DD1551" s="12"/>
      <c r="DR1551" s="12"/>
      <c r="EF1551" s="12"/>
    </row>
    <row r="1552" spans="8:136" ht="10.199999999999999" x14ac:dyDescent="0.2">
      <c r="H1552" s="12"/>
      <c r="V1552" s="12"/>
      <c r="AJ1552" s="12"/>
      <c r="AX1552" s="12"/>
      <c r="BL1552" s="12"/>
      <c r="BZ1552" s="12"/>
      <c r="CB1552" s="12"/>
      <c r="CP1552" s="12"/>
      <c r="DD1552" s="12"/>
      <c r="DR1552" s="12"/>
      <c r="EF1552" s="12"/>
    </row>
    <row r="1553" spans="8:136" ht="10.199999999999999" x14ac:dyDescent="0.2">
      <c r="H1553" s="12"/>
      <c r="V1553" s="12"/>
      <c r="AJ1553" s="12"/>
      <c r="AX1553" s="12"/>
      <c r="BL1553" s="12"/>
      <c r="BZ1553" s="12"/>
      <c r="CB1553" s="12"/>
      <c r="CP1553" s="12"/>
      <c r="DD1553" s="12"/>
      <c r="DR1553" s="12"/>
      <c r="EF1553" s="12"/>
    </row>
    <row r="1554" spans="8:136" ht="10.199999999999999" x14ac:dyDescent="0.2">
      <c r="H1554" s="12"/>
      <c r="V1554" s="12"/>
      <c r="AJ1554" s="12"/>
      <c r="AX1554" s="12"/>
      <c r="BL1554" s="12"/>
      <c r="BZ1554" s="12"/>
      <c r="CB1554" s="12"/>
      <c r="CP1554" s="12"/>
      <c r="DD1554" s="12"/>
      <c r="DR1554" s="12"/>
      <c r="EF1554" s="12"/>
    </row>
    <row r="1555" spans="8:136" ht="10.199999999999999" x14ac:dyDescent="0.2">
      <c r="H1555" s="12"/>
      <c r="V1555" s="12"/>
      <c r="AJ1555" s="12"/>
      <c r="AX1555" s="12"/>
      <c r="BL1555" s="12"/>
      <c r="BZ1555" s="12"/>
      <c r="CB1555" s="12"/>
      <c r="CP1555" s="12"/>
      <c r="DD1555" s="12"/>
      <c r="DR1555" s="12"/>
      <c r="EF1555" s="12"/>
    </row>
    <row r="1556" spans="8:136" ht="10.199999999999999" x14ac:dyDescent="0.2">
      <c r="H1556" s="12"/>
      <c r="V1556" s="12"/>
      <c r="AJ1556" s="12"/>
      <c r="AX1556" s="12"/>
      <c r="BL1556" s="12"/>
      <c r="BZ1556" s="12"/>
      <c r="CB1556" s="12"/>
      <c r="CP1556" s="12"/>
      <c r="DD1556" s="12"/>
      <c r="DR1556" s="12"/>
      <c r="EF1556" s="12"/>
    </row>
    <row r="1557" spans="8:136" ht="10.199999999999999" x14ac:dyDescent="0.2">
      <c r="H1557" s="12"/>
      <c r="V1557" s="12"/>
      <c r="AJ1557" s="12"/>
      <c r="AX1557" s="12"/>
      <c r="BL1557" s="12"/>
      <c r="BZ1557" s="12"/>
      <c r="CB1557" s="12"/>
      <c r="CP1557" s="12"/>
      <c r="DD1557" s="12"/>
      <c r="DR1557" s="12"/>
      <c r="EF1557" s="12"/>
    </row>
    <row r="1558" spans="8:136" ht="10.199999999999999" x14ac:dyDescent="0.2">
      <c r="H1558" s="12"/>
      <c r="V1558" s="12"/>
      <c r="AJ1558" s="12"/>
      <c r="AX1558" s="12"/>
      <c r="BL1558" s="12"/>
      <c r="BZ1558" s="12"/>
      <c r="CB1558" s="12"/>
      <c r="CP1558" s="12"/>
      <c r="DD1558" s="12"/>
      <c r="DR1558" s="12"/>
      <c r="EF1558" s="12"/>
    </row>
    <row r="1559" spans="8:136" ht="10.199999999999999" x14ac:dyDescent="0.2">
      <c r="H1559" s="12"/>
      <c r="V1559" s="12"/>
      <c r="AJ1559" s="12"/>
      <c r="AX1559" s="12"/>
      <c r="BL1559" s="12"/>
      <c r="BZ1559" s="12"/>
      <c r="CB1559" s="12"/>
      <c r="CP1559" s="12"/>
      <c r="DD1559" s="12"/>
      <c r="DR1559" s="12"/>
      <c r="EF1559" s="12"/>
    </row>
    <row r="1560" spans="8:136" ht="10.199999999999999" x14ac:dyDescent="0.2">
      <c r="H1560" s="12"/>
      <c r="V1560" s="12"/>
      <c r="AJ1560" s="12"/>
      <c r="AX1560" s="12"/>
      <c r="BL1560" s="12"/>
      <c r="BZ1560" s="12"/>
      <c r="CB1560" s="12"/>
      <c r="CP1560" s="12"/>
      <c r="DD1560" s="12"/>
      <c r="DR1560" s="12"/>
      <c r="EF1560" s="12"/>
    </row>
    <row r="1561" spans="8:136" ht="10.199999999999999" x14ac:dyDescent="0.2">
      <c r="H1561" s="12"/>
      <c r="V1561" s="12"/>
      <c r="AJ1561" s="12"/>
      <c r="AX1561" s="12"/>
      <c r="BL1561" s="12"/>
      <c r="BZ1561" s="12"/>
      <c r="CB1561" s="12"/>
      <c r="CP1561" s="12"/>
      <c r="DD1561" s="12"/>
      <c r="DR1561" s="12"/>
      <c r="EF1561" s="12"/>
    </row>
    <row r="1562" spans="8:136" ht="10.199999999999999" x14ac:dyDescent="0.2">
      <c r="H1562" s="12"/>
      <c r="V1562" s="12"/>
      <c r="AJ1562" s="12"/>
      <c r="AX1562" s="12"/>
      <c r="BL1562" s="12"/>
      <c r="BZ1562" s="12"/>
      <c r="CB1562" s="12"/>
      <c r="CP1562" s="12"/>
      <c r="DD1562" s="12"/>
      <c r="DR1562" s="12"/>
      <c r="EF1562" s="12"/>
    </row>
    <row r="1563" spans="8:136" ht="10.199999999999999" x14ac:dyDescent="0.2">
      <c r="H1563" s="12"/>
      <c r="V1563" s="12"/>
      <c r="AJ1563" s="12"/>
      <c r="AX1563" s="12"/>
      <c r="BL1563" s="12"/>
      <c r="BZ1563" s="12"/>
      <c r="CB1563" s="12"/>
      <c r="CP1563" s="12"/>
      <c r="DD1563" s="12"/>
      <c r="DR1563" s="12"/>
      <c r="EF1563" s="12"/>
    </row>
    <row r="1564" spans="8:136" ht="10.199999999999999" x14ac:dyDescent="0.2">
      <c r="H1564" s="12"/>
      <c r="V1564" s="12"/>
      <c r="AJ1564" s="12"/>
      <c r="AX1564" s="12"/>
      <c r="BL1564" s="12"/>
      <c r="BZ1564" s="12"/>
      <c r="CB1564" s="12"/>
      <c r="CP1564" s="12"/>
      <c r="DD1564" s="12"/>
      <c r="DR1564" s="12"/>
      <c r="EF1564" s="12"/>
    </row>
    <row r="1565" spans="8:136" ht="10.199999999999999" x14ac:dyDescent="0.2">
      <c r="H1565" s="12"/>
      <c r="V1565" s="12"/>
      <c r="AJ1565" s="12"/>
      <c r="AX1565" s="12"/>
      <c r="BL1565" s="12"/>
      <c r="BZ1565" s="12"/>
      <c r="CB1565" s="12"/>
      <c r="CP1565" s="12"/>
      <c r="DD1565" s="12"/>
      <c r="DR1565" s="12"/>
      <c r="EF1565" s="12"/>
    </row>
    <row r="1566" spans="8:136" ht="10.199999999999999" x14ac:dyDescent="0.2">
      <c r="H1566" s="12"/>
      <c r="V1566" s="12"/>
      <c r="AJ1566" s="12"/>
      <c r="AX1566" s="12"/>
      <c r="BL1566" s="12"/>
      <c r="BZ1566" s="12"/>
      <c r="CB1566" s="12"/>
      <c r="CP1566" s="12"/>
      <c r="DD1566" s="12"/>
      <c r="DR1566" s="12"/>
      <c r="EF1566" s="12"/>
    </row>
    <row r="1567" spans="8:136" ht="10.199999999999999" x14ac:dyDescent="0.2">
      <c r="H1567" s="12"/>
      <c r="V1567" s="12"/>
      <c r="AJ1567" s="12"/>
      <c r="AX1567" s="12"/>
      <c r="BL1567" s="12"/>
      <c r="BZ1567" s="12"/>
      <c r="CB1567" s="12"/>
      <c r="CP1567" s="12"/>
      <c r="DD1567" s="12"/>
      <c r="DR1567" s="12"/>
      <c r="EF1567" s="12"/>
    </row>
    <row r="1568" spans="8:136" ht="10.199999999999999" x14ac:dyDescent="0.2">
      <c r="H1568" s="12"/>
      <c r="V1568" s="12"/>
      <c r="AJ1568" s="12"/>
      <c r="AX1568" s="12"/>
      <c r="BL1568" s="12"/>
      <c r="BZ1568" s="12"/>
      <c r="CB1568" s="12"/>
      <c r="CP1568" s="12"/>
      <c r="DD1568" s="12"/>
      <c r="DR1568" s="12"/>
      <c r="EF1568" s="12"/>
    </row>
    <row r="1569" spans="8:136" ht="10.199999999999999" x14ac:dyDescent="0.2">
      <c r="H1569" s="12"/>
      <c r="V1569" s="12"/>
      <c r="AJ1569" s="12"/>
      <c r="AX1569" s="12"/>
      <c r="BL1569" s="12"/>
      <c r="BZ1569" s="12"/>
      <c r="CB1569" s="12"/>
      <c r="CP1569" s="12"/>
      <c r="DD1569" s="12"/>
      <c r="DR1569" s="12"/>
      <c r="EF1569" s="12"/>
    </row>
    <row r="1570" spans="8:136" ht="10.199999999999999" x14ac:dyDescent="0.2">
      <c r="H1570" s="12"/>
      <c r="V1570" s="12"/>
      <c r="AJ1570" s="12"/>
      <c r="AX1570" s="12"/>
      <c r="BL1570" s="12"/>
      <c r="BZ1570" s="12"/>
      <c r="CB1570" s="12"/>
      <c r="CP1570" s="12"/>
      <c r="DD1570" s="12"/>
      <c r="DR1570" s="12"/>
      <c r="EF1570" s="12"/>
    </row>
    <row r="1571" spans="8:136" ht="10.199999999999999" x14ac:dyDescent="0.2">
      <c r="H1571" s="12"/>
      <c r="V1571" s="12"/>
      <c r="AJ1571" s="12"/>
      <c r="AX1571" s="12"/>
      <c r="BL1571" s="12"/>
      <c r="BZ1571" s="12"/>
      <c r="CB1571" s="12"/>
      <c r="CP1571" s="12"/>
      <c r="DD1571" s="12"/>
      <c r="DR1571" s="12"/>
      <c r="EF1571" s="12"/>
    </row>
    <row r="1572" spans="8:136" ht="10.199999999999999" x14ac:dyDescent="0.2">
      <c r="H1572" s="12"/>
      <c r="V1572" s="12"/>
      <c r="AJ1572" s="12"/>
      <c r="AX1572" s="12"/>
      <c r="BL1572" s="12"/>
      <c r="BZ1572" s="12"/>
      <c r="CB1572" s="12"/>
      <c r="CP1572" s="12"/>
      <c r="DD1572" s="12"/>
      <c r="DR1572" s="12"/>
      <c r="EF1572" s="12"/>
    </row>
    <row r="1573" spans="8:136" ht="10.199999999999999" x14ac:dyDescent="0.2">
      <c r="H1573" s="12"/>
      <c r="V1573" s="12"/>
      <c r="AJ1573" s="12"/>
      <c r="AX1573" s="12"/>
      <c r="BL1573" s="12"/>
      <c r="BZ1573" s="12"/>
      <c r="CB1573" s="12"/>
      <c r="CP1573" s="12"/>
      <c r="DD1573" s="12"/>
      <c r="DR1573" s="12"/>
      <c r="EF1573" s="12"/>
    </row>
    <row r="1574" spans="8:136" ht="10.199999999999999" x14ac:dyDescent="0.2">
      <c r="H1574" s="12"/>
      <c r="V1574" s="12"/>
      <c r="AJ1574" s="12"/>
      <c r="AX1574" s="12"/>
      <c r="BL1574" s="12"/>
      <c r="BZ1574" s="12"/>
      <c r="CB1574" s="12"/>
      <c r="CP1574" s="12"/>
      <c r="DD1574" s="12"/>
      <c r="DR1574" s="12"/>
      <c r="EF1574" s="12"/>
    </row>
    <row r="1575" spans="8:136" ht="10.199999999999999" x14ac:dyDescent="0.2">
      <c r="H1575" s="12"/>
      <c r="V1575" s="12"/>
      <c r="AJ1575" s="12"/>
      <c r="AX1575" s="12"/>
      <c r="BL1575" s="12"/>
      <c r="BZ1575" s="12"/>
      <c r="CB1575" s="12"/>
      <c r="CP1575" s="12"/>
      <c r="DD1575" s="12"/>
      <c r="DR1575" s="12"/>
      <c r="EF1575" s="12"/>
    </row>
    <row r="1576" spans="8:136" ht="10.199999999999999" x14ac:dyDescent="0.2">
      <c r="H1576" s="12"/>
      <c r="V1576" s="12"/>
      <c r="AJ1576" s="12"/>
      <c r="AX1576" s="12"/>
      <c r="BL1576" s="12"/>
      <c r="BZ1576" s="12"/>
      <c r="CB1576" s="12"/>
      <c r="CP1576" s="12"/>
      <c r="DD1576" s="12"/>
      <c r="DR1576" s="12"/>
      <c r="EF1576" s="12"/>
    </row>
    <row r="1577" spans="8:136" ht="10.199999999999999" x14ac:dyDescent="0.2">
      <c r="H1577" s="12"/>
      <c r="V1577" s="12"/>
      <c r="AJ1577" s="12"/>
      <c r="AX1577" s="12"/>
      <c r="BL1577" s="12"/>
      <c r="BZ1577" s="12"/>
      <c r="CB1577" s="12"/>
      <c r="CP1577" s="12"/>
      <c r="DD1577" s="12"/>
      <c r="DR1577" s="12"/>
      <c r="EF1577" s="12"/>
    </row>
    <row r="1578" spans="8:136" ht="10.199999999999999" x14ac:dyDescent="0.2">
      <c r="H1578" s="12"/>
      <c r="V1578" s="12"/>
      <c r="AJ1578" s="12"/>
      <c r="AX1578" s="12"/>
      <c r="BL1578" s="12"/>
      <c r="BZ1578" s="12"/>
      <c r="CB1578" s="12"/>
      <c r="CP1578" s="12"/>
      <c r="DD1578" s="12"/>
      <c r="DR1578" s="12"/>
      <c r="EF1578" s="12"/>
    </row>
    <row r="1579" spans="8:136" ht="10.199999999999999" x14ac:dyDescent="0.2">
      <c r="H1579" s="12"/>
      <c r="V1579" s="12"/>
      <c r="AJ1579" s="12"/>
      <c r="AX1579" s="12"/>
      <c r="BL1579" s="12"/>
      <c r="BZ1579" s="12"/>
      <c r="CB1579" s="12"/>
      <c r="CP1579" s="12"/>
      <c r="DD1579" s="12"/>
      <c r="DR1579" s="12"/>
      <c r="EF1579" s="12"/>
    </row>
    <row r="1580" spans="8:136" ht="10.199999999999999" x14ac:dyDescent="0.2">
      <c r="H1580" s="12"/>
      <c r="V1580" s="12"/>
      <c r="AJ1580" s="12"/>
      <c r="AX1580" s="12"/>
      <c r="BL1580" s="12"/>
      <c r="BZ1580" s="12"/>
      <c r="CB1580" s="12"/>
      <c r="CP1580" s="12"/>
      <c r="DD1580" s="12"/>
      <c r="DR1580" s="12"/>
      <c r="EF1580" s="12"/>
    </row>
    <row r="1581" spans="8:136" ht="10.199999999999999" x14ac:dyDescent="0.2">
      <c r="H1581" s="12"/>
      <c r="V1581" s="12"/>
      <c r="AJ1581" s="12"/>
      <c r="AX1581" s="12"/>
      <c r="BL1581" s="12"/>
      <c r="BZ1581" s="12"/>
      <c r="CB1581" s="12"/>
      <c r="CP1581" s="12"/>
      <c r="DD1581" s="12"/>
      <c r="DR1581" s="12"/>
      <c r="EF1581" s="12"/>
    </row>
    <row r="1582" spans="8:136" ht="10.199999999999999" x14ac:dyDescent="0.2">
      <c r="H1582" s="12"/>
      <c r="V1582" s="12"/>
      <c r="AJ1582" s="12"/>
      <c r="AX1582" s="12"/>
      <c r="BL1582" s="12"/>
      <c r="BZ1582" s="12"/>
      <c r="CB1582" s="12"/>
      <c r="CP1582" s="12"/>
      <c r="DD1582" s="12"/>
      <c r="DR1582" s="12"/>
      <c r="EF1582" s="12"/>
    </row>
    <row r="1583" spans="8:136" ht="10.199999999999999" x14ac:dyDescent="0.2">
      <c r="H1583" s="12"/>
      <c r="V1583" s="12"/>
      <c r="AJ1583" s="12"/>
      <c r="AX1583" s="12"/>
      <c r="BL1583" s="12"/>
      <c r="BZ1583" s="12"/>
      <c r="CB1583" s="12"/>
      <c r="CP1583" s="12"/>
      <c r="DD1583" s="12"/>
      <c r="DR1583" s="12"/>
      <c r="EF1583" s="12"/>
    </row>
    <row r="1584" spans="8:136" ht="10.199999999999999" x14ac:dyDescent="0.2">
      <c r="H1584" s="12"/>
      <c r="V1584" s="12"/>
      <c r="AJ1584" s="12"/>
      <c r="AX1584" s="12"/>
      <c r="BL1584" s="12"/>
      <c r="BZ1584" s="12"/>
      <c r="CB1584" s="12"/>
      <c r="CP1584" s="12"/>
      <c r="DD1584" s="12"/>
      <c r="DR1584" s="12"/>
      <c r="EF1584" s="12"/>
    </row>
    <row r="1585" spans="8:136" ht="10.199999999999999" x14ac:dyDescent="0.2">
      <c r="H1585" s="12"/>
      <c r="V1585" s="12"/>
      <c r="AJ1585" s="12"/>
      <c r="AX1585" s="12"/>
      <c r="BL1585" s="12"/>
      <c r="BZ1585" s="12"/>
      <c r="CB1585" s="12"/>
      <c r="CP1585" s="12"/>
      <c r="DD1585" s="12"/>
      <c r="DR1585" s="12"/>
      <c r="EF1585" s="12"/>
    </row>
    <row r="1586" spans="8:136" ht="10.199999999999999" x14ac:dyDescent="0.2">
      <c r="H1586" s="12"/>
      <c r="V1586" s="12"/>
      <c r="AJ1586" s="12"/>
      <c r="AX1586" s="12"/>
      <c r="BL1586" s="12"/>
      <c r="BZ1586" s="12"/>
      <c r="CB1586" s="12"/>
      <c r="CP1586" s="12"/>
      <c r="DD1586" s="12"/>
      <c r="DR1586" s="12"/>
      <c r="EF1586" s="12"/>
    </row>
    <row r="1587" spans="8:136" ht="10.199999999999999" x14ac:dyDescent="0.2">
      <c r="H1587" s="12"/>
      <c r="V1587" s="12"/>
      <c r="AJ1587" s="12"/>
      <c r="AX1587" s="12"/>
      <c r="BL1587" s="12"/>
      <c r="BZ1587" s="12"/>
      <c r="CB1587" s="12"/>
      <c r="CP1587" s="12"/>
      <c r="DD1587" s="12"/>
      <c r="DR1587" s="12"/>
      <c r="EF1587" s="12"/>
    </row>
    <row r="1588" spans="8:136" ht="10.199999999999999" x14ac:dyDescent="0.2">
      <c r="H1588" s="12"/>
      <c r="V1588" s="12"/>
      <c r="AJ1588" s="12"/>
      <c r="AX1588" s="12"/>
      <c r="BL1588" s="12"/>
      <c r="BZ1588" s="12"/>
      <c r="CB1588" s="12"/>
      <c r="CP1588" s="12"/>
      <c r="DD1588" s="12"/>
      <c r="DR1588" s="12"/>
      <c r="EF1588" s="12"/>
    </row>
    <row r="1589" spans="8:136" ht="10.199999999999999" x14ac:dyDescent="0.2">
      <c r="H1589" s="12"/>
      <c r="V1589" s="12"/>
      <c r="AJ1589" s="12"/>
      <c r="AX1589" s="12"/>
      <c r="BL1589" s="12"/>
      <c r="BZ1589" s="12"/>
      <c r="CB1589" s="12"/>
      <c r="CP1589" s="12"/>
      <c r="DD1589" s="12"/>
      <c r="DR1589" s="12"/>
      <c r="EF1589" s="12"/>
    </row>
    <row r="1590" spans="8:136" ht="10.199999999999999" x14ac:dyDescent="0.2">
      <c r="H1590" s="12"/>
      <c r="V1590" s="12"/>
      <c r="AJ1590" s="12"/>
      <c r="AX1590" s="12"/>
      <c r="BL1590" s="12"/>
      <c r="BZ1590" s="12"/>
      <c r="CB1590" s="12"/>
      <c r="CP1590" s="12"/>
      <c r="DD1590" s="12"/>
      <c r="DR1590" s="12"/>
      <c r="EF1590" s="12"/>
    </row>
    <row r="1591" spans="8:136" ht="10.199999999999999" x14ac:dyDescent="0.2">
      <c r="H1591" s="12"/>
      <c r="V1591" s="12"/>
      <c r="AJ1591" s="12"/>
      <c r="AX1591" s="12"/>
      <c r="BL1591" s="12"/>
      <c r="BZ1591" s="12"/>
      <c r="CB1591" s="12"/>
      <c r="CP1591" s="12"/>
      <c r="DD1591" s="12"/>
      <c r="DR1591" s="12"/>
      <c r="EF1591" s="12"/>
    </row>
    <row r="1592" spans="8:136" ht="10.199999999999999" x14ac:dyDescent="0.2">
      <c r="H1592" s="12"/>
      <c r="V1592" s="12"/>
      <c r="AJ1592" s="12"/>
      <c r="AX1592" s="12"/>
      <c r="BL1592" s="12"/>
      <c r="BZ1592" s="12"/>
      <c r="CB1592" s="12"/>
      <c r="CP1592" s="12"/>
      <c r="DD1592" s="12"/>
      <c r="DR1592" s="12"/>
      <c r="EF1592" s="12"/>
    </row>
    <row r="1593" spans="8:136" ht="10.199999999999999" x14ac:dyDescent="0.2">
      <c r="H1593" s="12"/>
      <c r="V1593" s="12"/>
      <c r="AJ1593" s="12"/>
      <c r="AX1593" s="12"/>
      <c r="BL1593" s="12"/>
      <c r="BZ1593" s="12"/>
      <c r="CB1593" s="12"/>
      <c r="CP1593" s="12"/>
      <c r="DD1593" s="12"/>
      <c r="DR1593" s="12"/>
      <c r="EF1593" s="12"/>
    </row>
    <row r="1594" spans="8:136" ht="10.199999999999999" x14ac:dyDescent="0.2">
      <c r="H1594" s="12"/>
      <c r="V1594" s="12"/>
      <c r="AJ1594" s="12"/>
      <c r="AX1594" s="12"/>
      <c r="BL1594" s="12"/>
      <c r="BZ1594" s="12"/>
      <c r="CB1594" s="12"/>
      <c r="CP1594" s="12"/>
      <c r="DD1594" s="12"/>
      <c r="DR1594" s="12"/>
      <c r="EF1594" s="12"/>
    </row>
    <row r="1595" spans="8:136" ht="10.199999999999999" x14ac:dyDescent="0.2">
      <c r="H1595" s="12"/>
      <c r="V1595" s="12"/>
      <c r="AJ1595" s="12"/>
      <c r="AX1595" s="12"/>
      <c r="BL1595" s="12"/>
      <c r="BZ1595" s="12"/>
      <c r="CB1595" s="12"/>
      <c r="CP1595" s="12"/>
      <c r="DD1595" s="12"/>
      <c r="DR1595" s="12"/>
      <c r="EF1595" s="12"/>
    </row>
    <row r="1596" spans="8:136" ht="10.199999999999999" x14ac:dyDescent="0.2">
      <c r="H1596" s="12"/>
      <c r="V1596" s="12"/>
      <c r="AJ1596" s="12"/>
      <c r="AX1596" s="12"/>
      <c r="BL1596" s="12"/>
      <c r="BZ1596" s="12"/>
      <c r="CB1596" s="12"/>
      <c r="CP1596" s="12"/>
      <c r="DD1596" s="12"/>
      <c r="DR1596" s="12"/>
      <c r="EF1596" s="12"/>
    </row>
    <row r="1597" spans="8:136" ht="10.199999999999999" x14ac:dyDescent="0.2">
      <c r="H1597" s="12"/>
      <c r="V1597" s="12"/>
      <c r="AJ1597" s="12"/>
      <c r="AX1597" s="12"/>
      <c r="BL1597" s="12"/>
      <c r="BZ1597" s="12"/>
      <c r="CB1597" s="12"/>
      <c r="CP1597" s="12"/>
      <c r="DD1597" s="12"/>
      <c r="DR1597" s="12"/>
      <c r="EF1597" s="12"/>
    </row>
    <row r="1598" spans="8:136" ht="10.199999999999999" x14ac:dyDescent="0.2">
      <c r="H1598" s="12"/>
      <c r="V1598" s="12"/>
      <c r="AJ1598" s="12"/>
      <c r="AX1598" s="12"/>
      <c r="BL1598" s="12"/>
      <c r="BZ1598" s="12"/>
      <c r="CB1598" s="12"/>
      <c r="CP1598" s="12"/>
      <c r="DD1598" s="12"/>
      <c r="DR1598" s="12"/>
      <c r="EF1598" s="12"/>
    </row>
    <row r="1599" spans="8:136" ht="10.199999999999999" x14ac:dyDescent="0.2">
      <c r="H1599" s="12"/>
      <c r="V1599" s="12"/>
      <c r="AJ1599" s="12"/>
      <c r="AX1599" s="12"/>
      <c r="BL1599" s="12"/>
      <c r="BZ1599" s="12"/>
      <c r="CB1599" s="12"/>
      <c r="CP1599" s="12"/>
      <c r="DD1599" s="12"/>
      <c r="DR1599" s="12"/>
      <c r="EF1599" s="12"/>
    </row>
    <row r="1600" spans="8:136" ht="10.199999999999999" x14ac:dyDescent="0.2">
      <c r="H1600" s="12"/>
      <c r="V1600" s="12"/>
      <c r="AJ1600" s="12"/>
      <c r="AX1600" s="12"/>
      <c r="BL1600" s="12"/>
      <c r="BZ1600" s="12"/>
      <c r="CB1600" s="12"/>
      <c r="CP1600" s="12"/>
      <c r="DD1600" s="12"/>
      <c r="DR1600" s="12"/>
      <c r="EF1600" s="12"/>
    </row>
    <row r="1601" spans="8:136" ht="10.199999999999999" x14ac:dyDescent="0.2">
      <c r="H1601" s="12"/>
      <c r="V1601" s="12"/>
      <c r="AJ1601" s="12"/>
      <c r="AX1601" s="12"/>
      <c r="BL1601" s="12"/>
      <c r="BZ1601" s="12"/>
      <c r="CB1601" s="12"/>
      <c r="CP1601" s="12"/>
      <c r="DD1601" s="12"/>
      <c r="DR1601" s="12"/>
      <c r="EF1601" s="12"/>
    </row>
    <row r="1602" spans="8:136" ht="10.199999999999999" x14ac:dyDescent="0.2">
      <c r="H1602" s="12"/>
      <c r="V1602" s="12"/>
      <c r="AJ1602" s="12"/>
      <c r="AX1602" s="12"/>
      <c r="BL1602" s="12"/>
      <c r="BZ1602" s="12"/>
      <c r="CB1602" s="12"/>
      <c r="CP1602" s="12"/>
      <c r="DD1602" s="12"/>
      <c r="DR1602" s="12"/>
      <c r="EF1602" s="12"/>
    </row>
    <row r="1603" spans="8:136" ht="10.199999999999999" x14ac:dyDescent="0.2">
      <c r="H1603" s="12"/>
      <c r="V1603" s="12"/>
      <c r="AJ1603" s="12"/>
      <c r="AX1603" s="12"/>
      <c r="BL1603" s="12"/>
      <c r="BZ1603" s="12"/>
      <c r="CB1603" s="12"/>
      <c r="CP1603" s="12"/>
      <c r="DD1603" s="12"/>
      <c r="DR1603" s="12"/>
      <c r="EF1603" s="12"/>
    </row>
    <row r="1604" spans="8:136" ht="10.199999999999999" x14ac:dyDescent="0.2">
      <c r="H1604" s="12"/>
      <c r="V1604" s="12"/>
      <c r="AJ1604" s="12"/>
      <c r="AX1604" s="12"/>
      <c r="BL1604" s="12"/>
      <c r="BZ1604" s="12"/>
      <c r="CB1604" s="12"/>
      <c r="CP1604" s="12"/>
      <c r="DD1604" s="12"/>
      <c r="DR1604" s="12"/>
      <c r="EF1604" s="12"/>
    </row>
    <row r="1605" spans="8:136" ht="10.199999999999999" x14ac:dyDescent="0.2">
      <c r="H1605" s="12"/>
      <c r="V1605" s="12"/>
      <c r="AJ1605" s="12"/>
      <c r="AX1605" s="12"/>
      <c r="BL1605" s="12"/>
      <c r="BZ1605" s="12"/>
      <c r="CB1605" s="12"/>
      <c r="CP1605" s="12"/>
      <c r="DD1605" s="12"/>
      <c r="DR1605" s="12"/>
      <c r="EF1605" s="12"/>
    </row>
    <row r="1606" spans="8:136" ht="10.199999999999999" x14ac:dyDescent="0.2">
      <c r="H1606" s="12"/>
      <c r="V1606" s="12"/>
      <c r="AJ1606" s="12"/>
      <c r="AX1606" s="12"/>
      <c r="BL1606" s="12"/>
      <c r="BZ1606" s="12"/>
      <c r="CB1606" s="12"/>
      <c r="CP1606" s="12"/>
      <c r="DD1606" s="12"/>
      <c r="DR1606" s="12"/>
      <c r="EF1606" s="12"/>
    </row>
    <row r="1607" spans="8:136" ht="10.199999999999999" x14ac:dyDescent="0.2">
      <c r="H1607" s="12"/>
      <c r="V1607" s="12"/>
      <c r="AJ1607" s="12"/>
      <c r="AX1607" s="12"/>
      <c r="BL1607" s="12"/>
      <c r="BZ1607" s="12"/>
      <c r="CB1607" s="12"/>
      <c r="CP1607" s="12"/>
      <c r="DD1607" s="12"/>
      <c r="DR1607" s="12"/>
      <c r="EF1607" s="12"/>
    </row>
    <row r="1608" spans="8:136" ht="10.199999999999999" x14ac:dyDescent="0.2">
      <c r="H1608" s="12"/>
      <c r="V1608" s="12"/>
      <c r="AJ1608" s="12"/>
      <c r="AX1608" s="12"/>
      <c r="BL1608" s="12"/>
      <c r="BZ1608" s="12"/>
      <c r="CB1608" s="12"/>
      <c r="CP1608" s="12"/>
      <c r="DD1608" s="12"/>
      <c r="DR1608" s="12"/>
      <c r="EF1608" s="12"/>
    </row>
    <row r="1609" spans="8:136" ht="10.199999999999999" x14ac:dyDescent="0.2">
      <c r="H1609" s="12"/>
      <c r="V1609" s="12"/>
      <c r="AJ1609" s="12"/>
      <c r="AX1609" s="12"/>
      <c r="BL1609" s="12"/>
      <c r="BZ1609" s="12"/>
      <c r="CB1609" s="12"/>
      <c r="CP1609" s="12"/>
      <c r="DD1609" s="12"/>
      <c r="DR1609" s="12"/>
      <c r="EF1609" s="12"/>
    </row>
    <row r="1610" spans="8:136" ht="10.199999999999999" x14ac:dyDescent="0.2">
      <c r="H1610" s="12"/>
      <c r="V1610" s="12"/>
      <c r="AJ1610" s="12"/>
      <c r="AX1610" s="12"/>
      <c r="BL1610" s="12"/>
      <c r="BZ1610" s="12"/>
      <c r="CB1610" s="12"/>
      <c r="CP1610" s="12"/>
      <c r="DD1610" s="12"/>
      <c r="DR1610" s="12"/>
      <c r="EF1610" s="12"/>
    </row>
    <row r="1611" spans="8:136" ht="10.199999999999999" x14ac:dyDescent="0.2">
      <c r="H1611" s="12"/>
      <c r="V1611" s="12"/>
      <c r="AJ1611" s="12"/>
      <c r="AX1611" s="12"/>
      <c r="BL1611" s="12"/>
      <c r="BZ1611" s="12"/>
      <c r="CB1611" s="12"/>
      <c r="CP1611" s="12"/>
      <c r="DD1611" s="12"/>
      <c r="DR1611" s="12"/>
      <c r="EF1611" s="12"/>
    </row>
    <row r="1612" spans="8:136" ht="10.199999999999999" x14ac:dyDescent="0.2">
      <c r="H1612" s="12"/>
      <c r="V1612" s="12"/>
      <c r="AJ1612" s="12"/>
      <c r="AX1612" s="12"/>
      <c r="BL1612" s="12"/>
      <c r="BZ1612" s="12"/>
      <c r="CB1612" s="12"/>
      <c r="CP1612" s="12"/>
      <c r="DD1612" s="12"/>
      <c r="DR1612" s="12"/>
      <c r="EF1612" s="12"/>
    </row>
    <row r="1613" spans="8:136" ht="10.199999999999999" x14ac:dyDescent="0.2">
      <c r="H1613" s="12"/>
      <c r="V1613" s="12"/>
      <c r="AJ1613" s="12"/>
      <c r="AX1613" s="12"/>
      <c r="BL1613" s="12"/>
      <c r="BZ1613" s="12"/>
      <c r="CB1613" s="12"/>
      <c r="CP1613" s="12"/>
      <c r="DD1613" s="12"/>
      <c r="DR1613" s="12"/>
      <c r="EF1613" s="12"/>
    </row>
    <row r="1614" spans="8:136" ht="10.199999999999999" x14ac:dyDescent="0.2">
      <c r="H1614" s="12"/>
      <c r="V1614" s="12"/>
      <c r="AJ1614" s="12"/>
      <c r="AX1614" s="12"/>
      <c r="BL1614" s="12"/>
      <c r="BZ1614" s="12"/>
      <c r="CB1614" s="12"/>
      <c r="CP1614" s="12"/>
      <c r="DD1614" s="12"/>
      <c r="DR1614" s="12"/>
      <c r="EF1614" s="12"/>
    </row>
    <row r="1615" spans="8:136" ht="10.199999999999999" x14ac:dyDescent="0.2">
      <c r="H1615" s="12"/>
      <c r="V1615" s="12"/>
      <c r="AJ1615" s="12"/>
      <c r="AX1615" s="12"/>
      <c r="BL1615" s="12"/>
      <c r="BZ1615" s="12"/>
      <c r="CB1615" s="12"/>
      <c r="CP1615" s="12"/>
      <c r="DD1615" s="12"/>
      <c r="DR1615" s="12"/>
      <c r="EF1615" s="12"/>
    </row>
    <row r="1616" spans="8:136" ht="10.199999999999999" x14ac:dyDescent="0.2">
      <c r="H1616" s="12"/>
      <c r="V1616" s="12"/>
      <c r="AJ1616" s="12"/>
      <c r="AX1616" s="12"/>
      <c r="BL1616" s="12"/>
      <c r="BZ1616" s="12"/>
      <c r="CB1616" s="12"/>
      <c r="CP1616" s="12"/>
      <c r="DD1616" s="12"/>
      <c r="DR1616" s="12"/>
      <c r="EF1616" s="12"/>
    </row>
    <row r="1617" spans="8:136" ht="10.199999999999999" x14ac:dyDescent="0.2">
      <c r="H1617" s="12"/>
      <c r="V1617" s="12"/>
      <c r="AJ1617" s="12"/>
      <c r="AX1617" s="12"/>
      <c r="BL1617" s="12"/>
      <c r="BZ1617" s="12"/>
      <c r="CB1617" s="12"/>
      <c r="CP1617" s="12"/>
      <c r="DD1617" s="12"/>
      <c r="DR1617" s="12"/>
      <c r="EF1617" s="12"/>
    </row>
    <row r="1618" spans="8:136" ht="10.199999999999999" x14ac:dyDescent="0.2">
      <c r="H1618" s="12"/>
      <c r="V1618" s="12"/>
      <c r="AJ1618" s="12"/>
      <c r="AX1618" s="12"/>
      <c r="BL1618" s="12"/>
      <c r="BZ1618" s="12"/>
      <c r="CB1618" s="12"/>
      <c r="CP1618" s="12"/>
      <c r="DD1618" s="12"/>
      <c r="DR1618" s="12"/>
      <c r="EF1618" s="12"/>
    </row>
    <row r="1619" spans="8:136" ht="10.199999999999999" x14ac:dyDescent="0.2">
      <c r="H1619" s="12"/>
      <c r="V1619" s="12"/>
      <c r="AJ1619" s="12"/>
      <c r="AX1619" s="12"/>
      <c r="BL1619" s="12"/>
      <c r="BZ1619" s="12"/>
      <c r="CB1619" s="12"/>
      <c r="CP1619" s="12"/>
      <c r="DD1619" s="12"/>
      <c r="DR1619" s="12"/>
      <c r="EF1619" s="12"/>
    </row>
    <row r="1620" spans="8:136" ht="10.199999999999999" x14ac:dyDescent="0.2">
      <c r="H1620" s="12"/>
      <c r="V1620" s="12"/>
      <c r="AJ1620" s="12"/>
      <c r="AX1620" s="12"/>
      <c r="BL1620" s="12"/>
      <c r="BZ1620" s="12"/>
      <c r="CB1620" s="12"/>
      <c r="CP1620" s="12"/>
      <c r="DD1620" s="12"/>
      <c r="DR1620" s="12"/>
      <c r="EF1620" s="12"/>
    </row>
    <row r="1621" spans="8:136" ht="10.199999999999999" x14ac:dyDescent="0.2">
      <c r="H1621" s="12"/>
      <c r="V1621" s="12"/>
      <c r="AJ1621" s="12"/>
      <c r="AX1621" s="12"/>
      <c r="BL1621" s="12"/>
      <c r="BZ1621" s="12"/>
      <c r="CB1621" s="12"/>
      <c r="CP1621" s="12"/>
      <c r="DD1621" s="12"/>
      <c r="DR1621" s="12"/>
      <c r="EF1621" s="12"/>
    </row>
    <row r="1622" spans="8:136" ht="10.199999999999999" x14ac:dyDescent="0.2">
      <c r="H1622" s="12"/>
      <c r="V1622" s="12"/>
      <c r="AJ1622" s="12"/>
      <c r="AX1622" s="12"/>
      <c r="BL1622" s="12"/>
      <c r="BZ1622" s="12"/>
      <c r="CB1622" s="12"/>
      <c r="CP1622" s="12"/>
      <c r="DD1622" s="12"/>
      <c r="DR1622" s="12"/>
      <c r="EF1622" s="12"/>
    </row>
    <row r="1623" spans="8:136" ht="10.199999999999999" x14ac:dyDescent="0.2">
      <c r="H1623" s="12"/>
      <c r="V1623" s="12"/>
      <c r="AJ1623" s="12"/>
      <c r="AX1623" s="12"/>
      <c r="BL1623" s="12"/>
      <c r="BZ1623" s="12"/>
      <c r="CB1623" s="12"/>
      <c r="CP1623" s="12"/>
      <c r="DD1623" s="12"/>
      <c r="DR1623" s="12"/>
      <c r="EF1623" s="12"/>
    </row>
    <row r="1624" spans="8:136" ht="10.199999999999999" x14ac:dyDescent="0.2">
      <c r="H1624" s="12"/>
      <c r="V1624" s="12"/>
      <c r="AJ1624" s="12"/>
      <c r="AX1624" s="12"/>
      <c r="BL1624" s="12"/>
      <c r="BZ1624" s="12"/>
      <c r="CB1624" s="12"/>
      <c r="CP1624" s="12"/>
      <c r="DD1624" s="12"/>
      <c r="DR1624" s="12"/>
      <c r="EF1624" s="12"/>
    </row>
    <row r="1625" spans="8:136" ht="10.199999999999999" x14ac:dyDescent="0.2">
      <c r="H1625" s="12"/>
      <c r="V1625" s="12"/>
      <c r="AJ1625" s="12"/>
      <c r="AX1625" s="12"/>
      <c r="BL1625" s="12"/>
      <c r="BZ1625" s="12"/>
      <c r="CB1625" s="12"/>
      <c r="CP1625" s="12"/>
      <c r="DD1625" s="12"/>
      <c r="DR1625" s="12"/>
      <c r="EF1625" s="12"/>
    </row>
    <row r="1626" spans="8:136" ht="10.199999999999999" x14ac:dyDescent="0.2">
      <c r="H1626" s="12"/>
      <c r="V1626" s="12"/>
      <c r="AJ1626" s="12"/>
      <c r="AX1626" s="12"/>
      <c r="BL1626" s="12"/>
      <c r="BZ1626" s="12"/>
      <c r="CB1626" s="12"/>
      <c r="CP1626" s="12"/>
      <c r="DD1626" s="12"/>
      <c r="DR1626" s="12"/>
      <c r="EF1626" s="12"/>
    </row>
    <row r="1627" spans="8:136" ht="10.199999999999999" x14ac:dyDescent="0.2">
      <c r="H1627" s="12"/>
      <c r="V1627" s="12"/>
      <c r="AJ1627" s="12"/>
      <c r="AX1627" s="12"/>
      <c r="BL1627" s="12"/>
      <c r="BZ1627" s="12"/>
      <c r="CB1627" s="12"/>
      <c r="CP1627" s="12"/>
      <c r="DD1627" s="12"/>
      <c r="DR1627" s="12"/>
      <c r="EF1627" s="12"/>
    </row>
    <row r="1628" spans="8:136" ht="10.199999999999999" x14ac:dyDescent="0.2">
      <c r="H1628" s="12"/>
      <c r="V1628" s="12"/>
      <c r="AJ1628" s="12"/>
      <c r="AX1628" s="12"/>
      <c r="BL1628" s="12"/>
      <c r="BZ1628" s="12"/>
      <c r="CB1628" s="12"/>
      <c r="CP1628" s="12"/>
      <c r="DD1628" s="12"/>
      <c r="DR1628" s="12"/>
      <c r="EF1628" s="12"/>
    </row>
    <row r="1629" spans="8:136" ht="10.199999999999999" x14ac:dyDescent="0.2">
      <c r="H1629" s="12"/>
      <c r="V1629" s="12"/>
      <c r="AJ1629" s="12"/>
      <c r="AX1629" s="12"/>
      <c r="BL1629" s="12"/>
      <c r="BZ1629" s="12"/>
      <c r="CB1629" s="12"/>
      <c r="CP1629" s="12"/>
      <c r="DD1629" s="12"/>
      <c r="DR1629" s="12"/>
      <c r="EF1629" s="12"/>
    </row>
    <row r="1630" spans="8:136" ht="10.199999999999999" x14ac:dyDescent="0.2">
      <c r="H1630" s="12"/>
      <c r="V1630" s="12"/>
      <c r="AJ1630" s="12"/>
      <c r="AX1630" s="12"/>
      <c r="BL1630" s="12"/>
      <c r="BZ1630" s="12"/>
      <c r="CB1630" s="12"/>
      <c r="CP1630" s="12"/>
      <c r="DD1630" s="12"/>
      <c r="DR1630" s="12"/>
      <c r="EF1630" s="12"/>
    </row>
    <row r="1631" spans="8:136" ht="10.199999999999999" x14ac:dyDescent="0.2">
      <c r="H1631" s="12"/>
      <c r="V1631" s="12"/>
      <c r="AJ1631" s="12"/>
      <c r="AX1631" s="12"/>
      <c r="BL1631" s="12"/>
      <c r="BZ1631" s="12"/>
      <c r="CB1631" s="12"/>
      <c r="CP1631" s="12"/>
      <c r="DD1631" s="12"/>
      <c r="DR1631" s="12"/>
      <c r="EF1631" s="12"/>
    </row>
    <row r="1632" spans="8:136" ht="10.199999999999999" x14ac:dyDescent="0.2">
      <c r="H1632" s="12"/>
      <c r="V1632" s="12"/>
      <c r="AJ1632" s="12"/>
      <c r="AX1632" s="12"/>
      <c r="BL1632" s="12"/>
      <c r="BZ1632" s="12"/>
      <c r="CB1632" s="12"/>
      <c r="CP1632" s="12"/>
      <c r="DD1632" s="12"/>
      <c r="DR1632" s="12"/>
      <c r="EF1632" s="12"/>
    </row>
    <row r="1633" spans="8:136" ht="10.199999999999999" x14ac:dyDescent="0.2">
      <c r="H1633" s="12"/>
      <c r="V1633" s="12"/>
      <c r="AJ1633" s="12"/>
      <c r="AX1633" s="12"/>
      <c r="BL1633" s="12"/>
      <c r="BZ1633" s="12"/>
      <c r="CB1633" s="12"/>
      <c r="CP1633" s="12"/>
      <c r="DD1633" s="12"/>
      <c r="DR1633" s="12"/>
      <c r="EF1633" s="12"/>
    </row>
    <row r="1634" spans="8:136" ht="10.199999999999999" x14ac:dyDescent="0.2">
      <c r="H1634" s="12"/>
      <c r="V1634" s="12"/>
      <c r="AJ1634" s="12"/>
      <c r="AX1634" s="12"/>
      <c r="BL1634" s="12"/>
      <c r="BZ1634" s="12"/>
      <c r="CB1634" s="12"/>
      <c r="CP1634" s="12"/>
      <c r="DD1634" s="12"/>
      <c r="DR1634" s="12"/>
      <c r="EF1634" s="12"/>
    </row>
    <row r="1635" spans="8:136" ht="10.199999999999999" x14ac:dyDescent="0.2">
      <c r="H1635" s="12"/>
      <c r="V1635" s="12"/>
      <c r="AJ1635" s="12"/>
      <c r="AX1635" s="12"/>
      <c r="BL1635" s="12"/>
      <c r="BZ1635" s="12"/>
      <c r="CB1635" s="12"/>
      <c r="CP1635" s="12"/>
      <c r="DD1635" s="12"/>
      <c r="DR1635" s="12"/>
      <c r="EF1635" s="12"/>
    </row>
    <row r="1636" spans="8:136" ht="10.199999999999999" x14ac:dyDescent="0.2">
      <c r="H1636" s="12"/>
      <c r="V1636" s="12"/>
      <c r="AJ1636" s="12"/>
      <c r="AX1636" s="12"/>
      <c r="BL1636" s="12"/>
      <c r="BZ1636" s="12"/>
      <c r="CB1636" s="12"/>
      <c r="CP1636" s="12"/>
      <c r="DD1636" s="12"/>
      <c r="DR1636" s="12"/>
      <c r="EF1636" s="12"/>
    </row>
    <row r="1637" spans="8:136" ht="10.199999999999999" x14ac:dyDescent="0.2">
      <c r="H1637" s="12"/>
      <c r="V1637" s="12"/>
      <c r="AJ1637" s="12"/>
      <c r="AX1637" s="12"/>
      <c r="BL1637" s="12"/>
      <c r="BZ1637" s="12"/>
      <c r="CB1637" s="12"/>
      <c r="CP1637" s="12"/>
      <c r="DD1637" s="12"/>
      <c r="DR1637" s="12"/>
      <c r="EF1637" s="12"/>
    </row>
    <row r="1638" spans="8:136" ht="10.199999999999999" x14ac:dyDescent="0.2">
      <c r="H1638" s="12"/>
      <c r="V1638" s="12"/>
      <c r="AJ1638" s="12"/>
      <c r="AX1638" s="12"/>
      <c r="BL1638" s="12"/>
      <c r="BZ1638" s="12"/>
      <c r="CB1638" s="12"/>
      <c r="CP1638" s="12"/>
      <c r="DD1638" s="12"/>
      <c r="DR1638" s="12"/>
      <c r="EF1638" s="12"/>
    </row>
    <row r="1639" spans="8:136" ht="10.199999999999999" x14ac:dyDescent="0.2">
      <c r="H1639" s="12"/>
      <c r="V1639" s="12"/>
      <c r="AJ1639" s="12"/>
      <c r="AX1639" s="12"/>
      <c r="BL1639" s="12"/>
      <c r="BZ1639" s="12"/>
      <c r="CB1639" s="12"/>
      <c r="CP1639" s="12"/>
      <c r="DD1639" s="12"/>
      <c r="DR1639" s="12"/>
      <c r="EF1639" s="12"/>
    </row>
    <row r="1640" spans="8:136" ht="10.199999999999999" x14ac:dyDescent="0.2">
      <c r="H1640" s="12"/>
      <c r="V1640" s="12"/>
      <c r="AJ1640" s="12"/>
      <c r="AX1640" s="12"/>
      <c r="BL1640" s="12"/>
      <c r="BZ1640" s="12"/>
      <c r="CB1640" s="12"/>
      <c r="CP1640" s="12"/>
      <c r="DD1640" s="12"/>
      <c r="DR1640" s="12"/>
      <c r="EF1640" s="12"/>
    </row>
    <row r="1641" spans="8:136" ht="10.199999999999999" x14ac:dyDescent="0.2">
      <c r="H1641" s="12"/>
      <c r="V1641" s="12"/>
      <c r="AJ1641" s="12"/>
      <c r="AX1641" s="12"/>
      <c r="BL1641" s="12"/>
      <c r="BZ1641" s="12"/>
      <c r="CB1641" s="12"/>
      <c r="CP1641" s="12"/>
      <c r="DD1641" s="12"/>
      <c r="DR1641" s="12"/>
      <c r="EF1641" s="12"/>
    </row>
    <row r="1642" spans="8:136" ht="10.199999999999999" x14ac:dyDescent="0.2">
      <c r="H1642" s="12"/>
      <c r="V1642" s="12"/>
      <c r="AJ1642" s="12"/>
      <c r="AX1642" s="12"/>
      <c r="BL1642" s="12"/>
      <c r="BZ1642" s="12"/>
      <c r="CB1642" s="12"/>
      <c r="CP1642" s="12"/>
      <c r="DD1642" s="12"/>
      <c r="DR1642" s="12"/>
      <c r="EF1642" s="12"/>
    </row>
    <row r="1643" spans="8:136" ht="10.199999999999999" x14ac:dyDescent="0.2">
      <c r="H1643" s="12"/>
      <c r="V1643" s="12"/>
      <c r="AJ1643" s="12"/>
      <c r="AX1643" s="12"/>
      <c r="BL1643" s="12"/>
      <c r="BZ1643" s="12"/>
      <c r="CB1643" s="12"/>
      <c r="CP1643" s="12"/>
      <c r="DD1643" s="12"/>
      <c r="DR1643" s="12"/>
      <c r="EF1643" s="12"/>
    </row>
    <row r="1644" spans="8:136" ht="10.199999999999999" x14ac:dyDescent="0.2">
      <c r="H1644" s="12"/>
      <c r="V1644" s="12"/>
      <c r="AJ1644" s="12"/>
      <c r="AX1644" s="12"/>
      <c r="BL1644" s="12"/>
      <c r="BZ1644" s="12"/>
      <c r="CB1644" s="12"/>
      <c r="CP1644" s="12"/>
      <c r="DD1644" s="12"/>
      <c r="DR1644" s="12"/>
      <c r="EF1644" s="12"/>
    </row>
    <row r="1645" spans="8:136" ht="10.199999999999999" x14ac:dyDescent="0.2">
      <c r="H1645" s="12"/>
      <c r="V1645" s="12"/>
      <c r="AJ1645" s="12"/>
      <c r="AX1645" s="12"/>
      <c r="BL1645" s="12"/>
      <c r="BZ1645" s="12"/>
      <c r="CB1645" s="12"/>
      <c r="CP1645" s="12"/>
      <c r="DD1645" s="12"/>
      <c r="DR1645" s="12"/>
      <c r="EF1645" s="12"/>
    </row>
    <row r="1646" spans="8:136" ht="10.199999999999999" x14ac:dyDescent="0.2">
      <c r="H1646" s="12"/>
      <c r="V1646" s="12"/>
      <c r="AJ1646" s="12"/>
      <c r="AX1646" s="12"/>
      <c r="BL1646" s="12"/>
      <c r="BZ1646" s="12"/>
      <c r="CB1646" s="12"/>
      <c r="CP1646" s="12"/>
      <c r="DD1646" s="12"/>
      <c r="DR1646" s="12"/>
      <c r="EF1646" s="12"/>
    </row>
    <row r="1647" spans="8:136" ht="10.199999999999999" x14ac:dyDescent="0.2">
      <c r="H1647" s="12"/>
      <c r="V1647" s="12"/>
      <c r="AJ1647" s="12"/>
      <c r="AX1647" s="12"/>
      <c r="BL1647" s="12"/>
      <c r="BZ1647" s="12"/>
      <c r="CB1647" s="12"/>
      <c r="CP1647" s="12"/>
      <c r="DD1647" s="12"/>
      <c r="DR1647" s="12"/>
      <c r="EF1647" s="12"/>
    </row>
    <row r="1648" spans="8:136" ht="10.199999999999999" x14ac:dyDescent="0.2">
      <c r="H1648" s="12"/>
      <c r="V1648" s="12"/>
      <c r="AJ1648" s="12"/>
      <c r="AX1648" s="12"/>
      <c r="BL1648" s="12"/>
      <c r="BZ1648" s="12"/>
      <c r="CB1648" s="12"/>
      <c r="CP1648" s="12"/>
      <c r="DD1648" s="12"/>
      <c r="DR1648" s="12"/>
      <c r="EF1648" s="12"/>
    </row>
    <row r="1649" spans="8:136" ht="10.199999999999999" x14ac:dyDescent="0.2">
      <c r="H1649" s="12"/>
      <c r="V1649" s="12"/>
      <c r="AJ1649" s="12"/>
      <c r="AX1649" s="12"/>
      <c r="BL1649" s="12"/>
      <c r="BZ1649" s="12"/>
      <c r="CB1649" s="12"/>
      <c r="CP1649" s="12"/>
      <c r="DD1649" s="12"/>
      <c r="DR1649" s="12"/>
      <c r="EF1649" s="12"/>
    </row>
    <row r="1650" spans="8:136" ht="10.199999999999999" x14ac:dyDescent="0.2">
      <c r="H1650" s="12"/>
      <c r="V1650" s="12"/>
      <c r="AJ1650" s="12"/>
      <c r="AX1650" s="12"/>
      <c r="BL1650" s="12"/>
      <c r="BZ1650" s="12"/>
      <c r="CB1650" s="12"/>
      <c r="CP1650" s="12"/>
      <c r="DD1650" s="12"/>
      <c r="DR1650" s="12"/>
      <c r="EF1650" s="12"/>
    </row>
    <row r="1651" spans="8:136" ht="10.199999999999999" x14ac:dyDescent="0.2">
      <c r="H1651" s="12"/>
      <c r="V1651" s="12"/>
      <c r="AJ1651" s="12"/>
      <c r="AX1651" s="12"/>
      <c r="BL1651" s="12"/>
      <c r="BZ1651" s="12"/>
      <c r="CB1651" s="12"/>
      <c r="CP1651" s="12"/>
      <c r="DD1651" s="12"/>
      <c r="DR1651" s="12"/>
      <c r="EF1651" s="12"/>
    </row>
    <row r="1652" spans="8:136" ht="10.199999999999999" x14ac:dyDescent="0.2">
      <c r="H1652" s="12"/>
      <c r="V1652" s="12"/>
      <c r="AJ1652" s="12"/>
      <c r="AX1652" s="12"/>
      <c r="BL1652" s="12"/>
      <c r="BZ1652" s="12"/>
      <c r="CB1652" s="12"/>
      <c r="CP1652" s="12"/>
      <c r="DD1652" s="12"/>
      <c r="DR1652" s="12"/>
      <c r="EF1652" s="12"/>
    </row>
    <row r="1653" spans="8:136" ht="10.199999999999999" x14ac:dyDescent="0.2">
      <c r="H1653" s="12"/>
      <c r="V1653" s="12"/>
      <c r="AJ1653" s="12"/>
      <c r="AX1653" s="12"/>
      <c r="BL1653" s="12"/>
      <c r="BZ1653" s="12"/>
      <c r="CB1653" s="12"/>
      <c r="CP1653" s="12"/>
      <c r="DD1653" s="12"/>
      <c r="DR1653" s="12"/>
      <c r="EF1653" s="12"/>
    </row>
    <row r="1654" spans="8:136" ht="10.199999999999999" x14ac:dyDescent="0.2">
      <c r="H1654" s="12"/>
      <c r="V1654" s="12"/>
      <c r="AJ1654" s="12"/>
      <c r="AX1654" s="12"/>
      <c r="BL1654" s="12"/>
      <c r="BZ1654" s="12"/>
      <c r="CB1654" s="12"/>
      <c r="CP1654" s="12"/>
      <c r="DD1654" s="12"/>
      <c r="DR1654" s="12"/>
      <c r="EF1654" s="12"/>
    </row>
    <row r="1655" spans="8:136" ht="10.199999999999999" x14ac:dyDescent="0.2">
      <c r="H1655" s="12"/>
      <c r="V1655" s="12"/>
      <c r="AJ1655" s="12"/>
      <c r="AX1655" s="12"/>
      <c r="BL1655" s="12"/>
      <c r="BZ1655" s="12"/>
      <c r="CB1655" s="12"/>
      <c r="CP1655" s="12"/>
      <c r="DD1655" s="12"/>
      <c r="DR1655" s="12"/>
      <c r="EF1655" s="12"/>
    </row>
    <row r="1656" spans="8:136" ht="10.199999999999999" x14ac:dyDescent="0.2">
      <c r="H1656" s="12"/>
      <c r="V1656" s="12"/>
      <c r="AJ1656" s="12"/>
      <c r="AX1656" s="12"/>
      <c r="BL1656" s="12"/>
      <c r="BZ1656" s="12"/>
      <c r="CB1656" s="12"/>
      <c r="CP1656" s="12"/>
      <c r="DD1656" s="12"/>
      <c r="DR1656" s="12"/>
      <c r="EF1656" s="12"/>
    </row>
    <row r="1657" spans="8:136" ht="10.199999999999999" x14ac:dyDescent="0.2">
      <c r="H1657" s="12"/>
      <c r="V1657" s="12"/>
      <c r="AJ1657" s="12"/>
      <c r="AX1657" s="12"/>
      <c r="BL1657" s="12"/>
      <c r="BZ1657" s="12"/>
      <c r="CB1657" s="12"/>
      <c r="CP1657" s="12"/>
      <c r="DD1657" s="12"/>
      <c r="DR1657" s="12"/>
      <c r="EF1657" s="12"/>
    </row>
    <row r="1658" spans="8:136" ht="10.199999999999999" x14ac:dyDescent="0.2">
      <c r="H1658" s="12"/>
      <c r="V1658" s="12"/>
      <c r="AJ1658" s="12"/>
      <c r="AX1658" s="12"/>
      <c r="BL1658" s="12"/>
      <c r="BZ1658" s="12"/>
      <c r="CB1658" s="12"/>
      <c r="CP1658" s="12"/>
      <c r="DD1658" s="12"/>
      <c r="DR1658" s="12"/>
      <c r="EF1658" s="12"/>
    </row>
    <row r="1659" spans="8:136" ht="10.199999999999999" x14ac:dyDescent="0.2">
      <c r="H1659" s="12"/>
      <c r="V1659" s="12"/>
      <c r="AJ1659" s="12"/>
      <c r="AX1659" s="12"/>
      <c r="BL1659" s="12"/>
      <c r="BZ1659" s="12"/>
      <c r="CB1659" s="12"/>
      <c r="CP1659" s="12"/>
      <c r="DD1659" s="12"/>
      <c r="DR1659" s="12"/>
      <c r="EF1659" s="12"/>
    </row>
    <row r="1660" spans="8:136" ht="10.199999999999999" x14ac:dyDescent="0.2">
      <c r="H1660" s="12"/>
      <c r="V1660" s="12"/>
      <c r="AJ1660" s="12"/>
      <c r="AX1660" s="12"/>
      <c r="BL1660" s="12"/>
      <c r="BZ1660" s="12"/>
      <c r="CB1660" s="12"/>
      <c r="CP1660" s="12"/>
      <c r="DD1660" s="12"/>
      <c r="DR1660" s="12"/>
      <c r="EF1660" s="12"/>
    </row>
    <row r="1661" spans="8:136" ht="10.199999999999999" x14ac:dyDescent="0.2">
      <c r="H1661" s="12"/>
      <c r="V1661" s="12"/>
      <c r="AJ1661" s="12"/>
      <c r="AX1661" s="12"/>
      <c r="BL1661" s="12"/>
      <c r="BZ1661" s="12"/>
      <c r="CB1661" s="12"/>
      <c r="CP1661" s="12"/>
      <c r="DD1661" s="12"/>
      <c r="DR1661" s="12"/>
      <c r="EF1661" s="12"/>
    </row>
    <row r="1662" spans="8:136" ht="10.199999999999999" x14ac:dyDescent="0.2">
      <c r="H1662" s="12"/>
      <c r="V1662" s="12"/>
      <c r="AJ1662" s="12"/>
      <c r="AX1662" s="12"/>
      <c r="BL1662" s="12"/>
      <c r="BZ1662" s="12"/>
      <c r="CB1662" s="12"/>
      <c r="CP1662" s="12"/>
      <c r="DD1662" s="12"/>
      <c r="DR1662" s="12"/>
      <c r="EF1662" s="12"/>
    </row>
    <row r="1663" spans="8:136" ht="10.199999999999999" x14ac:dyDescent="0.2">
      <c r="H1663" s="12"/>
      <c r="V1663" s="12"/>
      <c r="AJ1663" s="12"/>
      <c r="AX1663" s="12"/>
      <c r="BL1663" s="12"/>
      <c r="BZ1663" s="12"/>
      <c r="CB1663" s="12"/>
      <c r="CP1663" s="12"/>
      <c r="DD1663" s="12"/>
      <c r="DR1663" s="12"/>
      <c r="EF1663" s="12"/>
    </row>
    <row r="1664" spans="8:136" ht="10.199999999999999" x14ac:dyDescent="0.2">
      <c r="H1664" s="12"/>
      <c r="V1664" s="12"/>
      <c r="AJ1664" s="12"/>
      <c r="AX1664" s="12"/>
      <c r="BL1664" s="12"/>
      <c r="BZ1664" s="12"/>
      <c r="CB1664" s="12"/>
      <c r="CP1664" s="12"/>
      <c r="DD1664" s="12"/>
      <c r="DR1664" s="12"/>
      <c r="EF1664" s="12"/>
    </row>
    <row r="1665" spans="8:136" ht="10.199999999999999" x14ac:dyDescent="0.2">
      <c r="H1665" s="12"/>
      <c r="V1665" s="12"/>
      <c r="AJ1665" s="12"/>
      <c r="AX1665" s="12"/>
      <c r="BL1665" s="12"/>
      <c r="BZ1665" s="12"/>
      <c r="CB1665" s="12"/>
      <c r="CP1665" s="12"/>
      <c r="DD1665" s="12"/>
      <c r="DR1665" s="12"/>
      <c r="EF1665" s="12"/>
    </row>
    <row r="1666" spans="8:136" ht="10.199999999999999" x14ac:dyDescent="0.2">
      <c r="H1666" s="12"/>
      <c r="V1666" s="12"/>
      <c r="AJ1666" s="12"/>
      <c r="AX1666" s="12"/>
      <c r="BL1666" s="12"/>
      <c r="BZ1666" s="12"/>
      <c r="CB1666" s="12"/>
      <c r="CP1666" s="12"/>
      <c r="DD1666" s="12"/>
      <c r="DR1666" s="12"/>
      <c r="EF1666" s="12"/>
    </row>
    <row r="1667" spans="8:136" ht="10.199999999999999" x14ac:dyDescent="0.2">
      <c r="H1667" s="12"/>
      <c r="V1667" s="12"/>
      <c r="AJ1667" s="12"/>
      <c r="AX1667" s="12"/>
      <c r="BL1667" s="12"/>
      <c r="BZ1667" s="12"/>
      <c r="CB1667" s="12"/>
      <c r="CP1667" s="12"/>
      <c r="DD1667" s="12"/>
      <c r="DR1667" s="12"/>
      <c r="EF1667" s="12"/>
    </row>
    <row r="1668" spans="8:136" ht="10.199999999999999" x14ac:dyDescent="0.2">
      <c r="H1668" s="12"/>
      <c r="V1668" s="12"/>
      <c r="AJ1668" s="12"/>
      <c r="AX1668" s="12"/>
      <c r="BL1668" s="12"/>
      <c r="BZ1668" s="12"/>
      <c r="CB1668" s="12"/>
      <c r="CP1668" s="12"/>
      <c r="DD1668" s="12"/>
      <c r="DR1668" s="12"/>
      <c r="EF1668" s="12"/>
    </row>
    <row r="1669" spans="8:136" ht="10.199999999999999" x14ac:dyDescent="0.2">
      <c r="H1669" s="12"/>
      <c r="V1669" s="12"/>
      <c r="AJ1669" s="12"/>
      <c r="AX1669" s="12"/>
      <c r="BL1669" s="12"/>
      <c r="BZ1669" s="12"/>
      <c r="CB1669" s="12"/>
      <c r="CP1669" s="12"/>
      <c r="DD1669" s="12"/>
      <c r="DR1669" s="12"/>
      <c r="EF1669" s="12"/>
    </row>
    <row r="1670" spans="8:136" ht="10.199999999999999" x14ac:dyDescent="0.2">
      <c r="H1670" s="12"/>
      <c r="V1670" s="12"/>
      <c r="AJ1670" s="12"/>
      <c r="AX1670" s="12"/>
      <c r="BL1670" s="12"/>
      <c r="BZ1670" s="12"/>
      <c r="CB1670" s="12"/>
      <c r="CP1670" s="12"/>
      <c r="DD1670" s="12"/>
      <c r="DR1670" s="12"/>
      <c r="EF1670" s="12"/>
    </row>
    <row r="1671" spans="8:136" ht="10.199999999999999" x14ac:dyDescent="0.2">
      <c r="H1671" s="12"/>
      <c r="V1671" s="12"/>
      <c r="AJ1671" s="12"/>
      <c r="AX1671" s="12"/>
      <c r="BL1671" s="12"/>
      <c r="BZ1671" s="12"/>
      <c r="CB1671" s="12"/>
      <c r="CP1671" s="12"/>
      <c r="DD1671" s="12"/>
      <c r="DR1671" s="12"/>
      <c r="EF1671" s="12"/>
    </row>
    <row r="1672" spans="8:136" ht="10.199999999999999" x14ac:dyDescent="0.2">
      <c r="H1672" s="12"/>
      <c r="V1672" s="12"/>
      <c r="AJ1672" s="12"/>
      <c r="AX1672" s="12"/>
      <c r="BL1672" s="12"/>
      <c r="BZ1672" s="12"/>
      <c r="CB1672" s="12"/>
      <c r="CP1672" s="12"/>
      <c r="DD1672" s="12"/>
      <c r="DR1672" s="12"/>
      <c r="EF1672" s="12"/>
    </row>
    <row r="1673" spans="8:136" ht="10.199999999999999" x14ac:dyDescent="0.2">
      <c r="H1673" s="12"/>
      <c r="V1673" s="12"/>
      <c r="AJ1673" s="12"/>
      <c r="AX1673" s="12"/>
      <c r="BL1673" s="12"/>
      <c r="BZ1673" s="12"/>
      <c r="CB1673" s="12"/>
      <c r="CP1673" s="12"/>
      <c r="DD1673" s="12"/>
      <c r="DR1673" s="12"/>
      <c r="EF1673" s="12"/>
    </row>
    <row r="1674" spans="8:136" ht="10.199999999999999" x14ac:dyDescent="0.2">
      <c r="H1674" s="12"/>
      <c r="V1674" s="12"/>
      <c r="AJ1674" s="12"/>
      <c r="AX1674" s="12"/>
      <c r="BL1674" s="12"/>
      <c r="BZ1674" s="12"/>
      <c r="CB1674" s="12"/>
      <c r="CP1674" s="12"/>
      <c r="DD1674" s="12"/>
      <c r="DR1674" s="12"/>
      <c r="EF1674" s="12"/>
    </row>
    <row r="1675" spans="8:136" ht="10.199999999999999" x14ac:dyDescent="0.2">
      <c r="H1675" s="12"/>
      <c r="V1675" s="12"/>
      <c r="AJ1675" s="12"/>
      <c r="AX1675" s="12"/>
      <c r="BL1675" s="12"/>
      <c r="BZ1675" s="12"/>
      <c r="CB1675" s="12"/>
      <c r="CP1675" s="12"/>
      <c r="DD1675" s="12"/>
      <c r="DR1675" s="12"/>
      <c r="EF1675" s="12"/>
    </row>
    <row r="1676" spans="8:136" ht="10.199999999999999" x14ac:dyDescent="0.2">
      <c r="H1676" s="12"/>
      <c r="V1676" s="12"/>
      <c r="AJ1676" s="12"/>
      <c r="AX1676" s="12"/>
      <c r="BL1676" s="12"/>
      <c r="BZ1676" s="12"/>
      <c r="CB1676" s="12"/>
      <c r="CP1676" s="12"/>
      <c r="DD1676" s="12"/>
      <c r="DR1676" s="12"/>
      <c r="EF1676" s="12"/>
    </row>
    <row r="1677" spans="8:136" ht="10.199999999999999" x14ac:dyDescent="0.2">
      <c r="H1677" s="12"/>
      <c r="V1677" s="12"/>
      <c r="AJ1677" s="12"/>
      <c r="AX1677" s="12"/>
      <c r="BL1677" s="12"/>
      <c r="BZ1677" s="12"/>
      <c r="CB1677" s="12"/>
      <c r="CP1677" s="12"/>
      <c r="DD1677" s="12"/>
      <c r="DR1677" s="12"/>
      <c r="EF1677" s="12"/>
    </row>
    <row r="1678" spans="8:136" ht="10.199999999999999" x14ac:dyDescent="0.2">
      <c r="H1678" s="12"/>
      <c r="V1678" s="12"/>
      <c r="AJ1678" s="12"/>
      <c r="AX1678" s="12"/>
      <c r="BL1678" s="12"/>
      <c r="BZ1678" s="12"/>
      <c r="CB1678" s="12"/>
      <c r="CP1678" s="12"/>
      <c r="DD1678" s="12"/>
      <c r="DR1678" s="12"/>
      <c r="EF1678" s="12"/>
    </row>
    <row r="1679" spans="8:136" ht="10.199999999999999" x14ac:dyDescent="0.2">
      <c r="H1679" s="12"/>
      <c r="V1679" s="12"/>
      <c r="AJ1679" s="12"/>
      <c r="AX1679" s="12"/>
      <c r="BL1679" s="12"/>
      <c r="BZ1679" s="12"/>
      <c r="CB1679" s="12"/>
      <c r="CP1679" s="12"/>
      <c r="DD1679" s="12"/>
      <c r="DR1679" s="12"/>
      <c r="EF1679" s="12"/>
    </row>
    <row r="1680" spans="8:136" ht="10.199999999999999" x14ac:dyDescent="0.2">
      <c r="H1680" s="12"/>
      <c r="V1680" s="12"/>
      <c r="AJ1680" s="12"/>
      <c r="AX1680" s="12"/>
      <c r="BL1680" s="12"/>
      <c r="BZ1680" s="12"/>
      <c r="CB1680" s="12"/>
      <c r="CP1680" s="12"/>
      <c r="DD1680" s="12"/>
      <c r="DR1680" s="12"/>
      <c r="EF1680" s="12"/>
    </row>
    <row r="1681" spans="8:136" ht="10.199999999999999" x14ac:dyDescent="0.2">
      <c r="H1681" s="12"/>
      <c r="V1681" s="12"/>
      <c r="AJ1681" s="12"/>
      <c r="AX1681" s="12"/>
      <c r="BL1681" s="12"/>
      <c r="BZ1681" s="12"/>
      <c r="CB1681" s="12"/>
      <c r="CP1681" s="12"/>
      <c r="DD1681" s="12"/>
      <c r="DR1681" s="12"/>
      <c r="EF1681" s="12"/>
    </row>
    <row r="1682" spans="8:136" ht="10.199999999999999" x14ac:dyDescent="0.2">
      <c r="H1682" s="12"/>
      <c r="V1682" s="12"/>
      <c r="AJ1682" s="12"/>
      <c r="AX1682" s="12"/>
      <c r="BL1682" s="12"/>
      <c r="BZ1682" s="12"/>
      <c r="CB1682" s="12"/>
      <c r="CP1682" s="12"/>
      <c r="DD1682" s="12"/>
      <c r="DR1682" s="12"/>
      <c r="EF1682" s="12"/>
    </row>
    <row r="1683" spans="8:136" ht="10.199999999999999" x14ac:dyDescent="0.2">
      <c r="H1683" s="12"/>
      <c r="V1683" s="12"/>
      <c r="AJ1683" s="12"/>
      <c r="AX1683" s="12"/>
      <c r="BL1683" s="12"/>
      <c r="BZ1683" s="12"/>
      <c r="CB1683" s="12"/>
      <c r="CP1683" s="12"/>
      <c r="DD1683" s="12"/>
      <c r="DR1683" s="12"/>
      <c r="EF1683" s="12"/>
    </row>
    <row r="1684" spans="8:136" ht="10.199999999999999" x14ac:dyDescent="0.2">
      <c r="H1684" s="12"/>
      <c r="V1684" s="12"/>
      <c r="AJ1684" s="12"/>
      <c r="AX1684" s="12"/>
      <c r="BL1684" s="12"/>
      <c r="BZ1684" s="12"/>
      <c r="CB1684" s="12"/>
      <c r="CP1684" s="12"/>
      <c r="DD1684" s="12"/>
      <c r="DR1684" s="12"/>
      <c r="EF1684" s="12"/>
    </row>
    <row r="1685" spans="8:136" ht="10.199999999999999" x14ac:dyDescent="0.2">
      <c r="H1685" s="12"/>
      <c r="V1685" s="12"/>
      <c r="AJ1685" s="12"/>
      <c r="AX1685" s="12"/>
      <c r="BL1685" s="12"/>
      <c r="BZ1685" s="12"/>
      <c r="CB1685" s="12"/>
      <c r="CP1685" s="12"/>
      <c r="DD1685" s="12"/>
      <c r="DR1685" s="12"/>
      <c r="EF1685" s="12"/>
    </row>
    <row r="1686" spans="8:136" ht="10.199999999999999" x14ac:dyDescent="0.2">
      <c r="H1686" s="12"/>
      <c r="V1686" s="12"/>
      <c r="AJ1686" s="12"/>
      <c r="AX1686" s="12"/>
      <c r="BL1686" s="12"/>
      <c r="BZ1686" s="12"/>
      <c r="CB1686" s="12"/>
      <c r="CP1686" s="12"/>
      <c r="DD1686" s="12"/>
      <c r="DR1686" s="12"/>
      <c r="EF1686" s="12"/>
    </row>
    <row r="1687" spans="8:136" ht="10.199999999999999" x14ac:dyDescent="0.2">
      <c r="H1687" s="12"/>
      <c r="V1687" s="12"/>
      <c r="AJ1687" s="12"/>
      <c r="AX1687" s="12"/>
      <c r="BL1687" s="12"/>
      <c r="BZ1687" s="12"/>
      <c r="CB1687" s="12"/>
      <c r="CP1687" s="12"/>
      <c r="DD1687" s="12"/>
      <c r="DR1687" s="12"/>
      <c r="EF1687" s="12"/>
    </row>
    <row r="1688" spans="8:136" ht="10.199999999999999" x14ac:dyDescent="0.2">
      <c r="H1688" s="12"/>
      <c r="V1688" s="12"/>
      <c r="AJ1688" s="12"/>
      <c r="AX1688" s="12"/>
      <c r="BL1688" s="12"/>
      <c r="BZ1688" s="12"/>
      <c r="CB1688" s="12"/>
      <c r="CP1688" s="12"/>
      <c r="DD1688" s="12"/>
      <c r="DR1688" s="12"/>
      <c r="EF1688" s="12"/>
    </row>
    <row r="1689" spans="8:136" ht="10.199999999999999" x14ac:dyDescent="0.2">
      <c r="H1689" s="12"/>
      <c r="V1689" s="12"/>
      <c r="AJ1689" s="12"/>
      <c r="AX1689" s="12"/>
      <c r="BL1689" s="12"/>
      <c r="BZ1689" s="12"/>
      <c r="CB1689" s="12"/>
      <c r="CP1689" s="12"/>
      <c r="DD1689" s="12"/>
      <c r="DR1689" s="12"/>
      <c r="EF1689" s="12"/>
    </row>
    <row r="1690" spans="8:136" ht="10.199999999999999" x14ac:dyDescent="0.2">
      <c r="H1690" s="12"/>
      <c r="V1690" s="12"/>
      <c r="AJ1690" s="12"/>
      <c r="AX1690" s="12"/>
      <c r="BL1690" s="12"/>
      <c r="BZ1690" s="12"/>
      <c r="CB1690" s="12"/>
      <c r="CP1690" s="12"/>
      <c r="DD1690" s="12"/>
      <c r="DR1690" s="12"/>
      <c r="EF1690" s="12"/>
    </row>
    <row r="1691" spans="8:136" ht="10.199999999999999" x14ac:dyDescent="0.2">
      <c r="H1691" s="12"/>
      <c r="V1691" s="12"/>
      <c r="AJ1691" s="12"/>
      <c r="AX1691" s="12"/>
      <c r="BL1691" s="12"/>
      <c r="BZ1691" s="12"/>
      <c r="CB1691" s="12"/>
      <c r="CP1691" s="12"/>
      <c r="DD1691" s="12"/>
      <c r="DR1691" s="12"/>
      <c r="EF1691" s="12"/>
    </row>
    <row r="1692" spans="8:136" ht="10.199999999999999" x14ac:dyDescent="0.2">
      <c r="H1692" s="12"/>
      <c r="V1692" s="12"/>
      <c r="AJ1692" s="12"/>
      <c r="AX1692" s="12"/>
      <c r="BL1692" s="12"/>
      <c r="BZ1692" s="12"/>
      <c r="CB1692" s="12"/>
      <c r="CP1692" s="12"/>
      <c r="DD1692" s="12"/>
      <c r="DR1692" s="12"/>
      <c r="EF1692" s="12"/>
    </row>
    <row r="1693" spans="8:136" ht="10.199999999999999" x14ac:dyDescent="0.2">
      <c r="H1693" s="12"/>
      <c r="V1693" s="12"/>
      <c r="AJ1693" s="12"/>
      <c r="AX1693" s="12"/>
      <c r="BL1693" s="12"/>
      <c r="BZ1693" s="12"/>
      <c r="CB1693" s="12"/>
      <c r="CP1693" s="12"/>
      <c r="DD1693" s="12"/>
      <c r="DR1693" s="12"/>
      <c r="EF1693" s="12"/>
    </row>
    <row r="1694" spans="8:136" ht="10.199999999999999" x14ac:dyDescent="0.2">
      <c r="H1694" s="12"/>
      <c r="V1694" s="12"/>
      <c r="AJ1694" s="12"/>
      <c r="AX1694" s="12"/>
      <c r="BL1694" s="12"/>
      <c r="BZ1694" s="12"/>
      <c r="CB1694" s="12"/>
      <c r="CP1694" s="12"/>
      <c r="DD1694" s="12"/>
      <c r="DR1694" s="12"/>
      <c r="EF1694" s="12"/>
    </row>
    <row r="1695" spans="8:136" ht="10.199999999999999" x14ac:dyDescent="0.2">
      <c r="H1695" s="12"/>
      <c r="V1695" s="12"/>
      <c r="AJ1695" s="12"/>
      <c r="AX1695" s="12"/>
      <c r="BL1695" s="12"/>
      <c r="BZ1695" s="12"/>
      <c r="CB1695" s="12"/>
      <c r="CP1695" s="12"/>
      <c r="DD1695" s="12"/>
      <c r="DR1695" s="12"/>
      <c r="EF1695" s="12"/>
    </row>
    <row r="1696" spans="8:136" ht="10.199999999999999" x14ac:dyDescent="0.2">
      <c r="H1696" s="12"/>
      <c r="V1696" s="12"/>
      <c r="AJ1696" s="12"/>
      <c r="AX1696" s="12"/>
      <c r="BL1696" s="12"/>
      <c r="BZ1696" s="12"/>
      <c r="CB1696" s="12"/>
      <c r="CP1696" s="12"/>
      <c r="DD1696" s="12"/>
      <c r="DR1696" s="12"/>
      <c r="EF1696" s="12"/>
    </row>
    <row r="1697" spans="8:136" ht="10.199999999999999" x14ac:dyDescent="0.2">
      <c r="H1697" s="12"/>
      <c r="V1697" s="12"/>
      <c r="AJ1697" s="12"/>
      <c r="AX1697" s="12"/>
      <c r="BL1697" s="12"/>
      <c r="BZ1697" s="12"/>
      <c r="CB1697" s="12"/>
      <c r="CP1697" s="12"/>
      <c r="DD1697" s="12"/>
      <c r="DR1697" s="12"/>
      <c r="EF1697" s="12"/>
    </row>
    <row r="1698" spans="8:136" ht="10.199999999999999" x14ac:dyDescent="0.2">
      <c r="H1698" s="12"/>
      <c r="V1698" s="12"/>
      <c r="AJ1698" s="12"/>
      <c r="AX1698" s="12"/>
      <c r="BL1698" s="12"/>
      <c r="BZ1698" s="12"/>
      <c r="CB1698" s="12"/>
      <c r="CP1698" s="12"/>
      <c r="DD1698" s="12"/>
      <c r="DR1698" s="12"/>
      <c r="EF1698" s="12"/>
    </row>
    <row r="1699" spans="8:136" ht="10.199999999999999" x14ac:dyDescent="0.2">
      <c r="H1699" s="12"/>
      <c r="V1699" s="12"/>
      <c r="AJ1699" s="12"/>
      <c r="AX1699" s="12"/>
      <c r="BL1699" s="12"/>
      <c r="BZ1699" s="12"/>
      <c r="CB1699" s="12"/>
      <c r="CP1699" s="12"/>
      <c r="DD1699" s="12"/>
      <c r="DR1699" s="12"/>
      <c r="EF1699" s="12"/>
    </row>
    <row r="1700" spans="8:136" ht="10.199999999999999" x14ac:dyDescent="0.2">
      <c r="H1700" s="12"/>
      <c r="V1700" s="12"/>
      <c r="AJ1700" s="12"/>
      <c r="AX1700" s="12"/>
      <c r="BL1700" s="12"/>
      <c r="BZ1700" s="12"/>
      <c r="CB1700" s="12"/>
      <c r="CP1700" s="12"/>
      <c r="DD1700" s="12"/>
      <c r="DR1700" s="12"/>
      <c r="EF1700" s="12"/>
    </row>
    <row r="1701" spans="8:136" ht="10.199999999999999" x14ac:dyDescent="0.2">
      <c r="H1701" s="12"/>
      <c r="V1701" s="12"/>
      <c r="AJ1701" s="12"/>
      <c r="AX1701" s="12"/>
      <c r="BL1701" s="12"/>
      <c r="BZ1701" s="12"/>
      <c r="CB1701" s="12"/>
      <c r="CP1701" s="12"/>
      <c r="DD1701" s="12"/>
      <c r="DR1701" s="12"/>
      <c r="EF1701" s="12"/>
    </row>
    <row r="1702" spans="8:136" ht="10.199999999999999" x14ac:dyDescent="0.2">
      <c r="H1702" s="12"/>
      <c r="V1702" s="12"/>
      <c r="AJ1702" s="12"/>
      <c r="AX1702" s="12"/>
      <c r="BL1702" s="12"/>
      <c r="BZ1702" s="12"/>
      <c r="CB1702" s="12"/>
      <c r="CP1702" s="12"/>
      <c r="DD1702" s="12"/>
      <c r="DR1702" s="12"/>
      <c r="EF1702" s="12"/>
    </row>
    <row r="1703" spans="8:136" ht="10.199999999999999" x14ac:dyDescent="0.2">
      <c r="H1703" s="12"/>
      <c r="V1703" s="12"/>
      <c r="AJ1703" s="12"/>
      <c r="AX1703" s="12"/>
      <c r="BL1703" s="12"/>
      <c r="BZ1703" s="12"/>
      <c r="CB1703" s="12"/>
      <c r="CP1703" s="12"/>
      <c r="DD1703" s="12"/>
      <c r="DR1703" s="12"/>
      <c r="EF1703" s="12"/>
    </row>
    <row r="1704" spans="8:136" ht="10.199999999999999" x14ac:dyDescent="0.2">
      <c r="H1704" s="12"/>
      <c r="V1704" s="12"/>
      <c r="AJ1704" s="12"/>
      <c r="AX1704" s="12"/>
      <c r="BL1704" s="12"/>
      <c r="BZ1704" s="12"/>
      <c r="CB1704" s="12"/>
      <c r="CP1704" s="12"/>
      <c r="DD1704" s="12"/>
      <c r="DR1704" s="12"/>
      <c r="EF1704" s="12"/>
    </row>
    <row r="1705" spans="8:136" ht="10.199999999999999" x14ac:dyDescent="0.2">
      <c r="H1705" s="12"/>
      <c r="V1705" s="12"/>
      <c r="AJ1705" s="12"/>
      <c r="AX1705" s="12"/>
      <c r="BL1705" s="12"/>
      <c r="BZ1705" s="12"/>
      <c r="CB1705" s="12"/>
      <c r="CP1705" s="12"/>
      <c r="DD1705" s="12"/>
      <c r="DR1705" s="12"/>
      <c r="EF1705" s="12"/>
    </row>
    <row r="1706" spans="8:136" ht="10.199999999999999" x14ac:dyDescent="0.2">
      <c r="H1706" s="12"/>
      <c r="V1706" s="12"/>
      <c r="AJ1706" s="12"/>
      <c r="AX1706" s="12"/>
      <c r="BL1706" s="12"/>
      <c r="BZ1706" s="12"/>
      <c r="CB1706" s="12"/>
      <c r="CP1706" s="12"/>
      <c r="DD1706" s="12"/>
      <c r="DR1706" s="12"/>
      <c r="EF1706" s="12"/>
    </row>
    <row r="1707" spans="8:136" ht="10.199999999999999" x14ac:dyDescent="0.2">
      <c r="H1707" s="12"/>
      <c r="V1707" s="12"/>
      <c r="AJ1707" s="12"/>
      <c r="AX1707" s="12"/>
      <c r="BL1707" s="12"/>
      <c r="BZ1707" s="12"/>
      <c r="CB1707" s="12"/>
      <c r="CP1707" s="12"/>
      <c r="DD1707" s="12"/>
      <c r="DR1707" s="12"/>
      <c r="EF1707" s="12"/>
    </row>
    <row r="1708" spans="8:136" ht="10.199999999999999" x14ac:dyDescent="0.2">
      <c r="H1708" s="12"/>
      <c r="V1708" s="12"/>
      <c r="AJ1708" s="12"/>
      <c r="AX1708" s="12"/>
      <c r="BL1708" s="12"/>
      <c r="BZ1708" s="12"/>
      <c r="CB1708" s="12"/>
      <c r="CP1708" s="12"/>
      <c r="DD1708" s="12"/>
      <c r="DR1708" s="12"/>
      <c r="EF1708" s="12"/>
    </row>
    <row r="1709" spans="8:136" ht="10.199999999999999" x14ac:dyDescent="0.2">
      <c r="H1709" s="12"/>
      <c r="V1709" s="12"/>
      <c r="AJ1709" s="12"/>
      <c r="AX1709" s="12"/>
      <c r="BL1709" s="12"/>
      <c r="BZ1709" s="12"/>
      <c r="CB1709" s="12"/>
      <c r="CP1709" s="12"/>
      <c r="DD1709" s="12"/>
      <c r="DR1709" s="12"/>
      <c r="EF1709" s="12"/>
    </row>
    <row r="1710" spans="8:136" ht="10.199999999999999" x14ac:dyDescent="0.2">
      <c r="H1710" s="12"/>
      <c r="V1710" s="12"/>
      <c r="AJ1710" s="12"/>
      <c r="AX1710" s="12"/>
      <c r="BL1710" s="12"/>
      <c r="BZ1710" s="12"/>
      <c r="CB1710" s="12"/>
      <c r="CP1710" s="12"/>
      <c r="DD1710" s="12"/>
      <c r="DR1710" s="12"/>
      <c r="EF1710" s="12"/>
    </row>
    <row r="1711" spans="8:136" ht="10.199999999999999" x14ac:dyDescent="0.2">
      <c r="H1711" s="12"/>
      <c r="V1711" s="12"/>
      <c r="AJ1711" s="12"/>
      <c r="AX1711" s="12"/>
      <c r="BL1711" s="12"/>
      <c r="BZ1711" s="12"/>
      <c r="CB1711" s="12"/>
      <c r="CP1711" s="12"/>
      <c r="DD1711" s="12"/>
      <c r="DR1711" s="12"/>
      <c r="EF1711" s="12"/>
    </row>
    <row r="1712" spans="8:136" ht="10.199999999999999" x14ac:dyDescent="0.2">
      <c r="H1712" s="12"/>
      <c r="V1712" s="12"/>
      <c r="AJ1712" s="12"/>
      <c r="AX1712" s="12"/>
      <c r="BL1712" s="12"/>
      <c r="BZ1712" s="12"/>
      <c r="CB1712" s="12"/>
      <c r="CP1712" s="12"/>
      <c r="DD1712" s="12"/>
      <c r="DR1712" s="12"/>
      <c r="EF1712" s="12"/>
    </row>
    <row r="1713" spans="8:136" ht="10.199999999999999" x14ac:dyDescent="0.2">
      <c r="H1713" s="12"/>
      <c r="V1713" s="12"/>
      <c r="AJ1713" s="12"/>
      <c r="AX1713" s="12"/>
      <c r="BL1713" s="12"/>
      <c r="BZ1713" s="12"/>
      <c r="CB1713" s="12"/>
      <c r="CP1713" s="12"/>
      <c r="DD1713" s="12"/>
      <c r="DR1713" s="12"/>
      <c r="EF1713" s="12"/>
    </row>
    <row r="1714" spans="8:136" ht="10.199999999999999" x14ac:dyDescent="0.2">
      <c r="H1714" s="12"/>
      <c r="V1714" s="12"/>
      <c r="AJ1714" s="12"/>
      <c r="AX1714" s="12"/>
      <c r="BL1714" s="12"/>
      <c r="BZ1714" s="12"/>
      <c r="CB1714" s="12"/>
      <c r="CP1714" s="12"/>
      <c r="DD1714" s="12"/>
      <c r="DR1714" s="12"/>
      <c r="EF1714" s="12"/>
    </row>
    <row r="1715" spans="8:136" ht="10.199999999999999" x14ac:dyDescent="0.2">
      <c r="H1715" s="12"/>
      <c r="V1715" s="12"/>
      <c r="AJ1715" s="12"/>
      <c r="AX1715" s="12"/>
      <c r="BL1715" s="12"/>
      <c r="BZ1715" s="12"/>
      <c r="CB1715" s="12"/>
      <c r="CP1715" s="12"/>
      <c r="DD1715" s="12"/>
      <c r="DR1715" s="12"/>
      <c r="EF1715" s="12"/>
    </row>
    <row r="1716" spans="8:136" ht="10.199999999999999" x14ac:dyDescent="0.2">
      <c r="H1716" s="12"/>
      <c r="V1716" s="12"/>
      <c r="AJ1716" s="12"/>
      <c r="AX1716" s="12"/>
      <c r="BL1716" s="12"/>
      <c r="BZ1716" s="12"/>
      <c r="CB1716" s="12"/>
      <c r="CP1716" s="12"/>
      <c r="DD1716" s="12"/>
      <c r="DR1716" s="12"/>
      <c r="EF1716" s="12"/>
    </row>
    <row r="1717" spans="8:136" ht="10.199999999999999" x14ac:dyDescent="0.2">
      <c r="H1717" s="12"/>
      <c r="V1717" s="12"/>
      <c r="AJ1717" s="12"/>
      <c r="AX1717" s="12"/>
      <c r="BL1717" s="12"/>
      <c r="BZ1717" s="12"/>
      <c r="CB1717" s="12"/>
      <c r="CP1717" s="12"/>
      <c r="DD1717" s="12"/>
      <c r="DR1717" s="12"/>
      <c r="EF1717" s="12"/>
    </row>
    <row r="1718" spans="8:136" ht="10.199999999999999" x14ac:dyDescent="0.2">
      <c r="H1718" s="12"/>
      <c r="V1718" s="12"/>
      <c r="AJ1718" s="12"/>
      <c r="AX1718" s="12"/>
      <c r="BL1718" s="12"/>
      <c r="BZ1718" s="12"/>
      <c r="CB1718" s="12"/>
      <c r="CP1718" s="12"/>
      <c r="DD1718" s="12"/>
      <c r="DR1718" s="12"/>
      <c r="EF1718" s="12"/>
    </row>
    <row r="1719" spans="8:136" ht="10.199999999999999" x14ac:dyDescent="0.2">
      <c r="H1719" s="12"/>
      <c r="V1719" s="12"/>
      <c r="AJ1719" s="12"/>
      <c r="AX1719" s="12"/>
      <c r="BL1719" s="12"/>
      <c r="BZ1719" s="12"/>
      <c r="CB1719" s="12"/>
      <c r="CP1719" s="12"/>
      <c r="DD1719" s="12"/>
      <c r="DR1719" s="12"/>
      <c r="EF1719" s="12"/>
    </row>
    <row r="1720" spans="8:136" ht="10.199999999999999" x14ac:dyDescent="0.2">
      <c r="H1720" s="12"/>
      <c r="V1720" s="12"/>
      <c r="AJ1720" s="12"/>
      <c r="AX1720" s="12"/>
      <c r="BL1720" s="12"/>
      <c r="BZ1720" s="12"/>
      <c r="CB1720" s="12"/>
      <c r="CP1720" s="12"/>
      <c r="DD1720" s="12"/>
      <c r="DR1720" s="12"/>
      <c r="EF1720" s="12"/>
    </row>
    <row r="1721" spans="8:136" ht="10.199999999999999" x14ac:dyDescent="0.2">
      <c r="H1721" s="12"/>
      <c r="V1721" s="12"/>
      <c r="AJ1721" s="12"/>
      <c r="AX1721" s="12"/>
      <c r="BL1721" s="12"/>
      <c r="BZ1721" s="12"/>
      <c r="CB1721" s="12"/>
      <c r="CP1721" s="12"/>
      <c r="DD1721" s="12"/>
      <c r="DR1721" s="12"/>
      <c r="EF1721" s="12"/>
    </row>
    <row r="1722" spans="8:136" ht="10.199999999999999" x14ac:dyDescent="0.2">
      <c r="H1722" s="12"/>
      <c r="V1722" s="12"/>
      <c r="AJ1722" s="12"/>
      <c r="AX1722" s="12"/>
      <c r="BL1722" s="12"/>
      <c r="BZ1722" s="12"/>
      <c r="CB1722" s="12"/>
      <c r="CP1722" s="12"/>
      <c r="DD1722" s="12"/>
      <c r="DR1722" s="12"/>
      <c r="EF1722" s="12"/>
    </row>
    <row r="1723" spans="8:136" ht="10.199999999999999" x14ac:dyDescent="0.2">
      <c r="H1723" s="12"/>
      <c r="V1723" s="12"/>
      <c r="AJ1723" s="12"/>
      <c r="AX1723" s="12"/>
      <c r="BL1723" s="12"/>
      <c r="BZ1723" s="12"/>
      <c r="CB1723" s="12"/>
      <c r="CP1723" s="12"/>
      <c r="DD1723" s="12"/>
      <c r="DR1723" s="12"/>
      <c r="EF1723" s="12"/>
    </row>
    <row r="1724" spans="8:136" ht="10.199999999999999" x14ac:dyDescent="0.2">
      <c r="H1724" s="12"/>
      <c r="V1724" s="12"/>
      <c r="AJ1724" s="12"/>
      <c r="AX1724" s="12"/>
      <c r="BL1724" s="12"/>
      <c r="BZ1724" s="12"/>
      <c r="CB1724" s="12"/>
      <c r="CP1724" s="12"/>
      <c r="DD1724" s="12"/>
      <c r="DR1724" s="12"/>
      <c r="EF1724" s="12"/>
    </row>
    <row r="1725" spans="8:136" ht="10.199999999999999" x14ac:dyDescent="0.2">
      <c r="H1725" s="12"/>
      <c r="V1725" s="12"/>
      <c r="AJ1725" s="12"/>
      <c r="AX1725" s="12"/>
      <c r="BL1725" s="12"/>
      <c r="BZ1725" s="12"/>
      <c r="CB1725" s="12"/>
      <c r="CP1725" s="12"/>
      <c r="DD1725" s="12"/>
      <c r="DR1725" s="12"/>
      <c r="EF1725" s="12"/>
    </row>
    <row r="1726" spans="8:136" ht="10.199999999999999" x14ac:dyDescent="0.2">
      <c r="H1726" s="12"/>
      <c r="V1726" s="12"/>
      <c r="AJ1726" s="12"/>
      <c r="AX1726" s="12"/>
      <c r="BL1726" s="12"/>
      <c r="BZ1726" s="12"/>
      <c r="CB1726" s="12"/>
      <c r="CP1726" s="12"/>
      <c r="DD1726" s="12"/>
      <c r="DR1726" s="12"/>
      <c r="EF1726" s="12"/>
    </row>
    <row r="1727" spans="8:136" ht="10.199999999999999" x14ac:dyDescent="0.2">
      <c r="H1727" s="12"/>
      <c r="V1727" s="12"/>
      <c r="AJ1727" s="12"/>
      <c r="AX1727" s="12"/>
      <c r="BL1727" s="12"/>
      <c r="BZ1727" s="12"/>
      <c r="CB1727" s="12"/>
      <c r="CP1727" s="12"/>
      <c r="DD1727" s="12"/>
      <c r="DR1727" s="12"/>
      <c r="EF1727" s="12"/>
    </row>
    <row r="1728" spans="8:136" ht="10.199999999999999" x14ac:dyDescent="0.2">
      <c r="H1728" s="12"/>
      <c r="V1728" s="12"/>
      <c r="AJ1728" s="12"/>
      <c r="AX1728" s="12"/>
      <c r="BL1728" s="12"/>
      <c r="BZ1728" s="12"/>
      <c r="CB1728" s="12"/>
      <c r="CP1728" s="12"/>
      <c r="DD1728" s="12"/>
      <c r="DR1728" s="12"/>
      <c r="EF1728" s="12"/>
    </row>
    <row r="1729" spans="8:136" ht="10.199999999999999" x14ac:dyDescent="0.2">
      <c r="H1729" s="12"/>
      <c r="V1729" s="12"/>
      <c r="AJ1729" s="12"/>
      <c r="AX1729" s="12"/>
      <c r="BL1729" s="12"/>
      <c r="BZ1729" s="12"/>
      <c r="CB1729" s="12"/>
      <c r="CP1729" s="12"/>
      <c r="DD1729" s="12"/>
      <c r="DR1729" s="12"/>
      <c r="EF1729" s="12"/>
    </row>
    <row r="1730" spans="8:136" ht="10.199999999999999" x14ac:dyDescent="0.2">
      <c r="H1730" s="12"/>
      <c r="V1730" s="12"/>
      <c r="AJ1730" s="12"/>
      <c r="AX1730" s="12"/>
      <c r="BL1730" s="12"/>
      <c r="BZ1730" s="12"/>
      <c r="CB1730" s="12"/>
      <c r="CP1730" s="12"/>
      <c r="DD1730" s="12"/>
      <c r="DR1730" s="12"/>
      <c r="EF1730" s="12"/>
    </row>
    <row r="1731" spans="8:136" ht="10.199999999999999" x14ac:dyDescent="0.2">
      <c r="H1731" s="12"/>
      <c r="V1731" s="12"/>
      <c r="AJ1731" s="12"/>
      <c r="AX1731" s="12"/>
      <c r="BL1731" s="12"/>
      <c r="BZ1731" s="12"/>
      <c r="CB1731" s="12"/>
      <c r="CP1731" s="12"/>
      <c r="DD1731" s="12"/>
      <c r="DR1731" s="12"/>
      <c r="EF1731" s="12"/>
    </row>
    <row r="1732" spans="8:136" ht="10.199999999999999" x14ac:dyDescent="0.2">
      <c r="H1732" s="12"/>
      <c r="V1732" s="12"/>
      <c r="AJ1732" s="12"/>
      <c r="AX1732" s="12"/>
      <c r="BL1732" s="12"/>
      <c r="BZ1732" s="12"/>
      <c r="CB1732" s="12"/>
      <c r="CP1732" s="12"/>
      <c r="DD1732" s="12"/>
      <c r="DR1732" s="12"/>
      <c r="EF1732" s="12"/>
    </row>
    <row r="1733" spans="8:136" ht="10.199999999999999" x14ac:dyDescent="0.2">
      <c r="H1733" s="12"/>
      <c r="V1733" s="12"/>
      <c r="AJ1733" s="12"/>
      <c r="AX1733" s="12"/>
      <c r="BL1733" s="12"/>
      <c r="BZ1733" s="12"/>
      <c r="CB1733" s="12"/>
      <c r="CP1733" s="12"/>
      <c r="DD1733" s="12"/>
      <c r="DR1733" s="12"/>
      <c r="EF1733" s="12"/>
    </row>
    <row r="1734" spans="8:136" ht="10.199999999999999" x14ac:dyDescent="0.2">
      <c r="H1734" s="12"/>
      <c r="V1734" s="12"/>
      <c r="AJ1734" s="12"/>
      <c r="AX1734" s="12"/>
      <c r="BL1734" s="12"/>
      <c r="BZ1734" s="12"/>
      <c r="CB1734" s="12"/>
      <c r="CP1734" s="12"/>
      <c r="DD1734" s="12"/>
      <c r="DR1734" s="12"/>
      <c r="EF1734" s="12"/>
    </row>
    <row r="1735" spans="8:136" ht="10.199999999999999" x14ac:dyDescent="0.2">
      <c r="H1735" s="12"/>
      <c r="V1735" s="12"/>
      <c r="AJ1735" s="12"/>
      <c r="AX1735" s="12"/>
      <c r="BL1735" s="12"/>
      <c r="BZ1735" s="12"/>
      <c r="CB1735" s="12"/>
      <c r="CP1735" s="12"/>
      <c r="DD1735" s="12"/>
      <c r="DR1735" s="12"/>
      <c r="EF1735" s="12"/>
    </row>
    <row r="1736" spans="8:136" ht="10.199999999999999" x14ac:dyDescent="0.2">
      <c r="H1736" s="12"/>
      <c r="V1736" s="12"/>
      <c r="AJ1736" s="12"/>
      <c r="AX1736" s="12"/>
      <c r="BL1736" s="12"/>
      <c r="BZ1736" s="12"/>
      <c r="CB1736" s="12"/>
      <c r="CP1736" s="12"/>
      <c r="DD1736" s="12"/>
      <c r="DR1736" s="12"/>
      <c r="EF1736" s="12"/>
    </row>
    <row r="1737" spans="8:136" ht="10.199999999999999" x14ac:dyDescent="0.2">
      <c r="H1737" s="12"/>
      <c r="V1737" s="12"/>
      <c r="AJ1737" s="12"/>
      <c r="AX1737" s="12"/>
      <c r="BL1737" s="12"/>
      <c r="BZ1737" s="12"/>
      <c r="CB1737" s="12"/>
      <c r="CP1737" s="12"/>
      <c r="DD1737" s="12"/>
      <c r="DR1737" s="12"/>
      <c r="EF1737" s="12"/>
    </row>
    <row r="1738" spans="8:136" ht="10.199999999999999" x14ac:dyDescent="0.2">
      <c r="H1738" s="12"/>
      <c r="V1738" s="12"/>
      <c r="AJ1738" s="12"/>
      <c r="AX1738" s="12"/>
      <c r="BL1738" s="12"/>
      <c r="BZ1738" s="12"/>
      <c r="CB1738" s="12"/>
      <c r="CP1738" s="12"/>
      <c r="DD1738" s="12"/>
      <c r="DR1738" s="12"/>
      <c r="EF1738" s="12"/>
    </row>
    <row r="1739" spans="8:136" ht="10.199999999999999" x14ac:dyDescent="0.2">
      <c r="H1739" s="12"/>
      <c r="V1739" s="12"/>
      <c r="AJ1739" s="12"/>
      <c r="AX1739" s="12"/>
      <c r="BL1739" s="12"/>
      <c r="BZ1739" s="12"/>
      <c r="CB1739" s="12"/>
      <c r="CP1739" s="12"/>
      <c r="DD1739" s="12"/>
      <c r="DR1739" s="12"/>
      <c r="EF1739" s="12"/>
    </row>
    <row r="1740" spans="8:136" ht="10.199999999999999" x14ac:dyDescent="0.2">
      <c r="H1740" s="12"/>
      <c r="V1740" s="12"/>
      <c r="AJ1740" s="12"/>
      <c r="AX1740" s="12"/>
      <c r="BL1740" s="12"/>
      <c r="BZ1740" s="12"/>
      <c r="CB1740" s="12"/>
      <c r="CP1740" s="12"/>
      <c r="DD1740" s="12"/>
      <c r="DR1740" s="12"/>
      <c r="EF1740" s="12"/>
    </row>
    <row r="1741" spans="8:136" ht="10.199999999999999" x14ac:dyDescent="0.2">
      <c r="H1741" s="12"/>
      <c r="V1741" s="12"/>
      <c r="AJ1741" s="12"/>
      <c r="AX1741" s="12"/>
      <c r="BL1741" s="12"/>
      <c r="BZ1741" s="12"/>
      <c r="CB1741" s="12"/>
      <c r="CP1741" s="12"/>
      <c r="DD1741" s="12"/>
      <c r="DR1741" s="12"/>
      <c r="EF1741" s="12"/>
    </row>
    <row r="1742" spans="8:136" ht="10.199999999999999" x14ac:dyDescent="0.2">
      <c r="H1742" s="12"/>
      <c r="V1742" s="12"/>
      <c r="AJ1742" s="12"/>
      <c r="AX1742" s="12"/>
      <c r="BL1742" s="12"/>
      <c r="BZ1742" s="12"/>
      <c r="CB1742" s="12"/>
      <c r="CP1742" s="12"/>
      <c r="DD1742" s="12"/>
      <c r="DR1742" s="12"/>
      <c r="EF1742" s="12"/>
    </row>
    <row r="1743" spans="8:136" ht="10.199999999999999" x14ac:dyDescent="0.2">
      <c r="H1743" s="12"/>
      <c r="V1743" s="12"/>
      <c r="AJ1743" s="12"/>
      <c r="AX1743" s="12"/>
      <c r="BL1743" s="12"/>
      <c r="BZ1743" s="12"/>
      <c r="CB1743" s="12"/>
      <c r="CP1743" s="12"/>
      <c r="DD1743" s="12"/>
      <c r="DR1743" s="12"/>
      <c r="EF1743" s="12"/>
    </row>
    <row r="1744" spans="8:136" ht="10.199999999999999" x14ac:dyDescent="0.2">
      <c r="H1744" s="12"/>
      <c r="V1744" s="12"/>
      <c r="AJ1744" s="12"/>
      <c r="AX1744" s="12"/>
      <c r="BL1744" s="12"/>
      <c r="BZ1744" s="12"/>
      <c r="CB1744" s="12"/>
      <c r="CP1744" s="12"/>
      <c r="DD1744" s="12"/>
      <c r="DR1744" s="12"/>
      <c r="EF1744" s="12"/>
    </row>
    <row r="1745" spans="8:136" ht="10.199999999999999" x14ac:dyDescent="0.2">
      <c r="H1745" s="12"/>
      <c r="V1745" s="12"/>
      <c r="AJ1745" s="12"/>
      <c r="AX1745" s="12"/>
      <c r="BL1745" s="12"/>
      <c r="BZ1745" s="12"/>
      <c r="CB1745" s="12"/>
      <c r="CP1745" s="12"/>
      <c r="DD1745" s="12"/>
      <c r="DR1745" s="12"/>
      <c r="EF1745" s="12"/>
    </row>
    <row r="1746" spans="8:136" ht="10.199999999999999" x14ac:dyDescent="0.2">
      <c r="H1746" s="12"/>
      <c r="V1746" s="12"/>
      <c r="AJ1746" s="12"/>
      <c r="AX1746" s="12"/>
      <c r="BL1746" s="12"/>
      <c r="BZ1746" s="12"/>
      <c r="CB1746" s="12"/>
      <c r="CP1746" s="12"/>
      <c r="DD1746" s="12"/>
      <c r="DR1746" s="12"/>
      <c r="EF1746" s="12"/>
    </row>
    <row r="1747" spans="8:136" ht="10.199999999999999" x14ac:dyDescent="0.2">
      <c r="H1747" s="12"/>
      <c r="V1747" s="12"/>
      <c r="AJ1747" s="12"/>
      <c r="AX1747" s="12"/>
      <c r="BL1747" s="12"/>
      <c r="BZ1747" s="12"/>
      <c r="CB1747" s="12"/>
      <c r="CP1747" s="12"/>
      <c r="DD1747" s="12"/>
      <c r="DR1747" s="12"/>
      <c r="EF1747" s="12"/>
    </row>
    <row r="1748" spans="8:136" ht="10.199999999999999" x14ac:dyDescent="0.2">
      <c r="H1748" s="12"/>
      <c r="V1748" s="12"/>
      <c r="AJ1748" s="12"/>
      <c r="AX1748" s="12"/>
      <c r="BL1748" s="12"/>
      <c r="BZ1748" s="12"/>
      <c r="CB1748" s="12"/>
      <c r="CP1748" s="12"/>
      <c r="DD1748" s="12"/>
      <c r="DR1748" s="12"/>
      <c r="EF1748" s="12"/>
    </row>
    <row r="1749" spans="8:136" ht="10.199999999999999" x14ac:dyDescent="0.2">
      <c r="H1749" s="12"/>
      <c r="V1749" s="12"/>
      <c r="AJ1749" s="12"/>
      <c r="AX1749" s="12"/>
      <c r="BL1749" s="12"/>
      <c r="BZ1749" s="12"/>
      <c r="CB1749" s="12"/>
      <c r="CP1749" s="12"/>
      <c r="DD1749" s="12"/>
      <c r="DR1749" s="12"/>
      <c r="EF1749" s="12"/>
    </row>
    <row r="1750" spans="8:136" ht="10.199999999999999" x14ac:dyDescent="0.2">
      <c r="H1750" s="12"/>
      <c r="V1750" s="12"/>
      <c r="AJ1750" s="12"/>
      <c r="AX1750" s="12"/>
      <c r="BL1750" s="12"/>
      <c r="BZ1750" s="12"/>
      <c r="CB1750" s="12"/>
      <c r="CP1750" s="12"/>
      <c r="DD1750" s="12"/>
      <c r="DR1750" s="12"/>
      <c r="EF1750" s="12"/>
    </row>
    <row r="1751" spans="8:136" ht="10.199999999999999" x14ac:dyDescent="0.2">
      <c r="H1751" s="12"/>
      <c r="V1751" s="12"/>
      <c r="AJ1751" s="12"/>
      <c r="AX1751" s="12"/>
      <c r="BL1751" s="12"/>
      <c r="BZ1751" s="12"/>
      <c r="CB1751" s="12"/>
      <c r="CP1751" s="12"/>
      <c r="DD1751" s="12"/>
      <c r="DR1751" s="12"/>
      <c r="EF1751" s="12"/>
    </row>
    <row r="1752" spans="8:136" ht="10.199999999999999" x14ac:dyDescent="0.2">
      <c r="H1752" s="12"/>
      <c r="V1752" s="12"/>
      <c r="AJ1752" s="12"/>
      <c r="AX1752" s="12"/>
      <c r="BL1752" s="12"/>
      <c r="BZ1752" s="12"/>
      <c r="CB1752" s="12"/>
      <c r="CP1752" s="12"/>
      <c r="DD1752" s="12"/>
      <c r="DR1752" s="12"/>
      <c r="EF1752" s="12"/>
    </row>
    <row r="1753" spans="8:136" ht="10.199999999999999" x14ac:dyDescent="0.2">
      <c r="H1753" s="12"/>
      <c r="V1753" s="12"/>
      <c r="AJ1753" s="12"/>
      <c r="AX1753" s="12"/>
      <c r="BL1753" s="12"/>
      <c r="BZ1753" s="12"/>
      <c r="CB1753" s="12"/>
      <c r="CP1753" s="12"/>
      <c r="DD1753" s="12"/>
      <c r="DR1753" s="12"/>
      <c r="EF1753" s="12"/>
    </row>
    <row r="1754" spans="8:136" ht="10.199999999999999" x14ac:dyDescent="0.2">
      <c r="H1754" s="12"/>
      <c r="V1754" s="12"/>
      <c r="AJ1754" s="12"/>
      <c r="AX1754" s="12"/>
      <c r="BL1754" s="12"/>
      <c r="BZ1754" s="12"/>
      <c r="CB1754" s="12"/>
      <c r="CP1754" s="12"/>
      <c r="DD1754" s="12"/>
      <c r="DR1754" s="12"/>
      <c r="EF1754" s="12"/>
    </row>
    <row r="1755" spans="8:136" ht="10.199999999999999" x14ac:dyDescent="0.2">
      <c r="H1755" s="12"/>
      <c r="V1755" s="12"/>
      <c r="AJ1755" s="12"/>
      <c r="AX1755" s="12"/>
      <c r="BL1755" s="12"/>
      <c r="BZ1755" s="12"/>
      <c r="CB1755" s="12"/>
      <c r="CP1755" s="12"/>
      <c r="DD1755" s="12"/>
      <c r="DR1755" s="12"/>
      <c r="EF1755" s="12"/>
    </row>
    <row r="1756" spans="8:136" ht="10.199999999999999" x14ac:dyDescent="0.2">
      <c r="H1756" s="12"/>
      <c r="V1756" s="12"/>
      <c r="AJ1756" s="12"/>
      <c r="AX1756" s="12"/>
      <c r="BL1756" s="12"/>
      <c r="BZ1756" s="12"/>
      <c r="CB1756" s="12"/>
      <c r="CP1756" s="12"/>
      <c r="DD1756" s="12"/>
      <c r="DR1756" s="12"/>
      <c r="EF1756" s="12"/>
    </row>
    <row r="1757" spans="8:136" ht="10.199999999999999" x14ac:dyDescent="0.2">
      <c r="H1757" s="12"/>
      <c r="V1757" s="12"/>
      <c r="AJ1757" s="12"/>
      <c r="AX1757" s="12"/>
      <c r="BL1757" s="12"/>
      <c r="BZ1757" s="12"/>
      <c r="CB1757" s="12"/>
      <c r="CP1757" s="12"/>
      <c r="DD1757" s="12"/>
      <c r="DR1757" s="12"/>
      <c r="EF1757" s="12"/>
    </row>
    <row r="1758" spans="8:136" ht="10.199999999999999" x14ac:dyDescent="0.2">
      <c r="H1758" s="12"/>
      <c r="V1758" s="12"/>
      <c r="AJ1758" s="12"/>
      <c r="AX1758" s="12"/>
      <c r="BL1758" s="12"/>
      <c r="BZ1758" s="12"/>
      <c r="CB1758" s="12"/>
      <c r="CP1758" s="12"/>
      <c r="DD1758" s="12"/>
      <c r="DR1758" s="12"/>
      <c r="EF1758" s="12"/>
    </row>
    <row r="1759" spans="8:136" ht="10.199999999999999" x14ac:dyDescent="0.2">
      <c r="H1759" s="12"/>
      <c r="V1759" s="12"/>
      <c r="AJ1759" s="12"/>
      <c r="AX1759" s="12"/>
      <c r="BL1759" s="12"/>
      <c r="BZ1759" s="12"/>
      <c r="CB1759" s="12"/>
      <c r="CP1759" s="12"/>
      <c r="DD1759" s="12"/>
      <c r="DR1759" s="12"/>
      <c r="EF1759" s="12"/>
    </row>
    <row r="1760" spans="8:136" ht="10.199999999999999" x14ac:dyDescent="0.2">
      <c r="H1760" s="12"/>
      <c r="V1760" s="12"/>
      <c r="AJ1760" s="12"/>
      <c r="AX1760" s="12"/>
      <c r="BL1760" s="12"/>
      <c r="BZ1760" s="12"/>
      <c r="CB1760" s="12"/>
      <c r="CP1760" s="12"/>
      <c r="DD1760" s="12"/>
      <c r="DR1760" s="12"/>
      <c r="EF1760" s="12"/>
    </row>
    <row r="1761" spans="8:136" ht="10.199999999999999" x14ac:dyDescent="0.2">
      <c r="H1761" s="12"/>
      <c r="V1761" s="12"/>
      <c r="AJ1761" s="12"/>
      <c r="AX1761" s="12"/>
      <c r="BL1761" s="12"/>
      <c r="BZ1761" s="12"/>
      <c r="CB1761" s="12"/>
      <c r="CP1761" s="12"/>
      <c r="DD1761" s="12"/>
      <c r="DR1761" s="12"/>
      <c r="EF1761" s="12"/>
    </row>
    <row r="1762" spans="8:136" ht="10.199999999999999" x14ac:dyDescent="0.2">
      <c r="H1762" s="12"/>
      <c r="V1762" s="12"/>
      <c r="AJ1762" s="12"/>
      <c r="AX1762" s="12"/>
      <c r="BL1762" s="12"/>
      <c r="BZ1762" s="12"/>
      <c r="CB1762" s="12"/>
      <c r="CP1762" s="12"/>
      <c r="DD1762" s="12"/>
      <c r="DR1762" s="12"/>
      <c r="EF1762" s="12"/>
    </row>
    <row r="1763" spans="8:136" ht="10.199999999999999" x14ac:dyDescent="0.2">
      <c r="H1763" s="12"/>
      <c r="V1763" s="12"/>
      <c r="AJ1763" s="12"/>
      <c r="AX1763" s="12"/>
      <c r="BL1763" s="12"/>
      <c r="BZ1763" s="12"/>
      <c r="CB1763" s="12"/>
      <c r="CP1763" s="12"/>
      <c r="DD1763" s="12"/>
      <c r="DR1763" s="12"/>
      <c r="EF1763" s="12"/>
    </row>
    <row r="1764" spans="8:136" ht="10.199999999999999" x14ac:dyDescent="0.2">
      <c r="H1764" s="12"/>
      <c r="V1764" s="12"/>
      <c r="AJ1764" s="12"/>
      <c r="AX1764" s="12"/>
      <c r="BL1764" s="12"/>
      <c r="BZ1764" s="12"/>
      <c r="CB1764" s="12"/>
      <c r="CP1764" s="12"/>
      <c r="DD1764" s="12"/>
      <c r="DR1764" s="12"/>
      <c r="EF1764" s="12"/>
    </row>
    <row r="1765" spans="8:136" ht="10.199999999999999" x14ac:dyDescent="0.2">
      <c r="H1765" s="12"/>
      <c r="V1765" s="12"/>
      <c r="AJ1765" s="12"/>
      <c r="AX1765" s="12"/>
      <c r="BL1765" s="12"/>
      <c r="BZ1765" s="12"/>
      <c r="CB1765" s="12"/>
      <c r="CP1765" s="12"/>
      <c r="DD1765" s="12"/>
      <c r="DR1765" s="12"/>
      <c r="EF1765" s="12"/>
    </row>
    <row r="1766" spans="8:136" ht="10.199999999999999" x14ac:dyDescent="0.2">
      <c r="H1766" s="12"/>
      <c r="V1766" s="12"/>
      <c r="AJ1766" s="12"/>
      <c r="AX1766" s="12"/>
      <c r="BL1766" s="12"/>
      <c r="BZ1766" s="12"/>
      <c r="CB1766" s="12"/>
      <c r="CP1766" s="12"/>
      <c r="DD1766" s="12"/>
      <c r="DR1766" s="12"/>
      <c r="EF1766" s="12"/>
    </row>
    <row r="1767" spans="8:136" ht="10.199999999999999" x14ac:dyDescent="0.2">
      <c r="H1767" s="12"/>
      <c r="V1767" s="12"/>
      <c r="AJ1767" s="12"/>
      <c r="AX1767" s="12"/>
      <c r="BL1767" s="12"/>
      <c r="BZ1767" s="12"/>
      <c r="CB1767" s="12"/>
      <c r="CP1767" s="12"/>
      <c r="DD1767" s="12"/>
      <c r="DR1767" s="12"/>
      <c r="EF1767" s="12"/>
    </row>
    <row r="1768" spans="8:136" ht="10.199999999999999" x14ac:dyDescent="0.2">
      <c r="H1768" s="12"/>
      <c r="V1768" s="12"/>
      <c r="AJ1768" s="12"/>
      <c r="AX1768" s="12"/>
      <c r="BL1768" s="12"/>
      <c r="BZ1768" s="12"/>
      <c r="CB1768" s="12"/>
      <c r="CP1768" s="12"/>
      <c r="DD1768" s="12"/>
      <c r="DR1768" s="12"/>
      <c r="EF1768" s="12"/>
    </row>
    <row r="1769" spans="8:136" ht="10.199999999999999" x14ac:dyDescent="0.2">
      <c r="H1769" s="12"/>
      <c r="V1769" s="12"/>
      <c r="AJ1769" s="12"/>
      <c r="AX1769" s="12"/>
      <c r="BL1769" s="12"/>
      <c r="BZ1769" s="12"/>
      <c r="CB1769" s="12"/>
      <c r="CP1769" s="12"/>
      <c r="DD1769" s="12"/>
      <c r="DR1769" s="12"/>
      <c r="EF1769" s="12"/>
    </row>
    <row r="1770" spans="8:136" ht="10.199999999999999" x14ac:dyDescent="0.2">
      <c r="H1770" s="12"/>
      <c r="V1770" s="12"/>
      <c r="AJ1770" s="12"/>
      <c r="AX1770" s="12"/>
      <c r="BL1770" s="12"/>
      <c r="BZ1770" s="12"/>
      <c r="CB1770" s="12"/>
      <c r="CP1770" s="12"/>
      <c r="DD1770" s="12"/>
      <c r="DR1770" s="12"/>
      <c r="EF1770" s="12"/>
    </row>
    <row r="1771" spans="8:136" ht="10.199999999999999" x14ac:dyDescent="0.2">
      <c r="H1771" s="12"/>
      <c r="V1771" s="12"/>
      <c r="AJ1771" s="12"/>
      <c r="AX1771" s="12"/>
      <c r="BL1771" s="12"/>
      <c r="BZ1771" s="12"/>
      <c r="CB1771" s="12"/>
      <c r="CP1771" s="12"/>
      <c r="DD1771" s="12"/>
      <c r="DR1771" s="12"/>
      <c r="EF1771" s="12"/>
    </row>
    <row r="1772" spans="8:136" ht="10.199999999999999" x14ac:dyDescent="0.2">
      <c r="H1772" s="12"/>
      <c r="V1772" s="12"/>
      <c r="AJ1772" s="12"/>
      <c r="AX1772" s="12"/>
      <c r="BL1772" s="12"/>
      <c r="BZ1772" s="12"/>
      <c r="CB1772" s="12"/>
      <c r="CP1772" s="12"/>
      <c r="DD1772" s="12"/>
      <c r="DR1772" s="12"/>
      <c r="EF1772" s="12"/>
    </row>
    <row r="1773" spans="8:136" ht="10.199999999999999" x14ac:dyDescent="0.2">
      <c r="H1773" s="12"/>
      <c r="V1773" s="12"/>
      <c r="AJ1773" s="12"/>
      <c r="AX1773" s="12"/>
      <c r="BL1773" s="12"/>
      <c r="BZ1773" s="12"/>
      <c r="CB1773" s="12"/>
      <c r="CP1773" s="12"/>
      <c r="DD1773" s="12"/>
      <c r="DR1773" s="12"/>
      <c r="EF1773" s="12"/>
    </row>
    <row r="1774" spans="8:136" ht="10.199999999999999" x14ac:dyDescent="0.2">
      <c r="H1774" s="12"/>
      <c r="V1774" s="12"/>
      <c r="AJ1774" s="12"/>
      <c r="AX1774" s="12"/>
      <c r="BL1774" s="12"/>
      <c r="BZ1774" s="12"/>
      <c r="CB1774" s="12"/>
      <c r="CP1774" s="12"/>
      <c r="DD1774" s="12"/>
      <c r="DR1774" s="12"/>
      <c r="EF1774" s="12"/>
    </row>
    <row r="1775" spans="8:136" ht="10.199999999999999" x14ac:dyDescent="0.2">
      <c r="H1775" s="12"/>
      <c r="V1775" s="12"/>
      <c r="AJ1775" s="12"/>
      <c r="AX1775" s="12"/>
      <c r="BL1775" s="12"/>
      <c r="BZ1775" s="12"/>
      <c r="CB1775" s="12"/>
      <c r="CP1775" s="12"/>
      <c r="DD1775" s="12"/>
      <c r="DR1775" s="12"/>
      <c r="EF1775" s="12"/>
    </row>
    <row r="1776" spans="8:136" ht="10.199999999999999" x14ac:dyDescent="0.2">
      <c r="H1776" s="12"/>
      <c r="V1776" s="12"/>
      <c r="AJ1776" s="12"/>
      <c r="AX1776" s="12"/>
      <c r="BL1776" s="12"/>
      <c r="BZ1776" s="12"/>
      <c r="CB1776" s="12"/>
      <c r="CP1776" s="12"/>
      <c r="DD1776" s="12"/>
      <c r="DR1776" s="12"/>
      <c r="EF1776" s="12"/>
    </row>
    <row r="1777" spans="8:136" ht="10.199999999999999" x14ac:dyDescent="0.2">
      <c r="H1777" s="12"/>
      <c r="V1777" s="12"/>
      <c r="AJ1777" s="12"/>
      <c r="AX1777" s="12"/>
      <c r="BL1777" s="12"/>
      <c r="BZ1777" s="12"/>
      <c r="CB1777" s="12"/>
      <c r="CP1777" s="12"/>
      <c r="DD1777" s="12"/>
      <c r="DR1777" s="12"/>
      <c r="EF1777" s="12"/>
    </row>
    <row r="1778" spans="8:136" ht="10.199999999999999" x14ac:dyDescent="0.2">
      <c r="H1778" s="12"/>
      <c r="V1778" s="12"/>
      <c r="AJ1778" s="12"/>
      <c r="AX1778" s="12"/>
      <c r="BL1778" s="12"/>
      <c r="BZ1778" s="12"/>
      <c r="CB1778" s="12"/>
      <c r="CP1778" s="12"/>
      <c r="DD1778" s="12"/>
      <c r="DR1778" s="12"/>
      <c r="EF1778" s="12"/>
    </row>
    <row r="1779" spans="8:136" ht="10.199999999999999" x14ac:dyDescent="0.2">
      <c r="H1779" s="12"/>
      <c r="V1779" s="12"/>
      <c r="AJ1779" s="12"/>
      <c r="AX1779" s="12"/>
      <c r="BL1779" s="12"/>
      <c r="BZ1779" s="12"/>
      <c r="CB1779" s="12"/>
      <c r="CP1779" s="12"/>
      <c r="DD1779" s="12"/>
      <c r="DR1779" s="12"/>
      <c r="EF1779" s="12"/>
    </row>
    <row r="1780" spans="8:136" ht="10.199999999999999" x14ac:dyDescent="0.2">
      <c r="H1780" s="12"/>
      <c r="V1780" s="12"/>
      <c r="AJ1780" s="12"/>
      <c r="AX1780" s="12"/>
      <c r="BL1780" s="12"/>
      <c r="BZ1780" s="12"/>
      <c r="CB1780" s="12"/>
      <c r="CP1780" s="12"/>
      <c r="DD1780" s="12"/>
      <c r="DR1780" s="12"/>
      <c r="EF1780" s="12"/>
    </row>
    <row r="1781" spans="8:136" ht="10.199999999999999" x14ac:dyDescent="0.2">
      <c r="H1781" s="12"/>
      <c r="V1781" s="12"/>
      <c r="AJ1781" s="12"/>
      <c r="AX1781" s="12"/>
      <c r="BL1781" s="12"/>
      <c r="BZ1781" s="12"/>
      <c r="CB1781" s="12"/>
      <c r="CP1781" s="12"/>
      <c r="DD1781" s="12"/>
      <c r="DR1781" s="12"/>
      <c r="EF1781" s="12"/>
    </row>
    <row r="1782" spans="8:136" ht="10.199999999999999" x14ac:dyDescent="0.2">
      <c r="H1782" s="12"/>
      <c r="V1782" s="12"/>
      <c r="AJ1782" s="12"/>
      <c r="AX1782" s="12"/>
      <c r="BL1782" s="12"/>
      <c r="BZ1782" s="12"/>
      <c r="CB1782" s="12"/>
      <c r="CP1782" s="12"/>
      <c r="DD1782" s="12"/>
      <c r="DR1782" s="12"/>
      <c r="EF1782" s="12"/>
    </row>
    <row r="1783" spans="8:136" ht="10.199999999999999" x14ac:dyDescent="0.2">
      <c r="H1783" s="12"/>
      <c r="V1783" s="12"/>
      <c r="AJ1783" s="12"/>
      <c r="AX1783" s="12"/>
      <c r="BL1783" s="12"/>
      <c r="BZ1783" s="12"/>
      <c r="CB1783" s="12"/>
      <c r="CP1783" s="12"/>
      <c r="DD1783" s="12"/>
      <c r="DR1783" s="12"/>
      <c r="EF1783" s="12"/>
    </row>
    <row r="1784" spans="8:136" ht="10.199999999999999" x14ac:dyDescent="0.2">
      <c r="H1784" s="12"/>
      <c r="V1784" s="12"/>
      <c r="AJ1784" s="12"/>
      <c r="AX1784" s="12"/>
      <c r="BL1784" s="12"/>
      <c r="BZ1784" s="12"/>
      <c r="CB1784" s="12"/>
      <c r="CP1784" s="12"/>
      <c r="DD1784" s="12"/>
      <c r="DR1784" s="12"/>
      <c r="EF1784" s="12"/>
    </row>
    <row r="1785" spans="8:136" ht="10.199999999999999" x14ac:dyDescent="0.2">
      <c r="H1785" s="12"/>
      <c r="V1785" s="12"/>
      <c r="AJ1785" s="12"/>
      <c r="AX1785" s="12"/>
      <c r="BL1785" s="12"/>
      <c r="BZ1785" s="12"/>
      <c r="CB1785" s="12"/>
      <c r="CP1785" s="12"/>
      <c r="DD1785" s="12"/>
      <c r="DR1785" s="12"/>
      <c r="EF1785" s="12"/>
    </row>
    <row r="1786" spans="8:136" ht="10.199999999999999" x14ac:dyDescent="0.2">
      <c r="H1786" s="12"/>
      <c r="V1786" s="12"/>
      <c r="AJ1786" s="12"/>
      <c r="AX1786" s="12"/>
      <c r="BL1786" s="12"/>
      <c r="BZ1786" s="12"/>
      <c r="CB1786" s="12"/>
      <c r="CP1786" s="12"/>
      <c r="DD1786" s="12"/>
      <c r="DR1786" s="12"/>
      <c r="EF1786" s="12"/>
    </row>
    <row r="1787" spans="8:136" ht="10.199999999999999" x14ac:dyDescent="0.2">
      <c r="H1787" s="12"/>
      <c r="V1787" s="12"/>
      <c r="AJ1787" s="12"/>
      <c r="AX1787" s="12"/>
      <c r="BL1787" s="12"/>
      <c r="BZ1787" s="12"/>
      <c r="CB1787" s="12"/>
      <c r="CP1787" s="12"/>
      <c r="DD1787" s="12"/>
      <c r="DR1787" s="12"/>
      <c r="EF1787" s="12"/>
    </row>
    <row r="1788" spans="8:136" ht="10.199999999999999" x14ac:dyDescent="0.2">
      <c r="H1788" s="12"/>
      <c r="V1788" s="12"/>
      <c r="AJ1788" s="12"/>
      <c r="AX1788" s="12"/>
      <c r="BL1788" s="12"/>
      <c r="BZ1788" s="12"/>
      <c r="CB1788" s="12"/>
      <c r="CP1788" s="12"/>
      <c r="DD1788" s="12"/>
      <c r="DR1788" s="12"/>
      <c r="EF1788" s="12"/>
    </row>
    <row r="1789" spans="8:136" ht="10.199999999999999" x14ac:dyDescent="0.2">
      <c r="H1789" s="12"/>
      <c r="V1789" s="12"/>
      <c r="AJ1789" s="12"/>
      <c r="AX1789" s="12"/>
      <c r="BL1789" s="12"/>
      <c r="BZ1789" s="12"/>
      <c r="CB1789" s="12"/>
      <c r="CP1789" s="12"/>
      <c r="DD1789" s="12"/>
      <c r="DR1789" s="12"/>
      <c r="EF1789" s="12"/>
    </row>
    <row r="1790" spans="8:136" ht="10.199999999999999" x14ac:dyDescent="0.2">
      <c r="H1790" s="12"/>
      <c r="V1790" s="12"/>
      <c r="AJ1790" s="12"/>
      <c r="AX1790" s="12"/>
      <c r="BL1790" s="12"/>
      <c r="BZ1790" s="12"/>
      <c r="CB1790" s="12"/>
      <c r="CP1790" s="12"/>
      <c r="DD1790" s="12"/>
      <c r="DR1790" s="12"/>
      <c r="EF1790" s="12"/>
    </row>
    <row r="1791" spans="8:136" ht="10.199999999999999" x14ac:dyDescent="0.2">
      <c r="H1791" s="12"/>
      <c r="V1791" s="12"/>
      <c r="AJ1791" s="12"/>
      <c r="AX1791" s="12"/>
      <c r="BL1791" s="12"/>
      <c r="BZ1791" s="12"/>
      <c r="CB1791" s="12"/>
      <c r="CP1791" s="12"/>
      <c r="DD1791" s="12"/>
      <c r="DR1791" s="12"/>
      <c r="EF1791" s="12"/>
    </row>
  </sheetData>
  <sheetProtection algorithmName="SHA-512" hashValue="A1BtcB3msTuYTwpxYmFBaS8R3n90/+zs411LJI30KEZpWZeSrtmvDfrf9AMbkarYIBbD7weOIo2vc0sxKgKTEg==" saltValue="P1+Z+xu9D2WLyOvhT2EwyA==" spinCount="100000" sheet="1" objects="1" scenarios="1" formatCells="0" formatColumns="0" formatRows="0" autoFilter="0" pivotTables="0"/>
  <mergeCells count="16">
    <mergeCell ref="CC7:CO7"/>
    <mergeCell ref="CQ7:DC7"/>
    <mergeCell ref="DE7:DQ7"/>
    <mergeCell ref="DS7:EE7"/>
    <mergeCell ref="EG7:ES7"/>
    <mergeCell ref="C7:C8"/>
    <mergeCell ref="I7:U7"/>
    <mergeCell ref="W7:AI7"/>
    <mergeCell ref="AK7:AW7"/>
    <mergeCell ref="AY7:BK7"/>
    <mergeCell ref="D7:D8"/>
    <mergeCell ref="BM7:BY7"/>
    <mergeCell ref="CA7:CA8"/>
    <mergeCell ref="E7:E8"/>
    <mergeCell ref="G7:G8"/>
    <mergeCell ref="F7:F8"/>
  </mergeCells>
  <conditionalFormatting sqref="I60:T60 I12:T51">
    <cfRule type="cellIs" dxfId="133" priority="67" operator="greaterThan">
      <formula>I$6</formula>
    </cfRule>
  </conditionalFormatting>
  <conditionalFormatting sqref="I52:T52">
    <cfRule type="cellIs" dxfId="132" priority="62" operator="greaterThan">
      <formula>I$6</formula>
    </cfRule>
  </conditionalFormatting>
  <conditionalFormatting sqref="I53:T53">
    <cfRule type="cellIs" dxfId="131" priority="61" operator="greaterThan">
      <formula>I$6</formula>
    </cfRule>
  </conditionalFormatting>
  <conditionalFormatting sqref="W12:AH51 W60:AH60">
    <cfRule type="cellIs" dxfId="130" priority="60" operator="greaterThan">
      <formula>W$6</formula>
    </cfRule>
  </conditionalFormatting>
  <conditionalFormatting sqref="W52:AH52">
    <cfRule type="cellIs" dxfId="129" priority="59" operator="greaterThan">
      <formula>W$6</formula>
    </cfRule>
  </conditionalFormatting>
  <conditionalFormatting sqref="W53:AH53">
    <cfRule type="cellIs" dxfId="128" priority="58" operator="greaterThan">
      <formula>W$6</formula>
    </cfRule>
  </conditionalFormatting>
  <conditionalFormatting sqref="AK12:AV51 AK60:AV60">
    <cfRule type="cellIs" dxfId="127" priority="57" operator="greaterThan">
      <formula>AK$6</formula>
    </cfRule>
  </conditionalFormatting>
  <conditionalFormatting sqref="AK52:AV52">
    <cfRule type="cellIs" dxfId="126" priority="56" operator="greaterThan">
      <formula>AK$6</formula>
    </cfRule>
  </conditionalFormatting>
  <conditionalFormatting sqref="AK53:AV53">
    <cfRule type="cellIs" dxfId="125" priority="55" operator="greaterThan">
      <formula>AK$6</formula>
    </cfRule>
  </conditionalFormatting>
  <conditionalFormatting sqref="AY12:BJ51 AY60:BJ60">
    <cfRule type="cellIs" dxfId="124" priority="54" operator="greaterThan">
      <formula>AY$6</formula>
    </cfRule>
  </conditionalFormatting>
  <conditionalFormatting sqref="AY52:BJ52">
    <cfRule type="cellIs" dxfId="123" priority="53" operator="greaterThan">
      <formula>AY$6</formula>
    </cfRule>
  </conditionalFormatting>
  <conditionalFormatting sqref="AY53:BJ53">
    <cfRule type="cellIs" dxfId="122" priority="52" operator="greaterThan">
      <formula>AY$6</formula>
    </cfRule>
  </conditionalFormatting>
  <conditionalFormatting sqref="BM12:BX51 BM60:BX60">
    <cfRule type="cellIs" dxfId="121" priority="51" operator="greaterThan">
      <formula>BM$6</formula>
    </cfRule>
  </conditionalFormatting>
  <conditionalFormatting sqref="BM52:BX52">
    <cfRule type="cellIs" dxfId="120" priority="50" operator="greaterThan">
      <formula>BM$6</formula>
    </cfRule>
  </conditionalFormatting>
  <conditionalFormatting sqref="BM53:BX53">
    <cfRule type="cellIs" dxfId="119" priority="49" operator="greaterThan">
      <formula>BM$6</formula>
    </cfRule>
  </conditionalFormatting>
  <conditionalFormatting sqref="I54:T54">
    <cfRule type="cellIs" dxfId="118" priority="48" operator="greaterThan">
      <formula>I$6</formula>
    </cfRule>
  </conditionalFormatting>
  <conditionalFormatting sqref="W54:AH54">
    <cfRule type="cellIs" dxfId="117" priority="47" operator="greaterThan">
      <formula>W$6</formula>
    </cfRule>
  </conditionalFormatting>
  <conditionalFormatting sqref="AK54:AV54">
    <cfRule type="cellIs" dxfId="116" priority="46" operator="greaterThan">
      <formula>AK$6</formula>
    </cfRule>
  </conditionalFormatting>
  <conditionalFormatting sqref="AY54:BJ54">
    <cfRule type="cellIs" dxfId="115" priority="45" operator="greaterThan">
      <formula>AY$6</formula>
    </cfRule>
  </conditionalFormatting>
  <conditionalFormatting sqref="BM54:BX54">
    <cfRule type="cellIs" dxfId="114" priority="44" operator="greaterThan">
      <formula>BM$6</formula>
    </cfRule>
  </conditionalFormatting>
  <conditionalFormatting sqref="I55:T55">
    <cfRule type="cellIs" dxfId="113" priority="43" operator="greaterThan">
      <formula>I$6</formula>
    </cfRule>
  </conditionalFormatting>
  <conditionalFormatting sqref="W55:AH55">
    <cfRule type="cellIs" dxfId="112" priority="42" operator="greaterThan">
      <formula>W$6</formula>
    </cfRule>
  </conditionalFormatting>
  <conditionalFormatting sqref="AK55:AV55">
    <cfRule type="cellIs" dxfId="111" priority="41" operator="greaterThan">
      <formula>AK$6</formula>
    </cfRule>
  </conditionalFormatting>
  <conditionalFormatting sqref="AY55:BJ55">
    <cfRule type="cellIs" dxfId="110" priority="40" operator="greaterThan">
      <formula>AY$6</formula>
    </cfRule>
  </conditionalFormatting>
  <conditionalFormatting sqref="BM55:BX55">
    <cfRule type="cellIs" dxfId="109" priority="39" operator="greaterThan">
      <formula>BM$6</formula>
    </cfRule>
  </conditionalFormatting>
  <conditionalFormatting sqref="I56:T56">
    <cfRule type="cellIs" dxfId="108" priority="38" operator="greaterThan">
      <formula>I$6</formula>
    </cfRule>
  </conditionalFormatting>
  <conditionalFormatting sqref="W56:AH56">
    <cfRule type="cellIs" dxfId="107" priority="37" operator="greaterThan">
      <formula>W$6</formula>
    </cfRule>
  </conditionalFormatting>
  <conditionalFormatting sqref="AK56:AV56">
    <cfRule type="cellIs" dxfId="106" priority="36" operator="greaterThan">
      <formula>AK$6</formula>
    </cfRule>
  </conditionalFormatting>
  <conditionalFormatting sqref="AY56:BJ56">
    <cfRule type="cellIs" dxfId="105" priority="35" operator="greaterThan">
      <formula>AY$6</formula>
    </cfRule>
  </conditionalFormatting>
  <conditionalFormatting sqref="BM56:BX56">
    <cfRule type="cellIs" dxfId="104" priority="34" operator="greaterThan">
      <formula>BM$6</formula>
    </cfRule>
  </conditionalFormatting>
  <conditionalFormatting sqref="I57:T57">
    <cfRule type="cellIs" dxfId="103" priority="33" operator="greaterThan">
      <formula>I$6</formula>
    </cfRule>
  </conditionalFormatting>
  <conditionalFormatting sqref="W57:AH57">
    <cfRule type="cellIs" dxfId="102" priority="32" operator="greaterThan">
      <formula>W$6</formula>
    </cfRule>
  </conditionalFormatting>
  <conditionalFormatting sqref="AK57:AV57">
    <cfRule type="cellIs" dxfId="101" priority="31" operator="greaterThan">
      <formula>AK$6</formula>
    </cfRule>
  </conditionalFormatting>
  <conditionalFormatting sqref="AY57:BJ57">
    <cfRule type="cellIs" dxfId="100" priority="30" operator="greaterThan">
      <formula>AY$6</formula>
    </cfRule>
  </conditionalFormatting>
  <conditionalFormatting sqref="BM57:BX57">
    <cfRule type="cellIs" dxfId="99" priority="29" operator="greaterThan">
      <formula>BM$6</formula>
    </cfRule>
  </conditionalFormatting>
  <conditionalFormatting sqref="I58:T58">
    <cfRule type="cellIs" dxfId="98" priority="28" operator="greaterThan">
      <formula>I$6</formula>
    </cfRule>
  </conditionalFormatting>
  <conditionalFormatting sqref="W58:AH58">
    <cfRule type="cellIs" dxfId="97" priority="27" operator="greaterThan">
      <formula>W$6</formula>
    </cfRule>
  </conditionalFormatting>
  <conditionalFormatting sqref="AK58:AV58">
    <cfRule type="cellIs" dxfId="96" priority="26" operator="greaterThan">
      <formula>AK$6</formula>
    </cfRule>
  </conditionalFormatting>
  <conditionalFormatting sqref="AY58:BJ58">
    <cfRule type="cellIs" dxfId="95" priority="25" operator="greaterThan">
      <formula>AY$6</formula>
    </cfRule>
  </conditionalFormatting>
  <conditionalFormatting sqref="BM58:BX58">
    <cfRule type="cellIs" dxfId="94" priority="24" operator="greaterThan">
      <formula>BM$6</formula>
    </cfRule>
  </conditionalFormatting>
  <conditionalFormatting sqref="I59:T59">
    <cfRule type="cellIs" dxfId="93" priority="23" operator="greaterThan">
      <formula>I$6</formula>
    </cfRule>
  </conditionalFormatting>
  <conditionalFormatting sqref="W59:AH59">
    <cfRule type="cellIs" dxfId="92" priority="22" operator="greaterThan">
      <formula>W$6</formula>
    </cfRule>
  </conditionalFormatting>
  <conditionalFormatting sqref="AK59:AV59">
    <cfRule type="cellIs" dxfId="91" priority="21" operator="greaterThan">
      <formula>AK$6</formula>
    </cfRule>
  </conditionalFormatting>
  <conditionalFormatting sqref="AY59:BJ59">
    <cfRule type="cellIs" dxfId="90" priority="20" operator="greaterThan">
      <formula>AY$6</formula>
    </cfRule>
  </conditionalFormatting>
  <conditionalFormatting sqref="BM59:BX59">
    <cfRule type="cellIs" dxfId="89" priority="19" operator="greaterThan">
      <formula>BM$6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2" r:id="rId4" name="Button 6">
              <controlPr defaultSize="0" print="0" autoFill="0" autoPict="0" macro="[0]!ДобавитьСтроку">
                <anchor moveWithCells="1" sizeWithCells="1">
                  <from>
                    <xdr:col>2</xdr:col>
                    <xdr:colOff>1638300</xdr:colOff>
                    <xdr:row>0</xdr:row>
                    <xdr:rowOff>137160</xdr:rowOff>
                  </from>
                  <to>
                    <xdr:col>4</xdr:col>
                    <xdr:colOff>914400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Выбрать из списка" xr:uid="{00000000-0002-0000-0300-000000000000}">
          <x14:formula1>
            <xm:f>Справочники!$S$4:$S$22</xm:f>
          </x14:formula1>
          <xm:sqref>C12:C60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>
    <pageSetUpPr fitToPage="1"/>
  </sheetPr>
  <dimension ref="A1:T23"/>
  <sheetViews>
    <sheetView showGridLines="0" zoomScaleNormal="100" workbookViewId="0">
      <pane xSplit="5" ySplit="5" topLeftCell="F12" activePane="bottomRight" state="frozen"/>
      <selection pane="topRight" activeCell="F1" sqref="F1"/>
      <selection pane="bottomLeft" activeCell="A6" sqref="A6"/>
      <selection pane="bottomRight" activeCell="G25" sqref="G25"/>
    </sheetView>
  </sheetViews>
  <sheetFormatPr defaultColWidth="9.109375" defaultRowHeight="10.199999999999999" outlineLevelCol="1" x14ac:dyDescent="0.2"/>
  <cols>
    <col min="1" max="1" width="3.5546875" style="12" hidden="1" customWidth="1"/>
    <col min="2" max="2" width="2" style="12" customWidth="1"/>
    <col min="3" max="3" width="19" style="53" customWidth="1"/>
    <col min="4" max="4" width="14.6640625" style="12" customWidth="1"/>
    <col min="5" max="5" width="31.5546875" style="12" customWidth="1"/>
    <col min="6" max="10" width="14.5546875" style="12" customWidth="1"/>
    <col min="11" max="13" width="14.5546875" style="12" customWidth="1" outlineLevel="1"/>
    <col min="14" max="14" width="14.5546875" style="12" customWidth="1"/>
    <col min="15" max="18" width="14.5546875" style="12" customWidth="1" outlineLevel="1"/>
    <col min="19" max="19" width="14.5546875" style="12" customWidth="1"/>
    <col min="20" max="20" width="30.6640625" style="12" customWidth="1"/>
    <col min="21" max="16384" width="9.109375" style="12"/>
  </cols>
  <sheetData>
    <row r="1" spans="1:20" ht="13.2" x14ac:dyDescent="0.25">
      <c r="C1" s="150" t="s">
        <v>16</v>
      </c>
      <c r="D1" s="51"/>
    </row>
    <row r="2" spans="1:20" x14ac:dyDescent="0.2">
      <c r="C2" s="50"/>
      <c r="D2" s="51"/>
    </row>
    <row r="3" spans="1:20" x14ac:dyDescent="0.2">
      <c r="C3" s="50"/>
      <c r="D3" s="51"/>
    </row>
    <row r="4" spans="1:20" s="52" customFormat="1" ht="20.399999999999999" x14ac:dyDescent="0.3">
      <c r="C4" s="128" t="s">
        <v>0</v>
      </c>
      <c r="D4" s="129" t="s">
        <v>25</v>
      </c>
      <c r="E4" s="129" t="s">
        <v>14</v>
      </c>
      <c r="F4" s="129" t="s">
        <v>17</v>
      </c>
      <c r="G4" s="129" t="s">
        <v>18</v>
      </c>
      <c r="H4" s="129" t="s">
        <v>23</v>
      </c>
      <c r="I4" s="129" t="s">
        <v>24</v>
      </c>
      <c r="J4" s="129" t="s">
        <v>39</v>
      </c>
      <c r="K4" s="129" t="s">
        <v>21</v>
      </c>
      <c r="L4" s="129" t="s">
        <v>20</v>
      </c>
      <c r="M4" s="129" t="s">
        <v>19</v>
      </c>
      <c r="N4" s="129" t="s">
        <v>398</v>
      </c>
      <c r="O4" s="129" t="s">
        <v>399</v>
      </c>
      <c r="P4" s="129" t="s">
        <v>400</v>
      </c>
      <c r="Q4" s="129" t="s">
        <v>401</v>
      </c>
      <c r="R4" s="129" t="s">
        <v>208</v>
      </c>
      <c r="S4" s="129" t="s">
        <v>402</v>
      </c>
      <c r="T4" s="129" t="s">
        <v>22</v>
      </c>
    </row>
    <row r="5" spans="1:20" x14ac:dyDescent="0.2">
      <c r="C5" s="121" t="s">
        <v>56</v>
      </c>
      <c r="D5" s="41"/>
      <c r="E5" s="41"/>
      <c r="F5" s="41"/>
      <c r="G5" s="41"/>
      <c r="H5" s="41"/>
      <c r="I5" s="41"/>
      <c r="J5" s="41"/>
      <c r="K5" s="41">
        <f>SUBTOTAL(109,K6:K16)</f>
        <v>2800</v>
      </c>
      <c r="L5" s="41">
        <f t="shared" ref="L5" si="0">SUBTOTAL(109,L6:L16)</f>
        <v>15000</v>
      </c>
      <c r="M5" s="41">
        <f>SUBTOTAL(109,M6:M16)</f>
        <v>55000</v>
      </c>
      <c r="N5" s="41">
        <f>SUBTOTAL(109,N6:N16)</f>
        <v>80600</v>
      </c>
      <c r="O5" s="41">
        <f t="shared" ref="O5:S5" si="1">SUBTOTAL(109,O6:O16)</f>
        <v>30800</v>
      </c>
      <c r="P5" s="41">
        <f t="shared" si="1"/>
        <v>80000</v>
      </c>
      <c r="Q5" s="41">
        <f t="shared" si="1"/>
        <v>474000</v>
      </c>
      <c r="R5" s="41">
        <f t="shared" si="1"/>
        <v>0</v>
      </c>
      <c r="S5" s="41">
        <f t="shared" si="1"/>
        <v>584800</v>
      </c>
      <c r="T5" s="41"/>
    </row>
    <row r="6" spans="1:20" x14ac:dyDescent="0.2">
      <c r="A6" s="12">
        <v>1</v>
      </c>
      <c r="C6" s="130" t="str">
        <f>IFERROR('Карточка проекта'!$D$4,"-")</f>
        <v>ООО</v>
      </c>
      <c r="D6" s="146" t="s">
        <v>26</v>
      </c>
      <c r="E6" s="131" t="str">
        <f>IFERROR('Карточка проекта'!$B$1,"-")</f>
        <v xml:space="preserve">Облачное хранилище для строительной компании с функцией архивации </v>
      </c>
      <c r="F6" s="133" t="s">
        <v>37</v>
      </c>
      <c r="G6" s="134">
        <v>1</v>
      </c>
      <c r="H6" s="134">
        <v>2</v>
      </c>
      <c r="I6" s="134">
        <v>2</v>
      </c>
      <c r="J6" s="135" t="s">
        <v>443</v>
      </c>
      <c r="K6" s="132">
        <f>SUMIFS(Командировки_инф[Суточные],Командировки_инф[Категория исполнителей],$F6,Командировки_инф[Город],$D6)</f>
        <v>700</v>
      </c>
      <c r="L6" s="132">
        <f>IF(I6=1,0,SUMIFS(Командировки_инф[Проживание],Командировки_инф[Категория исполнителей],$F6,Командировки_инф[Город],$D6))</f>
        <v>5000</v>
      </c>
      <c r="M6" s="132">
        <f>SUMIFS(Командировки_инф[Стоимость проезда в обе стороны],Командировки_инф[Категория исполнителей],$F6,Командировки_инф[Город],$D6)</f>
        <v>12000</v>
      </c>
      <c r="N6" s="173">
        <f>$K6*$I6+$L6*($I6-1)+$M6</f>
        <v>18400</v>
      </c>
      <c r="O6" s="132">
        <f>$K6*$H6*$G6*I6</f>
        <v>2800</v>
      </c>
      <c r="P6" s="132">
        <f>$L6*$H6*$G6*($I6-1)</f>
        <v>10000</v>
      </c>
      <c r="Q6" s="132">
        <f>$M6*$H6*$G6</f>
        <v>24000</v>
      </c>
      <c r="R6" s="174"/>
      <c r="S6" s="173">
        <f>O6+P6+Q6+R6</f>
        <v>36800</v>
      </c>
      <c r="T6" s="136"/>
    </row>
    <row r="7" spans="1:20" x14ac:dyDescent="0.2">
      <c r="A7" s="12">
        <v>1</v>
      </c>
      <c r="C7" s="130" t="str">
        <f>IFERROR('Карточка проекта'!$D$4,"-")</f>
        <v>ООО</v>
      </c>
      <c r="D7" s="146" t="s">
        <v>26</v>
      </c>
      <c r="E7" s="131" t="str">
        <f>IFERROR('Карточка проекта'!$B$1,"-")</f>
        <v xml:space="preserve">Облачное хранилище для строительной компании с функцией архивации </v>
      </c>
      <c r="F7" s="133" t="s">
        <v>27</v>
      </c>
      <c r="G7" s="134">
        <v>2</v>
      </c>
      <c r="H7" s="134">
        <v>3</v>
      </c>
      <c r="I7" s="134">
        <v>3</v>
      </c>
      <c r="J7" s="135" t="s">
        <v>444</v>
      </c>
      <c r="K7" s="132">
        <f>SUMIFS(Командировки_инф[Суточные],Командировки_инф[Категория исполнителей],$F7,Командировки_инф[Город],$D7)</f>
        <v>700</v>
      </c>
      <c r="L7" s="132">
        <f>IF(I7=1,0,SUMIFS(Командировки_инф[Проживание],Командировки_инф[Категория исполнителей],$F7,Командировки_инф[Город],$D7))</f>
        <v>5000</v>
      </c>
      <c r="M7" s="132">
        <f>SUMIFS(Командировки_инф[Стоимость проезда в обе стороны],Командировки_инф[Категория исполнителей],$F7,Командировки_инф[Город],$D7)</f>
        <v>11000</v>
      </c>
      <c r="N7" s="173">
        <f t="shared" ref="N7:N16" si="2">$K7*$I7+$L7*($I7-1)+$M7</f>
        <v>23100</v>
      </c>
      <c r="O7" s="132">
        <f t="shared" ref="O7:O16" si="3">$K7*$H7*$G7*I7</f>
        <v>12600</v>
      </c>
      <c r="P7" s="132">
        <f t="shared" ref="P7:P16" si="4">$L7*$H7*$G7*($I7-1)</f>
        <v>60000</v>
      </c>
      <c r="Q7" s="132">
        <f t="shared" ref="Q7:Q16" si="5">$M7*$H7*$G7</f>
        <v>66000</v>
      </c>
      <c r="R7" s="174"/>
      <c r="S7" s="173">
        <f t="shared" ref="S7:S16" si="6">O7+P7+Q7+R7</f>
        <v>138600</v>
      </c>
      <c r="T7" s="136"/>
    </row>
    <row r="8" spans="1:20" x14ac:dyDescent="0.2">
      <c r="A8" s="12">
        <v>1</v>
      </c>
      <c r="C8" s="130" t="str">
        <f>IFERROR('Карточка проекта'!$D$4,"-")</f>
        <v>ООО</v>
      </c>
      <c r="D8" s="146"/>
      <c r="E8" s="131" t="str">
        <f>IFERROR('Карточка проекта'!$B$1,"-")</f>
        <v xml:space="preserve">Облачное хранилище для строительной компании с функцией архивации </v>
      </c>
      <c r="F8" s="133"/>
      <c r="G8" s="134"/>
      <c r="H8" s="134"/>
      <c r="I8" s="134"/>
      <c r="J8" s="135"/>
      <c r="K8" s="132">
        <f>SUMIFS(Командировки_инф[Суточные],Командировки_инф[Категория исполнителей],$F8,Командировки_инф[Город],$D8)</f>
        <v>0</v>
      </c>
      <c r="L8" s="132">
        <f>IF(I8=1,0,SUMIFS(Командировки_инф[Проживание],Командировки_инф[Категория исполнителей],$F8,Командировки_инф[Город],$D8))</f>
        <v>0</v>
      </c>
      <c r="M8" s="132">
        <f>SUMIFS(Командировки_инф[Стоимость проезда в обе стороны],Командировки_инф[Категория исполнителей],$F8,Командировки_инф[Город],$D8)</f>
        <v>0</v>
      </c>
      <c r="N8" s="173">
        <f t="shared" si="2"/>
        <v>0</v>
      </c>
      <c r="O8" s="132">
        <f t="shared" si="3"/>
        <v>0</v>
      </c>
      <c r="P8" s="132">
        <f t="shared" si="4"/>
        <v>0</v>
      </c>
      <c r="Q8" s="132">
        <f t="shared" si="5"/>
        <v>0</v>
      </c>
      <c r="R8" s="174"/>
      <c r="S8" s="173">
        <f t="shared" si="6"/>
        <v>0</v>
      </c>
      <c r="T8" s="136"/>
    </row>
    <row r="9" spans="1:20" x14ac:dyDescent="0.2">
      <c r="A9" s="12">
        <v>1</v>
      </c>
      <c r="C9" s="130" t="str">
        <f>IFERROR('Карточка проекта'!$D$4,"-")</f>
        <v>ООО</v>
      </c>
      <c r="D9" s="146"/>
      <c r="E9" s="131" t="str">
        <f>IFERROR('Карточка проекта'!$B$1,"-")</f>
        <v xml:space="preserve">Облачное хранилище для строительной компании с функцией архивации </v>
      </c>
      <c r="F9" s="133"/>
      <c r="G9" s="134"/>
      <c r="H9" s="134"/>
      <c r="I9" s="134"/>
      <c r="J9" s="135"/>
      <c r="K9" s="132">
        <f>SUMIFS(Командировки_инф[Суточные],Командировки_инф[Категория исполнителей],$F9,Командировки_инф[Город],$D9)</f>
        <v>0</v>
      </c>
      <c r="L9" s="132">
        <f>IF(I9=1,0,SUMIFS(Командировки_инф[Проживание],Командировки_инф[Категория исполнителей],$F9,Командировки_инф[Город],$D9))</f>
        <v>0</v>
      </c>
      <c r="M9" s="132">
        <f>SUMIFS(Командировки_инф[Стоимость проезда в обе стороны],Командировки_инф[Категория исполнителей],$F9,Командировки_инф[Город],$D9)</f>
        <v>0</v>
      </c>
      <c r="N9" s="173">
        <f t="shared" si="2"/>
        <v>0</v>
      </c>
      <c r="O9" s="132">
        <f t="shared" si="3"/>
        <v>0</v>
      </c>
      <c r="P9" s="132">
        <f t="shared" si="4"/>
        <v>0</v>
      </c>
      <c r="Q9" s="132">
        <f t="shared" si="5"/>
        <v>0</v>
      </c>
      <c r="R9" s="174"/>
      <c r="S9" s="173">
        <f t="shared" si="6"/>
        <v>0</v>
      </c>
      <c r="T9" s="136"/>
    </row>
    <row r="10" spans="1:20" x14ac:dyDescent="0.2">
      <c r="A10" s="12">
        <v>1</v>
      </c>
      <c r="C10" s="130" t="str">
        <f>IFERROR('Карточка проекта'!$D$4,"-")</f>
        <v>ООО</v>
      </c>
      <c r="D10" s="146"/>
      <c r="E10" s="131" t="str">
        <f>IFERROR('Карточка проекта'!$B$1,"-")</f>
        <v xml:space="preserve">Облачное хранилище для строительной компании с функцией архивации </v>
      </c>
      <c r="F10" s="133"/>
      <c r="G10" s="134"/>
      <c r="H10" s="134"/>
      <c r="I10" s="134"/>
      <c r="J10" s="135"/>
      <c r="K10" s="132">
        <f>SUMIFS(Командировки_инф[Суточные],Командировки_инф[Категория исполнителей],$F10,Командировки_инф[Город],$D10)</f>
        <v>0</v>
      </c>
      <c r="L10" s="132">
        <f>IF(I10=1,0,SUMIFS(Командировки_инф[Проживание],Командировки_инф[Категория исполнителей],$F10,Командировки_инф[Город],$D10))</f>
        <v>0</v>
      </c>
      <c r="M10" s="132">
        <f>SUMIFS(Командировки_инф[Стоимость проезда в обе стороны],Командировки_инф[Категория исполнителей],$F10,Командировки_инф[Город],$D10)</f>
        <v>0</v>
      </c>
      <c r="N10" s="173">
        <f t="shared" si="2"/>
        <v>0</v>
      </c>
      <c r="O10" s="132">
        <f t="shared" si="3"/>
        <v>0</v>
      </c>
      <c r="P10" s="132">
        <f t="shared" si="4"/>
        <v>0</v>
      </c>
      <c r="Q10" s="132">
        <f t="shared" si="5"/>
        <v>0</v>
      </c>
      <c r="R10" s="174"/>
      <c r="S10" s="173">
        <f t="shared" si="6"/>
        <v>0</v>
      </c>
      <c r="T10" s="136"/>
    </row>
    <row r="11" spans="1:20" x14ac:dyDescent="0.2">
      <c r="A11" s="12">
        <v>1</v>
      </c>
      <c r="C11" s="130" t="str">
        <f>IFERROR('Карточка проекта'!$D$4,"-")</f>
        <v>ООО</v>
      </c>
      <c r="D11" s="146"/>
      <c r="E11" s="131" t="str">
        <f>IFERROR('Карточка проекта'!$B$1,"-")</f>
        <v xml:space="preserve">Облачное хранилище для строительной компании с функцией архивации </v>
      </c>
      <c r="F11" s="133"/>
      <c r="G11" s="134"/>
      <c r="H11" s="134"/>
      <c r="I11" s="134"/>
      <c r="J11" s="135"/>
      <c r="K11" s="132">
        <f>SUMIFS(Командировки_инф[Суточные],Командировки_инф[Категория исполнителей],$F11,Командировки_инф[Город],$D11)</f>
        <v>0</v>
      </c>
      <c r="L11" s="132">
        <f>IF(I11=1,0,SUMIFS(Командировки_инф[Проживание],Командировки_инф[Категория исполнителей],$F11,Командировки_инф[Город],$D11))</f>
        <v>0</v>
      </c>
      <c r="M11" s="132">
        <f>SUMIFS(Командировки_инф[Стоимость проезда в обе стороны],Командировки_инф[Категория исполнителей],$F11,Командировки_инф[Город],$D11)</f>
        <v>0</v>
      </c>
      <c r="N11" s="173">
        <f t="shared" si="2"/>
        <v>0</v>
      </c>
      <c r="O11" s="132">
        <f t="shared" si="3"/>
        <v>0</v>
      </c>
      <c r="P11" s="132">
        <f t="shared" si="4"/>
        <v>0</v>
      </c>
      <c r="Q11" s="132">
        <f t="shared" si="5"/>
        <v>0</v>
      </c>
      <c r="R11" s="174"/>
      <c r="S11" s="173">
        <f t="shared" si="6"/>
        <v>0</v>
      </c>
      <c r="T11" s="136"/>
    </row>
    <row r="12" spans="1:20" x14ac:dyDescent="0.2">
      <c r="A12" s="12">
        <v>1</v>
      </c>
      <c r="C12" s="130" t="str">
        <f>IFERROR('Карточка проекта'!$D$4,"-")</f>
        <v>ООО</v>
      </c>
      <c r="D12" s="146" t="s">
        <v>26</v>
      </c>
      <c r="E12" s="131" t="str">
        <f>IFERROR('Карточка проекта'!$B$1,"-")</f>
        <v xml:space="preserve">Облачное хранилище для строительной компании с функцией архивации </v>
      </c>
      <c r="F12" s="133" t="s">
        <v>37</v>
      </c>
      <c r="G12" s="134">
        <v>1</v>
      </c>
      <c r="H12" s="134">
        <v>2</v>
      </c>
      <c r="I12" s="134">
        <v>2</v>
      </c>
      <c r="J12" s="135" t="s">
        <v>443</v>
      </c>
      <c r="K12" s="132">
        <f>SUMIFS(Командировки_инф[Суточные],Командировки_инф[Категория исполнителей],$F12,Командировки_инф[Город],$D12)</f>
        <v>700</v>
      </c>
      <c r="L12" s="132">
        <f>IF(I12=1,0,SUMIFS(Командировки_инф[Проживание],Командировки_инф[Категория исполнителей],$F12,Командировки_инф[Город],$D12))</f>
        <v>5000</v>
      </c>
      <c r="M12" s="132">
        <f>SUMIFS(Командировки_инф[Стоимость проезда в обе стороны],Командировки_инф[Категория исполнителей],$F12,Командировки_инф[Город],$D12)</f>
        <v>12000</v>
      </c>
      <c r="N12" s="173">
        <f t="shared" si="2"/>
        <v>18400</v>
      </c>
      <c r="O12" s="132">
        <f t="shared" si="3"/>
        <v>2800</v>
      </c>
      <c r="P12" s="132">
        <f t="shared" si="4"/>
        <v>10000</v>
      </c>
      <c r="Q12" s="132">
        <f t="shared" si="5"/>
        <v>24000</v>
      </c>
      <c r="R12" s="174"/>
      <c r="S12" s="173">
        <f t="shared" si="6"/>
        <v>36800</v>
      </c>
      <c r="T12" s="136"/>
    </row>
    <row r="13" spans="1:20" x14ac:dyDescent="0.2">
      <c r="A13" s="12">
        <v>1</v>
      </c>
      <c r="C13" s="130" t="str">
        <f>IFERROR('Карточка проекта'!$D$4,"-")</f>
        <v>ООО</v>
      </c>
      <c r="D13" s="146" t="s">
        <v>6</v>
      </c>
      <c r="E13" s="131" t="str">
        <f>IFERROR('Карточка проекта'!$B$1,"-")</f>
        <v xml:space="preserve">Облачное хранилище для строительной компании с функцией архивации </v>
      </c>
      <c r="F13" s="133" t="s">
        <v>27</v>
      </c>
      <c r="G13" s="134">
        <v>3</v>
      </c>
      <c r="H13" s="134">
        <v>6</v>
      </c>
      <c r="I13" s="134">
        <v>1</v>
      </c>
      <c r="J13" s="135" t="s">
        <v>444</v>
      </c>
      <c r="K13" s="132">
        <f>SUMIFS(Командировки_инф[Суточные],Командировки_инф[Категория исполнителей],$F13,Командировки_инф[Город],$D13)</f>
        <v>700</v>
      </c>
      <c r="L13" s="132">
        <f>IF(I13=1,0,SUMIFS(Командировки_инф[Проживание],Командировки_инф[Категория исполнителей],$F13,Командировки_инф[Город],$D13))</f>
        <v>0</v>
      </c>
      <c r="M13" s="132">
        <f>SUMIFS(Командировки_инф[Стоимость проезда в обе стороны],Командировки_инф[Категория исполнителей],$F13,Командировки_инф[Город],$D13)</f>
        <v>20000</v>
      </c>
      <c r="N13" s="173">
        <f t="shared" si="2"/>
        <v>20700</v>
      </c>
      <c r="O13" s="132">
        <f t="shared" si="3"/>
        <v>12600</v>
      </c>
      <c r="P13" s="132">
        <f t="shared" si="4"/>
        <v>0</v>
      </c>
      <c r="Q13" s="132">
        <f t="shared" si="5"/>
        <v>360000</v>
      </c>
      <c r="R13" s="174"/>
      <c r="S13" s="173">
        <f t="shared" si="6"/>
        <v>372600</v>
      </c>
      <c r="T13" s="136"/>
    </row>
    <row r="14" spans="1:20" x14ac:dyDescent="0.2">
      <c r="A14" s="12">
        <v>1</v>
      </c>
      <c r="C14" s="130" t="str">
        <f>IFERROR('Карточка проекта'!$D$4,"-")</f>
        <v>ООО</v>
      </c>
      <c r="D14" s="146"/>
      <c r="E14" s="131" t="str">
        <f>IFERROR('Карточка проекта'!$B$1,"-")</f>
        <v xml:space="preserve">Облачное хранилище для строительной компании с функцией архивации </v>
      </c>
      <c r="F14" s="133"/>
      <c r="G14" s="134"/>
      <c r="H14" s="134"/>
      <c r="I14" s="134"/>
      <c r="J14" s="135"/>
      <c r="K14" s="132">
        <f>SUMIFS(Командировки_инф[Суточные],Командировки_инф[Категория исполнителей],$F14,Командировки_инф[Город],$D14)</f>
        <v>0</v>
      </c>
      <c r="L14" s="132">
        <f>IF(I14=1,0,SUMIFS(Командировки_инф[Проживание],Командировки_инф[Категория исполнителей],$F14,Командировки_инф[Город],$D14))</f>
        <v>0</v>
      </c>
      <c r="M14" s="132">
        <f>SUMIFS(Командировки_инф[Стоимость проезда в обе стороны],Командировки_инф[Категория исполнителей],$F14,Командировки_инф[Город],$D14)</f>
        <v>0</v>
      </c>
      <c r="N14" s="173">
        <f t="shared" si="2"/>
        <v>0</v>
      </c>
      <c r="O14" s="132">
        <f t="shared" si="3"/>
        <v>0</v>
      </c>
      <c r="P14" s="132">
        <f t="shared" si="4"/>
        <v>0</v>
      </c>
      <c r="Q14" s="132">
        <f t="shared" si="5"/>
        <v>0</v>
      </c>
      <c r="R14" s="174"/>
      <c r="S14" s="173">
        <f t="shared" si="6"/>
        <v>0</v>
      </c>
      <c r="T14" s="136"/>
    </row>
    <row r="15" spans="1:20" x14ac:dyDescent="0.2">
      <c r="A15" s="12">
        <v>1</v>
      </c>
      <c r="C15" s="130" t="str">
        <f>IFERROR('Карточка проекта'!$D$4,"-")</f>
        <v>ООО</v>
      </c>
      <c r="D15" s="146"/>
      <c r="E15" s="131" t="str">
        <f>IFERROR('Карточка проекта'!$B$1,"-")</f>
        <v xml:space="preserve">Облачное хранилище для строительной компании с функцией архивации </v>
      </c>
      <c r="F15" s="133"/>
      <c r="G15" s="134"/>
      <c r="H15" s="134"/>
      <c r="I15" s="134"/>
      <c r="J15" s="135"/>
      <c r="K15" s="132">
        <f>SUMIFS(Командировки_инф[Суточные],Командировки_инф[Категория исполнителей],$F15,Командировки_инф[Город],$D15)</f>
        <v>0</v>
      </c>
      <c r="L15" s="132">
        <f>IF(I15=1,0,SUMIFS(Командировки_инф[Проживание],Командировки_инф[Категория исполнителей],$F15,Командировки_инф[Город],$D15))</f>
        <v>0</v>
      </c>
      <c r="M15" s="132">
        <f>SUMIFS(Командировки_инф[Стоимость проезда в обе стороны],Командировки_инф[Категория исполнителей],$F15,Командировки_инф[Город],$D15)</f>
        <v>0</v>
      </c>
      <c r="N15" s="173">
        <f t="shared" si="2"/>
        <v>0</v>
      </c>
      <c r="O15" s="132">
        <f t="shared" ref="O15" si="7">$K15*$H15*$G15*I15</f>
        <v>0</v>
      </c>
      <c r="P15" s="132">
        <f t="shared" si="4"/>
        <v>0</v>
      </c>
      <c r="Q15" s="132">
        <f t="shared" si="5"/>
        <v>0</v>
      </c>
      <c r="R15" s="174"/>
      <c r="S15" s="173">
        <f t="shared" ref="S15" si="8">O15+P15+Q15+R15</f>
        <v>0</v>
      </c>
      <c r="T15" s="136"/>
    </row>
    <row r="16" spans="1:20" hidden="1" x14ac:dyDescent="0.2">
      <c r="A16" s="12">
        <v>1</v>
      </c>
      <c r="C16" s="130" t="str">
        <f>IFERROR('Карточка проекта'!$D$4,"-")</f>
        <v>ООО</v>
      </c>
      <c r="D16" s="146"/>
      <c r="E16" s="131" t="str">
        <f>IFERROR('Карточка проекта'!$B$1,"-")</f>
        <v xml:space="preserve">Облачное хранилище для строительной компании с функцией архивации </v>
      </c>
      <c r="F16" s="133"/>
      <c r="G16" s="134"/>
      <c r="H16" s="134"/>
      <c r="I16" s="134"/>
      <c r="J16" s="135"/>
      <c r="K16" s="132">
        <f>SUMIFS(Командировки_инф[Суточные],Командировки_инф[Категория исполнителей],$F16,Командировки_инф[Город],$D16)</f>
        <v>0</v>
      </c>
      <c r="L16" s="132">
        <f>IF(I16=1,0,SUMIFS(Командировки_инф[Проживание],Командировки_инф[Категория исполнителей],$F16,Командировки_инф[Город],$D16))</f>
        <v>0</v>
      </c>
      <c r="M16" s="132">
        <f>SUMIFS(Командировки_инф[Стоимость проезда в обе стороны],Командировки_инф[Категория исполнителей],$F16,Командировки_инф[Город],$D16)</f>
        <v>0</v>
      </c>
      <c r="N16" s="173">
        <f t="shared" si="2"/>
        <v>0</v>
      </c>
      <c r="O16" s="132">
        <f t="shared" si="3"/>
        <v>0</v>
      </c>
      <c r="P16" s="132">
        <f t="shared" si="4"/>
        <v>0</v>
      </c>
      <c r="Q16" s="132">
        <f t="shared" si="5"/>
        <v>0</v>
      </c>
      <c r="R16" s="174"/>
      <c r="S16" s="173">
        <f t="shared" si="6"/>
        <v>0</v>
      </c>
      <c r="T16" s="136"/>
    </row>
    <row r="23" spans="13:13" x14ac:dyDescent="0.2">
      <c r="M23" s="226"/>
    </row>
  </sheetData>
  <sheetProtection algorithmName="SHA-512" hashValue="bfK89l0VtpA01oaSvvF0qHpn6bShHG6NVEEAJTE7nrQ0JUkyLApEbqj11alRjZBj03xQAT1V6V98I3e+51UFFw==" saltValue="EFYyiv7dvfaKKv7Xw4qwNg==" spinCount="100000" sheet="1" objects="1" scenarios="1" formatCells="0" formatColumns="0" formatRows="0" autoFilter="0" pivotTables="0"/>
  <pageMargins left="0.70866141732283472" right="0.70866141732283472" top="0.74803149606299213" bottom="0.74803149606299213" header="0.31496062992125984" footer="0.31496062992125984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843" r:id="rId4" name="Button 147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327660</xdr:colOff>
                    <xdr:row>0</xdr:row>
                    <xdr:rowOff>68580</xdr:rowOff>
                  </from>
                  <to>
                    <xdr:col>4</xdr:col>
                    <xdr:colOff>1950720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Справочники!$B$4:$B$6</xm:f>
          </x14:formula1>
          <xm:sqref>F6:F16</xm:sqref>
        </x14:dataValidation>
        <x14:dataValidation type="list" allowBlank="1" showInputMessage="1" showErrorMessage="1" prompt="Выбрать из списка" xr:uid="{00000000-0002-0000-0400-000001000000}">
          <x14:formula1>
            <xm:f>Справочники!$I$3:$I$8</xm:f>
          </x14:formula1>
          <xm:sqref>D6:D16</xm:sqref>
        </x14:dataValidation>
        <x14:dataValidation type="list" allowBlank="1" showInputMessage="1" showErrorMessage="1" prompt="Выбрать из списка" xr:uid="{00000000-0002-0000-0400-000002000000}">
          <x14:formula1>
            <xm:f>Справочники!$AB$4:$AB$86</xm:f>
          </x14:formula1>
          <xm:sqref>J6:J16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5">
    <outlinePr summaryRight="0"/>
  </sheetPr>
  <dimension ref="A1:BY1770"/>
  <sheetViews>
    <sheetView showGridLines="0" workbookViewId="0">
      <pane xSplit="7" ySplit="8" topLeftCell="H9" activePane="bottomRight" state="frozen"/>
      <selection pane="topRight" activeCell="H1" sqref="H1"/>
      <selection pane="bottomLeft" activeCell="A9" sqref="A9"/>
      <selection pane="bottomRight" activeCell="E17" sqref="E17"/>
    </sheetView>
  </sheetViews>
  <sheetFormatPr defaultColWidth="9.109375" defaultRowHeight="14.4" outlineLevelCol="1" x14ac:dyDescent="0.3"/>
  <cols>
    <col min="1" max="1" width="1.88671875" style="176" hidden="1" customWidth="1"/>
    <col min="2" max="2" width="1.88671875" style="139" customWidth="1"/>
    <col min="3" max="3" width="29.33203125" style="139" bestFit="1" customWidth="1"/>
    <col min="4" max="4" width="20.6640625" style="139" customWidth="1"/>
    <col min="5" max="5" width="15.6640625" style="139" customWidth="1"/>
    <col min="6" max="6" width="15.21875" style="139" customWidth="1"/>
    <col min="7" max="7" width="0.44140625" style="185" hidden="1" customWidth="1" outlineLevel="1"/>
    <col min="8" max="8" width="11.33203125" style="139" hidden="1" customWidth="1" outlineLevel="1"/>
    <col min="9" max="9" width="8.77734375" style="139" hidden="1" customWidth="1" outlineLevel="1"/>
    <col min="10" max="14" width="11.109375" style="139" hidden="1" customWidth="1" outlineLevel="1"/>
    <col min="15" max="15" width="3.33203125" style="139" hidden="1" customWidth="1" outlineLevel="1"/>
    <col min="16" max="16" width="13.5546875" style="139" bestFit="1" customWidth="1" outlineLevel="1"/>
    <col min="17" max="17" width="12.5546875" style="139" bestFit="1" customWidth="1" outlineLevel="1"/>
    <col min="18" max="18" width="11.33203125" style="139" bestFit="1" customWidth="1" outlineLevel="1"/>
    <col min="19" max="19" width="12" style="139" bestFit="1" customWidth="1" outlineLevel="1"/>
    <col min="20" max="20" width="12.44140625" style="139" bestFit="1" customWidth="1" outlineLevel="1"/>
    <col min="21" max="21" width="0.44140625" style="185" customWidth="1" outlineLevel="1"/>
    <col min="22" max="34" width="8.88671875" style="139" customWidth="1" outlineLevel="1"/>
    <col min="35" max="35" width="0.44140625" style="185" customWidth="1" outlineLevel="1"/>
    <col min="36" max="48" width="8.88671875" style="139" customWidth="1" outlineLevel="1"/>
    <col min="49" max="49" width="0.44140625" style="185" customWidth="1" outlineLevel="1"/>
    <col min="50" max="62" width="8.88671875" style="139" customWidth="1" outlineLevel="1"/>
    <col min="63" max="63" width="0.44140625" style="185" customWidth="1" outlineLevel="1"/>
    <col min="64" max="73" width="8.88671875" style="139" customWidth="1" outlineLevel="1"/>
    <col min="74" max="74" width="11.6640625" style="139" customWidth="1" outlineLevel="1"/>
    <col min="75" max="75" width="12" style="139" customWidth="1" outlineLevel="1"/>
    <col min="76" max="76" width="8.88671875" style="139" customWidth="1" outlineLevel="1"/>
    <col min="77" max="77" width="20.6640625" style="139" customWidth="1"/>
    <col min="78" max="16384" width="9.109375" style="139"/>
  </cols>
  <sheetData>
    <row r="1" spans="1:77" ht="13.2" x14ac:dyDescent="0.25">
      <c r="C1" s="150" t="s">
        <v>409</v>
      </c>
      <c r="D1" s="177"/>
      <c r="G1" s="139"/>
      <c r="U1" s="139"/>
      <c r="AI1" s="139"/>
      <c r="AW1" s="139"/>
      <c r="BK1" s="139"/>
      <c r="BY1" s="177"/>
    </row>
    <row r="2" spans="1:77" ht="10.199999999999999" x14ac:dyDescent="0.2">
      <c r="C2" s="177"/>
      <c r="D2" s="177"/>
      <c r="G2" s="139"/>
      <c r="U2" s="139"/>
      <c r="AI2" s="139"/>
      <c r="AW2" s="139"/>
      <c r="BK2" s="139"/>
      <c r="BY2" s="177"/>
    </row>
    <row r="3" spans="1:77" ht="10.199999999999999" x14ac:dyDescent="0.2">
      <c r="C3" s="177"/>
      <c r="D3" s="177"/>
      <c r="G3" s="139"/>
      <c r="U3" s="139"/>
      <c r="AI3" s="139"/>
      <c r="AW3" s="139"/>
      <c r="BK3" s="139"/>
      <c r="BY3" s="177"/>
    </row>
    <row r="4" spans="1:77" ht="10.199999999999999" hidden="1" x14ac:dyDescent="0.2">
      <c r="C4" s="177"/>
      <c r="D4" s="177"/>
      <c r="E4" s="178" t="s">
        <v>196</v>
      </c>
      <c r="F4" s="178"/>
      <c r="G4" s="179"/>
      <c r="H4" s="179" t="str">
        <f>"Январь_"&amp;YEAR('Карточка проекта'!$D$9)</f>
        <v>Январь_2023</v>
      </c>
      <c r="I4" s="179" t="str">
        <f>"Февраль_"&amp;YEAR('Карточка проекта'!$D$9)</f>
        <v>Февраль_2023</v>
      </c>
      <c r="J4" s="179" t="str">
        <f>"Март_"&amp;YEAR('Карточка проекта'!$D$9)</f>
        <v>Март_2023</v>
      </c>
      <c r="K4" s="179" t="str">
        <f>"Апрель_"&amp;YEAR('Карточка проекта'!$D$9)</f>
        <v>Апрель_2023</v>
      </c>
      <c r="L4" s="179" t="str">
        <f>"Май_"&amp;YEAR('Карточка проекта'!$D$9)</f>
        <v>Май_2023</v>
      </c>
      <c r="M4" s="179" t="str">
        <f>"Июнь_"&amp;YEAR('Карточка проекта'!$D$9)</f>
        <v>Июнь_2023</v>
      </c>
      <c r="N4" s="179" t="str">
        <f>"Июль_"&amp;YEAR('Карточка проекта'!$D$9)</f>
        <v>Июль_2023</v>
      </c>
      <c r="O4" s="179" t="str">
        <f>"Август_"&amp;YEAR('Карточка проекта'!$D$9)</f>
        <v>Август_2023</v>
      </c>
      <c r="P4" s="179" t="str">
        <f>"Сентябрь_"&amp;YEAR('Карточка проекта'!$D$9)</f>
        <v>Сентябрь_2023</v>
      </c>
      <c r="Q4" s="179" t="str">
        <f>"Октябрь_"&amp;YEAR('Карточка проекта'!$D$9)</f>
        <v>Октябрь_2023</v>
      </c>
      <c r="R4" s="179" t="str">
        <f>"Ноябрь_"&amp;YEAR('Карточка проекта'!$D$9)</f>
        <v>Ноябрь_2023</v>
      </c>
      <c r="S4" s="179" t="str">
        <f>"Декабрь_"&amp;YEAR('Карточка проекта'!$D$9)</f>
        <v>Декабрь_2023</v>
      </c>
      <c r="T4" s="179"/>
      <c r="U4" s="179"/>
      <c r="V4" s="179" t="str">
        <f>"Январь_"&amp;YEAR('Карточка проекта'!$D$9)+1</f>
        <v>Январь_2024</v>
      </c>
      <c r="W4" s="179" t="str">
        <f>"Февраль_"&amp;YEAR('Карточка проекта'!$D$9)+1</f>
        <v>Февраль_2024</v>
      </c>
      <c r="X4" s="179" t="str">
        <f>"Март_"&amp;YEAR('Карточка проекта'!$D$9)+1</f>
        <v>Март_2024</v>
      </c>
      <c r="Y4" s="179" t="str">
        <f>"Апрель_"&amp;YEAR('Карточка проекта'!$D$9)+1</f>
        <v>Апрель_2024</v>
      </c>
      <c r="Z4" s="179" t="str">
        <f>"Май_"&amp;YEAR('Карточка проекта'!$D$9)+1</f>
        <v>Май_2024</v>
      </c>
      <c r="AA4" s="179" t="str">
        <f>"Июнь_"&amp;YEAR('Карточка проекта'!$D$9)+1</f>
        <v>Июнь_2024</v>
      </c>
      <c r="AB4" s="179" t="str">
        <f>"Июль_"&amp;YEAR('Карточка проекта'!$D$9)+1</f>
        <v>Июль_2024</v>
      </c>
      <c r="AC4" s="179" t="str">
        <f>"Август_"&amp;YEAR('Карточка проекта'!$D$9)+1</f>
        <v>Август_2024</v>
      </c>
      <c r="AD4" s="179" t="str">
        <f>"Сентябрь_"&amp;YEAR('Карточка проекта'!$D$9)+1</f>
        <v>Сентябрь_2024</v>
      </c>
      <c r="AE4" s="179" t="str">
        <f>"Октябрь_"&amp;YEAR('Карточка проекта'!$D$9)+1</f>
        <v>Октябрь_2024</v>
      </c>
      <c r="AF4" s="179" t="str">
        <f>"Ноябрь_"&amp;YEAR('Карточка проекта'!$D$9)+1</f>
        <v>Ноябрь_2024</v>
      </c>
      <c r="AG4" s="179" t="str">
        <f>"Декабрь_"&amp;YEAR('Карточка проекта'!$D$9)+1</f>
        <v>Декабрь_2024</v>
      </c>
      <c r="AH4" s="179"/>
      <c r="AI4" s="179"/>
      <c r="AJ4" s="179" t="str">
        <f>"Январь_"&amp;YEAR('Карточка проекта'!$D$9)+2</f>
        <v>Январь_2025</v>
      </c>
      <c r="AK4" s="179" t="str">
        <f>"Февраль_"&amp;YEAR('Карточка проекта'!$D$9)+2</f>
        <v>Февраль_2025</v>
      </c>
      <c r="AL4" s="179" t="str">
        <f>"Март_"&amp;YEAR('Карточка проекта'!$D$9)+2</f>
        <v>Март_2025</v>
      </c>
      <c r="AM4" s="179" t="str">
        <f>"Апрель_"&amp;YEAR('Карточка проекта'!$D$9)+2</f>
        <v>Апрель_2025</v>
      </c>
      <c r="AN4" s="179" t="str">
        <f>"Май_"&amp;YEAR('Карточка проекта'!$D$9)+2</f>
        <v>Май_2025</v>
      </c>
      <c r="AO4" s="179" t="str">
        <f>"Июнь_"&amp;YEAR('Карточка проекта'!$D$9)+2</f>
        <v>Июнь_2025</v>
      </c>
      <c r="AP4" s="179" t="str">
        <f>"Июль_"&amp;YEAR('Карточка проекта'!$D$9)+2</f>
        <v>Июль_2025</v>
      </c>
      <c r="AQ4" s="179" t="str">
        <f>"Август_"&amp;YEAR('Карточка проекта'!$D$9)+2</f>
        <v>Август_2025</v>
      </c>
      <c r="AR4" s="179" t="str">
        <f>"Сентябрь_"&amp;YEAR('Карточка проекта'!$D$9)+2</f>
        <v>Сентябрь_2025</v>
      </c>
      <c r="AS4" s="179" t="str">
        <f>"Октябрь_"&amp;YEAR('Карточка проекта'!$D$9)+2</f>
        <v>Октябрь_2025</v>
      </c>
      <c r="AT4" s="179" t="str">
        <f>"Ноябрь_"&amp;YEAR('Карточка проекта'!$D$9)+2</f>
        <v>Ноябрь_2025</v>
      </c>
      <c r="AU4" s="179" t="str">
        <f>"Декабрь_"&amp;YEAR('Карточка проекта'!$D$9)+2</f>
        <v>Декабрь_2025</v>
      </c>
      <c r="AV4" s="179"/>
      <c r="AW4" s="179"/>
      <c r="AX4" s="179" t="str">
        <f>"Январь_"&amp;YEAR('Карточка проекта'!$D$9)+3</f>
        <v>Январь_2026</v>
      </c>
      <c r="AY4" s="179" t="str">
        <f>"Февраль_"&amp;YEAR('Карточка проекта'!$D$9)+3</f>
        <v>Февраль_2026</v>
      </c>
      <c r="AZ4" s="179" t="str">
        <f>"Март_"&amp;YEAR('Карточка проекта'!$D$9)+3</f>
        <v>Март_2026</v>
      </c>
      <c r="BA4" s="179" t="str">
        <f>"Апрель_"&amp;YEAR('Карточка проекта'!$D$9)+3</f>
        <v>Апрель_2026</v>
      </c>
      <c r="BB4" s="179" t="str">
        <f>"Май_"&amp;YEAR('Карточка проекта'!$D$9)+3</f>
        <v>Май_2026</v>
      </c>
      <c r="BC4" s="179" t="str">
        <f>"Июнь_"&amp;YEAR('Карточка проекта'!$D$9)+3</f>
        <v>Июнь_2026</v>
      </c>
      <c r="BD4" s="179" t="str">
        <f>"Июль_"&amp;YEAR('Карточка проекта'!$D$9)+3</f>
        <v>Июль_2026</v>
      </c>
      <c r="BE4" s="179" t="str">
        <f>"Август_"&amp;YEAR('Карточка проекта'!$D$9)+3</f>
        <v>Август_2026</v>
      </c>
      <c r="BF4" s="179" t="str">
        <f>"Сентябрь_"&amp;YEAR('Карточка проекта'!$D$9)+3</f>
        <v>Сентябрь_2026</v>
      </c>
      <c r="BG4" s="179" t="str">
        <f>"Октябрь_"&amp;YEAR('Карточка проекта'!$D$9)+3</f>
        <v>Октябрь_2026</v>
      </c>
      <c r="BH4" s="179" t="str">
        <f>"Ноябрь_"&amp;YEAR('Карточка проекта'!$D$9)+3</f>
        <v>Ноябрь_2026</v>
      </c>
      <c r="BI4" s="179" t="str">
        <f>"Декабрь_"&amp;YEAR('Карточка проекта'!$D$9)+3</f>
        <v>Декабрь_2026</v>
      </c>
      <c r="BJ4" s="179"/>
      <c r="BK4" s="179"/>
      <c r="BL4" s="179" t="str">
        <f>"Январь_"&amp;YEAR('Карточка проекта'!$D$9)+4</f>
        <v>Январь_2027</v>
      </c>
      <c r="BM4" s="179" t="str">
        <f>"Февраль_"&amp;YEAR('Карточка проекта'!$D$9)+4</f>
        <v>Февраль_2027</v>
      </c>
      <c r="BN4" s="179" t="str">
        <f>"Март_"&amp;YEAR('Карточка проекта'!$D$9)+4</f>
        <v>Март_2027</v>
      </c>
      <c r="BO4" s="179" t="str">
        <f>"Апрель_"&amp;YEAR('Карточка проекта'!$D$9)+4</f>
        <v>Апрель_2027</v>
      </c>
      <c r="BP4" s="179" t="str">
        <f>"Май_"&amp;YEAR('Карточка проекта'!$D$9)+4</f>
        <v>Май_2027</v>
      </c>
      <c r="BQ4" s="179" t="str">
        <f>"Июнь_"&amp;YEAR('Карточка проекта'!$D$9)+4</f>
        <v>Июнь_2027</v>
      </c>
      <c r="BR4" s="179" t="str">
        <f>"Июль_"&amp;YEAR('Карточка проекта'!$D$9)+4</f>
        <v>Июль_2027</v>
      </c>
      <c r="BS4" s="179" t="str">
        <f>"Август_"&amp;YEAR('Карточка проекта'!$D$9)+4</f>
        <v>Август_2027</v>
      </c>
      <c r="BT4" s="179" t="str">
        <f>"Сентябрь_"&amp;YEAR('Карточка проекта'!$D$9)+4</f>
        <v>Сентябрь_2027</v>
      </c>
      <c r="BU4" s="179" t="str">
        <f>"Октябрь_"&amp;YEAR('Карточка проекта'!$D$9)+4</f>
        <v>Октябрь_2027</v>
      </c>
      <c r="BV4" s="179" t="str">
        <f>"Ноябрь_"&amp;YEAR('Карточка проекта'!$D$9)+4</f>
        <v>Ноябрь_2027</v>
      </c>
      <c r="BW4" s="179" t="str">
        <f>"Декабрь_"&amp;YEAR('Карточка проекта'!$D$9)+4</f>
        <v>Декабрь_2027</v>
      </c>
      <c r="BX4" s="179"/>
      <c r="BY4" s="177"/>
    </row>
    <row r="5" spans="1:77" ht="10.199999999999999" hidden="1" x14ac:dyDescent="0.2">
      <c r="C5" s="177"/>
      <c r="D5" s="177"/>
      <c r="E5" s="178" t="s">
        <v>311</v>
      </c>
      <c r="F5" s="178"/>
      <c r="G5" s="179"/>
      <c r="H5" s="179" t="s">
        <v>239</v>
      </c>
      <c r="I5" s="179" t="s">
        <v>240</v>
      </c>
      <c r="J5" s="179" t="s">
        <v>241</v>
      </c>
      <c r="K5" s="179" t="s">
        <v>242</v>
      </c>
      <c r="L5" s="179" t="s">
        <v>243</v>
      </c>
      <c r="M5" s="179" t="s">
        <v>244</v>
      </c>
      <c r="N5" s="179" t="s">
        <v>245</v>
      </c>
      <c r="O5" s="179" t="s">
        <v>246</v>
      </c>
      <c r="P5" s="179" t="s">
        <v>247</v>
      </c>
      <c r="Q5" s="179" t="s">
        <v>248</v>
      </c>
      <c r="R5" s="179" t="s">
        <v>249</v>
      </c>
      <c r="S5" s="179" t="s">
        <v>250</v>
      </c>
      <c r="T5" s="179" t="s">
        <v>251</v>
      </c>
      <c r="U5" s="179"/>
      <c r="V5" s="179" t="s">
        <v>239</v>
      </c>
      <c r="W5" s="179" t="s">
        <v>240</v>
      </c>
      <c r="X5" s="179" t="s">
        <v>241</v>
      </c>
      <c r="Y5" s="179" t="s">
        <v>242</v>
      </c>
      <c r="Z5" s="179" t="s">
        <v>243</v>
      </c>
      <c r="AA5" s="179" t="s">
        <v>244</v>
      </c>
      <c r="AB5" s="179" t="s">
        <v>245</v>
      </c>
      <c r="AC5" s="179" t="s">
        <v>246</v>
      </c>
      <c r="AD5" s="179" t="s">
        <v>247</v>
      </c>
      <c r="AE5" s="179" t="s">
        <v>248</v>
      </c>
      <c r="AF5" s="179" t="s">
        <v>249</v>
      </c>
      <c r="AG5" s="179" t="s">
        <v>250</v>
      </c>
      <c r="AH5" s="179" t="s">
        <v>251</v>
      </c>
      <c r="AI5" s="179"/>
      <c r="AJ5" s="179" t="s">
        <v>239</v>
      </c>
      <c r="AK5" s="179" t="s">
        <v>240</v>
      </c>
      <c r="AL5" s="179" t="s">
        <v>241</v>
      </c>
      <c r="AM5" s="179" t="s">
        <v>242</v>
      </c>
      <c r="AN5" s="179" t="s">
        <v>243</v>
      </c>
      <c r="AO5" s="179" t="s">
        <v>244</v>
      </c>
      <c r="AP5" s="179" t="s">
        <v>245</v>
      </c>
      <c r="AQ5" s="179" t="s">
        <v>246</v>
      </c>
      <c r="AR5" s="179" t="s">
        <v>247</v>
      </c>
      <c r="AS5" s="179" t="s">
        <v>248</v>
      </c>
      <c r="AT5" s="179" t="s">
        <v>249</v>
      </c>
      <c r="AU5" s="179" t="s">
        <v>250</v>
      </c>
      <c r="AV5" s="179" t="s">
        <v>251</v>
      </c>
      <c r="AW5" s="179"/>
      <c r="AX5" s="179" t="s">
        <v>239</v>
      </c>
      <c r="AY5" s="179" t="s">
        <v>240</v>
      </c>
      <c r="AZ5" s="179" t="s">
        <v>241</v>
      </c>
      <c r="BA5" s="179" t="s">
        <v>242</v>
      </c>
      <c r="BB5" s="179" t="s">
        <v>243</v>
      </c>
      <c r="BC5" s="179" t="s">
        <v>244</v>
      </c>
      <c r="BD5" s="179" t="s">
        <v>245</v>
      </c>
      <c r="BE5" s="179" t="s">
        <v>246</v>
      </c>
      <c r="BF5" s="179" t="s">
        <v>247</v>
      </c>
      <c r="BG5" s="179" t="s">
        <v>248</v>
      </c>
      <c r="BH5" s="179" t="s">
        <v>249</v>
      </c>
      <c r="BI5" s="179" t="s">
        <v>250</v>
      </c>
      <c r="BJ5" s="179" t="s">
        <v>251</v>
      </c>
      <c r="BK5" s="179"/>
      <c r="BL5" s="179" t="s">
        <v>239</v>
      </c>
      <c r="BM5" s="179" t="s">
        <v>240</v>
      </c>
      <c r="BN5" s="179" t="s">
        <v>241</v>
      </c>
      <c r="BO5" s="179" t="s">
        <v>242</v>
      </c>
      <c r="BP5" s="179" t="s">
        <v>243</v>
      </c>
      <c r="BQ5" s="179" t="s">
        <v>244</v>
      </c>
      <c r="BR5" s="179" t="s">
        <v>245</v>
      </c>
      <c r="BS5" s="179" t="s">
        <v>246</v>
      </c>
      <c r="BT5" s="179" t="s">
        <v>247</v>
      </c>
      <c r="BU5" s="179" t="s">
        <v>248</v>
      </c>
      <c r="BV5" s="179" t="s">
        <v>249</v>
      </c>
      <c r="BW5" s="179" t="s">
        <v>250</v>
      </c>
      <c r="BX5" s="179" t="s">
        <v>251</v>
      </c>
      <c r="BY5" s="177"/>
    </row>
    <row r="6" spans="1:77" ht="10.199999999999999" hidden="1" x14ac:dyDescent="0.2">
      <c r="C6" s="177"/>
      <c r="D6" s="177"/>
      <c r="F6" s="178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179"/>
      <c r="AJ6" s="179"/>
      <c r="AK6" s="179"/>
      <c r="AL6" s="179"/>
      <c r="AM6" s="179"/>
      <c r="AN6" s="179"/>
      <c r="AO6" s="179"/>
      <c r="AP6" s="179"/>
      <c r="AQ6" s="179"/>
      <c r="AR6" s="179"/>
      <c r="AS6" s="179"/>
      <c r="AT6" s="179"/>
      <c r="AU6" s="179"/>
      <c r="AV6" s="179"/>
      <c r="AW6" s="179"/>
      <c r="AX6" s="179"/>
      <c r="AY6" s="179"/>
      <c r="AZ6" s="179"/>
      <c r="BA6" s="179"/>
      <c r="BB6" s="179"/>
      <c r="BC6" s="179"/>
      <c r="BD6" s="179"/>
      <c r="BE6" s="179"/>
      <c r="BF6" s="179"/>
      <c r="BG6" s="179"/>
      <c r="BH6" s="179"/>
      <c r="BI6" s="179"/>
      <c r="BJ6" s="179"/>
      <c r="BK6" s="179"/>
      <c r="BL6" s="179"/>
      <c r="BM6" s="179"/>
      <c r="BN6" s="179"/>
      <c r="BO6" s="179"/>
      <c r="BP6" s="179"/>
      <c r="BQ6" s="179"/>
      <c r="BR6" s="179"/>
      <c r="BS6" s="179"/>
      <c r="BT6" s="179"/>
      <c r="BU6" s="179"/>
      <c r="BV6" s="179"/>
      <c r="BW6" s="179"/>
      <c r="BX6" s="179"/>
      <c r="BY6" s="177"/>
    </row>
    <row r="7" spans="1:77" ht="15" customHeight="1" x14ac:dyDescent="0.2">
      <c r="C7" s="274" t="s">
        <v>176</v>
      </c>
      <c r="D7" s="274" t="s">
        <v>174</v>
      </c>
      <c r="E7" s="274" t="s">
        <v>410</v>
      </c>
      <c r="F7" s="277" t="s">
        <v>407</v>
      </c>
      <c r="G7" s="139"/>
      <c r="H7" s="276" t="str">
        <f>"Оплата по договору за "&amp;YEAR('Карточка проекта'!$D$9)&amp;" год"</f>
        <v>Оплата по договору за 2023 год</v>
      </c>
      <c r="I7" s="276"/>
      <c r="J7" s="276"/>
      <c r="K7" s="276"/>
      <c r="L7" s="276"/>
      <c r="M7" s="276"/>
      <c r="N7" s="276"/>
      <c r="O7" s="276"/>
      <c r="P7" s="276"/>
      <c r="Q7" s="276"/>
      <c r="R7" s="276"/>
      <c r="S7" s="276"/>
      <c r="T7" s="276"/>
      <c r="U7" s="139"/>
      <c r="V7" s="276" t="str">
        <f>"Оплата по договору за "&amp;YEAR('Карточка проекта'!$D$9)+1&amp;" год"</f>
        <v>Оплата по договору за 2024 год</v>
      </c>
      <c r="W7" s="276"/>
      <c r="X7" s="276"/>
      <c r="Y7" s="276"/>
      <c r="Z7" s="276"/>
      <c r="AA7" s="276"/>
      <c r="AB7" s="276"/>
      <c r="AC7" s="276"/>
      <c r="AD7" s="276"/>
      <c r="AE7" s="276"/>
      <c r="AF7" s="276"/>
      <c r="AG7" s="276"/>
      <c r="AH7" s="276"/>
      <c r="AI7" s="139"/>
      <c r="AJ7" s="276" t="str">
        <f>"Оплата по договору за "&amp;YEAR('Карточка проекта'!$D$9)+2&amp;" год"</f>
        <v>Оплата по договору за 2025 год</v>
      </c>
      <c r="AK7" s="276"/>
      <c r="AL7" s="276"/>
      <c r="AM7" s="276"/>
      <c r="AN7" s="276"/>
      <c r="AO7" s="276"/>
      <c r="AP7" s="276"/>
      <c r="AQ7" s="276"/>
      <c r="AR7" s="276"/>
      <c r="AS7" s="276"/>
      <c r="AT7" s="276"/>
      <c r="AU7" s="276"/>
      <c r="AV7" s="276"/>
      <c r="AW7" s="139"/>
      <c r="AX7" s="276" t="str">
        <f>"Оплата по договору за "&amp;YEAR('Карточка проекта'!$D$9)+3&amp;" год"</f>
        <v>Оплата по договору за 2026 год</v>
      </c>
      <c r="AY7" s="276"/>
      <c r="AZ7" s="276"/>
      <c r="BA7" s="276"/>
      <c r="BB7" s="276"/>
      <c r="BC7" s="276"/>
      <c r="BD7" s="276"/>
      <c r="BE7" s="276"/>
      <c r="BF7" s="276"/>
      <c r="BG7" s="276"/>
      <c r="BH7" s="276"/>
      <c r="BI7" s="276"/>
      <c r="BJ7" s="276"/>
      <c r="BK7" s="139"/>
      <c r="BL7" s="276" t="str">
        <f>"Оплата по договору за "&amp;YEAR('Карточка проекта'!$D$9)+4&amp;" год"</f>
        <v>Оплата по договору за 2027 год</v>
      </c>
      <c r="BM7" s="276"/>
      <c r="BN7" s="276"/>
      <c r="BO7" s="276"/>
      <c r="BP7" s="276"/>
      <c r="BQ7" s="276"/>
      <c r="BR7" s="276"/>
      <c r="BS7" s="276"/>
      <c r="BT7" s="276"/>
      <c r="BU7" s="276"/>
      <c r="BV7" s="276"/>
      <c r="BW7" s="276"/>
      <c r="BX7" s="276"/>
      <c r="BY7" s="274" t="s">
        <v>22</v>
      </c>
    </row>
    <row r="8" spans="1:77" ht="39" customHeight="1" x14ac:dyDescent="0.2">
      <c r="C8" s="275"/>
      <c r="D8" s="275"/>
      <c r="E8" s="275"/>
      <c r="F8" s="278"/>
      <c r="G8" s="139"/>
      <c r="H8" s="180" t="str">
        <f>H5&amp;YEAR('Карточка проекта'!$D$9)</f>
        <v>янв.2023</v>
      </c>
      <c r="I8" s="180" t="str">
        <f>I5&amp;YEAR('Карточка проекта'!$D$9)</f>
        <v>фев.2023</v>
      </c>
      <c r="J8" s="180" t="str">
        <f>J5&amp;YEAR('Карточка проекта'!$D$9)</f>
        <v>мар.2023</v>
      </c>
      <c r="K8" s="180" t="str">
        <f>K5&amp;YEAR('Карточка проекта'!$D$9)</f>
        <v>апр.2023</v>
      </c>
      <c r="L8" s="180" t="str">
        <f>L5&amp;YEAR('Карточка проекта'!$D$9)</f>
        <v>май.2023</v>
      </c>
      <c r="M8" s="180" t="str">
        <f>M5&amp;YEAR('Карточка проекта'!$D$9)</f>
        <v>июн.2023</v>
      </c>
      <c r="N8" s="180" t="str">
        <f>N5&amp;YEAR('Карточка проекта'!$D$9)</f>
        <v>июл.2023</v>
      </c>
      <c r="O8" s="180" t="str">
        <f>O5&amp;YEAR('Карточка проекта'!$D$9)</f>
        <v>авг.2023</v>
      </c>
      <c r="P8" s="180" t="str">
        <f>P5&amp;YEAR('Карточка проекта'!$D$9)</f>
        <v>сен.2023</v>
      </c>
      <c r="Q8" s="180" t="str">
        <f>Q5&amp;YEAR('Карточка проекта'!$D$9)</f>
        <v>окт.2023</v>
      </c>
      <c r="R8" s="180" t="str">
        <f>R5&amp;YEAR('Карточка проекта'!$D$9)</f>
        <v>ноя.2023</v>
      </c>
      <c r="S8" s="180" t="str">
        <f>S5&amp;YEAR('Карточка проекта'!$D$9)</f>
        <v>дек.2023</v>
      </c>
      <c r="T8" s="214" t="str">
        <f>YEAR('Карточка проекта'!$D$9)&amp;" год"</f>
        <v>2023 год</v>
      </c>
      <c r="U8" s="139"/>
      <c r="V8" s="214" t="str">
        <f>V5&amp;YEAR('Карточка проекта'!$D$9)+1</f>
        <v>янв.2024</v>
      </c>
      <c r="W8" s="214" t="str">
        <f>W5&amp;YEAR('Карточка проекта'!$D$9)+1</f>
        <v>фев.2024</v>
      </c>
      <c r="X8" s="214" t="str">
        <f>X5&amp;YEAR('Карточка проекта'!$D$9)+1</f>
        <v>мар.2024</v>
      </c>
      <c r="Y8" s="214" t="str">
        <f>Y5&amp;YEAR('Карточка проекта'!$D$9)+1</f>
        <v>апр.2024</v>
      </c>
      <c r="Z8" s="214" t="str">
        <f>Z5&amp;YEAR('Карточка проекта'!$D$9)+1</f>
        <v>май.2024</v>
      </c>
      <c r="AA8" s="214" t="str">
        <f>AA5&amp;YEAR('Карточка проекта'!$D$9)+1</f>
        <v>июн.2024</v>
      </c>
      <c r="AB8" s="214" t="str">
        <f>AB5&amp;YEAR('Карточка проекта'!$D$9)+1</f>
        <v>июл.2024</v>
      </c>
      <c r="AC8" s="214" t="str">
        <f>AC5&amp;YEAR('Карточка проекта'!$D$9)+1</f>
        <v>авг.2024</v>
      </c>
      <c r="AD8" s="214" t="str">
        <f>AD5&amp;YEAR('Карточка проекта'!$D$9)+1</f>
        <v>сен.2024</v>
      </c>
      <c r="AE8" s="214" t="str">
        <f>AE5&amp;YEAR('Карточка проекта'!$D$9)+1</f>
        <v>окт.2024</v>
      </c>
      <c r="AF8" s="214" t="str">
        <f>AF5&amp;YEAR('Карточка проекта'!$D$9)+1</f>
        <v>ноя.2024</v>
      </c>
      <c r="AG8" s="214" t="str">
        <f>AG5&amp;YEAR('Карточка проекта'!$D$9)+1</f>
        <v>дек.2024</v>
      </c>
      <c r="AH8" s="214" t="str">
        <f>YEAR('Карточка проекта'!$D$9)+1&amp;" год"</f>
        <v>2024 год</v>
      </c>
      <c r="AI8" s="139"/>
      <c r="AJ8" s="214" t="str">
        <f>AJ5&amp;YEAR('Карточка проекта'!$D$9)+2</f>
        <v>янв.2025</v>
      </c>
      <c r="AK8" s="214" t="str">
        <f>AK5&amp;YEAR('Карточка проекта'!$D$9)+2</f>
        <v>фев.2025</v>
      </c>
      <c r="AL8" s="214" t="str">
        <f>AL5&amp;YEAR('Карточка проекта'!$D$9)+2</f>
        <v>мар.2025</v>
      </c>
      <c r="AM8" s="214" t="str">
        <f>AM5&amp;YEAR('Карточка проекта'!$D$9)+2</f>
        <v>апр.2025</v>
      </c>
      <c r="AN8" s="214" t="str">
        <f>AN5&amp;YEAR('Карточка проекта'!$D$9)+2</f>
        <v>май.2025</v>
      </c>
      <c r="AO8" s="214" t="str">
        <f>AO5&amp;YEAR('Карточка проекта'!$D$9)+2</f>
        <v>июн.2025</v>
      </c>
      <c r="AP8" s="214" t="str">
        <f>AP5&amp;YEAR('Карточка проекта'!$D$9)+2</f>
        <v>июл.2025</v>
      </c>
      <c r="AQ8" s="214" t="str">
        <f>AQ5&amp;YEAR('Карточка проекта'!$D$9)+2</f>
        <v>авг.2025</v>
      </c>
      <c r="AR8" s="214" t="str">
        <f>AR5&amp;YEAR('Карточка проекта'!$D$9)+2</f>
        <v>сен.2025</v>
      </c>
      <c r="AS8" s="214" t="str">
        <f>AS5&amp;YEAR('Карточка проекта'!$D$9)+2</f>
        <v>окт.2025</v>
      </c>
      <c r="AT8" s="214" t="str">
        <f>AT5&amp;YEAR('Карточка проекта'!$D$9)+2</f>
        <v>ноя.2025</v>
      </c>
      <c r="AU8" s="214" t="str">
        <f>AU5&amp;YEAR('Карточка проекта'!$D$9)+2</f>
        <v>дек.2025</v>
      </c>
      <c r="AV8" s="214" t="str">
        <f>YEAR('Карточка проекта'!$D$9)+2&amp;" год"</f>
        <v>2025 год</v>
      </c>
      <c r="AW8" s="139"/>
      <c r="AX8" s="214" t="str">
        <f>AX5&amp;YEAR('Карточка проекта'!$D$9)+3</f>
        <v>янв.2026</v>
      </c>
      <c r="AY8" s="214" t="str">
        <f>AY5&amp;YEAR('Карточка проекта'!$D$9)+3</f>
        <v>фев.2026</v>
      </c>
      <c r="AZ8" s="214" t="str">
        <f>AZ5&amp;YEAR('Карточка проекта'!$D$9)+3</f>
        <v>мар.2026</v>
      </c>
      <c r="BA8" s="214" t="str">
        <f>BA5&amp;YEAR('Карточка проекта'!$D$9)+3</f>
        <v>апр.2026</v>
      </c>
      <c r="BB8" s="214" t="str">
        <f>BB5&amp;YEAR('Карточка проекта'!$D$9)+3</f>
        <v>май.2026</v>
      </c>
      <c r="BC8" s="214" t="str">
        <f>BC5&amp;YEAR('Карточка проекта'!$D$9)+3</f>
        <v>июн.2026</v>
      </c>
      <c r="BD8" s="214" t="str">
        <f>BD5&amp;YEAR('Карточка проекта'!$D$9)+3</f>
        <v>июл.2026</v>
      </c>
      <c r="BE8" s="214" t="str">
        <f>BE5&amp;YEAR('Карточка проекта'!$D$9)+3</f>
        <v>авг.2026</v>
      </c>
      <c r="BF8" s="214" t="str">
        <f>BF5&amp;YEAR('Карточка проекта'!$D$9)+3</f>
        <v>сен.2026</v>
      </c>
      <c r="BG8" s="214" t="str">
        <f>BG5&amp;YEAR('Карточка проекта'!$D$9)+3</f>
        <v>окт.2026</v>
      </c>
      <c r="BH8" s="214" t="str">
        <f>BH5&amp;YEAR('Карточка проекта'!$D$9)+3</f>
        <v>ноя.2026</v>
      </c>
      <c r="BI8" s="214" t="str">
        <f>BI5&amp;YEAR('Карточка проекта'!$D$9)+3</f>
        <v>дек.2026</v>
      </c>
      <c r="BJ8" s="214" t="str">
        <f>YEAR('Карточка проекта'!$D$9)+3&amp;" год"</f>
        <v>2026 год</v>
      </c>
      <c r="BK8" s="139"/>
      <c r="BL8" s="214" t="str">
        <f>BL5&amp;YEAR('Карточка проекта'!$D$9)+4</f>
        <v>янв.2027</v>
      </c>
      <c r="BM8" s="214" t="str">
        <f>BM5&amp;YEAR('Карточка проекта'!$D$9)+4</f>
        <v>фев.2027</v>
      </c>
      <c r="BN8" s="214" t="str">
        <f>BN5&amp;YEAR('Карточка проекта'!$D$9)+4</f>
        <v>мар.2027</v>
      </c>
      <c r="BO8" s="214" t="str">
        <f>BO5&amp;YEAR('Карточка проекта'!$D$9)+4</f>
        <v>апр.2027</v>
      </c>
      <c r="BP8" s="214" t="str">
        <f>BP5&amp;YEAR('Карточка проекта'!$D$9)+4</f>
        <v>май.2027</v>
      </c>
      <c r="BQ8" s="214" t="str">
        <f>BQ5&amp;YEAR('Карточка проекта'!$D$9)+4</f>
        <v>июн.2027</v>
      </c>
      <c r="BR8" s="214" t="str">
        <f>BR5&amp;YEAR('Карточка проекта'!$D$9)+4</f>
        <v>июл.2027</v>
      </c>
      <c r="BS8" s="214" t="str">
        <f>BS5&amp;YEAR('Карточка проекта'!$D$9)+4</f>
        <v>авг.2027</v>
      </c>
      <c r="BT8" s="214" t="str">
        <f>BT5&amp;YEAR('Карточка проекта'!$D$9)+4</f>
        <v>сен.2027</v>
      </c>
      <c r="BU8" s="214" t="str">
        <f>BU5&amp;YEAR('Карточка проекта'!$D$9)+4</f>
        <v>окт.2027</v>
      </c>
      <c r="BV8" s="214" t="str">
        <f>BV5&amp;YEAR('Карточка проекта'!$D$9)+4</f>
        <v>ноя.2027</v>
      </c>
      <c r="BW8" s="214" t="str">
        <f>BW5&amp;YEAR('Карточка проекта'!$D$9)+4</f>
        <v>дек.2027</v>
      </c>
      <c r="BX8" s="214" t="str">
        <f>YEAR('Карточка проекта'!$D$9)+4&amp;" год"</f>
        <v>2027 год</v>
      </c>
      <c r="BY8" s="275"/>
    </row>
    <row r="9" spans="1:77" ht="10.199999999999999" x14ac:dyDescent="0.2">
      <c r="C9" s="181" t="s">
        <v>415</v>
      </c>
      <c r="D9" s="181"/>
      <c r="E9" s="195">
        <f>SUM(E12:E55)-E11</f>
        <v>90000</v>
      </c>
      <c r="F9" s="195">
        <f>SUM(F12:F55)</f>
        <v>0</v>
      </c>
      <c r="G9" s="139"/>
      <c r="H9" s="201">
        <f>(SUM(H12:H55)-H11)*0.87</f>
        <v>0</v>
      </c>
      <c r="I9" s="201">
        <f t="shared" ref="I9:S9" si="0">(SUM(I12:I55)-I11)*0.87</f>
        <v>0</v>
      </c>
      <c r="J9" s="201">
        <f t="shared" si="0"/>
        <v>0</v>
      </c>
      <c r="K9" s="201">
        <f t="shared" si="0"/>
        <v>0</v>
      </c>
      <c r="L9" s="201">
        <f t="shared" si="0"/>
        <v>0</v>
      </c>
      <c r="M9" s="201">
        <f t="shared" si="0"/>
        <v>0</v>
      </c>
      <c r="N9" s="201">
        <f t="shared" si="0"/>
        <v>0</v>
      </c>
      <c r="O9" s="201">
        <f t="shared" si="0"/>
        <v>0</v>
      </c>
      <c r="P9" s="201">
        <f t="shared" si="0"/>
        <v>26100</v>
      </c>
      <c r="Q9" s="201">
        <f t="shared" si="0"/>
        <v>0</v>
      </c>
      <c r="R9" s="201">
        <f t="shared" si="0"/>
        <v>30450</v>
      </c>
      <c r="S9" s="201">
        <f t="shared" si="0"/>
        <v>21750</v>
      </c>
      <c r="T9" s="202">
        <f t="shared" ref="T9:T11" si="1">SUM(H9:S9)</f>
        <v>78300</v>
      </c>
      <c r="U9" s="139"/>
      <c r="V9" s="201">
        <f>(SUM(V12:V55)-V11)*0.87</f>
        <v>0</v>
      </c>
      <c r="W9" s="201">
        <f t="shared" ref="W9:AG9" si="2">(SUM(W12:W55)-W11)*0.87</f>
        <v>0</v>
      </c>
      <c r="X9" s="201">
        <f t="shared" si="2"/>
        <v>0</v>
      </c>
      <c r="Y9" s="201">
        <f t="shared" si="2"/>
        <v>0</v>
      </c>
      <c r="Z9" s="201">
        <f t="shared" si="2"/>
        <v>0</v>
      </c>
      <c r="AA9" s="201">
        <f t="shared" si="2"/>
        <v>0</v>
      </c>
      <c r="AB9" s="201">
        <f t="shared" si="2"/>
        <v>0</v>
      </c>
      <c r="AC9" s="201">
        <f t="shared" si="2"/>
        <v>0</v>
      </c>
      <c r="AD9" s="201">
        <f t="shared" si="2"/>
        <v>0</v>
      </c>
      <c r="AE9" s="201">
        <f t="shared" si="2"/>
        <v>0</v>
      </c>
      <c r="AF9" s="201">
        <f t="shared" si="2"/>
        <v>0</v>
      </c>
      <c r="AG9" s="201">
        <f t="shared" si="2"/>
        <v>0</v>
      </c>
      <c r="AH9" s="202">
        <f t="shared" ref="AH9:AH11" si="3">SUM(V9:AG9)</f>
        <v>0</v>
      </c>
      <c r="AI9" s="139"/>
      <c r="AJ9" s="201">
        <f>(SUM(AJ12:AJ55)-AJ11)*0.87</f>
        <v>0</v>
      </c>
      <c r="AK9" s="201">
        <f t="shared" ref="AK9:AU9" si="4">(SUM(AK12:AK55)-AK11)*0.87</f>
        <v>0</v>
      </c>
      <c r="AL9" s="201">
        <f t="shared" si="4"/>
        <v>0</v>
      </c>
      <c r="AM9" s="201">
        <f t="shared" si="4"/>
        <v>0</v>
      </c>
      <c r="AN9" s="201">
        <f t="shared" si="4"/>
        <v>0</v>
      </c>
      <c r="AO9" s="201">
        <f t="shared" si="4"/>
        <v>0</v>
      </c>
      <c r="AP9" s="201">
        <f t="shared" si="4"/>
        <v>0</v>
      </c>
      <c r="AQ9" s="201">
        <f t="shared" si="4"/>
        <v>0</v>
      </c>
      <c r="AR9" s="201">
        <f t="shared" si="4"/>
        <v>0</v>
      </c>
      <c r="AS9" s="201">
        <f t="shared" si="4"/>
        <v>0</v>
      </c>
      <c r="AT9" s="201">
        <f t="shared" si="4"/>
        <v>0</v>
      </c>
      <c r="AU9" s="201">
        <f t="shared" si="4"/>
        <v>0</v>
      </c>
      <c r="AV9" s="202">
        <f t="shared" ref="AV9:AV11" si="5">SUM(AJ9:AU9)</f>
        <v>0</v>
      </c>
      <c r="AW9" s="139"/>
      <c r="AX9" s="201">
        <f>(SUM(AX12:AX55)-AX11)*0.87</f>
        <v>0</v>
      </c>
      <c r="AY9" s="201">
        <f t="shared" ref="AY9:BI9" si="6">(SUM(AY12:AY55)-AY11)*0.87</f>
        <v>0</v>
      </c>
      <c r="AZ9" s="201">
        <f t="shared" si="6"/>
        <v>0</v>
      </c>
      <c r="BA9" s="201">
        <f t="shared" si="6"/>
        <v>0</v>
      </c>
      <c r="BB9" s="201">
        <f t="shared" si="6"/>
        <v>0</v>
      </c>
      <c r="BC9" s="201">
        <f t="shared" si="6"/>
        <v>0</v>
      </c>
      <c r="BD9" s="201">
        <f t="shared" si="6"/>
        <v>0</v>
      </c>
      <c r="BE9" s="201">
        <f t="shared" si="6"/>
        <v>0</v>
      </c>
      <c r="BF9" s="201">
        <f t="shared" si="6"/>
        <v>0</v>
      </c>
      <c r="BG9" s="201">
        <f t="shared" si="6"/>
        <v>0</v>
      </c>
      <c r="BH9" s="201">
        <f t="shared" si="6"/>
        <v>0</v>
      </c>
      <c r="BI9" s="201">
        <f t="shared" si="6"/>
        <v>0</v>
      </c>
      <c r="BJ9" s="202">
        <f t="shared" ref="BJ9:BJ11" si="7">SUM(AX9:BI9)</f>
        <v>0</v>
      </c>
      <c r="BK9" s="139"/>
      <c r="BL9" s="201">
        <f>(SUM(BL12:BL55)-BL11)*0.87</f>
        <v>0</v>
      </c>
      <c r="BM9" s="201">
        <f t="shared" ref="BM9:BW9" si="8">(SUM(BM12:BM55)-BM11)*0.87</f>
        <v>0</v>
      </c>
      <c r="BN9" s="201">
        <f t="shared" si="8"/>
        <v>0</v>
      </c>
      <c r="BO9" s="201">
        <f t="shared" si="8"/>
        <v>0</v>
      </c>
      <c r="BP9" s="201">
        <f t="shared" si="8"/>
        <v>0</v>
      </c>
      <c r="BQ9" s="201">
        <f t="shared" si="8"/>
        <v>0</v>
      </c>
      <c r="BR9" s="201">
        <f t="shared" si="8"/>
        <v>0</v>
      </c>
      <c r="BS9" s="201">
        <f t="shared" si="8"/>
        <v>0</v>
      </c>
      <c r="BT9" s="201">
        <f t="shared" si="8"/>
        <v>0</v>
      </c>
      <c r="BU9" s="201">
        <f t="shared" si="8"/>
        <v>0</v>
      </c>
      <c r="BV9" s="201">
        <f t="shared" si="8"/>
        <v>0</v>
      </c>
      <c r="BW9" s="201">
        <f t="shared" si="8"/>
        <v>0</v>
      </c>
      <c r="BX9" s="202">
        <f t="shared" ref="BX9:BX11" si="9">SUM(BL9:BW9)</f>
        <v>0</v>
      </c>
      <c r="BY9" s="186"/>
    </row>
    <row r="10" spans="1:77" ht="10.199999999999999" x14ac:dyDescent="0.2">
      <c r="C10" s="181" t="s">
        <v>414</v>
      </c>
      <c r="D10" s="181"/>
      <c r="E10" s="195"/>
      <c r="F10" s="195"/>
      <c r="G10" s="139"/>
      <c r="H10" s="201">
        <f>(SUM(H12:H55)-H11)*0.13</f>
        <v>0</v>
      </c>
      <c r="I10" s="201">
        <f t="shared" ref="I10:S10" si="10">(SUM(I12:I55)-I11)*0.13</f>
        <v>0</v>
      </c>
      <c r="J10" s="201">
        <f t="shared" si="10"/>
        <v>0</v>
      </c>
      <c r="K10" s="201">
        <f t="shared" si="10"/>
        <v>0</v>
      </c>
      <c r="L10" s="201">
        <f t="shared" si="10"/>
        <v>0</v>
      </c>
      <c r="M10" s="201">
        <f t="shared" si="10"/>
        <v>0</v>
      </c>
      <c r="N10" s="201">
        <f t="shared" si="10"/>
        <v>0</v>
      </c>
      <c r="O10" s="201">
        <f t="shared" si="10"/>
        <v>0</v>
      </c>
      <c r="P10" s="201">
        <f t="shared" si="10"/>
        <v>3900</v>
      </c>
      <c r="Q10" s="201">
        <f t="shared" si="10"/>
        <v>0</v>
      </c>
      <c r="R10" s="201">
        <f t="shared" si="10"/>
        <v>4550</v>
      </c>
      <c r="S10" s="201">
        <f t="shared" si="10"/>
        <v>3250</v>
      </c>
      <c r="T10" s="202">
        <f t="shared" si="1"/>
        <v>11700</v>
      </c>
      <c r="U10" s="139"/>
      <c r="V10" s="201">
        <f>(SUM(V12:V55)-V11)*0.13</f>
        <v>0</v>
      </c>
      <c r="W10" s="201">
        <f t="shared" ref="W10" si="11">(SUM(W12:W55)-W11)*0.13</f>
        <v>0</v>
      </c>
      <c r="X10" s="201">
        <f t="shared" ref="X10" si="12">(SUM(X12:X55)-X11)*0.13</f>
        <v>0</v>
      </c>
      <c r="Y10" s="201">
        <f t="shared" ref="Y10" si="13">(SUM(Y12:Y55)-Y11)*0.13</f>
        <v>0</v>
      </c>
      <c r="Z10" s="201">
        <f t="shared" ref="Z10" si="14">(SUM(Z12:Z55)-Z11)*0.13</f>
        <v>0</v>
      </c>
      <c r="AA10" s="201">
        <f t="shared" ref="AA10" si="15">(SUM(AA12:AA55)-AA11)*0.13</f>
        <v>0</v>
      </c>
      <c r="AB10" s="201">
        <f t="shared" ref="AB10" si="16">(SUM(AB12:AB55)-AB11)*0.13</f>
        <v>0</v>
      </c>
      <c r="AC10" s="201">
        <f t="shared" ref="AC10" si="17">(SUM(AC12:AC55)-AC11)*0.13</f>
        <v>0</v>
      </c>
      <c r="AD10" s="201">
        <f t="shared" ref="AD10" si="18">(SUM(AD12:AD55)-AD11)*0.13</f>
        <v>0</v>
      </c>
      <c r="AE10" s="201">
        <f t="shared" ref="AE10" si="19">(SUM(AE12:AE55)-AE11)*0.13</f>
        <v>0</v>
      </c>
      <c r="AF10" s="201">
        <f t="shared" ref="AF10" si="20">(SUM(AF12:AF55)-AF11)*0.13</f>
        <v>0</v>
      </c>
      <c r="AG10" s="201">
        <f t="shared" ref="AG10" si="21">(SUM(AG12:AG55)-AG11)*0.13</f>
        <v>0</v>
      </c>
      <c r="AH10" s="202">
        <f t="shared" si="3"/>
        <v>0</v>
      </c>
      <c r="AI10" s="139"/>
      <c r="AJ10" s="201">
        <f>(SUM(AJ12:AJ55)-AJ11)*0.13</f>
        <v>0</v>
      </c>
      <c r="AK10" s="201">
        <f t="shared" ref="AK10" si="22">(SUM(AK12:AK55)-AK11)*0.13</f>
        <v>0</v>
      </c>
      <c r="AL10" s="201">
        <f t="shared" ref="AL10" si="23">(SUM(AL12:AL55)-AL11)*0.13</f>
        <v>0</v>
      </c>
      <c r="AM10" s="201">
        <f t="shared" ref="AM10" si="24">(SUM(AM12:AM55)-AM11)*0.13</f>
        <v>0</v>
      </c>
      <c r="AN10" s="201">
        <f t="shared" ref="AN10" si="25">(SUM(AN12:AN55)-AN11)*0.13</f>
        <v>0</v>
      </c>
      <c r="AO10" s="201">
        <f t="shared" ref="AO10" si="26">(SUM(AO12:AO55)-AO11)*0.13</f>
        <v>0</v>
      </c>
      <c r="AP10" s="201">
        <f t="shared" ref="AP10" si="27">(SUM(AP12:AP55)-AP11)*0.13</f>
        <v>0</v>
      </c>
      <c r="AQ10" s="201">
        <f t="shared" ref="AQ10" si="28">(SUM(AQ12:AQ55)-AQ11)*0.13</f>
        <v>0</v>
      </c>
      <c r="AR10" s="201">
        <f t="shared" ref="AR10" si="29">(SUM(AR12:AR55)-AR11)*0.13</f>
        <v>0</v>
      </c>
      <c r="AS10" s="201">
        <f t="shared" ref="AS10" si="30">(SUM(AS12:AS55)-AS11)*0.13</f>
        <v>0</v>
      </c>
      <c r="AT10" s="201">
        <f t="shared" ref="AT10" si="31">(SUM(AT12:AT55)-AT11)*0.13</f>
        <v>0</v>
      </c>
      <c r="AU10" s="201">
        <f t="shared" ref="AU10" si="32">(SUM(AU12:AU55)-AU11)*0.13</f>
        <v>0</v>
      </c>
      <c r="AV10" s="202">
        <f t="shared" si="5"/>
        <v>0</v>
      </c>
      <c r="AW10" s="139"/>
      <c r="AX10" s="201">
        <f>(SUM(AX12:AX55)-AX11)*0.13</f>
        <v>0</v>
      </c>
      <c r="AY10" s="201">
        <f t="shared" ref="AY10" si="33">(SUM(AY12:AY55)-AY11)*0.13</f>
        <v>0</v>
      </c>
      <c r="AZ10" s="201">
        <f t="shared" ref="AZ10" si="34">(SUM(AZ12:AZ55)-AZ11)*0.13</f>
        <v>0</v>
      </c>
      <c r="BA10" s="201">
        <f t="shared" ref="BA10" si="35">(SUM(BA12:BA55)-BA11)*0.13</f>
        <v>0</v>
      </c>
      <c r="BB10" s="201">
        <f t="shared" ref="BB10" si="36">(SUM(BB12:BB55)-BB11)*0.13</f>
        <v>0</v>
      </c>
      <c r="BC10" s="201">
        <f t="shared" ref="BC10" si="37">(SUM(BC12:BC55)-BC11)*0.13</f>
        <v>0</v>
      </c>
      <c r="BD10" s="201">
        <f t="shared" ref="BD10" si="38">(SUM(BD12:BD55)-BD11)*0.13</f>
        <v>0</v>
      </c>
      <c r="BE10" s="201">
        <f t="shared" ref="BE10" si="39">(SUM(BE12:BE55)-BE11)*0.13</f>
        <v>0</v>
      </c>
      <c r="BF10" s="201">
        <f t="shared" ref="BF10" si="40">(SUM(BF12:BF55)-BF11)*0.13</f>
        <v>0</v>
      </c>
      <c r="BG10" s="201">
        <f t="shared" ref="BG10" si="41">(SUM(BG12:BG55)-BG11)*0.13</f>
        <v>0</v>
      </c>
      <c r="BH10" s="201">
        <f t="shared" ref="BH10" si="42">(SUM(BH12:BH55)-BH11)*0.13</f>
        <v>0</v>
      </c>
      <c r="BI10" s="201">
        <f t="shared" ref="BI10" si="43">(SUM(BI12:BI55)-BI11)*0.13</f>
        <v>0</v>
      </c>
      <c r="BJ10" s="202">
        <f t="shared" si="7"/>
        <v>0</v>
      </c>
      <c r="BK10" s="139"/>
      <c r="BL10" s="201">
        <f>(SUM(BL12:BL55)-BL11)*0.13</f>
        <v>0</v>
      </c>
      <c r="BM10" s="201">
        <f t="shared" ref="BM10" si="44">(SUM(BM12:BM55)-BM11)*0.13</f>
        <v>0</v>
      </c>
      <c r="BN10" s="201">
        <f t="shared" ref="BN10" si="45">(SUM(BN12:BN55)-BN11)*0.13</f>
        <v>0</v>
      </c>
      <c r="BO10" s="201">
        <f t="shared" ref="BO10" si="46">(SUM(BO12:BO55)-BO11)*0.13</f>
        <v>0</v>
      </c>
      <c r="BP10" s="201">
        <f t="shared" ref="BP10" si="47">(SUM(BP12:BP55)-BP11)*0.13</f>
        <v>0</v>
      </c>
      <c r="BQ10" s="201">
        <f t="shared" ref="BQ10" si="48">(SUM(BQ12:BQ55)-BQ11)*0.13</f>
        <v>0</v>
      </c>
      <c r="BR10" s="201">
        <f t="shared" ref="BR10" si="49">(SUM(BR12:BR55)-BR11)*0.13</f>
        <v>0</v>
      </c>
      <c r="BS10" s="201">
        <f t="shared" ref="BS10" si="50">(SUM(BS12:BS55)-BS11)*0.13</f>
        <v>0</v>
      </c>
      <c r="BT10" s="201">
        <f t="shared" ref="BT10" si="51">(SUM(BT12:BT55)-BT11)*0.13</f>
        <v>0</v>
      </c>
      <c r="BU10" s="201">
        <f t="shared" ref="BU10" si="52">(SUM(BU12:BU55)-BU11)*0.13</f>
        <v>0</v>
      </c>
      <c r="BV10" s="201">
        <f t="shared" ref="BV10" si="53">(SUM(BV12:BV55)-BV11)*0.13</f>
        <v>0</v>
      </c>
      <c r="BW10" s="201">
        <f t="shared" ref="BW10" si="54">(SUM(BW12:BW55)-BW11)*0.13</f>
        <v>0</v>
      </c>
      <c r="BX10" s="202">
        <f t="shared" si="9"/>
        <v>0</v>
      </c>
      <c r="BY10" s="186"/>
    </row>
    <row r="11" spans="1:77" ht="10.199999999999999" x14ac:dyDescent="0.2">
      <c r="C11" s="182" t="s">
        <v>397</v>
      </c>
      <c r="D11" s="182"/>
      <c r="E11" s="196">
        <f>SUMIF($C$12:$C$55,"Страховые взносы",E$12:E$55)</f>
        <v>24390</v>
      </c>
      <c r="F11" s="197"/>
      <c r="G11" s="139"/>
      <c r="H11" s="203">
        <f>SUMIF($C$12:$C$55,"Страховые взносы",H$12:H$55)</f>
        <v>0</v>
      </c>
      <c r="I11" s="203">
        <f t="shared" ref="I11:S11" si="55">SUMIF($C$12:$C$55,"Страховые взносы",I$12:I$55)</f>
        <v>0</v>
      </c>
      <c r="J11" s="203">
        <f t="shared" si="55"/>
        <v>0</v>
      </c>
      <c r="K11" s="203">
        <f t="shared" si="55"/>
        <v>0</v>
      </c>
      <c r="L11" s="203">
        <f t="shared" si="55"/>
        <v>0</v>
      </c>
      <c r="M11" s="203">
        <f t="shared" si="55"/>
        <v>0</v>
      </c>
      <c r="N11" s="203">
        <f t="shared" si="55"/>
        <v>0</v>
      </c>
      <c r="O11" s="203">
        <f t="shared" si="55"/>
        <v>0</v>
      </c>
      <c r="P11" s="203">
        <f t="shared" si="55"/>
        <v>8130</v>
      </c>
      <c r="Q11" s="203">
        <f t="shared" si="55"/>
        <v>0</v>
      </c>
      <c r="R11" s="203">
        <f t="shared" si="55"/>
        <v>9485</v>
      </c>
      <c r="S11" s="203">
        <f t="shared" si="55"/>
        <v>6775</v>
      </c>
      <c r="T11" s="202">
        <f t="shared" si="1"/>
        <v>24390</v>
      </c>
      <c r="U11" s="139"/>
      <c r="V11" s="203">
        <f>SUMIF($C$12:$C$55,"Страховые взносы",V$12:V$55)</f>
        <v>0</v>
      </c>
      <c r="W11" s="203">
        <f t="shared" ref="W11:AG11" si="56">SUMIF($C$12:$C$55,"Страховые взносы",W$12:W$55)</f>
        <v>0</v>
      </c>
      <c r="X11" s="203">
        <f t="shared" si="56"/>
        <v>0</v>
      </c>
      <c r="Y11" s="203">
        <f t="shared" si="56"/>
        <v>0</v>
      </c>
      <c r="Z11" s="203">
        <f t="shared" si="56"/>
        <v>0</v>
      </c>
      <c r="AA11" s="203">
        <f t="shared" si="56"/>
        <v>0</v>
      </c>
      <c r="AB11" s="203">
        <f t="shared" si="56"/>
        <v>0</v>
      </c>
      <c r="AC11" s="203">
        <f t="shared" si="56"/>
        <v>0</v>
      </c>
      <c r="AD11" s="203">
        <f t="shared" si="56"/>
        <v>0</v>
      </c>
      <c r="AE11" s="203">
        <f t="shared" si="56"/>
        <v>0</v>
      </c>
      <c r="AF11" s="203">
        <f t="shared" si="56"/>
        <v>0</v>
      </c>
      <c r="AG11" s="203">
        <f t="shared" si="56"/>
        <v>0</v>
      </c>
      <c r="AH11" s="202">
        <f t="shared" si="3"/>
        <v>0</v>
      </c>
      <c r="AI11" s="139"/>
      <c r="AJ11" s="203">
        <f>SUMIF($C$12:$C$55,"Страховые взносы",AJ$12:AJ$55)</f>
        <v>0</v>
      </c>
      <c r="AK11" s="203">
        <f t="shared" ref="AK11:AU11" si="57">SUMIF($C$12:$C$55,"Страховые взносы",AK$12:AK$55)</f>
        <v>0</v>
      </c>
      <c r="AL11" s="203">
        <f t="shared" si="57"/>
        <v>0</v>
      </c>
      <c r="AM11" s="203">
        <f t="shared" si="57"/>
        <v>0</v>
      </c>
      <c r="AN11" s="203">
        <f t="shared" si="57"/>
        <v>0</v>
      </c>
      <c r="AO11" s="203">
        <f t="shared" si="57"/>
        <v>0</v>
      </c>
      <c r="AP11" s="203">
        <f t="shared" si="57"/>
        <v>0</v>
      </c>
      <c r="AQ11" s="203">
        <f t="shared" si="57"/>
        <v>0</v>
      </c>
      <c r="AR11" s="203">
        <f t="shared" si="57"/>
        <v>0</v>
      </c>
      <c r="AS11" s="203">
        <f t="shared" si="57"/>
        <v>0</v>
      </c>
      <c r="AT11" s="203">
        <f t="shared" si="57"/>
        <v>0</v>
      </c>
      <c r="AU11" s="203">
        <f t="shared" si="57"/>
        <v>0</v>
      </c>
      <c r="AV11" s="202">
        <f t="shared" si="5"/>
        <v>0</v>
      </c>
      <c r="AW11" s="139"/>
      <c r="AX11" s="203">
        <f>SUMIF($C$12:$C$55,"Страховые взносы",AX$12:AX$55)</f>
        <v>0</v>
      </c>
      <c r="AY11" s="203">
        <f t="shared" ref="AY11:BI11" si="58">SUMIF($C$12:$C$55,"Страховые взносы",AY$12:AY$55)</f>
        <v>0</v>
      </c>
      <c r="AZ11" s="203">
        <f t="shared" si="58"/>
        <v>0</v>
      </c>
      <c r="BA11" s="203">
        <f t="shared" si="58"/>
        <v>0</v>
      </c>
      <c r="BB11" s="203">
        <f t="shared" si="58"/>
        <v>0</v>
      </c>
      <c r="BC11" s="203">
        <f t="shared" si="58"/>
        <v>0</v>
      </c>
      <c r="BD11" s="203">
        <f t="shared" si="58"/>
        <v>0</v>
      </c>
      <c r="BE11" s="203">
        <f t="shared" si="58"/>
        <v>0</v>
      </c>
      <c r="BF11" s="203">
        <f t="shared" si="58"/>
        <v>0</v>
      </c>
      <c r="BG11" s="203">
        <f t="shared" si="58"/>
        <v>0</v>
      </c>
      <c r="BH11" s="203">
        <f t="shared" si="58"/>
        <v>0</v>
      </c>
      <c r="BI11" s="203">
        <f t="shared" si="58"/>
        <v>0</v>
      </c>
      <c r="BJ11" s="202">
        <f t="shared" si="7"/>
        <v>0</v>
      </c>
      <c r="BK11" s="139"/>
      <c r="BL11" s="203">
        <f>SUMIF($C$12:$C$55,"Страховые взносы",BL$12:BL$55)</f>
        <v>0</v>
      </c>
      <c r="BM11" s="203">
        <f t="shared" ref="BM11:BW11" si="59">SUMIF($C$12:$C$55,"Страховые взносы",BM$12:BM$55)</f>
        <v>0</v>
      </c>
      <c r="BN11" s="203">
        <f t="shared" si="59"/>
        <v>0</v>
      </c>
      <c r="BO11" s="203">
        <f t="shared" si="59"/>
        <v>0</v>
      </c>
      <c r="BP11" s="203">
        <f t="shared" si="59"/>
        <v>0</v>
      </c>
      <c r="BQ11" s="203">
        <f t="shared" si="59"/>
        <v>0</v>
      </c>
      <c r="BR11" s="203">
        <f t="shared" si="59"/>
        <v>0</v>
      </c>
      <c r="BS11" s="203">
        <f t="shared" si="59"/>
        <v>0</v>
      </c>
      <c r="BT11" s="203">
        <f t="shared" si="59"/>
        <v>0</v>
      </c>
      <c r="BU11" s="203">
        <f t="shared" si="59"/>
        <v>0</v>
      </c>
      <c r="BV11" s="203">
        <f t="shared" si="59"/>
        <v>0</v>
      </c>
      <c r="BW11" s="203">
        <f t="shared" si="59"/>
        <v>0</v>
      </c>
      <c r="BX11" s="202">
        <f t="shared" si="9"/>
        <v>0</v>
      </c>
      <c r="BY11" s="186"/>
    </row>
    <row r="12" spans="1:77" ht="10.199999999999999" x14ac:dyDescent="0.2">
      <c r="A12" s="176">
        <v>1</v>
      </c>
      <c r="C12" s="189"/>
      <c r="D12" s="192" t="s">
        <v>479</v>
      </c>
      <c r="E12" s="194">
        <v>40000</v>
      </c>
      <c r="F12" s="184">
        <f>E12-(T12+AH12+AV12+BJ12+BX12)</f>
        <v>0</v>
      </c>
      <c r="G12" s="139"/>
      <c r="H12" s="124"/>
      <c r="I12" s="124"/>
      <c r="J12" s="124"/>
      <c r="K12" s="124"/>
      <c r="L12" s="124"/>
      <c r="M12" s="124"/>
      <c r="N12" s="124"/>
      <c r="O12" s="124"/>
      <c r="P12" s="124">
        <v>20000</v>
      </c>
      <c r="Q12" s="124"/>
      <c r="R12" s="124">
        <v>20000</v>
      </c>
      <c r="S12" s="124"/>
      <c r="T12" s="184">
        <f>SUM(H12:S12)</f>
        <v>40000</v>
      </c>
      <c r="U12" s="139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84">
        <f>SUM(V12:AG12)</f>
        <v>0</v>
      </c>
      <c r="AI12" s="139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84">
        <f>SUM(AJ12:AU12)</f>
        <v>0</v>
      </c>
      <c r="AW12" s="139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84">
        <f>SUM(AX12:BI12)</f>
        <v>0</v>
      </c>
      <c r="BK12" s="139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84">
        <f>SUM(BL12:BW12)</f>
        <v>0</v>
      </c>
      <c r="BY12" s="124"/>
    </row>
    <row r="13" spans="1:77" ht="10.199999999999999" x14ac:dyDescent="0.2">
      <c r="A13" s="176">
        <v>1</v>
      </c>
      <c r="C13" s="190" t="s">
        <v>408</v>
      </c>
      <c r="D13" s="183"/>
      <c r="E13" s="183">
        <f>T13+AH13+AV13+BJ13+BX13</f>
        <v>10840</v>
      </c>
      <c r="F13" s="184"/>
      <c r="G13" s="139"/>
      <c r="H13" s="183">
        <f>IF(SUM($H12:H12)&lt;=796000,H12*0.271,H12*0.151)</f>
        <v>0</v>
      </c>
      <c r="I13" s="183">
        <f>IF(SUM($H12:I12)&lt;=796000,I12*0.271,I12*0.151)</f>
        <v>0</v>
      </c>
      <c r="J13" s="183">
        <f>IF(SUM($H12:J12)&lt;=796000,J12*0.271,J12*0.151)</f>
        <v>0</v>
      </c>
      <c r="K13" s="183">
        <f>IF(SUM($H12:K12)&lt;=796000,K12*0.271,K12*0.151)</f>
        <v>0</v>
      </c>
      <c r="L13" s="183">
        <f>IF(SUM($H12:L12)&lt;=796000,L12*0.271,L12*0.151)</f>
        <v>0</v>
      </c>
      <c r="M13" s="183">
        <f>IF(SUM($H12:M12)&lt;=796000,M12*0.271,M12*0.151)</f>
        <v>0</v>
      </c>
      <c r="N13" s="183">
        <f>IF(SUM($H12:N12)&lt;=796000,N12*0.271,N12*0.151)</f>
        <v>0</v>
      </c>
      <c r="O13" s="183">
        <f>IF(SUM($H12:O12)&lt;=796000,O12*0.271,O12*0.151)</f>
        <v>0</v>
      </c>
      <c r="P13" s="183">
        <f>IF(SUM($H12:P12)&lt;=796000,P12*0.271,P12*0.151)</f>
        <v>5420</v>
      </c>
      <c r="Q13" s="183">
        <f>IF(SUM($H12:Q12)&lt;=796000,Q12*0.271,Q12*0.151)</f>
        <v>0</v>
      </c>
      <c r="R13" s="183">
        <f>IF(SUM($H12:R12)&lt;=796000,R12*0.271,R12*0.151)</f>
        <v>5420</v>
      </c>
      <c r="S13" s="183">
        <f>IF(SUM($H12:S12)&lt;=796000,S12*0.271,S12*0.151)</f>
        <v>0</v>
      </c>
      <c r="T13" s="184">
        <f t="shared" ref="T13" si="60">SUM(H13:S13)</f>
        <v>10840</v>
      </c>
      <c r="U13" s="139"/>
      <c r="V13" s="183">
        <f>IF(SUM(I12:$S12,$V12:V12)&lt;=796000,V12*0.271,V12*0.151)</f>
        <v>0</v>
      </c>
      <c r="W13" s="183">
        <f>IF(SUM(J12:$S12,$V12:W12)&lt;=796000,W12*0.271,W12*0.151)</f>
        <v>0</v>
      </c>
      <c r="X13" s="183">
        <f>IF(SUM(K12:$S12,$V12:X12)&lt;=796000,X12*0.271,X12*0.151)</f>
        <v>0</v>
      </c>
      <c r="Y13" s="183">
        <f>IF(SUM(L12:$S12,$V12:Y12)&lt;=796000,Y12*0.271,Y12*0.151)</f>
        <v>0</v>
      </c>
      <c r="Z13" s="183">
        <f>IF(SUM(M12:$S12,$V12:Z12)&lt;=796000,Z12*0.271,Z12*0.151)</f>
        <v>0</v>
      </c>
      <c r="AA13" s="183">
        <f>IF(SUM(N12:$S12,$V12:AA12)&lt;=796000,AA12*0.271,AA12*0.151)</f>
        <v>0</v>
      </c>
      <c r="AB13" s="183">
        <f>IF(SUM(O12:$S12,$V12:AB12)&lt;=796000,AB12*0.271,AB12*0.151)</f>
        <v>0</v>
      </c>
      <c r="AC13" s="183">
        <f>IF(SUM(P12:$S12,$V12:AC12)&lt;=796000,AC12*0.271,AC12*0.151)</f>
        <v>0</v>
      </c>
      <c r="AD13" s="183">
        <f>IF(SUM(Q12:$S12,$V12:AD12)&lt;=796000,AD12*0.271,AD12*0.151)</f>
        <v>0</v>
      </c>
      <c r="AE13" s="183">
        <f>IF(SUM(R12:$S12,$V12:AE12)&lt;=796000,AE12*0.271,AE12*0.151)</f>
        <v>0</v>
      </c>
      <c r="AF13" s="183">
        <f>IF(SUM(S12:$S12,$V12:AF12)&lt;=796000,AF12*0.271,AF12*0.151)</f>
        <v>0</v>
      </c>
      <c r="AG13" s="183">
        <f>IF(SUM($V12:AG12)&lt;=796000,AG12*0.271,AG12*0.151)</f>
        <v>0</v>
      </c>
      <c r="AH13" s="184">
        <f t="shared" ref="AH13" si="61">SUM(V13:AG13)</f>
        <v>0</v>
      </c>
      <c r="AI13" s="139"/>
      <c r="AJ13" s="183">
        <f>IF(SUM(W12:$AG12,$AJ12:AJ12)&lt;=796000,AJ12*0.271,AJ12*0.151)</f>
        <v>0</v>
      </c>
      <c r="AK13" s="183">
        <f>IF(SUM(X12:$AG12,$AJ12:AK12)&lt;=796000,AK12*0.271,AK12*0.151)</f>
        <v>0</v>
      </c>
      <c r="AL13" s="183">
        <f>IF(SUM(Y12:$AG12,$AJ12:AL12)&lt;=796000,AL12*0.271,AL12*0.151)</f>
        <v>0</v>
      </c>
      <c r="AM13" s="183">
        <f>IF(SUM(Z12:$AG12,$AJ12:AM12)&lt;=796000,AM12*0.271,AM12*0.151)</f>
        <v>0</v>
      </c>
      <c r="AN13" s="183">
        <f>IF(SUM(AA12:$AG12,$AJ12:AN12)&lt;=796000,AN12*0.271,AN12*0.151)</f>
        <v>0</v>
      </c>
      <c r="AO13" s="183">
        <f>IF(SUM(AB12:$AG12,$AJ12:AO12)&lt;=796000,AO12*0.271,AO12*0.151)</f>
        <v>0</v>
      </c>
      <c r="AP13" s="183">
        <f>IF(SUM(AC12:$AG12,$AJ12:AP12)&lt;=796000,AP12*0.271,AP12*0.151)</f>
        <v>0</v>
      </c>
      <c r="AQ13" s="183">
        <f>IF(SUM(AD12:$AG12,$AJ12:AQ12)&lt;=796000,AQ12*0.271,AQ12*0.151)</f>
        <v>0</v>
      </c>
      <c r="AR13" s="183">
        <f>IF(SUM(AE12:$AG12,$AJ12:AR12)&lt;=796000,AR12*0.271,AR12*0.151)</f>
        <v>0</v>
      </c>
      <c r="AS13" s="183">
        <f>IF(SUM(AF12:$AG12,$AJ12:AS12)&lt;=796000,AS12*0.271,AS12*0.151)</f>
        <v>0</v>
      </c>
      <c r="AT13" s="183">
        <f>IF(SUM(AG12:$AG12,$AJ12:AT12)&lt;=796000,AT12*0.271,AT12*0.151)</f>
        <v>0</v>
      </c>
      <c r="AU13" s="183">
        <f>IF(SUM($AJ12:AU12)&lt;=796000,AU12*0.271,AU12*0.151)</f>
        <v>0</v>
      </c>
      <c r="AV13" s="184">
        <f t="shared" ref="AV13" si="62">SUM(AJ13:AU13)</f>
        <v>0</v>
      </c>
      <c r="AW13" s="139"/>
      <c r="AX13" s="183">
        <f>IF(SUM(AK12:$AU12,$AX12:AX12)&lt;=796000,AX12*0.271,AX12*0.151)</f>
        <v>0</v>
      </c>
      <c r="AY13" s="183">
        <f>IF(SUM(AL12:$AU12,$AX12:AY12)&lt;=796000,AY12*0.271,AY12*0.151)</f>
        <v>0</v>
      </c>
      <c r="AZ13" s="183">
        <f>IF(SUM(AM12:$AU12,$AX12:AZ12)&lt;=796000,AZ12*0.271,AZ12*0.151)</f>
        <v>0</v>
      </c>
      <c r="BA13" s="183">
        <f>IF(SUM(AN12:$AU12,$AX12:BA12)&lt;=796000,BA12*0.271,BA12*0.151)</f>
        <v>0</v>
      </c>
      <c r="BB13" s="183">
        <f>IF(SUM(AO12:$AU12,$AX12:BB12)&lt;=796000,BB12*0.271,BB12*0.151)</f>
        <v>0</v>
      </c>
      <c r="BC13" s="183">
        <f>IF(SUM(AP12:$AU12,$AX12:BC12)&lt;=796000,BC12*0.271,BC12*0.151)</f>
        <v>0</v>
      </c>
      <c r="BD13" s="183">
        <f>IF(SUM(AQ12:$AU12,$AX12:BD12)&lt;=796000,BD12*0.271,BD12*0.151)</f>
        <v>0</v>
      </c>
      <c r="BE13" s="183">
        <f>IF(SUM(AR12:$AU12,$AX12:BE12)&lt;=796000,BE12*0.271,BE12*0.151)</f>
        <v>0</v>
      </c>
      <c r="BF13" s="183">
        <f>IF(SUM(AS12:$AU12,$AX12:BF12)&lt;=796000,BF12*0.271,BF12*0.151)</f>
        <v>0</v>
      </c>
      <c r="BG13" s="183">
        <f>IF(SUM(AT12:$AU12,$AX12:BG12)&lt;=796000,BG12*0.271,BG12*0.151)</f>
        <v>0</v>
      </c>
      <c r="BH13" s="183">
        <f>IF(SUM(AU12:$AU12,$AX12:BH12)&lt;=796000,BH12*0.271,BH12*0.151)</f>
        <v>0</v>
      </c>
      <c r="BI13" s="183">
        <f>IF(SUM($AX12:BI12)&lt;=796000,BI12*0.271,BI12*0.151)</f>
        <v>0</v>
      </c>
      <c r="BJ13" s="184">
        <f t="shared" ref="BJ13" si="63">SUM(AX13:BI13)</f>
        <v>0</v>
      </c>
      <c r="BK13" s="139"/>
      <c r="BL13" s="183">
        <f>IF(SUM(AY12:$BI12,$BL12:BL12)&lt;=796000,BL12*0.271,BL12*0.151)</f>
        <v>0</v>
      </c>
      <c r="BM13" s="183">
        <f>IF(SUM(AZ12:$BI12,$BL12:BM12)&lt;=796000,BM12*0.271,BM12*0.151)</f>
        <v>0</v>
      </c>
      <c r="BN13" s="183">
        <f>IF(SUM(BA12:$BI12,$BL12:BN12)&lt;=796000,BN12*0.271,BN12*0.151)</f>
        <v>0</v>
      </c>
      <c r="BO13" s="183">
        <f>IF(SUM(BB12:$BI12,$BL12:BO12)&lt;=796000,BO12*0.271,BO12*0.151)</f>
        <v>0</v>
      </c>
      <c r="BP13" s="183">
        <f>IF(SUM(BC12:$BI12,$BL12:BP12)&lt;=796000,BP12*0.271,BP12*0.151)</f>
        <v>0</v>
      </c>
      <c r="BQ13" s="183">
        <f>IF(SUM(BD12:$BI12,$BL12:BQ12)&lt;=796000,BQ12*0.271,BQ12*0.151)</f>
        <v>0</v>
      </c>
      <c r="BR13" s="183">
        <f>IF(SUM(BE12:$BI12,$BL12:BR12)&lt;=796000,BR12*0.271,BR12*0.151)</f>
        <v>0</v>
      </c>
      <c r="BS13" s="183">
        <f>IF(SUM(BF12:$BI12,$BL12:BS12)&lt;=796000,BS12*0.271,BS12*0.151)</f>
        <v>0</v>
      </c>
      <c r="BT13" s="183">
        <f>IF(SUM(BG12:$BI12,$BL12:BT12)&lt;=796000,BT12*0.271,BT12*0.151)</f>
        <v>0</v>
      </c>
      <c r="BU13" s="183">
        <f>IF(SUM(BH12:$BI12,$BL12:BU12)&lt;=796000,BU12*0.271,BU12*0.151)</f>
        <v>0</v>
      </c>
      <c r="BV13" s="183">
        <f>IF(SUM(BI12:$BI12,$BL12:BV12)&lt;=796000,BV12*0.271,BV12*0.151)</f>
        <v>0</v>
      </c>
      <c r="BW13" s="183">
        <f>IF(SUM($BL12:BW12)&lt;=796000,BW12*0.271,BW12*0.151)</f>
        <v>0</v>
      </c>
      <c r="BX13" s="184">
        <f t="shared" ref="BX13" si="64">SUM(BL13:BW13)</f>
        <v>0</v>
      </c>
      <c r="BY13" s="188"/>
    </row>
    <row r="14" spans="1:77" ht="10.199999999999999" x14ac:dyDescent="0.2">
      <c r="A14" s="176">
        <v>1</v>
      </c>
      <c r="C14" s="193" t="str">
        <f>IF(C12="","",C12)</f>
        <v/>
      </c>
      <c r="D14" s="192" t="s">
        <v>528</v>
      </c>
      <c r="E14" s="194">
        <v>30000</v>
      </c>
      <c r="F14" s="184">
        <f>E14-(T14+AH14+AV14+BJ14+BX14)</f>
        <v>0</v>
      </c>
      <c r="G14" s="139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>
        <v>15000</v>
      </c>
      <c r="S14" s="124">
        <v>15000</v>
      </c>
      <c r="T14" s="184">
        <f>SUM(H14:S14)</f>
        <v>30000</v>
      </c>
      <c r="U14" s="139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84">
        <f>SUM(V14:AG14)</f>
        <v>0</v>
      </c>
      <c r="AI14" s="139"/>
      <c r="AJ14" s="124"/>
      <c r="AK14" s="124"/>
      <c r="AL14" s="124"/>
      <c r="AM14" s="124"/>
      <c r="AN14" s="124"/>
      <c r="AO14" s="124"/>
      <c r="AP14" s="124"/>
      <c r="AQ14" s="124"/>
      <c r="AR14" s="124"/>
      <c r="AS14" s="124"/>
      <c r="AT14" s="124"/>
      <c r="AU14" s="124"/>
      <c r="AV14" s="184">
        <f>SUM(AJ14:AU14)</f>
        <v>0</v>
      </c>
      <c r="AW14" s="139"/>
      <c r="AX14" s="124"/>
      <c r="AY14" s="124"/>
      <c r="AZ14" s="124"/>
      <c r="BA14" s="124"/>
      <c r="BB14" s="124"/>
      <c r="BC14" s="124"/>
      <c r="BD14" s="124"/>
      <c r="BE14" s="124"/>
      <c r="BF14" s="124"/>
      <c r="BG14" s="124"/>
      <c r="BH14" s="124"/>
      <c r="BI14" s="124"/>
      <c r="BJ14" s="184">
        <f>SUM(AX14:BI14)</f>
        <v>0</v>
      </c>
      <c r="BK14" s="139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84">
        <f>SUM(BL14:BW14)</f>
        <v>0</v>
      </c>
      <c r="BY14" s="124"/>
    </row>
    <row r="15" spans="1:77" ht="10.199999999999999" x14ac:dyDescent="0.2">
      <c r="A15" s="176">
        <v>1</v>
      </c>
      <c r="C15" s="190" t="s">
        <v>408</v>
      </c>
      <c r="D15" s="183"/>
      <c r="E15" s="183">
        <f>T15+AH15+AV15+BJ15+BX15</f>
        <v>8130.0000000000009</v>
      </c>
      <c r="F15" s="184"/>
      <c r="G15" s="139"/>
      <c r="H15" s="183">
        <f>IF(SUM($H14:H14)&lt;=796000,H14*0.271,H14*0.151)</f>
        <v>0</v>
      </c>
      <c r="I15" s="183">
        <f>IF(SUM($H14:I14)&lt;=796000,I14*0.271,I14*0.151)</f>
        <v>0</v>
      </c>
      <c r="J15" s="183">
        <f>IF(SUM($H14:J14)&lt;=796000,J14*0.271,J14*0.151)</f>
        <v>0</v>
      </c>
      <c r="K15" s="183">
        <f>IF(SUM($H14:K14)&lt;=796000,K14*0.271,K14*0.151)</f>
        <v>0</v>
      </c>
      <c r="L15" s="183">
        <f>IF(SUM($H14:L14)&lt;=796000,L14*0.271,L14*0.151)</f>
        <v>0</v>
      </c>
      <c r="M15" s="183">
        <f>IF(SUM($H14:M14)&lt;=796000,M14*0.271,M14*0.151)</f>
        <v>0</v>
      </c>
      <c r="N15" s="183">
        <f>IF(SUM($H14:N14)&lt;=796000,N14*0.271,N14*0.151)</f>
        <v>0</v>
      </c>
      <c r="O15" s="183">
        <f>IF(SUM($H14:O14)&lt;=796000,O14*0.271,O14*0.151)</f>
        <v>0</v>
      </c>
      <c r="P15" s="183">
        <f>IF(SUM($H14:P14)&lt;=796000,P14*0.271,P14*0.151)</f>
        <v>0</v>
      </c>
      <c r="Q15" s="183">
        <f>IF(SUM($H14:Q14)&lt;=796000,Q14*0.271,Q14*0.151)</f>
        <v>0</v>
      </c>
      <c r="R15" s="183">
        <f>IF(SUM($H14:R14)&lt;=796000,R14*0.271,R14*0.151)</f>
        <v>4065.0000000000005</v>
      </c>
      <c r="S15" s="183">
        <f>IF(SUM($H14:S14)&lt;=796000,S14*0.271,S14*0.151)</f>
        <v>4065.0000000000005</v>
      </c>
      <c r="T15" s="184">
        <f t="shared" ref="T15" si="65">SUM(H15:S15)</f>
        <v>8130.0000000000009</v>
      </c>
      <c r="U15" s="139"/>
      <c r="V15" s="183">
        <f>IF(SUM(I14:$S14,$V14:V14)&lt;=796000,V14*0.271,V14*0.151)</f>
        <v>0</v>
      </c>
      <c r="W15" s="183">
        <f>IF(SUM(J14:$S14,$V14:W14)&lt;=796000,W14*0.271,W14*0.151)</f>
        <v>0</v>
      </c>
      <c r="X15" s="183">
        <f>IF(SUM(K14:$S14,$V14:X14)&lt;=796000,X14*0.271,X14*0.151)</f>
        <v>0</v>
      </c>
      <c r="Y15" s="183">
        <f>IF(SUM(L14:$S14,$V14:Y14)&lt;=796000,Y14*0.271,Y14*0.151)</f>
        <v>0</v>
      </c>
      <c r="Z15" s="183">
        <f>IF(SUM(M14:$S14,$V14:Z14)&lt;=796000,Z14*0.271,Z14*0.151)</f>
        <v>0</v>
      </c>
      <c r="AA15" s="183">
        <f>IF(SUM(N14:$S14,$V14:AA14)&lt;=796000,AA14*0.271,AA14*0.151)</f>
        <v>0</v>
      </c>
      <c r="AB15" s="183">
        <f>IF(SUM(O14:$S14,$V14:AB14)&lt;=796000,AB14*0.271,AB14*0.151)</f>
        <v>0</v>
      </c>
      <c r="AC15" s="183">
        <f>IF(SUM(P14:$S14,$V14:AC14)&lt;=796000,AC14*0.271,AC14*0.151)</f>
        <v>0</v>
      </c>
      <c r="AD15" s="183">
        <f>IF(SUM(Q14:$S14,$V14:AD14)&lt;=796000,AD14*0.271,AD14*0.151)</f>
        <v>0</v>
      </c>
      <c r="AE15" s="183">
        <f>IF(SUM(R14:$S14,$V14:AE14)&lt;=796000,AE14*0.271,AE14*0.151)</f>
        <v>0</v>
      </c>
      <c r="AF15" s="183">
        <f>IF(SUM(S14:$S14,$V14:AF14)&lt;=796000,AF14*0.271,AF14*0.151)</f>
        <v>0</v>
      </c>
      <c r="AG15" s="183">
        <f>IF(SUM($V14:AG14)&lt;=796000,AG14*0.271,AG14*0.151)</f>
        <v>0</v>
      </c>
      <c r="AH15" s="184">
        <f t="shared" ref="AH15" si="66">SUM(V15:AG15)</f>
        <v>0</v>
      </c>
      <c r="AI15" s="139"/>
      <c r="AJ15" s="183">
        <f>IF(SUM(W14:$AG14,$AJ14:AJ14)&lt;=796000,AJ14*0.271,AJ14*0.151)</f>
        <v>0</v>
      </c>
      <c r="AK15" s="183">
        <f>IF(SUM(X14:$AG14,$AJ14:AK14)&lt;=796000,AK14*0.271,AK14*0.151)</f>
        <v>0</v>
      </c>
      <c r="AL15" s="183">
        <f>IF(SUM(Y14:$AG14,$AJ14:AL14)&lt;=796000,AL14*0.271,AL14*0.151)</f>
        <v>0</v>
      </c>
      <c r="AM15" s="183">
        <f>IF(SUM(Z14:$AG14,$AJ14:AM14)&lt;=796000,AM14*0.271,AM14*0.151)</f>
        <v>0</v>
      </c>
      <c r="AN15" s="183">
        <f>IF(SUM(AA14:$AG14,$AJ14:AN14)&lt;=796000,AN14*0.271,AN14*0.151)</f>
        <v>0</v>
      </c>
      <c r="AO15" s="183">
        <f>IF(SUM(AB14:$AG14,$AJ14:AO14)&lt;=796000,AO14*0.271,AO14*0.151)</f>
        <v>0</v>
      </c>
      <c r="AP15" s="183">
        <f>IF(SUM(AC14:$AG14,$AJ14:AP14)&lt;=796000,AP14*0.271,AP14*0.151)</f>
        <v>0</v>
      </c>
      <c r="AQ15" s="183">
        <f>IF(SUM(AD14:$AG14,$AJ14:AQ14)&lt;=796000,AQ14*0.271,AQ14*0.151)</f>
        <v>0</v>
      </c>
      <c r="AR15" s="183">
        <f>IF(SUM(AE14:$AG14,$AJ14:AR14)&lt;=796000,AR14*0.271,AR14*0.151)</f>
        <v>0</v>
      </c>
      <c r="AS15" s="183">
        <f>IF(SUM(AF14:$AG14,$AJ14:AS14)&lt;=796000,AS14*0.271,AS14*0.151)</f>
        <v>0</v>
      </c>
      <c r="AT15" s="183">
        <f>IF(SUM(AG14:$AG14,$AJ14:AT14)&lt;=796000,AT14*0.271,AT14*0.151)</f>
        <v>0</v>
      </c>
      <c r="AU15" s="183">
        <f>IF(SUM($AJ14:AU14)&lt;=796000,AU14*0.271,AU14*0.151)</f>
        <v>0</v>
      </c>
      <c r="AV15" s="184">
        <f t="shared" ref="AV15" si="67">SUM(AJ15:AU15)</f>
        <v>0</v>
      </c>
      <c r="AW15" s="139"/>
      <c r="AX15" s="183">
        <f>IF(SUM(AK14:$AU14,$AX14:AX14)&lt;=796000,AX14*0.271,AX14*0.151)</f>
        <v>0</v>
      </c>
      <c r="AY15" s="183">
        <f>IF(SUM(AL14:$AU14,$AX14:AY14)&lt;=796000,AY14*0.271,AY14*0.151)</f>
        <v>0</v>
      </c>
      <c r="AZ15" s="183">
        <f>IF(SUM(AM14:$AU14,$AX14:AZ14)&lt;=796000,AZ14*0.271,AZ14*0.151)</f>
        <v>0</v>
      </c>
      <c r="BA15" s="183">
        <f>IF(SUM(AN14:$AU14,$AX14:BA14)&lt;=796000,BA14*0.271,BA14*0.151)</f>
        <v>0</v>
      </c>
      <c r="BB15" s="183">
        <f>IF(SUM(AO14:$AU14,$AX14:BB14)&lt;=796000,BB14*0.271,BB14*0.151)</f>
        <v>0</v>
      </c>
      <c r="BC15" s="183">
        <f>IF(SUM(AP14:$AU14,$AX14:BC14)&lt;=796000,BC14*0.271,BC14*0.151)</f>
        <v>0</v>
      </c>
      <c r="BD15" s="183">
        <f>IF(SUM(AQ14:$AU14,$AX14:BD14)&lt;=796000,BD14*0.271,BD14*0.151)</f>
        <v>0</v>
      </c>
      <c r="BE15" s="183">
        <f>IF(SUM(AR14:$AU14,$AX14:BE14)&lt;=796000,BE14*0.271,BE14*0.151)</f>
        <v>0</v>
      </c>
      <c r="BF15" s="183">
        <f>IF(SUM(AS14:$AU14,$AX14:BF14)&lt;=796000,BF14*0.271,BF14*0.151)</f>
        <v>0</v>
      </c>
      <c r="BG15" s="183">
        <f>IF(SUM(AT14:$AU14,$AX14:BG14)&lt;=796000,BG14*0.271,BG14*0.151)</f>
        <v>0</v>
      </c>
      <c r="BH15" s="183">
        <f>IF(SUM(AU14:$AU14,$AX14:BH14)&lt;=796000,BH14*0.271,BH14*0.151)</f>
        <v>0</v>
      </c>
      <c r="BI15" s="183">
        <f>IF(SUM($AX14:BI14)&lt;=796000,BI14*0.271,BI14*0.151)</f>
        <v>0</v>
      </c>
      <c r="BJ15" s="184">
        <f t="shared" ref="BJ15" si="68">SUM(AX15:BI15)</f>
        <v>0</v>
      </c>
      <c r="BK15" s="139"/>
      <c r="BL15" s="183">
        <f>IF(SUM(AY14:$BI14,$BL14:BL14)&lt;=796000,BL14*0.271,BL14*0.151)</f>
        <v>0</v>
      </c>
      <c r="BM15" s="183">
        <f>IF(SUM(AZ14:$BI14,$BL14:BM14)&lt;=796000,BM14*0.271,BM14*0.151)</f>
        <v>0</v>
      </c>
      <c r="BN15" s="183">
        <f>IF(SUM(BA14:$BI14,$BL14:BN14)&lt;=796000,BN14*0.271,BN14*0.151)</f>
        <v>0</v>
      </c>
      <c r="BO15" s="183">
        <f>IF(SUM(BB14:$BI14,$BL14:BO14)&lt;=796000,BO14*0.271,BO14*0.151)</f>
        <v>0</v>
      </c>
      <c r="BP15" s="183">
        <f>IF(SUM(BC14:$BI14,$BL14:BP14)&lt;=796000,BP14*0.271,BP14*0.151)</f>
        <v>0</v>
      </c>
      <c r="BQ15" s="183">
        <f>IF(SUM(BD14:$BI14,$BL14:BQ14)&lt;=796000,BQ14*0.271,BQ14*0.151)</f>
        <v>0</v>
      </c>
      <c r="BR15" s="183">
        <f>IF(SUM(BE14:$BI14,$BL14:BR14)&lt;=796000,BR14*0.271,BR14*0.151)</f>
        <v>0</v>
      </c>
      <c r="BS15" s="183">
        <f>IF(SUM(BF14:$BI14,$BL14:BS14)&lt;=796000,BS14*0.271,BS14*0.151)</f>
        <v>0</v>
      </c>
      <c r="BT15" s="183">
        <f>IF(SUM(BG14:$BI14,$BL14:BT14)&lt;=796000,BT14*0.271,BT14*0.151)</f>
        <v>0</v>
      </c>
      <c r="BU15" s="183">
        <f>IF(SUM(BH14:$BI14,$BL14:BU14)&lt;=796000,BU14*0.271,BU14*0.151)</f>
        <v>0</v>
      </c>
      <c r="BV15" s="183">
        <f>IF(SUM(BI14:$BI14,$BL14:BV14)&lt;=796000,BV14*0.271,BV14*0.151)</f>
        <v>0</v>
      </c>
      <c r="BW15" s="183">
        <f>IF(SUM($BL14:BW14)&lt;=796000,BW14*0.271,BW14*0.151)</f>
        <v>0</v>
      </c>
      <c r="BX15" s="184">
        <f t="shared" ref="BX15" si="69">SUM(BL15:BW15)</f>
        <v>0</v>
      </c>
      <c r="BY15" s="188"/>
    </row>
    <row r="16" spans="1:77" ht="10.199999999999999" x14ac:dyDescent="0.2">
      <c r="A16" s="176">
        <v>1</v>
      </c>
      <c r="C16" s="193" t="str">
        <f>IF(C14="","",C14)</f>
        <v/>
      </c>
      <c r="D16" s="192" t="s">
        <v>529</v>
      </c>
      <c r="E16" s="194">
        <v>20000</v>
      </c>
      <c r="F16" s="184">
        <f>E16-(T16+AH16+AV16+BJ16+BX16)</f>
        <v>0</v>
      </c>
      <c r="G16" s="139"/>
      <c r="H16" s="124"/>
      <c r="I16" s="124"/>
      <c r="J16" s="124"/>
      <c r="K16" s="124"/>
      <c r="L16" s="124"/>
      <c r="M16" s="124"/>
      <c r="N16" s="124"/>
      <c r="O16" s="124"/>
      <c r="P16" s="124">
        <v>10000</v>
      </c>
      <c r="Q16" s="124"/>
      <c r="R16" s="124"/>
      <c r="S16" s="124">
        <v>10000</v>
      </c>
      <c r="T16" s="184">
        <f>SUM(H16:S16)</f>
        <v>20000</v>
      </c>
      <c r="U16" s="139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84">
        <f>SUM(V16:AG16)</f>
        <v>0</v>
      </c>
      <c r="AI16" s="139"/>
      <c r="AJ16" s="124"/>
      <c r="AK16" s="124"/>
      <c r="AL16" s="124"/>
      <c r="AM16" s="124"/>
      <c r="AN16" s="124"/>
      <c r="AO16" s="124"/>
      <c r="AP16" s="124"/>
      <c r="AQ16" s="124"/>
      <c r="AR16" s="124"/>
      <c r="AS16" s="124"/>
      <c r="AT16" s="124"/>
      <c r="AU16" s="124"/>
      <c r="AV16" s="184">
        <f>SUM(AJ16:AU16)</f>
        <v>0</v>
      </c>
      <c r="AW16" s="139"/>
      <c r="AX16" s="124"/>
      <c r="AY16" s="124"/>
      <c r="AZ16" s="124"/>
      <c r="BA16" s="124"/>
      <c r="BB16" s="124"/>
      <c r="BC16" s="124"/>
      <c r="BD16" s="124"/>
      <c r="BE16" s="124"/>
      <c r="BF16" s="124"/>
      <c r="BG16" s="124"/>
      <c r="BH16" s="124"/>
      <c r="BI16" s="124"/>
      <c r="BJ16" s="184">
        <f>SUM(AX16:BI16)</f>
        <v>0</v>
      </c>
      <c r="BK16" s="139"/>
      <c r="BL16" s="124"/>
      <c r="BM16" s="124"/>
      <c r="BN16" s="124"/>
      <c r="BO16" s="124"/>
      <c r="BP16" s="124"/>
      <c r="BQ16" s="124"/>
      <c r="BR16" s="124"/>
      <c r="BS16" s="124"/>
      <c r="BT16" s="124"/>
      <c r="BU16" s="124"/>
      <c r="BV16" s="124"/>
      <c r="BW16" s="124"/>
      <c r="BX16" s="184">
        <f>SUM(BL16:BW16)</f>
        <v>0</v>
      </c>
      <c r="BY16" s="124"/>
    </row>
    <row r="17" spans="1:77" ht="10.199999999999999" x14ac:dyDescent="0.2">
      <c r="A17" s="176">
        <v>1</v>
      </c>
      <c r="C17" s="190" t="s">
        <v>408</v>
      </c>
      <c r="D17" s="183"/>
      <c r="E17" s="183">
        <f>T17+AH17+AV17+BJ17+BX17</f>
        <v>5420</v>
      </c>
      <c r="F17" s="184"/>
      <c r="G17" s="139"/>
      <c r="H17" s="183">
        <f>IF(SUM($H16:H16)&lt;=796000,H16*0.271,H16*0.151)</f>
        <v>0</v>
      </c>
      <c r="I17" s="183">
        <f>IF(SUM($H16:I16)&lt;=796000,I16*0.271,I16*0.151)</f>
        <v>0</v>
      </c>
      <c r="J17" s="183">
        <f>IF(SUM($H16:J16)&lt;=796000,J16*0.271,J16*0.151)</f>
        <v>0</v>
      </c>
      <c r="K17" s="183">
        <f>IF(SUM($H16:K16)&lt;=796000,K16*0.271,K16*0.151)</f>
        <v>0</v>
      </c>
      <c r="L17" s="183">
        <f>IF(SUM($H16:L16)&lt;=796000,L16*0.271,L16*0.151)</f>
        <v>0</v>
      </c>
      <c r="M17" s="183">
        <f>IF(SUM($H16:M16)&lt;=796000,M16*0.271,M16*0.151)</f>
        <v>0</v>
      </c>
      <c r="N17" s="183">
        <f>IF(SUM($H16:N16)&lt;=796000,N16*0.271,N16*0.151)</f>
        <v>0</v>
      </c>
      <c r="O17" s="183">
        <f>IF(SUM($H16:O16)&lt;=796000,O16*0.271,O16*0.151)</f>
        <v>0</v>
      </c>
      <c r="P17" s="183">
        <f>IF(SUM($H16:P16)&lt;=796000,P16*0.271,P16*0.151)</f>
        <v>2710</v>
      </c>
      <c r="Q17" s="183">
        <f>IF(SUM($H16:Q16)&lt;=796000,Q16*0.271,Q16*0.151)</f>
        <v>0</v>
      </c>
      <c r="R17" s="183">
        <f>IF(SUM($H16:R16)&lt;=796000,R16*0.271,R16*0.151)</f>
        <v>0</v>
      </c>
      <c r="S17" s="183">
        <f>IF(SUM($H16:S16)&lt;=796000,S16*0.271,S16*0.151)</f>
        <v>2710</v>
      </c>
      <c r="T17" s="184">
        <f t="shared" ref="T17" si="70">SUM(H17:S17)</f>
        <v>5420</v>
      </c>
      <c r="U17" s="139"/>
      <c r="V17" s="183">
        <f>IF(SUM(I16:$S16,$V16:V16)&lt;=796000,V16*0.271,V16*0.151)</f>
        <v>0</v>
      </c>
      <c r="W17" s="183">
        <f>IF(SUM(J16:$S16,$V16:W16)&lt;=796000,W16*0.271,W16*0.151)</f>
        <v>0</v>
      </c>
      <c r="X17" s="183">
        <f>IF(SUM(K16:$S16,$V16:X16)&lt;=796000,X16*0.271,X16*0.151)</f>
        <v>0</v>
      </c>
      <c r="Y17" s="183">
        <f>IF(SUM(L16:$S16,$V16:Y16)&lt;=796000,Y16*0.271,Y16*0.151)</f>
        <v>0</v>
      </c>
      <c r="Z17" s="183">
        <f>IF(SUM(M16:$S16,$V16:Z16)&lt;=796000,Z16*0.271,Z16*0.151)</f>
        <v>0</v>
      </c>
      <c r="AA17" s="183">
        <f>IF(SUM(N16:$S16,$V16:AA16)&lt;=796000,AA16*0.271,AA16*0.151)</f>
        <v>0</v>
      </c>
      <c r="AB17" s="183">
        <f>IF(SUM(O16:$S16,$V16:AB16)&lt;=796000,AB16*0.271,AB16*0.151)</f>
        <v>0</v>
      </c>
      <c r="AC17" s="183">
        <f>IF(SUM(P16:$S16,$V16:AC16)&lt;=796000,AC16*0.271,AC16*0.151)</f>
        <v>0</v>
      </c>
      <c r="AD17" s="183">
        <f>IF(SUM(Q16:$S16,$V16:AD16)&lt;=796000,AD16*0.271,AD16*0.151)</f>
        <v>0</v>
      </c>
      <c r="AE17" s="183">
        <f>IF(SUM(R16:$S16,$V16:AE16)&lt;=796000,AE16*0.271,AE16*0.151)</f>
        <v>0</v>
      </c>
      <c r="AF17" s="183">
        <f>IF(SUM(S16:$S16,$V16:AF16)&lt;=796000,AF16*0.271,AF16*0.151)</f>
        <v>0</v>
      </c>
      <c r="AG17" s="183">
        <f>IF(SUM($V16:AG16)&lt;=796000,AG16*0.271,AG16*0.151)</f>
        <v>0</v>
      </c>
      <c r="AH17" s="184">
        <f t="shared" ref="AH17" si="71">SUM(V17:AG17)</f>
        <v>0</v>
      </c>
      <c r="AI17" s="139"/>
      <c r="AJ17" s="183">
        <f>IF(SUM(W16:$AG16,$AJ16:AJ16)&lt;=796000,AJ16*0.271,AJ16*0.151)</f>
        <v>0</v>
      </c>
      <c r="AK17" s="183">
        <f>IF(SUM(X16:$AG16,$AJ16:AK16)&lt;=796000,AK16*0.271,AK16*0.151)</f>
        <v>0</v>
      </c>
      <c r="AL17" s="183">
        <f>IF(SUM(Y16:$AG16,$AJ16:AL16)&lt;=796000,AL16*0.271,AL16*0.151)</f>
        <v>0</v>
      </c>
      <c r="AM17" s="183">
        <f>IF(SUM(Z16:$AG16,$AJ16:AM16)&lt;=796000,AM16*0.271,AM16*0.151)</f>
        <v>0</v>
      </c>
      <c r="AN17" s="183">
        <f>IF(SUM(AA16:$AG16,$AJ16:AN16)&lt;=796000,AN16*0.271,AN16*0.151)</f>
        <v>0</v>
      </c>
      <c r="AO17" s="183">
        <f>IF(SUM(AB16:$AG16,$AJ16:AO16)&lt;=796000,AO16*0.271,AO16*0.151)</f>
        <v>0</v>
      </c>
      <c r="AP17" s="183">
        <f>IF(SUM(AC16:$AG16,$AJ16:AP16)&lt;=796000,AP16*0.271,AP16*0.151)</f>
        <v>0</v>
      </c>
      <c r="AQ17" s="183">
        <f>IF(SUM(AD16:$AG16,$AJ16:AQ16)&lt;=796000,AQ16*0.271,AQ16*0.151)</f>
        <v>0</v>
      </c>
      <c r="AR17" s="183">
        <f>IF(SUM(AE16:$AG16,$AJ16:AR16)&lt;=796000,AR16*0.271,AR16*0.151)</f>
        <v>0</v>
      </c>
      <c r="AS17" s="183">
        <f>IF(SUM(AF16:$AG16,$AJ16:AS16)&lt;=796000,AS16*0.271,AS16*0.151)</f>
        <v>0</v>
      </c>
      <c r="AT17" s="183">
        <f>IF(SUM(AG16:$AG16,$AJ16:AT16)&lt;=796000,AT16*0.271,AT16*0.151)</f>
        <v>0</v>
      </c>
      <c r="AU17" s="183">
        <f>IF(SUM($AJ16:AU16)&lt;=796000,AU16*0.271,AU16*0.151)</f>
        <v>0</v>
      </c>
      <c r="AV17" s="184">
        <f t="shared" ref="AV17" si="72">SUM(AJ17:AU17)</f>
        <v>0</v>
      </c>
      <c r="AW17" s="139"/>
      <c r="AX17" s="183">
        <f>IF(SUM(AK16:$AU16,$AX16:AX16)&lt;=796000,AX16*0.271,AX16*0.151)</f>
        <v>0</v>
      </c>
      <c r="AY17" s="183">
        <f>IF(SUM(AL16:$AU16,$AX16:AY16)&lt;=796000,AY16*0.271,AY16*0.151)</f>
        <v>0</v>
      </c>
      <c r="AZ17" s="183">
        <f>IF(SUM(AM16:$AU16,$AX16:AZ16)&lt;=796000,AZ16*0.271,AZ16*0.151)</f>
        <v>0</v>
      </c>
      <c r="BA17" s="183">
        <f>IF(SUM(AN16:$AU16,$AX16:BA16)&lt;=796000,BA16*0.271,BA16*0.151)</f>
        <v>0</v>
      </c>
      <c r="BB17" s="183">
        <f>IF(SUM(AO16:$AU16,$AX16:BB16)&lt;=796000,BB16*0.271,BB16*0.151)</f>
        <v>0</v>
      </c>
      <c r="BC17" s="183">
        <f>IF(SUM(AP16:$AU16,$AX16:BC16)&lt;=796000,BC16*0.271,BC16*0.151)</f>
        <v>0</v>
      </c>
      <c r="BD17" s="183">
        <f>IF(SUM(AQ16:$AU16,$AX16:BD16)&lt;=796000,BD16*0.271,BD16*0.151)</f>
        <v>0</v>
      </c>
      <c r="BE17" s="183">
        <f>IF(SUM(AR16:$AU16,$AX16:BE16)&lt;=796000,BE16*0.271,BE16*0.151)</f>
        <v>0</v>
      </c>
      <c r="BF17" s="183">
        <f>IF(SUM(AS16:$AU16,$AX16:BF16)&lt;=796000,BF16*0.271,BF16*0.151)</f>
        <v>0</v>
      </c>
      <c r="BG17" s="183">
        <f>IF(SUM(AT16:$AU16,$AX16:BG16)&lt;=796000,BG16*0.271,BG16*0.151)</f>
        <v>0</v>
      </c>
      <c r="BH17" s="183">
        <f>IF(SUM(AU16:$AU16,$AX16:BH16)&lt;=796000,BH16*0.271,BH16*0.151)</f>
        <v>0</v>
      </c>
      <c r="BI17" s="183">
        <f>IF(SUM($AX16:BI16)&lt;=796000,BI16*0.271,BI16*0.151)</f>
        <v>0</v>
      </c>
      <c r="BJ17" s="184">
        <f t="shared" ref="BJ17" si="73">SUM(AX17:BI17)</f>
        <v>0</v>
      </c>
      <c r="BK17" s="139"/>
      <c r="BL17" s="183">
        <f>IF(SUM(AY16:$BI16,$BL16:BL16)&lt;=796000,BL16*0.271,BL16*0.151)</f>
        <v>0</v>
      </c>
      <c r="BM17" s="183">
        <f>IF(SUM(AZ16:$BI16,$BL16:BM16)&lt;=796000,BM16*0.271,BM16*0.151)</f>
        <v>0</v>
      </c>
      <c r="BN17" s="183">
        <f>IF(SUM(BA16:$BI16,$BL16:BN16)&lt;=796000,BN16*0.271,BN16*0.151)</f>
        <v>0</v>
      </c>
      <c r="BO17" s="183">
        <f>IF(SUM(BB16:$BI16,$BL16:BO16)&lt;=796000,BO16*0.271,BO16*0.151)</f>
        <v>0</v>
      </c>
      <c r="BP17" s="183">
        <f>IF(SUM(BC16:$BI16,$BL16:BP16)&lt;=796000,BP16*0.271,BP16*0.151)</f>
        <v>0</v>
      </c>
      <c r="BQ17" s="183">
        <f>IF(SUM(BD16:$BI16,$BL16:BQ16)&lt;=796000,BQ16*0.271,BQ16*0.151)</f>
        <v>0</v>
      </c>
      <c r="BR17" s="183">
        <f>IF(SUM(BE16:$BI16,$BL16:BR16)&lt;=796000,BR16*0.271,BR16*0.151)</f>
        <v>0</v>
      </c>
      <c r="BS17" s="183">
        <f>IF(SUM(BF16:$BI16,$BL16:BS16)&lt;=796000,BS16*0.271,BS16*0.151)</f>
        <v>0</v>
      </c>
      <c r="BT17" s="183">
        <f>IF(SUM(BG16:$BI16,$BL16:BT16)&lt;=796000,BT16*0.271,BT16*0.151)</f>
        <v>0</v>
      </c>
      <c r="BU17" s="183">
        <f>IF(SUM(BH16:$BI16,$BL16:BU16)&lt;=796000,BU16*0.271,BU16*0.151)</f>
        <v>0</v>
      </c>
      <c r="BV17" s="183">
        <f>IF(SUM(BI16:$BI16,$BL16:BV16)&lt;=796000,BV16*0.271,BV16*0.151)</f>
        <v>0</v>
      </c>
      <c r="BW17" s="183">
        <f>IF(SUM($BL16:BW16)&lt;=796000,BW16*0.271,BW16*0.151)</f>
        <v>0</v>
      </c>
      <c r="BX17" s="184">
        <f t="shared" ref="BX17" si="74">SUM(BL17:BW17)</f>
        <v>0</v>
      </c>
      <c r="BY17" s="188"/>
    </row>
    <row r="18" spans="1:77" ht="10.199999999999999" x14ac:dyDescent="0.2">
      <c r="A18" s="176">
        <v>1</v>
      </c>
      <c r="C18" s="193" t="str">
        <f>IF(C16="","",C16)</f>
        <v/>
      </c>
      <c r="D18" s="192"/>
      <c r="E18" s="194"/>
      <c r="F18" s="184">
        <f>E18-(T18+AH18+AV18+BJ18+BX18)</f>
        <v>0</v>
      </c>
      <c r="G18" s="139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84">
        <f>SUM(H18:S18)</f>
        <v>0</v>
      </c>
      <c r="U18" s="139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84">
        <f>SUM(V18:AG18)</f>
        <v>0</v>
      </c>
      <c r="AI18" s="139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84">
        <f>SUM(AJ18:AU18)</f>
        <v>0</v>
      </c>
      <c r="AW18" s="139"/>
      <c r="AX18" s="124"/>
      <c r="AY18" s="124"/>
      <c r="AZ18" s="124"/>
      <c r="BA18" s="124"/>
      <c r="BB18" s="124"/>
      <c r="BC18" s="124"/>
      <c r="BD18" s="124"/>
      <c r="BE18" s="124"/>
      <c r="BF18" s="124"/>
      <c r="BG18" s="124"/>
      <c r="BH18" s="124"/>
      <c r="BI18" s="124"/>
      <c r="BJ18" s="184">
        <f>SUM(AX18:BI18)</f>
        <v>0</v>
      </c>
      <c r="BK18" s="139"/>
      <c r="BL18" s="124"/>
      <c r="BM18" s="124"/>
      <c r="BN18" s="124"/>
      <c r="BO18" s="124"/>
      <c r="BP18" s="124"/>
      <c r="BQ18" s="124"/>
      <c r="BR18" s="124"/>
      <c r="BS18" s="124"/>
      <c r="BT18" s="124"/>
      <c r="BU18" s="124"/>
      <c r="BV18" s="124"/>
      <c r="BW18" s="124"/>
      <c r="BX18" s="184">
        <f>SUM(BL18:BW18)</f>
        <v>0</v>
      </c>
      <c r="BY18" s="124"/>
    </row>
    <row r="19" spans="1:77" ht="10.199999999999999" x14ac:dyDescent="0.2">
      <c r="A19" s="176">
        <v>1</v>
      </c>
      <c r="C19" s="190" t="s">
        <v>408</v>
      </c>
      <c r="D19" s="183"/>
      <c r="E19" s="183">
        <f>T19+AH19+AV19+BJ19+BX19</f>
        <v>0</v>
      </c>
      <c r="F19" s="184"/>
      <c r="G19" s="139"/>
      <c r="H19" s="183">
        <f>IF(SUM($H18:H18)&lt;=796000,H18*0.271,H18*0.151)</f>
        <v>0</v>
      </c>
      <c r="I19" s="183">
        <f>IF(SUM($H18:I18)&lt;=796000,I18*0.271,I18*0.151)</f>
        <v>0</v>
      </c>
      <c r="J19" s="183">
        <f>IF(SUM($H18:J18)&lt;=796000,J18*0.271,J18*0.151)</f>
        <v>0</v>
      </c>
      <c r="K19" s="183">
        <f>IF(SUM($H18:K18)&lt;=796000,K18*0.271,K18*0.151)</f>
        <v>0</v>
      </c>
      <c r="L19" s="183">
        <f>IF(SUM($H18:L18)&lt;=796000,L18*0.271,L18*0.151)</f>
        <v>0</v>
      </c>
      <c r="M19" s="183">
        <f>IF(SUM($H18:M18)&lt;=796000,M18*0.271,M18*0.151)</f>
        <v>0</v>
      </c>
      <c r="N19" s="183">
        <f>IF(SUM($H18:N18)&lt;=796000,N18*0.271,N18*0.151)</f>
        <v>0</v>
      </c>
      <c r="O19" s="183">
        <f>IF(SUM($H18:O18)&lt;=796000,O18*0.271,O18*0.151)</f>
        <v>0</v>
      </c>
      <c r="P19" s="183">
        <f>IF(SUM($H18:P18)&lt;=796000,P18*0.271,P18*0.151)</f>
        <v>0</v>
      </c>
      <c r="Q19" s="183">
        <f>IF(SUM($H18:Q18)&lt;=796000,Q18*0.271,Q18*0.151)</f>
        <v>0</v>
      </c>
      <c r="R19" s="183">
        <f>IF(SUM($H18:R18)&lt;=796000,R18*0.271,R18*0.151)</f>
        <v>0</v>
      </c>
      <c r="S19" s="183">
        <f>IF(SUM($H18:S18)&lt;=796000,S18*0.271,S18*0.151)</f>
        <v>0</v>
      </c>
      <c r="T19" s="184">
        <f t="shared" ref="T19" si="75">SUM(H19:S19)</f>
        <v>0</v>
      </c>
      <c r="U19" s="139"/>
      <c r="V19" s="183">
        <f>IF(SUM(I18:$S18,$V18:V18)&lt;=796000,V18*0.271,V18*0.151)</f>
        <v>0</v>
      </c>
      <c r="W19" s="183">
        <f>IF(SUM(J18:$S18,$V18:W18)&lt;=796000,W18*0.271,W18*0.151)</f>
        <v>0</v>
      </c>
      <c r="X19" s="183">
        <f>IF(SUM(K18:$S18,$V18:X18)&lt;=796000,X18*0.271,X18*0.151)</f>
        <v>0</v>
      </c>
      <c r="Y19" s="183">
        <f>IF(SUM(L18:$S18,$V18:Y18)&lt;=796000,Y18*0.271,Y18*0.151)</f>
        <v>0</v>
      </c>
      <c r="Z19" s="183">
        <f>IF(SUM(M18:$S18,$V18:Z18)&lt;=796000,Z18*0.271,Z18*0.151)</f>
        <v>0</v>
      </c>
      <c r="AA19" s="183">
        <f>IF(SUM(N18:$S18,$V18:AA18)&lt;=796000,AA18*0.271,AA18*0.151)</f>
        <v>0</v>
      </c>
      <c r="AB19" s="183">
        <f>IF(SUM(O18:$S18,$V18:AB18)&lt;=796000,AB18*0.271,AB18*0.151)</f>
        <v>0</v>
      </c>
      <c r="AC19" s="183">
        <f>IF(SUM(P18:$S18,$V18:AC18)&lt;=796000,AC18*0.271,AC18*0.151)</f>
        <v>0</v>
      </c>
      <c r="AD19" s="183">
        <f>IF(SUM(Q18:$S18,$V18:AD18)&lt;=796000,AD18*0.271,AD18*0.151)</f>
        <v>0</v>
      </c>
      <c r="AE19" s="183">
        <f>IF(SUM(R18:$S18,$V18:AE18)&lt;=796000,AE18*0.271,AE18*0.151)</f>
        <v>0</v>
      </c>
      <c r="AF19" s="183">
        <f>IF(SUM(S18:$S18,$V18:AF18)&lt;=796000,AF18*0.271,AF18*0.151)</f>
        <v>0</v>
      </c>
      <c r="AG19" s="183">
        <f>IF(SUM($V18:AG18)&lt;=796000,AG18*0.271,AG18*0.151)</f>
        <v>0</v>
      </c>
      <c r="AH19" s="184">
        <f t="shared" ref="AH19" si="76">SUM(V19:AG19)</f>
        <v>0</v>
      </c>
      <c r="AI19" s="139"/>
      <c r="AJ19" s="183">
        <f>IF(SUM(W18:$AG18,$AJ18:AJ18)&lt;=796000,AJ18*0.271,AJ18*0.151)</f>
        <v>0</v>
      </c>
      <c r="AK19" s="183">
        <f>IF(SUM(X18:$AG18,$AJ18:AK18)&lt;=796000,AK18*0.271,AK18*0.151)</f>
        <v>0</v>
      </c>
      <c r="AL19" s="183">
        <f>IF(SUM(Y18:$AG18,$AJ18:AL18)&lt;=796000,AL18*0.271,AL18*0.151)</f>
        <v>0</v>
      </c>
      <c r="AM19" s="183">
        <f>IF(SUM(Z18:$AG18,$AJ18:AM18)&lt;=796000,AM18*0.271,AM18*0.151)</f>
        <v>0</v>
      </c>
      <c r="AN19" s="183">
        <f>IF(SUM(AA18:$AG18,$AJ18:AN18)&lt;=796000,AN18*0.271,AN18*0.151)</f>
        <v>0</v>
      </c>
      <c r="AO19" s="183">
        <f>IF(SUM(AB18:$AG18,$AJ18:AO18)&lt;=796000,AO18*0.271,AO18*0.151)</f>
        <v>0</v>
      </c>
      <c r="AP19" s="183">
        <f>IF(SUM(AC18:$AG18,$AJ18:AP18)&lt;=796000,AP18*0.271,AP18*0.151)</f>
        <v>0</v>
      </c>
      <c r="AQ19" s="183">
        <f>IF(SUM(AD18:$AG18,$AJ18:AQ18)&lt;=796000,AQ18*0.271,AQ18*0.151)</f>
        <v>0</v>
      </c>
      <c r="AR19" s="183">
        <f>IF(SUM(AE18:$AG18,$AJ18:AR18)&lt;=796000,AR18*0.271,AR18*0.151)</f>
        <v>0</v>
      </c>
      <c r="AS19" s="183">
        <f>IF(SUM(AF18:$AG18,$AJ18:AS18)&lt;=796000,AS18*0.271,AS18*0.151)</f>
        <v>0</v>
      </c>
      <c r="AT19" s="183">
        <f>IF(SUM(AG18:$AG18,$AJ18:AT18)&lt;=796000,AT18*0.271,AT18*0.151)</f>
        <v>0</v>
      </c>
      <c r="AU19" s="183">
        <f>IF(SUM($AJ18:AU18)&lt;=796000,AU18*0.271,AU18*0.151)</f>
        <v>0</v>
      </c>
      <c r="AV19" s="184">
        <f t="shared" ref="AV19" si="77">SUM(AJ19:AU19)</f>
        <v>0</v>
      </c>
      <c r="AW19" s="139"/>
      <c r="AX19" s="183">
        <f>IF(SUM(AK18:$AU18,$AX18:AX18)&lt;=796000,AX18*0.271,AX18*0.151)</f>
        <v>0</v>
      </c>
      <c r="AY19" s="183">
        <f>IF(SUM(AL18:$AU18,$AX18:AY18)&lt;=796000,AY18*0.271,AY18*0.151)</f>
        <v>0</v>
      </c>
      <c r="AZ19" s="183">
        <f>IF(SUM(AM18:$AU18,$AX18:AZ18)&lt;=796000,AZ18*0.271,AZ18*0.151)</f>
        <v>0</v>
      </c>
      <c r="BA19" s="183">
        <f>IF(SUM(AN18:$AU18,$AX18:BA18)&lt;=796000,BA18*0.271,BA18*0.151)</f>
        <v>0</v>
      </c>
      <c r="BB19" s="183">
        <f>IF(SUM(AO18:$AU18,$AX18:BB18)&lt;=796000,BB18*0.271,BB18*0.151)</f>
        <v>0</v>
      </c>
      <c r="BC19" s="183">
        <f>IF(SUM(AP18:$AU18,$AX18:BC18)&lt;=796000,BC18*0.271,BC18*0.151)</f>
        <v>0</v>
      </c>
      <c r="BD19" s="183">
        <f>IF(SUM(AQ18:$AU18,$AX18:BD18)&lt;=796000,BD18*0.271,BD18*0.151)</f>
        <v>0</v>
      </c>
      <c r="BE19" s="183">
        <f>IF(SUM(AR18:$AU18,$AX18:BE18)&lt;=796000,BE18*0.271,BE18*0.151)</f>
        <v>0</v>
      </c>
      <c r="BF19" s="183">
        <f>IF(SUM(AS18:$AU18,$AX18:BF18)&lt;=796000,BF18*0.271,BF18*0.151)</f>
        <v>0</v>
      </c>
      <c r="BG19" s="183">
        <f>IF(SUM(AT18:$AU18,$AX18:BG18)&lt;=796000,BG18*0.271,BG18*0.151)</f>
        <v>0</v>
      </c>
      <c r="BH19" s="183">
        <f>IF(SUM(AU18:$AU18,$AX18:BH18)&lt;=796000,BH18*0.271,BH18*0.151)</f>
        <v>0</v>
      </c>
      <c r="BI19" s="183">
        <f>IF(SUM($AX18:BI18)&lt;=796000,BI18*0.271,BI18*0.151)</f>
        <v>0</v>
      </c>
      <c r="BJ19" s="184">
        <f t="shared" ref="BJ19" si="78">SUM(AX19:BI19)</f>
        <v>0</v>
      </c>
      <c r="BK19" s="139"/>
      <c r="BL19" s="183">
        <f>IF(SUM(AY18:$BI18,$BL18:BL18)&lt;=796000,BL18*0.271,BL18*0.151)</f>
        <v>0</v>
      </c>
      <c r="BM19" s="183">
        <f>IF(SUM(AZ18:$BI18,$BL18:BM18)&lt;=796000,BM18*0.271,BM18*0.151)</f>
        <v>0</v>
      </c>
      <c r="BN19" s="183">
        <f>IF(SUM(BA18:$BI18,$BL18:BN18)&lt;=796000,BN18*0.271,BN18*0.151)</f>
        <v>0</v>
      </c>
      <c r="BO19" s="183">
        <f>IF(SUM(BB18:$BI18,$BL18:BO18)&lt;=796000,BO18*0.271,BO18*0.151)</f>
        <v>0</v>
      </c>
      <c r="BP19" s="183">
        <f>IF(SUM(BC18:$BI18,$BL18:BP18)&lt;=796000,BP18*0.271,BP18*0.151)</f>
        <v>0</v>
      </c>
      <c r="BQ19" s="183">
        <f>IF(SUM(BD18:$BI18,$BL18:BQ18)&lt;=796000,BQ18*0.271,BQ18*0.151)</f>
        <v>0</v>
      </c>
      <c r="BR19" s="183">
        <f>IF(SUM(BE18:$BI18,$BL18:BR18)&lt;=796000,BR18*0.271,BR18*0.151)</f>
        <v>0</v>
      </c>
      <c r="BS19" s="183">
        <f>IF(SUM(BF18:$BI18,$BL18:BS18)&lt;=796000,BS18*0.271,BS18*0.151)</f>
        <v>0</v>
      </c>
      <c r="BT19" s="183">
        <f>IF(SUM(BG18:$BI18,$BL18:BT18)&lt;=796000,BT18*0.271,BT18*0.151)</f>
        <v>0</v>
      </c>
      <c r="BU19" s="183">
        <f>IF(SUM(BH18:$BI18,$BL18:BU18)&lt;=796000,BU18*0.271,BU18*0.151)</f>
        <v>0</v>
      </c>
      <c r="BV19" s="183">
        <f>IF(SUM(BI18:$BI18,$BL18:BV18)&lt;=796000,BV18*0.271,BV18*0.151)</f>
        <v>0</v>
      </c>
      <c r="BW19" s="183">
        <f>IF(SUM($BL18:BW18)&lt;=796000,BW18*0.271,BW18*0.151)</f>
        <v>0</v>
      </c>
      <c r="BX19" s="184">
        <f t="shared" ref="BX19" si="79">SUM(BL19:BW19)</f>
        <v>0</v>
      </c>
      <c r="BY19" s="188"/>
    </row>
    <row r="20" spans="1:77" ht="10.199999999999999" x14ac:dyDescent="0.2">
      <c r="A20" s="176">
        <v>1</v>
      </c>
      <c r="C20" s="193" t="str">
        <f>IF(C18="","",C18)</f>
        <v/>
      </c>
      <c r="D20" s="192"/>
      <c r="E20" s="194"/>
      <c r="F20" s="184">
        <f>E20-(T20+AH20+AV20+BJ20+BX20)</f>
        <v>0</v>
      </c>
      <c r="G20" s="139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84">
        <f>SUM(H20:S20)</f>
        <v>0</v>
      </c>
      <c r="U20" s="139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84">
        <f>SUM(V20:AG20)</f>
        <v>0</v>
      </c>
      <c r="AI20" s="139"/>
      <c r="AJ20" s="124"/>
      <c r="AK20" s="124"/>
      <c r="AL20" s="124"/>
      <c r="AM20" s="124"/>
      <c r="AN20" s="124"/>
      <c r="AO20" s="124"/>
      <c r="AP20" s="124"/>
      <c r="AQ20" s="124"/>
      <c r="AR20" s="124"/>
      <c r="AS20" s="124"/>
      <c r="AT20" s="124"/>
      <c r="AU20" s="124"/>
      <c r="AV20" s="184">
        <f>SUM(AJ20:AU20)</f>
        <v>0</v>
      </c>
      <c r="AW20" s="139"/>
      <c r="AX20" s="124"/>
      <c r="AY20" s="124"/>
      <c r="AZ20" s="124"/>
      <c r="BA20" s="124"/>
      <c r="BB20" s="124"/>
      <c r="BC20" s="124"/>
      <c r="BD20" s="124"/>
      <c r="BE20" s="124"/>
      <c r="BF20" s="124"/>
      <c r="BG20" s="124"/>
      <c r="BH20" s="124"/>
      <c r="BI20" s="124"/>
      <c r="BJ20" s="184">
        <f>SUM(AX20:BI20)</f>
        <v>0</v>
      </c>
      <c r="BK20" s="139"/>
      <c r="BL20" s="124"/>
      <c r="BM20" s="124"/>
      <c r="BN20" s="124"/>
      <c r="BO20" s="124"/>
      <c r="BP20" s="124"/>
      <c r="BQ20" s="124"/>
      <c r="BR20" s="124"/>
      <c r="BS20" s="124"/>
      <c r="BT20" s="124"/>
      <c r="BU20" s="124"/>
      <c r="BV20" s="124"/>
      <c r="BW20" s="124"/>
      <c r="BX20" s="184">
        <f>SUM(BL20:BW20)</f>
        <v>0</v>
      </c>
      <c r="BY20" s="124"/>
    </row>
    <row r="21" spans="1:77" ht="10.199999999999999" x14ac:dyDescent="0.2">
      <c r="A21" s="176">
        <v>1</v>
      </c>
      <c r="C21" s="190" t="s">
        <v>408</v>
      </c>
      <c r="D21" s="183"/>
      <c r="E21" s="183">
        <f>T21+AH21+AV21+BJ21+BX21</f>
        <v>0</v>
      </c>
      <c r="F21" s="184"/>
      <c r="G21" s="139"/>
      <c r="H21" s="183">
        <f>IF(SUM($H20:H20)&lt;=796000,H20*0.271,H20*0.151)</f>
        <v>0</v>
      </c>
      <c r="I21" s="183">
        <f>IF(SUM($H20:I20)&lt;=796000,I20*0.271,I20*0.151)</f>
        <v>0</v>
      </c>
      <c r="J21" s="183">
        <f>IF(SUM($H20:J20)&lt;=796000,J20*0.271,J20*0.151)</f>
        <v>0</v>
      </c>
      <c r="K21" s="183">
        <f>IF(SUM($H20:K20)&lt;=796000,K20*0.271,K20*0.151)</f>
        <v>0</v>
      </c>
      <c r="L21" s="183">
        <f>IF(SUM($H20:L20)&lt;=796000,L20*0.271,L20*0.151)</f>
        <v>0</v>
      </c>
      <c r="M21" s="183">
        <f>IF(SUM($H20:M20)&lt;=796000,M20*0.271,M20*0.151)</f>
        <v>0</v>
      </c>
      <c r="N21" s="183">
        <f>IF(SUM($H20:N20)&lt;=796000,N20*0.271,N20*0.151)</f>
        <v>0</v>
      </c>
      <c r="O21" s="183">
        <f>IF(SUM($H20:O20)&lt;=796000,O20*0.271,O20*0.151)</f>
        <v>0</v>
      </c>
      <c r="P21" s="183">
        <f>IF(SUM($H20:P20)&lt;=796000,P20*0.271,P20*0.151)</f>
        <v>0</v>
      </c>
      <c r="Q21" s="183">
        <f>IF(SUM($H20:Q20)&lt;=796000,Q20*0.271,Q20*0.151)</f>
        <v>0</v>
      </c>
      <c r="R21" s="183">
        <f>IF(SUM($H20:R20)&lt;=796000,R20*0.271,R20*0.151)</f>
        <v>0</v>
      </c>
      <c r="S21" s="183">
        <f>IF(SUM($H20:S20)&lt;=796000,S20*0.271,S20*0.151)</f>
        <v>0</v>
      </c>
      <c r="T21" s="184">
        <f t="shared" ref="T21" si="80">SUM(H21:S21)</f>
        <v>0</v>
      </c>
      <c r="U21" s="139"/>
      <c r="V21" s="183">
        <f>IF(SUM(I20:$S20,$V20:V20)&lt;=796000,V20*0.271,V20*0.151)</f>
        <v>0</v>
      </c>
      <c r="W21" s="183">
        <f>IF(SUM(J20:$S20,$V20:W20)&lt;=796000,W20*0.271,W20*0.151)</f>
        <v>0</v>
      </c>
      <c r="X21" s="183">
        <f>IF(SUM(K20:$S20,$V20:X20)&lt;=796000,X20*0.271,X20*0.151)</f>
        <v>0</v>
      </c>
      <c r="Y21" s="183">
        <f>IF(SUM(L20:$S20,$V20:Y20)&lt;=796000,Y20*0.271,Y20*0.151)</f>
        <v>0</v>
      </c>
      <c r="Z21" s="183">
        <f>IF(SUM(M20:$S20,$V20:Z20)&lt;=796000,Z20*0.271,Z20*0.151)</f>
        <v>0</v>
      </c>
      <c r="AA21" s="183">
        <f>IF(SUM(N20:$S20,$V20:AA20)&lt;=796000,AA20*0.271,AA20*0.151)</f>
        <v>0</v>
      </c>
      <c r="AB21" s="183">
        <f>IF(SUM(O20:$S20,$V20:AB20)&lt;=796000,AB20*0.271,AB20*0.151)</f>
        <v>0</v>
      </c>
      <c r="AC21" s="183">
        <f>IF(SUM(P20:$S20,$V20:AC20)&lt;=796000,AC20*0.271,AC20*0.151)</f>
        <v>0</v>
      </c>
      <c r="AD21" s="183">
        <f>IF(SUM(Q20:$S20,$V20:AD20)&lt;=796000,AD20*0.271,AD20*0.151)</f>
        <v>0</v>
      </c>
      <c r="AE21" s="183">
        <f>IF(SUM(R20:$S20,$V20:AE20)&lt;=796000,AE20*0.271,AE20*0.151)</f>
        <v>0</v>
      </c>
      <c r="AF21" s="183">
        <f>IF(SUM(S20:$S20,$V20:AF20)&lt;=796000,AF20*0.271,AF20*0.151)</f>
        <v>0</v>
      </c>
      <c r="AG21" s="183">
        <f>IF(SUM($V20:AG20)&lt;=796000,AG20*0.271,AG20*0.151)</f>
        <v>0</v>
      </c>
      <c r="AH21" s="184">
        <f t="shared" ref="AH21" si="81">SUM(V21:AG21)</f>
        <v>0</v>
      </c>
      <c r="AI21" s="139"/>
      <c r="AJ21" s="183">
        <f>IF(SUM(W20:$AG20,$AJ20:AJ20)&lt;=796000,AJ20*0.271,AJ20*0.151)</f>
        <v>0</v>
      </c>
      <c r="AK21" s="183">
        <f>IF(SUM(X20:$AG20,$AJ20:AK20)&lt;=796000,AK20*0.271,AK20*0.151)</f>
        <v>0</v>
      </c>
      <c r="AL21" s="183">
        <f>IF(SUM(Y20:$AG20,$AJ20:AL20)&lt;=796000,AL20*0.271,AL20*0.151)</f>
        <v>0</v>
      </c>
      <c r="AM21" s="183">
        <f>IF(SUM(Z20:$AG20,$AJ20:AM20)&lt;=796000,AM20*0.271,AM20*0.151)</f>
        <v>0</v>
      </c>
      <c r="AN21" s="183">
        <f>IF(SUM(AA20:$AG20,$AJ20:AN20)&lt;=796000,AN20*0.271,AN20*0.151)</f>
        <v>0</v>
      </c>
      <c r="AO21" s="183">
        <f>IF(SUM(AB20:$AG20,$AJ20:AO20)&lt;=796000,AO20*0.271,AO20*0.151)</f>
        <v>0</v>
      </c>
      <c r="AP21" s="183">
        <f>IF(SUM(AC20:$AG20,$AJ20:AP20)&lt;=796000,AP20*0.271,AP20*0.151)</f>
        <v>0</v>
      </c>
      <c r="AQ21" s="183">
        <f>IF(SUM(AD20:$AG20,$AJ20:AQ20)&lt;=796000,AQ20*0.271,AQ20*0.151)</f>
        <v>0</v>
      </c>
      <c r="AR21" s="183">
        <f>IF(SUM(AE20:$AG20,$AJ20:AR20)&lt;=796000,AR20*0.271,AR20*0.151)</f>
        <v>0</v>
      </c>
      <c r="AS21" s="183">
        <f>IF(SUM(AF20:$AG20,$AJ20:AS20)&lt;=796000,AS20*0.271,AS20*0.151)</f>
        <v>0</v>
      </c>
      <c r="AT21" s="183">
        <f>IF(SUM(AG20:$AG20,$AJ20:AT20)&lt;=796000,AT20*0.271,AT20*0.151)</f>
        <v>0</v>
      </c>
      <c r="AU21" s="183">
        <f>IF(SUM($AJ20:AU20)&lt;=796000,AU20*0.271,AU20*0.151)</f>
        <v>0</v>
      </c>
      <c r="AV21" s="184">
        <f t="shared" ref="AV21" si="82">SUM(AJ21:AU21)</f>
        <v>0</v>
      </c>
      <c r="AW21" s="139"/>
      <c r="AX21" s="183">
        <f>IF(SUM(AK20:$AU20,$AX20:AX20)&lt;=796000,AX20*0.271,AX20*0.151)</f>
        <v>0</v>
      </c>
      <c r="AY21" s="183">
        <f>IF(SUM(AL20:$AU20,$AX20:AY20)&lt;=796000,AY20*0.271,AY20*0.151)</f>
        <v>0</v>
      </c>
      <c r="AZ21" s="183">
        <f>IF(SUM(AM20:$AU20,$AX20:AZ20)&lt;=796000,AZ20*0.271,AZ20*0.151)</f>
        <v>0</v>
      </c>
      <c r="BA21" s="183">
        <f>IF(SUM(AN20:$AU20,$AX20:BA20)&lt;=796000,BA20*0.271,BA20*0.151)</f>
        <v>0</v>
      </c>
      <c r="BB21" s="183">
        <f>IF(SUM(AO20:$AU20,$AX20:BB20)&lt;=796000,BB20*0.271,BB20*0.151)</f>
        <v>0</v>
      </c>
      <c r="BC21" s="183">
        <f>IF(SUM(AP20:$AU20,$AX20:BC20)&lt;=796000,BC20*0.271,BC20*0.151)</f>
        <v>0</v>
      </c>
      <c r="BD21" s="183">
        <f>IF(SUM(AQ20:$AU20,$AX20:BD20)&lt;=796000,BD20*0.271,BD20*0.151)</f>
        <v>0</v>
      </c>
      <c r="BE21" s="183">
        <f>IF(SUM(AR20:$AU20,$AX20:BE20)&lt;=796000,BE20*0.271,BE20*0.151)</f>
        <v>0</v>
      </c>
      <c r="BF21" s="183">
        <f>IF(SUM(AS20:$AU20,$AX20:BF20)&lt;=796000,BF20*0.271,BF20*0.151)</f>
        <v>0</v>
      </c>
      <c r="BG21" s="183">
        <f>IF(SUM(AT20:$AU20,$AX20:BG20)&lt;=796000,BG20*0.271,BG20*0.151)</f>
        <v>0</v>
      </c>
      <c r="BH21" s="183">
        <f>IF(SUM(AU20:$AU20,$AX20:BH20)&lt;=796000,BH20*0.271,BH20*0.151)</f>
        <v>0</v>
      </c>
      <c r="BI21" s="183">
        <f>IF(SUM($AX20:BI20)&lt;=796000,BI20*0.271,BI20*0.151)</f>
        <v>0</v>
      </c>
      <c r="BJ21" s="184">
        <f t="shared" ref="BJ21" si="83">SUM(AX21:BI21)</f>
        <v>0</v>
      </c>
      <c r="BK21" s="139"/>
      <c r="BL21" s="183">
        <f>IF(SUM(AY20:$BI20,$BL20:BL20)&lt;=796000,BL20*0.271,BL20*0.151)</f>
        <v>0</v>
      </c>
      <c r="BM21" s="183">
        <f>IF(SUM(AZ20:$BI20,$BL20:BM20)&lt;=796000,BM20*0.271,BM20*0.151)</f>
        <v>0</v>
      </c>
      <c r="BN21" s="183">
        <f>IF(SUM(BA20:$BI20,$BL20:BN20)&lt;=796000,BN20*0.271,BN20*0.151)</f>
        <v>0</v>
      </c>
      <c r="BO21" s="183">
        <f>IF(SUM(BB20:$BI20,$BL20:BO20)&lt;=796000,BO20*0.271,BO20*0.151)</f>
        <v>0</v>
      </c>
      <c r="BP21" s="183">
        <f>IF(SUM(BC20:$BI20,$BL20:BP20)&lt;=796000,BP20*0.271,BP20*0.151)</f>
        <v>0</v>
      </c>
      <c r="BQ21" s="183">
        <f>IF(SUM(BD20:$BI20,$BL20:BQ20)&lt;=796000,BQ20*0.271,BQ20*0.151)</f>
        <v>0</v>
      </c>
      <c r="BR21" s="183">
        <f>IF(SUM(BE20:$BI20,$BL20:BR20)&lt;=796000,BR20*0.271,BR20*0.151)</f>
        <v>0</v>
      </c>
      <c r="BS21" s="183">
        <f>IF(SUM(BF20:$BI20,$BL20:BS20)&lt;=796000,BS20*0.271,BS20*0.151)</f>
        <v>0</v>
      </c>
      <c r="BT21" s="183">
        <f>IF(SUM(BG20:$BI20,$BL20:BT20)&lt;=796000,BT20*0.271,BT20*0.151)</f>
        <v>0</v>
      </c>
      <c r="BU21" s="183">
        <f>IF(SUM(BH20:$BI20,$BL20:BU20)&lt;=796000,BU20*0.271,BU20*0.151)</f>
        <v>0</v>
      </c>
      <c r="BV21" s="183">
        <f>IF(SUM(BI20:$BI20,$BL20:BV20)&lt;=796000,BV20*0.271,BV20*0.151)</f>
        <v>0</v>
      </c>
      <c r="BW21" s="183">
        <f>IF(SUM($BL20:BW20)&lt;=796000,BW20*0.271,BW20*0.151)</f>
        <v>0</v>
      </c>
      <c r="BX21" s="184">
        <f t="shared" ref="BX21" si="84">SUM(BL21:BW21)</f>
        <v>0</v>
      </c>
      <c r="BY21" s="188"/>
    </row>
    <row r="22" spans="1:77" ht="10.199999999999999" x14ac:dyDescent="0.2">
      <c r="A22" s="176">
        <v>1</v>
      </c>
      <c r="C22" s="193" t="str">
        <f>IF(C20="","",C20)</f>
        <v/>
      </c>
      <c r="D22" s="192"/>
      <c r="E22" s="194"/>
      <c r="F22" s="184">
        <f>E22-(T22+AH22+AV22+BJ22+BX22)</f>
        <v>0</v>
      </c>
      <c r="G22" s="139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84">
        <f>SUM(H22:S22)</f>
        <v>0</v>
      </c>
      <c r="U22" s="139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84">
        <f>SUM(V22:AG22)</f>
        <v>0</v>
      </c>
      <c r="AI22" s="139"/>
      <c r="AJ22" s="124"/>
      <c r="AK22" s="124"/>
      <c r="AL22" s="124"/>
      <c r="AM22" s="124"/>
      <c r="AN22" s="124"/>
      <c r="AO22" s="124"/>
      <c r="AP22" s="124"/>
      <c r="AQ22" s="124"/>
      <c r="AR22" s="124"/>
      <c r="AS22" s="124"/>
      <c r="AT22" s="124"/>
      <c r="AU22" s="124"/>
      <c r="AV22" s="184">
        <f>SUM(AJ22:AU22)</f>
        <v>0</v>
      </c>
      <c r="AW22" s="139"/>
      <c r="AX22" s="124"/>
      <c r="AY22" s="124"/>
      <c r="AZ22" s="124"/>
      <c r="BA22" s="124"/>
      <c r="BB22" s="124"/>
      <c r="BC22" s="124"/>
      <c r="BD22" s="124"/>
      <c r="BE22" s="124"/>
      <c r="BF22" s="124"/>
      <c r="BG22" s="124"/>
      <c r="BH22" s="124"/>
      <c r="BI22" s="124"/>
      <c r="BJ22" s="184">
        <f>SUM(AX22:BI22)</f>
        <v>0</v>
      </c>
      <c r="BK22" s="139"/>
      <c r="BL22" s="124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BX22" s="184">
        <f>SUM(BL22:BW22)</f>
        <v>0</v>
      </c>
      <c r="BY22" s="124"/>
    </row>
    <row r="23" spans="1:77" ht="10.199999999999999" x14ac:dyDescent="0.2">
      <c r="A23" s="176">
        <v>1</v>
      </c>
      <c r="C23" s="190" t="s">
        <v>408</v>
      </c>
      <c r="D23" s="183"/>
      <c r="E23" s="183">
        <f>T23+AH23+AV23+BJ23+BX23</f>
        <v>0</v>
      </c>
      <c r="F23" s="184"/>
      <c r="G23" s="139"/>
      <c r="H23" s="183">
        <f>IF(SUM($H22:H22)&lt;=796000,H22*0.271,H22*0.151)</f>
        <v>0</v>
      </c>
      <c r="I23" s="183">
        <f>IF(SUM($H22:I22)&lt;=796000,I22*0.271,I22*0.151)</f>
        <v>0</v>
      </c>
      <c r="J23" s="183">
        <f>IF(SUM($H22:J22)&lt;=796000,J22*0.271,J22*0.151)</f>
        <v>0</v>
      </c>
      <c r="K23" s="183">
        <f>IF(SUM($H22:K22)&lt;=796000,K22*0.271,K22*0.151)</f>
        <v>0</v>
      </c>
      <c r="L23" s="183">
        <f>IF(SUM($H22:L22)&lt;=796000,L22*0.271,L22*0.151)</f>
        <v>0</v>
      </c>
      <c r="M23" s="183">
        <f>IF(SUM($H22:M22)&lt;=796000,M22*0.271,M22*0.151)</f>
        <v>0</v>
      </c>
      <c r="N23" s="183">
        <f>IF(SUM($H22:N22)&lt;=796000,N22*0.271,N22*0.151)</f>
        <v>0</v>
      </c>
      <c r="O23" s="183">
        <f>IF(SUM($H22:O22)&lt;=796000,O22*0.271,O22*0.151)</f>
        <v>0</v>
      </c>
      <c r="P23" s="183">
        <f>IF(SUM($H22:P22)&lt;=796000,P22*0.271,P22*0.151)</f>
        <v>0</v>
      </c>
      <c r="Q23" s="183">
        <f>IF(SUM($H22:Q22)&lt;=796000,Q22*0.271,Q22*0.151)</f>
        <v>0</v>
      </c>
      <c r="R23" s="183">
        <f>IF(SUM($H22:R22)&lt;=796000,R22*0.271,R22*0.151)</f>
        <v>0</v>
      </c>
      <c r="S23" s="183">
        <f>IF(SUM($H22:S22)&lt;=796000,S22*0.271,S22*0.151)</f>
        <v>0</v>
      </c>
      <c r="T23" s="184">
        <f t="shared" ref="T23" si="85">SUM(H23:S23)</f>
        <v>0</v>
      </c>
      <c r="U23" s="139"/>
      <c r="V23" s="183">
        <f>IF(SUM(I22:$S22,$V22:V22)&lt;=796000,V22*0.271,V22*0.151)</f>
        <v>0</v>
      </c>
      <c r="W23" s="183">
        <f>IF(SUM(J22:$S22,$V22:W22)&lt;=796000,W22*0.271,W22*0.151)</f>
        <v>0</v>
      </c>
      <c r="X23" s="183">
        <f>IF(SUM(K22:$S22,$V22:X22)&lt;=796000,X22*0.271,X22*0.151)</f>
        <v>0</v>
      </c>
      <c r="Y23" s="183">
        <f>IF(SUM(L22:$S22,$V22:Y22)&lt;=796000,Y22*0.271,Y22*0.151)</f>
        <v>0</v>
      </c>
      <c r="Z23" s="183">
        <f>IF(SUM(M22:$S22,$V22:Z22)&lt;=796000,Z22*0.271,Z22*0.151)</f>
        <v>0</v>
      </c>
      <c r="AA23" s="183">
        <f>IF(SUM(N22:$S22,$V22:AA22)&lt;=796000,AA22*0.271,AA22*0.151)</f>
        <v>0</v>
      </c>
      <c r="AB23" s="183">
        <f>IF(SUM(O22:$S22,$V22:AB22)&lt;=796000,AB22*0.271,AB22*0.151)</f>
        <v>0</v>
      </c>
      <c r="AC23" s="183">
        <f>IF(SUM(P22:$S22,$V22:AC22)&lt;=796000,AC22*0.271,AC22*0.151)</f>
        <v>0</v>
      </c>
      <c r="AD23" s="183">
        <f>IF(SUM(Q22:$S22,$V22:AD22)&lt;=796000,AD22*0.271,AD22*0.151)</f>
        <v>0</v>
      </c>
      <c r="AE23" s="183">
        <f>IF(SUM(R22:$S22,$V22:AE22)&lt;=796000,AE22*0.271,AE22*0.151)</f>
        <v>0</v>
      </c>
      <c r="AF23" s="183">
        <f>IF(SUM(S22:$S22,$V22:AF22)&lt;=796000,AF22*0.271,AF22*0.151)</f>
        <v>0</v>
      </c>
      <c r="AG23" s="183">
        <f>IF(SUM($V22:AG22)&lt;=796000,AG22*0.271,AG22*0.151)</f>
        <v>0</v>
      </c>
      <c r="AH23" s="184">
        <f t="shared" ref="AH23" si="86">SUM(V23:AG23)</f>
        <v>0</v>
      </c>
      <c r="AI23" s="139"/>
      <c r="AJ23" s="183">
        <f>IF(SUM(W22:$AG22,$AJ22:AJ22)&lt;=796000,AJ22*0.271,AJ22*0.151)</f>
        <v>0</v>
      </c>
      <c r="AK23" s="183">
        <f>IF(SUM(X22:$AG22,$AJ22:AK22)&lt;=796000,AK22*0.271,AK22*0.151)</f>
        <v>0</v>
      </c>
      <c r="AL23" s="183">
        <f>IF(SUM(Y22:$AG22,$AJ22:AL22)&lt;=796000,AL22*0.271,AL22*0.151)</f>
        <v>0</v>
      </c>
      <c r="AM23" s="183">
        <f>IF(SUM(Z22:$AG22,$AJ22:AM22)&lt;=796000,AM22*0.271,AM22*0.151)</f>
        <v>0</v>
      </c>
      <c r="AN23" s="183">
        <f>IF(SUM(AA22:$AG22,$AJ22:AN22)&lt;=796000,AN22*0.271,AN22*0.151)</f>
        <v>0</v>
      </c>
      <c r="AO23" s="183">
        <f>IF(SUM(AB22:$AG22,$AJ22:AO22)&lt;=796000,AO22*0.271,AO22*0.151)</f>
        <v>0</v>
      </c>
      <c r="AP23" s="183">
        <f>IF(SUM(AC22:$AG22,$AJ22:AP22)&lt;=796000,AP22*0.271,AP22*0.151)</f>
        <v>0</v>
      </c>
      <c r="AQ23" s="183">
        <f>IF(SUM(AD22:$AG22,$AJ22:AQ22)&lt;=796000,AQ22*0.271,AQ22*0.151)</f>
        <v>0</v>
      </c>
      <c r="AR23" s="183">
        <f>IF(SUM(AE22:$AG22,$AJ22:AR22)&lt;=796000,AR22*0.271,AR22*0.151)</f>
        <v>0</v>
      </c>
      <c r="AS23" s="183">
        <f>IF(SUM(AF22:$AG22,$AJ22:AS22)&lt;=796000,AS22*0.271,AS22*0.151)</f>
        <v>0</v>
      </c>
      <c r="AT23" s="183">
        <f>IF(SUM(AG22:$AG22,$AJ22:AT22)&lt;=796000,AT22*0.271,AT22*0.151)</f>
        <v>0</v>
      </c>
      <c r="AU23" s="183">
        <f>IF(SUM($AJ22:AU22)&lt;=796000,AU22*0.271,AU22*0.151)</f>
        <v>0</v>
      </c>
      <c r="AV23" s="184">
        <f t="shared" ref="AV23" si="87">SUM(AJ23:AU23)</f>
        <v>0</v>
      </c>
      <c r="AW23" s="139"/>
      <c r="AX23" s="183">
        <f>IF(SUM(AK22:$AU22,$AX22:AX22)&lt;=796000,AX22*0.271,AX22*0.151)</f>
        <v>0</v>
      </c>
      <c r="AY23" s="183">
        <f>IF(SUM(AL22:$AU22,$AX22:AY22)&lt;=796000,AY22*0.271,AY22*0.151)</f>
        <v>0</v>
      </c>
      <c r="AZ23" s="183">
        <f>IF(SUM(AM22:$AU22,$AX22:AZ22)&lt;=796000,AZ22*0.271,AZ22*0.151)</f>
        <v>0</v>
      </c>
      <c r="BA23" s="183">
        <f>IF(SUM(AN22:$AU22,$AX22:BA22)&lt;=796000,BA22*0.271,BA22*0.151)</f>
        <v>0</v>
      </c>
      <c r="BB23" s="183">
        <f>IF(SUM(AO22:$AU22,$AX22:BB22)&lt;=796000,BB22*0.271,BB22*0.151)</f>
        <v>0</v>
      </c>
      <c r="BC23" s="183">
        <f>IF(SUM(AP22:$AU22,$AX22:BC22)&lt;=796000,BC22*0.271,BC22*0.151)</f>
        <v>0</v>
      </c>
      <c r="BD23" s="183">
        <f>IF(SUM(AQ22:$AU22,$AX22:BD22)&lt;=796000,BD22*0.271,BD22*0.151)</f>
        <v>0</v>
      </c>
      <c r="BE23" s="183">
        <f>IF(SUM(AR22:$AU22,$AX22:BE22)&lt;=796000,BE22*0.271,BE22*0.151)</f>
        <v>0</v>
      </c>
      <c r="BF23" s="183">
        <f>IF(SUM(AS22:$AU22,$AX22:BF22)&lt;=796000,BF22*0.271,BF22*0.151)</f>
        <v>0</v>
      </c>
      <c r="BG23" s="183">
        <f>IF(SUM(AT22:$AU22,$AX22:BG22)&lt;=796000,BG22*0.271,BG22*0.151)</f>
        <v>0</v>
      </c>
      <c r="BH23" s="183">
        <f>IF(SUM(AU22:$AU22,$AX22:BH22)&lt;=796000,BH22*0.271,BH22*0.151)</f>
        <v>0</v>
      </c>
      <c r="BI23" s="183">
        <f>IF(SUM($AX22:BI22)&lt;=796000,BI22*0.271,BI22*0.151)</f>
        <v>0</v>
      </c>
      <c r="BJ23" s="184">
        <f t="shared" ref="BJ23" si="88">SUM(AX23:BI23)</f>
        <v>0</v>
      </c>
      <c r="BK23" s="139"/>
      <c r="BL23" s="183">
        <f>IF(SUM(AY22:$BI22,$BL22:BL22)&lt;=796000,BL22*0.271,BL22*0.151)</f>
        <v>0</v>
      </c>
      <c r="BM23" s="183">
        <f>IF(SUM(AZ22:$BI22,$BL22:BM22)&lt;=796000,BM22*0.271,BM22*0.151)</f>
        <v>0</v>
      </c>
      <c r="BN23" s="183">
        <f>IF(SUM(BA22:$BI22,$BL22:BN22)&lt;=796000,BN22*0.271,BN22*0.151)</f>
        <v>0</v>
      </c>
      <c r="BO23" s="183">
        <f>IF(SUM(BB22:$BI22,$BL22:BO22)&lt;=796000,BO22*0.271,BO22*0.151)</f>
        <v>0</v>
      </c>
      <c r="BP23" s="183">
        <f>IF(SUM(BC22:$BI22,$BL22:BP22)&lt;=796000,BP22*0.271,BP22*0.151)</f>
        <v>0</v>
      </c>
      <c r="BQ23" s="183">
        <f>IF(SUM(BD22:$BI22,$BL22:BQ22)&lt;=796000,BQ22*0.271,BQ22*0.151)</f>
        <v>0</v>
      </c>
      <c r="BR23" s="183">
        <f>IF(SUM(BE22:$BI22,$BL22:BR22)&lt;=796000,BR22*0.271,BR22*0.151)</f>
        <v>0</v>
      </c>
      <c r="BS23" s="183">
        <f>IF(SUM(BF22:$BI22,$BL22:BS22)&lt;=796000,BS22*0.271,BS22*0.151)</f>
        <v>0</v>
      </c>
      <c r="BT23" s="183">
        <f>IF(SUM(BG22:$BI22,$BL22:BT22)&lt;=796000,BT22*0.271,BT22*0.151)</f>
        <v>0</v>
      </c>
      <c r="BU23" s="183">
        <f>IF(SUM(BH22:$BI22,$BL22:BU22)&lt;=796000,BU22*0.271,BU22*0.151)</f>
        <v>0</v>
      </c>
      <c r="BV23" s="183">
        <f>IF(SUM(BI22:$BI22,$BL22:BV22)&lt;=796000,BV22*0.271,BV22*0.151)</f>
        <v>0</v>
      </c>
      <c r="BW23" s="183">
        <f>IF(SUM($BL22:BW22)&lt;=796000,BW22*0.271,BW22*0.151)</f>
        <v>0</v>
      </c>
      <c r="BX23" s="184">
        <f t="shared" ref="BX23" si="89">SUM(BL23:BW23)</f>
        <v>0</v>
      </c>
      <c r="BY23" s="188"/>
    </row>
    <row r="24" spans="1:77" ht="10.199999999999999" x14ac:dyDescent="0.2">
      <c r="A24" s="176">
        <v>1</v>
      </c>
      <c r="C24" s="193" t="str">
        <f>IF(C22="","",C22)</f>
        <v/>
      </c>
      <c r="D24" s="192"/>
      <c r="E24" s="194"/>
      <c r="F24" s="184">
        <f>E24-(T24+AH24+AV24+BJ24+BX24)</f>
        <v>0</v>
      </c>
      <c r="G24" s="139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84">
        <f>SUM(H24:S24)</f>
        <v>0</v>
      </c>
      <c r="U24" s="139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84">
        <f>SUM(V24:AG24)</f>
        <v>0</v>
      </c>
      <c r="AI24" s="139"/>
      <c r="AJ24" s="124"/>
      <c r="AK24" s="124"/>
      <c r="AL24" s="124"/>
      <c r="AM24" s="124"/>
      <c r="AN24" s="124"/>
      <c r="AO24" s="124"/>
      <c r="AP24" s="124"/>
      <c r="AQ24" s="124"/>
      <c r="AR24" s="124"/>
      <c r="AS24" s="124"/>
      <c r="AT24" s="124"/>
      <c r="AU24" s="124"/>
      <c r="AV24" s="184">
        <f>SUM(AJ24:AU24)</f>
        <v>0</v>
      </c>
      <c r="AW24" s="139"/>
      <c r="AX24" s="124"/>
      <c r="AY24" s="124"/>
      <c r="AZ24" s="124"/>
      <c r="BA24" s="124"/>
      <c r="BB24" s="124"/>
      <c r="BC24" s="124"/>
      <c r="BD24" s="124"/>
      <c r="BE24" s="124"/>
      <c r="BF24" s="124"/>
      <c r="BG24" s="124"/>
      <c r="BH24" s="124"/>
      <c r="BI24" s="124"/>
      <c r="BJ24" s="184">
        <f>SUM(AX24:BI24)</f>
        <v>0</v>
      </c>
      <c r="BK24" s="139"/>
      <c r="BL24" s="124"/>
      <c r="BM24" s="124"/>
      <c r="BN24" s="124"/>
      <c r="BO24" s="124"/>
      <c r="BP24" s="124"/>
      <c r="BQ24" s="124"/>
      <c r="BR24" s="124"/>
      <c r="BS24" s="124"/>
      <c r="BT24" s="124"/>
      <c r="BU24" s="124"/>
      <c r="BV24" s="124"/>
      <c r="BW24" s="124"/>
      <c r="BX24" s="184">
        <f>SUM(BL24:BW24)</f>
        <v>0</v>
      </c>
      <c r="BY24" s="124"/>
    </row>
    <row r="25" spans="1:77" ht="10.199999999999999" x14ac:dyDescent="0.2">
      <c r="A25" s="176">
        <v>1</v>
      </c>
      <c r="C25" s="190" t="s">
        <v>408</v>
      </c>
      <c r="D25" s="183"/>
      <c r="E25" s="183">
        <f>T25+AH25+AV25+BJ25+BX25</f>
        <v>0</v>
      </c>
      <c r="F25" s="184"/>
      <c r="G25" s="139"/>
      <c r="H25" s="183">
        <f>IF(SUM($H24:H24)&lt;=796000,H24*0.271,H24*0.151)</f>
        <v>0</v>
      </c>
      <c r="I25" s="183">
        <f>IF(SUM($H24:I24)&lt;=796000,I24*0.271,I24*0.151)</f>
        <v>0</v>
      </c>
      <c r="J25" s="183">
        <f>IF(SUM($H24:J24)&lt;=796000,J24*0.271,J24*0.151)</f>
        <v>0</v>
      </c>
      <c r="K25" s="183">
        <f>IF(SUM($H24:K24)&lt;=796000,K24*0.271,K24*0.151)</f>
        <v>0</v>
      </c>
      <c r="L25" s="183">
        <f>IF(SUM($H24:L24)&lt;=796000,L24*0.271,L24*0.151)</f>
        <v>0</v>
      </c>
      <c r="M25" s="183">
        <f>IF(SUM($H24:M24)&lt;=796000,M24*0.271,M24*0.151)</f>
        <v>0</v>
      </c>
      <c r="N25" s="183">
        <f>IF(SUM($H24:N24)&lt;=796000,N24*0.271,N24*0.151)</f>
        <v>0</v>
      </c>
      <c r="O25" s="183">
        <f>IF(SUM($H24:O24)&lt;=796000,O24*0.271,O24*0.151)</f>
        <v>0</v>
      </c>
      <c r="P25" s="183">
        <f>IF(SUM($H24:P24)&lt;=796000,P24*0.271,P24*0.151)</f>
        <v>0</v>
      </c>
      <c r="Q25" s="183">
        <f>IF(SUM($H24:Q24)&lt;=796000,Q24*0.271,Q24*0.151)</f>
        <v>0</v>
      </c>
      <c r="R25" s="183">
        <f>IF(SUM($H24:R24)&lt;=796000,R24*0.271,R24*0.151)</f>
        <v>0</v>
      </c>
      <c r="S25" s="183">
        <f>IF(SUM($H24:S24)&lt;=796000,S24*0.271,S24*0.151)</f>
        <v>0</v>
      </c>
      <c r="T25" s="184">
        <f t="shared" ref="T25" si="90">SUM(H25:S25)</f>
        <v>0</v>
      </c>
      <c r="U25" s="139"/>
      <c r="V25" s="183">
        <f>IF(SUM(I24:$S24,$V24:V24)&lt;=796000,V24*0.271,V24*0.151)</f>
        <v>0</v>
      </c>
      <c r="W25" s="183">
        <f>IF(SUM(J24:$S24,$V24:W24)&lt;=796000,W24*0.271,W24*0.151)</f>
        <v>0</v>
      </c>
      <c r="X25" s="183">
        <f>IF(SUM(K24:$S24,$V24:X24)&lt;=796000,X24*0.271,X24*0.151)</f>
        <v>0</v>
      </c>
      <c r="Y25" s="183">
        <f>IF(SUM(L24:$S24,$V24:Y24)&lt;=796000,Y24*0.271,Y24*0.151)</f>
        <v>0</v>
      </c>
      <c r="Z25" s="183">
        <f>IF(SUM(M24:$S24,$V24:Z24)&lt;=796000,Z24*0.271,Z24*0.151)</f>
        <v>0</v>
      </c>
      <c r="AA25" s="183">
        <f>IF(SUM(N24:$S24,$V24:AA24)&lt;=796000,AA24*0.271,AA24*0.151)</f>
        <v>0</v>
      </c>
      <c r="AB25" s="183">
        <f>IF(SUM(O24:$S24,$V24:AB24)&lt;=796000,AB24*0.271,AB24*0.151)</f>
        <v>0</v>
      </c>
      <c r="AC25" s="183">
        <f>IF(SUM(P24:$S24,$V24:AC24)&lt;=796000,AC24*0.271,AC24*0.151)</f>
        <v>0</v>
      </c>
      <c r="AD25" s="183">
        <f>IF(SUM(Q24:$S24,$V24:AD24)&lt;=796000,AD24*0.271,AD24*0.151)</f>
        <v>0</v>
      </c>
      <c r="AE25" s="183">
        <f>IF(SUM(R24:$S24,$V24:AE24)&lt;=796000,AE24*0.271,AE24*0.151)</f>
        <v>0</v>
      </c>
      <c r="AF25" s="183">
        <f>IF(SUM(S24:$S24,$V24:AF24)&lt;=796000,AF24*0.271,AF24*0.151)</f>
        <v>0</v>
      </c>
      <c r="AG25" s="183">
        <f>IF(SUM($V24:AG24)&lt;=796000,AG24*0.271,AG24*0.151)</f>
        <v>0</v>
      </c>
      <c r="AH25" s="184">
        <f t="shared" ref="AH25" si="91">SUM(V25:AG25)</f>
        <v>0</v>
      </c>
      <c r="AI25" s="139"/>
      <c r="AJ25" s="183">
        <f>IF(SUM(W24:$AG24,$AJ24:AJ24)&lt;=796000,AJ24*0.271,AJ24*0.151)</f>
        <v>0</v>
      </c>
      <c r="AK25" s="183">
        <f>IF(SUM(X24:$AG24,$AJ24:AK24)&lt;=796000,AK24*0.271,AK24*0.151)</f>
        <v>0</v>
      </c>
      <c r="AL25" s="183">
        <f>IF(SUM(Y24:$AG24,$AJ24:AL24)&lt;=796000,AL24*0.271,AL24*0.151)</f>
        <v>0</v>
      </c>
      <c r="AM25" s="183">
        <f>IF(SUM(Z24:$AG24,$AJ24:AM24)&lt;=796000,AM24*0.271,AM24*0.151)</f>
        <v>0</v>
      </c>
      <c r="AN25" s="183">
        <f>IF(SUM(AA24:$AG24,$AJ24:AN24)&lt;=796000,AN24*0.271,AN24*0.151)</f>
        <v>0</v>
      </c>
      <c r="AO25" s="183">
        <f>IF(SUM(AB24:$AG24,$AJ24:AO24)&lt;=796000,AO24*0.271,AO24*0.151)</f>
        <v>0</v>
      </c>
      <c r="AP25" s="183">
        <f>IF(SUM(AC24:$AG24,$AJ24:AP24)&lt;=796000,AP24*0.271,AP24*0.151)</f>
        <v>0</v>
      </c>
      <c r="AQ25" s="183">
        <f>IF(SUM(AD24:$AG24,$AJ24:AQ24)&lt;=796000,AQ24*0.271,AQ24*0.151)</f>
        <v>0</v>
      </c>
      <c r="AR25" s="183">
        <f>IF(SUM(AE24:$AG24,$AJ24:AR24)&lt;=796000,AR24*0.271,AR24*0.151)</f>
        <v>0</v>
      </c>
      <c r="AS25" s="183">
        <f>IF(SUM(AF24:$AG24,$AJ24:AS24)&lt;=796000,AS24*0.271,AS24*0.151)</f>
        <v>0</v>
      </c>
      <c r="AT25" s="183">
        <f>IF(SUM(AG24:$AG24,$AJ24:AT24)&lt;=796000,AT24*0.271,AT24*0.151)</f>
        <v>0</v>
      </c>
      <c r="AU25" s="183">
        <f>IF(SUM($AJ24:AU24)&lt;=796000,AU24*0.271,AU24*0.151)</f>
        <v>0</v>
      </c>
      <c r="AV25" s="184">
        <f t="shared" ref="AV25" si="92">SUM(AJ25:AU25)</f>
        <v>0</v>
      </c>
      <c r="AW25" s="139"/>
      <c r="AX25" s="183">
        <f>IF(SUM(AK24:$AU24,$AX24:AX24)&lt;=796000,AX24*0.271,AX24*0.151)</f>
        <v>0</v>
      </c>
      <c r="AY25" s="183">
        <f>IF(SUM(AL24:$AU24,$AX24:AY24)&lt;=796000,AY24*0.271,AY24*0.151)</f>
        <v>0</v>
      </c>
      <c r="AZ25" s="183">
        <f>IF(SUM(AM24:$AU24,$AX24:AZ24)&lt;=796000,AZ24*0.271,AZ24*0.151)</f>
        <v>0</v>
      </c>
      <c r="BA25" s="183">
        <f>IF(SUM(AN24:$AU24,$AX24:BA24)&lt;=796000,BA24*0.271,BA24*0.151)</f>
        <v>0</v>
      </c>
      <c r="BB25" s="183">
        <f>IF(SUM(AO24:$AU24,$AX24:BB24)&lt;=796000,BB24*0.271,BB24*0.151)</f>
        <v>0</v>
      </c>
      <c r="BC25" s="183">
        <f>IF(SUM(AP24:$AU24,$AX24:BC24)&lt;=796000,BC24*0.271,BC24*0.151)</f>
        <v>0</v>
      </c>
      <c r="BD25" s="183">
        <f>IF(SUM(AQ24:$AU24,$AX24:BD24)&lt;=796000,BD24*0.271,BD24*0.151)</f>
        <v>0</v>
      </c>
      <c r="BE25" s="183">
        <f>IF(SUM(AR24:$AU24,$AX24:BE24)&lt;=796000,BE24*0.271,BE24*0.151)</f>
        <v>0</v>
      </c>
      <c r="BF25" s="183">
        <f>IF(SUM(AS24:$AU24,$AX24:BF24)&lt;=796000,BF24*0.271,BF24*0.151)</f>
        <v>0</v>
      </c>
      <c r="BG25" s="183">
        <f>IF(SUM(AT24:$AU24,$AX24:BG24)&lt;=796000,BG24*0.271,BG24*0.151)</f>
        <v>0</v>
      </c>
      <c r="BH25" s="183">
        <f>IF(SUM(AU24:$AU24,$AX24:BH24)&lt;=796000,BH24*0.271,BH24*0.151)</f>
        <v>0</v>
      </c>
      <c r="BI25" s="183">
        <f>IF(SUM($AX24:BI24)&lt;=796000,BI24*0.271,BI24*0.151)</f>
        <v>0</v>
      </c>
      <c r="BJ25" s="184">
        <f t="shared" ref="BJ25" si="93">SUM(AX25:BI25)</f>
        <v>0</v>
      </c>
      <c r="BK25" s="139"/>
      <c r="BL25" s="183">
        <f>IF(SUM(AY24:$BI24,$BL24:BL24)&lt;=796000,BL24*0.271,BL24*0.151)</f>
        <v>0</v>
      </c>
      <c r="BM25" s="183">
        <f>IF(SUM(AZ24:$BI24,$BL24:BM24)&lt;=796000,BM24*0.271,BM24*0.151)</f>
        <v>0</v>
      </c>
      <c r="BN25" s="183">
        <f>IF(SUM(BA24:$BI24,$BL24:BN24)&lt;=796000,BN24*0.271,BN24*0.151)</f>
        <v>0</v>
      </c>
      <c r="BO25" s="183">
        <f>IF(SUM(BB24:$BI24,$BL24:BO24)&lt;=796000,BO24*0.271,BO24*0.151)</f>
        <v>0</v>
      </c>
      <c r="BP25" s="183">
        <f>IF(SUM(BC24:$BI24,$BL24:BP24)&lt;=796000,BP24*0.271,BP24*0.151)</f>
        <v>0</v>
      </c>
      <c r="BQ25" s="183">
        <f>IF(SUM(BD24:$BI24,$BL24:BQ24)&lt;=796000,BQ24*0.271,BQ24*0.151)</f>
        <v>0</v>
      </c>
      <c r="BR25" s="183">
        <f>IF(SUM(BE24:$BI24,$BL24:BR24)&lt;=796000,BR24*0.271,BR24*0.151)</f>
        <v>0</v>
      </c>
      <c r="BS25" s="183">
        <f>IF(SUM(BF24:$BI24,$BL24:BS24)&lt;=796000,BS24*0.271,BS24*0.151)</f>
        <v>0</v>
      </c>
      <c r="BT25" s="183">
        <f>IF(SUM(BG24:$BI24,$BL24:BT24)&lt;=796000,BT24*0.271,BT24*0.151)</f>
        <v>0</v>
      </c>
      <c r="BU25" s="183">
        <f>IF(SUM(BH24:$BI24,$BL24:BU24)&lt;=796000,BU24*0.271,BU24*0.151)</f>
        <v>0</v>
      </c>
      <c r="BV25" s="183">
        <f>IF(SUM(BI24:$BI24,$BL24:BV24)&lt;=796000,BV24*0.271,BV24*0.151)</f>
        <v>0</v>
      </c>
      <c r="BW25" s="183">
        <f>IF(SUM($BL24:BW24)&lt;=796000,BW24*0.271,BW24*0.151)</f>
        <v>0</v>
      </c>
      <c r="BX25" s="184">
        <f t="shared" ref="BX25" si="94">SUM(BL25:BW25)</f>
        <v>0</v>
      </c>
      <c r="BY25" s="188"/>
    </row>
    <row r="26" spans="1:77" ht="10.199999999999999" x14ac:dyDescent="0.2">
      <c r="A26" s="176">
        <v>1</v>
      </c>
      <c r="C26" s="193" t="str">
        <f>IF(C24="","",C24)</f>
        <v/>
      </c>
      <c r="D26" s="192"/>
      <c r="E26" s="194"/>
      <c r="F26" s="184">
        <f>E26-(T26+AH26+AV26+BJ26+BX26)</f>
        <v>0</v>
      </c>
      <c r="G26" s="139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84">
        <f>SUM(H26:S26)</f>
        <v>0</v>
      </c>
      <c r="U26" s="139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84">
        <f>SUM(V26:AG26)</f>
        <v>0</v>
      </c>
      <c r="AI26" s="139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84">
        <f>SUM(AJ26:AU26)</f>
        <v>0</v>
      </c>
      <c r="AW26" s="139"/>
      <c r="AX26" s="124"/>
      <c r="AY26" s="124"/>
      <c r="AZ26" s="124"/>
      <c r="BA26" s="124"/>
      <c r="BB26" s="124"/>
      <c r="BC26" s="124"/>
      <c r="BD26" s="124"/>
      <c r="BE26" s="124"/>
      <c r="BF26" s="124"/>
      <c r="BG26" s="124"/>
      <c r="BH26" s="124"/>
      <c r="BI26" s="124"/>
      <c r="BJ26" s="184">
        <f>SUM(AX26:BI26)</f>
        <v>0</v>
      </c>
      <c r="BK26" s="139"/>
      <c r="BL26" s="124"/>
      <c r="BM26" s="124"/>
      <c r="BN26" s="124"/>
      <c r="BO26" s="124"/>
      <c r="BP26" s="124"/>
      <c r="BQ26" s="124"/>
      <c r="BR26" s="124"/>
      <c r="BS26" s="124"/>
      <c r="BT26" s="124"/>
      <c r="BU26" s="124"/>
      <c r="BV26" s="124"/>
      <c r="BW26" s="124"/>
      <c r="BX26" s="184">
        <f>SUM(BL26:BW26)</f>
        <v>0</v>
      </c>
      <c r="BY26" s="124"/>
    </row>
    <row r="27" spans="1:77" ht="10.199999999999999" x14ac:dyDescent="0.2">
      <c r="A27" s="176">
        <v>1</v>
      </c>
      <c r="C27" s="190" t="s">
        <v>408</v>
      </c>
      <c r="D27" s="183"/>
      <c r="E27" s="183">
        <f>T27+AH27+AV27+BJ27+BX27</f>
        <v>0</v>
      </c>
      <c r="F27" s="184"/>
      <c r="G27" s="139"/>
      <c r="H27" s="183">
        <f>IF(SUM($H26:H26)&lt;=796000,H26*0.271,H26*0.151)</f>
        <v>0</v>
      </c>
      <c r="I27" s="183">
        <f>IF(SUM($H26:I26)&lt;=796000,I26*0.271,I26*0.151)</f>
        <v>0</v>
      </c>
      <c r="J27" s="183">
        <f>IF(SUM($H26:J26)&lt;=796000,J26*0.271,J26*0.151)</f>
        <v>0</v>
      </c>
      <c r="K27" s="183">
        <f>IF(SUM($H26:K26)&lt;=796000,K26*0.271,K26*0.151)</f>
        <v>0</v>
      </c>
      <c r="L27" s="183">
        <f>IF(SUM($H26:L26)&lt;=796000,L26*0.271,L26*0.151)</f>
        <v>0</v>
      </c>
      <c r="M27" s="183">
        <f>IF(SUM($H26:M26)&lt;=796000,M26*0.271,M26*0.151)</f>
        <v>0</v>
      </c>
      <c r="N27" s="183">
        <f>IF(SUM($H26:N26)&lt;=796000,N26*0.271,N26*0.151)</f>
        <v>0</v>
      </c>
      <c r="O27" s="183">
        <f>IF(SUM($H26:O26)&lt;=796000,O26*0.271,O26*0.151)</f>
        <v>0</v>
      </c>
      <c r="P27" s="183">
        <f>IF(SUM($H26:P26)&lt;=796000,P26*0.271,P26*0.151)</f>
        <v>0</v>
      </c>
      <c r="Q27" s="183">
        <f>IF(SUM($H26:Q26)&lt;=796000,Q26*0.271,Q26*0.151)</f>
        <v>0</v>
      </c>
      <c r="R27" s="183">
        <f>IF(SUM($H26:R26)&lt;=796000,R26*0.271,R26*0.151)</f>
        <v>0</v>
      </c>
      <c r="S27" s="183">
        <f>IF(SUM($H26:S26)&lt;=796000,S26*0.271,S26*0.151)</f>
        <v>0</v>
      </c>
      <c r="T27" s="184">
        <f t="shared" ref="T27" si="95">SUM(H27:S27)</f>
        <v>0</v>
      </c>
      <c r="U27" s="139"/>
      <c r="V27" s="183">
        <f>IF(SUM(I26:$S26,$V26:V26)&lt;=796000,V26*0.271,V26*0.151)</f>
        <v>0</v>
      </c>
      <c r="W27" s="183">
        <f>IF(SUM(J26:$S26,$V26:W26)&lt;=796000,W26*0.271,W26*0.151)</f>
        <v>0</v>
      </c>
      <c r="X27" s="183">
        <f>IF(SUM(K26:$S26,$V26:X26)&lt;=796000,X26*0.271,X26*0.151)</f>
        <v>0</v>
      </c>
      <c r="Y27" s="183">
        <f>IF(SUM(L26:$S26,$V26:Y26)&lt;=796000,Y26*0.271,Y26*0.151)</f>
        <v>0</v>
      </c>
      <c r="Z27" s="183">
        <f>IF(SUM(M26:$S26,$V26:Z26)&lt;=796000,Z26*0.271,Z26*0.151)</f>
        <v>0</v>
      </c>
      <c r="AA27" s="183">
        <f>IF(SUM(N26:$S26,$V26:AA26)&lt;=796000,AA26*0.271,AA26*0.151)</f>
        <v>0</v>
      </c>
      <c r="AB27" s="183">
        <f>IF(SUM(O26:$S26,$V26:AB26)&lt;=796000,AB26*0.271,AB26*0.151)</f>
        <v>0</v>
      </c>
      <c r="AC27" s="183">
        <f>IF(SUM(P26:$S26,$V26:AC26)&lt;=796000,AC26*0.271,AC26*0.151)</f>
        <v>0</v>
      </c>
      <c r="AD27" s="183">
        <f>IF(SUM(Q26:$S26,$V26:AD26)&lt;=796000,AD26*0.271,AD26*0.151)</f>
        <v>0</v>
      </c>
      <c r="AE27" s="183">
        <f>IF(SUM(R26:$S26,$V26:AE26)&lt;=796000,AE26*0.271,AE26*0.151)</f>
        <v>0</v>
      </c>
      <c r="AF27" s="183">
        <f>IF(SUM(S26:$S26,$V26:AF26)&lt;=796000,AF26*0.271,AF26*0.151)</f>
        <v>0</v>
      </c>
      <c r="AG27" s="183">
        <f>IF(SUM($V26:AG26)&lt;=796000,AG26*0.271,AG26*0.151)</f>
        <v>0</v>
      </c>
      <c r="AH27" s="184">
        <f t="shared" ref="AH27" si="96">SUM(V27:AG27)</f>
        <v>0</v>
      </c>
      <c r="AI27" s="139"/>
      <c r="AJ27" s="183">
        <f>IF(SUM(W26:$AG26,$AJ26:AJ26)&lt;=796000,AJ26*0.271,AJ26*0.151)</f>
        <v>0</v>
      </c>
      <c r="AK27" s="183">
        <f>IF(SUM(X26:$AG26,$AJ26:AK26)&lt;=796000,AK26*0.271,AK26*0.151)</f>
        <v>0</v>
      </c>
      <c r="AL27" s="183">
        <f>IF(SUM(Y26:$AG26,$AJ26:AL26)&lt;=796000,AL26*0.271,AL26*0.151)</f>
        <v>0</v>
      </c>
      <c r="AM27" s="183">
        <f>IF(SUM(Z26:$AG26,$AJ26:AM26)&lt;=796000,AM26*0.271,AM26*0.151)</f>
        <v>0</v>
      </c>
      <c r="AN27" s="183">
        <f>IF(SUM(AA26:$AG26,$AJ26:AN26)&lt;=796000,AN26*0.271,AN26*0.151)</f>
        <v>0</v>
      </c>
      <c r="AO27" s="183">
        <f>IF(SUM(AB26:$AG26,$AJ26:AO26)&lt;=796000,AO26*0.271,AO26*0.151)</f>
        <v>0</v>
      </c>
      <c r="AP27" s="183">
        <f>IF(SUM(AC26:$AG26,$AJ26:AP26)&lt;=796000,AP26*0.271,AP26*0.151)</f>
        <v>0</v>
      </c>
      <c r="AQ27" s="183">
        <f>IF(SUM(AD26:$AG26,$AJ26:AQ26)&lt;=796000,AQ26*0.271,AQ26*0.151)</f>
        <v>0</v>
      </c>
      <c r="AR27" s="183">
        <f>IF(SUM(AE26:$AG26,$AJ26:AR26)&lt;=796000,AR26*0.271,AR26*0.151)</f>
        <v>0</v>
      </c>
      <c r="AS27" s="183">
        <f>IF(SUM(AF26:$AG26,$AJ26:AS26)&lt;=796000,AS26*0.271,AS26*0.151)</f>
        <v>0</v>
      </c>
      <c r="AT27" s="183">
        <f>IF(SUM(AG26:$AG26,$AJ26:AT26)&lt;=796000,AT26*0.271,AT26*0.151)</f>
        <v>0</v>
      </c>
      <c r="AU27" s="183">
        <f>IF(SUM($AJ26:AU26)&lt;=796000,AU26*0.271,AU26*0.151)</f>
        <v>0</v>
      </c>
      <c r="AV27" s="184">
        <f t="shared" ref="AV27" si="97">SUM(AJ27:AU27)</f>
        <v>0</v>
      </c>
      <c r="AW27" s="139"/>
      <c r="AX27" s="183">
        <f>IF(SUM(AK26:$AU26,$AX26:AX26)&lt;=796000,AX26*0.271,AX26*0.151)</f>
        <v>0</v>
      </c>
      <c r="AY27" s="183">
        <f>IF(SUM(AL26:$AU26,$AX26:AY26)&lt;=796000,AY26*0.271,AY26*0.151)</f>
        <v>0</v>
      </c>
      <c r="AZ27" s="183">
        <f>IF(SUM(AM26:$AU26,$AX26:AZ26)&lt;=796000,AZ26*0.271,AZ26*0.151)</f>
        <v>0</v>
      </c>
      <c r="BA27" s="183">
        <f>IF(SUM(AN26:$AU26,$AX26:BA26)&lt;=796000,BA26*0.271,BA26*0.151)</f>
        <v>0</v>
      </c>
      <c r="BB27" s="183">
        <f>IF(SUM(AO26:$AU26,$AX26:BB26)&lt;=796000,BB26*0.271,BB26*0.151)</f>
        <v>0</v>
      </c>
      <c r="BC27" s="183">
        <f>IF(SUM(AP26:$AU26,$AX26:BC26)&lt;=796000,BC26*0.271,BC26*0.151)</f>
        <v>0</v>
      </c>
      <c r="BD27" s="183">
        <f>IF(SUM(AQ26:$AU26,$AX26:BD26)&lt;=796000,BD26*0.271,BD26*0.151)</f>
        <v>0</v>
      </c>
      <c r="BE27" s="183">
        <f>IF(SUM(AR26:$AU26,$AX26:BE26)&lt;=796000,BE26*0.271,BE26*0.151)</f>
        <v>0</v>
      </c>
      <c r="BF27" s="183">
        <f>IF(SUM(AS26:$AU26,$AX26:BF26)&lt;=796000,BF26*0.271,BF26*0.151)</f>
        <v>0</v>
      </c>
      <c r="BG27" s="183">
        <f>IF(SUM(AT26:$AU26,$AX26:BG26)&lt;=796000,BG26*0.271,BG26*0.151)</f>
        <v>0</v>
      </c>
      <c r="BH27" s="183">
        <f>IF(SUM(AU26:$AU26,$AX26:BH26)&lt;=796000,BH26*0.271,BH26*0.151)</f>
        <v>0</v>
      </c>
      <c r="BI27" s="183">
        <f>IF(SUM($AX26:BI26)&lt;=796000,BI26*0.271,BI26*0.151)</f>
        <v>0</v>
      </c>
      <c r="BJ27" s="184">
        <f t="shared" ref="BJ27" si="98">SUM(AX27:BI27)</f>
        <v>0</v>
      </c>
      <c r="BK27" s="139"/>
      <c r="BL27" s="183">
        <f>IF(SUM(AY26:$BI26,$BL26:BL26)&lt;=796000,BL26*0.271,BL26*0.151)</f>
        <v>0</v>
      </c>
      <c r="BM27" s="183">
        <f>IF(SUM(AZ26:$BI26,$BL26:BM26)&lt;=796000,BM26*0.271,BM26*0.151)</f>
        <v>0</v>
      </c>
      <c r="BN27" s="183">
        <f>IF(SUM(BA26:$BI26,$BL26:BN26)&lt;=796000,BN26*0.271,BN26*0.151)</f>
        <v>0</v>
      </c>
      <c r="BO27" s="183">
        <f>IF(SUM(BB26:$BI26,$BL26:BO26)&lt;=796000,BO26*0.271,BO26*0.151)</f>
        <v>0</v>
      </c>
      <c r="BP27" s="183">
        <f>IF(SUM(BC26:$BI26,$BL26:BP26)&lt;=796000,BP26*0.271,BP26*0.151)</f>
        <v>0</v>
      </c>
      <c r="BQ27" s="183">
        <f>IF(SUM(BD26:$BI26,$BL26:BQ26)&lt;=796000,BQ26*0.271,BQ26*0.151)</f>
        <v>0</v>
      </c>
      <c r="BR27" s="183">
        <f>IF(SUM(BE26:$BI26,$BL26:BR26)&lt;=796000,BR26*0.271,BR26*0.151)</f>
        <v>0</v>
      </c>
      <c r="BS27" s="183">
        <f>IF(SUM(BF26:$BI26,$BL26:BS26)&lt;=796000,BS26*0.271,BS26*0.151)</f>
        <v>0</v>
      </c>
      <c r="BT27" s="183">
        <f>IF(SUM(BG26:$BI26,$BL26:BT26)&lt;=796000,BT26*0.271,BT26*0.151)</f>
        <v>0</v>
      </c>
      <c r="BU27" s="183">
        <f>IF(SUM(BH26:$BI26,$BL26:BU26)&lt;=796000,BU26*0.271,BU26*0.151)</f>
        <v>0</v>
      </c>
      <c r="BV27" s="183">
        <f>IF(SUM(BI26:$BI26,$BL26:BV26)&lt;=796000,BV26*0.271,BV26*0.151)</f>
        <v>0</v>
      </c>
      <c r="BW27" s="183">
        <f>IF(SUM($BL26:BW26)&lt;=796000,BW26*0.271,BW26*0.151)</f>
        <v>0</v>
      </c>
      <c r="BX27" s="184">
        <f t="shared" ref="BX27" si="99">SUM(BL27:BW27)</f>
        <v>0</v>
      </c>
      <c r="BY27" s="188"/>
    </row>
    <row r="28" spans="1:77" ht="10.199999999999999" x14ac:dyDescent="0.2">
      <c r="A28" s="176">
        <v>1</v>
      </c>
      <c r="C28" s="193" t="str">
        <f>IF(C26="","",C26)</f>
        <v/>
      </c>
      <c r="D28" s="192"/>
      <c r="E28" s="194"/>
      <c r="F28" s="184">
        <f>E28-(T28+AH28+AV28+BJ28+BX28)</f>
        <v>0</v>
      </c>
      <c r="G28" s="139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84">
        <f>SUM(H28:S28)</f>
        <v>0</v>
      </c>
      <c r="U28" s="139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84">
        <f>SUM(V28:AG28)</f>
        <v>0</v>
      </c>
      <c r="AI28" s="139"/>
      <c r="AJ28" s="124"/>
      <c r="AK28" s="124"/>
      <c r="AL28" s="124"/>
      <c r="AM28" s="124"/>
      <c r="AN28" s="124"/>
      <c r="AO28" s="124"/>
      <c r="AP28" s="124"/>
      <c r="AQ28" s="124"/>
      <c r="AR28" s="124"/>
      <c r="AS28" s="124"/>
      <c r="AT28" s="124"/>
      <c r="AU28" s="124"/>
      <c r="AV28" s="184">
        <f>SUM(AJ28:AU28)</f>
        <v>0</v>
      </c>
      <c r="AW28" s="139"/>
      <c r="AX28" s="124"/>
      <c r="AY28" s="124"/>
      <c r="AZ28" s="124"/>
      <c r="BA28" s="124"/>
      <c r="BB28" s="124"/>
      <c r="BC28" s="124"/>
      <c r="BD28" s="124"/>
      <c r="BE28" s="124"/>
      <c r="BF28" s="124"/>
      <c r="BG28" s="124"/>
      <c r="BH28" s="124"/>
      <c r="BI28" s="124"/>
      <c r="BJ28" s="184">
        <f>SUM(AX28:BI28)</f>
        <v>0</v>
      </c>
      <c r="BK28" s="139"/>
      <c r="BL28" s="124"/>
      <c r="BM28" s="124"/>
      <c r="BN28" s="124"/>
      <c r="BO28" s="124"/>
      <c r="BP28" s="124"/>
      <c r="BQ28" s="124"/>
      <c r="BR28" s="124"/>
      <c r="BS28" s="124"/>
      <c r="BT28" s="124"/>
      <c r="BU28" s="124"/>
      <c r="BV28" s="124"/>
      <c r="BW28" s="124"/>
      <c r="BX28" s="184">
        <f>SUM(BL28:BW28)</f>
        <v>0</v>
      </c>
      <c r="BY28" s="124"/>
    </row>
    <row r="29" spans="1:77" ht="10.199999999999999" x14ac:dyDescent="0.2">
      <c r="A29" s="176">
        <v>1</v>
      </c>
      <c r="C29" s="190" t="s">
        <v>408</v>
      </c>
      <c r="D29" s="183"/>
      <c r="E29" s="183">
        <f>T29+AH29+AV29+BJ29+BX29</f>
        <v>0</v>
      </c>
      <c r="F29" s="184"/>
      <c r="G29" s="139"/>
      <c r="H29" s="183">
        <f>IF(SUM($H28:H28)&lt;=796000,H28*0.271,H28*0.151)</f>
        <v>0</v>
      </c>
      <c r="I29" s="183">
        <f>IF(SUM($H28:I28)&lt;=796000,I28*0.271,I28*0.151)</f>
        <v>0</v>
      </c>
      <c r="J29" s="183">
        <f>IF(SUM($H28:J28)&lt;=796000,J28*0.271,J28*0.151)</f>
        <v>0</v>
      </c>
      <c r="K29" s="183">
        <f>IF(SUM($H28:K28)&lt;=796000,K28*0.271,K28*0.151)</f>
        <v>0</v>
      </c>
      <c r="L29" s="183">
        <f>IF(SUM($H28:L28)&lt;=796000,L28*0.271,L28*0.151)</f>
        <v>0</v>
      </c>
      <c r="M29" s="183">
        <f>IF(SUM($H28:M28)&lt;=796000,M28*0.271,M28*0.151)</f>
        <v>0</v>
      </c>
      <c r="N29" s="183">
        <f>IF(SUM($H28:N28)&lt;=796000,N28*0.271,N28*0.151)</f>
        <v>0</v>
      </c>
      <c r="O29" s="183">
        <f>IF(SUM($H28:O28)&lt;=796000,O28*0.271,O28*0.151)</f>
        <v>0</v>
      </c>
      <c r="P29" s="183">
        <f>IF(SUM($H28:P28)&lt;=796000,P28*0.271,P28*0.151)</f>
        <v>0</v>
      </c>
      <c r="Q29" s="183">
        <f>IF(SUM($H28:Q28)&lt;=796000,Q28*0.271,Q28*0.151)</f>
        <v>0</v>
      </c>
      <c r="R29" s="183">
        <f>IF(SUM($H28:R28)&lt;=796000,R28*0.271,R28*0.151)</f>
        <v>0</v>
      </c>
      <c r="S29" s="183">
        <f>IF(SUM($H28:S28)&lt;=796000,S28*0.271,S28*0.151)</f>
        <v>0</v>
      </c>
      <c r="T29" s="184">
        <f t="shared" ref="T29" si="100">SUM(H29:S29)</f>
        <v>0</v>
      </c>
      <c r="U29" s="139"/>
      <c r="V29" s="183">
        <f>IF(SUM(I28:$S28,$V28:V28)&lt;=796000,V28*0.271,V28*0.151)</f>
        <v>0</v>
      </c>
      <c r="W29" s="183">
        <f>IF(SUM(J28:$S28,$V28:W28)&lt;=796000,W28*0.271,W28*0.151)</f>
        <v>0</v>
      </c>
      <c r="X29" s="183">
        <f>IF(SUM(K28:$S28,$V28:X28)&lt;=796000,X28*0.271,X28*0.151)</f>
        <v>0</v>
      </c>
      <c r="Y29" s="183">
        <f>IF(SUM(L28:$S28,$V28:Y28)&lt;=796000,Y28*0.271,Y28*0.151)</f>
        <v>0</v>
      </c>
      <c r="Z29" s="183">
        <f>IF(SUM(M28:$S28,$V28:Z28)&lt;=796000,Z28*0.271,Z28*0.151)</f>
        <v>0</v>
      </c>
      <c r="AA29" s="183">
        <f>IF(SUM(N28:$S28,$V28:AA28)&lt;=796000,AA28*0.271,AA28*0.151)</f>
        <v>0</v>
      </c>
      <c r="AB29" s="183">
        <f>IF(SUM(O28:$S28,$V28:AB28)&lt;=796000,AB28*0.271,AB28*0.151)</f>
        <v>0</v>
      </c>
      <c r="AC29" s="183">
        <f>IF(SUM(P28:$S28,$V28:AC28)&lt;=796000,AC28*0.271,AC28*0.151)</f>
        <v>0</v>
      </c>
      <c r="AD29" s="183">
        <f>IF(SUM(Q28:$S28,$V28:AD28)&lt;=796000,AD28*0.271,AD28*0.151)</f>
        <v>0</v>
      </c>
      <c r="AE29" s="183">
        <f>IF(SUM(R28:$S28,$V28:AE28)&lt;=796000,AE28*0.271,AE28*0.151)</f>
        <v>0</v>
      </c>
      <c r="AF29" s="183">
        <f>IF(SUM(S28:$S28,$V28:AF28)&lt;=796000,AF28*0.271,AF28*0.151)</f>
        <v>0</v>
      </c>
      <c r="AG29" s="183">
        <f>IF(SUM($V28:AG28)&lt;=796000,AG28*0.271,AG28*0.151)</f>
        <v>0</v>
      </c>
      <c r="AH29" s="184">
        <f t="shared" ref="AH29" si="101">SUM(V29:AG29)</f>
        <v>0</v>
      </c>
      <c r="AI29" s="139"/>
      <c r="AJ29" s="183">
        <f>IF(SUM(W28:$AG28,$AJ28:AJ28)&lt;=796000,AJ28*0.271,AJ28*0.151)</f>
        <v>0</v>
      </c>
      <c r="AK29" s="183">
        <f>IF(SUM(X28:$AG28,$AJ28:AK28)&lt;=796000,AK28*0.271,AK28*0.151)</f>
        <v>0</v>
      </c>
      <c r="AL29" s="183">
        <f>IF(SUM(Y28:$AG28,$AJ28:AL28)&lt;=796000,AL28*0.271,AL28*0.151)</f>
        <v>0</v>
      </c>
      <c r="AM29" s="183">
        <f>IF(SUM(Z28:$AG28,$AJ28:AM28)&lt;=796000,AM28*0.271,AM28*0.151)</f>
        <v>0</v>
      </c>
      <c r="AN29" s="183">
        <f>IF(SUM(AA28:$AG28,$AJ28:AN28)&lt;=796000,AN28*0.271,AN28*0.151)</f>
        <v>0</v>
      </c>
      <c r="AO29" s="183">
        <f>IF(SUM(AB28:$AG28,$AJ28:AO28)&lt;=796000,AO28*0.271,AO28*0.151)</f>
        <v>0</v>
      </c>
      <c r="AP29" s="183">
        <f>IF(SUM(AC28:$AG28,$AJ28:AP28)&lt;=796000,AP28*0.271,AP28*0.151)</f>
        <v>0</v>
      </c>
      <c r="AQ29" s="183">
        <f>IF(SUM(AD28:$AG28,$AJ28:AQ28)&lt;=796000,AQ28*0.271,AQ28*0.151)</f>
        <v>0</v>
      </c>
      <c r="AR29" s="183">
        <f>IF(SUM(AE28:$AG28,$AJ28:AR28)&lt;=796000,AR28*0.271,AR28*0.151)</f>
        <v>0</v>
      </c>
      <c r="AS29" s="183">
        <f>IF(SUM(AF28:$AG28,$AJ28:AS28)&lt;=796000,AS28*0.271,AS28*0.151)</f>
        <v>0</v>
      </c>
      <c r="AT29" s="183">
        <f>IF(SUM(AG28:$AG28,$AJ28:AT28)&lt;=796000,AT28*0.271,AT28*0.151)</f>
        <v>0</v>
      </c>
      <c r="AU29" s="183">
        <f>IF(SUM($AJ28:AU28)&lt;=796000,AU28*0.271,AU28*0.151)</f>
        <v>0</v>
      </c>
      <c r="AV29" s="184">
        <f t="shared" ref="AV29" si="102">SUM(AJ29:AU29)</f>
        <v>0</v>
      </c>
      <c r="AW29" s="139"/>
      <c r="AX29" s="183">
        <f>IF(SUM(AK28:$AU28,$AX28:AX28)&lt;=796000,AX28*0.271,AX28*0.151)</f>
        <v>0</v>
      </c>
      <c r="AY29" s="183">
        <f>IF(SUM(AL28:$AU28,$AX28:AY28)&lt;=796000,AY28*0.271,AY28*0.151)</f>
        <v>0</v>
      </c>
      <c r="AZ29" s="183">
        <f>IF(SUM(AM28:$AU28,$AX28:AZ28)&lt;=796000,AZ28*0.271,AZ28*0.151)</f>
        <v>0</v>
      </c>
      <c r="BA29" s="183">
        <f>IF(SUM(AN28:$AU28,$AX28:BA28)&lt;=796000,BA28*0.271,BA28*0.151)</f>
        <v>0</v>
      </c>
      <c r="BB29" s="183">
        <f>IF(SUM(AO28:$AU28,$AX28:BB28)&lt;=796000,BB28*0.271,BB28*0.151)</f>
        <v>0</v>
      </c>
      <c r="BC29" s="183">
        <f>IF(SUM(AP28:$AU28,$AX28:BC28)&lt;=796000,BC28*0.271,BC28*0.151)</f>
        <v>0</v>
      </c>
      <c r="BD29" s="183">
        <f>IF(SUM(AQ28:$AU28,$AX28:BD28)&lt;=796000,BD28*0.271,BD28*0.151)</f>
        <v>0</v>
      </c>
      <c r="BE29" s="183">
        <f>IF(SUM(AR28:$AU28,$AX28:BE28)&lt;=796000,BE28*0.271,BE28*0.151)</f>
        <v>0</v>
      </c>
      <c r="BF29" s="183">
        <f>IF(SUM(AS28:$AU28,$AX28:BF28)&lt;=796000,BF28*0.271,BF28*0.151)</f>
        <v>0</v>
      </c>
      <c r="BG29" s="183">
        <f>IF(SUM(AT28:$AU28,$AX28:BG28)&lt;=796000,BG28*0.271,BG28*0.151)</f>
        <v>0</v>
      </c>
      <c r="BH29" s="183">
        <f>IF(SUM(AU28:$AU28,$AX28:BH28)&lt;=796000,BH28*0.271,BH28*0.151)</f>
        <v>0</v>
      </c>
      <c r="BI29" s="183">
        <f>IF(SUM($AX28:BI28)&lt;=796000,BI28*0.271,BI28*0.151)</f>
        <v>0</v>
      </c>
      <c r="BJ29" s="184">
        <f t="shared" ref="BJ29" si="103">SUM(AX29:BI29)</f>
        <v>0</v>
      </c>
      <c r="BK29" s="139"/>
      <c r="BL29" s="183">
        <f>IF(SUM(AY28:$BI28,$BL28:BL28)&lt;=796000,BL28*0.271,BL28*0.151)</f>
        <v>0</v>
      </c>
      <c r="BM29" s="183">
        <f>IF(SUM(AZ28:$BI28,$BL28:BM28)&lt;=796000,BM28*0.271,BM28*0.151)</f>
        <v>0</v>
      </c>
      <c r="BN29" s="183">
        <f>IF(SUM(BA28:$BI28,$BL28:BN28)&lt;=796000,BN28*0.271,BN28*0.151)</f>
        <v>0</v>
      </c>
      <c r="BO29" s="183">
        <f>IF(SUM(BB28:$BI28,$BL28:BO28)&lt;=796000,BO28*0.271,BO28*0.151)</f>
        <v>0</v>
      </c>
      <c r="BP29" s="183">
        <f>IF(SUM(BC28:$BI28,$BL28:BP28)&lt;=796000,BP28*0.271,BP28*0.151)</f>
        <v>0</v>
      </c>
      <c r="BQ29" s="183">
        <f>IF(SUM(BD28:$BI28,$BL28:BQ28)&lt;=796000,BQ28*0.271,BQ28*0.151)</f>
        <v>0</v>
      </c>
      <c r="BR29" s="183">
        <f>IF(SUM(BE28:$BI28,$BL28:BR28)&lt;=796000,BR28*0.271,BR28*0.151)</f>
        <v>0</v>
      </c>
      <c r="BS29" s="183">
        <f>IF(SUM(BF28:$BI28,$BL28:BS28)&lt;=796000,BS28*0.271,BS28*0.151)</f>
        <v>0</v>
      </c>
      <c r="BT29" s="183">
        <f>IF(SUM(BG28:$BI28,$BL28:BT28)&lt;=796000,BT28*0.271,BT28*0.151)</f>
        <v>0</v>
      </c>
      <c r="BU29" s="183">
        <f>IF(SUM(BH28:$BI28,$BL28:BU28)&lt;=796000,BU28*0.271,BU28*0.151)</f>
        <v>0</v>
      </c>
      <c r="BV29" s="183">
        <f>IF(SUM(BI28:$BI28,$BL28:BV28)&lt;=796000,BV28*0.271,BV28*0.151)</f>
        <v>0</v>
      </c>
      <c r="BW29" s="183">
        <f>IF(SUM($BL28:BW28)&lt;=796000,BW28*0.271,BW28*0.151)</f>
        <v>0</v>
      </c>
      <c r="BX29" s="184">
        <f t="shared" ref="BX29" si="104">SUM(BL29:BW29)</f>
        <v>0</v>
      </c>
      <c r="BY29" s="188"/>
    </row>
    <row r="30" spans="1:77" ht="10.199999999999999" x14ac:dyDescent="0.2">
      <c r="A30" s="176">
        <v>1</v>
      </c>
      <c r="C30" s="193" t="str">
        <f>IF(C28="","",C28)</f>
        <v/>
      </c>
      <c r="D30" s="192"/>
      <c r="E30" s="194"/>
      <c r="F30" s="184">
        <f>E30-(T30+AH30+AV30+BJ30+BX30)</f>
        <v>0</v>
      </c>
      <c r="G30" s="139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84">
        <f>SUM(H30:S30)</f>
        <v>0</v>
      </c>
      <c r="U30" s="139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84">
        <f>SUM(V30:AG30)</f>
        <v>0</v>
      </c>
      <c r="AI30" s="139"/>
      <c r="AJ30" s="124"/>
      <c r="AK30" s="124"/>
      <c r="AL30" s="124"/>
      <c r="AM30" s="124"/>
      <c r="AN30" s="124"/>
      <c r="AO30" s="124"/>
      <c r="AP30" s="124"/>
      <c r="AQ30" s="124"/>
      <c r="AR30" s="124"/>
      <c r="AS30" s="124"/>
      <c r="AT30" s="124"/>
      <c r="AU30" s="124"/>
      <c r="AV30" s="184">
        <f>SUM(AJ30:AU30)</f>
        <v>0</v>
      </c>
      <c r="AW30" s="139"/>
      <c r="AX30" s="124"/>
      <c r="AY30" s="124"/>
      <c r="AZ30" s="124"/>
      <c r="BA30" s="124"/>
      <c r="BB30" s="124"/>
      <c r="BC30" s="124"/>
      <c r="BD30" s="124"/>
      <c r="BE30" s="124"/>
      <c r="BF30" s="124"/>
      <c r="BG30" s="124"/>
      <c r="BH30" s="124"/>
      <c r="BI30" s="124"/>
      <c r="BJ30" s="184">
        <f>SUM(AX30:BI30)</f>
        <v>0</v>
      </c>
      <c r="BK30" s="139"/>
      <c r="BL30" s="124"/>
      <c r="BM30" s="124"/>
      <c r="BN30" s="124"/>
      <c r="BO30" s="124"/>
      <c r="BP30" s="124"/>
      <c r="BQ30" s="124"/>
      <c r="BR30" s="124"/>
      <c r="BS30" s="124"/>
      <c r="BT30" s="124"/>
      <c r="BU30" s="124"/>
      <c r="BV30" s="124"/>
      <c r="BW30" s="124"/>
      <c r="BX30" s="184">
        <f>SUM(BL30:BW30)</f>
        <v>0</v>
      </c>
      <c r="BY30" s="124"/>
    </row>
    <row r="31" spans="1:77" ht="10.199999999999999" x14ac:dyDescent="0.2">
      <c r="A31" s="176">
        <v>1</v>
      </c>
      <c r="C31" s="190" t="s">
        <v>408</v>
      </c>
      <c r="D31" s="183"/>
      <c r="E31" s="183">
        <f>T31+AH31+AV31+BJ31+BX31</f>
        <v>0</v>
      </c>
      <c r="F31" s="184"/>
      <c r="G31" s="139"/>
      <c r="H31" s="183">
        <f>IF(SUM($H30:H30)&lt;=796000,H30*0.271,H30*0.151)</f>
        <v>0</v>
      </c>
      <c r="I31" s="183">
        <f>IF(SUM($H30:I30)&lt;=796000,I30*0.271,I30*0.151)</f>
        <v>0</v>
      </c>
      <c r="J31" s="183">
        <f>IF(SUM($H30:J30)&lt;=796000,J30*0.271,J30*0.151)</f>
        <v>0</v>
      </c>
      <c r="K31" s="183">
        <f>IF(SUM($H30:K30)&lt;=796000,K30*0.271,K30*0.151)</f>
        <v>0</v>
      </c>
      <c r="L31" s="183">
        <f>IF(SUM($H30:L30)&lt;=796000,L30*0.271,L30*0.151)</f>
        <v>0</v>
      </c>
      <c r="M31" s="183">
        <f>IF(SUM($H30:M30)&lt;=796000,M30*0.271,M30*0.151)</f>
        <v>0</v>
      </c>
      <c r="N31" s="183">
        <f>IF(SUM($H30:N30)&lt;=796000,N30*0.271,N30*0.151)</f>
        <v>0</v>
      </c>
      <c r="O31" s="183">
        <f>IF(SUM($H30:O30)&lt;=796000,O30*0.271,O30*0.151)</f>
        <v>0</v>
      </c>
      <c r="P31" s="183">
        <f>IF(SUM($H30:P30)&lt;=796000,P30*0.271,P30*0.151)</f>
        <v>0</v>
      </c>
      <c r="Q31" s="183">
        <f>IF(SUM($H30:Q30)&lt;=796000,Q30*0.271,Q30*0.151)</f>
        <v>0</v>
      </c>
      <c r="R31" s="183">
        <f>IF(SUM($H30:R30)&lt;=796000,R30*0.271,R30*0.151)</f>
        <v>0</v>
      </c>
      <c r="S31" s="183">
        <f>IF(SUM($H30:S30)&lt;=796000,S30*0.271,S30*0.151)</f>
        <v>0</v>
      </c>
      <c r="T31" s="184">
        <f t="shared" ref="T31" si="105">SUM(H31:S31)</f>
        <v>0</v>
      </c>
      <c r="U31" s="139"/>
      <c r="V31" s="183">
        <f>IF(SUM(I30:$S30,$V30:V30)&lt;=796000,V30*0.271,V30*0.151)</f>
        <v>0</v>
      </c>
      <c r="W31" s="183">
        <f>IF(SUM(J30:$S30,$V30:W30)&lt;=796000,W30*0.271,W30*0.151)</f>
        <v>0</v>
      </c>
      <c r="X31" s="183">
        <f>IF(SUM(K30:$S30,$V30:X30)&lt;=796000,X30*0.271,X30*0.151)</f>
        <v>0</v>
      </c>
      <c r="Y31" s="183">
        <f>IF(SUM(L30:$S30,$V30:Y30)&lt;=796000,Y30*0.271,Y30*0.151)</f>
        <v>0</v>
      </c>
      <c r="Z31" s="183">
        <f>IF(SUM(M30:$S30,$V30:Z30)&lt;=796000,Z30*0.271,Z30*0.151)</f>
        <v>0</v>
      </c>
      <c r="AA31" s="183">
        <f>IF(SUM(N30:$S30,$V30:AA30)&lt;=796000,AA30*0.271,AA30*0.151)</f>
        <v>0</v>
      </c>
      <c r="AB31" s="183">
        <f>IF(SUM(O30:$S30,$V30:AB30)&lt;=796000,AB30*0.271,AB30*0.151)</f>
        <v>0</v>
      </c>
      <c r="AC31" s="183">
        <f>IF(SUM(P30:$S30,$V30:AC30)&lt;=796000,AC30*0.271,AC30*0.151)</f>
        <v>0</v>
      </c>
      <c r="AD31" s="183">
        <f>IF(SUM(Q30:$S30,$V30:AD30)&lt;=796000,AD30*0.271,AD30*0.151)</f>
        <v>0</v>
      </c>
      <c r="AE31" s="183">
        <f>IF(SUM(R30:$S30,$V30:AE30)&lt;=796000,AE30*0.271,AE30*0.151)</f>
        <v>0</v>
      </c>
      <c r="AF31" s="183">
        <f>IF(SUM(S30:$S30,$V30:AF30)&lt;=796000,AF30*0.271,AF30*0.151)</f>
        <v>0</v>
      </c>
      <c r="AG31" s="183">
        <f>IF(SUM($V30:AG30)&lt;=796000,AG30*0.271,AG30*0.151)</f>
        <v>0</v>
      </c>
      <c r="AH31" s="184">
        <f t="shared" ref="AH31" si="106">SUM(V31:AG31)</f>
        <v>0</v>
      </c>
      <c r="AI31" s="139"/>
      <c r="AJ31" s="183">
        <f>IF(SUM(W30:$AG30,$AJ30:AJ30)&lt;=796000,AJ30*0.271,AJ30*0.151)</f>
        <v>0</v>
      </c>
      <c r="AK31" s="183">
        <f>IF(SUM(X30:$AG30,$AJ30:AK30)&lt;=796000,AK30*0.271,AK30*0.151)</f>
        <v>0</v>
      </c>
      <c r="AL31" s="183">
        <f>IF(SUM(Y30:$AG30,$AJ30:AL30)&lt;=796000,AL30*0.271,AL30*0.151)</f>
        <v>0</v>
      </c>
      <c r="AM31" s="183">
        <f>IF(SUM(Z30:$AG30,$AJ30:AM30)&lt;=796000,AM30*0.271,AM30*0.151)</f>
        <v>0</v>
      </c>
      <c r="AN31" s="183">
        <f>IF(SUM(AA30:$AG30,$AJ30:AN30)&lt;=796000,AN30*0.271,AN30*0.151)</f>
        <v>0</v>
      </c>
      <c r="AO31" s="183">
        <f>IF(SUM(AB30:$AG30,$AJ30:AO30)&lt;=796000,AO30*0.271,AO30*0.151)</f>
        <v>0</v>
      </c>
      <c r="AP31" s="183">
        <f>IF(SUM(AC30:$AG30,$AJ30:AP30)&lt;=796000,AP30*0.271,AP30*0.151)</f>
        <v>0</v>
      </c>
      <c r="AQ31" s="183">
        <f>IF(SUM(AD30:$AG30,$AJ30:AQ30)&lt;=796000,AQ30*0.271,AQ30*0.151)</f>
        <v>0</v>
      </c>
      <c r="AR31" s="183">
        <f>IF(SUM(AE30:$AG30,$AJ30:AR30)&lt;=796000,AR30*0.271,AR30*0.151)</f>
        <v>0</v>
      </c>
      <c r="AS31" s="183">
        <f>IF(SUM(AF30:$AG30,$AJ30:AS30)&lt;=796000,AS30*0.271,AS30*0.151)</f>
        <v>0</v>
      </c>
      <c r="AT31" s="183">
        <f>IF(SUM(AG30:$AG30,$AJ30:AT30)&lt;=796000,AT30*0.271,AT30*0.151)</f>
        <v>0</v>
      </c>
      <c r="AU31" s="183">
        <f>IF(SUM($AJ30:AU30)&lt;=796000,AU30*0.271,AU30*0.151)</f>
        <v>0</v>
      </c>
      <c r="AV31" s="184">
        <f t="shared" ref="AV31" si="107">SUM(AJ31:AU31)</f>
        <v>0</v>
      </c>
      <c r="AW31" s="139"/>
      <c r="AX31" s="183">
        <f>IF(SUM(AK30:$AU30,$AX30:AX30)&lt;=796000,AX30*0.271,AX30*0.151)</f>
        <v>0</v>
      </c>
      <c r="AY31" s="183">
        <f>IF(SUM(AL30:$AU30,$AX30:AY30)&lt;=796000,AY30*0.271,AY30*0.151)</f>
        <v>0</v>
      </c>
      <c r="AZ31" s="183">
        <f>IF(SUM(AM30:$AU30,$AX30:AZ30)&lt;=796000,AZ30*0.271,AZ30*0.151)</f>
        <v>0</v>
      </c>
      <c r="BA31" s="183">
        <f>IF(SUM(AN30:$AU30,$AX30:BA30)&lt;=796000,BA30*0.271,BA30*0.151)</f>
        <v>0</v>
      </c>
      <c r="BB31" s="183">
        <f>IF(SUM(AO30:$AU30,$AX30:BB30)&lt;=796000,BB30*0.271,BB30*0.151)</f>
        <v>0</v>
      </c>
      <c r="BC31" s="183">
        <f>IF(SUM(AP30:$AU30,$AX30:BC30)&lt;=796000,BC30*0.271,BC30*0.151)</f>
        <v>0</v>
      </c>
      <c r="BD31" s="183">
        <f>IF(SUM(AQ30:$AU30,$AX30:BD30)&lt;=796000,BD30*0.271,BD30*0.151)</f>
        <v>0</v>
      </c>
      <c r="BE31" s="183">
        <f>IF(SUM(AR30:$AU30,$AX30:BE30)&lt;=796000,BE30*0.271,BE30*0.151)</f>
        <v>0</v>
      </c>
      <c r="BF31" s="183">
        <f>IF(SUM(AS30:$AU30,$AX30:BF30)&lt;=796000,BF30*0.271,BF30*0.151)</f>
        <v>0</v>
      </c>
      <c r="BG31" s="183">
        <f>IF(SUM(AT30:$AU30,$AX30:BG30)&lt;=796000,BG30*0.271,BG30*0.151)</f>
        <v>0</v>
      </c>
      <c r="BH31" s="183">
        <f>IF(SUM(AU30:$AU30,$AX30:BH30)&lt;=796000,BH30*0.271,BH30*0.151)</f>
        <v>0</v>
      </c>
      <c r="BI31" s="183">
        <f>IF(SUM($AX30:BI30)&lt;=796000,BI30*0.271,BI30*0.151)</f>
        <v>0</v>
      </c>
      <c r="BJ31" s="184">
        <f t="shared" ref="BJ31" si="108">SUM(AX31:BI31)</f>
        <v>0</v>
      </c>
      <c r="BK31" s="139"/>
      <c r="BL31" s="183">
        <f>IF(SUM(AY30:$BI30,$BL30:BL30)&lt;=796000,BL30*0.271,BL30*0.151)</f>
        <v>0</v>
      </c>
      <c r="BM31" s="183">
        <f>IF(SUM(AZ30:$BI30,$BL30:BM30)&lt;=796000,BM30*0.271,BM30*0.151)</f>
        <v>0</v>
      </c>
      <c r="BN31" s="183">
        <f>IF(SUM(BA30:$BI30,$BL30:BN30)&lt;=796000,BN30*0.271,BN30*0.151)</f>
        <v>0</v>
      </c>
      <c r="BO31" s="183">
        <f>IF(SUM(BB30:$BI30,$BL30:BO30)&lt;=796000,BO30*0.271,BO30*0.151)</f>
        <v>0</v>
      </c>
      <c r="BP31" s="183">
        <f>IF(SUM(BC30:$BI30,$BL30:BP30)&lt;=796000,BP30*0.271,BP30*0.151)</f>
        <v>0</v>
      </c>
      <c r="BQ31" s="183">
        <f>IF(SUM(BD30:$BI30,$BL30:BQ30)&lt;=796000,BQ30*0.271,BQ30*0.151)</f>
        <v>0</v>
      </c>
      <c r="BR31" s="183">
        <f>IF(SUM(BE30:$BI30,$BL30:BR30)&lt;=796000,BR30*0.271,BR30*0.151)</f>
        <v>0</v>
      </c>
      <c r="BS31" s="183">
        <f>IF(SUM(BF30:$BI30,$BL30:BS30)&lt;=796000,BS30*0.271,BS30*0.151)</f>
        <v>0</v>
      </c>
      <c r="BT31" s="183">
        <f>IF(SUM(BG30:$BI30,$BL30:BT30)&lt;=796000,BT30*0.271,BT30*0.151)</f>
        <v>0</v>
      </c>
      <c r="BU31" s="183">
        <f>IF(SUM(BH30:$BI30,$BL30:BU30)&lt;=796000,BU30*0.271,BU30*0.151)</f>
        <v>0</v>
      </c>
      <c r="BV31" s="183">
        <f>IF(SUM(BI30:$BI30,$BL30:BV30)&lt;=796000,BV30*0.271,BV30*0.151)</f>
        <v>0</v>
      </c>
      <c r="BW31" s="183">
        <f>IF(SUM($BL30:BW30)&lt;=796000,BW30*0.271,BW30*0.151)</f>
        <v>0</v>
      </c>
      <c r="BX31" s="184">
        <f t="shared" ref="BX31" si="109">SUM(BL31:BW31)</f>
        <v>0</v>
      </c>
      <c r="BY31" s="188"/>
    </row>
    <row r="32" spans="1:77" ht="10.199999999999999" x14ac:dyDescent="0.2">
      <c r="A32" s="176">
        <v>1</v>
      </c>
      <c r="C32" s="193" t="str">
        <f>IF(C30="","",C30)</f>
        <v/>
      </c>
      <c r="D32" s="192"/>
      <c r="E32" s="194"/>
      <c r="F32" s="184">
        <f>E32-(T32+AH32+AV32+BJ32+BX32)</f>
        <v>0</v>
      </c>
      <c r="G32" s="139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84">
        <f>SUM(H32:S32)</f>
        <v>0</v>
      </c>
      <c r="U32" s="139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84">
        <f>SUM(V32:AG32)</f>
        <v>0</v>
      </c>
      <c r="AI32" s="139"/>
      <c r="AJ32" s="124"/>
      <c r="AK32" s="124"/>
      <c r="AL32" s="124"/>
      <c r="AM32" s="124"/>
      <c r="AN32" s="124"/>
      <c r="AO32" s="124"/>
      <c r="AP32" s="124"/>
      <c r="AQ32" s="124"/>
      <c r="AR32" s="124"/>
      <c r="AS32" s="124"/>
      <c r="AT32" s="124"/>
      <c r="AU32" s="124"/>
      <c r="AV32" s="184">
        <f>SUM(AJ32:AU32)</f>
        <v>0</v>
      </c>
      <c r="AW32" s="139"/>
      <c r="AX32" s="124"/>
      <c r="AY32" s="124"/>
      <c r="AZ32" s="124"/>
      <c r="BA32" s="124"/>
      <c r="BB32" s="124"/>
      <c r="BC32" s="124"/>
      <c r="BD32" s="124"/>
      <c r="BE32" s="124"/>
      <c r="BF32" s="124"/>
      <c r="BG32" s="124"/>
      <c r="BH32" s="124"/>
      <c r="BI32" s="124"/>
      <c r="BJ32" s="184">
        <f>SUM(AX32:BI32)</f>
        <v>0</v>
      </c>
      <c r="BK32" s="139"/>
      <c r="BL32" s="124"/>
      <c r="BM32" s="124"/>
      <c r="BN32" s="124"/>
      <c r="BO32" s="124"/>
      <c r="BP32" s="124"/>
      <c r="BQ32" s="124"/>
      <c r="BR32" s="124"/>
      <c r="BS32" s="124"/>
      <c r="BT32" s="124"/>
      <c r="BU32" s="124"/>
      <c r="BV32" s="124"/>
      <c r="BW32" s="124"/>
      <c r="BX32" s="184">
        <f>SUM(BL32:BW32)</f>
        <v>0</v>
      </c>
      <c r="BY32" s="124"/>
    </row>
    <row r="33" spans="1:77" ht="10.199999999999999" x14ac:dyDescent="0.2">
      <c r="A33" s="176">
        <v>1</v>
      </c>
      <c r="C33" s="190" t="s">
        <v>408</v>
      </c>
      <c r="D33" s="183"/>
      <c r="E33" s="183">
        <f>T33+AH33+AV33+BJ33+BX33</f>
        <v>0</v>
      </c>
      <c r="F33" s="184"/>
      <c r="G33" s="139"/>
      <c r="H33" s="183">
        <f>IF(SUM($H32:H32)&lt;=796000,H32*0.271,H32*0.151)</f>
        <v>0</v>
      </c>
      <c r="I33" s="183">
        <f>IF(SUM($H32:I32)&lt;=796000,I32*0.271,I32*0.151)</f>
        <v>0</v>
      </c>
      <c r="J33" s="183">
        <f>IF(SUM($H32:J32)&lt;=796000,J32*0.271,J32*0.151)</f>
        <v>0</v>
      </c>
      <c r="K33" s="183">
        <f>IF(SUM($H32:K32)&lt;=796000,K32*0.271,K32*0.151)</f>
        <v>0</v>
      </c>
      <c r="L33" s="183">
        <f>IF(SUM($H32:L32)&lt;=796000,L32*0.271,L32*0.151)</f>
        <v>0</v>
      </c>
      <c r="M33" s="183">
        <f>IF(SUM($H32:M32)&lt;=796000,M32*0.271,M32*0.151)</f>
        <v>0</v>
      </c>
      <c r="N33" s="183">
        <f>IF(SUM($H32:N32)&lt;=796000,N32*0.271,N32*0.151)</f>
        <v>0</v>
      </c>
      <c r="O33" s="183">
        <f>IF(SUM($H32:O32)&lt;=796000,O32*0.271,O32*0.151)</f>
        <v>0</v>
      </c>
      <c r="P33" s="183">
        <f>IF(SUM($H32:P32)&lt;=796000,P32*0.271,P32*0.151)</f>
        <v>0</v>
      </c>
      <c r="Q33" s="183">
        <f>IF(SUM($H32:Q32)&lt;=796000,Q32*0.271,Q32*0.151)</f>
        <v>0</v>
      </c>
      <c r="R33" s="183">
        <f>IF(SUM($H32:R32)&lt;=796000,R32*0.271,R32*0.151)</f>
        <v>0</v>
      </c>
      <c r="S33" s="183">
        <f>IF(SUM($H32:S32)&lt;=796000,S32*0.271,S32*0.151)</f>
        <v>0</v>
      </c>
      <c r="T33" s="184">
        <f t="shared" ref="T33" si="110">SUM(H33:S33)</f>
        <v>0</v>
      </c>
      <c r="U33" s="139"/>
      <c r="V33" s="183">
        <f>IF(SUM(I32:$S32,$V32:V32)&lt;=796000,V32*0.271,V32*0.151)</f>
        <v>0</v>
      </c>
      <c r="W33" s="183">
        <f>IF(SUM(J32:$S32,$V32:W32)&lt;=796000,W32*0.271,W32*0.151)</f>
        <v>0</v>
      </c>
      <c r="X33" s="183">
        <f>IF(SUM(K32:$S32,$V32:X32)&lt;=796000,X32*0.271,X32*0.151)</f>
        <v>0</v>
      </c>
      <c r="Y33" s="183">
        <f>IF(SUM(L32:$S32,$V32:Y32)&lt;=796000,Y32*0.271,Y32*0.151)</f>
        <v>0</v>
      </c>
      <c r="Z33" s="183">
        <f>IF(SUM(M32:$S32,$V32:Z32)&lt;=796000,Z32*0.271,Z32*0.151)</f>
        <v>0</v>
      </c>
      <c r="AA33" s="183">
        <f>IF(SUM(N32:$S32,$V32:AA32)&lt;=796000,AA32*0.271,AA32*0.151)</f>
        <v>0</v>
      </c>
      <c r="AB33" s="183">
        <f>IF(SUM(O32:$S32,$V32:AB32)&lt;=796000,AB32*0.271,AB32*0.151)</f>
        <v>0</v>
      </c>
      <c r="AC33" s="183">
        <f>IF(SUM(P32:$S32,$V32:AC32)&lt;=796000,AC32*0.271,AC32*0.151)</f>
        <v>0</v>
      </c>
      <c r="AD33" s="183">
        <f>IF(SUM(Q32:$S32,$V32:AD32)&lt;=796000,AD32*0.271,AD32*0.151)</f>
        <v>0</v>
      </c>
      <c r="AE33" s="183">
        <f>IF(SUM(R32:$S32,$V32:AE32)&lt;=796000,AE32*0.271,AE32*0.151)</f>
        <v>0</v>
      </c>
      <c r="AF33" s="183">
        <f>IF(SUM(S32:$S32,$V32:AF32)&lt;=796000,AF32*0.271,AF32*0.151)</f>
        <v>0</v>
      </c>
      <c r="AG33" s="183">
        <f>IF(SUM($V32:AG32)&lt;=796000,AG32*0.271,AG32*0.151)</f>
        <v>0</v>
      </c>
      <c r="AH33" s="184">
        <f t="shared" ref="AH33" si="111">SUM(V33:AG33)</f>
        <v>0</v>
      </c>
      <c r="AI33" s="139"/>
      <c r="AJ33" s="183">
        <f>IF(SUM(W32:$AG32,$AJ32:AJ32)&lt;=796000,AJ32*0.271,AJ32*0.151)</f>
        <v>0</v>
      </c>
      <c r="AK33" s="183">
        <f>IF(SUM(X32:$AG32,$AJ32:AK32)&lt;=796000,AK32*0.271,AK32*0.151)</f>
        <v>0</v>
      </c>
      <c r="AL33" s="183">
        <f>IF(SUM(Y32:$AG32,$AJ32:AL32)&lt;=796000,AL32*0.271,AL32*0.151)</f>
        <v>0</v>
      </c>
      <c r="AM33" s="183">
        <f>IF(SUM(Z32:$AG32,$AJ32:AM32)&lt;=796000,AM32*0.271,AM32*0.151)</f>
        <v>0</v>
      </c>
      <c r="AN33" s="183">
        <f>IF(SUM(AA32:$AG32,$AJ32:AN32)&lt;=796000,AN32*0.271,AN32*0.151)</f>
        <v>0</v>
      </c>
      <c r="AO33" s="183">
        <f>IF(SUM(AB32:$AG32,$AJ32:AO32)&lt;=796000,AO32*0.271,AO32*0.151)</f>
        <v>0</v>
      </c>
      <c r="AP33" s="183">
        <f>IF(SUM(AC32:$AG32,$AJ32:AP32)&lt;=796000,AP32*0.271,AP32*0.151)</f>
        <v>0</v>
      </c>
      <c r="AQ33" s="183">
        <f>IF(SUM(AD32:$AG32,$AJ32:AQ32)&lt;=796000,AQ32*0.271,AQ32*0.151)</f>
        <v>0</v>
      </c>
      <c r="AR33" s="183">
        <f>IF(SUM(AE32:$AG32,$AJ32:AR32)&lt;=796000,AR32*0.271,AR32*0.151)</f>
        <v>0</v>
      </c>
      <c r="AS33" s="183">
        <f>IF(SUM(AF32:$AG32,$AJ32:AS32)&lt;=796000,AS32*0.271,AS32*0.151)</f>
        <v>0</v>
      </c>
      <c r="AT33" s="183">
        <f>IF(SUM(AG32:$AG32,$AJ32:AT32)&lt;=796000,AT32*0.271,AT32*0.151)</f>
        <v>0</v>
      </c>
      <c r="AU33" s="183">
        <f>IF(SUM($AJ32:AU32)&lt;=796000,AU32*0.271,AU32*0.151)</f>
        <v>0</v>
      </c>
      <c r="AV33" s="184">
        <f t="shared" ref="AV33" si="112">SUM(AJ33:AU33)</f>
        <v>0</v>
      </c>
      <c r="AW33" s="139"/>
      <c r="AX33" s="183">
        <f>IF(SUM(AK32:$AU32,$AX32:AX32)&lt;=796000,AX32*0.271,AX32*0.151)</f>
        <v>0</v>
      </c>
      <c r="AY33" s="183">
        <f>IF(SUM(AL32:$AU32,$AX32:AY32)&lt;=796000,AY32*0.271,AY32*0.151)</f>
        <v>0</v>
      </c>
      <c r="AZ33" s="183">
        <f>IF(SUM(AM32:$AU32,$AX32:AZ32)&lt;=796000,AZ32*0.271,AZ32*0.151)</f>
        <v>0</v>
      </c>
      <c r="BA33" s="183">
        <f>IF(SUM(AN32:$AU32,$AX32:BA32)&lt;=796000,BA32*0.271,BA32*0.151)</f>
        <v>0</v>
      </c>
      <c r="BB33" s="183">
        <f>IF(SUM(AO32:$AU32,$AX32:BB32)&lt;=796000,BB32*0.271,BB32*0.151)</f>
        <v>0</v>
      </c>
      <c r="BC33" s="183">
        <f>IF(SUM(AP32:$AU32,$AX32:BC32)&lt;=796000,BC32*0.271,BC32*0.151)</f>
        <v>0</v>
      </c>
      <c r="BD33" s="183">
        <f>IF(SUM(AQ32:$AU32,$AX32:BD32)&lt;=796000,BD32*0.271,BD32*0.151)</f>
        <v>0</v>
      </c>
      <c r="BE33" s="183">
        <f>IF(SUM(AR32:$AU32,$AX32:BE32)&lt;=796000,BE32*0.271,BE32*0.151)</f>
        <v>0</v>
      </c>
      <c r="BF33" s="183">
        <f>IF(SUM(AS32:$AU32,$AX32:BF32)&lt;=796000,BF32*0.271,BF32*0.151)</f>
        <v>0</v>
      </c>
      <c r="BG33" s="183">
        <f>IF(SUM(AT32:$AU32,$AX32:BG32)&lt;=796000,BG32*0.271,BG32*0.151)</f>
        <v>0</v>
      </c>
      <c r="BH33" s="183">
        <f>IF(SUM(AU32:$AU32,$AX32:BH32)&lt;=796000,BH32*0.271,BH32*0.151)</f>
        <v>0</v>
      </c>
      <c r="BI33" s="183">
        <f>IF(SUM($AX32:BI32)&lt;=796000,BI32*0.271,BI32*0.151)</f>
        <v>0</v>
      </c>
      <c r="BJ33" s="184">
        <f t="shared" ref="BJ33" si="113">SUM(AX33:BI33)</f>
        <v>0</v>
      </c>
      <c r="BK33" s="139"/>
      <c r="BL33" s="183">
        <f>IF(SUM(AY32:$BI32,$BL32:BL32)&lt;=796000,BL32*0.271,BL32*0.151)</f>
        <v>0</v>
      </c>
      <c r="BM33" s="183">
        <f>IF(SUM(AZ32:$BI32,$BL32:BM32)&lt;=796000,BM32*0.271,BM32*0.151)</f>
        <v>0</v>
      </c>
      <c r="BN33" s="183">
        <f>IF(SUM(BA32:$BI32,$BL32:BN32)&lt;=796000,BN32*0.271,BN32*0.151)</f>
        <v>0</v>
      </c>
      <c r="BO33" s="183">
        <f>IF(SUM(BB32:$BI32,$BL32:BO32)&lt;=796000,BO32*0.271,BO32*0.151)</f>
        <v>0</v>
      </c>
      <c r="BP33" s="183">
        <f>IF(SUM(BC32:$BI32,$BL32:BP32)&lt;=796000,BP32*0.271,BP32*0.151)</f>
        <v>0</v>
      </c>
      <c r="BQ33" s="183">
        <f>IF(SUM(BD32:$BI32,$BL32:BQ32)&lt;=796000,BQ32*0.271,BQ32*0.151)</f>
        <v>0</v>
      </c>
      <c r="BR33" s="183">
        <f>IF(SUM(BE32:$BI32,$BL32:BR32)&lt;=796000,BR32*0.271,BR32*0.151)</f>
        <v>0</v>
      </c>
      <c r="BS33" s="183">
        <f>IF(SUM(BF32:$BI32,$BL32:BS32)&lt;=796000,BS32*0.271,BS32*0.151)</f>
        <v>0</v>
      </c>
      <c r="BT33" s="183">
        <f>IF(SUM(BG32:$BI32,$BL32:BT32)&lt;=796000,BT32*0.271,BT32*0.151)</f>
        <v>0</v>
      </c>
      <c r="BU33" s="183">
        <f>IF(SUM(BH32:$BI32,$BL32:BU32)&lt;=796000,BU32*0.271,BU32*0.151)</f>
        <v>0</v>
      </c>
      <c r="BV33" s="183">
        <f>IF(SUM(BI32:$BI32,$BL32:BV32)&lt;=796000,BV32*0.271,BV32*0.151)</f>
        <v>0</v>
      </c>
      <c r="BW33" s="183">
        <f>IF(SUM($BL32:BW32)&lt;=796000,BW32*0.271,BW32*0.151)</f>
        <v>0</v>
      </c>
      <c r="BX33" s="184">
        <f t="shared" ref="BX33" si="114">SUM(BL33:BW33)</f>
        <v>0</v>
      </c>
      <c r="BY33" s="188"/>
    </row>
    <row r="34" spans="1:77" ht="10.199999999999999" x14ac:dyDescent="0.2">
      <c r="A34" s="176">
        <v>1</v>
      </c>
      <c r="C34" s="193" t="str">
        <f>IF(C32="","",C32)</f>
        <v/>
      </c>
      <c r="D34" s="192"/>
      <c r="E34" s="194"/>
      <c r="F34" s="184">
        <f>E34-(T34+AH34+AV34+BJ34+BX34)</f>
        <v>0</v>
      </c>
      <c r="G34" s="139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84">
        <f>SUM(H34:S34)</f>
        <v>0</v>
      </c>
      <c r="U34" s="139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84">
        <f>SUM(V34:AG34)</f>
        <v>0</v>
      </c>
      <c r="AI34" s="139"/>
      <c r="AJ34" s="124"/>
      <c r="AK34" s="124"/>
      <c r="AL34" s="124"/>
      <c r="AM34" s="124"/>
      <c r="AN34" s="124"/>
      <c r="AO34" s="124"/>
      <c r="AP34" s="124"/>
      <c r="AQ34" s="124"/>
      <c r="AR34" s="124"/>
      <c r="AS34" s="124"/>
      <c r="AT34" s="124"/>
      <c r="AU34" s="124"/>
      <c r="AV34" s="184">
        <f>SUM(AJ34:AU34)</f>
        <v>0</v>
      </c>
      <c r="AW34" s="139"/>
      <c r="AX34" s="124"/>
      <c r="AY34" s="124"/>
      <c r="AZ34" s="124"/>
      <c r="BA34" s="124"/>
      <c r="BB34" s="124"/>
      <c r="BC34" s="124"/>
      <c r="BD34" s="124"/>
      <c r="BE34" s="124"/>
      <c r="BF34" s="124"/>
      <c r="BG34" s="124"/>
      <c r="BH34" s="124"/>
      <c r="BI34" s="124"/>
      <c r="BJ34" s="184">
        <f>SUM(AX34:BI34)</f>
        <v>0</v>
      </c>
      <c r="BK34" s="139"/>
      <c r="BL34" s="124"/>
      <c r="BM34" s="124"/>
      <c r="BN34" s="124"/>
      <c r="BO34" s="124"/>
      <c r="BP34" s="124"/>
      <c r="BQ34" s="124"/>
      <c r="BR34" s="124"/>
      <c r="BS34" s="124"/>
      <c r="BT34" s="124"/>
      <c r="BU34" s="124"/>
      <c r="BV34" s="124"/>
      <c r="BW34" s="124"/>
      <c r="BX34" s="184">
        <f>SUM(BL34:BW34)</f>
        <v>0</v>
      </c>
      <c r="BY34" s="124"/>
    </row>
    <row r="35" spans="1:77" ht="10.199999999999999" x14ac:dyDescent="0.2">
      <c r="A35" s="176">
        <v>1</v>
      </c>
      <c r="C35" s="190" t="s">
        <v>408</v>
      </c>
      <c r="D35" s="183"/>
      <c r="E35" s="183">
        <f>T35+AH35+AV35+BJ35+BX35</f>
        <v>0</v>
      </c>
      <c r="F35" s="184"/>
      <c r="G35" s="139"/>
      <c r="H35" s="183">
        <f>IF(SUM($H34:H34)&lt;=796000,H34*0.271,H34*0.151)</f>
        <v>0</v>
      </c>
      <c r="I35" s="183">
        <f>IF(SUM($H34:I34)&lt;=796000,I34*0.271,I34*0.151)</f>
        <v>0</v>
      </c>
      <c r="J35" s="183">
        <f>IF(SUM($H34:J34)&lt;=796000,J34*0.271,J34*0.151)</f>
        <v>0</v>
      </c>
      <c r="K35" s="183">
        <f>IF(SUM($H34:K34)&lt;=796000,K34*0.271,K34*0.151)</f>
        <v>0</v>
      </c>
      <c r="L35" s="183">
        <f>IF(SUM($H34:L34)&lt;=796000,L34*0.271,L34*0.151)</f>
        <v>0</v>
      </c>
      <c r="M35" s="183">
        <f>IF(SUM($H34:M34)&lt;=796000,M34*0.271,M34*0.151)</f>
        <v>0</v>
      </c>
      <c r="N35" s="183">
        <f>IF(SUM($H34:N34)&lt;=796000,N34*0.271,N34*0.151)</f>
        <v>0</v>
      </c>
      <c r="O35" s="183">
        <f>IF(SUM($H34:O34)&lt;=796000,O34*0.271,O34*0.151)</f>
        <v>0</v>
      </c>
      <c r="P35" s="183">
        <f>IF(SUM($H34:P34)&lt;=796000,P34*0.271,P34*0.151)</f>
        <v>0</v>
      </c>
      <c r="Q35" s="183">
        <f>IF(SUM($H34:Q34)&lt;=796000,Q34*0.271,Q34*0.151)</f>
        <v>0</v>
      </c>
      <c r="R35" s="183">
        <f>IF(SUM($H34:R34)&lt;=796000,R34*0.271,R34*0.151)</f>
        <v>0</v>
      </c>
      <c r="S35" s="183">
        <f>IF(SUM($H34:S34)&lt;=796000,S34*0.271,S34*0.151)</f>
        <v>0</v>
      </c>
      <c r="T35" s="184">
        <f t="shared" ref="T35" si="115">SUM(H35:S35)</f>
        <v>0</v>
      </c>
      <c r="U35" s="139"/>
      <c r="V35" s="183">
        <f>IF(SUM(I34:$S34,$V34:V34)&lt;=796000,V34*0.271,V34*0.151)</f>
        <v>0</v>
      </c>
      <c r="W35" s="183">
        <f>IF(SUM(J34:$S34,$V34:W34)&lt;=796000,W34*0.271,W34*0.151)</f>
        <v>0</v>
      </c>
      <c r="X35" s="183">
        <f>IF(SUM(K34:$S34,$V34:X34)&lt;=796000,X34*0.271,X34*0.151)</f>
        <v>0</v>
      </c>
      <c r="Y35" s="183">
        <f>IF(SUM(L34:$S34,$V34:Y34)&lt;=796000,Y34*0.271,Y34*0.151)</f>
        <v>0</v>
      </c>
      <c r="Z35" s="183">
        <f>IF(SUM(M34:$S34,$V34:Z34)&lt;=796000,Z34*0.271,Z34*0.151)</f>
        <v>0</v>
      </c>
      <c r="AA35" s="183">
        <f>IF(SUM(N34:$S34,$V34:AA34)&lt;=796000,AA34*0.271,AA34*0.151)</f>
        <v>0</v>
      </c>
      <c r="AB35" s="183">
        <f>IF(SUM(O34:$S34,$V34:AB34)&lt;=796000,AB34*0.271,AB34*0.151)</f>
        <v>0</v>
      </c>
      <c r="AC35" s="183">
        <f>IF(SUM(P34:$S34,$V34:AC34)&lt;=796000,AC34*0.271,AC34*0.151)</f>
        <v>0</v>
      </c>
      <c r="AD35" s="183">
        <f>IF(SUM(Q34:$S34,$V34:AD34)&lt;=796000,AD34*0.271,AD34*0.151)</f>
        <v>0</v>
      </c>
      <c r="AE35" s="183">
        <f>IF(SUM(R34:$S34,$V34:AE34)&lt;=796000,AE34*0.271,AE34*0.151)</f>
        <v>0</v>
      </c>
      <c r="AF35" s="183">
        <f>IF(SUM(S34:$S34,$V34:AF34)&lt;=796000,AF34*0.271,AF34*0.151)</f>
        <v>0</v>
      </c>
      <c r="AG35" s="183">
        <f>IF(SUM($V34:AG34)&lt;=796000,AG34*0.271,AG34*0.151)</f>
        <v>0</v>
      </c>
      <c r="AH35" s="184">
        <f t="shared" ref="AH35" si="116">SUM(V35:AG35)</f>
        <v>0</v>
      </c>
      <c r="AI35" s="139"/>
      <c r="AJ35" s="183">
        <f>IF(SUM(W34:$AG34,$AJ34:AJ34)&lt;=796000,AJ34*0.271,AJ34*0.151)</f>
        <v>0</v>
      </c>
      <c r="AK35" s="183">
        <f>IF(SUM(X34:$AG34,$AJ34:AK34)&lt;=796000,AK34*0.271,AK34*0.151)</f>
        <v>0</v>
      </c>
      <c r="AL35" s="183">
        <f>IF(SUM(Y34:$AG34,$AJ34:AL34)&lt;=796000,AL34*0.271,AL34*0.151)</f>
        <v>0</v>
      </c>
      <c r="AM35" s="183">
        <f>IF(SUM(Z34:$AG34,$AJ34:AM34)&lt;=796000,AM34*0.271,AM34*0.151)</f>
        <v>0</v>
      </c>
      <c r="AN35" s="183">
        <f>IF(SUM(AA34:$AG34,$AJ34:AN34)&lt;=796000,AN34*0.271,AN34*0.151)</f>
        <v>0</v>
      </c>
      <c r="AO35" s="183">
        <f>IF(SUM(AB34:$AG34,$AJ34:AO34)&lt;=796000,AO34*0.271,AO34*0.151)</f>
        <v>0</v>
      </c>
      <c r="AP35" s="183">
        <f>IF(SUM(AC34:$AG34,$AJ34:AP34)&lt;=796000,AP34*0.271,AP34*0.151)</f>
        <v>0</v>
      </c>
      <c r="AQ35" s="183">
        <f>IF(SUM(AD34:$AG34,$AJ34:AQ34)&lt;=796000,AQ34*0.271,AQ34*0.151)</f>
        <v>0</v>
      </c>
      <c r="AR35" s="183">
        <f>IF(SUM(AE34:$AG34,$AJ34:AR34)&lt;=796000,AR34*0.271,AR34*0.151)</f>
        <v>0</v>
      </c>
      <c r="AS35" s="183">
        <f>IF(SUM(AF34:$AG34,$AJ34:AS34)&lt;=796000,AS34*0.271,AS34*0.151)</f>
        <v>0</v>
      </c>
      <c r="AT35" s="183">
        <f>IF(SUM(AG34:$AG34,$AJ34:AT34)&lt;=796000,AT34*0.271,AT34*0.151)</f>
        <v>0</v>
      </c>
      <c r="AU35" s="183">
        <f>IF(SUM($AJ34:AU34)&lt;=796000,AU34*0.271,AU34*0.151)</f>
        <v>0</v>
      </c>
      <c r="AV35" s="184">
        <f t="shared" ref="AV35" si="117">SUM(AJ35:AU35)</f>
        <v>0</v>
      </c>
      <c r="AW35" s="139"/>
      <c r="AX35" s="183">
        <f>IF(SUM(AK34:$AU34,$AX34:AX34)&lt;=796000,AX34*0.271,AX34*0.151)</f>
        <v>0</v>
      </c>
      <c r="AY35" s="183">
        <f>IF(SUM(AL34:$AU34,$AX34:AY34)&lt;=796000,AY34*0.271,AY34*0.151)</f>
        <v>0</v>
      </c>
      <c r="AZ35" s="183">
        <f>IF(SUM(AM34:$AU34,$AX34:AZ34)&lt;=796000,AZ34*0.271,AZ34*0.151)</f>
        <v>0</v>
      </c>
      <c r="BA35" s="183">
        <f>IF(SUM(AN34:$AU34,$AX34:BA34)&lt;=796000,BA34*0.271,BA34*0.151)</f>
        <v>0</v>
      </c>
      <c r="BB35" s="183">
        <f>IF(SUM(AO34:$AU34,$AX34:BB34)&lt;=796000,BB34*0.271,BB34*0.151)</f>
        <v>0</v>
      </c>
      <c r="BC35" s="183">
        <f>IF(SUM(AP34:$AU34,$AX34:BC34)&lt;=796000,BC34*0.271,BC34*0.151)</f>
        <v>0</v>
      </c>
      <c r="BD35" s="183">
        <f>IF(SUM(AQ34:$AU34,$AX34:BD34)&lt;=796000,BD34*0.271,BD34*0.151)</f>
        <v>0</v>
      </c>
      <c r="BE35" s="183">
        <f>IF(SUM(AR34:$AU34,$AX34:BE34)&lt;=796000,BE34*0.271,BE34*0.151)</f>
        <v>0</v>
      </c>
      <c r="BF35" s="183">
        <f>IF(SUM(AS34:$AU34,$AX34:BF34)&lt;=796000,BF34*0.271,BF34*0.151)</f>
        <v>0</v>
      </c>
      <c r="BG35" s="183">
        <f>IF(SUM(AT34:$AU34,$AX34:BG34)&lt;=796000,BG34*0.271,BG34*0.151)</f>
        <v>0</v>
      </c>
      <c r="BH35" s="183">
        <f>IF(SUM(AU34:$AU34,$AX34:BH34)&lt;=796000,BH34*0.271,BH34*0.151)</f>
        <v>0</v>
      </c>
      <c r="BI35" s="183">
        <f>IF(SUM($AX34:BI34)&lt;=796000,BI34*0.271,BI34*0.151)</f>
        <v>0</v>
      </c>
      <c r="BJ35" s="184">
        <f t="shared" ref="BJ35" si="118">SUM(AX35:BI35)</f>
        <v>0</v>
      </c>
      <c r="BK35" s="139"/>
      <c r="BL35" s="183">
        <f>IF(SUM(AY34:$BI34,$BL34:BL34)&lt;=796000,BL34*0.271,BL34*0.151)</f>
        <v>0</v>
      </c>
      <c r="BM35" s="183">
        <f>IF(SUM(AZ34:$BI34,$BL34:BM34)&lt;=796000,BM34*0.271,BM34*0.151)</f>
        <v>0</v>
      </c>
      <c r="BN35" s="183">
        <f>IF(SUM(BA34:$BI34,$BL34:BN34)&lt;=796000,BN34*0.271,BN34*0.151)</f>
        <v>0</v>
      </c>
      <c r="BO35" s="183">
        <f>IF(SUM(BB34:$BI34,$BL34:BO34)&lt;=796000,BO34*0.271,BO34*0.151)</f>
        <v>0</v>
      </c>
      <c r="BP35" s="183">
        <f>IF(SUM(BC34:$BI34,$BL34:BP34)&lt;=796000,BP34*0.271,BP34*0.151)</f>
        <v>0</v>
      </c>
      <c r="BQ35" s="183">
        <f>IF(SUM(BD34:$BI34,$BL34:BQ34)&lt;=796000,BQ34*0.271,BQ34*0.151)</f>
        <v>0</v>
      </c>
      <c r="BR35" s="183">
        <f>IF(SUM(BE34:$BI34,$BL34:BR34)&lt;=796000,BR34*0.271,BR34*0.151)</f>
        <v>0</v>
      </c>
      <c r="BS35" s="183">
        <f>IF(SUM(BF34:$BI34,$BL34:BS34)&lt;=796000,BS34*0.271,BS34*0.151)</f>
        <v>0</v>
      </c>
      <c r="BT35" s="183">
        <f>IF(SUM(BG34:$BI34,$BL34:BT34)&lt;=796000,BT34*0.271,BT34*0.151)</f>
        <v>0</v>
      </c>
      <c r="BU35" s="183">
        <f>IF(SUM(BH34:$BI34,$BL34:BU34)&lt;=796000,BU34*0.271,BU34*0.151)</f>
        <v>0</v>
      </c>
      <c r="BV35" s="183">
        <f>IF(SUM(BI34:$BI34,$BL34:BV34)&lt;=796000,BV34*0.271,BV34*0.151)</f>
        <v>0</v>
      </c>
      <c r="BW35" s="183">
        <f>IF(SUM($BL34:BW34)&lt;=796000,BW34*0.271,BW34*0.151)</f>
        <v>0</v>
      </c>
      <c r="BX35" s="184">
        <f t="shared" ref="BX35" si="119">SUM(BL35:BW35)</f>
        <v>0</v>
      </c>
      <c r="BY35" s="188"/>
    </row>
    <row r="36" spans="1:77" ht="10.199999999999999" x14ac:dyDescent="0.2">
      <c r="A36" s="176">
        <v>1</v>
      </c>
      <c r="C36" s="193" t="str">
        <f>IF(C34="","",C34)</f>
        <v/>
      </c>
      <c r="D36" s="192"/>
      <c r="E36" s="194"/>
      <c r="F36" s="184">
        <f>E36-(T36+AH36+AV36+BJ36+BX36)</f>
        <v>0</v>
      </c>
      <c r="G36" s="139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84">
        <f>SUM(H36:S36)</f>
        <v>0</v>
      </c>
      <c r="U36" s="139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84">
        <f>SUM(V36:AG36)</f>
        <v>0</v>
      </c>
      <c r="AI36" s="139"/>
      <c r="AJ36" s="124"/>
      <c r="AK36" s="124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84">
        <f>SUM(AJ36:AU36)</f>
        <v>0</v>
      </c>
      <c r="AW36" s="139"/>
      <c r="AX36" s="124"/>
      <c r="AY36" s="124"/>
      <c r="AZ36" s="124"/>
      <c r="BA36" s="124"/>
      <c r="BB36" s="124"/>
      <c r="BC36" s="124"/>
      <c r="BD36" s="124"/>
      <c r="BE36" s="124"/>
      <c r="BF36" s="124"/>
      <c r="BG36" s="124"/>
      <c r="BH36" s="124"/>
      <c r="BI36" s="124"/>
      <c r="BJ36" s="184">
        <f>SUM(AX36:BI36)</f>
        <v>0</v>
      </c>
      <c r="BK36" s="139"/>
      <c r="BL36" s="124"/>
      <c r="BM36" s="124"/>
      <c r="BN36" s="124"/>
      <c r="BO36" s="124"/>
      <c r="BP36" s="124"/>
      <c r="BQ36" s="124"/>
      <c r="BR36" s="124"/>
      <c r="BS36" s="124"/>
      <c r="BT36" s="124"/>
      <c r="BU36" s="124"/>
      <c r="BV36" s="124"/>
      <c r="BW36" s="124"/>
      <c r="BX36" s="184">
        <f>SUM(BL36:BW36)</f>
        <v>0</v>
      </c>
      <c r="BY36" s="124"/>
    </row>
    <row r="37" spans="1:77" ht="10.199999999999999" x14ac:dyDescent="0.2">
      <c r="A37" s="176">
        <v>1</v>
      </c>
      <c r="C37" s="190" t="s">
        <v>408</v>
      </c>
      <c r="D37" s="183"/>
      <c r="E37" s="183">
        <f>T37+AH37+AV37+BJ37+BX37</f>
        <v>0</v>
      </c>
      <c r="F37" s="184"/>
      <c r="G37" s="139"/>
      <c r="H37" s="183">
        <f>IF(SUM($H36:H36)&lt;=796000,H36*0.271,H36*0.151)</f>
        <v>0</v>
      </c>
      <c r="I37" s="183">
        <f>IF(SUM($H36:I36)&lt;=796000,I36*0.271,I36*0.151)</f>
        <v>0</v>
      </c>
      <c r="J37" s="183">
        <f>IF(SUM($H36:J36)&lt;=796000,J36*0.271,J36*0.151)</f>
        <v>0</v>
      </c>
      <c r="K37" s="183">
        <f>IF(SUM($H36:K36)&lt;=796000,K36*0.271,K36*0.151)</f>
        <v>0</v>
      </c>
      <c r="L37" s="183">
        <f>IF(SUM($H36:L36)&lt;=796000,L36*0.271,L36*0.151)</f>
        <v>0</v>
      </c>
      <c r="M37" s="183">
        <f>IF(SUM($H36:M36)&lt;=796000,M36*0.271,M36*0.151)</f>
        <v>0</v>
      </c>
      <c r="N37" s="183">
        <f>IF(SUM($H36:N36)&lt;=796000,N36*0.271,N36*0.151)</f>
        <v>0</v>
      </c>
      <c r="O37" s="183">
        <f>IF(SUM($H36:O36)&lt;=796000,O36*0.271,O36*0.151)</f>
        <v>0</v>
      </c>
      <c r="P37" s="183">
        <f>IF(SUM($H36:P36)&lt;=796000,P36*0.271,P36*0.151)</f>
        <v>0</v>
      </c>
      <c r="Q37" s="183">
        <f>IF(SUM($H36:Q36)&lt;=796000,Q36*0.271,Q36*0.151)</f>
        <v>0</v>
      </c>
      <c r="R37" s="183">
        <f>IF(SUM($H36:R36)&lt;=796000,R36*0.271,R36*0.151)</f>
        <v>0</v>
      </c>
      <c r="S37" s="183">
        <f>IF(SUM($H36:S36)&lt;=796000,S36*0.271,S36*0.151)</f>
        <v>0</v>
      </c>
      <c r="T37" s="184">
        <f t="shared" ref="T37" si="120">SUM(H37:S37)</f>
        <v>0</v>
      </c>
      <c r="U37" s="139"/>
      <c r="V37" s="183">
        <f>IF(SUM(I36:$S36,$V36:V36)&lt;=796000,V36*0.271,V36*0.151)</f>
        <v>0</v>
      </c>
      <c r="W37" s="183">
        <f>IF(SUM(J36:$S36,$V36:W36)&lt;=796000,W36*0.271,W36*0.151)</f>
        <v>0</v>
      </c>
      <c r="X37" s="183">
        <f>IF(SUM(K36:$S36,$V36:X36)&lt;=796000,X36*0.271,X36*0.151)</f>
        <v>0</v>
      </c>
      <c r="Y37" s="183">
        <f>IF(SUM(L36:$S36,$V36:Y36)&lt;=796000,Y36*0.271,Y36*0.151)</f>
        <v>0</v>
      </c>
      <c r="Z37" s="183">
        <f>IF(SUM(M36:$S36,$V36:Z36)&lt;=796000,Z36*0.271,Z36*0.151)</f>
        <v>0</v>
      </c>
      <c r="AA37" s="183">
        <f>IF(SUM(N36:$S36,$V36:AA36)&lt;=796000,AA36*0.271,AA36*0.151)</f>
        <v>0</v>
      </c>
      <c r="AB37" s="183">
        <f>IF(SUM(O36:$S36,$V36:AB36)&lt;=796000,AB36*0.271,AB36*0.151)</f>
        <v>0</v>
      </c>
      <c r="AC37" s="183">
        <f>IF(SUM(P36:$S36,$V36:AC36)&lt;=796000,AC36*0.271,AC36*0.151)</f>
        <v>0</v>
      </c>
      <c r="AD37" s="183">
        <f>IF(SUM(Q36:$S36,$V36:AD36)&lt;=796000,AD36*0.271,AD36*0.151)</f>
        <v>0</v>
      </c>
      <c r="AE37" s="183">
        <f>IF(SUM(R36:$S36,$V36:AE36)&lt;=796000,AE36*0.271,AE36*0.151)</f>
        <v>0</v>
      </c>
      <c r="AF37" s="183">
        <f>IF(SUM(S36:$S36,$V36:AF36)&lt;=796000,AF36*0.271,AF36*0.151)</f>
        <v>0</v>
      </c>
      <c r="AG37" s="183">
        <f>IF(SUM($V36:AG36)&lt;=796000,AG36*0.271,AG36*0.151)</f>
        <v>0</v>
      </c>
      <c r="AH37" s="184">
        <f t="shared" ref="AH37" si="121">SUM(V37:AG37)</f>
        <v>0</v>
      </c>
      <c r="AI37" s="139"/>
      <c r="AJ37" s="183">
        <f>IF(SUM(W36:$AG36,$AJ36:AJ36)&lt;=796000,AJ36*0.271,AJ36*0.151)</f>
        <v>0</v>
      </c>
      <c r="AK37" s="183">
        <f>IF(SUM(X36:$AG36,$AJ36:AK36)&lt;=796000,AK36*0.271,AK36*0.151)</f>
        <v>0</v>
      </c>
      <c r="AL37" s="183">
        <f>IF(SUM(Y36:$AG36,$AJ36:AL36)&lt;=796000,AL36*0.271,AL36*0.151)</f>
        <v>0</v>
      </c>
      <c r="AM37" s="183">
        <f>IF(SUM(Z36:$AG36,$AJ36:AM36)&lt;=796000,AM36*0.271,AM36*0.151)</f>
        <v>0</v>
      </c>
      <c r="AN37" s="183">
        <f>IF(SUM(AA36:$AG36,$AJ36:AN36)&lt;=796000,AN36*0.271,AN36*0.151)</f>
        <v>0</v>
      </c>
      <c r="AO37" s="183">
        <f>IF(SUM(AB36:$AG36,$AJ36:AO36)&lt;=796000,AO36*0.271,AO36*0.151)</f>
        <v>0</v>
      </c>
      <c r="AP37" s="183">
        <f>IF(SUM(AC36:$AG36,$AJ36:AP36)&lt;=796000,AP36*0.271,AP36*0.151)</f>
        <v>0</v>
      </c>
      <c r="AQ37" s="183">
        <f>IF(SUM(AD36:$AG36,$AJ36:AQ36)&lt;=796000,AQ36*0.271,AQ36*0.151)</f>
        <v>0</v>
      </c>
      <c r="AR37" s="183">
        <f>IF(SUM(AE36:$AG36,$AJ36:AR36)&lt;=796000,AR36*0.271,AR36*0.151)</f>
        <v>0</v>
      </c>
      <c r="AS37" s="183">
        <f>IF(SUM(AF36:$AG36,$AJ36:AS36)&lt;=796000,AS36*0.271,AS36*0.151)</f>
        <v>0</v>
      </c>
      <c r="AT37" s="183">
        <f>IF(SUM(AG36:$AG36,$AJ36:AT36)&lt;=796000,AT36*0.271,AT36*0.151)</f>
        <v>0</v>
      </c>
      <c r="AU37" s="183">
        <f>IF(SUM($AJ36:AU36)&lt;=796000,AU36*0.271,AU36*0.151)</f>
        <v>0</v>
      </c>
      <c r="AV37" s="184">
        <f t="shared" ref="AV37" si="122">SUM(AJ37:AU37)</f>
        <v>0</v>
      </c>
      <c r="AW37" s="139"/>
      <c r="AX37" s="183">
        <f>IF(SUM(AK36:$AU36,$AX36:AX36)&lt;=796000,AX36*0.271,AX36*0.151)</f>
        <v>0</v>
      </c>
      <c r="AY37" s="183">
        <f>IF(SUM(AL36:$AU36,$AX36:AY36)&lt;=796000,AY36*0.271,AY36*0.151)</f>
        <v>0</v>
      </c>
      <c r="AZ37" s="183">
        <f>IF(SUM(AM36:$AU36,$AX36:AZ36)&lt;=796000,AZ36*0.271,AZ36*0.151)</f>
        <v>0</v>
      </c>
      <c r="BA37" s="183">
        <f>IF(SUM(AN36:$AU36,$AX36:BA36)&lt;=796000,BA36*0.271,BA36*0.151)</f>
        <v>0</v>
      </c>
      <c r="BB37" s="183">
        <f>IF(SUM(AO36:$AU36,$AX36:BB36)&lt;=796000,BB36*0.271,BB36*0.151)</f>
        <v>0</v>
      </c>
      <c r="BC37" s="183">
        <f>IF(SUM(AP36:$AU36,$AX36:BC36)&lt;=796000,BC36*0.271,BC36*0.151)</f>
        <v>0</v>
      </c>
      <c r="BD37" s="183">
        <f>IF(SUM(AQ36:$AU36,$AX36:BD36)&lt;=796000,BD36*0.271,BD36*0.151)</f>
        <v>0</v>
      </c>
      <c r="BE37" s="183">
        <f>IF(SUM(AR36:$AU36,$AX36:BE36)&lt;=796000,BE36*0.271,BE36*0.151)</f>
        <v>0</v>
      </c>
      <c r="BF37" s="183">
        <f>IF(SUM(AS36:$AU36,$AX36:BF36)&lt;=796000,BF36*0.271,BF36*0.151)</f>
        <v>0</v>
      </c>
      <c r="BG37" s="183">
        <f>IF(SUM(AT36:$AU36,$AX36:BG36)&lt;=796000,BG36*0.271,BG36*0.151)</f>
        <v>0</v>
      </c>
      <c r="BH37" s="183">
        <f>IF(SUM(AU36:$AU36,$AX36:BH36)&lt;=796000,BH36*0.271,BH36*0.151)</f>
        <v>0</v>
      </c>
      <c r="BI37" s="183">
        <f>IF(SUM($AX36:BI36)&lt;=796000,BI36*0.271,BI36*0.151)</f>
        <v>0</v>
      </c>
      <c r="BJ37" s="184">
        <f t="shared" ref="BJ37" si="123">SUM(AX37:BI37)</f>
        <v>0</v>
      </c>
      <c r="BK37" s="139"/>
      <c r="BL37" s="183">
        <f>IF(SUM(AY36:$BI36,$BL36:BL36)&lt;=796000,BL36*0.271,BL36*0.151)</f>
        <v>0</v>
      </c>
      <c r="BM37" s="183">
        <f>IF(SUM(AZ36:$BI36,$BL36:BM36)&lt;=796000,BM36*0.271,BM36*0.151)</f>
        <v>0</v>
      </c>
      <c r="BN37" s="183">
        <f>IF(SUM(BA36:$BI36,$BL36:BN36)&lt;=796000,BN36*0.271,BN36*0.151)</f>
        <v>0</v>
      </c>
      <c r="BO37" s="183">
        <f>IF(SUM(BB36:$BI36,$BL36:BO36)&lt;=796000,BO36*0.271,BO36*0.151)</f>
        <v>0</v>
      </c>
      <c r="BP37" s="183">
        <f>IF(SUM(BC36:$BI36,$BL36:BP36)&lt;=796000,BP36*0.271,BP36*0.151)</f>
        <v>0</v>
      </c>
      <c r="BQ37" s="183">
        <f>IF(SUM(BD36:$BI36,$BL36:BQ36)&lt;=796000,BQ36*0.271,BQ36*0.151)</f>
        <v>0</v>
      </c>
      <c r="BR37" s="183">
        <f>IF(SUM(BE36:$BI36,$BL36:BR36)&lt;=796000,BR36*0.271,BR36*0.151)</f>
        <v>0</v>
      </c>
      <c r="BS37" s="183">
        <f>IF(SUM(BF36:$BI36,$BL36:BS36)&lt;=796000,BS36*0.271,BS36*0.151)</f>
        <v>0</v>
      </c>
      <c r="BT37" s="183">
        <f>IF(SUM(BG36:$BI36,$BL36:BT36)&lt;=796000,BT36*0.271,BT36*0.151)</f>
        <v>0</v>
      </c>
      <c r="BU37" s="183">
        <f>IF(SUM(BH36:$BI36,$BL36:BU36)&lt;=796000,BU36*0.271,BU36*0.151)</f>
        <v>0</v>
      </c>
      <c r="BV37" s="183">
        <f>IF(SUM(BI36:$BI36,$BL36:BV36)&lt;=796000,BV36*0.271,BV36*0.151)</f>
        <v>0</v>
      </c>
      <c r="BW37" s="183">
        <f>IF(SUM($BL36:BW36)&lt;=796000,BW36*0.271,BW36*0.151)</f>
        <v>0</v>
      </c>
      <c r="BX37" s="184">
        <f t="shared" ref="BX37" si="124">SUM(BL37:BW37)</f>
        <v>0</v>
      </c>
      <c r="BY37" s="188"/>
    </row>
    <row r="38" spans="1:77" ht="10.199999999999999" x14ac:dyDescent="0.2">
      <c r="A38" s="176">
        <v>1</v>
      </c>
      <c r="C38" s="193" t="str">
        <f>IF(C36="","",C36)</f>
        <v/>
      </c>
      <c r="D38" s="192"/>
      <c r="E38" s="194"/>
      <c r="F38" s="184">
        <f>E38-(T38+AH38+AV38+BJ38+BX38)</f>
        <v>0</v>
      </c>
      <c r="G38" s="139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84">
        <f>SUM(H38:S38)</f>
        <v>0</v>
      </c>
      <c r="U38" s="139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84">
        <f>SUM(V38:AG38)</f>
        <v>0</v>
      </c>
      <c r="AI38" s="139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84">
        <f>SUM(AJ38:AU38)</f>
        <v>0</v>
      </c>
      <c r="AW38" s="139"/>
      <c r="AX38" s="124"/>
      <c r="AY38" s="124"/>
      <c r="AZ38" s="124"/>
      <c r="BA38" s="124"/>
      <c r="BB38" s="124"/>
      <c r="BC38" s="124"/>
      <c r="BD38" s="124"/>
      <c r="BE38" s="124"/>
      <c r="BF38" s="124"/>
      <c r="BG38" s="124"/>
      <c r="BH38" s="124"/>
      <c r="BI38" s="124"/>
      <c r="BJ38" s="184">
        <f>SUM(AX38:BI38)</f>
        <v>0</v>
      </c>
      <c r="BK38" s="139"/>
      <c r="BL38" s="124"/>
      <c r="BM38" s="124"/>
      <c r="BN38" s="124"/>
      <c r="BO38" s="124"/>
      <c r="BP38" s="124"/>
      <c r="BQ38" s="124"/>
      <c r="BR38" s="124"/>
      <c r="BS38" s="124"/>
      <c r="BT38" s="124"/>
      <c r="BU38" s="124"/>
      <c r="BV38" s="124"/>
      <c r="BW38" s="124"/>
      <c r="BX38" s="184">
        <f>SUM(BL38:BW38)</f>
        <v>0</v>
      </c>
      <c r="BY38" s="124"/>
    </row>
    <row r="39" spans="1:77" ht="10.199999999999999" x14ac:dyDescent="0.2">
      <c r="A39" s="176">
        <v>1</v>
      </c>
      <c r="C39" s="190" t="s">
        <v>408</v>
      </c>
      <c r="D39" s="183"/>
      <c r="E39" s="183">
        <f>T39+AH39+AV39+BJ39+BX39</f>
        <v>0</v>
      </c>
      <c r="F39" s="184"/>
      <c r="G39" s="139"/>
      <c r="H39" s="183">
        <f>IF(SUM($H38:H38)&lt;=796000,H38*0.271,H38*0.151)</f>
        <v>0</v>
      </c>
      <c r="I39" s="183">
        <f>IF(SUM($H38:I38)&lt;=796000,I38*0.271,I38*0.151)</f>
        <v>0</v>
      </c>
      <c r="J39" s="183">
        <f>IF(SUM($H38:J38)&lt;=796000,J38*0.271,J38*0.151)</f>
        <v>0</v>
      </c>
      <c r="K39" s="183">
        <f>IF(SUM($H38:K38)&lt;=796000,K38*0.271,K38*0.151)</f>
        <v>0</v>
      </c>
      <c r="L39" s="183">
        <f>IF(SUM($H38:L38)&lt;=796000,L38*0.271,L38*0.151)</f>
        <v>0</v>
      </c>
      <c r="M39" s="183">
        <f>IF(SUM($H38:M38)&lt;=796000,M38*0.271,M38*0.151)</f>
        <v>0</v>
      </c>
      <c r="N39" s="183">
        <f>IF(SUM($H38:N38)&lt;=796000,N38*0.271,N38*0.151)</f>
        <v>0</v>
      </c>
      <c r="O39" s="183">
        <f>IF(SUM($H38:O38)&lt;=796000,O38*0.271,O38*0.151)</f>
        <v>0</v>
      </c>
      <c r="P39" s="183">
        <f>IF(SUM($H38:P38)&lt;=796000,P38*0.271,P38*0.151)</f>
        <v>0</v>
      </c>
      <c r="Q39" s="183">
        <f>IF(SUM($H38:Q38)&lt;=796000,Q38*0.271,Q38*0.151)</f>
        <v>0</v>
      </c>
      <c r="R39" s="183">
        <f>IF(SUM($H38:R38)&lt;=796000,R38*0.271,R38*0.151)</f>
        <v>0</v>
      </c>
      <c r="S39" s="183">
        <f>IF(SUM($H38:S38)&lt;=796000,S38*0.271,S38*0.151)</f>
        <v>0</v>
      </c>
      <c r="T39" s="184">
        <f t="shared" ref="T39" si="125">SUM(H39:S39)</f>
        <v>0</v>
      </c>
      <c r="U39" s="139"/>
      <c r="V39" s="183">
        <f>IF(SUM(I38:$S38,$V38:V38)&lt;=796000,V38*0.271,V38*0.151)</f>
        <v>0</v>
      </c>
      <c r="W39" s="183">
        <f>IF(SUM(J38:$S38,$V38:W38)&lt;=796000,W38*0.271,W38*0.151)</f>
        <v>0</v>
      </c>
      <c r="X39" s="183">
        <f>IF(SUM(K38:$S38,$V38:X38)&lt;=796000,X38*0.271,X38*0.151)</f>
        <v>0</v>
      </c>
      <c r="Y39" s="183">
        <f>IF(SUM(L38:$S38,$V38:Y38)&lt;=796000,Y38*0.271,Y38*0.151)</f>
        <v>0</v>
      </c>
      <c r="Z39" s="183">
        <f>IF(SUM(M38:$S38,$V38:Z38)&lt;=796000,Z38*0.271,Z38*0.151)</f>
        <v>0</v>
      </c>
      <c r="AA39" s="183">
        <f>IF(SUM(N38:$S38,$V38:AA38)&lt;=796000,AA38*0.271,AA38*0.151)</f>
        <v>0</v>
      </c>
      <c r="AB39" s="183">
        <f>IF(SUM(O38:$S38,$V38:AB38)&lt;=796000,AB38*0.271,AB38*0.151)</f>
        <v>0</v>
      </c>
      <c r="AC39" s="183">
        <f>IF(SUM(P38:$S38,$V38:AC38)&lt;=796000,AC38*0.271,AC38*0.151)</f>
        <v>0</v>
      </c>
      <c r="AD39" s="183">
        <f>IF(SUM(Q38:$S38,$V38:AD38)&lt;=796000,AD38*0.271,AD38*0.151)</f>
        <v>0</v>
      </c>
      <c r="AE39" s="183">
        <f>IF(SUM(R38:$S38,$V38:AE38)&lt;=796000,AE38*0.271,AE38*0.151)</f>
        <v>0</v>
      </c>
      <c r="AF39" s="183">
        <f>IF(SUM(S38:$S38,$V38:AF38)&lt;=796000,AF38*0.271,AF38*0.151)</f>
        <v>0</v>
      </c>
      <c r="AG39" s="183">
        <f>IF(SUM($V38:AG38)&lt;=796000,AG38*0.271,AG38*0.151)</f>
        <v>0</v>
      </c>
      <c r="AH39" s="184">
        <f t="shared" ref="AH39" si="126">SUM(V39:AG39)</f>
        <v>0</v>
      </c>
      <c r="AI39" s="139"/>
      <c r="AJ39" s="183">
        <f>IF(SUM(W38:$AG38,$AJ38:AJ38)&lt;=796000,AJ38*0.271,AJ38*0.151)</f>
        <v>0</v>
      </c>
      <c r="AK39" s="183">
        <f>IF(SUM(X38:$AG38,$AJ38:AK38)&lt;=796000,AK38*0.271,AK38*0.151)</f>
        <v>0</v>
      </c>
      <c r="AL39" s="183">
        <f>IF(SUM(Y38:$AG38,$AJ38:AL38)&lt;=796000,AL38*0.271,AL38*0.151)</f>
        <v>0</v>
      </c>
      <c r="AM39" s="183">
        <f>IF(SUM(Z38:$AG38,$AJ38:AM38)&lt;=796000,AM38*0.271,AM38*0.151)</f>
        <v>0</v>
      </c>
      <c r="AN39" s="183">
        <f>IF(SUM(AA38:$AG38,$AJ38:AN38)&lt;=796000,AN38*0.271,AN38*0.151)</f>
        <v>0</v>
      </c>
      <c r="AO39" s="183">
        <f>IF(SUM(AB38:$AG38,$AJ38:AO38)&lt;=796000,AO38*0.271,AO38*0.151)</f>
        <v>0</v>
      </c>
      <c r="AP39" s="183">
        <f>IF(SUM(AC38:$AG38,$AJ38:AP38)&lt;=796000,AP38*0.271,AP38*0.151)</f>
        <v>0</v>
      </c>
      <c r="AQ39" s="183">
        <f>IF(SUM(AD38:$AG38,$AJ38:AQ38)&lt;=796000,AQ38*0.271,AQ38*0.151)</f>
        <v>0</v>
      </c>
      <c r="AR39" s="183">
        <f>IF(SUM(AE38:$AG38,$AJ38:AR38)&lt;=796000,AR38*0.271,AR38*0.151)</f>
        <v>0</v>
      </c>
      <c r="AS39" s="183">
        <f>IF(SUM(AF38:$AG38,$AJ38:AS38)&lt;=796000,AS38*0.271,AS38*0.151)</f>
        <v>0</v>
      </c>
      <c r="AT39" s="183">
        <f>IF(SUM(AG38:$AG38,$AJ38:AT38)&lt;=796000,AT38*0.271,AT38*0.151)</f>
        <v>0</v>
      </c>
      <c r="AU39" s="183">
        <f>IF(SUM($AJ38:AU38)&lt;=796000,AU38*0.271,AU38*0.151)</f>
        <v>0</v>
      </c>
      <c r="AV39" s="184">
        <f t="shared" ref="AV39" si="127">SUM(AJ39:AU39)</f>
        <v>0</v>
      </c>
      <c r="AW39" s="139"/>
      <c r="AX39" s="183">
        <f>IF(SUM(AK38:$AU38,$AX38:AX38)&lt;=796000,AX38*0.271,AX38*0.151)</f>
        <v>0</v>
      </c>
      <c r="AY39" s="183">
        <f>IF(SUM(AL38:$AU38,$AX38:AY38)&lt;=796000,AY38*0.271,AY38*0.151)</f>
        <v>0</v>
      </c>
      <c r="AZ39" s="183">
        <f>IF(SUM(AM38:$AU38,$AX38:AZ38)&lt;=796000,AZ38*0.271,AZ38*0.151)</f>
        <v>0</v>
      </c>
      <c r="BA39" s="183">
        <f>IF(SUM(AN38:$AU38,$AX38:BA38)&lt;=796000,BA38*0.271,BA38*0.151)</f>
        <v>0</v>
      </c>
      <c r="BB39" s="183">
        <f>IF(SUM(AO38:$AU38,$AX38:BB38)&lt;=796000,BB38*0.271,BB38*0.151)</f>
        <v>0</v>
      </c>
      <c r="BC39" s="183">
        <f>IF(SUM(AP38:$AU38,$AX38:BC38)&lt;=796000,BC38*0.271,BC38*0.151)</f>
        <v>0</v>
      </c>
      <c r="BD39" s="183">
        <f>IF(SUM(AQ38:$AU38,$AX38:BD38)&lt;=796000,BD38*0.271,BD38*0.151)</f>
        <v>0</v>
      </c>
      <c r="BE39" s="183">
        <f>IF(SUM(AR38:$AU38,$AX38:BE38)&lt;=796000,BE38*0.271,BE38*0.151)</f>
        <v>0</v>
      </c>
      <c r="BF39" s="183">
        <f>IF(SUM(AS38:$AU38,$AX38:BF38)&lt;=796000,BF38*0.271,BF38*0.151)</f>
        <v>0</v>
      </c>
      <c r="BG39" s="183">
        <f>IF(SUM(AT38:$AU38,$AX38:BG38)&lt;=796000,BG38*0.271,BG38*0.151)</f>
        <v>0</v>
      </c>
      <c r="BH39" s="183">
        <f>IF(SUM(AU38:$AU38,$AX38:BH38)&lt;=796000,BH38*0.271,BH38*0.151)</f>
        <v>0</v>
      </c>
      <c r="BI39" s="183">
        <f>IF(SUM($AX38:BI38)&lt;=796000,BI38*0.271,BI38*0.151)</f>
        <v>0</v>
      </c>
      <c r="BJ39" s="184">
        <f t="shared" ref="BJ39" si="128">SUM(AX39:BI39)</f>
        <v>0</v>
      </c>
      <c r="BK39" s="139"/>
      <c r="BL39" s="183">
        <f>IF(SUM(AY38:$BI38,$BL38:BL38)&lt;=796000,BL38*0.271,BL38*0.151)</f>
        <v>0</v>
      </c>
      <c r="BM39" s="183">
        <f>IF(SUM(AZ38:$BI38,$BL38:BM38)&lt;=796000,BM38*0.271,BM38*0.151)</f>
        <v>0</v>
      </c>
      <c r="BN39" s="183">
        <f>IF(SUM(BA38:$BI38,$BL38:BN38)&lt;=796000,BN38*0.271,BN38*0.151)</f>
        <v>0</v>
      </c>
      <c r="BO39" s="183">
        <f>IF(SUM(BB38:$BI38,$BL38:BO38)&lt;=796000,BO38*0.271,BO38*0.151)</f>
        <v>0</v>
      </c>
      <c r="BP39" s="183">
        <f>IF(SUM(BC38:$BI38,$BL38:BP38)&lt;=796000,BP38*0.271,BP38*0.151)</f>
        <v>0</v>
      </c>
      <c r="BQ39" s="183">
        <f>IF(SUM(BD38:$BI38,$BL38:BQ38)&lt;=796000,BQ38*0.271,BQ38*0.151)</f>
        <v>0</v>
      </c>
      <c r="BR39" s="183">
        <f>IF(SUM(BE38:$BI38,$BL38:BR38)&lt;=796000,BR38*0.271,BR38*0.151)</f>
        <v>0</v>
      </c>
      <c r="BS39" s="183">
        <f>IF(SUM(BF38:$BI38,$BL38:BS38)&lt;=796000,BS38*0.271,BS38*0.151)</f>
        <v>0</v>
      </c>
      <c r="BT39" s="183">
        <f>IF(SUM(BG38:$BI38,$BL38:BT38)&lt;=796000,BT38*0.271,BT38*0.151)</f>
        <v>0</v>
      </c>
      <c r="BU39" s="183">
        <f>IF(SUM(BH38:$BI38,$BL38:BU38)&lt;=796000,BU38*0.271,BU38*0.151)</f>
        <v>0</v>
      </c>
      <c r="BV39" s="183">
        <f>IF(SUM(BI38:$BI38,$BL38:BV38)&lt;=796000,BV38*0.271,BV38*0.151)</f>
        <v>0</v>
      </c>
      <c r="BW39" s="183">
        <f>IF(SUM($BL38:BW38)&lt;=796000,BW38*0.271,BW38*0.151)</f>
        <v>0</v>
      </c>
      <c r="BX39" s="184">
        <f t="shared" ref="BX39" si="129">SUM(BL39:BW39)</f>
        <v>0</v>
      </c>
      <c r="BY39" s="188"/>
    </row>
    <row r="40" spans="1:77" ht="10.199999999999999" x14ac:dyDescent="0.2">
      <c r="A40" s="176">
        <v>1</v>
      </c>
      <c r="C40" s="193" t="str">
        <f>IF(C38="","",C38)</f>
        <v/>
      </c>
      <c r="D40" s="192"/>
      <c r="E40" s="194"/>
      <c r="F40" s="184">
        <f>E40-(T40+AH40+AV40+BJ40+BX40)</f>
        <v>0</v>
      </c>
      <c r="G40" s="139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84">
        <f>SUM(H40:S40)</f>
        <v>0</v>
      </c>
      <c r="U40" s="139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84">
        <f>SUM(V40:AG40)</f>
        <v>0</v>
      </c>
      <c r="AI40" s="139"/>
      <c r="AJ40" s="124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84">
        <f>SUM(AJ40:AU40)</f>
        <v>0</v>
      </c>
      <c r="AW40" s="139"/>
      <c r="AX40" s="124"/>
      <c r="AY40" s="124"/>
      <c r="AZ40" s="124"/>
      <c r="BA40" s="124"/>
      <c r="BB40" s="124"/>
      <c r="BC40" s="124"/>
      <c r="BD40" s="124"/>
      <c r="BE40" s="124"/>
      <c r="BF40" s="124"/>
      <c r="BG40" s="124"/>
      <c r="BH40" s="124"/>
      <c r="BI40" s="124"/>
      <c r="BJ40" s="184">
        <f>SUM(AX40:BI40)</f>
        <v>0</v>
      </c>
      <c r="BK40" s="139"/>
      <c r="BL40" s="124"/>
      <c r="BM40" s="124"/>
      <c r="BN40" s="124"/>
      <c r="BO40" s="124"/>
      <c r="BP40" s="124"/>
      <c r="BQ40" s="124"/>
      <c r="BR40" s="124"/>
      <c r="BS40" s="124"/>
      <c r="BT40" s="124"/>
      <c r="BU40" s="124"/>
      <c r="BV40" s="124"/>
      <c r="BW40" s="124"/>
      <c r="BX40" s="184">
        <f>SUM(BL40:BW40)</f>
        <v>0</v>
      </c>
      <c r="BY40" s="124"/>
    </row>
    <row r="41" spans="1:77" ht="10.199999999999999" x14ac:dyDescent="0.2">
      <c r="A41" s="176">
        <v>1</v>
      </c>
      <c r="C41" s="190" t="s">
        <v>408</v>
      </c>
      <c r="D41" s="183"/>
      <c r="E41" s="183">
        <f>T41+AH41+AV41+BJ41+BX41</f>
        <v>0</v>
      </c>
      <c r="F41" s="184"/>
      <c r="G41" s="139"/>
      <c r="H41" s="183">
        <f>IF(SUM($H40:H40)&lt;=796000,H40*0.271,H40*0.151)</f>
        <v>0</v>
      </c>
      <c r="I41" s="183">
        <f>IF(SUM($H40:I40)&lt;=796000,I40*0.271,I40*0.151)</f>
        <v>0</v>
      </c>
      <c r="J41" s="183">
        <f>IF(SUM($H40:J40)&lt;=796000,J40*0.271,J40*0.151)</f>
        <v>0</v>
      </c>
      <c r="K41" s="183">
        <f>IF(SUM($H40:K40)&lt;=796000,K40*0.271,K40*0.151)</f>
        <v>0</v>
      </c>
      <c r="L41" s="183">
        <f>IF(SUM($H40:L40)&lt;=796000,L40*0.271,L40*0.151)</f>
        <v>0</v>
      </c>
      <c r="M41" s="183">
        <f>IF(SUM($H40:M40)&lt;=796000,M40*0.271,M40*0.151)</f>
        <v>0</v>
      </c>
      <c r="N41" s="183">
        <f>IF(SUM($H40:N40)&lt;=796000,N40*0.271,N40*0.151)</f>
        <v>0</v>
      </c>
      <c r="O41" s="183">
        <f>IF(SUM($H40:O40)&lt;=796000,O40*0.271,O40*0.151)</f>
        <v>0</v>
      </c>
      <c r="P41" s="183">
        <f>IF(SUM($H40:P40)&lt;=796000,P40*0.271,P40*0.151)</f>
        <v>0</v>
      </c>
      <c r="Q41" s="183">
        <f>IF(SUM($H40:Q40)&lt;=796000,Q40*0.271,Q40*0.151)</f>
        <v>0</v>
      </c>
      <c r="R41" s="183">
        <f>IF(SUM($H40:R40)&lt;=796000,R40*0.271,R40*0.151)</f>
        <v>0</v>
      </c>
      <c r="S41" s="183">
        <f>IF(SUM($H40:S40)&lt;=796000,S40*0.271,S40*0.151)</f>
        <v>0</v>
      </c>
      <c r="T41" s="184">
        <f t="shared" ref="T41" si="130">SUM(H41:S41)</f>
        <v>0</v>
      </c>
      <c r="U41" s="139"/>
      <c r="V41" s="183">
        <f>IF(SUM(I40:$S40,$V40:V40)&lt;=796000,V40*0.271,V40*0.151)</f>
        <v>0</v>
      </c>
      <c r="W41" s="183">
        <f>IF(SUM(J40:$S40,$V40:W40)&lt;=796000,W40*0.271,W40*0.151)</f>
        <v>0</v>
      </c>
      <c r="X41" s="183">
        <f>IF(SUM(K40:$S40,$V40:X40)&lt;=796000,X40*0.271,X40*0.151)</f>
        <v>0</v>
      </c>
      <c r="Y41" s="183">
        <f>IF(SUM(L40:$S40,$V40:Y40)&lt;=796000,Y40*0.271,Y40*0.151)</f>
        <v>0</v>
      </c>
      <c r="Z41" s="183">
        <f>IF(SUM(M40:$S40,$V40:Z40)&lt;=796000,Z40*0.271,Z40*0.151)</f>
        <v>0</v>
      </c>
      <c r="AA41" s="183">
        <f>IF(SUM(N40:$S40,$V40:AA40)&lt;=796000,AA40*0.271,AA40*0.151)</f>
        <v>0</v>
      </c>
      <c r="AB41" s="183">
        <f>IF(SUM(O40:$S40,$V40:AB40)&lt;=796000,AB40*0.271,AB40*0.151)</f>
        <v>0</v>
      </c>
      <c r="AC41" s="183">
        <f>IF(SUM(P40:$S40,$V40:AC40)&lt;=796000,AC40*0.271,AC40*0.151)</f>
        <v>0</v>
      </c>
      <c r="AD41" s="183">
        <f>IF(SUM(Q40:$S40,$V40:AD40)&lt;=796000,AD40*0.271,AD40*0.151)</f>
        <v>0</v>
      </c>
      <c r="AE41" s="183">
        <f>IF(SUM(R40:$S40,$V40:AE40)&lt;=796000,AE40*0.271,AE40*0.151)</f>
        <v>0</v>
      </c>
      <c r="AF41" s="183">
        <f>IF(SUM(S40:$S40,$V40:AF40)&lt;=796000,AF40*0.271,AF40*0.151)</f>
        <v>0</v>
      </c>
      <c r="AG41" s="183">
        <f>IF(SUM($V40:AG40)&lt;=796000,AG40*0.271,AG40*0.151)</f>
        <v>0</v>
      </c>
      <c r="AH41" s="184">
        <f t="shared" ref="AH41" si="131">SUM(V41:AG41)</f>
        <v>0</v>
      </c>
      <c r="AI41" s="139"/>
      <c r="AJ41" s="183">
        <f>IF(SUM(W40:$AG40,$AJ40:AJ40)&lt;=796000,AJ40*0.271,AJ40*0.151)</f>
        <v>0</v>
      </c>
      <c r="AK41" s="183">
        <f>IF(SUM(X40:$AG40,$AJ40:AK40)&lt;=796000,AK40*0.271,AK40*0.151)</f>
        <v>0</v>
      </c>
      <c r="AL41" s="183">
        <f>IF(SUM(Y40:$AG40,$AJ40:AL40)&lt;=796000,AL40*0.271,AL40*0.151)</f>
        <v>0</v>
      </c>
      <c r="AM41" s="183">
        <f>IF(SUM(Z40:$AG40,$AJ40:AM40)&lt;=796000,AM40*0.271,AM40*0.151)</f>
        <v>0</v>
      </c>
      <c r="AN41" s="183">
        <f>IF(SUM(AA40:$AG40,$AJ40:AN40)&lt;=796000,AN40*0.271,AN40*0.151)</f>
        <v>0</v>
      </c>
      <c r="AO41" s="183">
        <f>IF(SUM(AB40:$AG40,$AJ40:AO40)&lt;=796000,AO40*0.271,AO40*0.151)</f>
        <v>0</v>
      </c>
      <c r="AP41" s="183">
        <f>IF(SUM(AC40:$AG40,$AJ40:AP40)&lt;=796000,AP40*0.271,AP40*0.151)</f>
        <v>0</v>
      </c>
      <c r="AQ41" s="183">
        <f>IF(SUM(AD40:$AG40,$AJ40:AQ40)&lt;=796000,AQ40*0.271,AQ40*0.151)</f>
        <v>0</v>
      </c>
      <c r="AR41" s="183">
        <f>IF(SUM(AE40:$AG40,$AJ40:AR40)&lt;=796000,AR40*0.271,AR40*0.151)</f>
        <v>0</v>
      </c>
      <c r="AS41" s="183">
        <f>IF(SUM(AF40:$AG40,$AJ40:AS40)&lt;=796000,AS40*0.271,AS40*0.151)</f>
        <v>0</v>
      </c>
      <c r="AT41" s="183">
        <f>IF(SUM(AG40:$AG40,$AJ40:AT40)&lt;=796000,AT40*0.271,AT40*0.151)</f>
        <v>0</v>
      </c>
      <c r="AU41" s="183">
        <f>IF(SUM($AJ40:AU40)&lt;=796000,AU40*0.271,AU40*0.151)</f>
        <v>0</v>
      </c>
      <c r="AV41" s="184">
        <f t="shared" ref="AV41" si="132">SUM(AJ41:AU41)</f>
        <v>0</v>
      </c>
      <c r="AW41" s="139"/>
      <c r="AX41" s="183">
        <f>IF(SUM(AK40:$AU40,$AX40:AX40)&lt;=796000,AX40*0.271,AX40*0.151)</f>
        <v>0</v>
      </c>
      <c r="AY41" s="183">
        <f>IF(SUM(AL40:$AU40,$AX40:AY40)&lt;=796000,AY40*0.271,AY40*0.151)</f>
        <v>0</v>
      </c>
      <c r="AZ41" s="183">
        <f>IF(SUM(AM40:$AU40,$AX40:AZ40)&lt;=796000,AZ40*0.271,AZ40*0.151)</f>
        <v>0</v>
      </c>
      <c r="BA41" s="183">
        <f>IF(SUM(AN40:$AU40,$AX40:BA40)&lt;=796000,BA40*0.271,BA40*0.151)</f>
        <v>0</v>
      </c>
      <c r="BB41" s="183">
        <f>IF(SUM(AO40:$AU40,$AX40:BB40)&lt;=796000,BB40*0.271,BB40*0.151)</f>
        <v>0</v>
      </c>
      <c r="BC41" s="183">
        <f>IF(SUM(AP40:$AU40,$AX40:BC40)&lt;=796000,BC40*0.271,BC40*0.151)</f>
        <v>0</v>
      </c>
      <c r="BD41" s="183">
        <f>IF(SUM(AQ40:$AU40,$AX40:BD40)&lt;=796000,BD40*0.271,BD40*0.151)</f>
        <v>0</v>
      </c>
      <c r="BE41" s="183">
        <f>IF(SUM(AR40:$AU40,$AX40:BE40)&lt;=796000,BE40*0.271,BE40*0.151)</f>
        <v>0</v>
      </c>
      <c r="BF41" s="183">
        <f>IF(SUM(AS40:$AU40,$AX40:BF40)&lt;=796000,BF40*0.271,BF40*0.151)</f>
        <v>0</v>
      </c>
      <c r="BG41" s="183">
        <f>IF(SUM(AT40:$AU40,$AX40:BG40)&lt;=796000,BG40*0.271,BG40*0.151)</f>
        <v>0</v>
      </c>
      <c r="BH41" s="183">
        <f>IF(SUM(AU40:$AU40,$AX40:BH40)&lt;=796000,BH40*0.271,BH40*0.151)</f>
        <v>0</v>
      </c>
      <c r="BI41" s="183">
        <f>IF(SUM($AX40:BI40)&lt;=796000,BI40*0.271,BI40*0.151)</f>
        <v>0</v>
      </c>
      <c r="BJ41" s="184">
        <f t="shared" ref="BJ41" si="133">SUM(AX41:BI41)</f>
        <v>0</v>
      </c>
      <c r="BK41" s="139"/>
      <c r="BL41" s="183">
        <f>IF(SUM(AY40:$BI40,$BL40:BL40)&lt;=796000,BL40*0.271,BL40*0.151)</f>
        <v>0</v>
      </c>
      <c r="BM41" s="183">
        <f>IF(SUM(AZ40:$BI40,$BL40:BM40)&lt;=796000,BM40*0.271,BM40*0.151)</f>
        <v>0</v>
      </c>
      <c r="BN41" s="183">
        <f>IF(SUM(BA40:$BI40,$BL40:BN40)&lt;=796000,BN40*0.271,BN40*0.151)</f>
        <v>0</v>
      </c>
      <c r="BO41" s="183">
        <f>IF(SUM(BB40:$BI40,$BL40:BO40)&lt;=796000,BO40*0.271,BO40*0.151)</f>
        <v>0</v>
      </c>
      <c r="BP41" s="183">
        <f>IF(SUM(BC40:$BI40,$BL40:BP40)&lt;=796000,BP40*0.271,BP40*0.151)</f>
        <v>0</v>
      </c>
      <c r="BQ41" s="183">
        <f>IF(SUM(BD40:$BI40,$BL40:BQ40)&lt;=796000,BQ40*0.271,BQ40*0.151)</f>
        <v>0</v>
      </c>
      <c r="BR41" s="183">
        <f>IF(SUM(BE40:$BI40,$BL40:BR40)&lt;=796000,BR40*0.271,BR40*0.151)</f>
        <v>0</v>
      </c>
      <c r="BS41" s="183">
        <f>IF(SUM(BF40:$BI40,$BL40:BS40)&lt;=796000,BS40*0.271,BS40*0.151)</f>
        <v>0</v>
      </c>
      <c r="BT41" s="183">
        <f>IF(SUM(BG40:$BI40,$BL40:BT40)&lt;=796000,BT40*0.271,BT40*0.151)</f>
        <v>0</v>
      </c>
      <c r="BU41" s="183">
        <f>IF(SUM(BH40:$BI40,$BL40:BU40)&lt;=796000,BU40*0.271,BU40*0.151)</f>
        <v>0</v>
      </c>
      <c r="BV41" s="183">
        <f>IF(SUM(BI40:$BI40,$BL40:BV40)&lt;=796000,BV40*0.271,BV40*0.151)</f>
        <v>0</v>
      </c>
      <c r="BW41" s="183">
        <f>IF(SUM($BL40:BW40)&lt;=796000,BW40*0.271,BW40*0.151)</f>
        <v>0</v>
      </c>
      <c r="BX41" s="184">
        <f t="shared" ref="BX41" si="134">SUM(BL41:BW41)</f>
        <v>0</v>
      </c>
      <c r="BY41" s="188"/>
    </row>
    <row r="42" spans="1:77" ht="10.199999999999999" x14ac:dyDescent="0.2">
      <c r="A42" s="176">
        <v>1</v>
      </c>
      <c r="C42" s="193" t="str">
        <f>IF(C40="","",C40)</f>
        <v/>
      </c>
      <c r="D42" s="192"/>
      <c r="E42" s="194"/>
      <c r="F42" s="184">
        <f>E42-(T42+AH42+AV42+BJ42+BX42)</f>
        <v>0</v>
      </c>
      <c r="G42" s="139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84">
        <f>SUM(H42:S42)</f>
        <v>0</v>
      </c>
      <c r="U42" s="139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84">
        <f>SUM(V42:AG42)</f>
        <v>0</v>
      </c>
      <c r="AI42" s="139"/>
      <c r="AJ42" s="124"/>
      <c r="AK42" s="124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84">
        <f>SUM(AJ42:AU42)</f>
        <v>0</v>
      </c>
      <c r="AW42" s="139"/>
      <c r="AX42" s="124"/>
      <c r="AY42" s="124"/>
      <c r="AZ42" s="124"/>
      <c r="BA42" s="124"/>
      <c r="BB42" s="124"/>
      <c r="BC42" s="124"/>
      <c r="BD42" s="124"/>
      <c r="BE42" s="124"/>
      <c r="BF42" s="124"/>
      <c r="BG42" s="124"/>
      <c r="BH42" s="124"/>
      <c r="BI42" s="124"/>
      <c r="BJ42" s="184">
        <f>SUM(AX42:BI42)</f>
        <v>0</v>
      </c>
      <c r="BK42" s="139"/>
      <c r="BL42" s="124"/>
      <c r="BM42" s="124"/>
      <c r="BN42" s="124"/>
      <c r="BO42" s="124"/>
      <c r="BP42" s="124"/>
      <c r="BQ42" s="124"/>
      <c r="BR42" s="124"/>
      <c r="BS42" s="124"/>
      <c r="BT42" s="124"/>
      <c r="BU42" s="124"/>
      <c r="BV42" s="124"/>
      <c r="BW42" s="124"/>
      <c r="BX42" s="184">
        <f>SUM(BL42:BW42)</f>
        <v>0</v>
      </c>
      <c r="BY42" s="124"/>
    </row>
    <row r="43" spans="1:77" ht="10.199999999999999" x14ac:dyDescent="0.2">
      <c r="A43" s="176">
        <v>1</v>
      </c>
      <c r="C43" s="190" t="s">
        <v>408</v>
      </c>
      <c r="D43" s="183"/>
      <c r="E43" s="183">
        <f>T43+AH43+AV43+BJ43+BX43</f>
        <v>0</v>
      </c>
      <c r="F43" s="184"/>
      <c r="G43" s="139"/>
      <c r="H43" s="183">
        <f>IF(SUM($H42:H42)&lt;=796000,H42*0.271,H42*0.151)</f>
        <v>0</v>
      </c>
      <c r="I43" s="183">
        <f>IF(SUM($H42:I42)&lt;=796000,I42*0.271,I42*0.151)</f>
        <v>0</v>
      </c>
      <c r="J43" s="183">
        <f>IF(SUM($H42:J42)&lt;=796000,J42*0.271,J42*0.151)</f>
        <v>0</v>
      </c>
      <c r="K43" s="183">
        <f>IF(SUM($H42:K42)&lt;=796000,K42*0.271,K42*0.151)</f>
        <v>0</v>
      </c>
      <c r="L43" s="183">
        <f>IF(SUM($H42:L42)&lt;=796000,L42*0.271,L42*0.151)</f>
        <v>0</v>
      </c>
      <c r="M43" s="183">
        <f>IF(SUM($H42:M42)&lt;=796000,M42*0.271,M42*0.151)</f>
        <v>0</v>
      </c>
      <c r="N43" s="183">
        <f>IF(SUM($H42:N42)&lt;=796000,N42*0.271,N42*0.151)</f>
        <v>0</v>
      </c>
      <c r="O43" s="183">
        <f>IF(SUM($H42:O42)&lt;=796000,O42*0.271,O42*0.151)</f>
        <v>0</v>
      </c>
      <c r="P43" s="183">
        <f>IF(SUM($H42:P42)&lt;=796000,P42*0.271,P42*0.151)</f>
        <v>0</v>
      </c>
      <c r="Q43" s="183">
        <f>IF(SUM($H42:Q42)&lt;=796000,Q42*0.271,Q42*0.151)</f>
        <v>0</v>
      </c>
      <c r="R43" s="183">
        <f>IF(SUM($H42:R42)&lt;=796000,R42*0.271,R42*0.151)</f>
        <v>0</v>
      </c>
      <c r="S43" s="183">
        <f>IF(SUM($H42:S42)&lt;=796000,S42*0.271,S42*0.151)</f>
        <v>0</v>
      </c>
      <c r="T43" s="184">
        <f t="shared" ref="T43" si="135">SUM(H43:S43)</f>
        <v>0</v>
      </c>
      <c r="U43" s="139"/>
      <c r="V43" s="183">
        <f>IF(SUM(I42:$S42,$V42:V42)&lt;=796000,V42*0.271,V42*0.151)</f>
        <v>0</v>
      </c>
      <c r="W43" s="183">
        <f>IF(SUM(J42:$S42,$V42:W42)&lt;=796000,W42*0.271,W42*0.151)</f>
        <v>0</v>
      </c>
      <c r="X43" s="183">
        <f>IF(SUM(K42:$S42,$V42:X42)&lt;=796000,X42*0.271,X42*0.151)</f>
        <v>0</v>
      </c>
      <c r="Y43" s="183">
        <f>IF(SUM(L42:$S42,$V42:Y42)&lt;=796000,Y42*0.271,Y42*0.151)</f>
        <v>0</v>
      </c>
      <c r="Z43" s="183">
        <f>IF(SUM(M42:$S42,$V42:Z42)&lt;=796000,Z42*0.271,Z42*0.151)</f>
        <v>0</v>
      </c>
      <c r="AA43" s="183">
        <f>IF(SUM(N42:$S42,$V42:AA42)&lt;=796000,AA42*0.271,AA42*0.151)</f>
        <v>0</v>
      </c>
      <c r="AB43" s="183">
        <f>IF(SUM(O42:$S42,$V42:AB42)&lt;=796000,AB42*0.271,AB42*0.151)</f>
        <v>0</v>
      </c>
      <c r="AC43" s="183">
        <f>IF(SUM(P42:$S42,$V42:AC42)&lt;=796000,AC42*0.271,AC42*0.151)</f>
        <v>0</v>
      </c>
      <c r="AD43" s="183">
        <f>IF(SUM(Q42:$S42,$V42:AD42)&lt;=796000,AD42*0.271,AD42*0.151)</f>
        <v>0</v>
      </c>
      <c r="AE43" s="183">
        <f>IF(SUM(R42:$S42,$V42:AE42)&lt;=796000,AE42*0.271,AE42*0.151)</f>
        <v>0</v>
      </c>
      <c r="AF43" s="183">
        <f>IF(SUM(S42:$S42,$V42:AF42)&lt;=796000,AF42*0.271,AF42*0.151)</f>
        <v>0</v>
      </c>
      <c r="AG43" s="183">
        <f>IF(SUM($V42:AG42)&lt;=796000,AG42*0.271,AG42*0.151)</f>
        <v>0</v>
      </c>
      <c r="AH43" s="184">
        <f t="shared" ref="AH43" si="136">SUM(V43:AG43)</f>
        <v>0</v>
      </c>
      <c r="AI43" s="139"/>
      <c r="AJ43" s="183">
        <f>IF(SUM(W42:$AG42,$AJ42:AJ42)&lt;=796000,AJ42*0.271,AJ42*0.151)</f>
        <v>0</v>
      </c>
      <c r="AK43" s="183">
        <f>IF(SUM(X42:$AG42,$AJ42:AK42)&lt;=796000,AK42*0.271,AK42*0.151)</f>
        <v>0</v>
      </c>
      <c r="AL43" s="183">
        <f>IF(SUM(Y42:$AG42,$AJ42:AL42)&lt;=796000,AL42*0.271,AL42*0.151)</f>
        <v>0</v>
      </c>
      <c r="AM43" s="183">
        <f>IF(SUM(Z42:$AG42,$AJ42:AM42)&lt;=796000,AM42*0.271,AM42*0.151)</f>
        <v>0</v>
      </c>
      <c r="AN43" s="183">
        <f>IF(SUM(AA42:$AG42,$AJ42:AN42)&lt;=796000,AN42*0.271,AN42*0.151)</f>
        <v>0</v>
      </c>
      <c r="AO43" s="183">
        <f>IF(SUM(AB42:$AG42,$AJ42:AO42)&lt;=796000,AO42*0.271,AO42*0.151)</f>
        <v>0</v>
      </c>
      <c r="AP43" s="183">
        <f>IF(SUM(AC42:$AG42,$AJ42:AP42)&lt;=796000,AP42*0.271,AP42*0.151)</f>
        <v>0</v>
      </c>
      <c r="AQ43" s="183">
        <f>IF(SUM(AD42:$AG42,$AJ42:AQ42)&lt;=796000,AQ42*0.271,AQ42*0.151)</f>
        <v>0</v>
      </c>
      <c r="AR43" s="183">
        <f>IF(SUM(AE42:$AG42,$AJ42:AR42)&lt;=796000,AR42*0.271,AR42*0.151)</f>
        <v>0</v>
      </c>
      <c r="AS43" s="183">
        <f>IF(SUM(AF42:$AG42,$AJ42:AS42)&lt;=796000,AS42*0.271,AS42*0.151)</f>
        <v>0</v>
      </c>
      <c r="AT43" s="183">
        <f>IF(SUM(AG42:$AG42,$AJ42:AT42)&lt;=796000,AT42*0.271,AT42*0.151)</f>
        <v>0</v>
      </c>
      <c r="AU43" s="183">
        <f>IF(SUM($AJ42:AU42)&lt;=796000,AU42*0.271,AU42*0.151)</f>
        <v>0</v>
      </c>
      <c r="AV43" s="184">
        <f t="shared" ref="AV43" si="137">SUM(AJ43:AU43)</f>
        <v>0</v>
      </c>
      <c r="AW43" s="139"/>
      <c r="AX43" s="183">
        <f>IF(SUM(AK42:$AU42,$AX42:AX42)&lt;=796000,AX42*0.271,AX42*0.151)</f>
        <v>0</v>
      </c>
      <c r="AY43" s="183">
        <f>IF(SUM(AL42:$AU42,$AX42:AY42)&lt;=796000,AY42*0.271,AY42*0.151)</f>
        <v>0</v>
      </c>
      <c r="AZ43" s="183">
        <f>IF(SUM(AM42:$AU42,$AX42:AZ42)&lt;=796000,AZ42*0.271,AZ42*0.151)</f>
        <v>0</v>
      </c>
      <c r="BA43" s="183">
        <f>IF(SUM(AN42:$AU42,$AX42:BA42)&lt;=796000,BA42*0.271,BA42*0.151)</f>
        <v>0</v>
      </c>
      <c r="BB43" s="183">
        <f>IF(SUM(AO42:$AU42,$AX42:BB42)&lt;=796000,BB42*0.271,BB42*0.151)</f>
        <v>0</v>
      </c>
      <c r="BC43" s="183">
        <f>IF(SUM(AP42:$AU42,$AX42:BC42)&lt;=796000,BC42*0.271,BC42*0.151)</f>
        <v>0</v>
      </c>
      <c r="BD43" s="183">
        <f>IF(SUM(AQ42:$AU42,$AX42:BD42)&lt;=796000,BD42*0.271,BD42*0.151)</f>
        <v>0</v>
      </c>
      <c r="BE43" s="183">
        <f>IF(SUM(AR42:$AU42,$AX42:BE42)&lt;=796000,BE42*0.271,BE42*0.151)</f>
        <v>0</v>
      </c>
      <c r="BF43" s="183">
        <f>IF(SUM(AS42:$AU42,$AX42:BF42)&lt;=796000,BF42*0.271,BF42*0.151)</f>
        <v>0</v>
      </c>
      <c r="BG43" s="183">
        <f>IF(SUM(AT42:$AU42,$AX42:BG42)&lt;=796000,BG42*0.271,BG42*0.151)</f>
        <v>0</v>
      </c>
      <c r="BH43" s="183">
        <f>IF(SUM(AU42:$AU42,$AX42:BH42)&lt;=796000,BH42*0.271,BH42*0.151)</f>
        <v>0</v>
      </c>
      <c r="BI43" s="183">
        <f>IF(SUM($AX42:BI42)&lt;=796000,BI42*0.271,BI42*0.151)</f>
        <v>0</v>
      </c>
      <c r="BJ43" s="184">
        <f t="shared" ref="BJ43" si="138">SUM(AX43:BI43)</f>
        <v>0</v>
      </c>
      <c r="BK43" s="139"/>
      <c r="BL43" s="183">
        <f>IF(SUM(AY42:$BI42,$BL42:BL42)&lt;=796000,BL42*0.271,BL42*0.151)</f>
        <v>0</v>
      </c>
      <c r="BM43" s="183">
        <f>IF(SUM(AZ42:$BI42,$BL42:BM42)&lt;=796000,BM42*0.271,BM42*0.151)</f>
        <v>0</v>
      </c>
      <c r="BN43" s="183">
        <f>IF(SUM(BA42:$BI42,$BL42:BN42)&lt;=796000,BN42*0.271,BN42*0.151)</f>
        <v>0</v>
      </c>
      <c r="BO43" s="183">
        <f>IF(SUM(BB42:$BI42,$BL42:BO42)&lt;=796000,BO42*0.271,BO42*0.151)</f>
        <v>0</v>
      </c>
      <c r="BP43" s="183">
        <f>IF(SUM(BC42:$BI42,$BL42:BP42)&lt;=796000,BP42*0.271,BP42*0.151)</f>
        <v>0</v>
      </c>
      <c r="BQ43" s="183">
        <f>IF(SUM(BD42:$BI42,$BL42:BQ42)&lt;=796000,BQ42*0.271,BQ42*0.151)</f>
        <v>0</v>
      </c>
      <c r="BR43" s="183">
        <f>IF(SUM(BE42:$BI42,$BL42:BR42)&lt;=796000,BR42*0.271,BR42*0.151)</f>
        <v>0</v>
      </c>
      <c r="BS43" s="183">
        <f>IF(SUM(BF42:$BI42,$BL42:BS42)&lt;=796000,BS42*0.271,BS42*0.151)</f>
        <v>0</v>
      </c>
      <c r="BT43" s="183">
        <f>IF(SUM(BG42:$BI42,$BL42:BT42)&lt;=796000,BT42*0.271,BT42*0.151)</f>
        <v>0</v>
      </c>
      <c r="BU43" s="183">
        <f>IF(SUM(BH42:$BI42,$BL42:BU42)&lt;=796000,BU42*0.271,BU42*0.151)</f>
        <v>0</v>
      </c>
      <c r="BV43" s="183">
        <f>IF(SUM(BI42:$BI42,$BL42:BV42)&lt;=796000,BV42*0.271,BV42*0.151)</f>
        <v>0</v>
      </c>
      <c r="BW43" s="183">
        <f>IF(SUM($BL42:BW42)&lt;=796000,BW42*0.271,BW42*0.151)</f>
        <v>0</v>
      </c>
      <c r="BX43" s="184">
        <f t="shared" ref="BX43" si="139">SUM(BL43:BW43)</f>
        <v>0</v>
      </c>
      <c r="BY43" s="188"/>
    </row>
    <row r="44" spans="1:77" ht="10.199999999999999" x14ac:dyDescent="0.2">
      <c r="A44" s="176">
        <v>1</v>
      </c>
      <c r="C44" s="193" t="str">
        <f>IF(C42="","",C42)</f>
        <v/>
      </c>
      <c r="D44" s="192"/>
      <c r="E44" s="194"/>
      <c r="F44" s="184">
        <f>E44-(T44+AH44+AV44+BJ44+BX44)</f>
        <v>0</v>
      </c>
      <c r="G44" s="139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84">
        <f>SUM(H44:S44)</f>
        <v>0</v>
      </c>
      <c r="U44" s="139"/>
      <c r="V44" s="124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H44" s="184">
        <f>SUM(V44:AG44)</f>
        <v>0</v>
      </c>
      <c r="AI44" s="139"/>
      <c r="AJ44" s="124"/>
      <c r="AK44" s="124"/>
      <c r="AL44" s="124"/>
      <c r="AM44" s="124"/>
      <c r="AN44" s="124"/>
      <c r="AO44" s="124"/>
      <c r="AP44" s="124"/>
      <c r="AQ44" s="124"/>
      <c r="AR44" s="124"/>
      <c r="AS44" s="124"/>
      <c r="AT44" s="124"/>
      <c r="AU44" s="124"/>
      <c r="AV44" s="184">
        <f>SUM(AJ44:AU44)</f>
        <v>0</v>
      </c>
      <c r="AW44" s="139"/>
      <c r="AX44" s="124"/>
      <c r="AY44" s="124"/>
      <c r="AZ44" s="124"/>
      <c r="BA44" s="124"/>
      <c r="BB44" s="124"/>
      <c r="BC44" s="124"/>
      <c r="BD44" s="124"/>
      <c r="BE44" s="124"/>
      <c r="BF44" s="124"/>
      <c r="BG44" s="124"/>
      <c r="BH44" s="124"/>
      <c r="BI44" s="124"/>
      <c r="BJ44" s="184">
        <f>SUM(AX44:BI44)</f>
        <v>0</v>
      </c>
      <c r="BK44" s="139"/>
      <c r="BL44" s="124"/>
      <c r="BM44" s="124"/>
      <c r="BN44" s="124"/>
      <c r="BO44" s="124"/>
      <c r="BP44" s="124"/>
      <c r="BQ44" s="124"/>
      <c r="BR44" s="124"/>
      <c r="BS44" s="124"/>
      <c r="BT44" s="124"/>
      <c r="BU44" s="124"/>
      <c r="BV44" s="124"/>
      <c r="BW44" s="124"/>
      <c r="BX44" s="184">
        <f>SUM(BL44:BW44)</f>
        <v>0</v>
      </c>
      <c r="BY44" s="124"/>
    </row>
    <row r="45" spans="1:77" ht="10.199999999999999" x14ac:dyDescent="0.2">
      <c r="A45" s="176">
        <v>1</v>
      </c>
      <c r="C45" s="190" t="s">
        <v>408</v>
      </c>
      <c r="D45" s="183"/>
      <c r="E45" s="183">
        <f>T45+AH45+AV45+BJ45+BX45</f>
        <v>0</v>
      </c>
      <c r="F45" s="184"/>
      <c r="G45" s="139"/>
      <c r="H45" s="183">
        <f>IF(SUM($H44:H44)&lt;=796000,H44*0.271,H44*0.151)</f>
        <v>0</v>
      </c>
      <c r="I45" s="183">
        <f>IF(SUM($H44:I44)&lt;=796000,I44*0.271,I44*0.151)</f>
        <v>0</v>
      </c>
      <c r="J45" s="183">
        <f>IF(SUM($H44:J44)&lt;=796000,J44*0.271,J44*0.151)</f>
        <v>0</v>
      </c>
      <c r="K45" s="183">
        <f>IF(SUM($H44:K44)&lt;=796000,K44*0.271,K44*0.151)</f>
        <v>0</v>
      </c>
      <c r="L45" s="183">
        <f>IF(SUM($H44:L44)&lt;=796000,L44*0.271,L44*0.151)</f>
        <v>0</v>
      </c>
      <c r="M45" s="183">
        <f>IF(SUM($H44:M44)&lt;=796000,M44*0.271,M44*0.151)</f>
        <v>0</v>
      </c>
      <c r="N45" s="183">
        <f>IF(SUM($H44:N44)&lt;=796000,N44*0.271,N44*0.151)</f>
        <v>0</v>
      </c>
      <c r="O45" s="183">
        <f>IF(SUM($H44:O44)&lt;=796000,O44*0.271,O44*0.151)</f>
        <v>0</v>
      </c>
      <c r="P45" s="183">
        <f>IF(SUM($H44:P44)&lt;=796000,P44*0.271,P44*0.151)</f>
        <v>0</v>
      </c>
      <c r="Q45" s="183">
        <f>IF(SUM($H44:Q44)&lt;=796000,Q44*0.271,Q44*0.151)</f>
        <v>0</v>
      </c>
      <c r="R45" s="183">
        <f>IF(SUM($H44:R44)&lt;=796000,R44*0.271,R44*0.151)</f>
        <v>0</v>
      </c>
      <c r="S45" s="183">
        <f>IF(SUM($H44:S44)&lt;=796000,S44*0.271,S44*0.151)</f>
        <v>0</v>
      </c>
      <c r="T45" s="184">
        <f t="shared" ref="T45" si="140">SUM(H45:S45)</f>
        <v>0</v>
      </c>
      <c r="U45" s="139"/>
      <c r="V45" s="183">
        <f>IF(SUM(I44:$S44,$V44:V44)&lt;=796000,V44*0.271,V44*0.151)</f>
        <v>0</v>
      </c>
      <c r="W45" s="183">
        <f>IF(SUM(J44:$S44,$V44:W44)&lt;=796000,W44*0.271,W44*0.151)</f>
        <v>0</v>
      </c>
      <c r="X45" s="183">
        <f>IF(SUM(K44:$S44,$V44:X44)&lt;=796000,X44*0.271,X44*0.151)</f>
        <v>0</v>
      </c>
      <c r="Y45" s="183">
        <f>IF(SUM(L44:$S44,$V44:Y44)&lt;=796000,Y44*0.271,Y44*0.151)</f>
        <v>0</v>
      </c>
      <c r="Z45" s="183">
        <f>IF(SUM(M44:$S44,$V44:Z44)&lt;=796000,Z44*0.271,Z44*0.151)</f>
        <v>0</v>
      </c>
      <c r="AA45" s="183">
        <f>IF(SUM(N44:$S44,$V44:AA44)&lt;=796000,AA44*0.271,AA44*0.151)</f>
        <v>0</v>
      </c>
      <c r="AB45" s="183">
        <f>IF(SUM(O44:$S44,$V44:AB44)&lt;=796000,AB44*0.271,AB44*0.151)</f>
        <v>0</v>
      </c>
      <c r="AC45" s="183">
        <f>IF(SUM(P44:$S44,$V44:AC44)&lt;=796000,AC44*0.271,AC44*0.151)</f>
        <v>0</v>
      </c>
      <c r="AD45" s="183">
        <f>IF(SUM(Q44:$S44,$V44:AD44)&lt;=796000,AD44*0.271,AD44*0.151)</f>
        <v>0</v>
      </c>
      <c r="AE45" s="183">
        <f>IF(SUM(R44:$S44,$V44:AE44)&lt;=796000,AE44*0.271,AE44*0.151)</f>
        <v>0</v>
      </c>
      <c r="AF45" s="183">
        <f>IF(SUM(S44:$S44,$V44:AF44)&lt;=796000,AF44*0.271,AF44*0.151)</f>
        <v>0</v>
      </c>
      <c r="AG45" s="183">
        <f>IF(SUM($V44:AG44)&lt;=796000,AG44*0.271,AG44*0.151)</f>
        <v>0</v>
      </c>
      <c r="AH45" s="184">
        <f t="shared" ref="AH45" si="141">SUM(V45:AG45)</f>
        <v>0</v>
      </c>
      <c r="AI45" s="139"/>
      <c r="AJ45" s="183">
        <f>IF(SUM(W44:$AG44,$AJ44:AJ44)&lt;=796000,AJ44*0.271,AJ44*0.151)</f>
        <v>0</v>
      </c>
      <c r="AK45" s="183">
        <f>IF(SUM(X44:$AG44,$AJ44:AK44)&lt;=796000,AK44*0.271,AK44*0.151)</f>
        <v>0</v>
      </c>
      <c r="AL45" s="183">
        <f>IF(SUM(Y44:$AG44,$AJ44:AL44)&lt;=796000,AL44*0.271,AL44*0.151)</f>
        <v>0</v>
      </c>
      <c r="AM45" s="183">
        <f>IF(SUM(Z44:$AG44,$AJ44:AM44)&lt;=796000,AM44*0.271,AM44*0.151)</f>
        <v>0</v>
      </c>
      <c r="AN45" s="183">
        <f>IF(SUM(AA44:$AG44,$AJ44:AN44)&lt;=796000,AN44*0.271,AN44*0.151)</f>
        <v>0</v>
      </c>
      <c r="AO45" s="183">
        <f>IF(SUM(AB44:$AG44,$AJ44:AO44)&lt;=796000,AO44*0.271,AO44*0.151)</f>
        <v>0</v>
      </c>
      <c r="AP45" s="183">
        <f>IF(SUM(AC44:$AG44,$AJ44:AP44)&lt;=796000,AP44*0.271,AP44*0.151)</f>
        <v>0</v>
      </c>
      <c r="AQ45" s="183">
        <f>IF(SUM(AD44:$AG44,$AJ44:AQ44)&lt;=796000,AQ44*0.271,AQ44*0.151)</f>
        <v>0</v>
      </c>
      <c r="AR45" s="183">
        <f>IF(SUM(AE44:$AG44,$AJ44:AR44)&lt;=796000,AR44*0.271,AR44*0.151)</f>
        <v>0</v>
      </c>
      <c r="AS45" s="183">
        <f>IF(SUM(AF44:$AG44,$AJ44:AS44)&lt;=796000,AS44*0.271,AS44*0.151)</f>
        <v>0</v>
      </c>
      <c r="AT45" s="183">
        <f>IF(SUM(AG44:$AG44,$AJ44:AT44)&lt;=796000,AT44*0.271,AT44*0.151)</f>
        <v>0</v>
      </c>
      <c r="AU45" s="183">
        <f>IF(SUM($AJ44:AU44)&lt;=796000,AU44*0.271,AU44*0.151)</f>
        <v>0</v>
      </c>
      <c r="AV45" s="184">
        <f t="shared" ref="AV45" si="142">SUM(AJ45:AU45)</f>
        <v>0</v>
      </c>
      <c r="AW45" s="139"/>
      <c r="AX45" s="183">
        <f>IF(SUM(AK44:$AU44,$AX44:AX44)&lt;=796000,AX44*0.271,AX44*0.151)</f>
        <v>0</v>
      </c>
      <c r="AY45" s="183">
        <f>IF(SUM(AL44:$AU44,$AX44:AY44)&lt;=796000,AY44*0.271,AY44*0.151)</f>
        <v>0</v>
      </c>
      <c r="AZ45" s="183">
        <f>IF(SUM(AM44:$AU44,$AX44:AZ44)&lt;=796000,AZ44*0.271,AZ44*0.151)</f>
        <v>0</v>
      </c>
      <c r="BA45" s="183">
        <f>IF(SUM(AN44:$AU44,$AX44:BA44)&lt;=796000,BA44*0.271,BA44*0.151)</f>
        <v>0</v>
      </c>
      <c r="BB45" s="183">
        <f>IF(SUM(AO44:$AU44,$AX44:BB44)&lt;=796000,BB44*0.271,BB44*0.151)</f>
        <v>0</v>
      </c>
      <c r="BC45" s="183">
        <f>IF(SUM(AP44:$AU44,$AX44:BC44)&lt;=796000,BC44*0.271,BC44*0.151)</f>
        <v>0</v>
      </c>
      <c r="BD45" s="183">
        <f>IF(SUM(AQ44:$AU44,$AX44:BD44)&lt;=796000,BD44*0.271,BD44*0.151)</f>
        <v>0</v>
      </c>
      <c r="BE45" s="183">
        <f>IF(SUM(AR44:$AU44,$AX44:BE44)&lt;=796000,BE44*0.271,BE44*0.151)</f>
        <v>0</v>
      </c>
      <c r="BF45" s="183">
        <f>IF(SUM(AS44:$AU44,$AX44:BF44)&lt;=796000,BF44*0.271,BF44*0.151)</f>
        <v>0</v>
      </c>
      <c r="BG45" s="183">
        <f>IF(SUM(AT44:$AU44,$AX44:BG44)&lt;=796000,BG44*0.271,BG44*0.151)</f>
        <v>0</v>
      </c>
      <c r="BH45" s="183">
        <f>IF(SUM(AU44:$AU44,$AX44:BH44)&lt;=796000,BH44*0.271,BH44*0.151)</f>
        <v>0</v>
      </c>
      <c r="BI45" s="183">
        <f>IF(SUM($AX44:BI44)&lt;=796000,BI44*0.271,BI44*0.151)</f>
        <v>0</v>
      </c>
      <c r="BJ45" s="184">
        <f t="shared" ref="BJ45" si="143">SUM(AX45:BI45)</f>
        <v>0</v>
      </c>
      <c r="BK45" s="139"/>
      <c r="BL45" s="183">
        <f>IF(SUM(AY44:$BI44,$BL44:BL44)&lt;=796000,BL44*0.271,BL44*0.151)</f>
        <v>0</v>
      </c>
      <c r="BM45" s="183">
        <f>IF(SUM(AZ44:$BI44,$BL44:BM44)&lt;=796000,BM44*0.271,BM44*0.151)</f>
        <v>0</v>
      </c>
      <c r="BN45" s="183">
        <f>IF(SUM(BA44:$BI44,$BL44:BN44)&lt;=796000,BN44*0.271,BN44*0.151)</f>
        <v>0</v>
      </c>
      <c r="BO45" s="183">
        <f>IF(SUM(BB44:$BI44,$BL44:BO44)&lt;=796000,BO44*0.271,BO44*0.151)</f>
        <v>0</v>
      </c>
      <c r="BP45" s="183">
        <f>IF(SUM(BC44:$BI44,$BL44:BP44)&lt;=796000,BP44*0.271,BP44*0.151)</f>
        <v>0</v>
      </c>
      <c r="BQ45" s="183">
        <f>IF(SUM(BD44:$BI44,$BL44:BQ44)&lt;=796000,BQ44*0.271,BQ44*0.151)</f>
        <v>0</v>
      </c>
      <c r="BR45" s="183">
        <f>IF(SUM(BE44:$BI44,$BL44:BR44)&lt;=796000,BR44*0.271,BR44*0.151)</f>
        <v>0</v>
      </c>
      <c r="BS45" s="183">
        <f>IF(SUM(BF44:$BI44,$BL44:BS44)&lt;=796000,BS44*0.271,BS44*0.151)</f>
        <v>0</v>
      </c>
      <c r="BT45" s="183">
        <f>IF(SUM(BG44:$BI44,$BL44:BT44)&lt;=796000,BT44*0.271,BT44*0.151)</f>
        <v>0</v>
      </c>
      <c r="BU45" s="183">
        <f>IF(SUM(BH44:$BI44,$BL44:BU44)&lt;=796000,BU44*0.271,BU44*0.151)</f>
        <v>0</v>
      </c>
      <c r="BV45" s="183">
        <f>IF(SUM(BI44:$BI44,$BL44:BV44)&lt;=796000,BV44*0.271,BV44*0.151)</f>
        <v>0</v>
      </c>
      <c r="BW45" s="183">
        <f>IF(SUM($BL44:BW44)&lt;=796000,BW44*0.271,BW44*0.151)</f>
        <v>0</v>
      </c>
      <c r="BX45" s="184">
        <f t="shared" ref="BX45" si="144">SUM(BL45:BW45)</f>
        <v>0</v>
      </c>
      <c r="BY45" s="188"/>
    </row>
    <row r="46" spans="1:77" ht="10.199999999999999" x14ac:dyDescent="0.2">
      <c r="A46" s="176">
        <v>1</v>
      </c>
      <c r="C46" s="193" t="str">
        <f>IF(C44="","",C44)</f>
        <v/>
      </c>
      <c r="D46" s="192"/>
      <c r="E46" s="194"/>
      <c r="F46" s="184">
        <f>E46-(T46+AH46+AV46+BJ46+BX46)</f>
        <v>0</v>
      </c>
      <c r="G46" s="139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84">
        <f>SUM(H46:S46)</f>
        <v>0</v>
      </c>
      <c r="U46" s="139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84">
        <f>SUM(V46:AG46)</f>
        <v>0</v>
      </c>
      <c r="AI46" s="139"/>
      <c r="AJ46" s="124"/>
      <c r="AK46" s="124"/>
      <c r="AL46" s="124"/>
      <c r="AM46" s="124"/>
      <c r="AN46" s="124"/>
      <c r="AO46" s="124"/>
      <c r="AP46" s="124"/>
      <c r="AQ46" s="124"/>
      <c r="AR46" s="124"/>
      <c r="AS46" s="124"/>
      <c r="AT46" s="124"/>
      <c r="AU46" s="124"/>
      <c r="AV46" s="184">
        <f>SUM(AJ46:AU46)</f>
        <v>0</v>
      </c>
      <c r="AW46" s="139"/>
      <c r="AX46" s="124"/>
      <c r="AY46" s="124"/>
      <c r="AZ46" s="124"/>
      <c r="BA46" s="124"/>
      <c r="BB46" s="124"/>
      <c r="BC46" s="124"/>
      <c r="BD46" s="124"/>
      <c r="BE46" s="124"/>
      <c r="BF46" s="124"/>
      <c r="BG46" s="124"/>
      <c r="BH46" s="124"/>
      <c r="BI46" s="124"/>
      <c r="BJ46" s="184">
        <f>SUM(AX46:BI46)</f>
        <v>0</v>
      </c>
      <c r="BK46" s="139"/>
      <c r="BL46" s="124"/>
      <c r="BM46" s="124"/>
      <c r="BN46" s="124"/>
      <c r="BO46" s="124"/>
      <c r="BP46" s="124"/>
      <c r="BQ46" s="124"/>
      <c r="BR46" s="124"/>
      <c r="BS46" s="124"/>
      <c r="BT46" s="124"/>
      <c r="BU46" s="124"/>
      <c r="BV46" s="124"/>
      <c r="BW46" s="124"/>
      <c r="BX46" s="184">
        <f>SUM(BL46:BW46)</f>
        <v>0</v>
      </c>
      <c r="BY46" s="124"/>
    </row>
    <row r="47" spans="1:77" ht="10.199999999999999" x14ac:dyDescent="0.2">
      <c r="A47" s="176">
        <v>1</v>
      </c>
      <c r="C47" s="190" t="s">
        <v>408</v>
      </c>
      <c r="D47" s="183"/>
      <c r="E47" s="183">
        <f>T47+AH47+AV47+BJ47+BX47</f>
        <v>0</v>
      </c>
      <c r="F47" s="184"/>
      <c r="G47" s="139"/>
      <c r="H47" s="183">
        <f>IF(SUM($H46:H46)&lt;=796000,H46*0.271,H46*0.151)</f>
        <v>0</v>
      </c>
      <c r="I47" s="183">
        <f>IF(SUM($H46:I46)&lt;=796000,I46*0.271,I46*0.151)</f>
        <v>0</v>
      </c>
      <c r="J47" s="183">
        <f>IF(SUM($H46:J46)&lt;=796000,J46*0.271,J46*0.151)</f>
        <v>0</v>
      </c>
      <c r="K47" s="183">
        <f>IF(SUM($H46:K46)&lt;=796000,K46*0.271,K46*0.151)</f>
        <v>0</v>
      </c>
      <c r="L47" s="183">
        <f>IF(SUM($H46:L46)&lt;=796000,L46*0.271,L46*0.151)</f>
        <v>0</v>
      </c>
      <c r="M47" s="183">
        <f>IF(SUM($H46:M46)&lt;=796000,M46*0.271,M46*0.151)</f>
        <v>0</v>
      </c>
      <c r="N47" s="183">
        <f>IF(SUM($H46:N46)&lt;=796000,N46*0.271,N46*0.151)</f>
        <v>0</v>
      </c>
      <c r="O47" s="183">
        <f>IF(SUM($H46:O46)&lt;=796000,O46*0.271,O46*0.151)</f>
        <v>0</v>
      </c>
      <c r="P47" s="183">
        <f>IF(SUM($H46:P46)&lt;=796000,P46*0.271,P46*0.151)</f>
        <v>0</v>
      </c>
      <c r="Q47" s="183">
        <f>IF(SUM($H46:Q46)&lt;=796000,Q46*0.271,Q46*0.151)</f>
        <v>0</v>
      </c>
      <c r="R47" s="183">
        <f>IF(SUM($H46:R46)&lt;=796000,R46*0.271,R46*0.151)</f>
        <v>0</v>
      </c>
      <c r="S47" s="183">
        <f>IF(SUM($H46:S46)&lt;=796000,S46*0.271,S46*0.151)</f>
        <v>0</v>
      </c>
      <c r="T47" s="184">
        <f t="shared" ref="T47" si="145">SUM(H47:S47)</f>
        <v>0</v>
      </c>
      <c r="U47" s="139"/>
      <c r="V47" s="183">
        <f>IF(SUM(I46:$S46,$V46:V46)&lt;=796000,V46*0.271,V46*0.151)</f>
        <v>0</v>
      </c>
      <c r="W47" s="183">
        <f>IF(SUM(J46:$S46,$V46:W46)&lt;=796000,W46*0.271,W46*0.151)</f>
        <v>0</v>
      </c>
      <c r="X47" s="183">
        <f>IF(SUM(K46:$S46,$V46:X46)&lt;=796000,X46*0.271,X46*0.151)</f>
        <v>0</v>
      </c>
      <c r="Y47" s="183">
        <f>IF(SUM(L46:$S46,$V46:Y46)&lt;=796000,Y46*0.271,Y46*0.151)</f>
        <v>0</v>
      </c>
      <c r="Z47" s="183">
        <f>IF(SUM(M46:$S46,$V46:Z46)&lt;=796000,Z46*0.271,Z46*0.151)</f>
        <v>0</v>
      </c>
      <c r="AA47" s="183">
        <f>IF(SUM(N46:$S46,$V46:AA46)&lt;=796000,AA46*0.271,AA46*0.151)</f>
        <v>0</v>
      </c>
      <c r="AB47" s="183">
        <f>IF(SUM(O46:$S46,$V46:AB46)&lt;=796000,AB46*0.271,AB46*0.151)</f>
        <v>0</v>
      </c>
      <c r="AC47" s="183">
        <f>IF(SUM(P46:$S46,$V46:AC46)&lt;=796000,AC46*0.271,AC46*0.151)</f>
        <v>0</v>
      </c>
      <c r="AD47" s="183">
        <f>IF(SUM(Q46:$S46,$V46:AD46)&lt;=796000,AD46*0.271,AD46*0.151)</f>
        <v>0</v>
      </c>
      <c r="AE47" s="183">
        <f>IF(SUM(R46:$S46,$V46:AE46)&lt;=796000,AE46*0.271,AE46*0.151)</f>
        <v>0</v>
      </c>
      <c r="AF47" s="183">
        <f>IF(SUM(S46:$S46,$V46:AF46)&lt;=796000,AF46*0.271,AF46*0.151)</f>
        <v>0</v>
      </c>
      <c r="AG47" s="183">
        <f>IF(SUM($V46:AG46)&lt;=796000,AG46*0.271,AG46*0.151)</f>
        <v>0</v>
      </c>
      <c r="AH47" s="184">
        <f t="shared" ref="AH47" si="146">SUM(V47:AG47)</f>
        <v>0</v>
      </c>
      <c r="AI47" s="139"/>
      <c r="AJ47" s="183">
        <f>IF(SUM(W46:$AG46,$AJ46:AJ46)&lt;=796000,AJ46*0.271,AJ46*0.151)</f>
        <v>0</v>
      </c>
      <c r="AK47" s="183">
        <f>IF(SUM(X46:$AG46,$AJ46:AK46)&lt;=796000,AK46*0.271,AK46*0.151)</f>
        <v>0</v>
      </c>
      <c r="AL47" s="183">
        <f>IF(SUM(Y46:$AG46,$AJ46:AL46)&lt;=796000,AL46*0.271,AL46*0.151)</f>
        <v>0</v>
      </c>
      <c r="AM47" s="183">
        <f>IF(SUM(Z46:$AG46,$AJ46:AM46)&lt;=796000,AM46*0.271,AM46*0.151)</f>
        <v>0</v>
      </c>
      <c r="AN47" s="183">
        <f>IF(SUM(AA46:$AG46,$AJ46:AN46)&lt;=796000,AN46*0.271,AN46*0.151)</f>
        <v>0</v>
      </c>
      <c r="AO47" s="183">
        <f>IF(SUM(AB46:$AG46,$AJ46:AO46)&lt;=796000,AO46*0.271,AO46*0.151)</f>
        <v>0</v>
      </c>
      <c r="AP47" s="183">
        <f>IF(SUM(AC46:$AG46,$AJ46:AP46)&lt;=796000,AP46*0.271,AP46*0.151)</f>
        <v>0</v>
      </c>
      <c r="AQ47" s="183">
        <f>IF(SUM(AD46:$AG46,$AJ46:AQ46)&lt;=796000,AQ46*0.271,AQ46*0.151)</f>
        <v>0</v>
      </c>
      <c r="AR47" s="183">
        <f>IF(SUM(AE46:$AG46,$AJ46:AR46)&lt;=796000,AR46*0.271,AR46*0.151)</f>
        <v>0</v>
      </c>
      <c r="AS47" s="183">
        <f>IF(SUM(AF46:$AG46,$AJ46:AS46)&lt;=796000,AS46*0.271,AS46*0.151)</f>
        <v>0</v>
      </c>
      <c r="AT47" s="183">
        <f>IF(SUM(AG46:$AG46,$AJ46:AT46)&lt;=796000,AT46*0.271,AT46*0.151)</f>
        <v>0</v>
      </c>
      <c r="AU47" s="183">
        <f>IF(SUM($AJ46:AU46)&lt;=796000,AU46*0.271,AU46*0.151)</f>
        <v>0</v>
      </c>
      <c r="AV47" s="184">
        <f t="shared" ref="AV47" si="147">SUM(AJ47:AU47)</f>
        <v>0</v>
      </c>
      <c r="AW47" s="139"/>
      <c r="AX47" s="183">
        <f>IF(SUM(AK46:$AU46,$AX46:AX46)&lt;=796000,AX46*0.271,AX46*0.151)</f>
        <v>0</v>
      </c>
      <c r="AY47" s="183">
        <f>IF(SUM(AL46:$AU46,$AX46:AY46)&lt;=796000,AY46*0.271,AY46*0.151)</f>
        <v>0</v>
      </c>
      <c r="AZ47" s="183">
        <f>IF(SUM(AM46:$AU46,$AX46:AZ46)&lt;=796000,AZ46*0.271,AZ46*0.151)</f>
        <v>0</v>
      </c>
      <c r="BA47" s="183">
        <f>IF(SUM(AN46:$AU46,$AX46:BA46)&lt;=796000,BA46*0.271,BA46*0.151)</f>
        <v>0</v>
      </c>
      <c r="BB47" s="183">
        <f>IF(SUM(AO46:$AU46,$AX46:BB46)&lt;=796000,BB46*0.271,BB46*0.151)</f>
        <v>0</v>
      </c>
      <c r="BC47" s="183">
        <f>IF(SUM(AP46:$AU46,$AX46:BC46)&lt;=796000,BC46*0.271,BC46*0.151)</f>
        <v>0</v>
      </c>
      <c r="BD47" s="183">
        <f>IF(SUM(AQ46:$AU46,$AX46:BD46)&lt;=796000,BD46*0.271,BD46*0.151)</f>
        <v>0</v>
      </c>
      <c r="BE47" s="183">
        <f>IF(SUM(AR46:$AU46,$AX46:BE46)&lt;=796000,BE46*0.271,BE46*0.151)</f>
        <v>0</v>
      </c>
      <c r="BF47" s="183">
        <f>IF(SUM(AS46:$AU46,$AX46:BF46)&lt;=796000,BF46*0.271,BF46*0.151)</f>
        <v>0</v>
      </c>
      <c r="BG47" s="183">
        <f>IF(SUM(AT46:$AU46,$AX46:BG46)&lt;=796000,BG46*0.271,BG46*0.151)</f>
        <v>0</v>
      </c>
      <c r="BH47" s="183">
        <f>IF(SUM(AU46:$AU46,$AX46:BH46)&lt;=796000,BH46*0.271,BH46*0.151)</f>
        <v>0</v>
      </c>
      <c r="BI47" s="183">
        <f>IF(SUM($AX46:BI46)&lt;=796000,BI46*0.271,BI46*0.151)</f>
        <v>0</v>
      </c>
      <c r="BJ47" s="184">
        <f t="shared" ref="BJ47" si="148">SUM(AX47:BI47)</f>
        <v>0</v>
      </c>
      <c r="BK47" s="139"/>
      <c r="BL47" s="183">
        <f>IF(SUM(AY46:$BI46,$BL46:BL46)&lt;=796000,BL46*0.271,BL46*0.151)</f>
        <v>0</v>
      </c>
      <c r="BM47" s="183">
        <f>IF(SUM(AZ46:$BI46,$BL46:BM46)&lt;=796000,BM46*0.271,BM46*0.151)</f>
        <v>0</v>
      </c>
      <c r="BN47" s="183">
        <f>IF(SUM(BA46:$BI46,$BL46:BN46)&lt;=796000,BN46*0.271,BN46*0.151)</f>
        <v>0</v>
      </c>
      <c r="BO47" s="183">
        <f>IF(SUM(BB46:$BI46,$BL46:BO46)&lt;=796000,BO46*0.271,BO46*0.151)</f>
        <v>0</v>
      </c>
      <c r="BP47" s="183">
        <f>IF(SUM(BC46:$BI46,$BL46:BP46)&lt;=796000,BP46*0.271,BP46*0.151)</f>
        <v>0</v>
      </c>
      <c r="BQ47" s="183">
        <f>IF(SUM(BD46:$BI46,$BL46:BQ46)&lt;=796000,BQ46*0.271,BQ46*0.151)</f>
        <v>0</v>
      </c>
      <c r="BR47" s="183">
        <f>IF(SUM(BE46:$BI46,$BL46:BR46)&lt;=796000,BR46*0.271,BR46*0.151)</f>
        <v>0</v>
      </c>
      <c r="BS47" s="183">
        <f>IF(SUM(BF46:$BI46,$BL46:BS46)&lt;=796000,BS46*0.271,BS46*0.151)</f>
        <v>0</v>
      </c>
      <c r="BT47" s="183">
        <f>IF(SUM(BG46:$BI46,$BL46:BT46)&lt;=796000,BT46*0.271,BT46*0.151)</f>
        <v>0</v>
      </c>
      <c r="BU47" s="183">
        <f>IF(SUM(BH46:$BI46,$BL46:BU46)&lt;=796000,BU46*0.271,BU46*0.151)</f>
        <v>0</v>
      </c>
      <c r="BV47" s="183">
        <f>IF(SUM(BI46:$BI46,$BL46:BV46)&lt;=796000,BV46*0.271,BV46*0.151)</f>
        <v>0</v>
      </c>
      <c r="BW47" s="183">
        <f>IF(SUM($BL46:BW46)&lt;=796000,BW46*0.271,BW46*0.151)</f>
        <v>0</v>
      </c>
      <c r="BX47" s="184">
        <f t="shared" ref="BX47" si="149">SUM(BL47:BW47)</f>
        <v>0</v>
      </c>
      <c r="BY47" s="188"/>
    </row>
    <row r="48" spans="1:77" ht="10.199999999999999" x14ac:dyDescent="0.2">
      <c r="A48" s="176">
        <v>1</v>
      </c>
      <c r="C48" s="193" t="str">
        <f>IF(C46="","",C46)</f>
        <v/>
      </c>
      <c r="D48" s="192"/>
      <c r="E48" s="194"/>
      <c r="F48" s="184">
        <f>E48-(T48+AH48+AV48+BJ48+BX48)</f>
        <v>0</v>
      </c>
      <c r="G48" s="139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84">
        <f>SUM(H48:S48)</f>
        <v>0</v>
      </c>
      <c r="U48" s="139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84">
        <f>SUM(V48:AG48)</f>
        <v>0</v>
      </c>
      <c r="AI48" s="139"/>
      <c r="AJ48" s="124"/>
      <c r="AK48" s="124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84">
        <f>SUM(AJ48:AU48)</f>
        <v>0</v>
      </c>
      <c r="AW48" s="139"/>
      <c r="AX48" s="124"/>
      <c r="AY48" s="124"/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84">
        <f>SUM(AX48:BI48)</f>
        <v>0</v>
      </c>
      <c r="BK48" s="139"/>
      <c r="BL48" s="124"/>
      <c r="BM48" s="124"/>
      <c r="BN48" s="124"/>
      <c r="BO48" s="124"/>
      <c r="BP48" s="124"/>
      <c r="BQ48" s="124"/>
      <c r="BR48" s="124"/>
      <c r="BS48" s="124"/>
      <c r="BT48" s="124"/>
      <c r="BU48" s="124"/>
      <c r="BV48" s="124"/>
      <c r="BW48" s="124"/>
      <c r="BX48" s="184">
        <f>SUM(BL48:BW48)</f>
        <v>0</v>
      </c>
      <c r="BY48" s="124"/>
    </row>
    <row r="49" spans="1:77" ht="10.199999999999999" x14ac:dyDescent="0.2">
      <c r="A49" s="176">
        <v>1</v>
      </c>
      <c r="C49" s="190" t="s">
        <v>408</v>
      </c>
      <c r="D49" s="183"/>
      <c r="E49" s="183">
        <f>T49+AH49+AV49+BJ49+BX49</f>
        <v>0</v>
      </c>
      <c r="F49" s="184"/>
      <c r="G49" s="139"/>
      <c r="H49" s="183">
        <f>IF(SUM($H48:H48)&lt;=796000,H48*0.271,H48*0.151)</f>
        <v>0</v>
      </c>
      <c r="I49" s="183">
        <f>IF(SUM($H48:I48)&lt;=796000,I48*0.271,I48*0.151)</f>
        <v>0</v>
      </c>
      <c r="J49" s="183">
        <f>IF(SUM($H48:J48)&lt;=796000,J48*0.271,J48*0.151)</f>
        <v>0</v>
      </c>
      <c r="K49" s="183">
        <f>IF(SUM($H48:K48)&lt;=796000,K48*0.271,K48*0.151)</f>
        <v>0</v>
      </c>
      <c r="L49" s="183">
        <f>IF(SUM($H48:L48)&lt;=796000,L48*0.271,L48*0.151)</f>
        <v>0</v>
      </c>
      <c r="M49" s="183">
        <f>IF(SUM($H48:M48)&lt;=796000,M48*0.271,M48*0.151)</f>
        <v>0</v>
      </c>
      <c r="N49" s="183">
        <f>IF(SUM($H48:N48)&lt;=796000,N48*0.271,N48*0.151)</f>
        <v>0</v>
      </c>
      <c r="O49" s="183">
        <f>IF(SUM($H48:O48)&lt;=796000,O48*0.271,O48*0.151)</f>
        <v>0</v>
      </c>
      <c r="P49" s="183">
        <f>IF(SUM($H48:P48)&lt;=796000,P48*0.271,P48*0.151)</f>
        <v>0</v>
      </c>
      <c r="Q49" s="183">
        <f>IF(SUM($H48:Q48)&lt;=796000,Q48*0.271,Q48*0.151)</f>
        <v>0</v>
      </c>
      <c r="R49" s="183">
        <f>IF(SUM($H48:R48)&lt;=796000,R48*0.271,R48*0.151)</f>
        <v>0</v>
      </c>
      <c r="S49" s="183">
        <f>IF(SUM($H48:S48)&lt;=796000,S48*0.271,S48*0.151)</f>
        <v>0</v>
      </c>
      <c r="T49" s="184">
        <f t="shared" ref="T49" si="150">SUM(H49:S49)</f>
        <v>0</v>
      </c>
      <c r="U49" s="139"/>
      <c r="V49" s="183">
        <f>IF(SUM(I48:$S48,$V48:V48)&lt;=796000,V48*0.271,V48*0.151)</f>
        <v>0</v>
      </c>
      <c r="W49" s="183">
        <f>IF(SUM(J48:$S48,$V48:W48)&lt;=796000,W48*0.271,W48*0.151)</f>
        <v>0</v>
      </c>
      <c r="X49" s="183">
        <f>IF(SUM(K48:$S48,$V48:X48)&lt;=796000,X48*0.271,X48*0.151)</f>
        <v>0</v>
      </c>
      <c r="Y49" s="183">
        <f>IF(SUM(L48:$S48,$V48:Y48)&lt;=796000,Y48*0.271,Y48*0.151)</f>
        <v>0</v>
      </c>
      <c r="Z49" s="183">
        <f>IF(SUM(M48:$S48,$V48:Z48)&lt;=796000,Z48*0.271,Z48*0.151)</f>
        <v>0</v>
      </c>
      <c r="AA49" s="183">
        <f>IF(SUM(N48:$S48,$V48:AA48)&lt;=796000,AA48*0.271,AA48*0.151)</f>
        <v>0</v>
      </c>
      <c r="AB49" s="183">
        <f>IF(SUM(O48:$S48,$V48:AB48)&lt;=796000,AB48*0.271,AB48*0.151)</f>
        <v>0</v>
      </c>
      <c r="AC49" s="183">
        <f>IF(SUM(P48:$S48,$V48:AC48)&lt;=796000,AC48*0.271,AC48*0.151)</f>
        <v>0</v>
      </c>
      <c r="AD49" s="183">
        <f>IF(SUM(Q48:$S48,$V48:AD48)&lt;=796000,AD48*0.271,AD48*0.151)</f>
        <v>0</v>
      </c>
      <c r="AE49" s="183">
        <f>IF(SUM(R48:$S48,$V48:AE48)&lt;=796000,AE48*0.271,AE48*0.151)</f>
        <v>0</v>
      </c>
      <c r="AF49" s="183">
        <f>IF(SUM(S48:$S48,$V48:AF48)&lt;=796000,AF48*0.271,AF48*0.151)</f>
        <v>0</v>
      </c>
      <c r="AG49" s="183">
        <f>IF(SUM($V48:AG48)&lt;=796000,AG48*0.271,AG48*0.151)</f>
        <v>0</v>
      </c>
      <c r="AH49" s="184">
        <f t="shared" ref="AH49" si="151">SUM(V49:AG49)</f>
        <v>0</v>
      </c>
      <c r="AI49" s="139"/>
      <c r="AJ49" s="183">
        <f>IF(SUM(W48:$AG48,$AJ48:AJ48)&lt;=796000,AJ48*0.271,AJ48*0.151)</f>
        <v>0</v>
      </c>
      <c r="AK49" s="183">
        <f>IF(SUM(X48:$AG48,$AJ48:AK48)&lt;=796000,AK48*0.271,AK48*0.151)</f>
        <v>0</v>
      </c>
      <c r="AL49" s="183">
        <f>IF(SUM(Y48:$AG48,$AJ48:AL48)&lt;=796000,AL48*0.271,AL48*0.151)</f>
        <v>0</v>
      </c>
      <c r="AM49" s="183">
        <f>IF(SUM(Z48:$AG48,$AJ48:AM48)&lt;=796000,AM48*0.271,AM48*0.151)</f>
        <v>0</v>
      </c>
      <c r="AN49" s="183">
        <f>IF(SUM(AA48:$AG48,$AJ48:AN48)&lt;=796000,AN48*0.271,AN48*0.151)</f>
        <v>0</v>
      </c>
      <c r="AO49" s="183">
        <f>IF(SUM(AB48:$AG48,$AJ48:AO48)&lt;=796000,AO48*0.271,AO48*0.151)</f>
        <v>0</v>
      </c>
      <c r="AP49" s="183">
        <f>IF(SUM(AC48:$AG48,$AJ48:AP48)&lt;=796000,AP48*0.271,AP48*0.151)</f>
        <v>0</v>
      </c>
      <c r="AQ49" s="183">
        <f>IF(SUM(AD48:$AG48,$AJ48:AQ48)&lt;=796000,AQ48*0.271,AQ48*0.151)</f>
        <v>0</v>
      </c>
      <c r="AR49" s="183">
        <f>IF(SUM(AE48:$AG48,$AJ48:AR48)&lt;=796000,AR48*0.271,AR48*0.151)</f>
        <v>0</v>
      </c>
      <c r="AS49" s="183">
        <f>IF(SUM(AF48:$AG48,$AJ48:AS48)&lt;=796000,AS48*0.271,AS48*0.151)</f>
        <v>0</v>
      </c>
      <c r="AT49" s="183">
        <f>IF(SUM(AG48:$AG48,$AJ48:AT48)&lt;=796000,AT48*0.271,AT48*0.151)</f>
        <v>0</v>
      </c>
      <c r="AU49" s="183">
        <f>IF(SUM($AJ48:AU48)&lt;=796000,AU48*0.271,AU48*0.151)</f>
        <v>0</v>
      </c>
      <c r="AV49" s="184">
        <f t="shared" ref="AV49" si="152">SUM(AJ49:AU49)</f>
        <v>0</v>
      </c>
      <c r="AW49" s="139"/>
      <c r="AX49" s="183">
        <f>IF(SUM(AK48:$AU48,$AX48:AX48)&lt;=796000,AX48*0.271,AX48*0.151)</f>
        <v>0</v>
      </c>
      <c r="AY49" s="183">
        <f>IF(SUM(AL48:$AU48,$AX48:AY48)&lt;=796000,AY48*0.271,AY48*0.151)</f>
        <v>0</v>
      </c>
      <c r="AZ49" s="183">
        <f>IF(SUM(AM48:$AU48,$AX48:AZ48)&lt;=796000,AZ48*0.271,AZ48*0.151)</f>
        <v>0</v>
      </c>
      <c r="BA49" s="183">
        <f>IF(SUM(AN48:$AU48,$AX48:BA48)&lt;=796000,BA48*0.271,BA48*0.151)</f>
        <v>0</v>
      </c>
      <c r="BB49" s="183">
        <f>IF(SUM(AO48:$AU48,$AX48:BB48)&lt;=796000,BB48*0.271,BB48*0.151)</f>
        <v>0</v>
      </c>
      <c r="BC49" s="183">
        <f>IF(SUM(AP48:$AU48,$AX48:BC48)&lt;=796000,BC48*0.271,BC48*0.151)</f>
        <v>0</v>
      </c>
      <c r="BD49" s="183">
        <f>IF(SUM(AQ48:$AU48,$AX48:BD48)&lt;=796000,BD48*0.271,BD48*0.151)</f>
        <v>0</v>
      </c>
      <c r="BE49" s="183">
        <f>IF(SUM(AR48:$AU48,$AX48:BE48)&lt;=796000,BE48*0.271,BE48*0.151)</f>
        <v>0</v>
      </c>
      <c r="BF49" s="183">
        <f>IF(SUM(AS48:$AU48,$AX48:BF48)&lt;=796000,BF48*0.271,BF48*0.151)</f>
        <v>0</v>
      </c>
      <c r="BG49" s="183">
        <f>IF(SUM(AT48:$AU48,$AX48:BG48)&lt;=796000,BG48*0.271,BG48*0.151)</f>
        <v>0</v>
      </c>
      <c r="BH49" s="183">
        <f>IF(SUM(AU48:$AU48,$AX48:BH48)&lt;=796000,BH48*0.271,BH48*0.151)</f>
        <v>0</v>
      </c>
      <c r="BI49" s="183">
        <f>IF(SUM($AX48:BI48)&lt;=796000,BI48*0.271,BI48*0.151)</f>
        <v>0</v>
      </c>
      <c r="BJ49" s="184">
        <f t="shared" ref="BJ49" si="153">SUM(AX49:BI49)</f>
        <v>0</v>
      </c>
      <c r="BK49" s="139"/>
      <c r="BL49" s="183">
        <f>IF(SUM(AY48:$BI48,$BL48:BL48)&lt;=796000,BL48*0.271,BL48*0.151)</f>
        <v>0</v>
      </c>
      <c r="BM49" s="183">
        <f>IF(SUM(AZ48:$BI48,$BL48:BM48)&lt;=796000,BM48*0.271,BM48*0.151)</f>
        <v>0</v>
      </c>
      <c r="BN49" s="183">
        <f>IF(SUM(BA48:$BI48,$BL48:BN48)&lt;=796000,BN48*0.271,BN48*0.151)</f>
        <v>0</v>
      </c>
      <c r="BO49" s="183">
        <f>IF(SUM(BB48:$BI48,$BL48:BO48)&lt;=796000,BO48*0.271,BO48*0.151)</f>
        <v>0</v>
      </c>
      <c r="BP49" s="183">
        <f>IF(SUM(BC48:$BI48,$BL48:BP48)&lt;=796000,BP48*0.271,BP48*0.151)</f>
        <v>0</v>
      </c>
      <c r="BQ49" s="183">
        <f>IF(SUM(BD48:$BI48,$BL48:BQ48)&lt;=796000,BQ48*0.271,BQ48*0.151)</f>
        <v>0</v>
      </c>
      <c r="BR49" s="183">
        <f>IF(SUM(BE48:$BI48,$BL48:BR48)&lt;=796000,BR48*0.271,BR48*0.151)</f>
        <v>0</v>
      </c>
      <c r="BS49" s="183">
        <f>IF(SUM(BF48:$BI48,$BL48:BS48)&lt;=796000,BS48*0.271,BS48*0.151)</f>
        <v>0</v>
      </c>
      <c r="BT49" s="183">
        <f>IF(SUM(BG48:$BI48,$BL48:BT48)&lt;=796000,BT48*0.271,BT48*0.151)</f>
        <v>0</v>
      </c>
      <c r="BU49" s="183">
        <f>IF(SUM(BH48:$BI48,$BL48:BU48)&lt;=796000,BU48*0.271,BU48*0.151)</f>
        <v>0</v>
      </c>
      <c r="BV49" s="183">
        <f>IF(SUM(BI48:$BI48,$BL48:BV48)&lt;=796000,BV48*0.271,BV48*0.151)</f>
        <v>0</v>
      </c>
      <c r="BW49" s="183">
        <f>IF(SUM($BL48:BW48)&lt;=796000,BW48*0.271,BW48*0.151)</f>
        <v>0</v>
      </c>
      <c r="BX49" s="184">
        <f t="shared" ref="BX49" si="154">SUM(BL49:BW49)</f>
        <v>0</v>
      </c>
      <c r="BY49" s="188"/>
    </row>
    <row r="50" spans="1:77" ht="10.199999999999999" x14ac:dyDescent="0.2">
      <c r="A50" s="176">
        <v>1</v>
      </c>
      <c r="C50" s="193" t="str">
        <f>IF(C48="","",C48)</f>
        <v/>
      </c>
      <c r="D50" s="192"/>
      <c r="E50" s="194"/>
      <c r="F50" s="184">
        <f>E50-(T50+AH50+AV50+BJ50+BX50)</f>
        <v>0</v>
      </c>
      <c r="G50" s="139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84">
        <f>SUM(H50:S50)</f>
        <v>0</v>
      </c>
      <c r="U50" s="139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84">
        <f>SUM(V50:AG50)</f>
        <v>0</v>
      </c>
      <c r="AI50" s="139"/>
      <c r="AJ50" s="124"/>
      <c r="AK50" s="124"/>
      <c r="AL50" s="124"/>
      <c r="AM50" s="124"/>
      <c r="AN50" s="124"/>
      <c r="AO50" s="124"/>
      <c r="AP50" s="124"/>
      <c r="AQ50" s="124"/>
      <c r="AR50" s="124"/>
      <c r="AS50" s="124"/>
      <c r="AT50" s="124"/>
      <c r="AU50" s="124"/>
      <c r="AV50" s="184">
        <f>SUM(AJ50:AU50)</f>
        <v>0</v>
      </c>
      <c r="AW50" s="139"/>
      <c r="AX50" s="124"/>
      <c r="AY50" s="124"/>
      <c r="AZ50" s="124"/>
      <c r="BA50" s="124"/>
      <c r="BB50" s="124"/>
      <c r="BC50" s="124"/>
      <c r="BD50" s="124"/>
      <c r="BE50" s="124"/>
      <c r="BF50" s="124"/>
      <c r="BG50" s="124"/>
      <c r="BH50" s="124"/>
      <c r="BI50" s="124"/>
      <c r="BJ50" s="184">
        <f>SUM(AX50:BI50)</f>
        <v>0</v>
      </c>
      <c r="BK50" s="139"/>
      <c r="BL50" s="124"/>
      <c r="BM50" s="124"/>
      <c r="BN50" s="124"/>
      <c r="BO50" s="124"/>
      <c r="BP50" s="124"/>
      <c r="BQ50" s="124"/>
      <c r="BR50" s="124"/>
      <c r="BS50" s="124"/>
      <c r="BT50" s="124"/>
      <c r="BU50" s="124"/>
      <c r="BV50" s="124"/>
      <c r="BW50" s="124"/>
      <c r="BX50" s="184">
        <f>SUM(BL50:BW50)</f>
        <v>0</v>
      </c>
      <c r="BY50" s="124"/>
    </row>
    <row r="51" spans="1:77" ht="10.199999999999999" x14ac:dyDescent="0.2">
      <c r="A51" s="176">
        <v>1</v>
      </c>
      <c r="C51" s="190" t="s">
        <v>408</v>
      </c>
      <c r="D51" s="183"/>
      <c r="E51" s="183">
        <f>T51+AH51+AV51+BJ51+BX51</f>
        <v>0</v>
      </c>
      <c r="F51" s="184"/>
      <c r="G51" s="139"/>
      <c r="H51" s="183">
        <f>IF(SUM($H50:H50)&lt;=796000,H50*0.271,H50*0.151)</f>
        <v>0</v>
      </c>
      <c r="I51" s="183">
        <f>IF(SUM($H50:I50)&lt;=796000,I50*0.271,I50*0.151)</f>
        <v>0</v>
      </c>
      <c r="J51" s="183">
        <f>IF(SUM($H50:J50)&lt;=796000,J50*0.271,J50*0.151)</f>
        <v>0</v>
      </c>
      <c r="K51" s="183">
        <f>IF(SUM($H50:K50)&lt;=796000,K50*0.271,K50*0.151)</f>
        <v>0</v>
      </c>
      <c r="L51" s="183">
        <f>IF(SUM($H50:L50)&lt;=796000,L50*0.271,L50*0.151)</f>
        <v>0</v>
      </c>
      <c r="M51" s="183">
        <f>IF(SUM($H50:M50)&lt;=796000,M50*0.271,M50*0.151)</f>
        <v>0</v>
      </c>
      <c r="N51" s="183">
        <f>IF(SUM($H50:N50)&lt;=796000,N50*0.271,N50*0.151)</f>
        <v>0</v>
      </c>
      <c r="O51" s="183">
        <f>IF(SUM($H50:O50)&lt;=796000,O50*0.271,O50*0.151)</f>
        <v>0</v>
      </c>
      <c r="P51" s="183">
        <f>IF(SUM($H50:P50)&lt;=796000,P50*0.271,P50*0.151)</f>
        <v>0</v>
      </c>
      <c r="Q51" s="183">
        <f>IF(SUM($H50:Q50)&lt;=796000,Q50*0.271,Q50*0.151)</f>
        <v>0</v>
      </c>
      <c r="R51" s="183">
        <f>IF(SUM($H50:R50)&lt;=796000,R50*0.271,R50*0.151)</f>
        <v>0</v>
      </c>
      <c r="S51" s="183">
        <f>IF(SUM($H50:S50)&lt;=796000,S50*0.271,S50*0.151)</f>
        <v>0</v>
      </c>
      <c r="T51" s="184">
        <f t="shared" ref="T51" si="155">SUM(H51:S51)</f>
        <v>0</v>
      </c>
      <c r="U51" s="139"/>
      <c r="V51" s="183">
        <f>IF(SUM(I50:$S50,$V50:V50)&lt;=796000,V50*0.271,V50*0.151)</f>
        <v>0</v>
      </c>
      <c r="W51" s="183">
        <f>IF(SUM(J50:$S50,$V50:W50)&lt;=796000,W50*0.271,W50*0.151)</f>
        <v>0</v>
      </c>
      <c r="X51" s="183">
        <f>IF(SUM(K50:$S50,$V50:X50)&lt;=796000,X50*0.271,X50*0.151)</f>
        <v>0</v>
      </c>
      <c r="Y51" s="183">
        <f>IF(SUM(L50:$S50,$V50:Y50)&lt;=796000,Y50*0.271,Y50*0.151)</f>
        <v>0</v>
      </c>
      <c r="Z51" s="183">
        <f>IF(SUM(M50:$S50,$V50:Z50)&lt;=796000,Z50*0.271,Z50*0.151)</f>
        <v>0</v>
      </c>
      <c r="AA51" s="183">
        <f>IF(SUM(N50:$S50,$V50:AA50)&lt;=796000,AA50*0.271,AA50*0.151)</f>
        <v>0</v>
      </c>
      <c r="AB51" s="183">
        <f>IF(SUM(O50:$S50,$V50:AB50)&lt;=796000,AB50*0.271,AB50*0.151)</f>
        <v>0</v>
      </c>
      <c r="AC51" s="183">
        <f>IF(SUM(P50:$S50,$V50:AC50)&lt;=796000,AC50*0.271,AC50*0.151)</f>
        <v>0</v>
      </c>
      <c r="AD51" s="183">
        <f>IF(SUM(Q50:$S50,$V50:AD50)&lt;=796000,AD50*0.271,AD50*0.151)</f>
        <v>0</v>
      </c>
      <c r="AE51" s="183">
        <f>IF(SUM(R50:$S50,$V50:AE50)&lt;=796000,AE50*0.271,AE50*0.151)</f>
        <v>0</v>
      </c>
      <c r="AF51" s="183">
        <f>IF(SUM(S50:$S50,$V50:AF50)&lt;=796000,AF50*0.271,AF50*0.151)</f>
        <v>0</v>
      </c>
      <c r="AG51" s="183">
        <f>IF(SUM($V50:AG50)&lt;=796000,AG50*0.271,AG50*0.151)</f>
        <v>0</v>
      </c>
      <c r="AH51" s="184">
        <f t="shared" ref="AH51" si="156">SUM(V51:AG51)</f>
        <v>0</v>
      </c>
      <c r="AI51" s="139"/>
      <c r="AJ51" s="183">
        <f>IF(SUM(W50:$AG50,$AJ50:AJ50)&lt;=796000,AJ50*0.271,AJ50*0.151)</f>
        <v>0</v>
      </c>
      <c r="AK51" s="183">
        <f>IF(SUM(X50:$AG50,$AJ50:AK50)&lt;=796000,AK50*0.271,AK50*0.151)</f>
        <v>0</v>
      </c>
      <c r="AL51" s="183">
        <f>IF(SUM(Y50:$AG50,$AJ50:AL50)&lt;=796000,AL50*0.271,AL50*0.151)</f>
        <v>0</v>
      </c>
      <c r="AM51" s="183">
        <f>IF(SUM(Z50:$AG50,$AJ50:AM50)&lt;=796000,AM50*0.271,AM50*0.151)</f>
        <v>0</v>
      </c>
      <c r="AN51" s="183">
        <f>IF(SUM(AA50:$AG50,$AJ50:AN50)&lt;=796000,AN50*0.271,AN50*0.151)</f>
        <v>0</v>
      </c>
      <c r="AO51" s="183">
        <f>IF(SUM(AB50:$AG50,$AJ50:AO50)&lt;=796000,AO50*0.271,AO50*0.151)</f>
        <v>0</v>
      </c>
      <c r="AP51" s="183">
        <f>IF(SUM(AC50:$AG50,$AJ50:AP50)&lt;=796000,AP50*0.271,AP50*0.151)</f>
        <v>0</v>
      </c>
      <c r="AQ51" s="183">
        <f>IF(SUM(AD50:$AG50,$AJ50:AQ50)&lt;=796000,AQ50*0.271,AQ50*0.151)</f>
        <v>0</v>
      </c>
      <c r="AR51" s="183">
        <f>IF(SUM(AE50:$AG50,$AJ50:AR50)&lt;=796000,AR50*0.271,AR50*0.151)</f>
        <v>0</v>
      </c>
      <c r="AS51" s="183">
        <f>IF(SUM(AF50:$AG50,$AJ50:AS50)&lt;=796000,AS50*0.271,AS50*0.151)</f>
        <v>0</v>
      </c>
      <c r="AT51" s="183">
        <f>IF(SUM(AG50:$AG50,$AJ50:AT50)&lt;=796000,AT50*0.271,AT50*0.151)</f>
        <v>0</v>
      </c>
      <c r="AU51" s="183">
        <f>IF(SUM($AJ50:AU50)&lt;=796000,AU50*0.271,AU50*0.151)</f>
        <v>0</v>
      </c>
      <c r="AV51" s="184">
        <f t="shared" ref="AV51" si="157">SUM(AJ51:AU51)</f>
        <v>0</v>
      </c>
      <c r="AW51" s="139"/>
      <c r="AX51" s="183">
        <f>IF(SUM(AK50:$AU50,$AX50:AX50)&lt;=796000,AX50*0.271,AX50*0.151)</f>
        <v>0</v>
      </c>
      <c r="AY51" s="183">
        <f>IF(SUM(AL50:$AU50,$AX50:AY50)&lt;=796000,AY50*0.271,AY50*0.151)</f>
        <v>0</v>
      </c>
      <c r="AZ51" s="183">
        <f>IF(SUM(AM50:$AU50,$AX50:AZ50)&lt;=796000,AZ50*0.271,AZ50*0.151)</f>
        <v>0</v>
      </c>
      <c r="BA51" s="183">
        <f>IF(SUM(AN50:$AU50,$AX50:BA50)&lt;=796000,BA50*0.271,BA50*0.151)</f>
        <v>0</v>
      </c>
      <c r="BB51" s="183">
        <f>IF(SUM(AO50:$AU50,$AX50:BB50)&lt;=796000,BB50*0.271,BB50*0.151)</f>
        <v>0</v>
      </c>
      <c r="BC51" s="183">
        <f>IF(SUM(AP50:$AU50,$AX50:BC50)&lt;=796000,BC50*0.271,BC50*0.151)</f>
        <v>0</v>
      </c>
      <c r="BD51" s="183">
        <f>IF(SUM(AQ50:$AU50,$AX50:BD50)&lt;=796000,BD50*0.271,BD50*0.151)</f>
        <v>0</v>
      </c>
      <c r="BE51" s="183">
        <f>IF(SUM(AR50:$AU50,$AX50:BE50)&lt;=796000,BE50*0.271,BE50*0.151)</f>
        <v>0</v>
      </c>
      <c r="BF51" s="183">
        <f>IF(SUM(AS50:$AU50,$AX50:BF50)&lt;=796000,BF50*0.271,BF50*0.151)</f>
        <v>0</v>
      </c>
      <c r="BG51" s="183">
        <f>IF(SUM(AT50:$AU50,$AX50:BG50)&lt;=796000,BG50*0.271,BG50*0.151)</f>
        <v>0</v>
      </c>
      <c r="BH51" s="183">
        <f>IF(SUM(AU50:$AU50,$AX50:BH50)&lt;=796000,BH50*0.271,BH50*0.151)</f>
        <v>0</v>
      </c>
      <c r="BI51" s="183">
        <f>IF(SUM($AX50:BI50)&lt;=796000,BI50*0.271,BI50*0.151)</f>
        <v>0</v>
      </c>
      <c r="BJ51" s="184">
        <f t="shared" ref="BJ51" si="158">SUM(AX51:BI51)</f>
        <v>0</v>
      </c>
      <c r="BK51" s="139"/>
      <c r="BL51" s="183">
        <f>IF(SUM(AY50:$BI50,$BL50:BL50)&lt;=796000,BL50*0.271,BL50*0.151)</f>
        <v>0</v>
      </c>
      <c r="BM51" s="183">
        <f>IF(SUM(AZ50:$BI50,$BL50:BM50)&lt;=796000,BM50*0.271,BM50*0.151)</f>
        <v>0</v>
      </c>
      <c r="BN51" s="183">
        <f>IF(SUM(BA50:$BI50,$BL50:BN50)&lt;=796000,BN50*0.271,BN50*0.151)</f>
        <v>0</v>
      </c>
      <c r="BO51" s="183">
        <f>IF(SUM(BB50:$BI50,$BL50:BO50)&lt;=796000,BO50*0.271,BO50*0.151)</f>
        <v>0</v>
      </c>
      <c r="BP51" s="183">
        <f>IF(SUM(BC50:$BI50,$BL50:BP50)&lt;=796000,BP50*0.271,BP50*0.151)</f>
        <v>0</v>
      </c>
      <c r="BQ51" s="183">
        <f>IF(SUM(BD50:$BI50,$BL50:BQ50)&lt;=796000,BQ50*0.271,BQ50*0.151)</f>
        <v>0</v>
      </c>
      <c r="BR51" s="183">
        <f>IF(SUM(BE50:$BI50,$BL50:BR50)&lt;=796000,BR50*0.271,BR50*0.151)</f>
        <v>0</v>
      </c>
      <c r="BS51" s="183">
        <f>IF(SUM(BF50:$BI50,$BL50:BS50)&lt;=796000,BS50*0.271,BS50*0.151)</f>
        <v>0</v>
      </c>
      <c r="BT51" s="183">
        <f>IF(SUM(BG50:$BI50,$BL50:BT50)&lt;=796000,BT50*0.271,BT50*0.151)</f>
        <v>0</v>
      </c>
      <c r="BU51" s="183">
        <f>IF(SUM(BH50:$BI50,$BL50:BU50)&lt;=796000,BU50*0.271,BU50*0.151)</f>
        <v>0</v>
      </c>
      <c r="BV51" s="183">
        <f>IF(SUM(BI50:$BI50,$BL50:BV50)&lt;=796000,BV50*0.271,BV50*0.151)</f>
        <v>0</v>
      </c>
      <c r="BW51" s="183">
        <f>IF(SUM($BL50:BW50)&lt;=796000,BW50*0.271,BW50*0.151)</f>
        <v>0</v>
      </c>
      <c r="BX51" s="184">
        <f t="shared" ref="BX51" si="159">SUM(BL51:BW51)</f>
        <v>0</v>
      </c>
      <c r="BY51" s="188"/>
    </row>
    <row r="52" spans="1:77" ht="10.199999999999999" x14ac:dyDescent="0.2">
      <c r="A52" s="176">
        <v>1</v>
      </c>
      <c r="C52" s="193" t="str">
        <f>IF(C50="","",C50)</f>
        <v/>
      </c>
      <c r="D52" s="192"/>
      <c r="E52" s="194"/>
      <c r="F52" s="184">
        <f>E52-(T52+AH52+AV52+BJ52+BX52)</f>
        <v>0</v>
      </c>
      <c r="G52" s="139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84">
        <f>SUM(H52:S52)</f>
        <v>0</v>
      </c>
      <c r="U52" s="139"/>
      <c r="V52" s="124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24"/>
      <c r="AH52" s="184">
        <f>SUM(V52:AG52)</f>
        <v>0</v>
      </c>
      <c r="AI52" s="139"/>
      <c r="AJ52" s="124"/>
      <c r="AK52" s="124"/>
      <c r="AL52" s="124"/>
      <c r="AM52" s="124"/>
      <c r="AN52" s="124"/>
      <c r="AO52" s="124"/>
      <c r="AP52" s="124"/>
      <c r="AQ52" s="124"/>
      <c r="AR52" s="124"/>
      <c r="AS52" s="124"/>
      <c r="AT52" s="124"/>
      <c r="AU52" s="124"/>
      <c r="AV52" s="184">
        <f>SUM(AJ52:AU52)</f>
        <v>0</v>
      </c>
      <c r="AW52" s="139"/>
      <c r="AX52" s="124"/>
      <c r="AY52" s="124"/>
      <c r="AZ52" s="124"/>
      <c r="BA52" s="124"/>
      <c r="BB52" s="124"/>
      <c r="BC52" s="124"/>
      <c r="BD52" s="124"/>
      <c r="BE52" s="124"/>
      <c r="BF52" s="124"/>
      <c r="BG52" s="124"/>
      <c r="BH52" s="124"/>
      <c r="BI52" s="124"/>
      <c r="BJ52" s="184">
        <f>SUM(AX52:BI52)</f>
        <v>0</v>
      </c>
      <c r="BK52" s="139"/>
      <c r="BL52" s="124"/>
      <c r="BM52" s="124"/>
      <c r="BN52" s="124"/>
      <c r="BO52" s="124"/>
      <c r="BP52" s="124"/>
      <c r="BQ52" s="124"/>
      <c r="BR52" s="124"/>
      <c r="BS52" s="124"/>
      <c r="BT52" s="124"/>
      <c r="BU52" s="124"/>
      <c r="BV52" s="124"/>
      <c r="BW52" s="124"/>
      <c r="BX52" s="184">
        <f>SUM(BL52:BW52)</f>
        <v>0</v>
      </c>
      <c r="BY52" s="124"/>
    </row>
    <row r="53" spans="1:77" ht="10.199999999999999" x14ac:dyDescent="0.2">
      <c r="A53" s="176">
        <v>1</v>
      </c>
      <c r="C53" s="190" t="s">
        <v>408</v>
      </c>
      <c r="D53" s="183"/>
      <c r="E53" s="183">
        <f>T53+AH53+AV53+BJ53+BX53</f>
        <v>0</v>
      </c>
      <c r="F53" s="184"/>
      <c r="G53" s="139"/>
      <c r="H53" s="183">
        <f>IF(SUM($H52:H52)&lt;=796000,H52*0.271,H52*0.151)</f>
        <v>0</v>
      </c>
      <c r="I53" s="183">
        <f>IF(SUM($H52:I52)&lt;=796000,I52*0.271,I52*0.151)</f>
        <v>0</v>
      </c>
      <c r="J53" s="183">
        <f>IF(SUM($H52:J52)&lt;=796000,J52*0.271,J52*0.151)</f>
        <v>0</v>
      </c>
      <c r="K53" s="183">
        <f>IF(SUM($H52:K52)&lt;=796000,K52*0.271,K52*0.151)</f>
        <v>0</v>
      </c>
      <c r="L53" s="183">
        <f>IF(SUM($H52:L52)&lt;=796000,L52*0.271,L52*0.151)</f>
        <v>0</v>
      </c>
      <c r="M53" s="183">
        <f>IF(SUM($H52:M52)&lt;=796000,M52*0.271,M52*0.151)</f>
        <v>0</v>
      </c>
      <c r="N53" s="183">
        <f>IF(SUM($H52:N52)&lt;=796000,N52*0.271,N52*0.151)</f>
        <v>0</v>
      </c>
      <c r="O53" s="183">
        <f>IF(SUM($H52:O52)&lt;=796000,O52*0.271,O52*0.151)</f>
        <v>0</v>
      </c>
      <c r="P53" s="183">
        <f>IF(SUM($H52:P52)&lt;=796000,P52*0.271,P52*0.151)</f>
        <v>0</v>
      </c>
      <c r="Q53" s="183">
        <f>IF(SUM($H52:Q52)&lt;=796000,Q52*0.271,Q52*0.151)</f>
        <v>0</v>
      </c>
      <c r="R53" s="183">
        <f>IF(SUM($H52:R52)&lt;=796000,R52*0.271,R52*0.151)</f>
        <v>0</v>
      </c>
      <c r="S53" s="183">
        <f>IF(SUM($H52:S52)&lt;=796000,S52*0.271,S52*0.151)</f>
        <v>0</v>
      </c>
      <c r="T53" s="184">
        <f t="shared" ref="T53" si="160">SUM(H53:S53)</f>
        <v>0</v>
      </c>
      <c r="U53" s="139"/>
      <c r="V53" s="183">
        <f>IF(SUM(I52:$S52,$V52:V52)&lt;=796000,V52*0.271,V52*0.151)</f>
        <v>0</v>
      </c>
      <c r="W53" s="183">
        <f>IF(SUM(J52:$S52,$V52:W52)&lt;=796000,W52*0.271,W52*0.151)</f>
        <v>0</v>
      </c>
      <c r="X53" s="183">
        <f>IF(SUM(K52:$S52,$V52:X52)&lt;=796000,X52*0.271,X52*0.151)</f>
        <v>0</v>
      </c>
      <c r="Y53" s="183">
        <f>IF(SUM(L52:$S52,$V52:Y52)&lt;=796000,Y52*0.271,Y52*0.151)</f>
        <v>0</v>
      </c>
      <c r="Z53" s="183">
        <f>IF(SUM(M52:$S52,$V52:Z52)&lt;=796000,Z52*0.271,Z52*0.151)</f>
        <v>0</v>
      </c>
      <c r="AA53" s="183">
        <f>IF(SUM(N52:$S52,$V52:AA52)&lt;=796000,AA52*0.271,AA52*0.151)</f>
        <v>0</v>
      </c>
      <c r="AB53" s="183">
        <f>IF(SUM(O52:$S52,$V52:AB52)&lt;=796000,AB52*0.271,AB52*0.151)</f>
        <v>0</v>
      </c>
      <c r="AC53" s="183">
        <f>IF(SUM(P52:$S52,$V52:AC52)&lt;=796000,AC52*0.271,AC52*0.151)</f>
        <v>0</v>
      </c>
      <c r="AD53" s="183">
        <f>IF(SUM(Q52:$S52,$V52:AD52)&lt;=796000,AD52*0.271,AD52*0.151)</f>
        <v>0</v>
      </c>
      <c r="AE53" s="183">
        <f>IF(SUM(R52:$S52,$V52:AE52)&lt;=796000,AE52*0.271,AE52*0.151)</f>
        <v>0</v>
      </c>
      <c r="AF53" s="183">
        <f>IF(SUM(S52:$S52,$V52:AF52)&lt;=796000,AF52*0.271,AF52*0.151)</f>
        <v>0</v>
      </c>
      <c r="AG53" s="183">
        <f>IF(SUM($V52:AG52)&lt;=796000,AG52*0.271,AG52*0.151)</f>
        <v>0</v>
      </c>
      <c r="AH53" s="184">
        <f t="shared" ref="AH53" si="161">SUM(V53:AG53)</f>
        <v>0</v>
      </c>
      <c r="AI53" s="139"/>
      <c r="AJ53" s="183">
        <f>IF(SUM(W52:$AG52,$AJ52:AJ52)&lt;=796000,AJ52*0.271,AJ52*0.151)</f>
        <v>0</v>
      </c>
      <c r="AK53" s="183">
        <f>IF(SUM(X52:$AG52,$AJ52:AK52)&lt;=796000,AK52*0.271,AK52*0.151)</f>
        <v>0</v>
      </c>
      <c r="AL53" s="183">
        <f>IF(SUM(Y52:$AG52,$AJ52:AL52)&lt;=796000,AL52*0.271,AL52*0.151)</f>
        <v>0</v>
      </c>
      <c r="AM53" s="183">
        <f>IF(SUM(Z52:$AG52,$AJ52:AM52)&lt;=796000,AM52*0.271,AM52*0.151)</f>
        <v>0</v>
      </c>
      <c r="AN53" s="183">
        <f>IF(SUM(AA52:$AG52,$AJ52:AN52)&lt;=796000,AN52*0.271,AN52*0.151)</f>
        <v>0</v>
      </c>
      <c r="AO53" s="183">
        <f>IF(SUM(AB52:$AG52,$AJ52:AO52)&lt;=796000,AO52*0.271,AO52*0.151)</f>
        <v>0</v>
      </c>
      <c r="AP53" s="183">
        <f>IF(SUM(AC52:$AG52,$AJ52:AP52)&lt;=796000,AP52*0.271,AP52*0.151)</f>
        <v>0</v>
      </c>
      <c r="AQ53" s="183">
        <f>IF(SUM(AD52:$AG52,$AJ52:AQ52)&lt;=796000,AQ52*0.271,AQ52*0.151)</f>
        <v>0</v>
      </c>
      <c r="AR53" s="183">
        <f>IF(SUM(AE52:$AG52,$AJ52:AR52)&lt;=796000,AR52*0.271,AR52*0.151)</f>
        <v>0</v>
      </c>
      <c r="AS53" s="183">
        <f>IF(SUM(AF52:$AG52,$AJ52:AS52)&lt;=796000,AS52*0.271,AS52*0.151)</f>
        <v>0</v>
      </c>
      <c r="AT53" s="183">
        <f>IF(SUM(AG52:$AG52,$AJ52:AT52)&lt;=796000,AT52*0.271,AT52*0.151)</f>
        <v>0</v>
      </c>
      <c r="AU53" s="183">
        <f>IF(SUM($AJ52:AU52)&lt;=796000,AU52*0.271,AU52*0.151)</f>
        <v>0</v>
      </c>
      <c r="AV53" s="184">
        <f t="shared" ref="AV53" si="162">SUM(AJ53:AU53)</f>
        <v>0</v>
      </c>
      <c r="AW53" s="139"/>
      <c r="AX53" s="183">
        <f>IF(SUM(AK52:$AU52,$AX52:AX52)&lt;=796000,AX52*0.271,AX52*0.151)</f>
        <v>0</v>
      </c>
      <c r="AY53" s="183">
        <f>IF(SUM(AL52:$AU52,$AX52:AY52)&lt;=796000,AY52*0.271,AY52*0.151)</f>
        <v>0</v>
      </c>
      <c r="AZ53" s="183">
        <f>IF(SUM(AM52:$AU52,$AX52:AZ52)&lt;=796000,AZ52*0.271,AZ52*0.151)</f>
        <v>0</v>
      </c>
      <c r="BA53" s="183">
        <f>IF(SUM(AN52:$AU52,$AX52:BA52)&lt;=796000,BA52*0.271,BA52*0.151)</f>
        <v>0</v>
      </c>
      <c r="BB53" s="183">
        <f>IF(SUM(AO52:$AU52,$AX52:BB52)&lt;=796000,BB52*0.271,BB52*0.151)</f>
        <v>0</v>
      </c>
      <c r="BC53" s="183">
        <f>IF(SUM(AP52:$AU52,$AX52:BC52)&lt;=796000,BC52*0.271,BC52*0.151)</f>
        <v>0</v>
      </c>
      <c r="BD53" s="183">
        <f>IF(SUM(AQ52:$AU52,$AX52:BD52)&lt;=796000,BD52*0.271,BD52*0.151)</f>
        <v>0</v>
      </c>
      <c r="BE53" s="183">
        <f>IF(SUM(AR52:$AU52,$AX52:BE52)&lt;=796000,BE52*0.271,BE52*0.151)</f>
        <v>0</v>
      </c>
      <c r="BF53" s="183">
        <f>IF(SUM(AS52:$AU52,$AX52:BF52)&lt;=796000,BF52*0.271,BF52*0.151)</f>
        <v>0</v>
      </c>
      <c r="BG53" s="183">
        <f>IF(SUM(AT52:$AU52,$AX52:BG52)&lt;=796000,BG52*0.271,BG52*0.151)</f>
        <v>0</v>
      </c>
      <c r="BH53" s="183">
        <f>IF(SUM(AU52:$AU52,$AX52:BH52)&lt;=796000,BH52*0.271,BH52*0.151)</f>
        <v>0</v>
      </c>
      <c r="BI53" s="183">
        <f>IF(SUM($AX52:BI52)&lt;=796000,BI52*0.271,BI52*0.151)</f>
        <v>0</v>
      </c>
      <c r="BJ53" s="184">
        <f t="shared" ref="BJ53" si="163">SUM(AX53:BI53)</f>
        <v>0</v>
      </c>
      <c r="BK53" s="139"/>
      <c r="BL53" s="183">
        <f>IF(SUM(AY52:$BI52,$BL52:BL52)&lt;=796000,BL52*0.271,BL52*0.151)</f>
        <v>0</v>
      </c>
      <c r="BM53" s="183">
        <f>IF(SUM(AZ52:$BI52,$BL52:BM52)&lt;=796000,BM52*0.271,BM52*0.151)</f>
        <v>0</v>
      </c>
      <c r="BN53" s="183">
        <f>IF(SUM(BA52:$BI52,$BL52:BN52)&lt;=796000,BN52*0.271,BN52*0.151)</f>
        <v>0</v>
      </c>
      <c r="BO53" s="183">
        <f>IF(SUM(BB52:$BI52,$BL52:BO52)&lt;=796000,BO52*0.271,BO52*0.151)</f>
        <v>0</v>
      </c>
      <c r="BP53" s="183">
        <f>IF(SUM(BC52:$BI52,$BL52:BP52)&lt;=796000,BP52*0.271,BP52*0.151)</f>
        <v>0</v>
      </c>
      <c r="BQ53" s="183">
        <f>IF(SUM(BD52:$BI52,$BL52:BQ52)&lt;=796000,BQ52*0.271,BQ52*0.151)</f>
        <v>0</v>
      </c>
      <c r="BR53" s="183">
        <f>IF(SUM(BE52:$BI52,$BL52:BR52)&lt;=796000,BR52*0.271,BR52*0.151)</f>
        <v>0</v>
      </c>
      <c r="BS53" s="183">
        <f>IF(SUM(BF52:$BI52,$BL52:BS52)&lt;=796000,BS52*0.271,BS52*0.151)</f>
        <v>0</v>
      </c>
      <c r="BT53" s="183">
        <f>IF(SUM(BG52:$BI52,$BL52:BT52)&lt;=796000,BT52*0.271,BT52*0.151)</f>
        <v>0</v>
      </c>
      <c r="BU53" s="183">
        <f>IF(SUM(BH52:$BI52,$BL52:BU52)&lt;=796000,BU52*0.271,BU52*0.151)</f>
        <v>0</v>
      </c>
      <c r="BV53" s="183">
        <f>IF(SUM(BI52:$BI52,$BL52:BV52)&lt;=796000,BV52*0.271,BV52*0.151)</f>
        <v>0</v>
      </c>
      <c r="BW53" s="183">
        <f>IF(SUM($BL52:BW52)&lt;=796000,BW52*0.271,BW52*0.151)</f>
        <v>0</v>
      </c>
      <c r="BX53" s="184">
        <f t="shared" ref="BX53" si="164">SUM(BL53:BW53)</f>
        <v>0</v>
      </c>
      <c r="BY53" s="188"/>
    </row>
    <row r="54" spans="1:77" ht="10.199999999999999" x14ac:dyDescent="0.2">
      <c r="A54" s="176">
        <v>1</v>
      </c>
      <c r="C54" s="193" t="str">
        <f>IF(C52="","",C52)</f>
        <v/>
      </c>
      <c r="D54" s="192"/>
      <c r="E54" s="194"/>
      <c r="F54" s="184">
        <f>E54-(T54+AH54+AV54+BJ54+BX54)</f>
        <v>0</v>
      </c>
      <c r="G54" s="139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84">
        <f>SUM(H54:S54)</f>
        <v>0</v>
      </c>
      <c r="U54" s="139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84">
        <f>SUM(V54:AG54)</f>
        <v>0</v>
      </c>
      <c r="AI54" s="139"/>
      <c r="AJ54" s="124"/>
      <c r="AK54" s="124"/>
      <c r="AL54" s="124"/>
      <c r="AM54" s="124"/>
      <c r="AN54" s="124"/>
      <c r="AO54" s="124"/>
      <c r="AP54" s="124"/>
      <c r="AQ54" s="124"/>
      <c r="AR54" s="124"/>
      <c r="AS54" s="124"/>
      <c r="AT54" s="124"/>
      <c r="AU54" s="124"/>
      <c r="AV54" s="184">
        <f>SUM(AJ54:AU54)</f>
        <v>0</v>
      </c>
      <c r="AW54" s="139"/>
      <c r="AX54" s="124"/>
      <c r="AY54" s="124"/>
      <c r="AZ54" s="124"/>
      <c r="BA54" s="124"/>
      <c r="BB54" s="124"/>
      <c r="BC54" s="124"/>
      <c r="BD54" s="124"/>
      <c r="BE54" s="124"/>
      <c r="BF54" s="124"/>
      <c r="BG54" s="124"/>
      <c r="BH54" s="124"/>
      <c r="BI54" s="124"/>
      <c r="BJ54" s="184">
        <f>SUM(AX54:BI54)</f>
        <v>0</v>
      </c>
      <c r="BK54" s="139"/>
      <c r="BL54" s="124"/>
      <c r="BM54" s="124"/>
      <c r="BN54" s="124"/>
      <c r="BO54" s="124"/>
      <c r="BP54" s="124"/>
      <c r="BQ54" s="124"/>
      <c r="BR54" s="124"/>
      <c r="BS54" s="124"/>
      <c r="BT54" s="124"/>
      <c r="BU54" s="124"/>
      <c r="BV54" s="124"/>
      <c r="BW54" s="124"/>
      <c r="BX54" s="184">
        <f>SUM(BL54:BW54)</f>
        <v>0</v>
      </c>
      <c r="BY54" s="124"/>
    </row>
    <row r="55" spans="1:77" ht="10.199999999999999" x14ac:dyDescent="0.2">
      <c r="A55" s="176">
        <v>1</v>
      </c>
      <c r="C55" s="191" t="s">
        <v>408</v>
      </c>
      <c r="D55" s="187"/>
      <c r="E55" s="187">
        <f>T55+AH55+AV55+BJ55+BX55</f>
        <v>0</v>
      </c>
      <c r="F55" s="187"/>
      <c r="G55" s="139"/>
      <c r="H55" s="215">
        <f>IF(SUM($H54:H54)&lt;=796000,H54*0.271,H54*0.151)</f>
        <v>0</v>
      </c>
      <c r="I55" s="215">
        <f>IF(SUM($H54:I54)&lt;=796000,I54*0.271,I54*0.151)</f>
        <v>0</v>
      </c>
      <c r="J55" s="215">
        <f>IF(SUM($H54:J54)&lt;=796000,J54*0.271,J54*0.151)</f>
        <v>0</v>
      </c>
      <c r="K55" s="215">
        <f>IF(SUM($H54:K54)&lt;=796000,K54*0.271,K54*0.151)</f>
        <v>0</v>
      </c>
      <c r="L55" s="215">
        <f>IF(SUM($H54:L54)&lt;=796000,L54*0.271,L54*0.151)</f>
        <v>0</v>
      </c>
      <c r="M55" s="215">
        <f>IF(SUM($H54:M54)&lt;=796000,M54*0.271,M54*0.151)</f>
        <v>0</v>
      </c>
      <c r="N55" s="215">
        <f>IF(SUM($H54:N54)&lt;=796000,N54*0.271,N54*0.151)</f>
        <v>0</v>
      </c>
      <c r="O55" s="215">
        <f>IF(SUM($H54:O54)&lt;=796000,O54*0.271,O54*0.151)</f>
        <v>0</v>
      </c>
      <c r="P55" s="215">
        <f>IF(SUM($H54:P54)&lt;=796000,P54*0.271,P54*0.151)</f>
        <v>0</v>
      </c>
      <c r="Q55" s="215">
        <f>IF(SUM($H54:Q54)&lt;=796000,Q54*0.271,Q54*0.151)</f>
        <v>0</v>
      </c>
      <c r="R55" s="215">
        <f>IF(SUM($H54:R54)&lt;=796000,R54*0.271,R54*0.151)</f>
        <v>0</v>
      </c>
      <c r="S55" s="215">
        <f>IF(SUM($H54:S54)&lt;=796000,S54*0.271,S54*0.151)</f>
        <v>0</v>
      </c>
      <c r="T55" s="215">
        <f t="shared" ref="T55" si="165">SUM(H55:S55)</f>
        <v>0</v>
      </c>
      <c r="U55" s="139"/>
      <c r="V55" s="215">
        <f>IF(SUM(I54:$S54,$V54:V54)&lt;=796000,V54*0.271,V54*0.151)</f>
        <v>0</v>
      </c>
      <c r="W55" s="215">
        <f>IF(SUM(J54:$S54,$V54:W54)&lt;=796000,W54*0.271,W54*0.151)</f>
        <v>0</v>
      </c>
      <c r="X55" s="215">
        <f>IF(SUM(K54:$S54,$V54:X54)&lt;=796000,X54*0.271,X54*0.151)</f>
        <v>0</v>
      </c>
      <c r="Y55" s="215">
        <f>IF(SUM(L54:$S54,$V54:Y54)&lt;=796000,Y54*0.271,Y54*0.151)</f>
        <v>0</v>
      </c>
      <c r="Z55" s="215">
        <f>IF(SUM(M54:$S54,$V54:Z54)&lt;=796000,Z54*0.271,Z54*0.151)</f>
        <v>0</v>
      </c>
      <c r="AA55" s="215">
        <f>IF(SUM(N54:$S54,$V54:AA54)&lt;=796000,AA54*0.271,AA54*0.151)</f>
        <v>0</v>
      </c>
      <c r="AB55" s="215">
        <f>IF(SUM(O54:$S54,$V54:AB54)&lt;=796000,AB54*0.271,AB54*0.151)</f>
        <v>0</v>
      </c>
      <c r="AC55" s="215">
        <f>IF(SUM(P54:$S54,$V54:AC54)&lt;=796000,AC54*0.271,AC54*0.151)</f>
        <v>0</v>
      </c>
      <c r="AD55" s="215">
        <f>IF(SUM(Q54:$S54,$V54:AD54)&lt;=796000,AD54*0.271,AD54*0.151)</f>
        <v>0</v>
      </c>
      <c r="AE55" s="215">
        <f>IF(SUM(R54:$S54,$V54:AE54)&lt;=796000,AE54*0.271,AE54*0.151)</f>
        <v>0</v>
      </c>
      <c r="AF55" s="215">
        <f>IF(SUM(S54:$S54,$V54:AF54)&lt;=796000,AF54*0.271,AF54*0.151)</f>
        <v>0</v>
      </c>
      <c r="AG55" s="215">
        <f>IF(SUM($V54:AG54)&lt;=796000,AG54*0.271,AG54*0.151)</f>
        <v>0</v>
      </c>
      <c r="AH55" s="187">
        <f t="shared" ref="AH55" si="166">SUM(V55:AG55)</f>
        <v>0</v>
      </c>
      <c r="AI55" s="139"/>
      <c r="AJ55" s="215">
        <f>IF(SUM(W54:$AG54,$AJ54:AJ54)&lt;=796000,AJ54*0.271,AJ54*0.151)</f>
        <v>0</v>
      </c>
      <c r="AK55" s="215">
        <f>IF(SUM(X54:$AG54,$AJ54:AK54)&lt;=796000,AK54*0.271,AK54*0.151)</f>
        <v>0</v>
      </c>
      <c r="AL55" s="215">
        <f>IF(SUM(Y54:$AG54,$AJ54:AL54)&lt;=796000,AL54*0.271,AL54*0.151)</f>
        <v>0</v>
      </c>
      <c r="AM55" s="215">
        <f>IF(SUM(Z54:$AG54,$AJ54:AM54)&lt;=796000,AM54*0.271,AM54*0.151)</f>
        <v>0</v>
      </c>
      <c r="AN55" s="215">
        <f>IF(SUM(AA54:$AG54,$AJ54:AN54)&lt;=796000,AN54*0.271,AN54*0.151)</f>
        <v>0</v>
      </c>
      <c r="AO55" s="215">
        <f>IF(SUM(AB54:$AG54,$AJ54:AO54)&lt;=796000,AO54*0.271,AO54*0.151)</f>
        <v>0</v>
      </c>
      <c r="AP55" s="215">
        <f>IF(SUM(AC54:$AG54,$AJ54:AP54)&lt;=796000,AP54*0.271,AP54*0.151)</f>
        <v>0</v>
      </c>
      <c r="AQ55" s="215">
        <f>IF(SUM(AD54:$AG54,$AJ54:AQ54)&lt;=796000,AQ54*0.271,AQ54*0.151)</f>
        <v>0</v>
      </c>
      <c r="AR55" s="215">
        <f>IF(SUM(AE54:$AG54,$AJ54:AR54)&lt;=796000,AR54*0.271,AR54*0.151)</f>
        <v>0</v>
      </c>
      <c r="AS55" s="215">
        <f>IF(SUM(AF54:$AG54,$AJ54:AS54)&lt;=796000,AS54*0.271,AS54*0.151)</f>
        <v>0</v>
      </c>
      <c r="AT55" s="215">
        <f>IF(SUM(AG54:$AG54,$AJ54:AT54)&lt;=796000,AT54*0.271,AT54*0.151)</f>
        <v>0</v>
      </c>
      <c r="AU55" s="215">
        <f>IF(SUM($AJ54:AU54)&lt;=796000,AU54*0.271,AU54*0.151)</f>
        <v>0</v>
      </c>
      <c r="AV55" s="187">
        <f t="shared" ref="AV55" si="167">SUM(AJ55:AU55)</f>
        <v>0</v>
      </c>
      <c r="AW55" s="139"/>
      <c r="AX55" s="215">
        <f>IF(SUM(AK54:$AU54,$AX54:AX54)&lt;=796000,AX54*0.271,AX54*0.151)</f>
        <v>0</v>
      </c>
      <c r="AY55" s="215">
        <f>IF(SUM(AL54:$AU54,$AX54:AY54)&lt;=796000,AY54*0.271,AY54*0.151)</f>
        <v>0</v>
      </c>
      <c r="AZ55" s="215">
        <f>IF(SUM(AM54:$AU54,$AX54:AZ54)&lt;=796000,AZ54*0.271,AZ54*0.151)</f>
        <v>0</v>
      </c>
      <c r="BA55" s="215">
        <f>IF(SUM(AN54:$AU54,$AX54:BA54)&lt;=796000,BA54*0.271,BA54*0.151)</f>
        <v>0</v>
      </c>
      <c r="BB55" s="215">
        <f>IF(SUM(AO54:$AU54,$AX54:BB54)&lt;=796000,BB54*0.271,BB54*0.151)</f>
        <v>0</v>
      </c>
      <c r="BC55" s="215">
        <f>IF(SUM(AP54:$AU54,$AX54:BC54)&lt;=796000,BC54*0.271,BC54*0.151)</f>
        <v>0</v>
      </c>
      <c r="BD55" s="215">
        <f>IF(SUM(AQ54:$AU54,$AX54:BD54)&lt;=796000,BD54*0.271,BD54*0.151)</f>
        <v>0</v>
      </c>
      <c r="BE55" s="215">
        <f>IF(SUM(AR54:$AU54,$AX54:BE54)&lt;=796000,BE54*0.271,BE54*0.151)</f>
        <v>0</v>
      </c>
      <c r="BF55" s="215">
        <f>IF(SUM(AS54:$AU54,$AX54:BF54)&lt;=796000,BF54*0.271,BF54*0.151)</f>
        <v>0</v>
      </c>
      <c r="BG55" s="215">
        <f>IF(SUM(AT54:$AU54,$AX54:BG54)&lt;=796000,BG54*0.271,BG54*0.151)</f>
        <v>0</v>
      </c>
      <c r="BH55" s="215">
        <f>IF(SUM(AU54:$AU54,$AX54:BH54)&lt;=796000,BH54*0.271,BH54*0.151)</f>
        <v>0</v>
      </c>
      <c r="BI55" s="215">
        <f>IF(SUM($AX54:BI54)&lt;=796000,BI54*0.271,BI54*0.151)</f>
        <v>0</v>
      </c>
      <c r="BJ55" s="187">
        <f t="shared" ref="BJ55" si="168">SUM(AX55:BI55)</f>
        <v>0</v>
      </c>
      <c r="BK55" s="139"/>
      <c r="BL55" s="215">
        <f>IF(SUM(AY54:$BI54,$BL54:BL54)&lt;=796000,BL54*0.271,BL54*0.151)</f>
        <v>0</v>
      </c>
      <c r="BM55" s="215">
        <f>IF(SUM(AZ54:$BI54,$BL54:BM54)&lt;=796000,BM54*0.271,BM54*0.151)</f>
        <v>0</v>
      </c>
      <c r="BN55" s="215">
        <f>IF(SUM(BA54:$BI54,$BL54:BN54)&lt;=796000,BN54*0.271,BN54*0.151)</f>
        <v>0</v>
      </c>
      <c r="BO55" s="215">
        <f>IF(SUM(BB54:$BI54,$BL54:BO54)&lt;=796000,BO54*0.271,BO54*0.151)</f>
        <v>0</v>
      </c>
      <c r="BP55" s="215">
        <f>IF(SUM(BC54:$BI54,$BL54:BP54)&lt;=796000,BP54*0.271,BP54*0.151)</f>
        <v>0</v>
      </c>
      <c r="BQ55" s="215">
        <f>IF(SUM(BD54:$BI54,$BL54:BQ54)&lt;=796000,BQ54*0.271,BQ54*0.151)</f>
        <v>0</v>
      </c>
      <c r="BR55" s="215">
        <f>IF(SUM(BE54:$BI54,$BL54:BR54)&lt;=796000,BR54*0.271,BR54*0.151)</f>
        <v>0</v>
      </c>
      <c r="BS55" s="215">
        <f>IF(SUM(BF54:$BI54,$BL54:BS54)&lt;=796000,BS54*0.271,BS54*0.151)</f>
        <v>0</v>
      </c>
      <c r="BT55" s="215">
        <f>IF(SUM(BG54:$BI54,$BL54:BT54)&lt;=796000,BT54*0.271,BT54*0.151)</f>
        <v>0</v>
      </c>
      <c r="BU55" s="215">
        <f>IF(SUM(BH54:$BI54,$BL54:BU54)&lt;=796000,BU54*0.271,BU54*0.151)</f>
        <v>0</v>
      </c>
      <c r="BV55" s="215">
        <f>IF(SUM(BI54:$BI54,$BL54:BV54)&lt;=796000,BV54*0.271,BV54*0.151)</f>
        <v>0</v>
      </c>
      <c r="BW55" s="215">
        <f>IF(SUM($BL54:BW54)&lt;=796000,BW54*0.271,BW54*0.151)</f>
        <v>0</v>
      </c>
      <c r="BX55" s="215">
        <f t="shared" ref="BX55" si="169">SUM(BL55:BW55)</f>
        <v>0</v>
      </c>
      <c r="BY55" s="188"/>
    </row>
    <row r="56" spans="1:77" ht="10.199999999999999" x14ac:dyDescent="0.2">
      <c r="G56" s="139"/>
      <c r="U56" s="139"/>
      <c r="AI56" s="139"/>
      <c r="AW56" s="139"/>
      <c r="BK56" s="139"/>
    </row>
    <row r="57" spans="1:77" ht="10.199999999999999" x14ac:dyDescent="0.2">
      <c r="G57" s="139"/>
      <c r="U57" s="139"/>
      <c r="AI57" s="139"/>
      <c r="AW57" s="139"/>
      <c r="BK57" s="139"/>
    </row>
    <row r="58" spans="1:77" ht="10.199999999999999" x14ac:dyDescent="0.2">
      <c r="G58" s="145"/>
      <c r="U58" s="145"/>
      <c r="AI58" s="145"/>
      <c r="AW58" s="145"/>
      <c r="BK58" s="145"/>
    </row>
    <row r="59" spans="1:77" ht="10.199999999999999" x14ac:dyDescent="0.2">
      <c r="G59" s="139"/>
      <c r="U59" s="139"/>
      <c r="AI59" s="139"/>
      <c r="AW59" s="139"/>
      <c r="BK59" s="139"/>
    </row>
    <row r="60" spans="1:77" ht="10.199999999999999" x14ac:dyDescent="0.2">
      <c r="G60" s="139"/>
      <c r="U60" s="139"/>
      <c r="AI60" s="139"/>
      <c r="AW60" s="139"/>
      <c r="BK60" s="139"/>
    </row>
    <row r="61" spans="1:77" ht="10.199999999999999" x14ac:dyDescent="0.2">
      <c r="G61" s="139"/>
      <c r="U61" s="139"/>
      <c r="AI61" s="139"/>
      <c r="AW61" s="139"/>
      <c r="BK61" s="139"/>
    </row>
    <row r="62" spans="1:77" ht="10.199999999999999" x14ac:dyDescent="0.2">
      <c r="G62" s="139"/>
      <c r="U62" s="139"/>
      <c r="AI62" s="139"/>
      <c r="AW62" s="139"/>
      <c r="BK62" s="139"/>
    </row>
    <row r="63" spans="1:77" ht="10.199999999999999" x14ac:dyDescent="0.2">
      <c r="G63" s="139"/>
      <c r="U63" s="139"/>
      <c r="AI63" s="139"/>
      <c r="AW63" s="139"/>
      <c r="BK63" s="139"/>
    </row>
    <row r="64" spans="1:77" ht="10.199999999999999" x14ac:dyDescent="0.2">
      <c r="G64" s="139"/>
      <c r="U64" s="139"/>
      <c r="AI64" s="139"/>
      <c r="AW64" s="139"/>
      <c r="BK64" s="139"/>
    </row>
    <row r="65" spans="7:63" ht="10.199999999999999" x14ac:dyDescent="0.2">
      <c r="G65" s="139"/>
      <c r="U65" s="139"/>
      <c r="AI65" s="139"/>
      <c r="AW65" s="139"/>
      <c r="BK65" s="139"/>
    </row>
    <row r="66" spans="7:63" ht="10.199999999999999" x14ac:dyDescent="0.2">
      <c r="G66" s="139"/>
      <c r="U66" s="139"/>
      <c r="AI66" s="139"/>
      <c r="AW66" s="139"/>
      <c r="BK66" s="139"/>
    </row>
    <row r="67" spans="7:63" ht="10.199999999999999" x14ac:dyDescent="0.2">
      <c r="G67" s="139"/>
      <c r="U67" s="139"/>
      <c r="AI67" s="139"/>
      <c r="AW67" s="139"/>
      <c r="BK67" s="139"/>
    </row>
    <row r="68" spans="7:63" ht="10.199999999999999" x14ac:dyDescent="0.2">
      <c r="G68" s="139"/>
      <c r="U68" s="139"/>
      <c r="AI68" s="139"/>
      <c r="AW68" s="139"/>
      <c r="BK68" s="139"/>
    </row>
    <row r="69" spans="7:63" ht="10.199999999999999" x14ac:dyDescent="0.2">
      <c r="G69" s="139"/>
      <c r="U69" s="139"/>
      <c r="AI69" s="139"/>
      <c r="AW69" s="139"/>
      <c r="BK69" s="139"/>
    </row>
    <row r="70" spans="7:63" ht="10.199999999999999" x14ac:dyDescent="0.2">
      <c r="G70" s="139"/>
      <c r="U70" s="139"/>
      <c r="AI70" s="139"/>
      <c r="AW70" s="139"/>
      <c r="BK70" s="139"/>
    </row>
    <row r="71" spans="7:63" ht="10.199999999999999" x14ac:dyDescent="0.2">
      <c r="G71" s="139"/>
      <c r="U71" s="139"/>
      <c r="AI71" s="139"/>
      <c r="AW71" s="139"/>
      <c r="BK71" s="139"/>
    </row>
    <row r="72" spans="7:63" ht="10.199999999999999" x14ac:dyDescent="0.2">
      <c r="G72" s="139"/>
      <c r="U72" s="139"/>
      <c r="AI72" s="139"/>
      <c r="AW72" s="139"/>
      <c r="BK72" s="139"/>
    </row>
    <row r="73" spans="7:63" ht="10.199999999999999" x14ac:dyDescent="0.2">
      <c r="G73" s="139"/>
      <c r="U73" s="139"/>
      <c r="AI73" s="139"/>
      <c r="AW73" s="139"/>
      <c r="BK73" s="139"/>
    </row>
    <row r="74" spans="7:63" ht="10.199999999999999" x14ac:dyDescent="0.2">
      <c r="G74" s="139"/>
      <c r="U74" s="139"/>
      <c r="AI74" s="139"/>
      <c r="AW74" s="139"/>
      <c r="BK74" s="139"/>
    </row>
    <row r="75" spans="7:63" ht="10.199999999999999" x14ac:dyDescent="0.2">
      <c r="G75" s="139"/>
      <c r="U75" s="139"/>
      <c r="AI75" s="139"/>
      <c r="AW75" s="139"/>
      <c r="BK75" s="139"/>
    </row>
    <row r="76" spans="7:63" ht="10.199999999999999" x14ac:dyDescent="0.2">
      <c r="G76" s="139"/>
      <c r="U76" s="139"/>
      <c r="AI76" s="139"/>
      <c r="AW76" s="139"/>
      <c r="BK76" s="139"/>
    </row>
    <row r="77" spans="7:63" ht="10.199999999999999" x14ac:dyDescent="0.2">
      <c r="G77" s="139"/>
      <c r="U77" s="139"/>
      <c r="AI77" s="139"/>
      <c r="AW77" s="139"/>
      <c r="BK77" s="139"/>
    </row>
    <row r="78" spans="7:63" ht="10.199999999999999" x14ac:dyDescent="0.2">
      <c r="G78" s="139"/>
      <c r="U78" s="139"/>
      <c r="AI78" s="139"/>
      <c r="AW78" s="139"/>
      <c r="BK78" s="139"/>
    </row>
    <row r="79" spans="7:63" ht="10.199999999999999" x14ac:dyDescent="0.2">
      <c r="G79" s="139"/>
      <c r="U79" s="139"/>
      <c r="AI79" s="139"/>
      <c r="AW79" s="139"/>
      <c r="BK79" s="139"/>
    </row>
    <row r="80" spans="7:63" ht="10.199999999999999" x14ac:dyDescent="0.2">
      <c r="G80" s="139"/>
      <c r="U80" s="139"/>
      <c r="AI80" s="139"/>
      <c r="AW80" s="139"/>
      <c r="BK80" s="139"/>
    </row>
    <row r="81" spans="7:63" ht="10.199999999999999" x14ac:dyDescent="0.2">
      <c r="G81" s="139"/>
      <c r="U81" s="139"/>
      <c r="AI81" s="139"/>
      <c r="AW81" s="139"/>
      <c r="BK81" s="139"/>
    </row>
    <row r="82" spans="7:63" ht="10.199999999999999" x14ac:dyDescent="0.2">
      <c r="G82" s="139"/>
      <c r="U82" s="139"/>
      <c r="AI82" s="139"/>
      <c r="AW82" s="139"/>
      <c r="BK82" s="139"/>
    </row>
    <row r="83" spans="7:63" ht="10.199999999999999" x14ac:dyDescent="0.2">
      <c r="G83" s="139"/>
      <c r="U83" s="139"/>
      <c r="AI83" s="139"/>
      <c r="AW83" s="139"/>
      <c r="BK83" s="139"/>
    </row>
    <row r="84" spans="7:63" ht="10.199999999999999" x14ac:dyDescent="0.2">
      <c r="G84" s="139"/>
      <c r="U84" s="139"/>
      <c r="AI84" s="139"/>
      <c r="AW84" s="139"/>
      <c r="BK84" s="139"/>
    </row>
    <row r="85" spans="7:63" ht="10.199999999999999" x14ac:dyDescent="0.2">
      <c r="G85" s="139"/>
      <c r="U85" s="139"/>
      <c r="AI85" s="139"/>
      <c r="AW85" s="139"/>
      <c r="BK85" s="139"/>
    </row>
    <row r="86" spans="7:63" ht="10.199999999999999" x14ac:dyDescent="0.2">
      <c r="G86" s="139"/>
      <c r="U86" s="139"/>
      <c r="AI86" s="139"/>
      <c r="AW86" s="139"/>
      <c r="BK86" s="139"/>
    </row>
    <row r="87" spans="7:63" ht="10.199999999999999" x14ac:dyDescent="0.2">
      <c r="G87" s="139"/>
      <c r="U87" s="139"/>
      <c r="AI87" s="139"/>
      <c r="AW87" s="139"/>
      <c r="BK87" s="139"/>
    </row>
    <row r="88" spans="7:63" ht="10.199999999999999" x14ac:dyDescent="0.2">
      <c r="G88" s="139"/>
      <c r="U88" s="139"/>
      <c r="AI88" s="139"/>
      <c r="AW88" s="139"/>
      <c r="BK88" s="139"/>
    </row>
    <row r="89" spans="7:63" ht="10.199999999999999" x14ac:dyDescent="0.2">
      <c r="G89" s="139"/>
      <c r="U89" s="139"/>
      <c r="AI89" s="139"/>
      <c r="AW89" s="139"/>
      <c r="BK89" s="139"/>
    </row>
    <row r="90" spans="7:63" ht="10.199999999999999" x14ac:dyDescent="0.2">
      <c r="G90" s="139"/>
      <c r="U90" s="139"/>
      <c r="AI90" s="139"/>
      <c r="AW90" s="139"/>
      <c r="BK90" s="139"/>
    </row>
    <row r="91" spans="7:63" ht="10.199999999999999" x14ac:dyDescent="0.2">
      <c r="G91" s="139"/>
      <c r="U91" s="139"/>
      <c r="AI91" s="139"/>
      <c r="AW91" s="139"/>
      <c r="BK91" s="139"/>
    </row>
    <row r="92" spans="7:63" ht="10.199999999999999" x14ac:dyDescent="0.2">
      <c r="G92" s="139"/>
      <c r="U92" s="139"/>
      <c r="AI92" s="139"/>
      <c r="AW92" s="139"/>
      <c r="BK92" s="139"/>
    </row>
    <row r="93" spans="7:63" ht="10.199999999999999" x14ac:dyDescent="0.2">
      <c r="G93" s="139"/>
      <c r="U93" s="139"/>
      <c r="AI93" s="139"/>
      <c r="AW93" s="139"/>
      <c r="BK93" s="139"/>
    </row>
    <row r="94" spans="7:63" ht="10.199999999999999" x14ac:dyDescent="0.2">
      <c r="G94" s="139"/>
      <c r="U94" s="139"/>
      <c r="AI94" s="139"/>
      <c r="AW94" s="139"/>
      <c r="BK94" s="139"/>
    </row>
    <row r="95" spans="7:63" ht="10.199999999999999" x14ac:dyDescent="0.2">
      <c r="G95" s="139"/>
      <c r="U95" s="139"/>
      <c r="AI95" s="139"/>
      <c r="AW95" s="139"/>
      <c r="BK95" s="139"/>
    </row>
    <row r="96" spans="7:63" ht="10.199999999999999" x14ac:dyDescent="0.2">
      <c r="G96" s="139"/>
      <c r="U96" s="139"/>
      <c r="AI96" s="139"/>
      <c r="AW96" s="139"/>
      <c r="BK96" s="139"/>
    </row>
    <row r="97" spans="7:63" ht="10.199999999999999" x14ac:dyDescent="0.2">
      <c r="G97" s="139"/>
      <c r="U97" s="139"/>
      <c r="AI97" s="139"/>
      <c r="AW97" s="139"/>
      <c r="BK97" s="139"/>
    </row>
    <row r="98" spans="7:63" ht="10.199999999999999" x14ac:dyDescent="0.2">
      <c r="G98" s="139"/>
      <c r="U98" s="139"/>
      <c r="AI98" s="139"/>
      <c r="AW98" s="139"/>
      <c r="BK98" s="139"/>
    </row>
    <row r="99" spans="7:63" ht="10.199999999999999" x14ac:dyDescent="0.2">
      <c r="G99" s="139"/>
      <c r="U99" s="139"/>
      <c r="AI99" s="139"/>
      <c r="AW99" s="139"/>
      <c r="BK99" s="139"/>
    </row>
    <row r="100" spans="7:63" ht="10.199999999999999" x14ac:dyDescent="0.2">
      <c r="G100" s="139"/>
      <c r="U100" s="139"/>
      <c r="AI100" s="139"/>
      <c r="AW100" s="139"/>
      <c r="BK100" s="139"/>
    </row>
    <row r="101" spans="7:63" ht="10.199999999999999" x14ac:dyDescent="0.2">
      <c r="G101" s="139"/>
      <c r="U101" s="139"/>
      <c r="AI101" s="139"/>
      <c r="AW101" s="139"/>
      <c r="BK101" s="139"/>
    </row>
    <row r="102" spans="7:63" ht="10.199999999999999" x14ac:dyDescent="0.2">
      <c r="G102" s="139"/>
      <c r="U102" s="139"/>
      <c r="AI102" s="139"/>
      <c r="AW102" s="139"/>
      <c r="BK102" s="139"/>
    </row>
    <row r="103" spans="7:63" ht="10.199999999999999" x14ac:dyDescent="0.2">
      <c r="G103" s="139"/>
      <c r="U103" s="139"/>
      <c r="AI103" s="139"/>
      <c r="AW103" s="139"/>
      <c r="BK103" s="139"/>
    </row>
    <row r="104" spans="7:63" ht="10.199999999999999" x14ac:dyDescent="0.2">
      <c r="G104" s="139"/>
      <c r="U104" s="139"/>
      <c r="AI104" s="139"/>
      <c r="AW104" s="139"/>
      <c r="BK104" s="139"/>
    </row>
    <row r="105" spans="7:63" ht="10.199999999999999" x14ac:dyDescent="0.2">
      <c r="G105" s="139"/>
      <c r="U105" s="139"/>
      <c r="AI105" s="139"/>
      <c r="AW105" s="139"/>
      <c r="BK105" s="139"/>
    </row>
    <row r="106" spans="7:63" ht="10.199999999999999" x14ac:dyDescent="0.2">
      <c r="G106" s="139"/>
      <c r="U106" s="139"/>
      <c r="AI106" s="139"/>
      <c r="AW106" s="139"/>
      <c r="BK106" s="139"/>
    </row>
    <row r="107" spans="7:63" ht="10.199999999999999" x14ac:dyDescent="0.2">
      <c r="G107" s="139"/>
      <c r="U107" s="139"/>
      <c r="AI107" s="139"/>
      <c r="AW107" s="139"/>
      <c r="BK107" s="139"/>
    </row>
    <row r="108" spans="7:63" ht="10.199999999999999" x14ac:dyDescent="0.2">
      <c r="G108" s="139"/>
      <c r="U108" s="139"/>
      <c r="AI108" s="139"/>
      <c r="AW108" s="139"/>
      <c r="BK108" s="139"/>
    </row>
    <row r="109" spans="7:63" ht="10.199999999999999" x14ac:dyDescent="0.2">
      <c r="G109" s="139"/>
      <c r="U109" s="139"/>
      <c r="AI109" s="139"/>
      <c r="AW109" s="139"/>
      <c r="BK109" s="139"/>
    </row>
    <row r="110" spans="7:63" ht="10.199999999999999" x14ac:dyDescent="0.2">
      <c r="G110" s="139"/>
      <c r="U110" s="139"/>
      <c r="AI110" s="139"/>
      <c r="AW110" s="139"/>
      <c r="BK110" s="139"/>
    </row>
    <row r="111" spans="7:63" ht="10.199999999999999" x14ac:dyDescent="0.2">
      <c r="G111" s="139"/>
      <c r="U111" s="139"/>
      <c r="AI111" s="139"/>
      <c r="AW111" s="139"/>
      <c r="BK111" s="139"/>
    </row>
    <row r="112" spans="7:63" ht="10.199999999999999" x14ac:dyDescent="0.2">
      <c r="G112" s="139"/>
      <c r="U112" s="139"/>
      <c r="AI112" s="139"/>
      <c r="AW112" s="139"/>
      <c r="BK112" s="139"/>
    </row>
    <row r="113" spans="7:63" ht="10.199999999999999" x14ac:dyDescent="0.2">
      <c r="G113" s="139"/>
      <c r="U113" s="139"/>
      <c r="AI113" s="139"/>
      <c r="AW113" s="139"/>
      <c r="BK113" s="139"/>
    </row>
    <row r="114" spans="7:63" ht="10.199999999999999" x14ac:dyDescent="0.2">
      <c r="G114" s="139"/>
      <c r="U114" s="139"/>
      <c r="AI114" s="139"/>
      <c r="AW114" s="139"/>
      <c r="BK114" s="139"/>
    </row>
    <row r="115" spans="7:63" ht="10.199999999999999" x14ac:dyDescent="0.2">
      <c r="G115" s="139"/>
      <c r="U115" s="139"/>
      <c r="AI115" s="139"/>
      <c r="AW115" s="139"/>
      <c r="BK115" s="139"/>
    </row>
    <row r="116" spans="7:63" ht="10.199999999999999" x14ac:dyDescent="0.2">
      <c r="G116" s="139"/>
      <c r="U116" s="139"/>
      <c r="AI116" s="139"/>
      <c r="AW116" s="139"/>
      <c r="BK116" s="139"/>
    </row>
    <row r="117" spans="7:63" ht="10.199999999999999" x14ac:dyDescent="0.2">
      <c r="G117" s="139"/>
      <c r="U117" s="139"/>
      <c r="AI117" s="139"/>
      <c r="AW117" s="139"/>
      <c r="BK117" s="139"/>
    </row>
    <row r="118" spans="7:63" ht="10.199999999999999" x14ac:dyDescent="0.2">
      <c r="G118" s="139"/>
      <c r="U118" s="139"/>
      <c r="AI118" s="139"/>
      <c r="AW118" s="139"/>
      <c r="BK118" s="139"/>
    </row>
    <row r="119" spans="7:63" ht="10.199999999999999" x14ac:dyDescent="0.2">
      <c r="G119" s="139"/>
      <c r="U119" s="139"/>
      <c r="AI119" s="139"/>
      <c r="AW119" s="139"/>
      <c r="BK119" s="139"/>
    </row>
    <row r="120" spans="7:63" ht="10.199999999999999" x14ac:dyDescent="0.2">
      <c r="G120" s="139"/>
      <c r="U120" s="139"/>
      <c r="AI120" s="139"/>
      <c r="AW120" s="139"/>
      <c r="BK120" s="139"/>
    </row>
    <row r="121" spans="7:63" ht="10.199999999999999" x14ac:dyDescent="0.2">
      <c r="G121" s="139"/>
      <c r="U121" s="139"/>
      <c r="AI121" s="139"/>
      <c r="AW121" s="139"/>
      <c r="BK121" s="139"/>
    </row>
    <row r="122" spans="7:63" ht="10.199999999999999" x14ac:dyDescent="0.2">
      <c r="G122" s="139"/>
      <c r="U122" s="139"/>
      <c r="AI122" s="139"/>
      <c r="AW122" s="139"/>
      <c r="BK122" s="139"/>
    </row>
    <row r="123" spans="7:63" ht="10.199999999999999" x14ac:dyDescent="0.2">
      <c r="G123" s="139"/>
      <c r="U123" s="139"/>
      <c r="AI123" s="139"/>
      <c r="AW123" s="139"/>
      <c r="BK123" s="139"/>
    </row>
    <row r="124" spans="7:63" ht="10.199999999999999" x14ac:dyDescent="0.2">
      <c r="G124" s="139"/>
      <c r="U124" s="139"/>
      <c r="AI124" s="139"/>
      <c r="AW124" s="139"/>
      <c r="BK124" s="139"/>
    </row>
    <row r="125" spans="7:63" ht="10.199999999999999" x14ac:dyDescent="0.2">
      <c r="G125" s="139"/>
      <c r="U125" s="139"/>
      <c r="AI125" s="139"/>
      <c r="AW125" s="139"/>
      <c r="BK125" s="139"/>
    </row>
    <row r="126" spans="7:63" ht="10.199999999999999" x14ac:dyDescent="0.2">
      <c r="G126" s="139"/>
      <c r="U126" s="139"/>
      <c r="AI126" s="139"/>
      <c r="AW126" s="139"/>
      <c r="BK126" s="139"/>
    </row>
    <row r="127" spans="7:63" ht="10.199999999999999" x14ac:dyDescent="0.2">
      <c r="G127" s="139"/>
      <c r="U127" s="139"/>
      <c r="AI127" s="139"/>
      <c r="AW127" s="139"/>
      <c r="BK127" s="139"/>
    </row>
    <row r="128" spans="7:63" ht="10.199999999999999" x14ac:dyDescent="0.2">
      <c r="G128" s="139"/>
      <c r="U128" s="139"/>
      <c r="AI128" s="139"/>
      <c r="AW128" s="139"/>
      <c r="BK128" s="139"/>
    </row>
    <row r="129" spans="7:63" ht="10.199999999999999" x14ac:dyDescent="0.2">
      <c r="G129" s="139"/>
      <c r="U129" s="139"/>
      <c r="AI129" s="139"/>
      <c r="AW129" s="139"/>
      <c r="BK129" s="139"/>
    </row>
    <row r="130" spans="7:63" ht="10.199999999999999" x14ac:dyDescent="0.2">
      <c r="G130" s="139"/>
      <c r="U130" s="139"/>
      <c r="AI130" s="139"/>
      <c r="AW130" s="139"/>
      <c r="BK130" s="139"/>
    </row>
    <row r="131" spans="7:63" ht="10.199999999999999" x14ac:dyDescent="0.2">
      <c r="G131" s="139"/>
      <c r="U131" s="139"/>
      <c r="AI131" s="139"/>
      <c r="AW131" s="139"/>
      <c r="BK131" s="139"/>
    </row>
    <row r="132" spans="7:63" ht="10.199999999999999" x14ac:dyDescent="0.2">
      <c r="G132" s="139"/>
      <c r="U132" s="139"/>
      <c r="AI132" s="139"/>
      <c r="AW132" s="139"/>
      <c r="BK132" s="139"/>
    </row>
    <row r="133" spans="7:63" ht="10.199999999999999" x14ac:dyDescent="0.2">
      <c r="G133" s="139"/>
      <c r="U133" s="139"/>
      <c r="AI133" s="139"/>
      <c r="AW133" s="139"/>
      <c r="BK133" s="139"/>
    </row>
    <row r="134" spans="7:63" ht="10.199999999999999" x14ac:dyDescent="0.2">
      <c r="G134" s="139"/>
      <c r="U134" s="139"/>
      <c r="AI134" s="139"/>
      <c r="AW134" s="139"/>
      <c r="BK134" s="139"/>
    </row>
    <row r="135" spans="7:63" ht="10.199999999999999" x14ac:dyDescent="0.2">
      <c r="G135" s="139"/>
      <c r="U135" s="139"/>
      <c r="AI135" s="139"/>
      <c r="AW135" s="139"/>
      <c r="BK135" s="139"/>
    </row>
    <row r="136" spans="7:63" ht="10.199999999999999" x14ac:dyDescent="0.2">
      <c r="G136" s="139"/>
      <c r="U136" s="139"/>
      <c r="AI136" s="139"/>
      <c r="AW136" s="139"/>
      <c r="BK136" s="139"/>
    </row>
    <row r="137" spans="7:63" ht="10.199999999999999" x14ac:dyDescent="0.2">
      <c r="G137" s="139"/>
      <c r="U137" s="139"/>
      <c r="AI137" s="139"/>
      <c r="AW137" s="139"/>
      <c r="BK137" s="139"/>
    </row>
    <row r="138" spans="7:63" ht="10.199999999999999" x14ac:dyDescent="0.2">
      <c r="G138" s="139"/>
      <c r="U138" s="139"/>
      <c r="AI138" s="139"/>
      <c r="AW138" s="139"/>
      <c r="BK138" s="139"/>
    </row>
    <row r="139" spans="7:63" ht="10.199999999999999" x14ac:dyDescent="0.2">
      <c r="G139" s="139"/>
      <c r="U139" s="139"/>
      <c r="AI139" s="139"/>
      <c r="AW139" s="139"/>
      <c r="BK139" s="139"/>
    </row>
    <row r="140" spans="7:63" ht="10.199999999999999" x14ac:dyDescent="0.2">
      <c r="G140" s="139"/>
      <c r="U140" s="139"/>
      <c r="AI140" s="139"/>
      <c r="AW140" s="139"/>
      <c r="BK140" s="139"/>
    </row>
    <row r="141" spans="7:63" ht="10.199999999999999" x14ac:dyDescent="0.2">
      <c r="G141" s="139"/>
      <c r="U141" s="139"/>
      <c r="AI141" s="139"/>
      <c r="AW141" s="139"/>
      <c r="BK141" s="139"/>
    </row>
    <row r="142" spans="7:63" ht="10.199999999999999" x14ac:dyDescent="0.2">
      <c r="G142" s="139"/>
      <c r="U142" s="139"/>
      <c r="AI142" s="139"/>
      <c r="AW142" s="139"/>
      <c r="BK142" s="139"/>
    </row>
    <row r="143" spans="7:63" ht="10.199999999999999" x14ac:dyDescent="0.2">
      <c r="G143" s="139"/>
      <c r="U143" s="139"/>
      <c r="AI143" s="139"/>
      <c r="AW143" s="139"/>
      <c r="BK143" s="139"/>
    </row>
    <row r="144" spans="7:63" ht="10.199999999999999" x14ac:dyDescent="0.2">
      <c r="G144" s="139"/>
      <c r="U144" s="139"/>
      <c r="AI144" s="139"/>
      <c r="AW144" s="139"/>
      <c r="BK144" s="139"/>
    </row>
    <row r="145" spans="7:63" ht="10.199999999999999" x14ac:dyDescent="0.2">
      <c r="G145" s="139"/>
      <c r="U145" s="139"/>
      <c r="AI145" s="139"/>
      <c r="AW145" s="139"/>
      <c r="BK145" s="139"/>
    </row>
    <row r="146" spans="7:63" ht="10.199999999999999" x14ac:dyDescent="0.2">
      <c r="G146" s="139"/>
      <c r="U146" s="139"/>
      <c r="AI146" s="139"/>
      <c r="AW146" s="139"/>
      <c r="BK146" s="139"/>
    </row>
    <row r="147" spans="7:63" ht="10.199999999999999" x14ac:dyDescent="0.2">
      <c r="G147" s="139"/>
      <c r="U147" s="139"/>
      <c r="AI147" s="139"/>
      <c r="AW147" s="139"/>
      <c r="BK147" s="139"/>
    </row>
    <row r="148" spans="7:63" ht="10.199999999999999" x14ac:dyDescent="0.2">
      <c r="G148" s="139"/>
      <c r="U148" s="139"/>
      <c r="AI148" s="139"/>
      <c r="AW148" s="139"/>
      <c r="BK148" s="139"/>
    </row>
    <row r="149" spans="7:63" ht="10.199999999999999" x14ac:dyDescent="0.2">
      <c r="G149" s="139"/>
      <c r="U149" s="139"/>
      <c r="AI149" s="139"/>
      <c r="AW149" s="139"/>
      <c r="BK149" s="139"/>
    </row>
    <row r="150" spans="7:63" ht="10.199999999999999" x14ac:dyDescent="0.2">
      <c r="G150" s="139"/>
      <c r="U150" s="139"/>
      <c r="AI150" s="139"/>
      <c r="AW150" s="139"/>
      <c r="BK150" s="139"/>
    </row>
    <row r="151" spans="7:63" ht="10.199999999999999" x14ac:dyDescent="0.2">
      <c r="G151" s="139"/>
      <c r="U151" s="139"/>
      <c r="AI151" s="139"/>
      <c r="AW151" s="139"/>
      <c r="BK151" s="139"/>
    </row>
    <row r="152" spans="7:63" ht="10.199999999999999" x14ac:dyDescent="0.2">
      <c r="G152" s="139"/>
      <c r="U152" s="139"/>
      <c r="AI152" s="139"/>
      <c r="AW152" s="139"/>
      <c r="BK152" s="139"/>
    </row>
    <row r="153" spans="7:63" ht="10.199999999999999" x14ac:dyDescent="0.2">
      <c r="G153" s="139"/>
      <c r="U153" s="139"/>
      <c r="AI153" s="139"/>
      <c r="AW153" s="139"/>
      <c r="BK153" s="139"/>
    </row>
    <row r="154" spans="7:63" ht="10.199999999999999" x14ac:dyDescent="0.2">
      <c r="G154" s="139"/>
      <c r="U154" s="139"/>
      <c r="AI154" s="139"/>
      <c r="AW154" s="139"/>
      <c r="BK154" s="139"/>
    </row>
    <row r="155" spans="7:63" ht="10.199999999999999" x14ac:dyDescent="0.2">
      <c r="G155" s="139"/>
      <c r="U155" s="139"/>
      <c r="AI155" s="139"/>
      <c r="AW155" s="139"/>
      <c r="BK155" s="139"/>
    </row>
    <row r="156" spans="7:63" ht="10.199999999999999" x14ac:dyDescent="0.2">
      <c r="G156" s="139"/>
      <c r="U156" s="139"/>
      <c r="AI156" s="139"/>
      <c r="AW156" s="139"/>
      <c r="BK156" s="139"/>
    </row>
    <row r="157" spans="7:63" ht="10.199999999999999" x14ac:dyDescent="0.2">
      <c r="G157" s="139"/>
      <c r="U157" s="139"/>
      <c r="AI157" s="139"/>
      <c r="AW157" s="139"/>
      <c r="BK157" s="139"/>
    </row>
    <row r="158" spans="7:63" ht="10.199999999999999" x14ac:dyDescent="0.2">
      <c r="G158" s="139"/>
      <c r="U158" s="139"/>
      <c r="AI158" s="139"/>
      <c r="AW158" s="139"/>
      <c r="BK158" s="139"/>
    </row>
    <row r="159" spans="7:63" ht="10.199999999999999" x14ac:dyDescent="0.2">
      <c r="G159" s="139"/>
      <c r="U159" s="139"/>
      <c r="AI159" s="139"/>
      <c r="AW159" s="139"/>
      <c r="BK159" s="139"/>
    </row>
    <row r="160" spans="7:63" ht="10.199999999999999" x14ac:dyDescent="0.2">
      <c r="G160" s="139"/>
      <c r="U160" s="139"/>
      <c r="AI160" s="139"/>
      <c r="AW160" s="139"/>
      <c r="BK160" s="139"/>
    </row>
    <row r="161" spans="7:63" ht="10.199999999999999" x14ac:dyDescent="0.2">
      <c r="G161" s="139"/>
      <c r="U161" s="139"/>
      <c r="AI161" s="139"/>
      <c r="AW161" s="139"/>
      <c r="BK161" s="139"/>
    </row>
    <row r="162" spans="7:63" ht="10.199999999999999" x14ac:dyDescent="0.2">
      <c r="G162" s="139"/>
      <c r="U162" s="139"/>
      <c r="AI162" s="139"/>
      <c r="AW162" s="139"/>
      <c r="BK162" s="139"/>
    </row>
    <row r="163" spans="7:63" ht="10.199999999999999" x14ac:dyDescent="0.2">
      <c r="G163" s="139"/>
      <c r="U163" s="139"/>
      <c r="AI163" s="139"/>
      <c r="AW163" s="139"/>
      <c r="BK163" s="139"/>
    </row>
    <row r="164" spans="7:63" ht="10.199999999999999" x14ac:dyDescent="0.2">
      <c r="G164" s="139"/>
      <c r="U164" s="139"/>
      <c r="AI164" s="139"/>
      <c r="AW164" s="139"/>
      <c r="BK164" s="139"/>
    </row>
    <row r="165" spans="7:63" ht="10.199999999999999" x14ac:dyDescent="0.2">
      <c r="G165" s="139"/>
      <c r="U165" s="139"/>
      <c r="AI165" s="139"/>
      <c r="AW165" s="139"/>
      <c r="BK165" s="139"/>
    </row>
    <row r="166" spans="7:63" ht="10.199999999999999" x14ac:dyDescent="0.2">
      <c r="G166" s="139"/>
      <c r="U166" s="139"/>
      <c r="AI166" s="139"/>
      <c r="AW166" s="139"/>
      <c r="BK166" s="139"/>
    </row>
    <row r="167" spans="7:63" ht="10.199999999999999" x14ac:dyDescent="0.2">
      <c r="G167" s="139"/>
      <c r="U167" s="139"/>
      <c r="AI167" s="139"/>
      <c r="AW167" s="139"/>
      <c r="BK167" s="139"/>
    </row>
    <row r="168" spans="7:63" ht="10.199999999999999" x14ac:dyDescent="0.2">
      <c r="G168" s="139"/>
      <c r="U168" s="139"/>
      <c r="AI168" s="139"/>
      <c r="AW168" s="139"/>
      <c r="BK168" s="139"/>
    </row>
    <row r="169" spans="7:63" ht="10.199999999999999" x14ac:dyDescent="0.2">
      <c r="G169" s="139"/>
      <c r="U169" s="139"/>
      <c r="AI169" s="139"/>
      <c r="AW169" s="139"/>
      <c r="BK169" s="139"/>
    </row>
    <row r="170" spans="7:63" ht="10.199999999999999" x14ac:dyDescent="0.2">
      <c r="G170" s="139"/>
      <c r="U170" s="139"/>
      <c r="AI170" s="139"/>
      <c r="AW170" s="139"/>
      <c r="BK170" s="139"/>
    </row>
    <row r="171" spans="7:63" ht="10.199999999999999" x14ac:dyDescent="0.2">
      <c r="G171" s="139"/>
      <c r="U171" s="139"/>
      <c r="AI171" s="139"/>
      <c r="AW171" s="139"/>
      <c r="BK171" s="139"/>
    </row>
    <row r="172" spans="7:63" ht="10.199999999999999" x14ac:dyDescent="0.2">
      <c r="G172" s="139"/>
      <c r="U172" s="139"/>
      <c r="AI172" s="139"/>
      <c r="AW172" s="139"/>
      <c r="BK172" s="139"/>
    </row>
    <row r="173" spans="7:63" ht="10.199999999999999" x14ac:dyDescent="0.2">
      <c r="G173" s="139"/>
      <c r="U173" s="139"/>
      <c r="AI173" s="139"/>
      <c r="AW173" s="139"/>
      <c r="BK173" s="139"/>
    </row>
    <row r="174" spans="7:63" ht="10.199999999999999" x14ac:dyDescent="0.2">
      <c r="G174" s="139"/>
      <c r="U174" s="139"/>
      <c r="AI174" s="139"/>
      <c r="AW174" s="139"/>
      <c r="BK174" s="139"/>
    </row>
    <row r="175" spans="7:63" ht="10.199999999999999" x14ac:dyDescent="0.2">
      <c r="G175" s="139"/>
      <c r="U175" s="139"/>
      <c r="AI175" s="139"/>
      <c r="AW175" s="139"/>
      <c r="BK175" s="139"/>
    </row>
    <row r="176" spans="7:63" ht="10.199999999999999" x14ac:dyDescent="0.2">
      <c r="G176" s="139"/>
      <c r="U176" s="139"/>
      <c r="AI176" s="139"/>
      <c r="AW176" s="139"/>
      <c r="BK176" s="139"/>
    </row>
    <row r="177" spans="7:63" ht="10.199999999999999" x14ac:dyDescent="0.2">
      <c r="G177" s="139"/>
      <c r="U177" s="139"/>
      <c r="AI177" s="139"/>
      <c r="AW177" s="139"/>
      <c r="BK177" s="139"/>
    </row>
    <row r="178" spans="7:63" ht="10.199999999999999" x14ac:dyDescent="0.2">
      <c r="G178" s="139"/>
      <c r="U178" s="139"/>
      <c r="AI178" s="139"/>
      <c r="AW178" s="139"/>
      <c r="BK178" s="139"/>
    </row>
    <row r="179" spans="7:63" ht="10.199999999999999" x14ac:dyDescent="0.2">
      <c r="G179" s="139"/>
      <c r="U179" s="139"/>
      <c r="AI179" s="139"/>
      <c r="AW179" s="139"/>
      <c r="BK179" s="139"/>
    </row>
    <row r="180" spans="7:63" ht="10.199999999999999" x14ac:dyDescent="0.2">
      <c r="G180" s="139"/>
      <c r="U180" s="139"/>
      <c r="AI180" s="139"/>
      <c r="AW180" s="139"/>
      <c r="BK180" s="139"/>
    </row>
    <row r="181" spans="7:63" ht="10.199999999999999" x14ac:dyDescent="0.2">
      <c r="G181" s="139"/>
      <c r="U181" s="139"/>
      <c r="AI181" s="139"/>
      <c r="AW181" s="139"/>
      <c r="BK181" s="139"/>
    </row>
    <row r="182" spans="7:63" ht="10.199999999999999" x14ac:dyDescent="0.2">
      <c r="G182" s="139"/>
      <c r="U182" s="139"/>
      <c r="AI182" s="139"/>
      <c r="AW182" s="139"/>
      <c r="BK182" s="139"/>
    </row>
    <row r="183" spans="7:63" ht="10.199999999999999" x14ac:dyDescent="0.2">
      <c r="G183" s="139"/>
      <c r="U183" s="139"/>
      <c r="AI183" s="139"/>
      <c r="AW183" s="139"/>
      <c r="BK183" s="139"/>
    </row>
    <row r="184" spans="7:63" ht="10.199999999999999" x14ac:dyDescent="0.2">
      <c r="G184" s="139"/>
      <c r="U184" s="139"/>
      <c r="AI184" s="139"/>
      <c r="AW184" s="139"/>
      <c r="BK184" s="139"/>
    </row>
    <row r="185" spans="7:63" ht="10.199999999999999" x14ac:dyDescent="0.2">
      <c r="G185" s="139"/>
      <c r="U185" s="139"/>
      <c r="AI185" s="139"/>
      <c r="AW185" s="139"/>
      <c r="BK185" s="139"/>
    </row>
    <row r="186" spans="7:63" ht="10.199999999999999" x14ac:dyDescent="0.2">
      <c r="G186" s="139"/>
      <c r="U186" s="139"/>
      <c r="AI186" s="139"/>
      <c r="AW186" s="139"/>
      <c r="BK186" s="139"/>
    </row>
    <row r="187" spans="7:63" ht="10.199999999999999" x14ac:dyDescent="0.2">
      <c r="G187" s="139"/>
      <c r="U187" s="139"/>
      <c r="AI187" s="139"/>
      <c r="AW187" s="139"/>
      <c r="BK187" s="139"/>
    </row>
    <row r="188" spans="7:63" ht="10.199999999999999" x14ac:dyDescent="0.2">
      <c r="G188" s="139"/>
      <c r="U188" s="139"/>
      <c r="AI188" s="139"/>
      <c r="AW188" s="139"/>
      <c r="BK188" s="139"/>
    </row>
    <row r="189" spans="7:63" ht="10.199999999999999" x14ac:dyDescent="0.2">
      <c r="G189" s="139"/>
      <c r="U189" s="139"/>
      <c r="AI189" s="139"/>
      <c r="AW189" s="139"/>
      <c r="BK189" s="139"/>
    </row>
    <row r="190" spans="7:63" ht="10.199999999999999" x14ac:dyDescent="0.2">
      <c r="G190" s="139"/>
      <c r="U190" s="139"/>
      <c r="AI190" s="139"/>
      <c r="AW190" s="139"/>
      <c r="BK190" s="139"/>
    </row>
    <row r="191" spans="7:63" ht="10.199999999999999" x14ac:dyDescent="0.2">
      <c r="G191" s="139"/>
      <c r="U191" s="139"/>
      <c r="AI191" s="139"/>
      <c r="AW191" s="139"/>
      <c r="BK191" s="139"/>
    </row>
    <row r="192" spans="7:63" ht="10.199999999999999" x14ac:dyDescent="0.2">
      <c r="G192" s="139"/>
      <c r="U192" s="139"/>
      <c r="AI192" s="139"/>
      <c r="AW192" s="139"/>
      <c r="BK192" s="139"/>
    </row>
    <row r="193" spans="7:63" ht="10.199999999999999" x14ac:dyDescent="0.2">
      <c r="G193" s="139"/>
      <c r="U193" s="139"/>
      <c r="AI193" s="139"/>
      <c r="AW193" s="139"/>
      <c r="BK193" s="139"/>
    </row>
    <row r="194" spans="7:63" ht="10.199999999999999" x14ac:dyDescent="0.2">
      <c r="G194" s="139"/>
      <c r="U194" s="139"/>
      <c r="AI194" s="139"/>
      <c r="AW194" s="139"/>
      <c r="BK194" s="139"/>
    </row>
    <row r="195" spans="7:63" ht="10.199999999999999" x14ac:dyDescent="0.2">
      <c r="G195" s="139"/>
      <c r="U195" s="139"/>
      <c r="AI195" s="139"/>
      <c r="AW195" s="139"/>
      <c r="BK195" s="139"/>
    </row>
    <row r="196" spans="7:63" ht="10.199999999999999" x14ac:dyDescent="0.2">
      <c r="G196" s="139"/>
      <c r="U196" s="139"/>
      <c r="AI196" s="139"/>
      <c r="AW196" s="139"/>
      <c r="BK196" s="139"/>
    </row>
    <row r="197" spans="7:63" ht="10.199999999999999" x14ac:dyDescent="0.2">
      <c r="G197" s="139"/>
      <c r="U197" s="139"/>
      <c r="AI197" s="139"/>
      <c r="AW197" s="139"/>
      <c r="BK197" s="139"/>
    </row>
    <row r="198" spans="7:63" ht="10.199999999999999" x14ac:dyDescent="0.2">
      <c r="G198" s="139"/>
      <c r="U198" s="139"/>
      <c r="AI198" s="139"/>
      <c r="AW198" s="139"/>
      <c r="BK198" s="139"/>
    </row>
    <row r="199" spans="7:63" ht="10.199999999999999" x14ac:dyDescent="0.2">
      <c r="G199" s="139"/>
      <c r="U199" s="139"/>
      <c r="AI199" s="139"/>
      <c r="AW199" s="139"/>
      <c r="BK199" s="139"/>
    </row>
    <row r="200" spans="7:63" ht="10.199999999999999" x14ac:dyDescent="0.2">
      <c r="G200" s="139"/>
      <c r="U200" s="139"/>
      <c r="AI200" s="139"/>
      <c r="AW200" s="139"/>
      <c r="BK200" s="139"/>
    </row>
    <row r="201" spans="7:63" ht="10.199999999999999" x14ac:dyDescent="0.2">
      <c r="G201" s="139"/>
      <c r="U201" s="139"/>
      <c r="AI201" s="139"/>
      <c r="AW201" s="139"/>
      <c r="BK201" s="139"/>
    </row>
    <row r="202" spans="7:63" ht="10.199999999999999" x14ac:dyDescent="0.2">
      <c r="G202" s="139"/>
      <c r="U202" s="139"/>
      <c r="AI202" s="139"/>
      <c r="AW202" s="139"/>
      <c r="BK202" s="139"/>
    </row>
    <row r="203" spans="7:63" ht="10.199999999999999" x14ac:dyDescent="0.2">
      <c r="G203" s="139"/>
      <c r="U203" s="139"/>
      <c r="AI203" s="139"/>
      <c r="AW203" s="139"/>
      <c r="BK203" s="139"/>
    </row>
    <row r="204" spans="7:63" ht="10.199999999999999" x14ac:dyDescent="0.2">
      <c r="G204" s="139"/>
      <c r="U204" s="139"/>
      <c r="AI204" s="139"/>
      <c r="AW204" s="139"/>
      <c r="BK204" s="139"/>
    </row>
    <row r="205" spans="7:63" ht="10.199999999999999" x14ac:dyDescent="0.2">
      <c r="G205" s="139"/>
      <c r="U205" s="139"/>
      <c r="AI205" s="139"/>
      <c r="AW205" s="139"/>
      <c r="BK205" s="139"/>
    </row>
    <row r="206" spans="7:63" ht="10.199999999999999" x14ac:dyDescent="0.2">
      <c r="G206" s="139"/>
      <c r="U206" s="139"/>
      <c r="AI206" s="139"/>
      <c r="AW206" s="139"/>
      <c r="BK206" s="139"/>
    </row>
    <row r="207" spans="7:63" ht="10.199999999999999" x14ac:dyDescent="0.2">
      <c r="G207" s="139"/>
      <c r="U207" s="139"/>
      <c r="AI207" s="139"/>
      <c r="AW207" s="139"/>
      <c r="BK207" s="139"/>
    </row>
    <row r="208" spans="7:63" ht="10.199999999999999" x14ac:dyDescent="0.2">
      <c r="G208" s="139"/>
      <c r="U208" s="139"/>
      <c r="AI208" s="139"/>
      <c r="AW208" s="139"/>
      <c r="BK208" s="139"/>
    </row>
    <row r="209" spans="7:63" ht="10.199999999999999" x14ac:dyDescent="0.2">
      <c r="G209" s="139"/>
      <c r="U209" s="139"/>
      <c r="AI209" s="139"/>
      <c r="AW209" s="139"/>
      <c r="BK209" s="139"/>
    </row>
    <row r="210" spans="7:63" ht="10.199999999999999" x14ac:dyDescent="0.2">
      <c r="G210" s="139"/>
      <c r="U210" s="139"/>
      <c r="AI210" s="139"/>
      <c r="AW210" s="139"/>
      <c r="BK210" s="139"/>
    </row>
    <row r="211" spans="7:63" ht="10.199999999999999" x14ac:dyDescent="0.2">
      <c r="G211" s="139"/>
      <c r="U211" s="139"/>
      <c r="AI211" s="139"/>
      <c r="AW211" s="139"/>
      <c r="BK211" s="139"/>
    </row>
    <row r="212" spans="7:63" ht="10.199999999999999" x14ac:dyDescent="0.2">
      <c r="G212" s="139"/>
      <c r="U212" s="139"/>
      <c r="AI212" s="139"/>
      <c r="AW212" s="139"/>
      <c r="BK212" s="139"/>
    </row>
    <row r="213" spans="7:63" ht="10.199999999999999" x14ac:dyDescent="0.2">
      <c r="G213" s="139"/>
      <c r="U213" s="139"/>
      <c r="AI213" s="139"/>
      <c r="AW213" s="139"/>
      <c r="BK213" s="139"/>
    </row>
    <row r="214" spans="7:63" ht="10.199999999999999" x14ac:dyDescent="0.2">
      <c r="G214" s="139"/>
      <c r="U214" s="139"/>
      <c r="AI214" s="139"/>
      <c r="AW214" s="139"/>
      <c r="BK214" s="139"/>
    </row>
    <row r="215" spans="7:63" ht="10.199999999999999" x14ac:dyDescent="0.2">
      <c r="G215" s="139"/>
      <c r="U215" s="139"/>
      <c r="AI215" s="139"/>
      <c r="AW215" s="139"/>
      <c r="BK215" s="139"/>
    </row>
    <row r="216" spans="7:63" ht="10.199999999999999" x14ac:dyDescent="0.2">
      <c r="G216" s="139"/>
      <c r="U216" s="139"/>
      <c r="AI216" s="139"/>
      <c r="AW216" s="139"/>
      <c r="BK216" s="139"/>
    </row>
    <row r="217" spans="7:63" ht="10.199999999999999" x14ac:dyDescent="0.2">
      <c r="G217" s="139"/>
      <c r="U217" s="139"/>
      <c r="AI217" s="139"/>
      <c r="AW217" s="139"/>
      <c r="BK217" s="139"/>
    </row>
    <row r="218" spans="7:63" ht="10.199999999999999" x14ac:dyDescent="0.2">
      <c r="G218" s="139"/>
      <c r="U218" s="139"/>
      <c r="AI218" s="139"/>
      <c r="AW218" s="139"/>
      <c r="BK218" s="139"/>
    </row>
    <row r="219" spans="7:63" ht="10.199999999999999" x14ac:dyDescent="0.2">
      <c r="G219" s="139"/>
      <c r="U219" s="139"/>
      <c r="AI219" s="139"/>
      <c r="AW219" s="139"/>
      <c r="BK219" s="139"/>
    </row>
    <row r="220" spans="7:63" ht="10.199999999999999" x14ac:dyDescent="0.2">
      <c r="G220" s="139"/>
      <c r="U220" s="139"/>
      <c r="AI220" s="139"/>
      <c r="AW220" s="139"/>
      <c r="BK220" s="139"/>
    </row>
    <row r="221" spans="7:63" ht="10.199999999999999" x14ac:dyDescent="0.2">
      <c r="G221" s="139"/>
      <c r="U221" s="139"/>
      <c r="AI221" s="139"/>
      <c r="AW221" s="139"/>
      <c r="BK221" s="139"/>
    </row>
    <row r="222" spans="7:63" ht="10.199999999999999" x14ac:dyDescent="0.2">
      <c r="G222" s="139"/>
      <c r="U222" s="139"/>
      <c r="AI222" s="139"/>
      <c r="AW222" s="139"/>
      <c r="BK222" s="139"/>
    </row>
    <row r="223" spans="7:63" ht="10.199999999999999" x14ac:dyDescent="0.2">
      <c r="G223" s="139"/>
      <c r="U223" s="139"/>
      <c r="AI223" s="139"/>
      <c r="AW223" s="139"/>
      <c r="BK223" s="139"/>
    </row>
    <row r="224" spans="7:63" ht="10.199999999999999" x14ac:dyDescent="0.2">
      <c r="G224" s="139"/>
      <c r="U224" s="139"/>
      <c r="AI224" s="139"/>
      <c r="AW224" s="139"/>
      <c r="BK224" s="139"/>
    </row>
    <row r="225" spans="7:63" ht="10.199999999999999" x14ac:dyDescent="0.2">
      <c r="G225" s="139"/>
      <c r="U225" s="139"/>
      <c r="AI225" s="139"/>
      <c r="AW225" s="139"/>
      <c r="BK225" s="139"/>
    </row>
    <row r="226" spans="7:63" ht="10.199999999999999" x14ac:dyDescent="0.2">
      <c r="G226" s="139"/>
      <c r="U226" s="139"/>
      <c r="AI226" s="139"/>
      <c r="AW226" s="139"/>
      <c r="BK226" s="139"/>
    </row>
    <row r="227" spans="7:63" ht="10.199999999999999" x14ac:dyDescent="0.2">
      <c r="G227" s="139"/>
      <c r="U227" s="139"/>
      <c r="AI227" s="139"/>
      <c r="AW227" s="139"/>
      <c r="BK227" s="139"/>
    </row>
    <row r="228" spans="7:63" ht="10.199999999999999" x14ac:dyDescent="0.2">
      <c r="G228" s="139"/>
      <c r="U228" s="139"/>
      <c r="AI228" s="139"/>
      <c r="AW228" s="139"/>
      <c r="BK228" s="139"/>
    </row>
    <row r="229" spans="7:63" ht="10.199999999999999" x14ac:dyDescent="0.2">
      <c r="G229" s="139"/>
      <c r="U229" s="139"/>
      <c r="AI229" s="139"/>
      <c r="AW229" s="139"/>
      <c r="BK229" s="139"/>
    </row>
    <row r="230" spans="7:63" ht="10.199999999999999" x14ac:dyDescent="0.2">
      <c r="G230" s="139"/>
      <c r="U230" s="139"/>
      <c r="AI230" s="139"/>
      <c r="AW230" s="139"/>
      <c r="BK230" s="139"/>
    </row>
    <row r="231" spans="7:63" ht="10.199999999999999" x14ac:dyDescent="0.2">
      <c r="G231" s="139"/>
      <c r="U231" s="139"/>
      <c r="AI231" s="139"/>
      <c r="AW231" s="139"/>
      <c r="BK231" s="139"/>
    </row>
    <row r="232" spans="7:63" ht="10.199999999999999" x14ac:dyDescent="0.2">
      <c r="G232" s="139"/>
      <c r="U232" s="139"/>
      <c r="AI232" s="139"/>
      <c r="AW232" s="139"/>
      <c r="BK232" s="139"/>
    </row>
    <row r="233" spans="7:63" ht="10.199999999999999" x14ac:dyDescent="0.2">
      <c r="G233" s="139"/>
      <c r="U233" s="139"/>
      <c r="AI233" s="139"/>
      <c r="AW233" s="139"/>
      <c r="BK233" s="139"/>
    </row>
    <row r="234" spans="7:63" ht="10.199999999999999" x14ac:dyDescent="0.2">
      <c r="G234" s="139"/>
      <c r="U234" s="139"/>
      <c r="AI234" s="139"/>
      <c r="AW234" s="139"/>
      <c r="BK234" s="139"/>
    </row>
    <row r="235" spans="7:63" ht="10.199999999999999" x14ac:dyDescent="0.2">
      <c r="G235" s="139"/>
      <c r="U235" s="139"/>
      <c r="AI235" s="139"/>
      <c r="AW235" s="139"/>
      <c r="BK235" s="139"/>
    </row>
    <row r="236" spans="7:63" ht="10.199999999999999" x14ac:dyDescent="0.2">
      <c r="G236" s="139"/>
      <c r="U236" s="139"/>
      <c r="AI236" s="139"/>
      <c r="AW236" s="139"/>
      <c r="BK236" s="139"/>
    </row>
    <row r="237" spans="7:63" ht="10.199999999999999" x14ac:dyDescent="0.2">
      <c r="G237" s="139"/>
      <c r="U237" s="139"/>
      <c r="AI237" s="139"/>
      <c r="AW237" s="139"/>
      <c r="BK237" s="139"/>
    </row>
    <row r="238" spans="7:63" ht="10.199999999999999" x14ac:dyDescent="0.2">
      <c r="G238" s="139"/>
      <c r="U238" s="139"/>
      <c r="AI238" s="139"/>
      <c r="AW238" s="139"/>
      <c r="BK238" s="139"/>
    </row>
    <row r="239" spans="7:63" ht="10.199999999999999" x14ac:dyDescent="0.2">
      <c r="G239" s="139"/>
      <c r="U239" s="139"/>
      <c r="AI239" s="139"/>
      <c r="AW239" s="139"/>
      <c r="BK239" s="139"/>
    </row>
    <row r="240" spans="7:63" ht="10.199999999999999" x14ac:dyDescent="0.2">
      <c r="G240" s="139"/>
      <c r="U240" s="139"/>
      <c r="AI240" s="139"/>
      <c r="AW240" s="139"/>
      <c r="BK240" s="139"/>
    </row>
    <row r="241" spans="7:63" ht="10.199999999999999" x14ac:dyDescent="0.2">
      <c r="G241" s="139"/>
      <c r="U241" s="139"/>
      <c r="AI241" s="139"/>
      <c r="AW241" s="139"/>
      <c r="BK241" s="139"/>
    </row>
    <row r="242" spans="7:63" ht="10.199999999999999" x14ac:dyDescent="0.2">
      <c r="G242" s="139"/>
      <c r="U242" s="139"/>
      <c r="AI242" s="139"/>
      <c r="AW242" s="139"/>
      <c r="BK242" s="139"/>
    </row>
    <row r="243" spans="7:63" ht="10.199999999999999" x14ac:dyDescent="0.2">
      <c r="G243" s="139"/>
      <c r="U243" s="139"/>
      <c r="AI243" s="139"/>
      <c r="AW243" s="139"/>
      <c r="BK243" s="139"/>
    </row>
    <row r="244" spans="7:63" ht="10.199999999999999" x14ac:dyDescent="0.2">
      <c r="G244" s="139"/>
      <c r="U244" s="139"/>
      <c r="AI244" s="139"/>
      <c r="AW244" s="139"/>
      <c r="BK244" s="139"/>
    </row>
    <row r="245" spans="7:63" ht="10.199999999999999" x14ac:dyDescent="0.2">
      <c r="G245" s="139"/>
      <c r="U245" s="139"/>
      <c r="AI245" s="139"/>
      <c r="AW245" s="139"/>
      <c r="BK245" s="139"/>
    </row>
    <row r="246" spans="7:63" ht="10.199999999999999" x14ac:dyDescent="0.2">
      <c r="G246" s="139"/>
      <c r="U246" s="139"/>
      <c r="AI246" s="139"/>
      <c r="AW246" s="139"/>
      <c r="BK246" s="139"/>
    </row>
    <row r="247" spans="7:63" ht="10.199999999999999" x14ac:dyDescent="0.2">
      <c r="G247" s="139"/>
      <c r="U247" s="139"/>
      <c r="AI247" s="139"/>
      <c r="AW247" s="139"/>
      <c r="BK247" s="139"/>
    </row>
    <row r="248" spans="7:63" ht="10.199999999999999" x14ac:dyDescent="0.2">
      <c r="G248" s="139"/>
      <c r="U248" s="139"/>
      <c r="AI248" s="139"/>
      <c r="AW248" s="139"/>
      <c r="BK248" s="139"/>
    </row>
    <row r="249" spans="7:63" ht="10.199999999999999" x14ac:dyDescent="0.2">
      <c r="G249" s="139"/>
      <c r="U249" s="139"/>
      <c r="AI249" s="139"/>
      <c r="AW249" s="139"/>
      <c r="BK249" s="139"/>
    </row>
    <row r="250" spans="7:63" ht="10.199999999999999" x14ac:dyDescent="0.2">
      <c r="G250" s="139"/>
      <c r="U250" s="139"/>
      <c r="AI250" s="139"/>
      <c r="AW250" s="139"/>
      <c r="BK250" s="139"/>
    </row>
    <row r="251" spans="7:63" ht="10.199999999999999" x14ac:dyDescent="0.2">
      <c r="G251" s="139"/>
      <c r="U251" s="139"/>
      <c r="AI251" s="139"/>
      <c r="AW251" s="139"/>
      <c r="BK251" s="139"/>
    </row>
    <row r="252" spans="7:63" ht="10.199999999999999" x14ac:dyDescent="0.2">
      <c r="G252" s="139"/>
      <c r="U252" s="139"/>
      <c r="AI252" s="139"/>
      <c r="AW252" s="139"/>
      <c r="BK252" s="139"/>
    </row>
    <row r="253" spans="7:63" ht="10.199999999999999" x14ac:dyDescent="0.2">
      <c r="G253" s="139"/>
      <c r="U253" s="139"/>
      <c r="AI253" s="139"/>
      <c r="AW253" s="139"/>
      <c r="BK253" s="139"/>
    </row>
    <row r="254" spans="7:63" ht="10.199999999999999" x14ac:dyDescent="0.2">
      <c r="G254" s="139"/>
      <c r="U254" s="139"/>
      <c r="AI254" s="139"/>
      <c r="AW254" s="139"/>
      <c r="BK254" s="139"/>
    </row>
    <row r="255" spans="7:63" ht="10.199999999999999" x14ac:dyDescent="0.2">
      <c r="G255" s="139"/>
      <c r="U255" s="139"/>
      <c r="AI255" s="139"/>
      <c r="AW255" s="139"/>
      <c r="BK255" s="139"/>
    </row>
    <row r="256" spans="7:63" ht="10.199999999999999" x14ac:dyDescent="0.2">
      <c r="G256" s="139"/>
      <c r="U256" s="139"/>
      <c r="AI256" s="139"/>
      <c r="AW256" s="139"/>
      <c r="BK256" s="139"/>
    </row>
    <row r="257" spans="7:63" ht="10.199999999999999" x14ac:dyDescent="0.2">
      <c r="G257" s="139"/>
      <c r="U257" s="139"/>
      <c r="AI257" s="139"/>
      <c r="AW257" s="139"/>
      <c r="BK257" s="139"/>
    </row>
    <row r="258" spans="7:63" ht="10.199999999999999" x14ac:dyDescent="0.2">
      <c r="G258" s="139"/>
      <c r="U258" s="139"/>
      <c r="AI258" s="139"/>
      <c r="AW258" s="139"/>
      <c r="BK258" s="139"/>
    </row>
    <row r="259" spans="7:63" ht="10.199999999999999" x14ac:dyDescent="0.2">
      <c r="G259" s="139"/>
      <c r="U259" s="139"/>
      <c r="AI259" s="139"/>
      <c r="AW259" s="139"/>
      <c r="BK259" s="139"/>
    </row>
    <row r="260" spans="7:63" ht="10.199999999999999" x14ac:dyDescent="0.2">
      <c r="G260" s="139"/>
      <c r="U260" s="139"/>
      <c r="AI260" s="139"/>
      <c r="AW260" s="139"/>
      <c r="BK260" s="139"/>
    </row>
    <row r="261" spans="7:63" ht="10.199999999999999" x14ac:dyDescent="0.2">
      <c r="G261" s="139"/>
      <c r="U261" s="139"/>
      <c r="AI261" s="139"/>
      <c r="AW261" s="139"/>
      <c r="BK261" s="139"/>
    </row>
    <row r="262" spans="7:63" ht="10.199999999999999" x14ac:dyDescent="0.2">
      <c r="G262" s="139"/>
      <c r="U262" s="139"/>
      <c r="AI262" s="139"/>
      <c r="AW262" s="139"/>
      <c r="BK262" s="139"/>
    </row>
    <row r="263" spans="7:63" ht="10.199999999999999" x14ac:dyDescent="0.2">
      <c r="G263" s="139"/>
      <c r="U263" s="139"/>
      <c r="AI263" s="139"/>
      <c r="AW263" s="139"/>
      <c r="BK263" s="139"/>
    </row>
    <row r="264" spans="7:63" ht="10.199999999999999" x14ac:dyDescent="0.2">
      <c r="G264" s="139"/>
      <c r="U264" s="139"/>
      <c r="AI264" s="139"/>
      <c r="AW264" s="139"/>
      <c r="BK264" s="139"/>
    </row>
    <row r="265" spans="7:63" ht="10.199999999999999" x14ac:dyDescent="0.2">
      <c r="G265" s="139"/>
      <c r="U265" s="139"/>
      <c r="AI265" s="139"/>
      <c r="AW265" s="139"/>
      <c r="BK265" s="139"/>
    </row>
    <row r="266" spans="7:63" ht="10.199999999999999" x14ac:dyDescent="0.2">
      <c r="G266" s="139"/>
      <c r="U266" s="139"/>
      <c r="AI266" s="139"/>
      <c r="AW266" s="139"/>
      <c r="BK266" s="139"/>
    </row>
    <row r="267" spans="7:63" ht="10.199999999999999" x14ac:dyDescent="0.2">
      <c r="G267" s="139"/>
      <c r="U267" s="139"/>
      <c r="AI267" s="139"/>
      <c r="AW267" s="139"/>
      <c r="BK267" s="139"/>
    </row>
    <row r="268" spans="7:63" ht="10.199999999999999" x14ac:dyDescent="0.2">
      <c r="G268" s="139"/>
      <c r="U268" s="139"/>
      <c r="AI268" s="139"/>
      <c r="AW268" s="139"/>
      <c r="BK268" s="139"/>
    </row>
    <row r="269" spans="7:63" ht="10.199999999999999" x14ac:dyDescent="0.2">
      <c r="G269" s="139"/>
      <c r="U269" s="139"/>
      <c r="AI269" s="139"/>
      <c r="AW269" s="139"/>
      <c r="BK269" s="139"/>
    </row>
    <row r="270" spans="7:63" ht="10.199999999999999" x14ac:dyDescent="0.2">
      <c r="G270" s="139"/>
      <c r="U270" s="139"/>
      <c r="AI270" s="139"/>
      <c r="AW270" s="139"/>
      <c r="BK270" s="139"/>
    </row>
    <row r="271" spans="7:63" ht="10.199999999999999" x14ac:dyDescent="0.2">
      <c r="G271" s="139"/>
      <c r="U271" s="139"/>
      <c r="AI271" s="139"/>
      <c r="AW271" s="139"/>
      <c r="BK271" s="139"/>
    </row>
    <row r="272" spans="7:63" ht="10.199999999999999" x14ac:dyDescent="0.2">
      <c r="G272" s="139"/>
      <c r="U272" s="139"/>
      <c r="AI272" s="139"/>
      <c r="AW272" s="139"/>
      <c r="BK272" s="139"/>
    </row>
    <row r="273" spans="7:63" ht="10.199999999999999" x14ac:dyDescent="0.2">
      <c r="G273" s="139"/>
      <c r="U273" s="139"/>
      <c r="AI273" s="139"/>
      <c r="AW273" s="139"/>
      <c r="BK273" s="139"/>
    </row>
    <row r="274" spans="7:63" ht="10.199999999999999" x14ac:dyDescent="0.2">
      <c r="G274" s="139"/>
      <c r="U274" s="139"/>
      <c r="AI274" s="139"/>
      <c r="AW274" s="139"/>
      <c r="BK274" s="139"/>
    </row>
    <row r="275" spans="7:63" ht="10.199999999999999" x14ac:dyDescent="0.2">
      <c r="G275" s="139"/>
      <c r="U275" s="139"/>
      <c r="AI275" s="139"/>
      <c r="AW275" s="139"/>
      <c r="BK275" s="139"/>
    </row>
    <row r="276" spans="7:63" ht="10.199999999999999" x14ac:dyDescent="0.2">
      <c r="G276" s="139"/>
      <c r="U276" s="139"/>
      <c r="AI276" s="139"/>
      <c r="AW276" s="139"/>
      <c r="BK276" s="139"/>
    </row>
    <row r="277" spans="7:63" ht="10.199999999999999" x14ac:dyDescent="0.2">
      <c r="G277" s="139"/>
      <c r="U277" s="139"/>
      <c r="AI277" s="139"/>
      <c r="AW277" s="139"/>
      <c r="BK277" s="139"/>
    </row>
    <row r="278" spans="7:63" ht="10.199999999999999" x14ac:dyDescent="0.2">
      <c r="G278" s="139"/>
      <c r="U278" s="139"/>
      <c r="AI278" s="139"/>
      <c r="AW278" s="139"/>
      <c r="BK278" s="139"/>
    </row>
    <row r="279" spans="7:63" ht="10.199999999999999" x14ac:dyDescent="0.2">
      <c r="G279" s="139"/>
      <c r="U279" s="139"/>
      <c r="AI279" s="139"/>
      <c r="AW279" s="139"/>
      <c r="BK279" s="139"/>
    </row>
    <row r="280" spans="7:63" ht="10.199999999999999" x14ac:dyDescent="0.2">
      <c r="G280" s="139"/>
      <c r="U280" s="139"/>
      <c r="AI280" s="139"/>
      <c r="AW280" s="139"/>
      <c r="BK280" s="139"/>
    </row>
    <row r="281" spans="7:63" ht="10.199999999999999" x14ac:dyDescent="0.2">
      <c r="G281" s="139"/>
      <c r="U281" s="139"/>
      <c r="AI281" s="139"/>
      <c r="AW281" s="139"/>
      <c r="BK281" s="139"/>
    </row>
    <row r="282" spans="7:63" ht="10.199999999999999" x14ac:dyDescent="0.2">
      <c r="G282" s="139"/>
      <c r="U282" s="139"/>
      <c r="AI282" s="139"/>
      <c r="AW282" s="139"/>
      <c r="BK282" s="139"/>
    </row>
    <row r="283" spans="7:63" ht="10.199999999999999" x14ac:dyDescent="0.2">
      <c r="G283" s="139"/>
      <c r="U283" s="139"/>
      <c r="AI283" s="139"/>
      <c r="AW283" s="139"/>
      <c r="BK283" s="139"/>
    </row>
    <row r="284" spans="7:63" ht="10.199999999999999" x14ac:dyDescent="0.2">
      <c r="G284" s="139"/>
      <c r="U284" s="139"/>
      <c r="AI284" s="139"/>
      <c r="AW284" s="139"/>
      <c r="BK284" s="139"/>
    </row>
    <row r="285" spans="7:63" ht="10.199999999999999" x14ac:dyDescent="0.2">
      <c r="G285" s="139"/>
      <c r="U285" s="139"/>
      <c r="AI285" s="139"/>
      <c r="AW285" s="139"/>
      <c r="BK285" s="139"/>
    </row>
    <row r="286" spans="7:63" ht="10.199999999999999" x14ac:dyDescent="0.2">
      <c r="G286" s="139"/>
      <c r="U286" s="139"/>
      <c r="AI286" s="139"/>
      <c r="AW286" s="139"/>
      <c r="BK286" s="139"/>
    </row>
    <row r="287" spans="7:63" ht="10.199999999999999" x14ac:dyDescent="0.2">
      <c r="G287" s="139"/>
      <c r="U287" s="139"/>
      <c r="AI287" s="139"/>
      <c r="AW287" s="139"/>
      <c r="BK287" s="139"/>
    </row>
    <row r="288" spans="7:63" ht="10.199999999999999" x14ac:dyDescent="0.2">
      <c r="G288" s="139"/>
      <c r="U288" s="139"/>
      <c r="AI288" s="139"/>
      <c r="AW288" s="139"/>
      <c r="BK288" s="139"/>
    </row>
    <row r="289" spans="7:63" ht="10.199999999999999" x14ac:dyDescent="0.2">
      <c r="G289" s="139"/>
      <c r="U289" s="139"/>
      <c r="AI289" s="139"/>
      <c r="AW289" s="139"/>
      <c r="BK289" s="139"/>
    </row>
    <row r="290" spans="7:63" ht="10.199999999999999" x14ac:dyDescent="0.2">
      <c r="G290" s="139"/>
      <c r="U290" s="139"/>
      <c r="AI290" s="139"/>
      <c r="AW290" s="139"/>
      <c r="BK290" s="139"/>
    </row>
    <row r="291" spans="7:63" ht="10.199999999999999" x14ac:dyDescent="0.2">
      <c r="G291" s="139"/>
      <c r="U291" s="139"/>
      <c r="AI291" s="139"/>
      <c r="AW291" s="139"/>
      <c r="BK291" s="139"/>
    </row>
    <row r="292" spans="7:63" ht="10.199999999999999" x14ac:dyDescent="0.2">
      <c r="G292" s="139"/>
      <c r="U292" s="139"/>
      <c r="AI292" s="139"/>
      <c r="AW292" s="139"/>
      <c r="BK292" s="139"/>
    </row>
    <row r="293" spans="7:63" ht="10.199999999999999" x14ac:dyDescent="0.2">
      <c r="G293" s="139"/>
      <c r="U293" s="139"/>
      <c r="AI293" s="139"/>
      <c r="AW293" s="139"/>
      <c r="BK293" s="139"/>
    </row>
    <row r="294" spans="7:63" ht="10.199999999999999" x14ac:dyDescent="0.2">
      <c r="G294" s="139"/>
      <c r="U294" s="139"/>
      <c r="AI294" s="139"/>
      <c r="AW294" s="139"/>
      <c r="BK294" s="139"/>
    </row>
    <row r="295" spans="7:63" ht="10.199999999999999" x14ac:dyDescent="0.2">
      <c r="G295" s="139"/>
      <c r="U295" s="139"/>
      <c r="AI295" s="139"/>
      <c r="AW295" s="139"/>
      <c r="BK295" s="139"/>
    </row>
    <row r="296" spans="7:63" ht="10.199999999999999" x14ac:dyDescent="0.2">
      <c r="G296" s="139"/>
      <c r="U296" s="139"/>
      <c r="AI296" s="139"/>
      <c r="AW296" s="139"/>
      <c r="BK296" s="139"/>
    </row>
    <row r="297" spans="7:63" ht="10.199999999999999" x14ac:dyDescent="0.2">
      <c r="G297" s="139"/>
      <c r="U297" s="139"/>
      <c r="AI297" s="139"/>
      <c r="AW297" s="139"/>
      <c r="BK297" s="139"/>
    </row>
    <row r="298" spans="7:63" ht="10.199999999999999" x14ac:dyDescent="0.2">
      <c r="G298" s="139"/>
      <c r="U298" s="139"/>
      <c r="AI298" s="139"/>
      <c r="AW298" s="139"/>
      <c r="BK298" s="139"/>
    </row>
    <row r="299" spans="7:63" ht="10.199999999999999" x14ac:dyDescent="0.2">
      <c r="G299" s="139"/>
      <c r="U299" s="139"/>
      <c r="AI299" s="139"/>
      <c r="AW299" s="139"/>
      <c r="BK299" s="139"/>
    </row>
    <row r="300" spans="7:63" ht="10.199999999999999" x14ac:dyDescent="0.2">
      <c r="G300" s="139"/>
      <c r="U300" s="139"/>
      <c r="AI300" s="139"/>
      <c r="AW300" s="139"/>
      <c r="BK300" s="139"/>
    </row>
    <row r="301" spans="7:63" ht="10.199999999999999" x14ac:dyDescent="0.2">
      <c r="G301" s="139"/>
      <c r="U301" s="139"/>
      <c r="AI301" s="139"/>
      <c r="AW301" s="139"/>
      <c r="BK301" s="139"/>
    </row>
    <row r="302" spans="7:63" ht="10.199999999999999" x14ac:dyDescent="0.2">
      <c r="G302" s="139"/>
      <c r="U302" s="139"/>
      <c r="AI302" s="139"/>
      <c r="AW302" s="139"/>
      <c r="BK302" s="139"/>
    </row>
    <row r="303" spans="7:63" ht="10.199999999999999" x14ac:dyDescent="0.2">
      <c r="G303" s="139"/>
      <c r="U303" s="139"/>
      <c r="AI303" s="139"/>
      <c r="AW303" s="139"/>
      <c r="BK303" s="139"/>
    </row>
    <row r="304" spans="7:63" ht="10.199999999999999" x14ac:dyDescent="0.2">
      <c r="G304" s="139"/>
      <c r="U304" s="139"/>
      <c r="AI304" s="139"/>
      <c r="AW304" s="139"/>
      <c r="BK304" s="139"/>
    </row>
    <row r="305" spans="7:63" ht="10.199999999999999" x14ac:dyDescent="0.2">
      <c r="G305" s="139"/>
      <c r="U305" s="139"/>
      <c r="AI305" s="139"/>
      <c r="AW305" s="139"/>
      <c r="BK305" s="139"/>
    </row>
    <row r="306" spans="7:63" ht="10.199999999999999" x14ac:dyDescent="0.2">
      <c r="G306" s="139"/>
      <c r="U306" s="139"/>
      <c r="AI306" s="139"/>
      <c r="AW306" s="139"/>
      <c r="BK306" s="139"/>
    </row>
    <row r="307" spans="7:63" ht="10.199999999999999" x14ac:dyDescent="0.2">
      <c r="G307" s="139"/>
      <c r="U307" s="139"/>
      <c r="AI307" s="139"/>
      <c r="AW307" s="139"/>
      <c r="BK307" s="139"/>
    </row>
    <row r="308" spans="7:63" ht="10.199999999999999" x14ac:dyDescent="0.2">
      <c r="G308" s="139"/>
      <c r="U308" s="139"/>
      <c r="AI308" s="139"/>
      <c r="AW308" s="139"/>
      <c r="BK308" s="139"/>
    </row>
    <row r="309" spans="7:63" ht="10.199999999999999" x14ac:dyDescent="0.2">
      <c r="G309" s="139"/>
      <c r="U309" s="139"/>
      <c r="AI309" s="139"/>
      <c r="AW309" s="139"/>
      <c r="BK309" s="139"/>
    </row>
    <row r="310" spans="7:63" ht="10.199999999999999" x14ac:dyDescent="0.2">
      <c r="G310" s="139"/>
      <c r="U310" s="139"/>
      <c r="AI310" s="139"/>
      <c r="AW310" s="139"/>
      <c r="BK310" s="139"/>
    </row>
    <row r="311" spans="7:63" ht="10.199999999999999" x14ac:dyDescent="0.2">
      <c r="G311" s="139"/>
      <c r="U311" s="139"/>
      <c r="AI311" s="139"/>
      <c r="AW311" s="139"/>
      <c r="BK311" s="139"/>
    </row>
    <row r="312" spans="7:63" ht="10.199999999999999" x14ac:dyDescent="0.2">
      <c r="G312" s="139"/>
      <c r="U312" s="139"/>
      <c r="AI312" s="139"/>
      <c r="AW312" s="139"/>
      <c r="BK312" s="139"/>
    </row>
    <row r="313" spans="7:63" ht="10.199999999999999" x14ac:dyDescent="0.2">
      <c r="G313" s="139"/>
      <c r="U313" s="139"/>
      <c r="AI313" s="139"/>
      <c r="AW313" s="139"/>
      <c r="BK313" s="139"/>
    </row>
    <row r="314" spans="7:63" ht="10.199999999999999" x14ac:dyDescent="0.2">
      <c r="G314" s="139"/>
      <c r="U314" s="139"/>
      <c r="AI314" s="139"/>
      <c r="AW314" s="139"/>
      <c r="BK314" s="139"/>
    </row>
    <row r="315" spans="7:63" ht="10.199999999999999" x14ac:dyDescent="0.2">
      <c r="G315" s="139"/>
      <c r="U315" s="139"/>
      <c r="AI315" s="139"/>
      <c r="AW315" s="139"/>
      <c r="BK315" s="139"/>
    </row>
    <row r="316" spans="7:63" ht="10.199999999999999" x14ac:dyDescent="0.2">
      <c r="G316" s="139"/>
      <c r="U316" s="139"/>
      <c r="AI316" s="139"/>
      <c r="AW316" s="139"/>
      <c r="BK316" s="139"/>
    </row>
    <row r="317" spans="7:63" ht="10.199999999999999" x14ac:dyDescent="0.2">
      <c r="G317" s="139"/>
      <c r="U317" s="139"/>
      <c r="AI317" s="139"/>
      <c r="AW317" s="139"/>
      <c r="BK317" s="139"/>
    </row>
    <row r="318" spans="7:63" ht="10.199999999999999" x14ac:dyDescent="0.2">
      <c r="G318" s="139"/>
      <c r="U318" s="139"/>
      <c r="AI318" s="139"/>
      <c r="AW318" s="139"/>
      <c r="BK318" s="139"/>
    </row>
    <row r="319" spans="7:63" ht="10.199999999999999" x14ac:dyDescent="0.2">
      <c r="G319" s="139"/>
      <c r="U319" s="139"/>
      <c r="AI319" s="139"/>
      <c r="AW319" s="139"/>
      <c r="BK319" s="139"/>
    </row>
    <row r="320" spans="7:63" ht="10.199999999999999" x14ac:dyDescent="0.2">
      <c r="G320" s="139"/>
      <c r="U320" s="139"/>
      <c r="AI320" s="139"/>
      <c r="AW320" s="139"/>
      <c r="BK320" s="139"/>
    </row>
    <row r="321" spans="7:63" ht="10.199999999999999" x14ac:dyDescent="0.2">
      <c r="G321" s="139"/>
      <c r="U321" s="139"/>
      <c r="AI321" s="139"/>
      <c r="AW321" s="139"/>
      <c r="BK321" s="139"/>
    </row>
    <row r="322" spans="7:63" ht="10.199999999999999" x14ac:dyDescent="0.2">
      <c r="G322" s="139"/>
      <c r="U322" s="139"/>
      <c r="AI322" s="139"/>
      <c r="AW322" s="139"/>
      <c r="BK322" s="139"/>
    </row>
    <row r="323" spans="7:63" ht="10.199999999999999" x14ac:dyDescent="0.2">
      <c r="G323" s="139"/>
      <c r="U323" s="139"/>
      <c r="AI323" s="139"/>
      <c r="AW323" s="139"/>
      <c r="BK323" s="139"/>
    </row>
    <row r="324" spans="7:63" ht="10.199999999999999" x14ac:dyDescent="0.2">
      <c r="G324" s="139"/>
      <c r="U324" s="139"/>
      <c r="AI324" s="139"/>
      <c r="AW324" s="139"/>
      <c r="BK324" s="139"/>
    </row>
    <row r="325" spans="7:63" ht="10.199999999999999" x14ac:dyDescent="0.2">
      <c r="G325" s="139"/>
      <c r="U325" s="139"/>
      <c r="AI325" s="139"/>
      <c r="AW325" s="139"/>
      <c r="BK325" s="139"/>
    </row>
    <row r="326" spans="7:63" ht="10.199999999999999" x14ac:dyDescent="0.2">
      <c r="G326" s="139"/>
      <c r="U326" s="139"/>
      <c r="AI326" s="139"/>
      <c r="AW326" s="139"/>
      <c r="BK326" s="139"/>
    </row>
    <row r="327" spans="7:63" ht="10.199999999999999" x14ac:dyDescent="0.2">
      <c r="G327" s="139"/>
      <c r="U327" s="139"/>
      <c r="AI327" s="139"/>
      <c r="AW327" s="139"/>
      <c r="BK327" s="139"/>
    </row>
    <row r="328" spans="7:63" ht="10.199999999999999" x14ac:dyDescent="0.2">
      <c r="G328" s="139"/>
      <c r="U328" s="139"/>
      <c r="AI328" s="139"/>
      <c r="AW328" s="139"/>
      <c r="BK328" s="139"/>
    </row>
    <row r="329" spans="7:63" ht="10.199999999999999" x14ac:dyDescent="0.2">
      <c r="G329" s="139"/>
      <c r="U329" s="139"/>
      <c r="AI329" s="139"/>
      <c r="AW329" s="139"/>
      <c r="BK329" s="139"/>
    </row>
    <row r="330" spans="7:63" ht="10.199999999999999" x14ac:dyDescent="0.2">
      <c r="G330" s="139"/>
      <c r="U330" s="139"/>
      <c r="AI330" s="139"/>
      <c r="AW330" s="139"/>
      <c r="BK330" s="139"/>
    </row>
    <row r="331" spans="7:63" ht="10.199999999999999" x14ac:dyDescent="0.2">
      <c r="G331" s="139"/>
      <c r="U331" s="139"/>
      <c r="AI331" s="139"/>
      <c r="AW331" s="139"/>
      <c r="BK331" s="139"/>
    </row>
    <row r="332" spans="7:63" ht="10.199999999999999" x14ac:dyDescent="0.2">
      <c r="G332" s="139"/>
      <c r="U332" s="139"/>
      <c r="AI332" s="139"/>
      <c r="AW332" s="139"/>
      <c r="BK332" s="139"/>
    </row>
    <row r="333" spans="7:63" ht="10.199999999999999" x14ac:dyDescent="0.2">
      <c r="G333" s="139"/>
      <c r="U333" s="139"/>
      <c r="AI333" s="139"/>
      <c r="AW333" s="139"/>
      <c r="BK333" s="139"/>
    </row>
    <row r="334" spans="7:63" ht="10.199999999999999" x14ac:dyDescent="0.2">
      <c r="G334" s="139"/>
      <c r="U334" s="139"/>
      <c r="AI334" s="139"/>
      <c r="AW334" s="139"/>
      <c r="BK334" s="139"/>
    </row>
    <row r="335" spans="7:63" ht="10.199999999999999" x14ac:dyDescent="0.2">
      <c r="G335" s="139"/>
      <c r="U335" s="139"/>
      <c r="AI335" s="139"/>
      <c r="AW335" s="139"/>
      <c r="BK335" s="139"/>
    </row>
    <row r="336" spans="7:63" ht="10.199999999999999" x14ac:dyDescent="0.2">
      <c r="G336" s="139"/>
      <c r="U336" s="139"/>
      <c r="AI336" s="139"/>
      <c r="AW336" s="139"/>
      <c r="BK336" s="139"/>
    </row>
    <row r="337" spans="7:63" ht="10.199999999999999" x14ac:dyDescent="0.2">
      <c r="G337" s="139"/>
      <c r="U337" s="139"/>
      <c r="AI337" s="139"/>
      <c r="AW337" s="139"/>
      <c r="BK337" s="139"/>
    </row>
    <row r="338" spans="7:63" ht="10.199999999999999" x14ac:dyDescent="0.2">
      <c r="G338" s="139"/>
      <c r="U338" s="139"/>
      <c r="AI338" s="139"/>
      <c r="AW338" s="139"/>
      <c r="BK338" s="139"/>
    </row>
    <row r="339" spans="7:63" ht="10.199999999999999" x14ac:dyDescent="0.2">
      <c r="G339" s="139"/>
      <c r="U339" s="139"/>
      <c r="AI339" s="139"/>
      <c r="AW339" s="139"/>
      <c r="BK339" s="139"/>
    </row>
    <row r="340" spans="7:63" ht="10.199999999999999" x14ac:dyDescent="0.2">
      <c r="G340" s="139"/>
      <c r="U340" s="139"/>
      <c r="AI340" s="139"/>
      <c r="AW340" s="139"/>
      <c r="BK340" s="139"/>
    </row>
    <row r="341" spans="7:63" ht="10.199999999999999" x14ac:dyDescent="0.2">
      <c r="G341" s="139"/>
      <c r="U341" s="139"/>
      <c r="AI341" s="139"/>
      <c r="AW341" s="139"/>
      <c r="BK341" s="139"/>
    </row>
    <row r="342" spans="7:63" ht="10.199999999999999" x14ac:dyDescent="0.2">
      <c r="G342" s="139"/>
      <c r="U342" s="139"/>
      <c r="AI342" s="139"/>
      <c r="AW342" s="139"/>
      <c r="BK342" s="139"/>
    </row>
    <row r="343" spans="7:63" ht="10.199999999999999" x14ac:dyDescent="0.2">
      <c r="G343" s="139"/>
      <c r="U343" s="139"/>
      <c r="AI343" s="139"/>
      <c r="AW343" s="139"/>
      <c r="BK343" s="139"/>
    </row>
    <row r="344" spans="7:63" ht="10.199999999999999" x14ac:dyDescent="0.2">
      <c r="G344" s="139"/>
      <c r="U344" s="139"/>
      <c r="AI344" s="139"/>
      <c r="AW344" s="139"/>
      <c r="BK344" s="139"/>
    </row>
    <row r="345" spans="7:63" ht="10.199999999999999" x14ac:dyDescent="0.2">
      <c r="G345" s="139"/>
      <c r="U345" s="139"/>
      <c r="AI345" s="139"/>
      <c r="AW345" s="139"/>
      <c r="BK345" s="139"/>
    </row>
    <row r="346" spans="7:63" ht="10.199999999999999" x14ac:dyDescent="0.2">
      <c r="G346" s="139"/>
      <c r="U346" s="139"/>
      <c r="AI346" s="139"/>
      <c r="AW346" s="139"/>
      <c r="BK346" s="139"/>
    </row>
    <row r="347" spans="7:63" ht="10.199999999999999" x14ac:dyDescent="0.2">
      <c r="G347" s="139"/>
      <c r="U347" s="139"/>
      <c r="AI347" s="139"/>
      <c r="AW347" s="139"/>
      <c r="BK347" s="139"/>
    </row>
    <row r="348" spans="7:63" ht="10.199999999999999" x14ac:dyDescent="0.2">
      <c r="G348" s="139"/>
      <c r="U348" s="139"/>
      <c r="AI348" s="139"/>
      <c r="AW348" s="139"/>
      <c r="BK348" s="139"/>
    </row>
    <row r="349" spans="7:63" ht="10.199999999999999" x14ac:dyDescent="0.2">
      <c r="G349" s="139"/>
      <c r="U349" s="139"/>
      <c r="AI349" s="139"/>
      <c r="AW349" s="139"/>
      <c r="BK349" s="139"/>
    </row>
    <row r="350" spans="7:63" ht="10.199999999999999" x14ac:dyDescent="0.2">
      <c r="G350" s="139"/>
      <c r="U350" s="139"/>
      <c r="AI350" s="139"/>
      <c r="AW350" s="139"/>
      <c r="BK350" s="139"/>
    </row>
    <row r="351" spans="7:63" ht="10.199999999999999" x14ac:dyDescent="0.2">
      <c r="G351" s="139"/>
      <c r="U351" s="139"/>
      <c r="AI351" s="139"/>
      <c r="AW351" s="139"/>
      <c r="BK351" s="139"/>
    </row>
    <row r="352" spans="7:63" ht="10.199999999999999" x14ac:dyDescent="0.2">
      <c r="G352" s="139"/>
      <c r="U352" s="139"/>
      <c r="AI352" s="139"/>
      <c r="AW352" s="139"/>
      <c r="BK352" s="139"/>
    </row>
    <row r="353" spans="7:63" ht="10.199999999999999" x14ac:dyDescent="0.2">
      <c r="G353" s="139"/>
      <c r="U353" s="139"/>
      <c r="AI353" s="139"/>
      <c r="AW353" s="139"/>
      <c r="BK353" s="139"/>
    </row>
    <row r="354" spans="7:63" ht="10.199999999999999" x14ac:dyDescent="0.2">
      <c r="G354" s="139"/>
      <c r="U354" s="139"/>
      <c r="AI354" s="139"/>
      <c r="AW354" s="139"/>
      <c r="BK354" s="139"/>
    </row>
    <row r="355" spans="7:63" ht="10.199999999999999" x14ac:dyDescent="0.2">
      <c r="G355" s="139"/>
      <c r="U355" s="139"/>
      <c r="AI355" s="139"/>
      <c r="AW355" s="139"/>
      <c r="BK355" s="139"/>
    </row>
    <row r="356" spans="7:63" ht="10.199999999999999" x14ac:dyDescent="0.2">
      <c r="G356" s="139"/>
      <c r="U356" s="139"/>
      <c r="AI356" s="139"/>
      <c r="AW356" s="139"/>
      <c r="BK356" s="139"/>
    </row>
    <row r="357" spans="7:63" ht="10.199999999999999" x14ac:dyDescent="0.2">
      <c r="G357" s="139"/>
      <c r="U357" s="139"/>
      <c r="AI357" s="139"/>
      <c r="AW357" s="139"/>
      <c r="BK357" s="139"/>
    </row>
    <row r="358" spans="7:63" ht="10.199999999999999" x14ac:dyDescent="0.2">
      <c r="G358" s="139"/>
      <c r="U358" s="139"/>
      <c r="AI358" s="139"/>
      <c r="AW358" s="139"/>
      <c r="BK358" s="139"/>
    </row>
    <row r="359" spans="7:63" ht="10.199999999999999" x14ac:dyDescent="0.2">
      <c r="G359" s="139"/>
      <c r="U359" s="139"/>
      <c r="AI359" s="139"/>
      <c r="AW359" s="139"/>
      <c r="BK359" s="139"/>
    </row>
    <row r="360" spans="7:63" ht="10.199999999999999" x14ac:dyDescent="0.2">
      <c r="G360" s="139"/>
      <c r="U360" s="139"/>
      <c r="AI360" s="139"/>
      <c r="AW360" s="139"/>
      <c r="BK360" s="139"/>
    </row>
    <row r="361" spans="7:63" ht="10.199999999999999" x14ac:dyDescent="0.2">
      <c r="G361" s="139"/>
      <c r="U361" s="139"/>
      <c r="AI361" s="139"/>
      <c r="AW361" s="139"/>
      <c r="BK361" s="139"/>
    </row>
    <row r="362" spans="7:63" ht="10.199999999999999" x14ac:dyDescent="0.2">
      <c r="G362" s="139"/>
      <c r="U362" s="139"/>
      <c r="AI362" s="139"/>
      <c r="AW362" s="139"/>
      <c r="BK362" s="139"/>
    </row>
    <row r="363" spans="7:63" ht="10.199999999999999" x14ac:dyDescent="0.2">
      <c r="G363" s="139"/>
      <c r="U363" s="139"/>
      <c r="AI363" s="139"/>
      <c r="AW363" s="139"/>
      <c r="BK363" s="139"/>
    </row>
    <row r="364" spans="7:63" ht="10.199999999999999" x14ac:dyDescent="0.2">
      <c r="G364" s="139"/>
      <c r="U364" s="139"/>
      <c r="AI364" s="139"/>
      <c r="AW364" s="139"/>
      <c r="BK364" s="139"/>
    </row>
    <row r="365" spans="7:63" ht="10.199999999999999" x14ac:dyDescent="0.2">
      <c r="G365" s="139"/>
      <c r="U365" s="139"/>
      <c r="AI365" s="139"/>
      <c r="AW365" s="139"/>
      <c r="BK365" s="139"/>
    </row>
    <row r="366" spans="7:63" ht="10.199999999999999" x14ac:dyDescent="0.2">
      <c r="G366" s="139"/>
      <c r="U366" s="139"/>
      <c r="AI366" s="139"/>
      <c r="AW366" s="139"/>
      <c r="BK366" s="139"/>
    </row>
    <row r="367" spans="7:63" ht="10.199999999999999" x14ac:dyDescent="0.2">
      <c r="G367" s="139"/>
      <c r="U367" s="139"/>
      <c r="AI367" s="139"/>
      <c r="AW367" s="139"/>
      <c r="BK367" s="139"/>
    </row>
    <row r="368" spans="7:63" ht="10.199999999999999" x14ac:dyDescent="0.2">
      <c r="G368" s="139"/>
      <c r="U368" s="139"/>
      <c r="AI368" s="139"/>
      <c r="AW368" s="139"/>
      <c r="BK368" s="139"/>
    </row>
    <row r="369" spans="7:63" ht="10.199999999999999" x14ac:dyDescent="0.2">
      <c r="G369" s="139"/>
      <c r="U369" s="139"/>
      <c r="AI369" s="139"/>
      <c r="AW369" s="139"/>
      <c r="BK369" s="139"/>
    </row>
    <row r="370" spans="7:63" ht="10.199999999999999" x14ac:dyDescent="0.2">
      <c r="G370" s="139"/>
      <c r="U370" s="139"/>
      <c r="AI370" s="139"/>
      <c r="AW370" s="139"/>
      <c r="BK370" s="139"/>
    </row>
    <row r="371" spans="7:63" ht="10.199999999999999" x14ac:dyDescent="0.2">
      <c r="G371" s="139"/>
      <c r="U371" s="139"/>
      <c r="AI371" s="139"/>
      <c r="AW371" s="139"/>
      <c r="BK371" s="139"/>
    </row>
    <row r="372" spans="7:63" ht="10.199999999999999" x14ac:dyDescent="0.2">
      <c r="G372" s="139"/>
      <c r="U372" s="139"/>
      <c r="AI372" s="139"/>
      <c r="AW372" s="139"/>
      <c r="BK372" s="139"/>
    </row>
    <row r="373" spans="7:63" ht="10.199999999999999" x14ac:dyDescent="0.2">
      <c r="G373" s="139"/>
      <c r="U373" s="139"/>
      <c r="AI373" s="139"/>
      <c r="AW373" s="139"/>
      <c r="BK373" s="139"/>
    </row>
    <row r="374" spans="7:63" ht="10.199999999999999" x14ac:dyDescent="0.2">
      <c r="G374" s="139"/>
      <c r="U374" s="139"/>
      <c r="AI374" s="139"/>
      <c r="AW374" s="139"/>
      <c r="BK374" s="139"/>
    </row>
    <row r="375" spans="7:63" ht="10.199999999999999" x14ac:dyDescent="0.2">
      <c r="G375" s="139"/>
      <c r="U375" s="139"/>
      <c r="AI375" s="139"/>
      <c r="AW375" s="139"/>
      <c r="BK375" s="139"/>
    </row>
    <row r="376" spans="7:63" ht="10.199999999999999" x14ac:dyDescent="0.2">
      <c r="G376" s="139"/>
      <c r="U376" s="139"/>
      <c r="AI376" s="139"/>
      <c r="AW376" s="139"/>
      <c r="BK376" s="139"/>
    </row>
    <row r="377" spans="7:63" ht="10.199999999999999" x14ac:dyDescent="0.2">
      <c r="G377" s="139"/>
      <c r="U377" s="139"/>
      <c r="AI377" s="139"/>
      <c r="AW377" s="139"/>
      <c r="BK377" s="139"/>
    </row>
    <row r="378" spans="7:63" ht="10.199999999999999" x14ac:dyDescent="0.2">
      <c r="G378" s="139"/>
      <c r="U378" s="139"/>
      <c r="AI378" s="139"/>
      <c r="AW378" s="139"/>
      <c r="BK378" s="139"/>
    </row>
    <row r="379" spans="7:63" ht="10.199999999999999" x14ac:dyDescent="0.2">
      <c r="G379" s="139"/>
      <c r="U379" s="139"/>
      <c r="AI379" s="139"/>
      <c r="AW379" s="139"/>
      <c r="BK379" s="139"/>
    </row>
    <row r="380" spans="7:63" ht="10.199999999999999" x14ac:dyDescent="0.2">
      <c r="G380" s="139"/>
      <c r="U380" s="139"/>
      <c r="AI380" s="139"/>
      <c r="AW380" s="139"/>
      <c r="BK380" s="139"/>
    </row>
    <row r="381" spans="7:63" ht="10.199999999999999" x14ac:dyDescent="0.2">
      <c r="G381" s="139"/>
      <c r="U381" s="139"/>
      <c r="AI381" s="139"/>
      <c r="AW381" s="139"/>
      <c r="BK381" s="139"/>
    </row>
    <row r="382" spans="7:63" ht="10.199999999999999" x14ac:dyDescent="0.2">
      <c r="G382" s="139"/>
      <c r="U382" s="139"/>
      <c r="AI382" s="139"/>
      <c r="AW382" s="139"/>
      <c r="BK382" s="139"/>
    </row>
    <row r="383" spans="7:63" ht="10.199999999999999" x14ac:dyDescent="0.2">
      <c r="G383" s="139"/>
      <c r="U383" s="139"/>
      <c r="AI383" s="139"/>
      <c r="AW383" s="139"/>
      <c r="BK383" s="139"/>
    </row>
    <row r="384" spans="7:63" ht="10.199999999999999" x14ac:dyDescent="0.2">
      <c r="G384" s="139"/>
      <c r="U384" s="139"/>
      <c r="AI384" s="139"/>
      <c r="AW384" s="139"/>
      <c r="BK384" s="139"/>
    </row>
    <row r="385" spans="7:63" ht="10.199999999999999" x14ac:dyDescent="0.2">
      <c r="G385" s="139"/>
      <c r="U385" s="139"/>
      <c r="AI385" s="139"/>
      <c r="AW385" s="139"/>
      <c r="BK385" s="139"/>
    </row>
    <row r="386" spans="7:63" ht="10.199999999999999" x14ac:dyDescent="0.2">
      <c r="G386" s="139"/>
      <c r="U386" s="139"/>
      <c r="AI386" s="139"/>
      <c r="AW386" s="139"/>
      <c r="BK386" s="139"/>
    </row>
    <row r="387" spans="7:63" ht="10.199999999999999" x14ac:dyDescent="0.2">
      <c r="G387" s="139"/>
      <c r="U387" s="139"/>
      <c r="AI387" s="139"/>
      <c r="AW387" s="139"/>
      <c r="BK387" s="139"/>
    </row>
    <row r="388" spans="7:63" ht="10.199999999999999" x14ac:dyDescent="0.2">
      <c r="G388" s="139"/>
      <c r="U388" s="139"/>
      <c r="AI388" s="139"/>
      <c r="AW388" s="139"/>
      <c r="BK388" s="139"/>
    </row>
    <row r="389" spans="7:63" ht="10.199999999999999" x14ac:dyDescent="0.2">
      <c r="G389" s="139"/>
      <c r="U389" s="139"/>
      <c r="AI389" s="139"/>
      <c r="AW389" s="139"/>
      <c r="BK389" s="139"/>
    </row>
    <row r="390" spans="7:63" ht="10.199999999999999" x14ac:dyDescent="0.2">
      <c r="G390" s="139"/>
      <c r="U390" s="139"/>
      <c r="AI390" s="139"/>
      <c r="AW390" s="139"/>
      <c r="BK390" s="139"/>
    </row>
    <row r="391" spans="7:63" ht="10.199999999999999" x14ac:dyDescent="0.2">
      <c r="G391" s="139"/>
      <c r="U391" s="139"/>
      <c r="AI391" s="139"/>
      <c r="AW391" s="139"/>
      <c r="BK391" s="139"/>
    </row>
    <row r="392" spans="7:63" ht="10.199999999999999" x14ac:dyDescent="0.2">
      <c r="G392" s="139"/>
      <c r="U392" s="139"/>
      <c r="AI392" s="139"/>
      <c r="AW392" s="139"/>
      <c r="BK392" s="139"/>
    </row>
    <row r="393" spans="7:63" ht="10.199999999999999" x14ac:dyDescent="0.2">
      <c r="G393" s="139"/>
      <c r="U393" s="139"/>
      <c r="AI393" s="139"/>
      <c r="AW393" s="139"/>
      <c r="BK393" s="139"/>
    </row>
    <row r="394" spans="7:63" ht="10.199999999999999" x14ac:dyDescent="0.2">
      <c r="G394" s="139"/>
      <c r="U394" s="139"/>
      <c r="AI394" s="139"/>
      <c r="AW394" s="139"/>
      <c r="BK394" s="139"/>
    </row>
    <row r="395" spans="7:63" ht="10.199999999999999" x14ac:dyDescent="0.2">
      <c r="G395" s="139"/>
      <c r="U395" s="139"/>
      <c r="AI395" s="139"/>
      <c r="AW395" s="139"/>
      <c r="BK395" s="139"/>
    </row>
    <row r="396" spans="7:63" ht="10.199999999999999" x14ac:dyDescent="0.2">
      <c r="G396" s="139"/>
      <c r="U396" s="139"/>
      <c r="AI396" s="139"/>
      <c r="AW396" s="139"/>
      <c r="BK396" s="139"/>
    </row>
    <row r="397" spans="7:63" ht="10.199999999999999" x14ac:dyDescent="0.2">
      <c r="G397" s="139"/>
      <c r="U397" s="139"/>
      <c r="AI397" s="139"/>
      <c r="AW397" s="139"/>
      <c r="BK397" s="139"/>
    </row>
    <row r="398" spans="7:63" ht="10.199999999999999" x14ac:dyDescent="0.2">
      <c r="G398" s="139"/>
      <c r="U398" s="139"/>
      <c r="AI398" s="139"/>
      <c r="AW398" s="139"/>
      <c r="BK398" s="139"/>
    </row>
    <row r="399" spans="7:63" ht="10.199999999999999" x14ac:dyDescent="0.2">
      <c r="G399" s="139"/>
      <c r="U399" s="139"/>
      <c r="AI399" s="139"/>
      <c r="AW399" s="139"/>
      <c r="BK399" s="139"/>
    </row>
    <row r="400" spans="7:63" ht="10.199999999999999" x14ac:dyDescent="0.2">
      <c r="G400" s="139"/>
      <c r="U400" s="139"/>
      <c r="AI400" s="139"/>
      <c r="AW400" s="139"/>
      <c r="BK400" s="139"/>
    </row>
    <row r="401" spans="7:63" ht="10.199999999999999" x14ac:dyDescent="0.2">
      <c r="G401" s="139"/>
      <c r="U401" s="139"/>
      <c r="AI401" s="139"/>
      <c r="AW401" s="139"/>
      <c r="BK401" s="139"/>
    </row>
    <row r="402" spans="7:63" ht="10.199999999999999" x14ac:dyDescent="0.2">
      <c r="G402" s="139"/>
      <c r="U402" s="139"/>
      <c r="AI402" s="139"/>
      <c r="AW402" s="139"/>
      <c r="BK402" s="139"/>
    </row>
    <row r="403" spans="7:63" ht="10.199999999999999" x14ac:dyDescent="0.2">
      <c r="G403" s="139"/>
      <c r="U403" s="139"/>
      <c r="AI403" s="139"/>
      <c r="AW403" s="139"/>
      <c r="BK403" s="139"/>
    </row>
    <row r="404" spans="7:63" ht="10.199999999999999" x14ac:dyDescent="0.2">
      <c r="G404" s="139"/>
      <c r="U404" s="139"/>
      <c r="AI404" s="139"/>
      <c r="AW404" s="139"/>
      <c r="BK404" s="139"/>
    </row>
    <row r="405" spans="7:63" ht="10.199999999999999" x14ac:dyDescent="0.2">
      <c r="G405" s="139"/>
      <c r="U405" s="139"/>
      <c r="AI405" s="139"/>
      <c r="AW405" s="139"/>
      <c r="BK405" s="139"/>
    </row>
    <row r="406" spans="7:63" ht="10.199999999999999" x14ac:dyDescent="0.2">
      <c r="G406" s="139"/>
      <c r="U406" s="139"/>
      <c r="AI406" s="139"/>
      <c r="AW406" s="139"/>
      <c r="BK406" s="139"/>
    </row>
    <row r="407" spans="7:63" ht="10.199999999999999" x14ac:dyDescent="0.2">
      <c r="G407" s="139"/>
      <c r="U407" s="139"/>
      <c r="AI407" s="139"/>
      <c r="AW407" s="139"/>
      <c r="BK407" s="139"/>
    </row>
    <row r="408" spans="7:63" ht="10.199999999999999" x14ac:dyDescent="0.2">
      <c r="G408" s="139"/>
      <c r="U408" s="139"/>
      <c r="AI408" s="139"/>
      <c r="AW408" s="139"/>
      <c r="BK408" s="139"/>
    </row>
    <row r="409" spans="7:63" ht="10.199999999999999" x14ac:dyDescent="0.2">
      <c r="G409" s="139"/>
      <c r="U409" s="139"/>
      <c r="AI409" s="139"/>
      <c r="AW409" s="139"/>
      <c r="BK409" s="139"/>
    </row>
    <row r="410" spans="7:63" ht="10.199999999999999" x14ac:dyDescent="0.2">
      <c r="G410" s="139"/>
      <c r="U410" s="139"/>
      <c r="AI410" s="139"/>
      <c r="AW410" s="139"/>
      <c r="BK410" s="139"/>
    </row>
    <row r="411" spans="7:63" ht="10.199999999999999" x14ac:dyDescent="0.2">
      <c r="G411" s="139"/>
      <c r="U411" s="139"/>
      <c r="AI411" s="139"/>
      <c r="AW411" s="139"/>
      <c r="BK411" s="139"/>
    </row>
    <row r="412" spans="7:63" ht="10.199999999999999" x14ac:dyDescent="0.2">
      <c r="G412" s="139"/>
      <c r="U412" s="139"/>
      <c r="AI412" s="139"/>
      <c r="AW412" s="139"/>
      <c r="BK412" s="139"/>
    </row>
    <row r="413" spans="7:63" ht="10.199999999999999" x14ac:dyDescent="0.2">
      <c r="G413" s="139"/>
      <c r="U413" s="139"/>
      <c r="AI413" s="139"/>
      <c r="AW413" s="139"/>
      <c r="BK413" s="139"/>
    </row>
    <row r="414" spans="7:63" ht="10.199999999999999" x14ac:dyDescent="0.2">
      <c r="G414" s="139"/>
      <c r="U414" s="139"/>
      <c r="AI414" s="139"/>
      <c r="AW414" s="139"/>
      <c r="BK414" s="139"/>
    </row>
    <row r="415" spans="7:63" ht="10.199999999999999" x14ac:dyDescent="0.2">
      <c r="G415" s="139"/>
      <c r="U415" s="139"/>
      <c r="AI415" s="139"/>
      <c r="AW415" s="139"/>
      <c r="BK415" s="139"/>
    </row>
    <row r="416" spans="7:63" ht="10.199999999999999" x14ac:dyDescent="0.2">
      <c r="G416" s="139"/>
      <c r="U416" s="139"/>
      <c r="AI416" s="139"/>
      <c r="AW416" s="139"/>
      <c r="BK416" s="139"/>
    </row>
    <row r="417" spans="7:63" ht="10.199999999999999" x14ac:dyDescent="0.2">
      <c r="G417" s="139"/>
      <c r="U417" s="139"/>
      <c r="AI417" s="139"/>
      <c r="AW417" s="139"/>
      <c r="BK417" s="139"/>
    </row>
    <row r="418" spans="7:63" ht="10.199999999999999" x14ac:dyDescent="0.2">
      <c r="G418" s="139"/>
      <c r="U418" s="139"/>
      <c r="AI418" s="139"/>
      <c r="AW418" s="139"/>
      <c r="BK418" s="139"/>
    </row>
    <row r="419" spans="7:63" ht="10.199999999999999" x14ac:dyDescent="0.2">
      <c r="G419" s="139"/>
      <c r="U419" s="139"/>
      <c r="AI419" s="139"/>
      <c r="AW419" s="139"/>
      <c r="BK419" s="139"/>
    </row>
    <row r="420" spans="7:63" ht="10.199999999999999" x14ac:dyDescent="0.2">
      <c r="G420" s="139"/>
      <c r="U420" s="139"/>
      <c r="AI420" s="139"/>
      <c r="AW420" s="139"/>
      <c r="BK420" s="139"/>
    </row>
    <row r="421" spans="7:63" ht="10.199999999999999" x14ac:dyDescent="0.2">
      <c r="G421" s="139"/>
      <c r="U421" s="139"/>
      <c r="AI421" s="139"/>
      <c r="AW421" s="139"/>
      <c r="BK421" s="139"/>
    </row>
    <row r="422" spans="7:63" ht="10.199999999999999" x14ac:dyDescent="0.2">
      <c r="G422" s="139"/>
      <c r="U422" s="139"/>
      <c r="AI422" s="139"/>
      <c r="AW422" s="139"/>
      <c r="BK422" s="139"/>
    </row>
    <row r="423" spans="7:63" ht="10.199999999999999" x14ac:dyDescent="0.2">
      <c r="G423" s="139"/>
      <c r="U423" s="139"/>
      <c r="AI423" s="139"/>
      <c r="AW423" s="139"/>
      <c r="BK423" s="139"/>
    </row>
    <row r="424" spans="7:63" ht="10.199999999999999" x14ac:dyDescent="0.2">
      <c r="G424" s="139"/>
      <c r="U424" s="139"/>
      <c r="AI424" s="139"/>
      <c r="AW424" s="139"/>
      <c r="BK424" s="139"/>
    </row>
    <row r="425" spans="7:63" ht="10.199999999999999" x14ac:dyDescent="0.2">
      <c r="G425" s="139"/>
      <c r="U425" s="139"/>
      <c r="AI425" s="139"/>
      <c r="AW425" s="139"/>
      <c r="BK425" s="139"/>
    </row>
    <row r="426" spans="7:63" ht="10.199999999999999" x14ac:dyDescent="0.2">
      <c r="G426" s="139"/>
      <c r="U426" s="139"/>
      <c r="AI426" s="139"/>
      <c r="AW426" s="139"/>
      <c r="BK426" s="139"/>
    </row>
    <row r="427" spans="7:63" ht="10.199999999999999" x14ac:dyDescent="0.2">
      <c r="G427" s="139"/>
      <c r="U427" s="139"/>
      <c r="AI427" s="139"/>
      <c r="AW427" s="139"/>
      <c r="BK427" s="139"/>
    </row>
    <row r="428" spans="7:63" ht="10.199999999999999" x14ac:dyDescent="0.2">
      <c r="G428" s="139"/>
      <c r="U428" s="139"/>
      <c r="AI428" s="139"/>
      <c r="AW428" s="139"/>
      <c r="BK428" s="139"/>
    </row>
    <row r="429" spans="7:63" ht="10.199999999999999" x14ac:dyDescent="0.2">
      <c r="G429" s="139"/>
      <c r="U429" s="139"/>
      <c r="AI429" s="139"/>
      <c r="AW429" s="139"/>
      <c r="BK429" s="139"/>
    </row>
    <row r="430" spans="7:63" ht="10.199999999999999" x14ac:dyDescent="0.2">
      <c r="G430" s="139"/>
      <c r="U430" s="139"/>
      <c r="AI430" s="139"/>
      <c r="AW430" s="139"/>
      <c r="BK430" s="139"/>
    </row>
    <row r="431" spans="7:63" ht="10.199999999999999" x14ac:dyDescent="0.2">
      <c r="G431" s="139"/>
      <c r="U431" s="139"/>
      <c r="AI431" s="139"/>
      <c r="AW431" s="139"/>
      <c r="BK431" s="139"/>
    </row>
    <row r="432" spans="7:63" ht="10.199999999999999" x14ac:dyDescent="0.2">
      <c r="G432" s="139"/>
      <c r="U432" s="139"/>
      <c r="AI432" s="139"/>
      <c r="AW432" s="139"/>
      <c r="BK432" s="139"/>
    </row>
    <row r="433" spans="7:63" ht="10.199999999999999" x14ac:dyDescent="0.2">
      <c r="G433" s="139"/>
      <c r="U433" s="139"/>
      <c r="AI433" s="139"/>
      <c r="AW433" s="139"/>
      <c r="BK433" s="139"/>
    </row>
    <row r="434" spans="7:63" ht="10.199999999999999" x14ac:dyDescent="0.2">
      <c r="G434" s="139"/>
      <c r="U434" s="139"/>
      <c r="AI434" s="139"/>
      <c r="AW434" s="139"/>
      <c r="BK434" s="139"/>
    </row>
    <row r="435" spans="7:63" ht="10.199999999999999" x14ac:dyDescent="0.2">
      <c r="G435" s="139"/>
      <c r="U435" s="139"/>
      <c r="AI435" s="139"/>
      <c r="AW435" s="139"/>
      <c r="BK435" s="139"/>
    </row>
    <row r="436" spans="7:63" ht="10.199999999999999" x14ac:dyDescent="0.2">
      <c r="G436" s="139"/>
      <c r="U436" s="139"/>
      <c r="AI436" s="139"/>
      <c r="AW436" s="139"/>
      <c r="BK436" s="139"/>
    </row>
    <row r="437" spans="7:63" ht="10.199999999999999" x14ac:dyDescent="0.2">
      <c r="G437" s="139"/>
      <c r="U437" s="139"/>
      <c r="AI437" s="139"/>
      <c r="AW437" s="139"/>
      <c r="BK437" s="139"/>
    </row>
    <row r="438" spans="7:63" ht="10.199999999999999" x14ac:dyDescent="0.2">
      <c r="G438" s="139"/>
      <c r="U438" s="139"/>
      <c r="AI438" s="139"/>
      <c r="AW438" s="139"/>
      <c r="BK438" s="139"/>
    </row>
    <row r="439" spans="7:63" ht="10.199999999999999" x14ac:dyDescent="0.2">
      <c r="G439" s="139"/>
      <c r="U439" s="139"/>
      <c r="AI439" s="139"/>
      <c r="AW439" s="139"/>
      <c r="BK439" s="139"/>
    </row>
    <row r="440" spans="7:63" ht="10.199999999999999" x14ac:dyDescent="0.2">
      <c r="G440" s="139"/>
      <c r="U440" s="139"/>
      <c r="AI440" s="139"/>
      <c r="AW440" s="139"/>
      <c r="BK440" s="139"/>
    </row>
    <row r="441" spans="7:63" ht="10.199999999999999" x14ac:dyDescent="0.2">
      <c r="G441" s="139"/>
      <c r="U441" s="139"/>
      <c r="AI441" s="139"/>
      <c r="AW441" s="139"/>
      <c r="BK441" s="139"/>
    </row>
    <row r="442" spans="7:63" ht="10.199999999999999" x14ac:dyDescent="0.2">
      <c r="G442" s="139"/>
      <c r="U442" s="139"/>
      <c r="AI442" s="139"/>
      <c r="AW442" s="139"/>
      <c r="BK442" s="139"/>
    </row>
    <row r="443" spans="7:63" ht="10.199999999999999" x14ac:dyDescent="0.2">
      <c r="G443" s="139"/>
      <c r="U443" s="139"/>
      <c r="AI443" s="139"/>
      <c r="AW443" s="139"/>
      <c r="BK443" s="139"/>
    </row>
    <row r="444" spans="7:63" ht="10.199999999999999" x14ac:dyDescent="0.2">
      <c r="G444" s="139"/>
      <c r="U444" s="139"/>
      <c r="AI444" s="139"/>
      <c r="AW444" s="139"/>
      <c r="BK444" s="139"/>
    </row>
    <row r="445" spans="7:63" ht="10.199999999999999" x14ac:dyDescent="0.2">
      <c r="G445" s="139"/>
      <c r="U445" s="139"/>
      <c r="AI445" s="139"/>
      <c r="AW445" s="139"/>
      <c r="BK445" s="139"/>
    </row>
    <row r="446" spans="7:63" ht="10.199999999999999" x14ac:dyDescent="0.2">
      <c r="G446" s="139"/>
      <c r="U446" s="139"/>
      <c r="AI446" s="139"/>
      <c r="AW446" s="139"/>
      <c r="BK446" s="139"/>
    </row>
    <row r="447" spans="7:63" ht="10.199999999999999" x14ac:dyDescent="0.2">
      <c r="G447" s="139"/>
      <c r="U447" s="139"/>
      <c r="AI447" s="139"/>
      <c r="AW447" s="139"/>
      <c r="BK447" s="139"/>
    </row>
    <row r="448" spans="7:63" ht="10.199999999999999" x14ac:dyDescent="0.2">
      <c r="G448" s="139"/>
      <c r="U448" s="139"/>
      <c r="AI448" s="139"/>
      <c r="AW448" s="139"/>
      <c r="BK448" s="139"/>
    </row>
    <row r="449" spans="7:63" ht="10.199999999999999" x14ac:dyDescent="0.2">
      <c r="G449" s="139"/>
      <c r="U449" s="139"/>
      <c r="AI449" s="139"/>
      <c r="AW449" s="139"/>
      <c r="BK449" s="139"/>
    </row>
    <row r="450" spans="7:63" ht="10.199999999999999" x14ac:dyDescent="0.2">
      <c r="G450" s="139"/>
      <c r="U450" s="139"/>
      <c r="AI450" s="139"/>
      <c r="AW450" s="139"/>
      <c r="BK450" s="139"/>
    </row>
    <row r="451" spans="7:63" ht="10.199999999999999" x14ac:dyDescent="0.2">
      <c r="G451" s="139"/>
      <c r="U451" s="139"/>
      <c r="AI451" s="139"/>
      <c r="AW451" s="139"/>
      <c r="BK451" s="139"/>
    </row>
    <row r="452" spans="7:63" ht="10.199999999999999" x14ac:dyDescent="0.2">
      <c r="G452" s="139"/>
      <c r="U452" s="139"/>
      <c r="AI452" s="139"/>
      <c r="AW452" s="139"/>
      <c r="BK452" s="139"/>
    </row>
    <row r="453" spans="7:63" ht="10.199999999999999" x14ac:dyDescent="0.2">
      <c r="G453" s="139"/>
      <c r="U453" s="139"/>
      <c r="AI453" s="139"/>
      <c r="AW453" s="139"/>
      <c r="BK453" s="139"/>
    </row>
    <row r="454" spans="7:63" ht="10.199999999999999" x14ac:dyDescent="0.2">
      <c r="G454" s="139"/>
      <c r="U454" s="139"/>
      <c r="AI454" s="139"/>
      <c r="AW454" s="139"/>
      <c r="BK454" s="139"/>
    </row>
    <row r="455" spans="7:63" ht="10.199999999999999" x14ac:dyDescent="0.2">
      <c r="G455" s="139"/>
      <c r="U455" s="139"/>
      <c r="AI455" s="139"/>
      <c r="AW455" s="139"/>
      <c r="BK455" s="139"/>
    </row>
    <row r="456" spans="7:63" ht="10.199999999999999" x14ac:dyDescent="0.2">
      <c r="G456" s="139"/>
      <c r="U456" s="139"/>
      <c r="AI456" s="139"/>
      <c r="AW456" s="139"/>
      <c r="BK456" s="139"/>
    </row>
    <row r="457" spans="7:63" ht="10.199999999999999" x14ac:dyDescent="0.2">
      <c r="G457" s="139"/>
      <c r="U457" s="139"/>
      <c r="AI457" s="139"/>
      <c r="AW457" s="139"/>
      <c r="BK457" s="139"/>
    </row>
    <row r="458" spans="7:63" ht="10.199999999999999" x14ac:dyDescent="0.2">
      <c r="G458" s="139"/>
      <c r="U458" s="139"/>
      <c r="AI458" s="139"/>
      <c r="AW458" s="139"/>
      <c r="BK458" s="139"/>
    </row>
    <row r="459" spans="7:63" ht="10.199999999999999" x14ac:dyDescent="0.2">
      <c r="G459" s="139"/>
      <c r="U459" s="139"/>
      <c r="AI459" s="139"/>
      <c r="AW459" s="139"/>
      <c r="BK459" s="139"/>
    </row>
    <row r="460" spans="7:63" ht="10.199999999999999" x14ac:dyDescent="0.2">
      <c r="G460" s="139"/>
      <c r="U460" s="139"/>
      <c r="AI460" s="139"/>
      <c r="AW460" s="139"/>
      <c r="BK460" s="139"/>
    </row>
    <row r="461" spans="7:63" ht="10.199999999999999" x14ac:dyDescent="0.2">
      <c r="G461" s="139"/>
      <c r="U461" s="139"/>
      <c r="AI461" s="139"/>
      <c r="AW461" s="139"/>
      <c r="BK461" s="139"/>
    </row>
    <row r="462" spans="7:63" ht="10.199999999999999" x14ac:dyDescent="0.2">
      <c r="G462" s="139"/>
      <c r="U462" s="139"/>
      <c r="AI462" s="139"/>
      <c r="AW462" s="139"/>
      <c r="BK462" s="139"/>
    </row>
    <row r="463" spans="7:63" ht="10.199999999999999" x14ac:dyDescent="0.2">
      <c r="G463" s="139"/>
      <c r="U463" s="139"/>
      <c r="AI463" s="139"/>
      <c r="AW463" s="139"/>
      <c r="BK463" s="139"/>
    </row>
    <row r="464" spans="7:63" ht="10.199999999999999" x14ac:dyDescent="0.2">
      <c r="G464" s="139"/>
      <c r="U464" s="139"/>
      <c r="AI464" s="139"/>
      <c r="AW464" s="139"/>
      <c r="BK464" s="139"/>
    </row>
    <row r="465" spans="7:63" ht="10.199999999999999" x14ac:dyDescent="0.2">
      <c r="G465" s="139"/>
      <c r="U465" s="139"/>
      <c r="AI465" s="139"/>
      <c r="AW465" s="139"/>
      <c r="BK465" s="139"/>
    </row>
    <row r="466" spans="7:63" ht="10.199999999999999" x14ac:dyDescent="0.2">
      <c r="G466" s="139"/>
      <c r="U466" s="139"/>
      <c r="AI466" s="139"/>
      <c r="AW466" s="139"/>
      <c r="BK466" s="139"/>
    </row>
    <row r="467" spans="7:63" ht="10.199999999999999" x14ac:dyDescent="0.2">
      <c r="G467" s="139"/>
      <c r="U467" s="139"/>
      <c r="AI467" s="139"/>
      <c r="AW467" s="139"/>
      <c r="BK467" s="139"/>
    </row>
    <row r="468" spans="7:63" ht="10.199999999999999" x14ac:dyDescent="0.2">
      <c r="G468" s="139"/>
      <c r="U468" s="139"/>
      <c r="AI468" s="139"/>
      <c r="AW468" s="139"/>
      <c r="BK468" s="139"/>
    </row>
    <row r="469" spans="7:63" ht="10.199999999999999" x14ac:dyDescent="0.2">
      <c r="G469" s="139"/>
      <c r="U469" s="139"/>
      <c r="AI469" s="139"/>
      <c r="AW469" s="139"/>
      <c r="BK469" s="139"/>
    </row>
    <row r="470" spans="7:63" ht="10.199999999999999" x14ac:dyDescent="0.2">
      <c r="G470" s="139"/>
      <c r="U470" s="139"/>
      <c r="AI470" s="139"/>
      <c r="AW470" s="139"/>
      <c r="BK470" s="139"/>
    </row>
    <row r="471" spans="7:63" ht="10.199999999999999" x14ac:dyDescent="0.2">
      <c r="G471" s="139"/>
      <c r="U471" s="139"/>
      <c r="AI471" s="139"/>
      <c r="AW471" s="139"/>
      <c r="BK471" s="139"/>
    </row>
    <row r="472" spans="7:63" ht="10.199999999999999" x14ac:dyDescent="0.2">
      <c r="G472" s="139"/>
      <c r="U472" s="139"/>
      <c r="AI472" s="139"/>
      <c r="AW472" s="139"/>
      <c r="BK472" s="139"/>
    </row>
    <row r="473" spans="7:63" ht="10.199999999999999" x14ac:dyDescent="0.2">
      <c r="G473" s="139"/>
      <c r="U473" s="139"/>
      <c r="AI473" s="139"/>
      <c r="AW473" s="139"/>
      <c r="BK473" s="139"/>
    </row>
    <row r="474" spans="7:63" ht="10.199999999999999" x14ac:dyDescent="0.2">
      <c r="G474" s="139"/>
      <c r="U474" s="139"/>
      <c r="AI474" s="139"/>
      <c r="AW474" s="139"/>
      <c r="BK474" s="139"/>
    </row>
    <row r="475" spans="7:63" ht="10.199999999999999" x14ac:dyDescent="0.2">
      <c r="G475" s="139"/>
      <c r="U475" s="139"/>
      <c r="AI475" s="139"/>
      <c r="AW475" s="139"/>
      <c r="BK475" s="139"/>
    </row>
    <row r="476" spans="7:63" ht="10.199999999999999" x14ac:dyDescent="0.2">
      <c r="G476" s="139"/>
      <c r="U476" s="139"/>
      <c r="AI476" s="139"/>
      <c r="AW476" s="139"/>
      <c r="BK476" s="139"/>
    </row>
    <row r="477" spans="7:63" ht="10.199999999999999" x14ac:dyDescent="0.2">
      <c r="G477" s="139"/>
      <c r="U477" s="139"/>
      <c r="AI477" s="139"/>
      <c r="AW477" s="139"/>
      <c r="BK477" s="139"/>
    </row>
    <row r="478" spans="7:63" ht="10.199999999999999" x14ac:dyDescent="0.2">
      <c r="G478" s="139"/>
      <c r="U478" s="139"/>
      <c r="AI478" s="139"/>
      <c r="AW478" s="139"/>
      <c r="BK478" s="139"/>
    </row>
    <row r="479" spans="7:63" ht="10.199999999999999" x14ac:dyDescent="0.2">
      <c r="G479" s="139"/>
      <c r="U479" s="139"/>
      <c r="AI479" s="139"/>
      <c r="AW479" s="139"/>
      <c r="BK479" s="139"/>
    </row>
    <row r="480" spans="7:63" ht="10.199999999999999" x14ac:dyDescent="0.2">
      <c r="G480" s="139"/>
      <c r="U480" s="139"/>
      <c r="AI480" s="139"/>
      <c r="AW480" s="139"/>
      <c r="BK480" s="139"/>
    </row>
    <row r="481" spans="7:63" ht="10.199999999999999" x14ac:dyDescent="0.2">
      <c r="G481" s="139"/>
      <c r="U481" s="139"/>
      <c r="AI481" s="139"/>
      <c r="AW481" s="139"/>
      <c r="BK481" s="139"/>
    </row>
    <row r="482" spans="7:63" ht="10.199999999999999" x14ac:dyDescent="0.2">
      <c r="G482" s="139"/>
      <c r="U482" s="139"/>
      <c r="AI482" s="139"/>
      <c r="AW482" s="139"/>
      <c r="BK482" s="139"/>
    </row>
    <row r="483" spans="7:63" ht="10.199999999999999" x14ac:dyDescent="0.2">
      <c r="G483" s="139"/>
      <c r="U483" s="139"/>
      <c r="AI483" s="139"/>
      <c r="AW483" s="139"/>
      <c r="BK483" s="139"/>
    </row>
    <row r="484" spans="7:63" ht="10.199999999999999" x14ac:dyDescent="0.2">
      <c r="G484" s="139"/>
      <c r="U484" s="139"/>
      <c r="AI484" s="139"/>
      <c r="AW484" s="139"/>
      <c r="BK484" s="139"/>
    </row>
    <row r="485" spans="7:63" ht="10.199999999999999" x14ac:dyDescent="0.2">
      <c r="G485" s="139"/>
      <c r="U485" s="139"/>
      <c r="AI485" s="139"/>
      <c r="AW485" s="139"/>
      <c r="BK485" s="139"/>
    </row>
    <row r="486" spans="7:63" ht="10.199999999999999" x14ac:dyDescent="0.2">
      <c r="G486" s="139"/>
      <c r="U486" s="139"/>
      <c r="AI486" s="139"/>
      <c r="AW486" s="139"/>
      <c r="BK486" s="139"/>
    </row>
    <row r="487" spans="7:63" ht="10.199999999999999" x14ac:dyDescent="0.2">
      <c r="G487" s="139"/>
      <c r="U487" s="139"/>
      <c r="AI487" s="139"/>
      <c r="AW487" s="139"/>
      <c r="BK487" s="139"/>
    </row>
    <row r="488" spans="7:63" ht="10.199999999999999" x14ac:dyDescent="0.2">
      <c r="G488" s="139"/>
      <c r="U488" s="139"/>
      <c r="AI488" s="139"/>
      <c r="AW488" s="139"/>
      <c r="BK488" s="139"/>
    </row>
    <row r="489" spans="7:63" ht="10.199999999999999" x14ac:dyDescent="0.2">
      <c r="G489" s="139"/>
      <c r="U489" s="139"/>
      <c r="AI489" s="139"/>
      <c r="AW489" s="139"/>
      <c r="BK489" s="139"/>
    </row>
    <row r="490" spans="7:63" ht="10.199999999999999" x14ac:dyDescent="0.2">
      <c r="G490" s="139"/>
      <c r="U490" s="139"/>
      <c r="AI490" s="139"/>
      <c r="AW490" s="139"/>
      <c r="BK490" s="139"/>
    </row>
    <row r="491" spans="7:63" ht="10.199999999999999" x14ac:dyDescent="0.2">
      <c r="G491" s="139"/>
      <c r="U491" s="139"/>
      <c r="AI491" s="139"/>
      <c r="AW491" s="139"/>
      <c r="BK491" s="139"/>
    </row>
    <row r="492" spans="7:63" ht="10.199999999999999" x14ac:dyDescent="0.2">
      <c r="G492" s="139"/>
      <c r="U492" s="139"/>
      <c r="AI492" s="139"/>
      <c r="AW492" s="139"/>
      <c r="BK492" s="139"/>
    </row>
    <row r="493" spans="7:63" ht="10.199999999999999" x14ac:dyDescent="0.2">
      <c r="G493" s="139"/>
      <c r="U493" s="139"/>
      <c r="AI493" s="139"/>
      <c r="AW493" s="139"/>
      <c r="BK493" s="139"/>
    </row>
    <row r="494" spans="7:63" ht="10.199999999999999" x14ac:dyDescent="0.2">
      <c r="G494" s="139"/>
      <c r="U494" s="139"/>
      <c r="AI494" s="139"/>
      <c r="AW494" s="139"/>
      <c r="BK494" s="139"/>
    </row>
    <row r="495" spans="7:63" ht="10.199999999999999" x14ac:dyDescent="0.2">
      <c r="G495" s="139"/>
      <c r="U495" s="139"/>
      <c r="AI495" s="139"/>
      <c r="AW495" s="139"/>
      <c r="BK495" s="139"/>
    </row>
    <row r="496" spans="7:63" ht="10.199999999999999" x14ac:dyDescent="0.2">
      <c r="G496" s="139"/>
      <c r="U496" s="139"/>
      <c r="AI496" s="139"/>
      <c r="AW496" s="139"/>
      <c r="BK496" s="139"/>
    </row>
    <row r="497" spans="7:63" ht="10.199999999999999" x14ac:dyDescent="0.2">
      <c r="G497" s="139"/>
      <c r="U497" s="139"/>
      <c r="AI497" s="139"/>
      <c r="AW497" s="139"/>
      <c r="BK497" s="139"/>
    </row>
    <row r="498" spans="7:63" ht="10.199999999999999" x14ac:dyDescent="0.2">
      <c r="G498" s="139"/>
      <c r="U498" s="139"/>
      <c r="AI498" s="139"/>
      <c r="AW498" s="139"/>
      <c r="BK498" s="139"/>
    </row>
    <row r="499" spans="7:63" ht="10.199999999999999" x14ac:dyDescent="0.2">
      <c r="G499" s="139"/>
      <c r="U499" s="139"/>
      <c r="AI499" s="139"/>
      <c r="AW499" s="139"/>
      <c r="BK499" s="139"/>
    </row>
    <row r="500" spans="7:63" ht="10.199999999999999" x14ac:dyDescent="0.2">
      <c r="G500" s="139"/>
      <c r="U500" s="139"/>
      <c r="AI500" s="139"/>
      <c r="AW500" s="139"/>
      <c r="BK500" s="139"/>
    </row>
    <row r="501" spans="7:63" ht="10.199999999999999" x14ac:dyDescent="0.2">
      <c r="G501" s="139"/>
      <c r="U501" s="139"/>
      <c r="AI501" s="139"/>
      <c r="AW501" s="139"/>
      <c r="BK501" s="139"/>
    </row>
    <row r="502" spans="7:63" ht="10.199999999999999" x14ac:dyDescent="0.2">
      <c r="G502" s="139"/>
      <c r="U502" s="139"/>
      <c r="AI502" s="139"/>
      <c r="AW502" s="139"/>
      <c r="BK502" s="139"/>
    </row>
    <row r="503" spans="7:63" ht="10.199999999999999" x14ac:dyDescent="0.2">
      <c r="G503" s="139"/>
      <c r="U503" s="139"/>
      <c r="AI503" s="139"/>
      <c r="AW503" s="139"/>
      <c r="BK503" s="139"/>
    </row>
    <row r="504" spans="7:63" ht="10.199999999999999" x14ac:dyDescent="0.2">
      <c r="G504" s="139"/>
      <c r="U504" s="139"/>
      <c r="AI504" s="139"/>
      <c r="AW504" s="139"/>
      <c r="BK504" s="139"/>
    </row>
    <row r="505" spans="7:63" ht="10.199999999999999" x14ac:dyDescent="0.2">
      <c r="G505" s="139"/>
      <c r="U505" s="139"/>
      <c r="AI505" s="139"/>
      <c r="AW505" s="139"/>
      <c r="BK505" s="139"/>
    </row>
    <row r="506" spans="7:63" ht="10.199999999999999" x14ac:dyDescent="0.2">
      <c r="G506" s="139"/>
      <c r="U506" s="139"/>
      <c r="AI506" s="139"/>
      <c r="AW506" s="139"/>
      <c r="BK506" s="139"/>
    </row>
    <row r="507" spans="7:63" ht="10.199999999999999" x14ac:dyDescent="0.2">
      <c r="G507" s="139"/>
      <c r="U507" s="139"/>
      <c r="AI507" s="139"/>
      <c r="AW507" s="139"/>
      <c r="BK507" s="139"/>
    </row>
    <row r="508" spans="7:63" ht="10.199999999999999" x14ac:dyDescent="0.2">
      <c r="G508" s="139"/>
      <c r="U508" s="139"/>
      <c r="AI508" s="139"/>
      <c r="AW508" s="139"/>
      <c r="BK508" s="139"/>
    </row>
    <row r="509" spans="7:63" ht="10.199999999999999" x14ac:dyDescent="0.2">
      <c r="G509" s="139"/>
      <c r="U509" s="139"/>
      <c r="AI509" s="139"/>
      <c r="AW509" s="139"/>
      <c r="BK509" s="139"/>
    </row>
    <row r="510" spans="7:63" ht="10.199999999999999" x14ac:dyDescent="0.2">
      <c r="G510" s="139"/>
      <c r="U510" s="139"/>
      <c r="AI510" s="139"/>
      <c r="AW510" s="139"/>
      <c r="BK510" s="139"/>
    </row>
    <row r="511" spans="7:63" ht="10.199999999999999" x14ac:dyDescent="0.2">
      <c r="G511" s="139"/>
      <c r="U511" s="139"/>
      <c r="AI511" s="139"/>
      <c r="AW511" s="139"/>
      <c r="BK511" s="139"/>
    </row>
    <row r="512" spans="7:63" ht="10.199999999999999" x14ac:dyDescent="0.2">
      <c r="G512" s="139"/>
      <c r="U512" s="139"/>
      <c r="AI512" s="139"/>
      <c r="AW512" s="139"/>
      <c r="BK512" s="139"/>
    </row>
    <row r="513" spans="7:63" ht="10.199999999999999" x14ac:dyDescent="0.2">
      <c r="G513" s="139"/>
      <c r="U513" s="139"/>
      <c r="AI513" s="139"/>
      <c r="AW513" s="139"/>
      <c r="BK513" s="139"/>
    </row>
    <row r="514" spans="7:63" ht="10.199999999999999" x14ac:dyDescent="0.2">
      <c r="G514" s="139"/>
      <c r="U514" s="139"/>
      <c r="AI514" s="139"/>
      <c r="AW514" s="139"/>
      <c r="BK514" s="139"/>
    </row>
    <row r="515" spans="7:63" ht="10.199999999999999" x14ac:dyDescent="0.2">
      <c r="G515" s="139"/>
      <c r="U515" s="139"/>
      <c r="AI515" s="139"/>
      <c r="AW515" s="139"/>
      <c r="BK515" s="139"/>
    </row>
    <row r="516" spans="7:63" ht="10.199999999999999" x14ac:dyDescent="0.2">
      <c r="G516" s="139"/>
      <c r="U516" s="139"/>
      <c r="AI516" s="139"/>
      <c r="AW516" s="139"/>
      <c r="BK516" s="139"/>
    </row>
    <row r="517" spans="7:63" ht="10.199999999999999" x14ac:dyDescent="0.2">
      <c r="G517" s="139"/>
      <c r="U517" s="139"/>
      <c r="AI517" s="139"/>
      <c r="AW517" s="139"/>
      <c r="BK517" s="139"/>
    </row>
    <row r="518" spans="7:63" ht="10.199999999999999" x14ac:dyDescent="0.2">
      <c r="G518" s="139"/>
      <c r="U518" s="139"/>
      <c r="AI518" s="139"/>
      <c r="AW518" s="139"/>
      <c r="BK518" s="139"/>
    </row>
    <row r="519" spans="7:63" ht="10.199999999999999" x14ac:dyDescent="0.2">
      <c r="G519" s="139"/>
      <c r="U519" s="139"/>
      <c r="AI519" s="139"/>
      <c r="AW519" s="139"/>
      <c r="BK519" s="139"/>
    </row>
    <row r="520" spans="7:63" ht="10.199999999999999" x14ac:dyDescent="0.2">
      <c r="G520" s="139"/>
      <c r="U520" s="139"/>
      <c r="AI520" s="139"/>
      <c r="AW520" s="139"/>
      <c r="BK520" s="139"/>
    </row>
    <row r="521" spans="7:63" ht="10.199999999999999" x14ac:dyDescent="0.2">
      <c r="G521" s="139"/>
      <c r="U521" s="139"/>
      <c r="AI521" s="139"/>
      <c r="AW521" s="139"/>
      <c r="BK521" s="139"/>
    </row>
    <row r="522" spans="7:63" ht="10.199999999999999" x14ac:dyDescent="0.2">
      <c r="G522" s="139"/>
      <c r="U522" s="139"/>
      <c r="AI522" s="139"/>
      <c r="AW522" s="139"/>
      <c r="BK522" s="139"/>
    </row>
    <row r="523" spans="7:63" ht="10.199999999999999" x14ac:dyDescent="0.2">
      <c r="G523" s="139"/>
      <c r="U523" s="139"/>
      <c r="AI523" s="139"/>
      <c r="AW523" s="139"/>
      <c r="BK523" s="139"/>
    </row>
    <row r="524" spans="7:63" ht="10.199999999999999" x14ac:dyDescent="0.2">
      <c r="G524" s="139"/>
      <c r="U524" s="139"/>
      <c r="AI524" s="139"/>
      <c r="AW524" s="139"/>
      <c r="BK524" s="139"/>
    </row>
    <row r="525" spans="7:63" ht="10.199999999999999" x14ac:dyDescent="0.2">
      <c r="G525" s="139"/>
      <c r="U525" s="139"/>
      <c r="AI525" s="139"/>
      <c r="AW525" s="139"/>
      <c r="BK525" s="139"/>
    </row>
    <row r="526" spans="7:63" ht="10.199999999999999" x14ac:dyDescent="0.2">
      <c r="G526" s="139"/>
      <c r="U526" s="139"/>
      <c r="AI526" s="139"/>
      <c r="AW526" s="139"/>
      <c r="BK526" s="139"/>
    </row>
    <row r="527" spans="7:63" ht="10.199999999999999" x14ac:dyDescent="0.2">
      <c r="G527" s="139"/>
      <c r="U527" s="139"/>
      <c r="AI527" s="139"/>
      <c r="AW527" s="139"/>
      <c r="BK527" s="139"/>
    </row>
    <row r="528" spans="7:63" ht="10.199999999999999" x14ac:dyDescent="0.2">
      <c r="G528" s="139"/>
      <c r="U528" s="139"/>
      <c r="AI528" s="139"/>
      <c r="AW528" s="139"/>
      <c r="BK528" s="139"/>
    </row>
    <row r="529" spans="7:63" ht="10.199999999999999" x14ac:dyDescent="0.2">
      <c r="G529" s="139"/>
      <c r="U529" s="139"/>
      <c r="AI529" s="139"/>
      <c r="AW529" s="139"/>
      <c r="BK529" s="139"/>
    </row>
    <row r="530" spans="7:63" ht="10.199999999999999" x14ac:dyDescent="0.2">
      <c r="G530" s="139"/>
      <c r="U530" s="139"/>
      <c r="AI530" s="139"/>
      <c r="AW530" s="139"/>
      <c r="BK530" s="139"/>
    </row>
    <row r="531" spans="7:63" ht="10.199999999999999" x14ac:dyDescent="0.2">
      <c r="G531" s="139"/>
      <c r="U531" s="139"/>
      <c r="AI531" s="139"/>
      <c r="AW531" s="139"/>
      <c r="BK531" s="139"/>
    </row>
    <row r="532" spans="7:63" ht="10.199999999999999" x14ac:dyDescent="0.2">
      <c r="G532" s="139"/>
      <c r="U532" s="139"/>
      <c r="AI532" s="139"/>
      <c r="AW532" s="139"/>
      <c r="BK532" s="139"/>
    </row>
    <row r="533" spans="7:63" ht="10.199999999999999" x14ac:dyDescent="0.2">
      <c r="G533" s="139"/>
      <c r="U533" s="139"/>
      <c r="AI533" s="139"/>
      <c r="AW533" s="139"/>
      <c r="BK533" s="139"/>
    </row>
    <row r="534" spans="7:63" ht="10.199999999999999" x14ac:dyDescent="0.2">
      <c r="G534" s="139"/>
      <c r="U534" s="139"/>
      <c r="AI534" s="139"/>
      <c r="AW534" s="139"/>
      <c r="BK534" s="139"/>
    </row>
    <row r="535" spans="7:63" ht="10.199999999999999" x14ac:dyDescent="0.2">
      <c r="G535" s="139"/>
      <c r="U535" s="139"/>
      <c r="AI535" s="139"/>
      <c r="AW535" s="139"/>
      <c r="BK535" s="139"/>
    </row>
    <row r="536" spans="7:63" ht="10.199999999999999" x14ac:dyDescent="0.2">
      <c r="G536" s="139"/>
      <c r="U536" s="139"/>
      <c r="AI536" s="139"/>
      <c r="AW536" s="139"/>
      <c r="BK536" s="139"/>
    </row>
    <row r="537" spans="7:63" ht="10.199999999999999" x14ac:dyDescent="0.2">
      <c r="G537" s="139"/>
      <c r="U537" s="139"/>
      <c r="AI537" s="139"/>
      <c r="AW537" s="139"/>
      <c r="BK537" s="139"/>
    </row>
    <row r="538" spans="7:63" ht="10.199999999999999" x14ac:dyDescent="0.2">
      <c r="G538" s="139"/>
      <c r="U538" s="139"/>
      <c r="AI538" s="139"/>
      <c r="AW538" s="139"/>
      <c r="BK538" s="139"/>
    </row>
    <row r="539" spans="7:63" ht="10.199999999999999" x14ac:dyDescent="0.2">
      <c r="G539" s="139"/>
      <c r="U539" s="139"/>
      <c r="AI539" s="139"/>
      <c r="AW539" s="139"/>
      <c r="BK539" s="139"/>
    </row>
    <row r="540" spans="7:63" ht="10.199999999999999" x14ac:dyDescent="0.2">
      <c r="G540" s="139"/>
      <c r="U540" s="139"/>
      <c r="AI540" s="139"/>
      <c r="AW540" s="139"/>
      <c r="BK540" s="139"/>
    </row>
    <row r="541" spans="7:63" ht="10.199999999999999" x14ac:dyDescent="0.2">
      <c r="G541" s="139"/>
      <c r="U541" s="139"/>
      <c r="AI541" s="139"/>
      <c r="AW541" s="139"/>
      <c r="BK541" s="139"/>
    </row>
    <row r="542" spans="7:63" ht="10.199999999999999" x14ac:dyDescent="0.2">
      <c r="G542" s="139"/>
      <c r="U542" s="139"/>
      <c r="AI542" s="139"/>
      <c r="AW542" s="139"/>
      <c r="BK542" s="139"/>
    </row>
    <row r="543" spans="7:63" ht="10.199999999999999" x14ac:dyDescent="0.2">
      <c r="G543" s="139"/>
      <c r="U543" s="139"/>
      <c r="AI543" s="139"/>
      <c r="AW543" s="139"/>
      <c r="BK543" s="139"/>
    </row>
    <row r="544" spans="7:63" ht="10.199999999999999" x14ac:dyDescent="0.2">
      <c r="G544" s="139"/>
      <c r="U544" s="139"/>
      <c r="AI544" s="139"/>
      <c r="AW544" s="139"/>
      <c r="BK544" s="139"/>
    </row>
    <row r="545" spans="7:63" ht="10.199999999999999" x14ac:dyDescent="0.2">
      <c r="G545" s="139"/>
      <c r="U545" s="139"/>
      <c r="AI545" s="139"/>
      <c r="AW545" s="139"/>
      <c r="BK545" s="139"/>
    </row>
    <row r="546" spans="7:63" ht="10.199999999999999" x14ac:dyDescent="0.2">
      <c r="G546" s="139"/>
      <c r="U546" s="139"/>
      <c r="AI546" s="139"/>
      <c r="AW546" s="139"/>
      <c r="BK546" s="139"/>
    </row>
    <row r="547" spans="7:63" ht="10.199999999999999" x14ac:dyDescent="0.2">
      <c r="G547" s="139"/>
      <c r="U547" s="139"/>
      <c r="AI547" s="139"/>
      <c r="AW547" s="139"/>
      <c r="BK547" s="139"/>
    </row>
    <row r="548" spans="7:63" ht="10.199999999999999" x14ac:dyDescent="0.2">
      <c r="G548" s="139"/>
      <c r="U548" s="139"/>
      <c r="AI548" s="139"/>
      <c r="AW548" s="139"/>
      <c r="BK548" s="139"/>
    </row>
    <row r="549" spans="7:63" ht="10.199999999999999" x14ac:dyDescent="0.2">
      <c r="G549" s="139"/>
      <c r="U549" s="139"/>
      <c r="AI549" s="139"/>
      <c r="AW549" s="139"/>
      <c r="BK549" s="139"/>
    </row>
    <row r="550" spans="7:63" ht="10.199999999999999" x14ac:dyDescent="0.2">
      <c r="G550" s="139"/>
      <c r="U550" s="139"/>
      <c r="AI550" s="139"/>
      <c r="AW550" s="139"/>
      <c r="BK550" s="139"/>
    </row>
    <row r="551" spans="7:63" ht="10.199999999999999" x14ac:dyDescent="0.2">
      <c r="G551" s="139"/>
      <c r="U551" s="139"/>
      <c r="AI551" s="139"/>
      <c r="AW551" s="139"/>
      <c r="BK551" s="139"/>
    </row>
    <row r="552" spans="7:63" ht="10.199999999999999" x14ac:dyDescent="0.2">
      <c r="G552" s="139"/>
      <c r="U552" s="139"/>
      <c r="AI552" s="139"/>
      <c r="AW552" s="139"/>
      <c r="BK552" s="139"/>
    </row>
    <row r="553" spans="7:63" ht="10.199999999999999" x14ac:dyDescent="0.2">
      <c r="G553" s="139"/>
      <c r="U553" s="139"/>
      <c r="AI553" s="139"/>
      <c r="AW553" s="139"/>
      <c r="BK553" s="139"/>
    </row>
    <row r="554" spans="7:63" ht="10.199999999999999" x14ac:dyDescent="0.2">
      <c r="G554" s="139"/>
      <c r="U554" s="139"/>
      <c r="AI554" s="139"/>
      <c r="AW554" s="139"/>
      <c r="BK554" s="139"/>
    </row>
    <row r="555" spans="7:63" ht="10.199999999999999" x14ac:dyDescent="0.2">
      <c r="G555" s="139"/>
      <c r="U555" s="139"/>
      <c r="AI555" s="139"/>
      <c r="AW555" s="139"/>
      <c r="BK555" s="139"/>
    </row>
    <row r="556" spans="7:63" ht="10.199999999999999" x14ac:dyDescent="0.2">
      <c r="G556" s="139"/>
      <c r="U556" s="139"/>
      <c r="AI556" s="139"/>
      <c r="AW556" s="139"/>
      <c r="BK556" s="139"/>
    </row>
    <row r="557" spans="7:63" ht="10.199999999999999" x14ac:dyDescent="0.2">
      <c r="G557" s="139"/>
      <c r="U557" s="139"/>
      <c r="AI557" s="139"/>
      <c r="AW557" s="139"/>
      <c r="BK557" s="139"/>
    </row>
    <row r="558" spans="7:63" ht="10.199999999999999" x14ac:dyDescent="0.2">
      <c r="G558" s="139"/>
      <c r="U558" s="139"/>
      <c r="AI558" s="139"/>
      <c r="AW558" s="139"/>
      <c r="BK558" s="139"/>
    </row>
    <row r="559" spans="7:63" ht="10.199999999999999" x14ac:dyDescent="0.2">
      <c r="G559" s="139"/>
      <c r="U559" s="139"/>
      <c r="AI559" s="139"/>
      <c r="AW559" s="139"/>
      <c r="BK559" s="139"/>
    </row>
    <row r="560" spans="7:63" ht="10.199999999999999" x14ac:dyDescent="0.2">
      <c r="G560" s="139"/>
      <c r="U560" s="139"/>
      <c r="AI560" s="139"/>
      <c r="AW560" s="139"/>
      <c r="BK560" s="139"/>
    </row>
    <row r="561" spans="7:63" ht="10.199999999999999" x14ac:dyDescent="0.2">
      <c r="G561" s="139"/>
      <c r="U561" s="139"/>
      <c r="AI561" s="139"/>
      <c r="AW561" s="139"/>
      <c r="BK561" s="139"/>
    </row>
    <row r="562" spans="7:63" ht="10.199999999999999" x14ac:dyDescent="0.2">
      <c r="G562" s="139"/>
      <c r="U562" s="139"/>
      <c r="AI562" s="139"/>
      <c r="AW562" s="139"/>
      <c r="BK562" s="139"/>
    </row>
    <row r="563" spans="7:63" ht="10.199999999999999" x14ac:dyDescent="0.2">
      <c r="G563" s="139"/>
      <c r="U563" s="139"/>
      <c r="AI563" s="139"/>
      <c r="AW563" s="139"/>
      <c r="BK563" s="139"/>
    </row>
    <row r="564" spans="7:63" ht="10.199999999999999" x14ac:dyDescent="0.2">
      <c r="G564" s="139"/>
      <c r="U564" s="139"/>
      <c r="AI564" s="139"/>
      <c r="AW564" s="139"/>
      <c r="BK564" s="139"/>
    </row>
    <row r="565" spans="7:63" ht="10.199999999999999" x14ac:dyDescent="0.2">
      <c r="G565" s="139"/>
      <c r="U565" s="139"/>
      <c r="AI565" s="139"/>
      <c r="AW565" s="139"/>
      <c r="BK565" s="139"/>
    </row>
    <row r="566" spans="7:63" ht="10.199999999999999" x14ac:dyDescent="0.2">
      <c r="G566" s="139"/>
      <c r="U566" s="139"/>
      <c r="AI566" s="139"/>
      <c r="AW566" s="139"/>
      <c r="BK566" s="139"/>
    </row>
    <row r="567" spans="7:63" ht="10.199999999999999" x14ac:dyDescent="0.2">
      <c r="G567" s="139"/>
      <c r="U567" s="139"/>
      <c r="AI567" s="139"/>
      <c r="AW567" s="139"/>
      <c r="BK567" s="139"/>
    </row>
    <row r="568" spans="7:63" ht="10.199999999999999" x14ac:dyDescent="0.2">
      <c r="G568" s="139"/>
      <c r="U568" s="139"/>
      <c r="AI568" s="139"/>
      <c r="AW568" s="139"/>
      <c r="BK568" s="139"/>
    </row>
    <row r="569" spans="7:63" ht="10.199999999999999" x14ac:dyDescent="0.2">
      <c r="G569" s="139"/>
      <c r="U569" s="139"/>
      <c r="AI569" s="139"/>
      <c r="AW569" s="139"/>
      <c r="BK569" s="139"/>
    </row>
    <row r="570" spans="7:63" ht="10.199999999999999" x14ac:dyDescent="0.2">
      <c r="G570" s="139"/>
      <c r="U570" s="139"/>
      <c r="AI570" s="139"/>
      <c r="AW570" s="139"/>
      <c r="BK570" s="139"/>
    </row>
    <row r="571" spans="7:63" ht="10.199999999999999" x14ac:dyDescent="0.2">
      <c r="G571" s="139"/>
      <c r="U571" s="139"/>
      <c r="AI571" s="139"/>
      <c r="AW571" s="139"/>
      <c r="BK571" s="139"/>
    </row>
    <row r="572" spans="7:63" ht="10.199999999999999" x14ac:dyDescent="0.2">
      <c r="G572" s="139"/>
      <c r="U572" s="139"/>
      <c r="AI572" s="139"/>
      <c r="AW572" s="139"/>
      <c r="BK572" s="139"/>
    </row>
    <row r="573" spans="7:63" ht="10.199999999999999" x14ac:dyDescent="0.2">
      <c r="G573" s="139"/>
      <c r="U573" s="139"/>
      <c r="AI573" s="139"/>
      <c r="AW573" s="139"/>
      <c r="BK573" s="139"/>
    </row>
    <row r="574" spans="7:63" ht="10.199999999999999" x14ac:dyDescent="0.2">
      <c r="G574" s="139"/>
      <c r="U574" s="139"/>
      <c r="AI574" s="139"/>
      <c r="AW574" s="139"/>
      <c r="BK574" s="139"/>
    </row>
    <row r="575" spans="7:63" ht="10.199999999999999" x14ac:dyDescent="0.2">
      <c r="G575" s="139"/>
      <c r="U575" s="139"/>
      <c r="AI575" s="139"/>
      <c r="AW575" s="139"/>
      <c r="BK575" s="139"/>
    </row>
    <row r="576" spans="7:63" ht="10.199999999999999" x14ac:dyDescent="0.2">
      <c r="G576" s="139"/>
      <c r="U576" s="139"/>
      <c r="AI576" s="139"/>
      <c r="AW576" s="139"/>
      <c r="BK576" s="139"/>
    </row>
    <row r="577" spans="7:63" ht="10.199999999999999" x14ac:dyDescent="0.2">
      <c r="G577" s="139"/>
      <c r="U577" s="139"/>
      <c r="AI577" s="139"/>
      <c r="AW577" s="139"/>
      <c r="BK577" s="139"/>
    </row>
    <row r="578" spans="7:63" ht="10.199999999999999" x14ac:dyDescent="0.2">
      <c r="G578" s="139"/>
      <c r="U578" s="139"/>
      <c r="AI578" s="139"/>
      <c r="AW578" s="139"/>
      <c r="BK578" s="139"/>
    </row>
    <row r="579" spans="7:63" ht="10.199999999999999" x14ac:dyDescent="0.2">
      <c r="G579" s="139"/>
      <c r="U579" s="139"/>
      <c r="AI579" s="139"/>
      <c r="AW579" s="139"/>
      <c r="BK579" s="139"/>
    </row>
    <row r="580" spans="7:63" ht="10.199999999999999" x14ac:dyDescent="0.2">
      <c r="G580" s="139"/>
      <c r="U580" s="139"/>
      <c r="AI580" s="139"/>
      <c r="AW580" s="139"/>
      <c r="BK580" s="139"/>
    </row>
    <row r="581" spans="7:63" ht="10.199999999999999" x14ac:dyDescent="0.2">
      <c r="G581" s="139"/>
      <c r="U581" s="139"/>
      <c r="AI581" s="139"/>
      <c r="AW581" s="139"/>
      <c r="BK581" s="139"/>
    </row>
    <row r="582" spans="7:63" ht="10.199999999999999" x14ac:dyDescent="0.2">
      <c r="G582" s="139"/>
      <c r="U582" s="139"/>
      <c r="AI582" s="139"/>
      <c r="AW582" s="139"/>
      <c r="BK582" s="139"/>
    </row>
    <row r="583" spans="7:63" ht="10.199999999999999" x14ac:dyDescent="0.2">
      <c r="G583" s="139"/>
      <c r="U583" s="139"/>
      <c r="AI583" s="139"/>
      <c r="AW583" s="139"/>
      <c r="BK583" s="139"/>
    </row>
    <row r="584" spans="7:63" ht="10.199999999999999" x14ac:dyDescent="0.2">
      <c r="G584" s="139"/>
      <c r="U584" s="139"/>
      <c r="AI584" s="139"/>
      <c r="AW584" s="139"/>
      <c r="BK584" s="139"/>
    </row>
    <row r="585" spans="7:63" ht="10.199999999999999" x14ac:dyDescent="0.2">
      <c r="G585" s="139"/>
      <c r="U585" s="139"/>
      <c r="AI585" s="139"/>
      <c r="AW585" s="139"/>
      <c r="BK585" s="139"/>
    </row>
    <row r="586" spans="7:63" ht="10.199999999999999" x14ac:dyDescent="0.2">
      <c r="G586" s="139"/>
      <c r="U586" s="139"/>
      <c r="AI586" s="139"/>
      <c r="AW586" s="139"/>
      <c r="BK586" s="139"/>
    </row>
    <row r="587" spans="7:63" ht="10.199999999999999" x14ac:dyDescent="0.2">
      <c r="G587" s="139"/>
      <c r="U587" s="139"/>
      <c r="AI587" s="139"/>
      <c r="AW587" s="139"/>
      <c r="BK587" s="139"/>
    </row>
    <row r="588" spans="7:63" ht="10.199999999999999" x14ac:dyDescent="0.2">
      <c r="G588" s="139"/>
      <c r="U588" s="139"/>
      <c r="AI588" s="139"/>
      <c r="AW588" s="139"/>
      <c r="BK588" s="139"/>
    </row>
    <row r="589" spans="7:63" ht="10.199999999999999" x14ac:dyDescent="0.2">
      <c r="G589" s="139"/>
      <c r="U589" s="139"/>
      <c r="AI589" s="139"/>
      <c r="AW589" s="139"/>
      <c r="BK589" s="139"/>
    </row>
    <row r="590" spans="7:63" ht="10.199999999999999" x14ac:dyDescent="0.2">
      <c r="G590" s="139"/>
      <c r="U590" s="139"/>
      <c r="AI590" s="139"/>
      <c r="AW590" s="139"/>
      <c r="BK590" s="139"/>
    </row>
    <row r="591" spans="7:63" ht="10.199999999999999" x14ac:dyDescent="0.2">
      <c r="G591" s="139"/>
      <c r="U591" s="139"/>
      <c r="AI591" s="139"/>
      <c r="AW591" s="139"/>
      <c r="BK591" s="139"/>
    </row>
    <row r="592" spans="7:63" ht="10.199999999999999" x14ac:dyDescent="0.2">
      <c r="G592" s="139"/>
      <c r="U592" s="139"/>
      <c r="AI592" s="139"/>
      <c r="AW592" s="139"/>
      <c r="BK592" s="139"/>
    </row>
    <row r="593" spans="7:63" ht="10.199999999999999" x14ac:dyDescent="0.2">
      <c r="G593" s="139"/>
      <c r="U593" s="139"/>
      <c r="AI593" s="139"/>
      <c r="AW593" s="139"/>
      <c r="BK593" s="139"/>
    </row>
    <row r="594" spans="7:63" ht="10.199999999999999" x14ac:dyDescent="0.2">
      <c r="G594" s="139"/>
      <c r="U594" s="139"/>
      <c r="AI594" s="139"/>
      <c r="AW594" s="139"/>
      <c r="BK594" s="139"/>
    </row>
    <row r="595" spans="7:63" ht="10.199999999999999" x14ac:dyDescent="0.2">
      <c r="G595" s="139"/>
      <c r="U595" s="139"/>
      <c r="AI595" s="139"/>
      <c r="AW595" s="139"/>
      <c r="BK595" s="139"/>
    </row>
    <row r="596" spans="7:63" ht="10.199999999999999" x14ac:dyDescent="0.2">
      <c r="G596" s="139"/>
      <c r="U596" s="139"/>
      <c r="AI596" s="139"/>
      <c r="AW596" s="139"/>
      <c r="BK596" s="139"/>
    </row>
    <row r="597" spans="7:63" ht="10.199999999999999" x14ac:dyDescent="0.2">
      <c r="G597" s="139"/>
      <c r="U597" s="139"/>
      <c r="AI597" s="139"/>
      <c r="AW597" s="139"/>
      <c r="BK597" s="139"/>
    </row>
    <row r="598" spans="7:63" ht="10.199999999999999" x14ac:dyDescent="0.2">
      <c r="G598" s="139"/>
      <c r="U598" s="139"/>
      <c r="AI598" s="139"/>
      <c r="AW598" s="139"/>
      <c r="BK598" s="139"/>
    </row>
    <row r="599" spans="7:63" ht="10.199999999999999" x14ac:dyDescent="0.2">
      <c r="G599" s="139"/>
      <c r="U599" s="139"/>
      <c r="AI599" s="139"/>
      <c r="AW599" s="139"/>
      <c r="BK599" s="139"/>
    </row>
    <row r="600" spans="7:63" ht="10.199999999999999" x14ac:dyDescent="0.2">
      <c r="G600" s="139"/>
      <c r="U600" s="139"/>
      <c r="AI600" s="139"/>
      <c r="AW600" s="139"/>
      <c r="BK600" s="139"/>
    </row>
    <row r="601" spans="7:63" ht="10.199999999999999" x14ac:dyDescent="0.2">
      <c r="G601" s="139"/>
      <c r="U601" s="139"/>
      <c r="AI601" s="139"/>
      <c r="AW601" s="139"/>
      <c r="BK601" s="139"/>
    </row>
    <row r="602" spans="7:63" ht="10.199999999999999" x14ac:dyDescent="0.2">
      <c r="G602" s="139"/>
      <c r="U602" s="139"/>
      <c r="AI602" s="139"/>
      <c r="AW602" s="139"/>
      <c r="BK602" s="139"/>
    </row>
    <row r="603" spans="7:63" ht="10.199999999999999" x14ac:dyDescent="0.2">
      <c r="G603" s="139"/>
      <c r="U603" s="139"/>
      <c r="AI603" s="139"/>
      <c r="AW603" s="139"/>
      <c r="BK603" s="139"/>
    </row>
    <row r="604" spans="7:63" ht="10.199999999999999" x14ac:dyDescent="0.2">
      <c r="G604" s="139"/>
      <c r="U604" s="139"/>
      <c r="AI604" s="139"/>
      <c r="AW604" s="139"/>
      <c r="BK604" s="139"/>
    </row>
    <row r="605" spans="7:63" ht="10.199999999999999" x14ac:dyDescent="0.2">
      <c r="G605" s="139"/>
      <c r="U605" s="139"/>
      <c r="AI605" s="139"/>
      <c r="AW605" s="139"/>
      <c r="BK605" s="139"/>
    </row>
    <row r="606" spans="7:63" ht="10.199999999999999" x14ac:dyDescent="0.2">
      <c r="G606" s="139"/>
      <c r="U606" s="139"/>
      <c r="AI606" s="139"/>
      <c r="AW606" s="139"/>
      <c r="BK606" s="139"/>
    </row>
    <row r="607" spans="7:63" ht="10.199999999999999" x14ac:dyDescent="0.2">
      <c r="G607" s="139"/>
      <c r="U607" s="139"/>
      <c r="AI607" s="139"/>
      <c r="AW607" s="139"/>
      <c r="BK607" s="139"/>
    </row>
    <row r="608" spans="7:63" ht="10.199999999999999" x14ac:dyDescent="0.2">
      <c r="G608" s="139"/>
      <c r="U608" s="139"/>
      <c r="AI608" s="139"/>
      <c r="AW608" s="139"/>
      <c r="BK608" s="139"/>
    </row>
    <row r="609" spans="7:63" ht="10.199999999999999" x14ac:dyDescent="0.2">
      <c r="G609" s="139"/>
      <c r="U609" s="139"/>
      <c r="AI609" s="139"/>
      <c r="AW609" s="139"/>
      <c r="BK609" s="139"/>
    </row>
    <row r="610" spans="7:63" ht="10.199999999999999" x14ac:dyDescent="0.2">
      <c r="G610" s="139"/>
      <c r="U610" s="139"/>
      <c r="AI610" s="139"/>
      <c r="AW610" s="139"/>
      <c r="BK610" s="139"/>
    </row>
    <row r="611" spans="7:63" ht="10.199999999999999" x14ac:dyDescent="0.2">
      <c r="G611" s="139"/>
      <c r="U611" s="139"/>
      <c r="AI611" s="139"/>
      <c r="AW611" s="139"/>
      <c r="BK611" s="139"/>
    </row>
    <row r="612" spans="7:63" ht="10.199999999999999" x14ac:dyDescent="0.2">
      <c r="G612" s="139"/>
      <c r="U612" s="139"/>
      <c r="AI612" s="139"/>
      <c r="AW612" s="139"/>
      <c r="BK612" s="139"/>
    </row>
    <row r="613" spans="7:63" ht="10.199999999999999" x14ac:dyDescent="0.2">
      <c r="G613" s="139"/>
      <c r="U613" s="139"/>
      <c r="AI613" s="139"/>
      <c r="AW613" s="139"/>
      <c r="BK613" s="139"/>
    </row>
    <row r="614" spans="7:63" ht="10.199999999999999" x14ac:dyDescent="0.2">
      <c r="G614" s="139"/>
      <c r="U614" s="139"/>
      <c r="AI614" s="139"/>
      <c r="AW614" s="139"/>
      <c r="BK614" s="139"/>
    </row>
    <row r="615" spans="7:63" ht="10.199999999999999" x14ac:dyDescent="0.2">
      <c r="G615" s="139"/>
      <c r="U615" s="139"/>
      <c r="AI615" s="139"/>
      <c r="AW615" s="139"/>
      <c r="BK615" s="139"/>
    </row>
    <row r="616" spans="7:63" ht="10.199999999999999" x14ac:dyDescent="0.2">
      <c r="G616" s="139"/>
      <c r="U616" s="139"/>
      <c r="AI616" s="139"/>
      <c r="AW616" s="139"/>
      <c r="BK616" s="139"/>
    </row>
    <row r="617" spans="7:63" ht="10.199999999999999" x14ac:dyDescent="0.2">
      <c r="G617" s="139"/>
      <c r="U617" s="139"/>
      <c r="AI617" s="139"/>
      <c r="AW617" s="139"/>
      <c r="BK617" s="139"/>
    </row>
    <row r="618" spans="7:63" ht="10.199999999999999" x14ac:dyDescent="0.2">
      <c r="G618" s="139"/>
      <c r="U618" s="139"/>
      <c r="AI618" s="139"/>
      <c r="AW618" s="139"/>
      <c r="BK618" s="139"/>
    </row>
    <row r="619" spans="7:63" ht="10.199999999999999" x14ac:dyDescent="0.2">
      <c r="G619" s="139"/>
      <c r="U619" s="139"/>
      <c r="AI619" s="139"/>
      <c r="AW619" s="139"/>
      <c r="BK619" s="139"/>
    </row>
    <row r="620" spans="7:63" ht="10.199999999999999" x14ac:dyDescent="0.2">
      <c r="G620" s="139"/>
      <c r="U620" s="139"/>
      <c r="AI620" s="139"/>
      <c r="AW620" s="139"/>
      <c r="BK620" s="139"/>
    </row>
    <row r="621" spans="7:63" ht="10.199999999999999" x14ac:dyDescent="0.2">
      <c r="G621" s="139"/>
      <c r="U621" s="139"/>
      <c r="AI621" s="139"/>
      <c r="AW621" s="139"/>
      <c r="BK621" s="139"/>
    </row>
    <row r="622" spans="7:63" ht="10.199999999999999" x14ac:dyDescent="0.2">
      <c r="G622" s="139"/>
      <c r="U622" s="139"/>
      <c r="AI622" s="139"/>
      <c r="AW622" s="139"/>
      <c r="BK622" s="139"/>
    </row>
    <row r="623" spans="7:63" ht="10.199999999999999" x14ac:dyDescent="0.2">
      <c r="G623" s="139"/>
      <c r="U623" s="139"/>
      <c r="AI623" s="139"/>
      <c r="AW623" s="139"/>
      <c r="BK623" s="139"/>
    </row>
    <row r="624" spans="7:63" ht="10.199999999999999" x14ac:dyDescent="0.2">
      <c r="G624" s="139"/>
      <c r="U624" s="139"/>
      <c r="AI624" s="139"/>
      <c r="AW624" s="139"/>
      <c r="BK624" s="139"/>
    </row>
    <row r="625" spans="7:63" ht="10.199999999999999" x14ac:dyDescent="0.2">
      <c r="G625" s="139"/>
      <c r="U625" s="139"/>
      <c r="AI625" s="139"/>
      <c r="AW625" s="139"/>
      <c r="BK625" s="139"/>
    </row>
    <row r="626" spans="7:63" ht="10.199999999999999" x14ac:dyDescent="0.2">
      <c r="G626" s="139"/>
      <c r="U626" s="139"/>
      <c r="AI626" s="139"/>
      <c r="AW626" s="139"/>
      <c r="BK626" s="139"/>
    </row>
    <row r="627" spans="7:63" ht="10.199999999999999" x14ac:dyDescent="0.2">
      <c r="G627" s="139"/>
      <c r="U627" s="139"/>
      <c r="AI627" s="139"/>
      <c r="AW627" s="139"/>
      <c r="BK627" s="139"/>
    </row>
    <row r="628" spans="7:63" ht="10.199999999999999" x14ac:dyDescent="0.2">
      <c r="G628" s="139"/>
      <c r="U628" s="139"/>
      <c r="AI628" s="139"/>
      <c r="AW628" s="139"/>
      <c r="BK628" s="139"/>
    </row>
    <row r="629" spans="7:63" ht="10.199999999999999" x14ac:dyDescent="0.2">
      <c r="G629" s="139"/>
      <c r="U629" s="139"/>
      <c r="AI629" s="139"/>
      <c r="AW629" s="139"/>
      <c r="BK629" s="139"/>
    </row>
    <row r="630" spans="7:63" ht="10.199999999999999" x14ac:dyDescent="0.2">
      <c r="G630" s="139"/>
      <c r="U630" s="139"/>
      <c r="AI630" s="139"/>
      <c r="AW630" s="139"/>
      <c r="BK630" s="139"/>
    </row>
    <row r="631" spans="7:63" ht="10.199999999999999" x14ac:dyDescent="0.2">
      <c r="G631" s="139"/>
      <c r="U631" s="139"/>
      <c r="AI631" s="139"/>
      <c r="AW631" s="139"/>
      <c r="BK631" s="139"/>
    </row>
    <row r="632" spans="7:63" ht="10.199999999999999" x14ac:dyDescent="0.2">
      <c r="G632" s="139"/>
      <c r="U632" s="139"/>
      <c r="AI632" s="139"/>
      <c r="AW632" s="139"/>
      <c r="BK632" s="139"/>
    </row>
    <row r="633" spans="7:63" ht="10.199999999999999" x14ac:dyDescent="0.2">
      <c r="G633" s="139"/>
      <c r="U633" s="139"/>
      <c r="AI633" s="139"/>
      <c r="AW633" s="139"/>
      <c r="BK633" s="139"/>
    </row>
    <row r="634" spans="7:63" ht="10.199999999999999" x14ac:dyDescent="0.2">
      <c r="G634" s="139"/>
      <c r="U634" s="139"/>
      <c r="AI634" s="139"/>
      <c r="AW634" s="139"/>
      <c r="BK634" s="139"/>
    </row>
    <row r="635" spans="7:63" ht="10.199999999999999" x14ac:dyDescent="0.2">
      <c r="G635" s="139"/>
      <c r="U635" s="139"/>
      <c r="AI635" s="139"/>
      <c r="AW635" s="139"/>
      <c r="BK635" s="139"/>
    </row>
    <row r="636" spans="7:63" ht="10.199999999999999" x14ac:dyDescent="0.2">
      <c r="G636" s="139"/>
      <c r="U636" s="139"/>
      <c r="AI636" s="139"/>
      <c r="AW636" s="139"/>
      <c r="BK636" s="139"/>
    </row>
    <row r="637" spans="7:63" ht="10.199999999999999" x14ac:dyDescent="0.2">
      <c r="G637" s="139"/>
      <c r="U637" s="139"/>
      <c r="AI637" s="139"/>
      <c r="AW637" s="139"/>
      <c r="BK637" s="139"/>
    </row>
    <row r="638" spans="7:63" ht="10.199999999999999" x14ac:dyDescent="0.2">
      <c r="G638" s="139"/>
      <c r="U638" s="139"/>
      <c r="AI638" s="139"/>
      <c r="AW638" s="139"/>
      <c r="BK638" s="139"/>
    </row>
    <row r="639" spans="7:63" ht="10.199999999999999" x14ac:dyDescent="0.2">
      <c r="G639" s="139"/>
      <c r="U639" s="139"/>
      <c r="AI639" s="139"/>
      <c r="AW639" s="139"/>
      <c r="BK639" s="139"/>
    </row>
    <row r="640" spans="7:63" ht="10.199999999999999" x14ac:dyDescent="0.2">
      <c r="G640" s="139"/>
      <c r="U640" s="139"/>
      <c r="AI640" s="139"/>
      <c r="AW640" s="139"/>
      <c r="BK640" s="139"/>
    </row>
    <row r="641" spans="7:63" ht="10.199999999999999" x14ac:dyDescent="0.2">
      <c r="G641" s="139"/>
      <c r="U641" s="139"/>
      <c r="AI641" s="139"/>
      <c r="AW641" s="139"/>
      <c r="BK641" s="139"/>
    </row>
    <row r="642" spans="7:63" ht="10.199999999999999" x14ac:dyDescent="0.2">
      <c r="G642" s="139"/>
      <c r="U642" s="139"/>
      <c r="AI642" s="139"/>
      <c r="AW642" s="139"/>
      <c r="BK642" s="139"/>
    </row>
    <row r="643" spans="7:63" ht="10.199999999999999" x14ac:dyDescent="0.2">
      <c r="G643" s="139"/>
      <c r="U643" s="139"/>
      <c r="AI643" s="139"/>
      <c r="AW643" s="139"/>
      <c r="BK643" s="139"/>
    </row>
    <row r="644" spans="7:63" ht="10.199999999999999" x14ac:dyDescent="0.2">
      <c r="G644" s="139"/>
      <c r="U644" s="139"/>
      <c r="AI644" s="139"/>
      <c r="AW644" s="139"/>
      <c r="BK644" s="139"/>
    </row>
    <row r="645" spans="7:63" ht="10.199999999999999" x14ac:dyDescent="0.2">
      <c r="G645" s="139"/>
      <c r="U645" s="139"/>
      <c r="AI645" s="139"/>
      <c r="AW645" s="139"/>
      <c r="BK645" s="139"/>
    </row>
    <row r="646" spans="7:63" ht="10.199999999999999" x14ac:dyDescent="0.2">
      <c r="G646" s="139"/>
      <c r="U646" s="139"/>
      <c r="AI646" s="139"/>
      <c r="AW646" s="139"/>
      <c r="BK646" s="139"/>
    </row>
    <row r="647" spans="7:63" ht="10.199999999999999" x14ac:dyDescent="0.2">
      <c r="G647" s="139"/>
      <c r="U647" s="139"/>
      <c r="AI647" s="139"/>
      <c r="AW647" s="139"/>
      <c r="BK647" s="139"/>
    </row>
    <row r="648" spans="7:63" ht="10.199999999999999" x14ac:dyDescent="0.2">
      <c r="G648" s="139"/>
      <c r="U648" s="139"/>
      <c r="AI648" s="139"/>
      <c r="AW648" s="139"/>
      <c r="BK648" s="139"/>
    </row>
    <row r="649" spans="7:63" ht="10.199999999999999" x14ac:dyDescent="0.2">
      <c r="G649" s="139"/>
      <c r="U649" s="139"/>
      <c r="AI649" s="139"/>
      <c r="AW649" s="139"/>
      <c r="BK649" s="139"/>
    </row>
    <row r="650" spans="7:63" ht="10.199999999999999" x14ac:dyDescent="0.2">
      <c r="G650" s="139"/>
      <c r="U650" s="139"/>
      <c r="AI650" s="139"/>
      <c r="AW650" s="139"/>
      <c r="BK650" s="139"/>
    </row>
    <row r="651" spans="7:63" ht="10.199999999999999" x14ac:dyDescent="0.2">
      <c r="G651" s="139"/>
      <c r="U651" s="139"/>
      <c r="AI651" s="139"/>
      <c r="AW651" s="139"/>
      <c r="BK651" s="139"/>
    </row>
    <row r="652" spans="7:63" ht="10.199999999999999" x14ac:dyDescent="0.2">
      <c r="G652" s="139"/>
      <c r="U652" s="139"/>
      <c r="AI652" s="139"/>
      <c r="AW652" s="139"/>
      <c r="BK652" s="139"/>
    </row>
    <row r="653" spans="7:63" ht="10.199999999999999" x14ac:dyDescent="0.2">
      <c r="G653" s="139"/>
      <c r="U653" s="139"/>
      <c r="AI653" s="139"/>
      <c r="AW653" s="139"/>
      <c r="BK653" s="139"/>
    </row>
    <row r="654" spans="7:63" ht="10.199999999999999" x14ac:dyDescent="0.2">
      <c r="G654" s="139"/>
      <c r="U654" s="139"/>
      <c r="AI654" s="139"/>
      <c r="AW654" s="139"/>
      <c r="BK654" s="139"/>
    </row>
    <row r="655" spans="7:63" ht="10.199999999999999" x14ac:dyDescent="0.2">
      <c r="G655" s="139"/>
      <c r="U655" s="139"/>
      <c r="AI655" s="139"/>
      <c r="AW655" s="139"/>
      <c r="BK655" s="139"/>
    </row>
    <row r="656" spans="7:63" ht="10.199999999999999" x14ac:dyDescent="0.2">
      <c r="G656" s="139"/>
      <c r="U656" s="139"/>
      <c r="AI656" s="139"/>
      <c r="AW656" s="139"/>
      <c r="BK656" s="139"/>
    </row>
    <row r="657" spans="7:63" ht="10.199999999999999" x14ac:dyDescent="0.2">
      <c r="G657" s="139"/>
      <c r="U657" s="139"/>
      <c r="AI657" s="139"/>
      <c r="AW657" s="139"/>
      <c r="BK657" s="139"/>
    </row>
    <row r="658" spans="7:63" ht="10.199999999999999" x14ac:dyDescent="0.2">
      <c r="G658" s="139"/>
      <c r="U658" s="139"/>
      <c r="AI658" s="139"/>
      <c r="AW658" s="139"/>
      <c r="BK658" s="139"/>
    </row>
    <row r="659" spans="7:63" ht="10.199999999999999" x14ac:dyDescent="0.2">
      <c r="G659" s="139"/>
      <c r="U659" s="139"/>
      <c r="AI659" s="139"/>
      <c r="AW659" s="139"/>
      <c r="BK659" s="139"/>
    </row>
    <row r="660" spans="7:63" ht="10.199999999999999" x14ac:dyDescent="0.2">
      <c r="G660" s="139"/>
      <c r="U660" s="139"/>
      <c r="AI660" s="139"/>
      <c r="AW660" s="139"/>
      <c r="BK660" s="139"/>
    </row>
    <row r="661" spans="7:63" ht="10.199999999999999" x14ac:dyDescent="0.2">
      <c r="G661" s="139"/>
      <c r="U661" s="139"/>
      <c r="AI661" s="139"/>
      <c r="AW661" s="139"/>
      <c r="BK661" s="139"/>
    </row>
    <row r="662" spans="7:63" ht="10.199999999999999" x14ac:dyDescent="0.2">
      <c r="G662" s="139"/>
      <c r="U662" s="139"/>
      <c r="AI662" s="139"/>
      <c r="AW662" s="139"/>
      <c r="BK662" s="139"/>
    </row>
    <row r="663" spans="7:63" ht="10.199999999999999" x14ac:dyDescent="0.2">
      <c r="G663" s="139"/>
      <c r="U663" s="139"/>
      <c r="AI663" s="139"/>
      <c r="AW663" s="139"/>
      <c r="BK663" s="139"/>
    </row>
    <row r="664" spans="7:63" ht="10.199999999999999" x14ac:dyDescent="0.2">
      <c r="G664" s="139"/>
      <c r="U664" s="139"/>
      <c r="AI664" s="139"/>
      <c r="AW664" s="139"/>
      <c r="BK664" s="139"/>
    </row>
    <row r="665" spans="7:63" ht="10.199999999999999" x14ac:dyDescent="0.2">
      <c r="G665" s="139"/>
      <c r="U665" s="139"/>
      <c r="AI665" s="139"/>
      <c r="AW665" s="139"/>
      <c r="BK665" s="139"/>
    </row>
    <row r="666" spans="7:63" ht="10.199999999999999" x14ac:dyDescent="0.2">
      <c r="G666" s="139"/>
      <c r="U666" s="139"/>
      <c r="AI666" s="139"/>
      <c r="AW666" s="139"/>
      <c r="BK666" s="139"/>
    </row>
    <row r="667" spans="7:63" ht="10.199999999999999" x14ac:dyDescent="0.2">
      <c r="G667" s="139"/>
      <c r="U667" s="139"/>
      <c r="AI667" s="139"/>
      <c r="AW667" s="139"/>
      <c r="BK667" s="139"/>
    </row>
    <row r="668" spans="7:63" ht="10.199999999999999" x14ac:dyDescent="0.2">
      <c r="G668" s="139"/>
      <c r="U668" s="139"/>
      <c r="AI668" s="139"/>
      <c r="AW668" s="139"/>
      <c r="BK668" s="139"/>
    </row>
    <row r="669" spans="7:63" ht="10.199999999999999" x14ac:dyDescent="0.2">
      <c r="G669" s="139"/>
      <c r="U669" s="139"/>
      <c r="AI669" s="139"/>
      <c r="AW669" s="139"/>
      <c r="BK669" s="139"/>
    </row>
    <row r="670" spans="7:63" ht="10.199999999999999" x14ac:dyDescent="0.2">
      <c r="G670" s="139"/>
      <c r="U670" s="139"/>
      <c r="AI670" s="139"/>
      <c r="AW670" s="139"/>
      <c r="BK670" s="139"/>
    </row>
    <row r="671" spans="7:63" ht="10.199999999999999" x14ac:dyDescent="0.2">
      <c r="G671" s="139"/>
      <c r="U671" s="139"/>
      <c r="AI671" s="139"/>
      <c r="AW671" s="139"/>
      <c r="BK671" s="139"/>
    </row>
    <row r="672" spans="7:63" ht="10.199999999999999" x14ac:dyDescent="0.2">
      <c r="G672" s="139"/>
      <c r="U672" s="139"/>
      <c r="AI672" s="139"/>
      <c r="AW672" s="139"/>
      <c r="BK672" s="139"/>
    </row>
    <row r="673" spans="7:63" ht="10.199999999999999" x14ac:dyDescent="0.2">
      <c r="G673" s="139"/>
      <c r="U673" s="139"/>
      <c r="AI673" s="139"/>
      <c r="AW673" s="139"/>
      <c r="BK673" s="139"/>
    </row>
    <row r="674" spans="7:63" ht="10.199999999999999" x14ac:dyDescent="0.2">
      <c r="G674" s="139"/>
      <c r="U674" s="139"/>
      <c r="AI674" s="139"/>
      <c r="AW674" s="139"/>
      <c r="BK674" s="139"/>
    </row>
    <row r="675" spans="7:63" ht="10.199999999999999" x14ac:dyDescent="0.2">
      <c r="G675" s="139"/>
      <c r="U675" s="139"/>
      <c r="AI675" s="139"/>
      <c r="AW675" s="139"/>
      <c r="BK675" s="139"/>
    </row>
    <row r="676" spans="7:63" ht="10.199999999999999" x14ac:dyDescent="0.2">
      <c r="G676" s="139"/>
      <c r="U676" s="139"/>
      <c r="AI676" s="139"/>
      <c r="AW676" s="139"/>
      <c r="BK676" s="139"/>
    </row>
    <row r="677" spans="7:63" ht="10.199999999999999" x14ac:dyDescent="0.2">
      <c r="G677" s="139"/>
      <c r="U677" s="139"/>
      <c r="AI677" s="139"/>
      <c r="AW677" s="139"/>
      <c r="BK677" s="139"/>
    </row>
    <row r="678" spans="7:63" ht="10.199999999999999" x14ac:dyDescent="0.2">
      <c r="G678" s="139"/>
      <c r="U678" s="139"/>
      <c r="AI678" s="139"/>
      <c r="AW678" s="139"/>
      <c r="BK678" s="139"/>
    </row>
    <row r="679" spans="7:63" ht="10.199999999999999" x14ac:dyDescent="0.2">
      <c r="G679" s="139"/>
      <c r="U679" s="139"/>
      <c r="AI679" s="139"/>
      <c r="AW679" s="139"/>
      <c r="BK679" s="139"/>
    </row>
    <row r="680" spans="7:63" ht="10.199999999999999" x14ac:dyDescent="0.2">
      <c r="G680" s="139"/>
      <c r="U680" s="139"/>
      <c r="AI680" s="139"/>
      <c r="AW680" s="139"/>
      <c r="BK680" s="139"/>
    </row>
    <row r="681" spans="7:63" ht="10.199999999999999" x14ac:dyDescent="0.2">
      <c r="G681" s="139"/>
      <c r="U681" s="139"/>
      <c r="AI681" s="139"/>
      <c r="AW681" s="139"/>
      <c r="BK681" s="139"/>
    </row>
    <row r="682" spans="7:63" ht="10.199999999999999" x14ac:dyDescent="0.2">
      <c r="G682" s="139"/>
      <c r="U682" s="139"/>
      <c r="AI682" s="139"/>
      <c r="AW682" s="139"/>
      <c r="BK682" s="139"/>
    </row>
    <row r="683" spans="7:63" ht="10.199999999999999" x14ac:dyDescent="0.2">
      <c r="G683" s="139"/>
      <c r="U683" s="139"/>
      <c r="AI683" s="139"/>
      <c r="AW683" s="139"/>
      <c r="BK683" s="139"/>
    </row>
    <row r="684" spans="7:63" ht="10.199999999999999" x14ac:dyDescent="0.2">
      <c r="G684" s="139"/>
      <c r="U684" s="139"/>
      <c r="AI684" s="139"/>
      <c r="AW684" s="139"/>
      <c r="BK684" s="139"/>
    </row>
    <row r="685" spans="7:63" ht="10.199999999999999" x14ac:dyDescent="0.2">
      <c r="G685" s="139"/>
      <c r="U685" s="139"/>
      <c r="AI685" s="139"/>
      <c r="AW685" s="139"/>
      <c r="BK685" s="139"/>
    </row>
    <row r="686" spans="7:63" ht="10.199999999999999" x14ac:dyDescent="0.2">
      <c r="G686" s="139"/>
      <c r="U686" s="139"/>
      <c r="AI686" s="139"/>
      <c r="AW686" s="139"/>
      <c r="BK686" s="139"/>
    </row>
    <row r="687" spans="7:63" ht="10.199999999999999" x14ac:dyDescent="0.2">
      <c r="G687" s="139"/>
      <c r="U687" s="139"/>
      <c r="AI687" s="139"/>
      <c r="AW687" s="139"/>
      <c r="BK687" s="139"/>
    </row>
    <row r="688" spans="7:63" ht="10.199999999999999" x14ac:dyDescent="0.2">
      <c r="G688" s="139"/>
      <c r="U688" s="139"/>
      <c r="AI688" s="139"/>
      <c r="AW688" s="139"/>
      <c r="BK688" s="139"/>
    </row>
    <row r="689" spans="7:63" ht="10.199999999999999" x14ac:dyDescent="0.2">
      <c r="G689" s="139"/>
      <c r="U689" s="139"/>
      <c r="AI689" s="139"/>
      <c r="AW689" s="139"/>
      <c r="BK689" s="139"/>
    </row>
    <row r="690" spans="7:63" ht="10.199999999999999" x14ac:dyDescent="0.2">
      <c r="G690" s="139"/>
      <c r="U690" s="139"/>
      <c r="AI690" s="139"/>
      <c r="AW690" s="139"/>
      <c r="BK690" s="139"/>
    </row>
    <row r="691" spans="7:63" ht="10.199999999999999" x14ac:dyDescent="0.2">
      <c r="G691" s="139"/>
      <c r="U691" s="139"/>
      <c r="AI691" s="139"/>
      <c r="AW691" s="139"/>
      <c r="BK691" s="139"/>
    </row>
    <row r="692" spans="7:63" ht="10.199999999999999" x14ac:dyDescent="0.2">
      <c r="G692" s="139"/>
      <c r="U692" s="139"/>
      <c r="AI692" s="139"/>
      <c r="AW692" s="139"/>
      <c r="BK692" s="139"/>
    </row>
    <row r="693" spans="7:63" ht="10.199999999999999" x14ac:dyDescent="0.2">
      <c r="G693" s="139"/>
      <c r="U693" s="139"/>
      <c r="AI693" s="139"/>
      <c r="AW693" s="139"/>
      <c r="BK693" s="139"/>
    </row>
    <row r="694" spans="7:63" ht="10.199999999999999" x14ac:dyDescent="0.2">
      <c r="G694" s="139"/>
      <c r="U694" s="139"/>
      <c r="AI694" s="139"/>
      <c r="AW694" s="139"/>
      <c r="BK694" s="139"/>
    </row>
    <row r="695" spans="7:63" ht="10.199999999999999" x14ac:dyDescent="0.2">
      <c r="G695" s="139"/>
      <c r="U695" s="139"/>
      <c r="AI695" s="139"/>
      <c r="AW695" s="139"/>
      <c r="BK695" s="139"/>
    </row>
    <row r="696" spans="7:63" ht="10.199999999999999" x14ac:dyDescent="0.2">
      <c r="G696" s="139"/>
      <c r="U696" s="139"/>
      <c r="AI696" s="139"/>
      <c r="AW696" s="139"/>
      <c r="BK696" s="139"/>
    </row>
    <row r="697" spans="7:63" ht="10.199999999999999" x14ac:dyDescent="0.2">
      <c r="G697" s="139"/>
      <c r="U697" s="139"/>
      <c r="AI697" s="139"/>
      <c r="AW697" s="139"/>
      <c r="BK697" s="139"/>
    </row>
    <row r="698" spans="7:63" ht="10.199999999999999" x14ac:dyDescent="0.2">
      <c r="G698" s="139"/>
      <c r="U698" s="139"/>
      <c r="AI698" s="139"/>
      <c r="AW698" s="139"/>
      <c r="BK698" s="139"/>
    </row>
    <row r="699" spans="7:63" ht="10.199999999999999" x14ac:dyDescent="0.2">
      <c r="G699" s="139"/>
      <c r="U699" s="139"/>
      <c r="AI699" s="139"/>
      <c r="AW699" s="139"/>
      <c r="BK699" s="139"/>
    </row>
    <row r="700" spans="7:63" ht="10.199999999999999" x14ac:dyDescent="0.2">
      <c r="G700" s="139"/>
      <c r="U700" s="139"/>
      <c r="AI700" s="139"/>
      <c r="AW700" s="139"/>
      <c r="BK700" s="139"/>
    </row>
    <row r="701" spans="7:63" ht="10.199999999999999" x14ac:dyDescent="0.2">
      <c r="G701" s="139"/>
      <c r="U701" s="139"/>
      <c r="AI701" s="139"/>
      <c r="AW701" s="139"/>
      <c r="BK701" s="139"/>
    </row>
    <row r="702" spans="7:63" ht="10.199999999999999" x14ac:dyDescent="0.2">
      <c r="G702" s="139"/>
      <c r="U702" s="139"/>
      <c r="AI702" s="139"/>
      <c r="AW702" s="139"/>
      <c r="BK702" s="139"/>
    </row>
    <row r="703" spans="7:63" ht="10.199999999999999" x14ac:dyDescent="0.2">
      <c r="G703" s="139"/>
      <c r="U703" s="139"/>
      <c r="AI703" s="139"/>
      <c r="AW703" s="139"/>
      <c r="BK703" s="139"/>
    </row>
    <row r="704" spans="7:63" ht="10.199999999999999" x14ac:dyDescent="0.2">
      <c r="G704" s="139"/>
      <c r="U704" s="139"/>
      <c r="AI704" s="139"/>
      <c r="AW704" s="139"/>
      <c r="BK704" s="139"/>
    </row>
    <row r="705" spans="7:63" ht="10.199999999999999" x14ac:dyDescent="0.2">
      <c r="G705" s="139"/>
      <c r="U705" s="139"/>
      <c r="AI705" s="139"/>
      <c r="AW705" s="139"/>
      <c r="BK705" s="139"/>
    </row>
    <row r="706" spans="7:63" ht="10.199999999999999" x14ac:dyDescent="0.2">
      <c r="G706" s="139"/>
      <c r="U706" s="139"/>
      <c r="AI706" s="139"/>
      <c r="AW706" s="139"/>
      <c r="BK706" s="139"/>
    </row>
    <row r="707" spans="7:63" ht="10.199999999999999" x14ac:dyDescent="0.2">
      <c r="G707" s="139"/>
      <c r="U707" s="139"/>
      <c r="AI707" s="139"/>
      <c r="AW707" s="139"/>
      <c r="BK707" s="139"/>
    </row>
    <row r="708" spans="7:63" ht="10.199999999999999" x14ac:dyDescent="0.2">
      <c r="G708" s="139"/>
      <c r="U708" s="139"/>
      <c r="AI708" s="139"/>
      <c r="AW708" s="139"/>
      <c r="BK708" s="139"/>
    </row>
    <row r="709" spans="7:63" ht="10.199999999999999" x14ac:dyDescent="0.2">
      <c r="G709" s="139"/>
      <c r="U709" s="139"/>
      <c r="AI709" s="139"/>
      <c r="AW709" s="139"/>
      <c r="BK709" s="139"/>
    </row>
    <row r="710" spans="7:63" ht="10.199999999999999" x14ac:dyDescent="0.2">
      <c r="G710" s="139"/>
      <c r="U710" s="139"/>
      <c r="AI710" s="139"/>
      <c r="AW710" s="139"/>
      <c r="BK710" s="139"/>
    </row>
    <row r="711" spans="7:63" ht="10.199999999999999" x14ac:dyDescent="0.2">
      <c r="G711" s="139"/>
      <c r="U711" s="139"/>
      <c r="AI711" s="139"/>
      <c r="AW711" s="139"/>
      <c r="BK711" s="139"/>
    </row>
    <row r="712" spans="7:63" ht="10.199999999999999" x14ac:dyDescent="0.2">
      <c r="G712" s="139"/>
      <c r="U712" s="139"/>
      <c r="AI712" s="139"/>
      <c r="AW712" s="139"/>
      <c r="BK712" s="139"/>
    </row>
    <row r="713" spans="7:63" ht="10.199999999999999" x14ac:dyDescent="0.2">
      <c r="G713" s="139"/>
      <c r="U713" s="139"/>
      <c r="AI713" s="139"/>
      <c r="AW713" s="139"/>
      <c r="BK713" s="139"/>
    </row>
    <row r="714" spans="7:63" ht="10.199999999999999" x14ac:dyDescent="0.2">
      <c r="G714" s="139"/>
      <c r="U714" s="139"/>
      <c r="AI714" s="139"/>
      <c r="AW714" s="139"/>
      <c r="BK714" s="139"/>
    </row>
    <row r="715" spans="7:63" ht="10.199999999999999" x14ac:dyDescent="0.2">
      <c r="G715" s="139"/>
      <c r="U715" s="139"/>
      <c r="AI715" s="139"/>
      <c r="AW715" s="139"/>
      <c r="BK715" s="139"/>
    </row>
    <row r="716" spans="7:63" ht="10.199999999999999" x14ac:dyDescent="0.2">
      <c r="G716" s="139"/>
      <c r="U716" s="139"/>
      <c r="AI716" s="139"/>
      <c r="AW716" s="139"/>
      <c r="BK716" s="139"/>
    </row>
    <row r="717" spans="7:63" ht="10.199999999999999" x14ac:dyDescent="0.2">
      <c r="G717" s="139"/>
      <c r="U717" s="139"/>
      <c r="AI717" s="139"/>
      <c r="AW717" s="139"/>
      <c r="BK717" s="139"/>
    </row>
    <row r="718" spans="7:63" ht="10.199999999999999" x14ac:dyDescent="0.2">
      <c r="G718" s="139"/>
      <c r="U718" s="139"/>
      <c r="AI718" s="139"/>
      <c r="AW718" s="139"/>
      <c r="BK718" s="139"/>
    </row>
    <row r="719" spans="7:63" ht="10.199999999999999" x14ac:dyDescent="0.2">
      <c r="G719" s="139"/>
      <c r="U719" s="139"/>
      <c r="AI719" s="139"/>
      <c r="AW719" s="139"/>
      <c r="BK719" s="139"/>
    </row>
    <row r="720" spans="7:63" ht="10.199999999999999" x14ac:dyDescent="0.2">
      <c r="G720" s="139"/>
      <c r="U720" s="139"/>
      <c r="AI720" s="139"/>
      <c r="AW720" s="139"/>
      <c r="BK720" s="139"/>
    </row>
    <row r="721" spans="7:63" ht="10.199999999999999" x14ac:dyDescent="0.2">
      <c r="G721" s="139"/>
      <c r="U721" s="139"/>
      <c r="AI721" s="139"/>
      <c r="AW721" s="139"/>
      <c r="BK721" s="139"/>
    </row>
    <row r="722" spans="7:63" ht="10.199999999999999" x14ac:dyDescent="0.2">
      <c r="G722" s="139"/>
      <c r="U722" s="139"/>
      <c r="AI722" s="139"/>
      <c r="AW722" s="139"/>
      <c r="BK722" s="139"/>
    </row>
    <row r="723" spans="7:63" ht="10.199999999999999" x14ac:dyDescent="0.2">
      <c r="G723" s="139"/>
      <c r="U723" s="139"/>
      <c r="AI723" s="139"/>
      <c r="AW723" s="139"/>
      <c r="BK723" s="139"/>
    </row>
    <row r="724" spans="7:63" ht="10.199999999999999" x14ac:dyDescent="0.2">
      <c r="G724" s="139"/>
      <c r="U724" s="139"/>
      <c r="AI724" s="139"/>
      <c r="AW724" s="139"/>
      <c r="BK724" s="139"/>
    </row>
    <row r="725" spans="7:63" ht="10.199999999999999" x14ac:dyDescent="0.2">
      <c r="G725" s="139"/>
      <c r="U725" s="139"/>
      <c r="AI725" s="139"/>
      <c r="AW725" s="139"/>
      <c r="BK725" s="139"/>
    </row>
    <row r="726" spans="7:63" ht="10.199999999999999" x14ac:dyDescent="0.2">
      <c r="G726" s="139"/>
      <c r="U726" s="139"/>
      <c r="AI726" s="139"/>
      <c r="AW726" s="139"/>
      <c r="BK726" s="139"/>
    </row>
    <row r="727" spans="7:63" ht="10.199999999999999" x14ac:dyDescent="0.2">
      <c r="G727" s="139"/>
      <c r="U727" s="139"/>
      <c r="AI727" s="139"/>
      <c r="AW727" s="139"/>
      <c r="BK727" s="139"/>
    </row>
    <row r="728" spans="7:63" ht="10.199999999999999" x14ac:dyDescent="0.2">
      <c r="G728" s="139"/>
      <c r="U728" s="139"/>
      <c r="AI728" s="139"/>
      <c r="AW728" s="139"/>
      <c r="BK728" s="139"/>
    </row>
    <row r="729" spans="7:63" ht="10.199999999999999" x14ac:dyDescent="0.2">
      <c r="G729" s="139"/>
      <c r="U729" s="139"/>
      <c r="AI729" s="139"/>
      <c r="AW729" s="139"/>
      <c r="BK729" s="139"/>
    </row>
    <row r="730" spans="7:63" ht="10.199999999999999" x14ac:dyDescent="0.2">
      <c r="G730" s="139"/>
      <c r="U730" s="139"/>
      <c r="AI730" s="139"/>
      <c r="AW730" s="139"/>
      <c r="BK730" s="139"/>
    </row>
    <row r="731" spans="7:63" ht="10.199999999999999" x14ac:dyDescent="0.2">
      <c r="G731" s="139"/>
      <c r="U731" s="139"/>
      <c r="AI731" s="139"/>
      <c r="AW731" s="139"/>
      <c r="BK731" s="139"/>
    </row>
    <row r="732" spans="7:63" ht="10.199999999999999" x14ac:dyDescent="0.2">
      <c r="G732" s="139"/>
      <c r="U732" s="139"/>
      <c r="AI732" s="139"/>
      <c r="AW732" s="139"/>
      <c r="BK732" s="139"/>
    </row>
    <row r="733" spans="7:63" ht="10.199999999999999" x14ac:dyDescent="0.2">
      <c r="G733" s="139"/>
      <c r="U733" s="139"/>
      <c r="AI733" s="139"/>
      <c r="AW733" s="139"/>
      <c r="BK733" s="139"/>
    </row>
    <row r="734" spans="7:63" ht="10.199999999999999" x14ac:dyDescent="0.2">
      <c r="G734" s="139"/>
      <c r="U734" s="139"/>
      <c r="AI734" s="139"/>
      <c r="AW734" s="139"/>
      <c r="BK734" s="139"/>
    </row>
    <row r="735" spans="7:63" ht="10.199999999999999" x14ac:dyDescent="0.2">
      <c r="G735" s="139"/>
      <c r="U735" s="139"/>
      <c r="AI735" s="139"/>
      <c r="AW735" s="139"/>
      <c r="BK735" s="139"/>
    </row>
    <row r="736" spans="7:63" ht="10.199999999999999" x14ac:dyDescent="0.2">
      <c r="G736" s="139"/>
      <c r="U736" s="139"/>
      <c r="AI736" s="139"/>
      <c r="AW736" s="139"/>
      <c r="BK736" s="139"/>
    </row>
    <row r="737" spans="7:63" ht="10.199999999999999" x14ac:dyDescent="0.2">
      <c r="G737" s="139"/>
      <c r="U737" s="139"/>
      <c r="AI737" s="139"/>
      <c r="AW737" s="139"/>
      <c r="BK737" s="139"/>
    </row>
    <row r="738" spans="7:63" ht="10.199999999999999" x14ac:dyDescent="0.2">
      <c r="G738" s="139"/>
      <c r="U738" s="139"/>
      <c r="AI738" s="139"/>
      <c r="AW738" s="139"/>
      <c r="BK738" s="139"/>
    </row>
    <row r="739" spans="7:63" ht="10.199999999999999" x14ac:dyDescent="0.2">
      <c r="G739" s="139"/>
      <c r="U739" s="139"/>
      <c r="AI739" s="139"/>
      <c r="AW739" s="139"/>
      <c r="BK739" s="139"/>
    </row>
    <row r="740" spans="7:63" ht="10.199999999999999" x14ac:dyDescent="0.2">
      <c r="G740" s="139"/>
      <c r="U740" s="139"/>
      <c r="AI740" s="139"/>
      <c r="AW740" s="139"/>
      <c r="BK740" s="139"/>
    </row>
    <row r="741" spans="7:63" ht="10.199999999999999" x14ac:dyDescent="0.2">
      <c r="G741" s="139"/>
      <c r="U741" s="139"/>
      <c r="AI741" s="139"/>
      <c r="AW741" s="139"/>
      <c r="BK741" s="139"/>
    </row>
    <row r="742" spans="7:63" ht="10.199999999999999" x14ac:dyDescent="0.2">
      <c r="G742" s="139"/>
      <c r="U742" s="139"/>
      <c r="AI742" s="139"/>
      <c r="AW742" s="139"/>
      <c r="BK742" s="139"/>
    </row>
    <row r="743" spans="7:63" ht="10.199999999999999" x14ac:dyDescent="0.2">
      <c r="G743" s="139"/>
      <c r="U743" s="139"/>
      <c r="AI743" s="139"/>
      <c r="AW743" s="139"/>
      <c r="BK743" s="139"/>
    </row>
    <row r="744" spans="7:63" ht="10.199999999999999" x14ac:dyDescent="0.2">
      <c r="G744" s="139"/>
      <c r="U744" s="139"/>
      <c r="AI744" s="139"/>
      <c r="AW744" s="139"/>
      <c r="BK744" s="139"/>
    </row>
    <row r="745" spans="7:63" ht="10.199999999999999" x14ac:dyDescent="0.2">
      <c r="G745" s="139"/>
      <c r="U745" s="139"/>
      <c r="AI745" s="139"/>
      <c r="AW745" s="139"/>
      <c r="BK745" s="139"/>
    </row>
    <row r="746" spans="7:63" ht="10.199999999999999" x14ac:dyDescent="0.2">
      <c r="G746" s="139"/>
      <c r="U746" s="139"/>
      <c r="AI746" s="139"/>
      <c r="AW746" s="139"/>
      <c r="BK746" s="139"/>
    </row>
    <row r="747" spans="7:63" ht="10.199999999999999" x14ac:dyDescent="0.2">
      <c r="G747" s="139"/>
      <c r="U747" s="139"/>
      <c r="AI747" s="139"/>
      <c r="AW747" s="139"/>
      <c r="BK747" s="139"/>
    </row>
    <row r="748" spans="7:63" ht="10.199999999999999" x14ac:dyDescent="0.2">
      <c r="G748" s="139"/>
      <c r="U748" s="139"/>
      <c r="AI748" s="139"/>
      <c r="AW748" s="139"/>
      <c r="BK748" s="139"/>
    </row>
    <row r="749" spans="7:63" ht="10.199999999999999" x14ac:dyDescent="0.2">
      <c r="G749" s="139"/>
      <c r="U749" s="139"/>
      <c r="AI749" s="139"/>
      <c r="AW749" s="139"/>
      <c r="BK749" s="139"/>
    </row>
    <row r="750" spans="7:63" ht="10.199999999999999" x14ac:dyDescent="0.2">
      <c r="G750" s="139"/>
      <c r="U750" s="139"/>
      <c r="AI750" s="139"/>
      <c r="AW750" s="139"/>
      <c r="BK750" s="139"/>
    </row>
    <row r="751" spans="7:63" ht="10.199999999999999" x14ac:dyDescent="0.2">
      <c r="G751" s="139"/>
      <c r="U751" s="139"/>
      <c r="AI751" s="139"/>
      <c r="AW751" s="139"/>
      <c r="BK751" s="139"/>
    </row>
    <row r="752" spans="7:63" ht="10.199999999999999" x14ac:dyDescent="0.2">
      <c r="G752" s="139"/>
      <c r="U752" s="139"/>
      <c r="AI752" s="139"/>
      <c r="AW752" s="139"/>
      <c r="BK752" s="139"/>
    </row>
    <row r="753" spans="7:63" ht="10.199999999999999" x14ac:dyDescent="0.2">
      <c r="G753" s="139"/>
      <c r="U753" s="139"/>
      <c r="AI753" s="139"/>
      <c r="AW753" s="139"/>
      <c r="BK753" s="139"/>
    </row>
    <row r="754" spans="7:63" ht="10.199999999999999" x14ac:dyDescent="0.2">
      <c r="G754" s="139"/>
      <c r="U754" s="139"/>
      <c r="AI754" s="139"/>
      <c r="AW754" s="139"/>
      <c r="BK754" s="139"/>
    </row>
    <row r="755" spans="7:63" ht="10.199999999999999" x14ac:dyDescent="0.2">
      <c r="G755" s="139"/>
      <c r="U755" s="139"/>
      <c r="AI755" s="139"/>
      <c r="AW755" s="139"/>
      <c r="BK755" s="139"/>
    </row>
    <row r="756" spans="7:63" ht="10.199999999999999" x14ac:dyDescent="0.2">
      <c r="G756" s="139"/>
      <c r="U756" s="139"/>
      <c r="AI756" s="139"/>
      <c r="AW756" s="139"/>
      <c r="BK756" s="139"/>
    </row>
    <row r="757" spans="7:63" ht="10.199999999999999" x14ac:dyDescent="0.2">
      <c r="G757" s="139"/>
      <c r="U757" s="139"/>
      <c r="AI757" s="139"/>
      <c r="AW757" s="139"/>
      <c r="BK757" s="139"/>
    </row>
    <row r="758" spans="7:63" ht="10.199999999999999" x14ac:dyDescent="0.2">
      <c r="G758" s="139"/>
      <c r="U758" s="139"/>
      <c r="AI758" s="139"/>
      <c r="AW758" s="139"/>
      <c r="BK758" s="139"/>
    </row>
    <row r="759" spans="7:63" ht="10.199999999999999" x14ac:dyDescent="0.2">
      <c r="G759" s="139"/>
      <c r="U759" s="139"/>
      <c r="AI759" s="139"/>
      <c r="AW759" s="139"/>
      <c r="BK759" s="139"/>
    </row>
    <row r="760" spans="7:63" ht="10.199999999999999" x14ac:dyDescent="0.2">
      <c r="G760" s="139"/>
      <c r="U760" s="139"/>
      <c r="AI760" s="139"/>
      <c r="AW760" s="139"/>
      <c r="BK760" s="139"/>
    </row>
    <row r="761" spans="7:63" ht="10.199999999999999" x14ac:dyDescent="0.2">
      <c r="G761" s="139"/>
      <c r="U761" s="139"/>
      <c r="AI761" s="139"/>
      <c r="AW761" s="139"/>
      <c r="BK761" s="139"/>
    </row>
    <row r="762" spans="7:63" ht="10.199999999999999" x14ac:dyDescent="0.2">
      <c r="G762" s="139"/>
      <c r="U762" s="139"/>
      <c r="AI762" s="139"/>
      <c r="AW762" s="139"/>
      <c r="BK762" s="139"/>
    </row>
    <row r="763" spans="7:63" ht="10.199999999999999" x14ac:dyDescent="0.2">
      <c r="G763" s="139"/>
      <c r="U763" s="139"/>
      <c r="AI763" s="139"/>
      <c r="AW763" s="139"/>
      <c r="BK763" s="139"/>
    </row>
    <row r="764" spans="7:63" ht="10.199999999999999" x14ac:dyDescent="0.2">
      <c r="G764" s="139"/>
      <c r="U764" s="139"/>
      <c r="AI764" s="139"/>
      <c r="AW764" s="139"/>
      <c r="BK764" s="139"/>
    </row>
    <row r="765" spans="7:63" ht="10.199999999999999" x14ac:dyDescent="0.2">
      <c r="G765" s="139"/>
      <c r="U765" s="139"/>
      <c r="AI765" s="139"/>
      <c r="AW765" s="139"/>
      <c r="BK765" s="139"/>
    </row>
    <row r="766" spans="7:63" ht="10.199999999999999" x14ac:dyDescent="0.2">
      <c r="G766" s="139"/>
      <c r="U766" s="139"/>
      <c r="AI766" s="139"/>
      <c r="AW766" s="139"/>
      <c r="BK766" s="139"/>
    </row>
    <row r="767" spans="7:63" ht="10.199999999999999" x14ac:dyDescent="0.2">
      <c r="G767" s="139"/>
      <c r="U767" s="139"/>
      <c r="AI767" s="139"/>
      <c r="AW767" s="139"/>
      <c r="BK767" s="139"/>
    </row>
    <row r="768" spans="7:63" ht="10.199999999999999" x14ac:dyDescent="0.2">
      <c r="G768" s="139"/>
      <c r="U768" s="139"/>
      <c r="AI768" s="139"/>
      <c r="AW768" s="139"/>
      <c r="BK768" s="139"/>
    </row>
    <row r="769" spans="7:63" ht="10.199999999999999" x14ac:dyDescent="0.2">
      <c r="G769" s="139"/>
      <c r="U769" s="139"/>
      <c r="AI769" s="139"/>
      <c r="AW769" s="139"/>
      <c r="BK769" s="139"/>
    </row>
    <row r="770" spans="7:63" ht="10.199999999999999" x14ac:dyDescent="0.2">
      <c r="G770" s="139"/>
      <c r="U770" s="139"/>
      <c r="AI770" s="139"/>
      <c r="AW770" s="139"/>
      <c r="BK770" s="139"/>
    </row>
    <row r="771" spans="7:63" ht="10.199999999999999" x14ac:dyDescent="0.2">
      <c r="G771" s="139"/>
      <c r="U771" s="139"/>
      <c r="AI771" s="139"/>
      <c r="AW771" s="139"/>
      <c r="BK771" s="139"/>
    </row>
    <row r="772" spans="7:63" ht="10.199999999999999" x14ac:dyDescent="0.2">
      <c r="G772" s="139"/>
      <c r="U772" s="139"/>
      <c r="AI772" s="139"/>
      <c r="AW772" s="139"/>
      <c r="BK772" s="139"/>
    </row>
    <row r="773" spans="7:63" ht="10.199999999999999" x14ac:dyDescent="0.2">
      <c r="G773" s="139"/>
      <c r="U773" s="139"/>
      <c r="AI773" s="139"/>
      <c r="AW773" s="139"/>
      <c r="BK773" s="139"/>
    </row>
    <row r="774" spans="7:63" ht="10.199999999999999" x14ac:dyDescent="0.2">
      <c r="G774" s="139"/>
      <c r="U774" s="139"/>
      <c r="AI774" s="139"/>
      <c r="AW774" s="139"/>
      <c r="BK774" s="139"/>
    </row>
    <row r="775" spans="7:63" ht="10.199999999999999" x14ac:dyDescent="0.2">
      <c r="G775" s="139"/>
      <c r="U775" s="139"/>
      <c r="AI775" s="139"/>
      <c r="AW775" s="139"/>
      <c r="BK775" s="139"/>
    </row>
    <row r="776" spans="7:63" ht="10.199999999999999" x14ac:dyDescent="0.2">
      <c r="G776" s="139"/>
      <c r="U776" s="139"/>
      <c r="AI776" s="139"/>
      <c r="AW776" s="139"/>
      <c r="BK776" s="139"/>
    </row>
    <row r="777" spans="7:63" ht="10.199999999999999" x14ac:dyDescent="0.2">
      <c r="G777" s="139"/>
      <c r="U777" s="139"/>
      <c r="AI777" s="139"/>
      <c r="AW777" s="139"/>
      <c r="BK777" s="139"/>
    </row>
    <row r="778" spans="7:63" ht="10.199999999999999" x14ac:dyDescent="0.2">
      <c r="G778" s="139"/>
      <c r="U778" s="139"/>
      <c r="AI778" s="139"/>
      <c r="AW778" s="139"/>
      <c r="BK778" s="139"/>
    </row>
    <row r="779" spans="7:63" ht="10.199999999999999" x14ac:dyDescent="0.2">
      <c r="G779" s="139"/>
      <c r="U779" s="139"/>
      <c r="AI779" s="139"/>
      <c r="AW779" s="139"/>
      <c r="BK779" s="139"/>
    </row>
    <row r="780" spans="7:63" ht="10.199999999999999" x14ac:dyDescent="0.2">
      <c r="G780" s="139"/>
      <c r="U780" s="139"/>
      <c r="AI780" s="139"/>
      <c r="AW780" s="139"/>
      <c r="BK780" s="139"/>
    </row>
    <row r="781" spans="7:63" ht="10.199999999999999" x14ac:dyDescent="0.2">
      <c r="G781" s="139"/>
      <c r="U781" s="139"/>
      <c r="AI781" s="139"/>
      <c r="AW781" s="139"/>
      <c r="BK781" s="139"/>
    </row>
    <row r="782" spans="7:63" ht="10.199999999999999" x14ac:dyDescent="0.2">
      <c r="G782" s="139"/>
      <c r="U782" s="139"/>
      <c r="AI782" s="139"/>
      <c r="AW782" s="139"/>
      <c r="BK782" s="139"/>
    </row>
    <row r="783" spans="7:63" ht="10.199999999999999" x14ac:dyDescent="0.2">
      <c r="G783" s="139"/>
      <c r="U783" s="139"/>
      <c r="AI783" s="139"/>
      <c r="AW783" s="139"/>
      <c r="BK783" s="139"/>
    </row>
    <row r="784" spans="7:63" ht="10.199999999999999" x14ac:dyDescent="0.2">
      <c r="G784" s="139"/>
      <c r="U784" s="139"/>
      <c r="AI784" s="139"/>
      <c r="AW784" s="139"/>
      <c r="BK784" s="139"/>
    </row>
    <row r="785" spans="7:63" ht="10.199999999999999" x14ac:dyDescent="0.2">
      <c r="G785" s="139"/>
      <c r="U785" s="139"/>
      <c r="AI785" s="139"/>
      <c r="AW785" s="139"/>
      <c r="BK785" s="139"/>
    </row>
    <row r="786" spans="7:63" ht="10.199999999999999" x14ac:dyDescent="0.2">
      <c r="G786" s="139"/>
      <c r="U786" s="139"/>
      <c r="AI786" s="139"/>
      <c r="AW786" s="139"/>
      <c r="BK786" s="139"/>
    </row>
    <row r="787" spans="7:63" ht="10.199999999999999" x14ac:dyDescent="0.2">
      <c r="G787" s="139"/>
      <c r="U787" s="139"/>
      <c r="AI787" s="139"/>
      <c r="AW787" s="139"/>
      <c r="BK787" s="139"/>
    </row>
    <row r="788" spans="7:63" ht="10.199999999999999" x14ac:dyDescent="0.2">
      <c r="G788" s="139"/>
      <c r="U788" s="139"/>
      <c r="AI788" s="139"/>
      <c r="AW788" s="139"/>
      <c r="BK788" s="139"/>
    </row>
    <row r="789" spans="7:63" ht="10.199999999999999" x14ac:dyDescent="0.2">
      <c r="G789" s="139"/>
      <c r="U789" s="139"/>
      <c r="AI789" s="139"/>
      <c r="AW789" s="139"/>
      <c r="BK789" s="139"/>
    </row>
    <row r="790" spans="7:63" ht="10.199999999999999" x14ac:dyDescent="0.2">
      <c r="G790" s="139"/>
      <c r="U790" s="139"/>
      <c r="AI790" s="139"/>
      <c r="AW790" s="139"/>
      <c r="BK790" s="139"/>
    </row>
    <row r="791" spans="7:63" ht="10.199999999999999" x14ac:dyDescent="0.2">
      <c r="G791" s="139"/>
      <c r="U791" s="139"/>
      <c r="AI791" s="139"/>
      <c r="AW791" s="139"/>
      <c r="BK791" s="139"/>
    </row>
    <row r="792" spans="7:63" ht="10.199999999999999" x14ac:dyDescent="0.2">
      <c r="G792" s="139"/>
      <c r="U792" s="139"/>
      <c r="AI792" s="139"/>
      <c r="AW792" s="139"/>
      <c r="BK792" s="139"/>
    </row>
    <row r="793" spans="7:63" ht="10.199999999999999" x14ac:dyDescent="0.2">
      <c r="G793" s="139"/>
      <c r="U793" s="139"/>
      <c r="AI793" s="139"/>
      <c r="AW793" s="139"/>
      <c r="BK793" s="139"/>
    </row>
    <row r="794" spans="7:63" ht="10.199999999999999" x14ac:dyDescent="0.2">
      <c r="G794" s="139"/>
      <c r="U794" s="139"/>
      <c r="AI794" s="139"/>
      <c r="AW794" s="139"/>
      <c r="BK794" s="139"/>
    </row>
    <row r="795" spans="7:63" ht="10.199999999999999" x14ac:dyDescent="0.2">
      <c r="G795" s="139"/>
      <c r="U795" s="139"/>
      <c r="AI795" s="139"/>
      <c r="AW795" s="139"/>
      <c r="BK795" s="139"/>
    </row>
    <row r="796" spans="7:63" ht="10.199999999999999" x14ac:dyDescent="0.2">
      <c r="G796" s="139"/>
      <c r="U796" s="139"/>
      <c r="AI796" s="139"/>
      <c r="AW796" s="139"/>
      <c r="BK796" s="139"/>
    </row>
    <row r="797" spans="7:63" ht="10.199999999999999" x14ac:dyDescent="0.2">
      <c r="G797" s="139"/>
      <c r="U797" s="139"/>
      <c r="AI797" s="139"/>
      <c r="AW797" s="139"/>
      <c r="BK797" s="139"/>
    </row>
    <row r="798" spans="7:63" ht="10.199999999999999" x14ac:dyDescent="0.2">
      <c r="G798" s="139"/>
      <c r="U798" s="139"/>
      <c r="AI798" s="139"/>
      <c r="AW798" s="139"/>
      <c r="BK798" s="139"/>
    </row>
    <row r="799" spans="7:63" ht="10.199999999999999" x14ac:dyDescent="0.2">
      <c r="G799" s="139"/>
      <c r="U799" s="139"/>
      <c r="AI799" s="139"/>
      <c r="AW799" s="139"/>
      <c r="BK799" s="139"/>
    </row>
    <row r="800" spans="7:63" ht="10.199999999999999" x14ac:dyDescent="0.2">
      <c r="G800" s="139"/>
      <c r="U800" s="139"/>
      <c r="AI800" s="139"/>
      <c r="AW800" s="139"/>
      <c r="BK800" s="139"/>
    </row>
    <row r="801" spans="7:63" ht="10.199999999999999" x14ac:dyDescent="0.2">
      <c r="G801" s="139"/>
      <c r="U801" s="139"/>
      <c r="AI801" s="139"/>
      <c r="AW801" s="139"/>
      <c r="BK801" s="139"/>
    </row>
    <row r="802" spans="7:63" ht="10.199999999999999" x14ac:dyDescent="0.2">
      <c r="G802" s="139"/>
      <c r="U802" s="139"/>
      <c r="AI802" s="139"/>
      <c r="AW802" s="139"/>
      <c r="BK802" s="139"/>
    </row>
    <row r="803" spans="7:63" ht="10.199999999999999" x14ac:dyDescent="0.2">
      <c r="G803" s="139"/>
      <c r="U803" s="139"/>
      <c r="AI803" s="139"/>
      <c r="AW803" s="139"/>
      <c r="BK803" s="139"/>
    </row>
    <row r="804" spans="7:63" ht="10.199999999999999" x14ac:dyDescent="0.2">
      <c r="G804" s="139"/>
      <c r="U804" s="139"/>
      <c r="AI804" s="139"/>
      <c r="AW804" s="139"/>
      <c r="BK804" s="139"/>
    </row>
    <row r="805" spans="7:63" ht="10.199999999999999" x14ac:dyDescent="0.2">
      <c r="G805" s="139"/>
      <c r="U805" s="139"/>
      <c r="AI805" s="139"/>
      <c r="AW805" s="139"/>
      <c r="BK805" s="139"/>
    </row>
    <row r="806" spans="7:63" ht="10.199999999999999" x14ac:dyDescent="0.2">
      <c r="G806" s="139"/>
      <c r="U806" s="139"/>
      <c r="AI806" s="139"/>
      <c r="AW806" s="139"/>
      <c r="BK806" s="139"/>
    </row>
    <row r="807" spans="7:63" ht="10.199999999999999" x14ac:dyDescent="0.2">
      <c r="G807" s="139"/>
      <c r="U807" s="139"/>
      <c r="AI807" s="139"/>
      <c r="AW807" s="139"/>
      <c r="BK807" s="139"/>
    </row>
    <row r="808" spans="7:63" ht="10.199999999999999" x14ac:dyDescent="0.2">
      <c r="G808" s="139"/>
      <c r="U808" s="139"/>
      <c r="AI808" s="139"/>
      <c r="AW808" s="139"/>
      <c r="BK808" s="139"/>
    </row>
    <row r="809" spans="7:63" ht="10.199999999999999" x14ac:dyDescent="0.2">
      <c r="G809" s="139"/>
      <c r="U809" s="139"/>
      <c r="AI809" s="139"/>
      <c r="AW809" s="139"/>
      <c r="BK809" s="139"/>
    </row>
    <row r="810" spans="7:63" ht="10.199999999999999" x14ac:dyDescent="0.2">
      <c r="G810" s="139"/>
      <c r="U810" s="139"/>
      <c r="AI810" s="139"/>
      <c r="AW810" s="139"/>
      <c r="BK810" s="139"/>
    </row>
    <row r="811" spans="7:63" ht="10.199999999999999" x14ac:dyDescent="0.2">
      <c r="G811" s="139"/>
      <c r="U811" s="139"/>
      <c r="AI811" s="139"/>
      <c r="AW811" s="139"/>
      <c r="BK811" s="139"/>
    </row>
    <row r="812" spans="7:63" ht="10.199999999999999" x14ac:dyDescent="0.2">
      <c r="G812" s="139"/>
      <c r="U812" s="139"/>
      <c r="AI812" s="139"/>
      <c r="AW812" s="139"/>
      <c r="BK812" s="139"/>
    </row>
    <row r="813" spans="7:63" ht="10.199999999999999" x14ac:dyDescent="0.2">
      <c r="G813" s="139"/>
      <c r="U813" s="139"/>
      <c r="AI813" s="139"/>
      <c r="AW813" s="139"/>
      <c r="BK813" s="139"/>
    </row>
    <row r="814" spans="7:63" ht="10.199999999999999" x14ac:dyDescent="0.2">
      <c r="G814" s="139"/>
      <c r="U814" s="139"/>
      <c r="AI814" s="139"/>
      <c r="AW814" s="139"/>
      <c r="BK814" s="139"/>
    </row>
    <row r="815" spans="7:63" ht="10.199999999999999" x14ac:dyDescent="0.2">
      <c r="G815" s="139"/>
      <c r="U815" s="139"/>
      <c r="AI815" s="139"/>
      <c r="AW815" s="139"/>
      <c r="BK815" s="139"/>
    </row>
    <row r="816" spans="7:63" ht="10.199999999999999" x14ac:dyDescent="0.2">
      <c r="G816" s="139"/>
      <c r="U816" s="139"/>
      <c r="AI816" s="139"/>
      <c r="AW816" s="139"/>
      <c r="BK816" s="139"/>
    </row>
    <row r="817" spans="7:63" ht="10.199999999999999" x14ac:dyDescent="0.2">
      <c r="G817" s="139"/>
      <c r="U817" s="139"/>
      <c r="AI817" s="139"/>
      <c r="AW817" s="139"/>
      <c r="BK817" s="139"/>
    </row>
    <row r="818" spans="7:63" ht="10.199999999999999" x14ac:dyDescent="0.2">
      <c r="G818" s="139"/>
      <c r="U818" s="139"/>
      <c r="AI818" s="139"/>
      <c r="AW818" s="139"/>
      <c r="BK818" s="139"/>
    </row>
    <row r="819" spans="7:63" ht="10.199999999999999" x14ac:dyDescent="0.2">
      <c r="G819" s="139"/>
      <c r="U819" s="139"/>
      <c r="AI819" s="139"/>
      <c r="AW819" s="139"/>
      <c r="BK819" s="139"/>
    </row>
    <row r="820" spans="7:63" ht="10.199999999999999" x14ac:dyDescent="0.2">
      <c r="G820" s="139"/>
      <c r="U820" s="139"/>
      <c r="AI820" s="139"/>
      <c r="AW820" s="139"/>
      <c r="BK820" s="139"/>
    </row>
    <row r="821" spans="7:63" ht="10.199999999999999" x14ac:dyDescent="0.2">
      <c r="G821" s="139"/>
      <c r="U821" s="139"/>
      <c r="AI821" s="139"/>
      <c r="AW821" s="139"/>
      <c r="BK821" s="139"/>
    </row>
    <row r="822" spans="7:63" ht="10.199999999999999" x14ac:dyDescent="0.2">
      <c r="G822" s="139"/>
      <c r="U822" s="139"/>
      <c r="AI822" s="139"/>
      <c r="AW822" s="139"/>
      <c r="BK822" s="139"/>
    </row>
    <row r="823" spans="7:63" ht="10.199999999999999" x14ac:dyDescent="0.2">
      <c r="G823" s="139"/>
      <c r="U823" s="139"/>
      <c r="AI823" s="139"/>
      <c r="AW823" s="139"/>
      <c r="BK823" s="139"/>
    </row>
    <row r="824" spans="7:63" ht="10.199999999999999" x14ac:dyDescent="0.2">
      <c r="G824" s="139"/>
      <c r="U824" s="139"/>
      <c r="AI824" s="139"/>
      <c r="AW824" s="139"/>
      <c r="BK824" s="139"/>
    </row>
    <row r="825" spans="7:63" ht="10.199999999999999" x14ac:dyDescent="0.2">
      <c r="G825" s="139"/>
      <c r="U825" s="139"/>
      <c r="AI825" s="139"/>
      <c r="AW825" s="139"/>
      <c r="BK825" s="139"/>
    </row>
    <row r="826" spans="7:63" ht="10.199999999999999" x14ac:dyDescent="0.2">
      <c r="G826" s="139"/>
      <c r="U826" s="139"/>
      <c r="AI826" s="139"/>
      <c r="AW826" s="139"/>
      <c r="BK826" s="139"/>
    </row>
    <row r="827" spans="7:63" ht="10.199999999999999" x14ac:dyDescent="0.2">
      <c r="G827" s="139"/>
      <c r="U827" s="139"/>
      <c r="AI827" s="139"/>
      <c r="AW827" s="139"/>
      <c r="BK827" s="139"/>
    </row>
    <row r="828" spans="7:63" ht="10.199999999999999" x14ac:dyDescent="0.2">
      <c r="G828" s="139"/>
      <c r="U828" s="139"/>
      <c r="AI828" s="139"/>
      <c r="AW828" s="139"/>
      <c r="BK828" s="139"/>
    </row>
    <row r="829" spans="7:63" ht="10.199999999999999" x14ac:dyDescent="0.2">
      <c r="G829" s="139"/>
      <c r="U829" s="139"/>
      <c r="AI829" s="139"/>
      <c r="AW829" s="139"/>
      <c r="BK829" s="139"/>
    </row>
    <row r="830" spans="7:63" ht="10.199999999999999" x14ac:dyDescent="0.2">
      <c r="G830" s="139"/>
      <c r="U830" s="139"/>
      <c r="AI830" s="139"/>
      <c r="AW830" s="139"/>
      <c r="BK830" s="139"/>
    </row>
    <row r="831" spans="7:63" ht="10.199999999999999" x14ac:dyDescent="0.2">
      <c r="G831" s="139"/>
      <c r="U831" s="139"/>
      <c r="AI831" s="139"/>
      <c r="AW831" s="139"/>
      <c r="BK831" s="139"/>
    </row>
    <row r="832" spans="7:63" ht="10.199999999999999" x14ac:dyDescent="0.2">
      <c r="G832" s="139"/>
      <c r="U832" s="139"/>
      <c r="AI832" s="139"/>
      <c r="AW832" s="139"/>
      <c r="BK832" s="139"/>
    </row>
    <row r="833" spans="7:63" ht="10.199999999999999" x14ac:dyDescent="0.2">
      <c r="G833" s="139"/>
      <c r="U833" s="139"/>
      <c r="AI833" s="139"/>
      <c r="AW833" s="139"/>
      <c r="BK833" s="139"/>
    </row>
    <row r="834" spans="7:63" ht="10.199999999999999" x14ac:dyDescent="0.2">
      <c r="G834" s="139"/>
      <c r="U834" s="139"/>
      <c r="AI834" s="139"/>
      <c r="AW834" s="139"/>
      <c r="BK834" s="139"/>
    </row>
    <row r="835" spans="7:63" ht="10.199999999999999" x14ac:dyDescent="0.2">
      <c r="G835" s="139"/>
      <c r="U835" s="139"/>
      <c r="AI835" s="139"/>
      <c r="AW835" s="139"/>
      <c r="BK835" s="139"/>
    </row>
    <row r="836" spans="7:63" ht="10.199999999999999" x14ac:dyDescent="0.2">
      <c r="G836" s="139"/>
      <c r="U836" s="139"/>
      <c r="AI836" s="139"/>
      <c r="AW836" s="139"/>
      <c r="BK836" s="139"/>
    </row>
    <row r="837" spans="7:63" ht="10.199999999999999" x14ac:dyDescent="0.2">
      <c r="G837" s="139"/>
      <c r="U837" s="139"/>
      <c r="AI837" s="139"/>
      <c r="AW837" s="139"/>
      <c r="BK837" s="139"/>
    </row>
    <row r="838" spans="7:63" ht="10.199999999999999" x14ac:dyDescent="0.2">
      <c r="G838" s="139"/>
      <c r="U838" s="139"/>
      <c r="AI838" s="139"/>
      <c r="AW838" s="139"/>
      <c r="BK838" s="139"/>
    </row>
    <row r="839" spans="7:63" ht="10.199999999999999" x14ac:dyDescent="0.2">
      <c r="G839" s="139"/>
      <c r="U839" s="139"/>
      <c r="AI839" s="139"/>
      <c r="AW839" s="139"/>
      <c r="BK839" s="139"/>
    </row>
    <row r="840" spans="7:63" ht="10.199999999999999" x14ac:dyDescent="0.2">
      <c r="G840" s="139"/>
      <c r="U840" s="139"/>
      <c r="AI840" s="139"/>
      <c r="AW840" s="139"/>
      <c r="BK840" s="139"/>
    </row>
    <row r="841" spans="7:63" ht="10.199999999999999" x14ac:dyDescent="0.2">
      <c r="G841" s="139"/>
      <c r="U841" s="139"/>
      <c r="AI841" s="139"/>
      <c r="AW841" s="139"/>
      <c r="BK841" s="139"/>
    </row>
    <row r="842" spans="7:63" ht="10.199999999999999" x14ac:dyDescent="0.2">
      <c r="G842" s="139"/>
      <c r="U842" s="139"/>
      <c r="AI842" s="139"/>
      <c r="AW842" s="139"/>
      <c r="BK842" s="139"/>
    </row>
    <row r="843" spans="7:63" ht="10.199999999999999" x14ac:dyDescent="0.2">
      <c r="G843" s="139"/>
      <c r="U843" s="139"/>
      <c r="AI843" s="139"/>
      <c r="AW843" s="139"/>
      <c r="BK843" s="139"/>
    </row>
    <row r="844" spans="7:63" ht="10.199999999999999" x14ac:dyDescent="0.2">
      <c r="G844" s="139"/>
      <c r="U844" s="139"/>
      <c r="AI844" s="139"/>
      <c r="AW844" s="139"/>
      <c r="BK844" s="139"/>
    </row>
    <row r="845" spans="7:63" ht="10.199999999999999" x14ac:dyDescent="0.2">
      <c r="G845" s="139"/>
      <c r="U845" s="139"/>
      <c r="AI845" s="139"/>
      <c r="AW845" s="139"/>
      <c r="BK845" s="139"/>
    </row>
    <row r="846" spans="7:63" ht="10.199999999999999" x14ac:dyDescent="0.2">
      <c r="G846" s="139"/>
      <c r="U846" s="139"/>
      <c r="AI846" s="139"/>
      <c r="AW846" s="139"/>
      <c r="BK846" s="139"/>
    </row>
    <row r="847" spans="7:63" ht="10.199999999999999" x14ac:dyDescent="0.2">
      <c r="G847" s="139"/>
      <c r="U847" s="139"/>
      <c r="AI847" s="139"/>
      <c r="AW847" s="139"/>
      <c r="BK847" s="139"/>
    </row>
    <row r="848" spans="7:63" ht="10.199999999999999" x14ac:dyDescent="0.2">
      <c r="G848" s="139"/>
      <c r="U848" s="139"/>
      <c r="AI848" s="139"/>
      <c r="AW848" s="139"/>
      <c r="BK848" s="139"/>
    </row>
    <row r="849" spans="7:63" ht="10.199999999999999" x14ac:dyDescent="0.2">
      <c r="G849" s="139"/>
      <c r="U849" s="139"/>
      <c r="AI849" s="139"/>
      <c r="AW849" s="139"/>
      <c r="BK849" s="139"/>
    </row>
    <row r="850" spans="7:63" ht="10.199999999999999" x14ac:dyDescent="0.2">
      <c r="G850" s="139"/>
      <c r="U850" s="139"/>
      <c r="AI850" s="139"/>
      <c r="AW850" s="139"/>
      <c r="BK850" s="139"/>
    </row>
    <row r="851" spans="7:63" ht="10.199999999999999" x14ac:dyDescent="0.2">
      <c r="G851" s="139"/>
      <c r="U851" s="139"/>
      <c r="AI851" s="139"/>
      <c r="AW851" s="139"/>
      <c r="BK851" s="139"/>
    </row>
    <row r="852" spans="7:63" ht="10.199999999999999" x14ac:dyDescent="0.2">
      <c r="G852" s="139"/>
      <c r="U852" s="139"/>
      <c r="AI852" s="139"/>
      <c r="AW852" s="139"/>
      <c r="BK852" s="139"/>
    </row>
    <row r="853" spans="7:63" ht="10.199999999999999" x14ac:dyDescent="0.2">
      <c r="G853" s="139"/>
      <c r="U853" s="139"/>
      <c r="AI853" s="139"/>
      <c r="AW853" s="139"/>
      <c r="BK853" s="139"/>
    </row>
    <row r="854" spans="7:63" ht="10.199999999999999" x14ac:dyDescent="0.2">
      <c r="G854" s="139"/>
      <c r="U854" s="139"/>
      <c r="AI854" s="139"/>
      <c r="AW854" s="139"/>
      <c r="BK854" s="139"/>
    </row>
    <row r="855" spans="7:63" ht="10.199999999999999" x14ac:dyDescent="0.2">
      <c r="G855" s="139"/>
      <c r="U855" s="139"/>
      <c r="AI855" s="139"/>
      <c r="AW855" s="139"/>
      <c r="BK855" s="139"/>
    </row>
    <row r="856" spans="7:63" ht="10.199999999999999" x14ac:dyDescent="0.2">
      <c r="G856" s="139"/>
      <c r="U856" s="139"/>
      <c r="AI856" s="139"/>
      <c r="AW856" s="139"/>
      <c r="BK856" s="139"/>
    </row>
    <row r="857" spans="7:63" ht="10.199999999999999" x14ac:dyDescent="0.2">
      <c r="G857" s="139"/>
      <c r="U857" s="139"/>
      <c r="AI857" s="139"/>
      <c r="AW857" s="139"/>
      <c r="BK857" s="139"/>
    </row>
    <row r="858" spans="7:63" ht="10.199999999999999" x14ac:dyDescent="0.2">
      <c r="G858" s="139"/>
      <c r="U858" s="139"/>
      <c r="AI858" s="139"/>
      <c r="AW858" s="139"/>
      <c r="BK858" s="139"/>
    </row>
    <row r="859" spans="7:63" ht="10.199999999999999" x14ac:dyDescent="0.2">
      <c r="G859" s="139"/>
      <c r="U859" s="139"/>
      <c r="AI859" s="139"/>
      <c r="AW859" s="139"/>
      <c r="BK859" s="139"/>
    </row>
    <row r="860" spans="7:63" ht="10.199999999999999" x14ac:dyDescent="0.2">
      <c r="G860" s="139"/>
      <c r="U860" s="139"/>
      <c r="AI860" s="139"/>
      <c r="AW860" s="139"/>
      <c r="BK860" s="139"/>
    </row>
    <row r="861" spans="7:63" ht="10.199999999999999" x14ac:dyDescent="0.2">
      <c r="G861" s="139"/>
      <c r="U861" s="139"/>
      <c r="AI861" s="139"/>
      <c r="AW861" s="139"/>
      <c r="BK861" s="139"/>
    </row>
    <row r="862" spans="7:63" ht="10.199999999999999" x14ac:dyDescent="0.2">
      <c r="G862" s="139"/>
      <c r="U862" s="139"/>
      <c r="AI862" s="139"/>
      <c r="AW862" s="139"/>
      <c r="BK862" s="139"/>
    </row>
    <row r="863" spans="7:63" ht="10.199999999999999" x14ac:dyDescent="0.2">
      <c r="G863" s="139"/>
      <c r="U863" s="139"/>
      <c r="AI863" s="139"/>
      <c r="AW863" s="139"/>
      <c r="BK863" s="139"/>
    </row>
    <row r="864" spans="7:63" ht="10.199999999999999" x14ac:dyDescent="0.2">
      <c r="G864" s="139"/>
      <c r="U864" s="139"/>
      <c r="AI864" s="139"/>
      <c r="AW864" s="139"/>
      <c r="BK864" s="139"/>
    </row>
    <row r="865" spans="7:63" ht="10.199999999999999" x14ac:dyDescent="0.2">
      <c r="G865" s="139"/>
      <c r="U865" s="139"/>
      <c r="AI865" s="139"/>
      <c r="AW865" s="139"/>
      <c r="BK865" s="139"/>
    </row>
    <row r="866" spans="7:63" ht="10.199999999999999" x14ac:dyDescent="0.2">
      <c r="G866" s="139"/>
      <c r="U866" s="139"/>
      <c r="AI866" s="139"/>
      <c r="AW866" s="139"/>
      <c r="BK866" s="139"/>
    </row>
    <row r="867" spans="7:63" ht="10.199999999999999" x14ac:dyDescent="0.2">
      <c r="G867" s="139"/>
      <c r="U867" s="139"/>
      <c r="AI867" s="139"/>
      <c r="AW867" s="139"/>
      <c r="BK867" s="139"/>
    </row>
    <row r="868" spans="7:63" ht="10.199999999999999" x14ac:dyDescent="0.2">
      <c r="G868" s="139"/>
      <c r="U868" s="139"/>
      <c r="AI868" s="139"/>
      <c r="AW868" s="139"/>
      <c r="BK868" s="139"/>
    </row>
    <row r="869" spans="7:63" ht="10.199999999999999" x14ac:dyDescent="0.2">
      <c r="G869" s="139"/>
      <c r="U869" s="139"/>
      <c r="AI869" s="139"/>
      <c r="AW869" s="139"/>
      <c r="BK869" s="139"/>
    </row>
    <row r="870" spans="7:63" ht="10.199999999999999" x14ac:dyDescent="0.2">
      <c r="G870" s="139"/>
      <c r="U870" s="139"/>
      <c r="AI870" s="139"/>
      <c r="AW870" s="139"/>
      <c r="BK870" s="139"/>
    </row>
    <row r="871" spans="7:63" ht="10.199999999999999" x14ac:dyDescent="0.2">
      <c r="G871" s="139"/>
      <c r="U871" s="139"/>
      <c r="AI871" s="139"/>
      <c r="AW871" s="139"/>
      <c r="BK871" s="139"/>
    </row>
    <row r="872" spans="7:63" ht="10.199999999999999" x14ac:dyDescent="0.2">
      <c r="G872" s="139"/>
      <c r="U872" s="139"/>
      <c r="AI872" s="139"/>
      <c r="AW872" s="139"/>
      <c r="BK872" s="139"/>
    </row>
    <row r="873" spans="7:63" ht="10.199999999999999" x14ac:dyDescent="0.2">
      <c r="G873" s="139"/>
      <c r="U873" s="139"/>
      <c r="AI873" s="139"/>
      <c r="AW873" s="139"/>
      <c r="BK873" s="139"/>
    </row>
    <row r="874" spans="7:63" ht="10.199999999999999" x14ac:dyDescent="0.2">
      <c r="G874" s="139"/>
      <c r="U874" s="139"/>
      <c r="AI874" s="139"/>
      <c r="AW874" s="139"/>
      <c r="BK874" s="139"/>
    </row>
    <row r="875" spans="7:63" ht="10.199999999999999" x14ac:dyDescent="0.2">
      <c r="G875" s="139"/>
      <c r="U875" s="139"/>
      <c r="AI875" s="139"/>
      <c r="AW875" s="139"/>
      <c r="BK875" s="139"/>
    </row>
    <row r="876" spans="7:63" ht="10.199999999999999" x14ac:dyDescent="0.2">
      <c r="G876" s="139"/>
      <c r="U876" s="139"/>
      <c r="AI876" s="139"/>
      <c r="AW876" s="139"/>
      <c r="BK876" s="139"/>
    </row>
    <row r="877" spans="7:63" ht="10.199999999999999" x14ac:dyDescent="0.2">
      <c r="G877" s="139"/>
      <c r="U877" s="139"/>
      <c r="AI877" s="139"/>
      <c r="AW877" s="139"/>
      <c r="BK877" s="139"/>
    </row>
    <row r="878" spans="7:63" ht="10.199999999999999" x14ac:dyDescent="0.2">
      <c r="G878" s="139"/>
      <c r="U878" s="139"/>
      <c r="AI878" s="139"/>
      <c r="AW878" s="139"/>
      <c r="BK878" s="139"/>
    </row>
    <row r="879" spans="7:63" ht="10.199999999999999" x14ac:dyDescent="0.2">
      <c r="G879" s="139"/>
      <c r="U879" s="139"/>
      <c r="AI879" s="139"/>
      <c r="AW879" s="139"/>
      <c r="BK879" s="139"/>
    </row>
    <row r="880" spans="7:63" ht="10.199999999999999" x14ac:dyDescent="0.2">
      <c r="G880" s="139"/>
      <c r="U880" s="139"/>
      <c r="AI880" s="139"/>
      <c r="AW880" s="139"/>
      <c r="BK880" s="139"/>
    </row>
    <row r="881" spans="7:63" ht="10.199999999999999" x14ac:dyDescent="0.2">
      <c r="G881" s="139"/>
      <c r="U881" s="139"/>
      <c r="AI881" s="139"/>
      <c r="AW881" s="139"/>
      <c r="BK881" s="139"/>
    </row>
    <row r="882" spans="7:63" ht="10.199999999999999" x14ac:dyDescent="0.2">
      <c r="G882" s="139"/>
      <c r="U882" s="139"/>
      <c r="AI882" s="139"/>
      <c r="AW882" s="139"/>
      <c r="BK882" s="139"/>
    </row>
    <row r="883" spans="7:63" ht="10.199999999999999" x14ac:dyDescent="0.2">
      <c r="G883" s="139"/>
      <c r="U883" s="139"/>
      <c r="AI883" s="139"/>
      <c r="AW883" s="139"/>
      <c r="BK883" s="139"/>
    </row>
    <row r="884" spans="7:63" ht="10.199999999999999" x14ac:dyDescent="0.2">
      <c r="G884" s="139"/>
      <c r="U884" s="139"/>
      <c r="AI884" s="139"/>
      <c r="AW884" s="139"/>
      <c r="BK884" s="139"/>
    </row>
    <row r="885" spans="7:63" ht="10.199999999999999" x14ac:dyDescent="0.2">
      <c r="G885" s="139"/>
      <c r="U885" s="139"/>
      <c r="AI885" s="139"/>
      <c r="AW885" s="139"/>
      <c r="BK885" s="139"/>
    </row>
    <row r="886" spans="7:63" ht="10.199999999999999" x14ac:dyDescent="0.2">
      <c r="G886" s="139"/>
      <c r="U886" s="139"/>
      <c r="AI886" s="139"/>
      <c r="AW886" s="139"/>
      <c r="BK886" s="139"/>
    </row>
    <row r="887" spans="7:63" ht="10.199999999999999" x14ac:dyDescent="0.2">
      <c r="G887" s="139"/>
      <c r="U887" s="139"/>
      <c r="AI887" s="139"/>
      <c r="AW887" s="139"/>
      <c r="BK887" s="139"/>
    </row>
    <row r="888" spans="7:63" ht="10.199999999999999" x14ac:dyDescent="0.2">
      <c r="G888" s="139"/>
      <c r="U888" s="139"/>
      <c r="AI888" s="139"/>
      <c r="AW888" s="139"/>
      <c r="BK888" s="139"/>
    </row>
    <row r="889" spans="7:63" ht="10.199999999999999" x14ac:dyDescent="0.2">
      <c r="G889" s="139"/>
      <c r="U889" s="139"/>
      <c r="AI889" s="139"/>
      <c r="AW889" s="139"/>
      <c r="BK889" s="139"/>
    </row>
    <row r="890" spans="7:63" ht="10.199999999999999" x14ac:dyDescent="0.2">
      <c r="G890" s="139"/>
      <c r="U890" s="139"/>
      <c r="AI890" s="139"/>
      <c r="AW890" s="139"/>
      <c r="BK890" s="139"/>
    </row>
    <row r="891" spans="7:63" ht="10.199999999999999" x14ac:dyDescent="0.2">
      <c r="G891" s="139"/>
      <c r="U891" s="139"/>
      <c r="AI891" s="139"/>
      <c r="AW891" s="139"/>
      <c r="BK891" s="139"/>
    </row>
    <row r="892" spans="7:63" ht="10.199999999999999" x14ac:dyDescent="0.2">
      <c r="G892" s="139"/>
      <c r="U892" s="139"/>
      <c r="AI892" s="139"/>
      <c r="AW892" s="139"/>
      <c r="BK892" s="139"/>
    </row>
    <row r="893" spans="7:63" ht="10.199999999999999" x14ac:dyDescent="0.2">
      <c r="G893" s="139"/>
      <c r="U893" s="139"/>
      <c r="AI893" s="139"/>
      <c r="AW893" s="139"/>
      <c r="BK893" s="139"/>
    </row>
    <row r="894" spans="7:63" ht="10.199999999999999" x14ac:dyDescent="0.2">
      <c r="G894" s="139"/>
      <c r="U894" s="139"/>
      <c r="AI894" s="139"/>
      <c r="AW894" s="139"/>
      <c r="BK894" s="139"/>
    </row>
    <row r="895" spans="7:63" ht="10.199999999999999" x14ac:dyDescent="0.2">
      <c r="G895" s="139"/>
      <c r="U895" s="139"/>
      <c r="AI895" s="139"/>
      <c r="AW895" s="139"/>
      <c r="BK895" s="139"/>
    </row>
    <row r="896" spans="7:63" ht="10.199999999999999" x14ac:dyDescent="0.2">
      <c r="G896" s="139"/>
      <c r="U896" s="139"/>
      <c r="AI896" s="139"/>
      <c r="AW896" s="139"/>
      <c r="BK896" s="139"/>
    </row>
    <row r="897" spans="7:63" ht="10.199999999999999" x14ac:dyDescent="0.2">
      <c r="G897" s="139"/>
      <c r="U897" s="139"/>
      <c r="AI897" s="139"/>
      <c r="AW897" s="139"/>
      <c r="BK897" s="139"/>
    </row>
    <row r="898" spans="7:63" ht="10.199999999999999" x14ac:dyDescent="0.2">
      <c r="G898" s="139"/>
      <c r="U898" s="139"/>
      <c r="AI898" s="139"/>
      <c r="AW898" s="139"/>
      <c r="BK898" s="139"/>
    </row>
    <row r="899" spans="7:63" ht="10.199999999999999" x14ac:dyDescent="0.2">
      <c r="G899" s="139"/>
      <c r="U899" s="139"/>
      <c r="AI899" s="139"/>
      <c r="AW899" s="139"/>
      <c r="BK899" s="139"/>
    </row>
    <row r="900" spans="7:63" ht="10.199999999999999" x14ac:dyDescent="0.2">
      <c r="G900" s="139"/>
      <c r="U900" s="139"/>
      <c r="AI900" s="139"/>
      <c r="AW900" s="139"/>
      <c r="BK900" s="139"/>
    </row>
    <row r="901" spans="7:63" ht="10.199999999999999" x14ac:dyDescent="0.2">
      <c r="G901" s="139"/>
      <c r="U901" s="139"/>
      <c r="AI901" s="139"/>
      <c r="AW901" s="139"/>
      <c r="BK901" s="139"/>
    </row>
    <row r="902" spans="7:63" ht="10.199999999999999" x14ac:dyDescent="0.2">
      <c r="G902" s="139"/>
      <c r="U902" s="139"/>
      <c r="AI902" s="139"/>
      <c r="AW902" s="139"/>
      <c r="BK902" s="139"/>
    </row>
    <row r="903" spans="7:63" ht="10.199999999999999" x14ac:dyDescent="0.2">
      <c r="G903" s="139"/>
      <c r="U903" s="139"/>
      <c r="AI903" s="139"/>
      <c r="AW903" s="139"/>
      <c r="BK903" s="139"/>
    </row>
    <row r="904" spans="7:63" ht="10.199999999999999" x14ac:dyDescent="0.2">
      <c r="G904" s="139"/>
      <c r="U904" s="139"/>
      <c r="AI904" s="139"/>
      <c r="AW904" s="139"/>
      <c r="BK904" s="139"/>
    </row>
    <row r="905" spans="7:63" ht="10.199999999999999" x14ac:dyDescent="0.2">
      <c r="G905" s="139"/>
      <c r="U905" s="139"/>
      <c r="AI905" s="139"/>
      <c r="AW905" s="139"/>
      <c r="BK905" s="139"/>
    </row>
    <row r="906" spans="7:63" ht="10.199999999999999" x14ac:dyDescent="0.2">
      <c r="G906" s="139"/>
      <c r="U906" s="139"/>
      <c r="AI906" s="139"/>
      <c r="AW906" s="139"/>
      <c r="BK906" s="139"/>
    </row>
    <row r="907" spans="7:63" ht="10.199999999999999" x14ac:dyDescent="0.2">
      <c r="G907" s="139"/>
      <c r="U907" s="139"/>
      <c r="AI907" s="139"/>
      <c r="AW907" s="139"/>
      <c r="BK907" s="139"/>
    </row>
    <row r="908" spans="7:63" ht="10.199999999999999" x14ac:dyDescent="0.2">
      <c r="G908" s="139"/>
      <c r="U908" s="139"/>
      <c r="AI908" s="139"/>
      <c r="AW908" s="139"/>
      <c r="BK908" s="139"/>
    </row>
    <row r="909" spans="7:63" ht="10.199999999999999" x14ac:dyDescent="0.2">
      <c r="G909" s="139"/>
      <c r="U909" s="139"/>
      <c r="AI909" s="139"/>
      <c r="AW909" s="139"/>
      <c r="BK909" s="139"/>
    </row>
    <row r="910" spans="7:63" ht="10.199999999999999" x14ac:dyDescent="0.2">
      <c r="G910" s="139"/>
      <c r="U910" s="139"/>
      <c r="AI910" s="139"/>
      <c r="AW910" s="139"/>
      <c r="BK910" s="139"/>
    </row>
    <row r="911" spans="7:63" ht="10.199999999999999" x14ac:dyDescent="0.2">
      <c r="G911" s="139"/>
      <c r="U911" s="139"/>
      <c r="AI911" s="139"/>
      <c r="AW911" s="139"/>
      <c r="BK911" s="139"/>
    </row>
    <row r="912" spans="7:63" ht="10.199999999999999" x14ac:dyDescent="0.2">
      <c r="G912" s="139"/>
      <c r="U912" s="139"/>
      <c r="AI912" s="139"/>
      <c r="AW912" s="139"/>
      <c r="BK912" s="139"/>
    </row>
    <row r="913" spans="7:63" ht="10.199999999999999" x14ac:dyDescent="0.2">
      <c r="G913" s="139"/>
      <c r="U913" s="139"/>
      <c r="AI913" s="139"/>
      <c r="AW913" s="139"/>
      <c r="BK913" s="139"/>
    </row>
    <row r="914" spans="7:63" ht="10.199999999999999" x14ac:dyDescent="0.2">
      <c r="G914" s="139"/>
      <c r="U914" s="139"/>
      <c r="AI914" s="139"/>
      <c r="AW914" s="139"/>
      <c r="BK914" s="139"/>
    </row>
    <row r="915" spans="7:63" ht="10.199999999999999" x14ac:dyDescent="0.2">
      <c r="G915" s="139"/>
      <c r="U915" s="139"/>
      <c r="AI915" s="139"/>
      <c r="AW915" s="139"/>
      <c r="BK915" s="139"/>
    </row>
    <row r="916" spans="7:63" ht="10.199999999999999" x14ac:dyDescent="0.2">
      <c r="G916" s="139"/>
      <c r="U916" s="139"/>
      <c r="AI916" s="139"/>
      <c r="AW916" s="139"/>
      <c r="BK916" s="139"/>
    </row>
    <row r="917" spans="7:63" ht="10.199999999999999" x14ac:dyDescent="0.2">
      <c r="G917" s="139"/>
      <c r="U917" s="139"/>
      <c r="AI917" s="139"/>
      <c r="AW917" s="139"/>
      <c r="BK917" s="139"/>
    </row>
    <row r="918" spans="7:63" ht="10.199999999999999" x14ac:dyDescent="0.2">
      <c r="G918" s="139"/>
      <c r="U918" s="139"/>
      <c r="AI918" s="139"/>
      <c r="AW918" s="139"/>
      <c r="BK918" s="139"/>
    </row>
    <row r="919" spans="7:63" ht="10.199999999999999" x14ac:dyDescent="0.2">
      <c r="G919" s="139"/>
      <c r="U919" s="139"/>
      <c r="AI919" s="139"/>
      <c r="AW919" s="139"/>
      <c r="BK919" s="139"/>
    </row>
    <row r="920" spans="7:63" ht="10.199999999999999" x14ac:dyDescent="0.2">
      <c r="G920" s="139"/>
      <c r="U920" s="139"/>
      <c r="AI920" s="139"/>
      <c r="AW920" s="139"/>
      <c r="BK920" s="139"/>
    </row>
    <row r="921" spans="7:63" ht="10.199999999999999" x14ac:dyDescent="0.2">
      <c r="G921" s="139"/>
      <c r="U921" s="139"/>
      <c r="AI921" s="139"/>
      <c r="AW921" s="139"/>
      <c r="BK921" s="139"/>
    </row>
    <row r="922" spans="7:63" ht="10.199999999999999" x14ac:dyDescent="0.2">
      <c r="G922" s="139"/>
      <c r="U922" s="139"/>
      <c r="AI922" s="139"/>
      <c r="AW922" s="139"/>
      <c r="BK922" s="139"/>
    </row>
    <row r="923" spans="7:63" ht="10.199999999999999" x14ac:dyDescent="0.2">
      <c r="G923" s="139"/>
      <c r="U923" s="139"/>
      <c r="AI923" s="139"/>
      <c r="AW923" s="139"/>
      <c r="BK923" s="139"/>
    </row>
    <row r="924" spans="7:63" ht="10.199999999999999" x14ac:dyDescent="0.2">
      <c r="G924" s="139"/>
      <c r="U924" s="139"/>
      <c r="AI924" s="139"/>
      <c r="AW924" s="139"/>
      <c r="BK924" s="139"/>
    </row>
    <row r="925" spans="7:63" ht="10.199999999999999" x14ac:dyDescent="0.2">
      <c r="G925" s="139"/>
      <c r="U925" s="139"/>
      <c r="AI925" s="139"/>
      <c r="AW925" s="139"/>
      <c r="BK925" s="139"/>
    </row>
    <row r="926" spans="7:63" ht="10.199999999999999" x14ac:dyDescent="0.2">
      <c r="G926" s="139"/>
      <c r="U926" s="139"/>
      <c r="AI926" s="139"/>
      <c r="AW926" s="139"/>
      <c r="BK926" s="139"/>
    </row>
    <row r="927" spans="7:63" ht="10.199999999999999" x14ac:dyDescent="0.2">
      <c r="G927" s="139"/>
      <c r="U927" s="139"/>
      <c r="AI927" s="139"/>
      <c r="AW927" s="139"/>
      <c r="BK927" s="139"/>
    </row>
    <row r="928" spans="7:63" ht="10.199999999999999" x14ac:dyDescent="0.2">
      <c r="G928" s="139"/>
      <c r="U928" s="139"/>
      <c r="AI928" s="139"/>
      <c r="AW928" s="139"/>
      <c r="BK928" s="139"/>
    </row>
    <row r="929" spans="7:63" ht="10.199999999999999" x14ac:dyDescent="0.2">
      <c r="G929" s="139"/>
      <c r="U929" s="139"/>
      <c r="AI929" s="139"/>
      <c r="AW929" s="139"/>
      <c r="BK929" s="139"/>
    </row>
    <row r="930" spans="7:63" ht="10.199999999999999" x14ac:dyDescent="0.2">
      <c r="G930" s="139"/>
      <c r="U930" s="139"/>
      <c r="AI930" s="139"/>
      <c r="AW930" s="139"/>
      <c r="BK930" s="139"/>
    </row>
    <row r="931" spans="7:63" ht="10.199999999999999" x14ac:dyDescent="0.2">
      <c r="G931" s="139"/>
      <c r="U931" s="139"/>
      <c r="AI931" s="139"/>
      <c r="AW931" s="139"/>
      <c r="BK931" s="139"/>
    </row>
    <row r="932" spans="7:63" ht="10.199999999999999" x14ac:dyDescent="0.2">
      <c r="G932" s="139"/>
      <c r="U932" s="139"/>
      <c r="AI932" s="139"/>
      <c r="AW932" s="139"/>
      <c r="BK932" s="139"/>
    </row>
    <row r="933" spans="7:63" ht="10.199999999999999" x14ac:dyDescent="0.2">
      <c r="G933" s="139"/>
      <c r="U933" s="139"/>
      <c r="AI933" s="139"/>
      <c r="AW933" s="139"/>
      <c r="BK933" s="139"/>
    </row>
    <row r="934" spans="7:63" ht="10.199999999999999" x14ac:dyDescent="0.2">
      <c r="G934" s="139"/>
      <c r="U934" s="139"/>
      <c r="AI934" s="139"/>
      <c r="AW934" s="139"/>
      <c r="BK934" s="139"/>
    </row>
    <row r="935" spans="7:63" ht="10.199999999999999" x14ac:dyDescent="0.2">
      <c r="G935" s="139"/>
      <c r="U935" s="139"/>
      <c r="AI935" s="139"/>
      <c r="AW935" s="139"/>
      <c r="BK935" s="139"/>
    </row>
    <row r="936" spans="7:63" ht="10.199999999999999" x14ac:dyDescent="0.2">
      <c r="G936" s="139"/>
      <c r="U936" s="139"/>
      <c r="AI936" s="139"/>
      <c r="AW936" s="139"/>
      <c r="BK936" s="139"/>
    </row>
    <row r="937" spans="7:63" ht="10.199999999999999" x14ac:dyDescent="0.2">
      <c r="G937" s="139"/>
      <c r="U937" s="139"/>
      <c r="AI937" s="139"/>
      <c r="AW937" s="139"/>
      <c r="BK937" s="139"/>
    </row>
    <row r="938" spans="7:63" ht="10.199999999999999" x14ac:dyDescent="0.2">
      <c r="G938" s="139"/>
      <c r="U938" s="139"/>
      <c r="AI938" s="139"/>
      <c r="AW938" s="139"/>
      <c r="BK938" s="139"/>
    </row>
    <row r="939" spans="7:63" ht="10.199999999999999" x14ac:dyDescent="0.2">
      <c r="G939" s="139"/>
      <c r="U939" s="139"/>
      <c r="AI939" s="139"/>
      <c r="AW939" s="139"/>
      <c r="BK939" s="139"/>
    </row>
    <row r="940" spans="7:63" ht="10.199999999999999" x14ac:dyDescent="0.2">
      <c r="G940" s="139"/>
      <c r="U940" s="139"/>
      <c r="AI940" s="139"/>
      <c r="AW940" s="139"/>
      <c r="BK940" s="139"/>
    </row>
    <row r="941" spans="7:63" ht="10.199999999999999" x14ac:dyDescent="0.2">
      <c r="G941" s="139"/>
      <c r="U941" s="139"/>
      <c r="AI941" s="139"/>
      <c r="AW941" s="139"/>
      <c r="BK941" s="139"/>
    </row>
    <row r="942" spans="7:63" ht="10.199999999999999" x14ac:dyDescent="0.2">
      <c r="G942" s="139"/>
      <c r="U942" s="139"/>
      <c r="AI942" s="139"/>
      <c r="AW942" s="139"/>
      <c r="BK942" s="139"/>
    </row>
    <row r="943" spans="7:63" ht="10.199999999999999" x14ac:dyDescent="0.2">
      <c r="G943" s="139"/>
      <c r="U943" s="139"/>
      <c r="AI943" s="139"/>
      <c r="AW943" s="139"/>
      <c r="BK943" s="139"/>
    </row>
    <row r="944" spans="7:63" ht="10.199999999999999" x14ac:dyDescent="0.2">
      <c r="G944" s="139"/>
      <c r="U944" s="139"/>
      <c r="AI944" s="139"/>
      <c r="AW944" s="139"/>
      <c r="BK944" s="139"/>
    </row>
    <row r="945" spans="7:63" ht="10.199999999999999" x14ac:dyDescent="0.2">
      <c r="G945" s="139"/>
      <c r="U945" s="139"/>
      <c r="AI945" s="139"/>
      <c r="AW945" s="139"/>
      <c r="BK945" s="139"/>
    </row>
    <row r="946" spans="7:63" ht="10.199999999999999" x14ac:dyDescent="0.2">
      <c r="G946" s="139"/>
      <c r="U946" s="139"/>
      <c r="AI946" s="139"/>
      <c r="AW946" s="139"/>
      <c r="BK946" s="139"/>
    </row>
    <row r="947" spans="7:63" ht="10.199999999999999" x14ac:dyDescent="0.2">
      <c r="G947" s="139"/>
      <c r="U947" s="139"/>
      <c r="AI947" s="139"/>
      <c r="AW947" s="139"/>
      <c r="BK947" s="139"/>
    </row>
    <row r="948" spans="7:63" ht="10.199999999999999" x14ac:dyDescent="0.2">
      <c r="G948" s="139"/>
      <c r="U948" s="139"/>
      <c r="AI948" s="139"/>
      <c r="AW948" s="139"/>
      <c r="BK948" s="139"/>
    </row>
    <row r="949" spans="7:63" ht="10.199999999999999" x14ac:dyDescent="0.2">
      <c r="G949" s="139"/>
      <c r="U949" s="139"/>
      <c r="AI949" s="139"/>
      <c r="AW949" s="139"/>
      <c r="BK949" s="139"/>
    </row>
    <row r="950" spans="7:63" ht="10.199999999999999" x14ac:dyDescent="0.2">
      <c r="G950" s="139"/>
      <c r="U950" s="139"/>
      <c r="AI950" s="139"/>
      <c r="AW950" s="139"/>
      <c r="BK950" s="139"/>
    </row>
    <row r="951" spans="7:63" ht="10.199999999999999" x14ac:dyDescent="0.2">
      <c r="G951" s="139"/>
      <c r="U951" s="139"/>
      <c r="AI951" s="139"/>
      <c r="AW951" s="139"/>
      <c r="BK951" s="139"/>
    </row>
    <row r="952" spans="7:63" ht="10.199999999999999" x14ac:dyDescent="0.2">
      <c r="G952" s="139"/>
      <c r="U952" s="139"/>
      <c r="AI952" s="139"/>
      <c r="AW952" s="139"/>
      <c r="BK952" s="139"/>
    </row>
    <row r="953" spans="7:63" ht="10.199999999999999" x14ac:dyDescent="0.2">
      <c r="G953" s="139"/>
      <c r="U953" s="139"/>
      <c r="AI953" s="139"/>
      <c r="AW953" s="139"/>
      <c r="BK953" s="139"/>
    </row>
    <row r="954" spans="7:63" ht="10.199999999999999" x14ac:dyDescent="0.2">
      <c r="G954" s="139"/>
      <c r="U954" s="139"/>
      <c r="AI954" s="139"/>
      <c r="AW954" s="139"/>
      <c r="BK954" s="139"/>
    </row>
    <row r="955" spans="7:63" ht="10.199999999999999" x14ac:dyDescent="0.2">
      <c r="G955" s="139"/>
      <c r="U955" s="139"/>
      <c r="AI955" s="139"/>
      <c r="AW955" s="139"/>
      <c r="BK955" s="139"/>
    </row>
    <row r="956" spans="7:63" ht="10.199999999999999" x14ac:dyDescent="0.2">
      <c r="G956" s="139"/>
      <c r="U956" s="139"/>
      <c r="AI956" s="139"/>
      <c r="AW956" s="139"/>
      <c r="BK956" s="139"/>
    </row>
    <row r="957" spans="7:63" ht="10.199999999999999" x14ac:dyDescent="0.2">
      <c r="G957" s="139"/>
      <c r="U957" s="139"/>
      <c r="AI957" s="139"/>
      <c r="AW957" s="139"/>
      <c r="BK957" s="139"/>
    </row>
    <row r="958" spans="7:63" ht="10.199999999999999" x14ac:dyDescent="0.2">
      <c r="G958" s="139"/>
      <c r="U958" s="139"/>
      <c r="AI958" s="139"/>
      <c r="AW958" s="139"/>
      <c r="BK958" s="139"/>
    </row>
    <row r="959" spans="7:63" ht="10.199999999999999" x14ac:dyDescent="0.2">
      <c r="G959" s="139"/>
      <c r="U959" s="139"/>
      <c r="AI959" s="139"/>
      <c r="AW959" s="139"/>
      <c r="BK959" s="139"/>
    </row>
    <row r="960" spans="7:63" ht="10.199999999999999" x14ac:dyDescent="0.2">
      <c r="G960" s="139"/>
      <c r="U960" s="139"/>
      <c r="AI960" s="139"/>
      <c r="AW960" s="139"/>
      <c r="BK960" s="139"/>
    </row>
    <row r="961" spans="7:63" ht="10.199999999999999" x14ac:dyDescent="0.2">
      <c r="G961" s="139"/>
      <c r="U961" s="139"/>
      <c r="AI961" s="139"/>
      <c r="AW961" s="139"/>
      <c r="BK961" s="139"/>
    </row>
    <row r="962" spans="7:63" ht="10.199999999999999" x14ac:dyDescent="0.2">
      <c r="G962" s="139"/>
      <c r="U962" s="139"/>
      <c r="AI962" s="139"/>
      <c r="AW962" s="139"/>
      <c r="BK962" s="139"/>
    </row>
    <row r="963" spans="7:63" ht="10.199999999999999" x14ac:dyDescent="0.2">
      <c r="G963" s="139"/>
      <c r="U963" s="139"/>
      <c r="AI963" s="139"/>
      <c r="AW963" s="139"/>
      <c r="BK963" s="139"/>
    </row>
    <row r="964" spans="7:63" ht="10.199999999999999" x14ac:dyDescent="0.2">
      <c r="G964" s="139"/>
      <c r="U964" s="139"/>
      <c r="AI964" s="139"/>
      <c r="AW964" s="139"/>
      <c r="BK964" s="139"/>
    </row>
    <row r="965" spans="7:63" ht="10.199999999999999" x14ac:dyDescent="0.2">
      <c r="G965" s="139"/>
      <c r="U965" s="139"/>
      <c r="AI965" s="139"/>
      <c r="AW965" s="139"/>
      <c r="BK965" s="139"/>
    </row>
    <row r="966" spans="7:63" ht="10.199999999999999" x14ac:dyDescent="0.2">
      <c r="G966" s="139"/>
      <c r="U966" s="139"/>
      <c r="AI966" s="139"/>
      <c r="AW966" s="139"/>
      <c r="BK966" s="139"/>
    </row>
    <row r="967" spans="7:63" ht="10.199999999999999" x14ac:dyDescent="0.2">
      <c r="G967" s="139"/>
      <c r="U967" s="139"/>
      <c r="AI967" s="139"/>
      <c r="AW967" s="139"/>
      <c r="BK967" s="139"/>
    </row>
    <row r="968" spans="7:63" ht="10.199999999999999" x14ac:dyDescent="0.2">
      <c r="G968" s="139"/>
      <c r="U968" s="139"/>
      <c r="AI968" s="139"/>
      <c r="AW968" s="139"/>
      <c r="BK968" s="139"/>
    </row>
    <row r="969" spans="7:63" ht="10.199999999999999" x14ac:dyDescent="0.2">
      <c r="G969" s="139"/>
      <c r="U969" s="139"/>
      <c r="AI969" s="139"/>
      <c r="AW969" s="139"/>
      <c r="BK969" s="139"/>
    </row>
    <row r="970" spans="7:63" ht="10.199999999999999" x14ac:dyDescent="0.2">
      <c r="G970" s="139"/>
      <c r="U970" s="139"/>
      <c r="AI970" s="139"/>
      <c r="AW970" s="139"/>
      <c r="BK970" s="139"/>
    </row>
    <row r="971" spans="7:63" ht="10.199999999999999" x14ac:dyDescent="0.2">
      <c r="G971" s="139"/>
      <c r="U971" s="139"/>
      <c r="AI971" s="139"/>
      <c r="AW971" s="139"/>
      <c r="BK971" s="139"/>
    </row>
    <row r="972" spans="7:63" ht="10.199999999999999" x14ac:dyDescent="0.2">
      <c r="G972" s="139"/>
      <c r="U972" s="139"/>
      <c r="AI972" s="139"/>
      <c r="AW972" s="139"/>
      <c r="BK972" s="139"/>
    </row>
    <row r="973" spans="7:63" ht="10.199999999999999" x14ac:dyDescent="0.2">
      <c r="G973" s="139"/>
      <c r="U973" s="139"/>
      <c r="AI973" s="139"/>
      <c r="AW973" s="139"/>
      <c r="BK973" s="139"/>
    </row>
    <row r="974" spans="7:63" ht="10.199999999999999" x14ac:dyDescent="0.2">
      <c r="G974" s="139"/>
      <c r="U974" s="139"/>
      <c r="AI974" s="139"/>
      <c r="AW974" s="139"/>
      <c r="BK974" s="139"/>
    </row>
    <row r="975" spans="7:63" ht="10.199999999999999" x14ac:dyDescent="0.2">
      <c r="G975" s="139"/>
      <c r="U975" s="139"/>
      <c r="AI975" s="139"/>
      <c r="AW975" s="139"/>
      <c r="BK975" s="139"/>
    </row>
    <row r="976" spans="7:63" ht="10.199999999999999" x14ac:dyDescent="0.2">
      <c r="G976" s="139"/>
      <c r="U976" s="139"/>
      <c r="AI976" s="139"/>
      <c r="AW976" s="139"/>
      <c r="BK976" s="139"/>
    </row>
    <row r="977" spans="7:63" ht="10.199999999999999" x14ac:dyDescent="0.2">
      <c r="G977" s="139"/>
      <c r="U977" s="139"/>
      <c r="AI977" s="139"/>
      <c r="AW977" s="139"/>
      <c r="BK977" s="139"/>
    </row>
    <row r="978" spans="7:63" ht="10.199999999999999" x14ac:dyDescent="0.2">
      <c r="G978" s="139"/>
      <c r="U978" s="139"/>
      <c r="AI978" s="139"/>
      <c r="AW978" s="139"/>
      <c r="BK978" s="139"/>
    </row>
    <row r="979" spans="7:63" ht="10.199999999999999" x14ac:dyDescent="0.2">
      <c r="G979" s="139"/>
      <c r="U979" s="139"/>
      <c r="AI979" s="139"/>
      <c r="AW979" s="139"/>
      <c r="BK979" s="139"/>
    </row>
    <row r="980" spans="7:63" ht="10.199999999999999" x14ac:dyDescent="0.2">
      <c r="G980" s="139"/>
      <c r="U980" s="139"/>
      <c r="AI980" s="139"/>
      <c r="AW980" s="139"/>
      <c r="BK980" s="139"/>
    </row>
    <row r="981" spans="7:63" ht="10.199999999999999" x14ac:dyDescent="0.2">
      <c r="G981" s="139"/>
      <c r="U981" s="139"/>
      <c r="AI981" s="139"/>
      <c r="AW981" s="139"/>
      <c r="BK981" s="139"/>
    </row>
    <row r="982" spans="7:63" ht="10.199999999999999" x14ac:dyDescent="0.2">
      <c r="G982" s="139"/>
      <c r="U982" s="139"/>
      <c r="AI982" s="139"/>
      <c r="AW982" s="139"/>
      <c r="BK982" s="139"/>
    </row>
    <row r="983" spans="7:63" ht="10.199999999999999" x14ac:dyDescent="0.2">
      <c r="G983" s="139"/>
      <c r="U983" s="139"/>
      <c r="AI983" s="139"/>
      <c r="AW983" s="139"/>
      <c r="BK983" s="139"/>
    </row>
    <row r="984" spans="7:63" ht="10.199999999999999" x14ac:dyDescent="0.2">
      <c r="G984" s="139"/>
      <c r="U984" s="139"/>
      <c r="AI984" s="139"/>
      <c r="AW984" s="139"/>
      <c r="BK984" s="139"/>
    </row>
    <row r="985" spans="7:63" ht="10.199999999999999" x14ac:dyDescent="0.2">
      <c r="G985" s="139"/>
      <c r="U985" s="139"/>
      <c r="AI985" s="139"/>
      <c r="AW985" s="139"/>
      <c r="BK985" s="139"/>
    </row>
    <row r="986" spans="7:63" ht="10.199999999999999" x14ac:dyDescent="0.2">
      <c r="G986" s="139"/>
      <c r="U986" s="139"/>
      <c r="AI986" s="139"/>
      <c r="AW986" s="139"/>
      <c r="BK986" s="139"/>
    </row>
    <row r="987" spans="7:63" ht="10.199999999999999" x14ac:dyDescent="0.2">
      <c r="G987" s="139"/>
      <c r="U987" s="139"/>
      <c r="AI987" s="139"/>
      <c r="AW987" s="139"/>
      <c r="BK987" s="139"/>
    </row>
    <row r="988" spans="7:63" ht="10.199999999999999" x14ac:dyDescent="0.2">
      <c r="G988" s="139"/>
      <c r="U988" s="139"/>
      <c r="AI988" s="139"/>
      <c r="AW988" s="139"/>
      <c r="BK988" s="139"/>
    </row>
    <row r="989" spans="7:63" ht="10.199999999999999" x14ac:dyDescent="0.2">
      <c r="G989" s="139"/>
      <c r="U989" s="139"/>
      <c r="AI989" s="139"/>
      <c r="AW989" s="139"/>
      <c r="BK989" s="139"/>
    </row>
    <row r="990" spans="7:63" ht="10.199999999999999" x14ac:dyDescent="0.2">
      <c r="G990" s="139"/>
      <c r="U990" s="139"/>
      <c r="AI990" s="139"/>
      <c r="AW990" s="139"/>
      <c r="BK990" s="139"/>
    </row>
    <row r="991" spans="7:63" ht="10.199999999999999" x14ac:dyDescent="0.2">
      <c r="G991" s="139"/>
      <c r="U991" s="139"/>
      <c r="AI991" s="139"/>
      <c r="AW991" s="139"/>
      <c r="BK991" s="139"/>
    </row>
    <row r="992" spans="7:63" ht="10.199999999999999" x14ac:dyDescent="0.2">
      <c r="G992" s="139"/>
      <c r="U992" s="139"/>
      <c r="AI992" s="139"/>
      <c r="AW992" s="139"/>
      <c r="BK992" s="139"/>
    </row>
    <row r="993" spans="7:63" ht="10.199999999999999" x14ac:dyDescent="0.2">
      <c r="G993" s="139"/>
      <c r="U993" s="139"/>
      <c r="AI993" s="139"/>
      <c r="AW993" s="139"/>
      <c r="BK993" s="139"/>
    </row>
    <row r="994" spans="7:63" ht="10.199999999999999" x14ac:dyDescent="0.2">
      <c r="G994" s="139"/>
      <c r="U994" s="139"/>
      <c r="AI994" s="139"/>
      <c r="AW994" s="139"/>
      <c r="BK994" s="139"/>
    </row>
    <row r="995" spans="7:63" ht="10.199999999999999" x14ac:dyDescent="0.2">
      <c r="G995" s="139"/>
      <c r="U995" s="139"/>
      <c r="AI995" s="139"/>
      <c r="AW995" s="139"/>
      <c r="BK995" s="139"/>
    </row>
    <row r="996" spans="7:63" ht="10.199999999999999" x14ac:dyDescent="0.2">
      <c r="G996" s="139"/>
      <c r="U996" s="139"/>
      <c r="AI996" s="139"/>
      <c r="AW996" s="139"/>
      <c r="BK996" s="139"/>
    </row>
    <row r="997" spans="7:63" ht="10.199999999999999" x14ac:dyDescent="0.2">
      <c r="G997" s="139"/>
      <c r="U997" s="139"/>
      <c r="AI997" s="139"/>
      <c r="AW997" s="139"/>
      <c r="BK997" s="139"/>
    </row>
    <row r="998" spans="7:63" ht="10.199999999999999" x14ac:dyDescent="0.2">
      <c r="G998" s="139"/>
      <c r="U998" s="139"/>
      <c r="AI998" s="139"/>
      <c r="AW998" s="139"/>
      <c r="BK998" s="139"/>
    </row>
    <row r="999" spans="7:63" ht="10.199999999999999" x14ac:dyDescent="0.2">
      <c r="G999" s="139"/>
      <c r="U999" s="139"/>
      <c r="AI999" s="139"/>
      <c r="AW999" s="139"/>
      <c r="BK999" s="139"/>
    </row>
    <row r="1000" spans="7:63" ht="10.199999999999999" x14ac:dyDescent="0.2">
      <c r="G1000" s="139"/>
      <c r="U1000" s="139"/>
      <c r="AI1000" s="139"/>
      <c r="AW1000" s="139"/>
      <c r="BK1000" s="139"/>
    </row>
    <row r="1001" spans="7:63" ht="10.199999999999999" x14ac:dyDescent="0.2">
      <c r="G1001" s="139"/>
      <c r="U1001" s="139"/>
      <c r="AI1001" s="139"/>
      <c r="AW1001" s="139"/>
      <c r="BK1001" s="139"/>
    </row>
    <row r="1002" spans="7:63" ht="10.199999999999999" x14ac:dyDescent="0.2">
      <c r="G1002" s="139"/>
      <c r="U1002" s="139"/>
      <c r="AI1002" s="139"/>
      <c r="AW1002" s="139"/>
      <c r="BK1002" s="139"/>
    </row>
    <row r="1003" spans="7:63" ht="10.199999999999999" x14ac:dyDescent="0.2">
      <c r="G1003" s="139"/>
      <c r="U1003" s="139"/>
      <c r="AI1003" s="139"/>
      <c r="AW1003" s="139"/>
      <c r="BK1003" s="139"/>
    </row>
    <row r="1004" spans="7:63" ht="10.199999999999999" x14ac:dyDescent="0.2">
      <c r="G1004" s="139"/>
      <c r="U1004" s="139"/>
      <c r="AI1004" s="139"/>
      <c r="AW1004" s="139"/>
      <c r="BK1004" s="139"/>
    </row>
    <row r="1005" spans="7:63" ht="10.199999999999999" x14ac:dyDescent="0.2">
      <c r="G1005" s="139"/>
      <c r="U1005" s="139"/>
      <c r="AI1005" s="139"/>
      <c r="AW1005" s="139"/>
      <c r="BK1005" s="139"/>
    </row>
    <row r="1006" spans="7:63" ht="10.199999999999999" x14ac:dyDescent="0.2">
      <c r="G1006" s="139"/>
      <c r="U1006" s="139"/>
      <c r="AI1006" s="139"/>
      <c r="AW1006" s="139"/>
      <c r="BK1006" s="139"/>
    </row>
    <row r="1007" spans="7:63" ht="10.199999999999999" x14ac:dyDescent="0.2">
      <c r="G1007" s="139"/>
      <c r="U1007" s="139"/>
      <c r="AI1007" s="139"/>
      <c r="AW1007" s="139"/>
      <c r="BK1007" s="139"/>
    </row>
    <row r="1008" spans="7:63" ht="10.199999999999999" x14ac:dyDescent="0.2">
      <c r="G1008" s="139"/>
      <c r="U1008" s="139"/>
      <c r="AI1008" s="139"/>
      <c r="AW1008" s="139"/>
      <c r="BK1008" s="139"/>
    </row>
    <row r="1009" spans="7:63" ht="10.199999999999999" x14ac:dyDescent="0.2">
      <c r="G1009" s="139"/>
      <c r="U1009" s="139"/>
      <c r="AI1009" s="139"/>
      <c r="AW1009" s="139"/>
      <c r="BK1009" s="139"/>
    </row>
    <row r="1010" spans="7:63" ht="10.199999999999999" x14ac:dyDescent="0.2">
      <c r="G1010" s="139"/>
      <c r="U1010" s="139"/>
      <c r="AI1010" s="139"/>
      <c r="AW1010" s="139"/>
      <c r="BK1010" s="139"/>
    </row>
    <row r="1011" spans="7:63" ht="10.199999999999999" x14ac:dyDescent="0.2">
      <c r="G1011" s="139"/>
      <c r="U1011" s="139"/>
      <c r="AI1011" s="139"/>
      <c r="AW1011" s="139"/>
      <c r="BK1011" s="139"/>
    </row>
    <row r="1012" spans="7:63" ht="10.199999999999999" x14ac:dyDescent="0.2">
      <c r="G1012" s="139"/>
      <c r="U1012" s="139"/>
      <c r="AI1012" s="139"/>
      <c r="AW1012" s="139"/>
      <c r="BK1012" s="139"/>
    </row>
    <row r="1013" spans="7:63" ht="10.199999999999999" x14ac:dyDescent="0.2">
      <c r="G1013" s="139"/>
      <c r="U1013" s="139"/>
      <c r="AI1013" s="139"/>
      <c r="AW1013" s="139"/>
      <c r="BK1013" s="139"/>
    </row>
    <row r="1014" spans="7:63" ht="10.199999999999999" x14ac:dyDescent="0.2">
      <c r="G1014" s="139"/>
      <c r="U1014" s="139"/>
      <c r="AI1014" s="139"/>
      <c r="AW1014" s="139"/>
      <c r="BK1014" s="139"/>
    </row>
    <row r="1015" spans="7:63" ht="10.199999999999999" x14ac:dyDescent="0.2">
      <c r="G1015" s="139"/>
      <c r="U1015" s="139"/>
      <c r="AI1015" s="139"/>
      <c r="AW1015" s="139"/>
      <c r="BK1015" s="139"/>
    </row>
    <row r="1016" spans="7:63" ht="10.199999999999999" x14ac:dyDescent="0.2">
      <c r="G1016" s="139"/>
      <c r="U1016" s="139"/>
      <c r="AI1016" s="139"/>
      <c r="AW1016" s="139"/>
      <c r="BK1016" s="139"/>
    </row>
    <row r="1017" spans="7:63" ht="10.199999999999999" x14ac:dyDescent="0.2">
      <c r="G1017" s="139"/>
      <c r="U1017" s="139"/>
      <c r="AI1017" s="139"/>
      <c r="AW1017" s="139"/>
      <c r="BK1017" s="139"/>
    </row>
    <row r="1018" spans="7:63" ht="10.199999999999999" x14ac:dyDescent="0.2">
      <c r="G1018" s="139"/>
      <c r="U1018" s="139"/>
      <c r="AI1018" s="139"/>
      <c r="AW1018" s="139"/>
      <c r="BK1018" s="139"/>
    </row>
    <row r="1019" spans="7:63" ht="10.199999999999999" x14ac:dyDescent="0.2">
      <c r="G1019" s="139"/>
      <c r="U1019" s="139"/>
      <c r="AI1019" s="139"/>
      <c r="AW1019" s="139"/>
      <c r="BK1019" s="139"/>
    </row>
    <row r="1020" spans="7:63" ht="10.199999999999999" x14ac:dyDescent="0.2">
      <c r="G1020" s="139"/>
      <c r="U1020" s="139"/>
      <c r="AI1020" s="139"/>
      <c r="AW1020" s="139"/>
      <c r="BK1020" s="139"/>
    </row>
    <row r="1021" spans="7:63" ht="10.199999999999999" x14ac:dyDescent="0.2">
      <c r="G1021" s="139"/>
      <c r="U1021" s="139"/>
      <c r="AI1021" s="139"/>
      <c r="AW1021" s="139"/>
      <c r="BK1021" s="139"/>
    </row>
    <row r="1022" spans="7:63" ht="10.199999999999999" x14ac:dyDescent="0.2">
      <c r="G1022" s="139"/>
      <c r="U1022" s="139"/>
      <c r="AI1022" s="139"/>
      <c r="AW1022" s="139"/>
      <c r="BK1022" s="139"/>
    </row>
    <row r="1023" spans="7:63" ht="10.199999999999999" x14ac:dyDescent="0.2">
      <c r="G1023" s="139"/>
      <c r="U1023" s="139"/>
      <c r="AI1023" s="139"/>
      <c r="AW1023" s="139"/>
      <c r="BK1023" s="139"/>
    </row>
    <row r="1024" spans="7:63" ht="10.199999999999999" x14ac:dyDescent="0.2">
      <c r="G1024" s="139"/>
      <c r="U1024" s="139"/>
      <c r="AI1024" s="139"/>
      <c r="AW1024" s="139"/>
      <c r="BK1024" s="139"/>
    </row>
    <row r="1025" spans="7:63" ht="10.199999999999999" x14ac:dyDescent="0.2">
      <c r="G1025" s="139"/>
      <c r="U1025" s="139"/>
      <c r="AI1025" s="139"/>
      <c r="AW1025" s="139"/>
      <c r="BK1025" s="139"/>
    </row>
    <row r="1026" spans="7:63" ht="10.199999999999999" x14ac:dyDescent="0.2">
      <c r="G1026" s="139"/>
      <c r="U1026" s="139"/>
      <c r="AI1026" s="139"/>
      <c r="AW1026" s="139"/>
      <c r="BK1026" s="139"/>
    </row>
    <row r="1027" spans="7:63" ht="10.199999999999999" x14ac:dyDescent="0.2">
      <c r="G1027" s="139"/>
      <c r="U1027" s="139"/>
      <c r="AI1027" s="139"/>
      <c r="AW1027" s="139"/>
      <c r="BK1027" s="139"/>
    </row>
    <row r="1028" spans="7:63" ht="10.199999999999999" x14ac:dyDescent="0.2">
      <c r="G1028" s="139"/>
      <c r="U1028" s="139"/>
      <c r="AI1028" s="139"/>
      <c r="AW1028" s="139"/>
      <c r="BK1028" s="139"/>
    </row>
    <row r="1029" spans="7:63" ht="10.199999999999999" x14ac:dyDescent="0.2">
      <c r="G1029" s="139"/>
      <c r="U1029" s="139"/>
      <c r="AI1029" s="139"/>
      <c r="AW1029" s="139"/>
      <c r="BK1029" s="139"/>
    </row>
    <row r="1030" spans="7:63" ht="10.199999999999999" x14ac:dyDescent="0.2">
      <c r="G1030" s="139"/>
      <c r="U1030" s="139"/>
      <c r="AI1030" s="139"/>
      <c r="AW1030" s="139"/>
      <c r="BK1030" s="139"/>
    </row>
    <row r="1031" spans="7:63" ht="10.199999999999999" x14ac:dyDescent="0.2">
      <c r="G1031" s="139"/>
      <c r="U1031" s="139"/>
      <c r="AI1031" s="139"/>
      <c r="AW1031" s="139"/>
      <c r="BK1031" s="139"/>
    </row>
    <row r="1032" spans="7:63" ht="10.199999999999999" x14ac:dyDescent="0.2">
      <c r="G1032" s="139"/>
      <c r="U1032" s="139"/>
      <c r="AI1032" s="139"/>
      <c r="AW1032" s="139"/>
      <c r="BK1032" s="139"/>
    </row>
    <row r="1033" spans="7:63" ht="10.199999999999999" x14ac:dyDescent="0.2">
      <c r="G1033" s="139"/>
      <c r="U1033" s="139"/>
      <c r="AI1033" s="139"/>
      <c r="AW1033" s="139"/>
      <c r="BK1033" s="139"/>
    </row>
    <row r="1034" spans="7:63" ht="10.199999999999999" x14ac:dyDescent="0.2">
      <c r="G1034" s="139"/>
      <c r="U1034" s="139"/>
      <c r="AI1034" s="139"/>
      <c r="AW1034" s="139"/>
      <c r="BK1034" s="139"/>
    </row>
    <row r="1035" spans="7:63" ht="10.199999999999999" x14ac:dyDescent="0.2">
      <c r="G1035" s="139"/>
      <c r="U1035" s="139"/>
      <c r="AI1035" s="139"/>
      <c r="AW1035" s="139"/>
      <c r="BK1035" s="139"/>
    </row>
    <row r="1036" spans="7:63" ht="10.199999999999999" x14ac:dyDescent="0.2">
      <c r="G1036" s="139"/>
      <c r="U1036" s="139"/>
      <c r="AI1036" s="139"/>
      <c r="AW1036" s="139"/>
      <c r="BK1036" s="139"/>
    </row>
    <row r="1037" spans="7:63" ht="10.199999999999999" x14ac:dyDescent="0.2">
      <c r="G1037" s="139"/>
      <c r="U1037" s="139"/>
      <c r="AI1037" s="139"/>
      <c r="AW1037" s="139"/>
      <c r="BK1037" s="139"/>
    </row>
    <row r="1038" spans="7:63" ht="10.199999999999999" x14ac:dyDescent="0.2">
      <c r="G1038" s="139"/>
      <c r="U1038" s="139"/>
      <c r="AI1038" s="139"/>
      <c r="AW1038" s="139"/>
      <c r="BK1038" s="139"/>
    </row>
    <row r="1039" spans="7:63" ht="10.199999999999999" x14ac:dyDescent="0.2">
      <c r="G1039" s="139"/>
      <c r="U1039" s="139"/>
      <c r="AI1039" s="139"/>
      <c r="AW1039" s="139"/>
      <c r="BK1039" s="139"/>
    </row>
    <row r="1040" spans="7:63" ht="10.199999999999999" x14ac:dyDescent="0.2">
      <c r="G1040" s="139"/>
      <c r="U1040" s="139"/>
      <c r="AI1040" s="139"/>
      <c r="AW1040" s="139"/>
      <c r="BK1040" s="139"/>
    </row>
    <row r="1041" spans="7:63" ht="10.199999999999999" x14ac:dyDescent="0.2">
      <c r="G1041" s="139"/>
      <c r="U1041" s="139"/>
      <c r="AI1041" s="139"/>
      <c r="AW1041" s="139"/>
      <c r="BK1041" s="139"/>
    </row>
    <row r="1042" spans="7:63" ht="10.199999999999999" x14ac:dyDescent="0.2">
      <c r="G1042" s="139"/>
      <c r="U1042" s="139"/>
      <c r="AI1042" s="139"/>
      <c r="AW1042" s="139"/>
      <c r="BK1042" s="139"/>
    </row>
    <row r="1043" spans="7:63" ht="10.199999999999999" x14ac:dyDescent="0.2">
      <c r="G1043" s="139"/>
      <c r="U1043" s="139"/>
      <c r="AI1043" s="139"/>
      <c r="AW1043" s="139"/>
      <c r="BK1043" s="139"/>
    </row>
    <row r="1044" spans="7:63" ht="10.199999999999999" x14ac:dyDescent="0.2">
      <c r="G1044" s="139"/>
      <c r="U1044" s="139"/>
      <c r="AI1044" s="139"/>
      <c r="AW1044" s="139"/>
      <c r="BK1044" s="139"/>
    </row>
    <row r="1045" spans="7:63" ht="10.199999999999999" x14ac:dyDescent="0.2">
      <c r="G1045" s="139"/>
      <c r="U1045" s="139"/>
      <c r="AI1045" s="139"/>
      <c r="AW1045" s="139"/>
      <c r="BK1045" s="139"/>
    </row>
    <row r="1046" spans="7:63" ht="10.199999999999999" x14ac:dyDescent="0.2">
      <c r="G1046" s="139"/>
      <c r="U1046" s="139"/>
      <c r="AI1046" s="139"/>
      <c r="AW1046" s="139"/>
      <c r="BK1046" s="139"/>
    </row>
    <row r="1047" spans="7:63" ht="10.199999999999999" x14ac:dyDescent="0.2">
      <c r="G1047" s="139"/>
      <c r="U1047" s="139"/>
      <c r="AI1047" s="139"/>
      <c r="AW1047" s="139"/>
      <c r="BK1047" s="139"/>
    </row>
    <row r="1048" spans="7:63" ht="10.199999999999999" x14ac:dyDescent="0.2">
      <c r="G1048" s="139"/>
      <c r="U1048" s="139"/>
      <c r="AI1048" s="139"/>
      <c r="AW1048" s="139"/>
      <c r="BK1048" s="139"/>
    </row>
    <row r="1049" spans="7:63" ht="10.199999999999999" x14ac:dyDescent="0.2">
      <c r="G1049" s="139"/>
      <c r="U1049" s="139"/>
      <c r="AI1049" s="139"/>
      <c r="AW1049" s="139"/>
      <c r="BK1049" s="139"/>
    </row>
    <row r="1050" spans="7:63" ht="10.199999999999999" x14ac:dyDescent="0.2">
      <c r="G1050" s="139"/>
      <c r="U1050" s="139"/>
      <c r="AI1050" s="139"/>
      <c r="AW1050" s="139"/>
      <c r="BK1050" s="139"/>
    </row>
    <row r="1051" spans="7:63" ht="10.199999999999999" x14ac:dyDescent="0.2">
      <c r="G1051" s="139"/>
      <c r="U1051" s="139"/>
      <c r="AI1051" s="139"/>
      <c r="AW1051" s="139"/>
      <c r="BK1051" s="139"/>
    </row>
    <row r="1052" spans="7:63" ht="10.199999999999999" x14ac:dyDescent="0.2">
      <c r="G1052" s="139"/>
      <c r="U1052" s="139"/>
      <c r="AI1052" s="139"/>
      <c r="AW1052" s="139"/>
      <c r="BK1052" s="139"/>
    </row>
    <row r="1053" spans="7:63" ht="10.199999999999999" x14ac:dyDescent="0.2">
      <c r="G1053" s="139"/>
      <c r="U1053" s="139"/>
      <c r="AI1053" s="139"/>
      <c r="AW1053" s="139"/>
      <c r="BK1053" s="139"/>
    </row>
    <row r="1054" spans="7:63" ht="10.199999999999999" x14ac:dyDescent="0.2">
      <c r="G1054" s="139"/>
      <c r="U1054" s="139"/>
      <c r="AI1054" s="139"/>
      <c r="AW1054" s="139"/>
      <c r="BK1054" s="139"/>
    </row>
    <row r="1055" spans="7:63" ht="10.199999999999999" x14ac:dyDescent="0.2">
      <c r="G1055" s="139"/>
      <c r="U1055" s="139"/>
      <c r="AI1055" s="139"/>
      <c r="AW1055" s="139"/>
      <c r="BK1055" s="139"/>
    </row>
    <row r="1056" spans="7:63" ht="10.199999999999999" x14ac:dyDescent="0.2">
      <c r="G1056" s="139"/>
      <c r="U1056" s="139"/>
      <c r="AI1056" s="139"/>
      <c r="AW1056" s="139"/>
      <c r="BK1056" s="139"/>
    </row>
    <row r="1057" spans="7:63" ht="10.199999999999999" x14ac:dyDescent="0.2">
      <c r="G1057" s="139"/>
      <c r="U1057" s="139"/>
      <c r="AI1057" s="139"/>
      <c r="AW1057" s="139"/>
      <c r="BK1057" s="139"/>
    </row>
    <row r="1058" spans="7:63" ht="10.199999999999999" x14ac:dyDescent="0.2">
      <c r="G1058" s="139"/>
      <c r="U1058" s="139"/>
      <c r="AI1058" s="139"/>
      <c r="AW1058" s="139"/>
      <c r="BK1058" s="139"/>
    </row>
    <row r="1059" spans="7:63" ht="10.199999999999999" x14ac:dyDescent="0.2">
      <c r="G1059" s="139"/>
      <c r="U1059" s="139"/>
      <c r="AI1059" s="139"/>
      <c r="AW1059" s="139"/>
      <c r="BK1059" s="139"/>
    </row>
    <row r="1060" spans="7:63" ht="10.199999999999999" x14ac:dyDescent="0.2">
      <c r="G1060" s="139"/>
      <c r="U1060" s="139"/>
      <c r="AI1060" s="139"/>
      <c r="AW1060" s="139"/>
      <c r="BK1060" s="139"/>
    </row>
    <row r="1061" spans="7:63" ht="10.199999999999999" x14ac:dyDescent="0.2">
      <c r="G1061" s="139"/>
      <c r="U1061" s="139"/>
      <c r="AI1061" s="139"/>
      <c r="AW1061" s="139"/>
      <c r="BK1061" s="139"/>
    </row>
    <row r="1062" spans="7:63" ht="10.199999999999999" x14ac:dyDescent="0.2">
      <c r="G1062" s="139"/>
      <c r="U1062" s="139"/>
      <c r="AI1062" s="139"/>
      <c r="AW1062" s="139"/>
      <c r="BK1062" s="139"/>
    </row>
    <row r="1063" spans="7:63" ht="10.199999999999999" x14ac:dyDescent="0.2">
      <c r="G1063" s="139"/>
      <c r="U1063" s="139"/>
      <c r="AI1063" s="139"/>
      <c r="AW1063" s="139"/>
      <c r="BK1063" s="139"/>
    </row>
    <row r="1064" spans="7:63" ht="10.199999999999999" x14ac:dyDescent="0.2">
      <c r="G1064" s="139"/>
      <c r="U1064" s="139"/>
      <c r="AI1064" s="139"/>
      <c r="AW1064" s="139"/>
      <c r="BK1064" s="139"/>
    </row>
    <row r="1065" spans="7:63" ht="10.199999999999999" x14ac:dyDescent="0.2">
      <c r="G1065" s="139"/>
      <c r="U1065" s="139"/>
      <c r="AI1065" s="139"/>
      <c r="AW1065" s="139"/>
      <c r="BK1065" s="139"/>
    </row>
    <row r="1066" spans="7:63" ht="10.199999999999999" x14ac:dyDescent="0.2">
      <c r="G1066" s="139"/>
      <c r="U1066" s="139"/>
      <c r="AI1066" s="139"/>
      <c r="AW1066" s="139"/>
      <c r="BK1066" s="139"/>
    </row>
    <row r="1067" spans="7:63" ht="10.199999999999999" x14ac:dyDescent="0.2">
      <c r="G1067" s="139"/>
      <c r="U1067" s="139"/>
      <c r="AI1067" s="139"/>
      <c r="AW1067" s="139"/>
      <c r="BK1067" s="139"/>
    </row>
    <row r="1068" spans="7:63" ht="10.199999999999999" x14ac:dyDescent="0.2">
      <c r="G1068" s="139"/>
      <c r="U1068" s="139"/>
      <c r="AI1068" s="139"/>
      <c r="AW1068" s="139"/>
      <c r="BK1068" s="139"/>
    </row>
    <row r="1069" spans="7:63" ht="10.199999999999999" x14ac:dyDescent="0.2">
      <c r="G1069" s="139"/>
      <c r="U1069" s="139"/>
      <c r="AI1069" s="139"/>
      <c r="AW1069" s="139"/>
      <c r="BK1069" s="139"/>
    </row>
    <row r="1070" spans="7:63" ht="10.199999999999999" x14ac:dyDescent="0.2">
      <c r="G1070" s="139"/>
      <c r="U1070" s="139"/>
      <c r="AI1070" s="139"/>
      <c r="AW1070" s="139"/>
      <c r="BK1070" s="139"/>
    </row>
    <row r="1071" spans="7:63" ht="10.199999999999999" x14ac:dyDescent="0.2">
      <c r="G1071" s="139"/>
      <c r="U1071" s="139"/>
      <c r="AI1071" s="139"/>
      <c r="AW1071" s="139"/>
      <c r="BK1071" s="139"/>
    </row>
    <row r="1072" spans="7:63" ht="10.199999999999999" x14ac:dyDescent="0.2">
      <c r="G1072" s="139"/>
      <c r="U1072" s="139"/>
      <c r="AI1072" s="139"/>
      <c r="AW1072" s="139"/>
      <c r="BK1072" s="139"/>
    </row>
    <row r="1073" spans="7:63" ht="10.199999999999999" x14ac:dyDescent="0.2">
      <c r="G1073" s="139"/>
      <c r="U1073" s="139"/>
      <c r="AI1073" s="139"/>
      <c r="AW1073" s="139"/>
      <c r="BK1073" s="139"/>
    </row>
    <row r="1074" spans="7:63" ht="10.199999999999999" x14ac:dyDescent="0.2">
      <c r="G1074" s="139"/>
      <c r="U1074" s="139"/>
      <c r="AI1074" s="139"/>
      <c r="AW1074" s="139"/>
      <c r="BK1074" s="139"/>
    </row>
    <row r="1075" spans="7:63" ht="10.199999999999999" x14ac:dyDescent="0.2">
      <c r="G1075" s="139"/>
      <c r="U1075" s="139"/>
      <c r="AI1075" s="139"/>
      <c r="AW1075" s="139"/>
      <c r="BK1075" s="139"/>
    </row>
    <row r="1076" spans="7:63" ht="10.199999999999999" x14ac:dyDescent="0.2">
      <c r="G1076" s="139"/>
      <c r="U1076" s="139"/>
      <c r="AI1076" s="139"/>
      <c r="AW1076" s="139"/>
      <c r="BK1076" s="139"/>
    </row>
    <row r="1077" spans="7:63" ht="10.199999999999999" x14ac:dyDescent="0.2">
      <c r="G1077" s="139"/>
      <c r="U1077" s="139"/>
      <c r="AI1077" s="139"/>
      <c r="AW1077" s="139"/>
      <c r="BK1077" s="139"/>
    </row>
    <row r="1078" spans="7:63" ht="10.199999999999999" x14ac:dyDescent="0.2">
      <c r="G1078" s="139"/>
      <c r="U1078" s="139"/>
      <c r="AI1078" s="139"/>
      <c r="AW1078" s="139"/>
      <c r="BK1078" s="139"/>
    </row>
    <row r="1079" spans="7:63" ht="10.199999999999999" x14ac:dyDescent="0.2">
      <c r="G1079" s="139"/>
      <c r="U1079" s="139"/>
      <c r="AI1079" s="139"/>
      <c r="AW1079" s="139"/>
      <c r="BK1079" s="139"/>
    </row>
    <row r="1080" spans="7:63" ht="10.199999999999999" x14ac:dyDescent="0.2">
      <c r="G1080" s="139"/>
      <c r="U1080" s="139"/>
      <c r="AI1080" s="139"/>
      <c r="AW1080" s="139"/>
      <c r="BK1080" s="139"/>
    </row>
    <row r="1081" spans="7:63" ht="10.199999999999999" x14ac:dyDescent="0.2">
      <c r="G1081" s="139"/>
      <c r="U1081" s="139"/>
      <c r="AI1081" s="139"/>
      <c r="AW1081" s="139"/>
      <c r="BK1081" s="139"/>
    </row>
    <row r="1082" spans="7:63" ht="10.199999999999999" x14ac:dyDescent="0.2">
      <c r="G1082" s="139"/>
      <c r="U1082" s="139"/>
      <c r="AI1082" s="139"/>
      <c r="AW1082" s="139"/>
      <c r="BK1082" s="139"/>
    </row>
    <row r="1083" spans="7:63" ht="10.199999999999999" x14ac:dyDescent="0.2">
      <c r="G1083" s="139"/>
      <c r="U1083" s="139"/>
      <c r="AI1083" s="139"/>
      <c r="AW1083" s="139"/>
      <c r="BK1083" s="139"/>
    </row>
    <row r="1084" spans="7:63" ht="10.199999999999999" x14ac:dyDescent="0.2">
      <c r="G1084" s="139"/>
      <c r="U1084" s="139"/>
      <c r="AI1084" s="139"/>
      <c r="AW1084" s="139"/>
      <c r="BK1084" s="139"/>
    </row>
    <row r="1085" spans="7:63" ht="10.199999999999999" x14ac:dyDescent="0.2">
      <c r="G1085" s="139"/>
      <c r="U1085" s="139"/>
      <c r="AI1085" s="139"/>
      <c r="AW1085" s="139"/>
      <c r="BK1085" s="139"/>
    </row>
    <row r="1086" spans="7:63" ht="10.199999999999999" x14ac:dyDescent="0.2">
      <c r="G1086" s="139"/>
      <c r="U1086" s="139"/>
      <c r="AI1086" s="139"/>
      <c r="AW1086" s="139"/>
      <c r="BK1086" s="139"/>
    </row>
    <row r="1087" spans="7:63" ht="10.199999999999999" x14ac:dyDescent="0.2">
      <c r="G1087" s="139"/>
      <c r="U1087" s="139"/>
      <c r="AI1087" s="139"/>
      <c r="AW1087" s="139"/>
      <c r="BK1087" s="139"/>
    </row>
    <row r="1088" spans="7:63" ht="10.199999999999999" x14ac:dyDescent="0.2">
      <c r="G1088" s="139"/>
      <c r="U1088" s="139"/>
      <c r="AI1088" s="139"/>
      <c r="AW1088" s="139"/>
      <c r="BK1088" s="139"/>
    </row>
    <row r="1089" spans="7:63" ht="10.199999999999999" x14ac:dyDescent="0.2">
      <c r="G1089" s="139"/>
      <c r="U1089" s="139"/>
      <c r="AI1089" s="139"/>
      <c r="AW1089" s="139"/>
      <c r="BK1089" s="139"/>
    </row>
    <row r="1090" spans="7:63" ht="10.199999999999999" x14ac:dyDescent="0.2">
      <c r="G1090" s="139"/>
      <c r="U1090" s="139"/>
      <c r="AI1090" s="139"/>
      <c r="AW1090" s="139"/>
      <c r="BK1090" s="139"/>
    </row>
    <row r="1091" spans="7:63" ht="10.199999999999999" x14ac:dyDescent="0.2">
      <c r="G1091" s="139"/>
      <c r="U1091" s="139"/>
      <c r="AI1091" s="139"/>
      <c r="AW1091" s="139"/>
      <c r="BK1091" s="139"/>
    </row>
    <row r="1092" spans="7:63" ht="10.199999999999999" x14ac:dyDescent="0.2">
      <c r="G1092" s="139"/>
      <c r="U1092" s="139"/>
      <c r="AI1092" s="139"/>
      <c r="AW1092" s="139"/>
      <c r="BK1092" s="139"/>
    </row>
    <row r="1093" spans="7:63" ht="10.199999999999999" x14ac:dyDescent="0.2">
      <c r="G1093" s="139"/>
      <c r="U1093" s="139"/>
      <c r="AI1093" s="139"/>
      <c r="AW1093" s="139"/>
      <c r="BK1093" s="139"/>
    </row>
    <row r="1094" spans="7:63" ht="10.199999999999999" x14ac:dyDescent="0.2">
      <c r="G1094" s="139"/>
      <c r="U1094" s="139"/>
      <c r="AI1094" s="139"/>
      <c r="AW1094" s="139"/>
      <c r="BK1094" s="139"/>
    </row>
    <row r="1095" spans="7:63" ht="10.199999999999999" x14ac:dyDescent="0.2">
      <c r="G1095" s="139"/>
      <c r="U1095" s="139"/>
      <c r="AI1095" s="139"/>
      <c r="AW1095" s="139"/>
      <c r="BK1095" s="139"/>
    </row>
    <row r="1096" spans="7:63" ht="10.199999999999999" x14ac:dyDescent="0.2">
      <c r="G1096" s="139"/>
      <c r="U1096" s="139"/>
      <c r="AI1096" s="139"/>
      <c r="AW1096" s="139"/>
      <c r="BK1096" s="139"/>
    </row>
    <row r="1097" spans="7:63" ht="10.199999999999999" x14ac:dyDescent="0.2">
      <c r="G1097" s="139"/>
      <c r="U1097" s="139"/>
      <c r="AI1097" s="139"/>
      <c r="AW1097" s="139"/>
      <c r="BK1097" s="139"/>
    </row>
    <row r="1098" spans="7:63" ht="10.199999999999999" x14ac:dyDescent="0.2">
      <c r="G1098" s="139"/>
      <c r="U1098" s="139"/>
      <c r="AI1098" s="139"/>
      <c r="AW1098" s="139"/>
      <c r="BK1098" s="139"/>
    </row>
    <row r="1099" spans="7:63" ht="10.199999999999999" x14ac:dyDescent="0.2">
      <c r="G1099" s="139"/>
      <c r="U1099" s="139"/>
      <c r="AI1099" s="139"/>
      <c r="AW1099" s="139"/>
      <c r="BK1099" s="139"/>
    </row>
    <row r="1100" spans="7:63" ht="10.199999999999999" x14ac:dyDescent="0.2">
      <c r="G1100" s="139"/>
      <c r="U1100" s="139"/>
      <c r="AI1100" s="139"/>
      <c r="AW1100" s="139"/>
      <c r="BK1100" s="139"/>
    </row>
    <row r="1101" spans="7:63" ht="10.199999999999999" x14ac:dyDescent="0.2">
      <c r="G1101" s="139"/>
      <c r="U1101" s="139"/>
      <c r="AI1101" s="139"/>
      <c r="AW1101" s="139"/>
      <c r="BK1101" s="139"/>
    </row>
    <row r="1102" spans="7:63" ht="10.199999999999999" x14ac:dyDescent="0.2">
      <c r="G1102" s="139"/>
      <c r="U1102" s="139"/>
      <c r="AI1102" s="139"/>
      <c r="AW1102" s="139"/>
      <c r="BK1102" s="139"/>
    </row>
    <row r="1103" spans="7:63" ht="10.199999999999999" x14ac:dyDescent="0.2">
      <c r="G1103" s="139"/>
      <c r="U1103" s="139"/>
      <c r="AI1103" s="139"/>
      <c r="AW1103" s="139"/>
      <c r="BK1103" s="139"/>
    </row>
    <row r="1104" spans="7:63" ht="10.199999999999999" x14ac:dyDescent="0.2">
      <c r="G1104" s="139"/>
      <c r="U1104" s="139"/>
      <c r="AI1104" s="139"/>
      <c r="AW1104" s="139"/>
      <c r="BK1104" s="139"/>
    </row>
    <row r="1105" spans="7:63" ht="10.199999999999999" x14ac:dyDescent="0.2">
      <c r="G1105" s="139"/>
      <c r="U1105" s="139"/>
      <c r="AI1105" s="139"/>
      <c r="AW1105" s="139"/>
      <c r="BK1105" s="139"/>
    </row>
    <row r="1106" spans="7:63" ht="10.199999999999999" x14ac:dyDescent="0.2">
      <c r="G1106" s="139"/>
      <c r="U1106" s="139"/>
      <c r="AI1106" s="139"/>
      <c r="AW1106" s="139"/>
      <c r="BK1106" s="139"/>
    </row>
    <row r="1107" spans="7:63" ht="10.199999999999999" x14ac:dyDescent="0.2">
      <c r="G1107" s="139"/>
      <c r="U1107" s="139"/>
      <c r="AI1107" s="139"/>
      <c r="AW1107" s="139"/>
      <c r="BK1107" s="139"/>
    </row>
    <row r="1108" spans="7:63" ht="10.199999999999999" x14ac:dyDescent="0.2">
      <c r="G1108" s="139"/>
      <c r="U1108" s="139"/>
      <c r="AI1108" s="139"/>
      <c r="AW1108" s="139"/>
      <c r="BK1108" s="139"/>
    </row>
    <row r="1109" spans="7:63" ht="10.199999999999999" x14ac:dyDescent="0.2">
      <c r="G1109" s="139"/>
      <c r="U1109" s="139"/>
      <c r="AI1109" s="139"/>
      <c r="AW1109" s="139"/>
      <c r="BK1109" s="139"/>
    </row>
    <row r="1110" spans="7:63" ht="10.199999999999999" x14ac:dyDescent="0.2">
      <c r="G1110" s="139"/>
      <c r="U1110" s="139"/>
      <c r="AI1110" s="139"/>
      <c r="AW1110" s="139"/>
      <c r="BK1110" s="139"/>
    </row>
    <row r="1111" spans="7:63" ht="10.199999999999999" x14ac:dyDescent="0.2">
      <c r="G1111" s="139"/>
      <c r="U1111" s="139"/>
      <c r="AI1111" s="139"/>
      <c r="AW1111" s="139"/>
      <c r="BK1111" s="139"/>
    </row>
    <row r="1112" spans="7:63" ht="10.199999999999999" x14ac:dyDescent="0.2">
      <c r="G1112" s="139"/>
      <c r="U1112" s="139"/>
      <c r="AI1112" s="139"/>
      <c r="AW1112" s="139"/>
      <c r="BK1112" s="139"/>
    </row>
    <row r="1113" spans="7:63" ht="10.199999999999999" x14ac:dyDescent="0.2">
      <c r="G1113" s="139"/>
      <c r="U1113" s="139"/>
      <c r="AI1113" s="139"/>
      <c r="AW1113" s="139"/>
      <c r="BK1113" s="139"/>
    </row>
    <row r="1114" spans="7:63" ht="10.199999999999999" x14ac:dyDescent="0.2">
      <c r="G1114" s="139"/>
      <c r="U1114" s="139"/>
      <c r="AI1114" s="139"/>
      <c r="AW1114" s="139"/>
      <c r="BK1114" s="139"/>
    </row>
    <row r="1115" spans="7:63" ht="10.199999999999999" x14ac:dyDescent="0.2">
      <c r="G1115" s="139"/>
      <c r="U1115" s="139"/>
      <c r="AI1115" s="139"/>
      <c r="AW1115" s="139"/>
      <c r="BK1115" s="139"/>
    </row>
    <row r="1116" spans="7:63" ht="10.199999999999999" x14ac:dyDescent="0.2">
      <c r="G1116" s="139"/>
      <c r="U1116" s="139"/>
      <c r="AI1116" s="139"/>
      <c r="AW1116" s="139"/>
      <c r="BK1116" s="139"/>
    </row>
    <row r="1117" spans="7:63" ht="10.199999999999999" x14ac:dyDescent="0.2">
      <c r="G1117" s="139"/>
      <c r="U1117" s="139"/>
      <c r="AI1117" s="139"/>
      <c r="AW1117" s="139"/>
      <c r="BK1117" s="139"/>
    </row>
    <row r="1118" spans="7:63" ht="10.199999999999999" x14ac:dyDescent="0.2">
      <c r="G1118" s="139"/>
      <c r="U1118" s="139"/>
      <c r="AI1118" s="139"/>
      <c r="AW1118" s="139"/>
      <c r="BK1118" s="139"/>
    </row>
    <row r="1119" spans="7:63" ht="10.199999999999999" x14ac:dyDescent="0.2">
      <c r="G1119" s="139"/>
      <c r="U1119" s="139"/>
      <c r="AI1119" s="139"/>
      <c r="AW1119" s="139"/>
      <c r="BK1119" s="139"/>
    </row>
    <row r="1120" spans="7:63" ht="10.199999999999999" x14ac:dyDescent="0.2">
      <c r="G1120" s="139"/>
      <c r="U1120" s="139"/>
      <c r="AI1120" s="139"/>
      <c r="AW1120" s="139"/>
      <c r="BK1120" s="139"/>
    </row>
    <row r="1121" spans="7:63" ht="10.199999999999999" x14ac:dyDescent="0.2">
      <c r="G1121" s="139"/>
      <c r="U1121" s="139"/>
      <c r="AI1121" s="139"/>
      <c r="AW1121" s="139"/>
      <c r="BK1121" s="139"/>
    </row>
    <row r="1122" spans="7:63" ht="10.199999999999999" x14ac:dyDescent="0.2">
      <c r="G1122" s="139"/>
      <c r="U1122" s="139"/>
      <c r="AI1122" s="139"/>
      <c r="AW1122" s="139"/>
      <c r="BK1122" s="139"/>
    </row>
    <row r="1123" spans="7:63" ht="10.199999999999999" x14ac:dyDescent="0.2">
      <c r="G1123" s="139"/>
      <c r="U1123" s="139"/>
      <c r="AI1123" s="139"/>
      <c r="AW1123" s="139"/>
      <c r="BK1123" s="139"/>
    </row>
    <row r="1124" spans="7:63" ht="10.199999999999999" x14ac:dyDescent="0.2">
      <c r="G1124" s="139"/>
      <c r="U1124" s="139"/>
      <c r="AI1124" s="139"/>
      <c r="AW1124" s="139"/>
      <c r="BK1124" s="139"/>
    </row>
    <row r="1125" spans="7:63" ht="10.199999999999999" x14ac:dyDescent="0.2">
      <c r="G1125" s="139"/>
      <c r="U1125" s="139"/>
      <c r="AI1125" s="139"/>
      <c r="AW1125" s="139"/>
      <c r="BK1125" s="139"/>
    </row>
    <row r="1126" spans="7:63" ht="10.199999999999999" x14ac:dyDescent="0.2">
      <c r="G1126" s="139"/>
      <c r="U1126" s="139"/>
      <c r="AI1126" s="139"/>
      <c r="AW1126" s="139"/>
      <c r="BK1126" s="139"/>
    </row>
    <row r="1127" spans="7:63" ht="10.199999999999999" x14ac:dyDescent="0.2">
      <c r="G1127" s="139"/>
      <c r="U1127" s="139"/>
      <c r="AI1127" s="139"/>
      <c r="AW1127" s="139"/>
      <c r="BK1127" s="139"/>
    </row>
    <row r="1128" spans="7:63" ht="10.199999999999999" x14ac:dyDescent="0.2">
      <c r="G1128" s="139"/>
      <c r="U1128" s="139"/>
      <c r="AI1128" s="139"/>
      <c r="AW1128" s="139"/>
      <c r="BK1128" s="139"/>
    </row>
    <row r="1129" spans="7:63" ht="10.199999999999999" x14ac:dyDescent="0.2">
      <c r="G1129" s="139"/>
      <c r="U1129" s="139"/>
      <c r="AI1129" s="139"/>
      <c r="AW1129" s="139"/>
      <c r="BK1129" s="139"/>
    </row>
    <row r="1130" spans="7:63" ht="10.199999999999999" x14ac:dyDescent="0.2">
      <c r="G1130" s="139"/>
      <c r="U1130" s="139"/>
      <c r="AI1130" s="139"/>
      <c r="AW1130" s="139"/>
      <c r="BK1130" s="139"/>
    </row>
    <row r="1131" spans="7:63" ht="10.199999999999999" x14ac:dyDescent="0.2">
      <c r="G1131" s="139"/>
      <c r="U1131" s="139"/>
      <c r="AI1131" s="139"/>
      <c r="AW1131" s="139"/>
      <c r="BK1131" s="139"/>
    </row>
    <row r="1132" spans="7:63" ht="10.199999999999999" x14ac:dyDescent="0.2">
      <c r="G1132" s="139"/>
      <c r="U1132" s="139"/>
      <c r="AI1132" s="139"/>
      <c r="AW1132" s="139"/>
      <c r="BK1132" s="139"/>
    </row>
    <row r="1133" spans="7:63" ht="10.199999999999999" x14ac:dyDescent="0.2">
      <c r="G1133" s="139"/>
      <c r="U1133" s="139"/>
      <c r="AI1133" s="139"/>
      <c r="AW1133" s="139"/>
      <c r="BK1133" s="139"/>
    </row>
    <row r="1134" spans="7:63" ht="10.199999999999999" x14ac:dyDescent="0.2">
      <c r="G1134" s="139"/>
      <c r="U1134" s="139"/>
      <c r="AI1134" s="139"/>
      <c r="AW1134" s="139"/>
      <c r="BK1134" s="139"/>
    </row>
    <row r="1135" spans="7:63" ht="10.199999999999999" x14ac:dyDescent="0.2">
      <c r="G1135" s="139"/>
      <c r="U1135" s="139"/>
      <c r="AI1135" s="139"/>
      <c r="AW1135" s="139"/>
      <c r="BK1135" s="139"/>
    </row>
    <row r="1136" spans="7:63" ht="10.199999999999999" x14ac:dyDescent="0.2">
      <c r="G1136" s="139"/>
      <c r="U1136" s="139"/>
      <c r="AI1136" s="139"/>
      <c r="AW1136" s="139"/>
      <c r="BK1136" s="139"/>
    </row>
    <row r="1137" spans="7:63" ht="10.199999999999999" x14ac:dyDescent="0.2">
      <c r="G1137" s="139"/>
      <c r="U1137" s="139"/>
      <c r="AI1137" s="139"/>
      <c r="AW1137" s="139"/>
      <c r="BK1137" s="139"/>
    </row>
    <row r="1138" spans="7:63" ht="10.199999999999999" x14ac:dyDescent="0.2">
      <c r="G1138" s="139"/>
      <c r="U1138" s="139"/>
      <c r="AI1138" s="139"/>
      <c r="AW1138" s="139"/>
      <c r="BK1138" s="139"/>
    </row>
    <row r="1139" spans="7:63" ht="10.199999999999999" x14ac:dyDescent="0.2">
      <c r="G1139" s="139"/>
      <c r="U1139" s="139"/>
      <c r="AI1139" s="139"/>
      <c r="AW1139" s="139"/>
      <c r="BK1139" s="139"/>
    </row>
    <row r="1140" spans="7:63" ht="10.199999999999999" x14ac:dyDescent="0.2">
      <c r="G1140" s="139"/>
      <c r="U1140" s="139"/>
      <c r="AI1140" s="139"/>
      <c r="AW1140" s="139"/>
      <c r="BK1140" s="139"/>
    </row>
    <row r="1141" spans="7:63" ht="10.199999999999999" x14ac:dyDescent="0.2">
      <c r="G1141" s="139"/>
      <c r="U1141" s="139"/>
      <c r="AI1141" s="139"/>
      <c r="AW1141" s="139"/>
      <c r="BK1141" s="139"/>
    </row>
    <row r="1142" spans="7:63" ht="10.199999999999999" x14ac:dyDescent="0.2">
      <c r="G1142" s="139"/>
      <c r="U1142" s="139"/>
      <c r="AI1142" s="139"/>
      <c r="AW1142" s="139"/>
      <c r="BK1142" s="139"/>
    </row>
    <row r="1143" spans="7:63" ht="10.199999999999999" x14ac:dyDescent="0.2">
      <c r="G1143" s="139"/>
      <c r="U1143" s="139"/>
      <c r="AI1143" s="139"/>
      <c r="AW1143" s="139"/>
      <c r="BK1143" s="139"/>
    </row>
    <row r="1144" spans="7:63" ht="10.199999999999999" x14ac:dyDescent="0.2">
      <c r="G1144" s="139"/>
      <c r="U1144" s="139"/>
      <c r="AI1144" s="139"/>
      <c r="AW1144" s="139"/>
      <c r="BK1144" s="139"/>
    </row>
    <row r="1145" spans="7:63" ht="10.199999999999999" x14ac:dyDescent="0.2">
      <c r="G1145" s="139"/>
      <c r="U1145" s="139"/>
      <c r="AI1145" s="139"/>
      <c r="AW1145" s="139"/>
      <c r="BK1145" s="139"/>
    </row>
    <row r="1146" spans="7:63" ht="10.199999999999999" x14ac:dyDescent="0.2">
      <c r="G1146" s="139"/>
      <c r="U1146" s="139"/>
      <c r="AI1146" s="139"/>
      <c r="AW1146" s="139"/>
      <c r="BK1146" s="139"/>
    </row>
    <row r="1147" spans="7:63" ht="10.199999999999999" x14ac:dyDescent="0.2">
      <c r="G1147" s="139"/>
      <c r="U1147" s="139"/>
      <c r="AI1147" s="139"/>
      <c r="AW1147" s="139"/>
      <c r="BK1147" s="139"/>
    </row>
    <row r="1148" spans="7:63" ht="10.199999999999999" x14ac:dyDescent="0.2">
      <c r="G1148" s="139"/>
      <c r="U1148" s="139"/>
      <c r="AI1148" s="139"/>
      <c r="AW1148" s="139"/>
      <c r="BK1148" s="139"/>
    </row>
    <row r="1149" spans="7:63" ht="10.199999999999999" x14ac:dyDescent="0.2">
      <c r="G1149" s="139"/>
      <c r="U1149" s="139"/>
      <c r="AI1149" s="139"/>
      <c r="AW1149" s="139"/>
      <c r="BK1149" s="139"/>
    </row>
    <row r="1150" spans="7:63" ht="10.199999999999999" x14ac:dyDescent="0.2">
      <c r="G1150" s="139"/>
      <c r="U1150" s="139"/>
      <c r="AI1150" s="139"/>
      <c r="AW1150" s="139"/>
      <c r="BK1150" s="139"/>
    </row>
    <row r="1151" spans="7:63" ht="10.199999999999999" x14ac:dyDescent="0.2">
      <c r="G1151" s="139"/>
      <c r="U1151" s="139"/>
      <c r="AI1151" s="139"/>
      <c r="AW1151" s="139"/>
      <c r="BK1151" s="139"/>
    </row>
    <row r="1152" spans="7:63" ht="10.199999999999999" x14ac:dyDescent="0.2">
      <c r="G1152" s="139"/>
      <c r="U1152" s="139"/>
      <c r="AI1152" s="139"/>
      <c r="AW1152" s="139"/>
      <c r="BK1152" s="139"/>
    </row>
    <row r="1153" spans="7:63" ht="10.199999999999999" x14ac:dyDescent="0.2">
      <c r="G1153" s="139"/>
      <c r="U1153" s="139"/>
      <c r="AI1153" s="139"/>
      <c r="AW1153" s="139"/>
      <c r="BK1153" s="139"/>
    </row>
    <row r="1154" spans="7:63" ht="10.199999999999999" x14ac:dyDescent="0.2">
      <c r="G1154" s="139"/>
      <c r="U1154" s="139"/>
      <c r="AI1154" s="139"/>
      <c r="AW1154" s="139"/>
      <c r="BK1154" s="139"/>
    </row>
    <row r="1155" spans="7:63" ht="10.199999999999999" x14ac:dyDescent="0.2">
      <c r="G1155" s="139"/>
      <c r="U1155" s="139"/>
      <c r="AI1155" s="139"/>
      <c r="AW1155" s="139"/>
      <c r="BK1155" s="139"/>
    </row>
    <row r="1156" spans="7:63" ht="10.199999999999999" x14ac:dyDescent="0.2">
      <c r="G1156" s="139"/>
      <c r="U1156" s="139"/>
      <c r="AI1156" s="139"/>
      <c r="AW1156" s="139"/>
      <c r="BK1156" s="139"/>
    </row>
    <row r="1157" spans="7:63" ht="10.199999999999999" x14ac:dyDescent="0.2">
      <c r="G1157" s="139"/>
      <c r="U1157" s="139"/>
      <c r="AI1157" s="139"/>
      <c r="AW1157" s="139"/>
      <c r="BK1157" s="139"/>
    </row>
    <row r="1158" spans="7:63" ht="10.199999999999999" x14ac:dyDescent="0.2">
      <c r="G1158" s="139"/>
      <c r="U1158" s="139"/>
      <c r="AI1158" s="139"/>
      <c r="AW1158" s="139"/>
      <c r="BK1158" s="139"/>
    </row>
    <row r="1159" spans="7:63" ht="10.199999999999999" x14ac:dyDescent="0.2">
      <c r="G1159" s="139"/>
      <c r="U1159" s="139"/>
      <c r="AI1159" s="139"/>
      <c r="AW1159" s="139"/>
      <c r="BK1159" s="139"/>
    </row>
    <row r="1160" spans="7:63" ht="10.199999999999999" x14ac:dyDescent="0.2">
      <c r="G1160" s="139"/>
      <c r="U1160" s="139"/>
      <c r="AI1160" s="139"/>
      <c r="AW1160" s="139"/>
      <c r="BK1160" s="139"/>
    </row>
    <row r="1161" spans="7:63" ht="10.199999999999999" x14ac:dyDescent="0.2">
      <c r="G1161" s="139"/>
      <c r="U1161" s="139"/>
      <c r="AI1161" s="139"/>
      <c r="AW1161" s="139"/>
      <c r="BK1161" s="139"/>
    </row>
    <row r="1162" spans="7:63" ht="10.199999999999999" x14ac:dyDescent="0.2">
      <c r="G1162" s="139"/>
      <c r="U1162" s="139"/>
      <c r="AI1162" s="139"/>
      <c r="AW1162" s="139"/>
      <c r="BK1162" s="139"/>
    </row>
    <row r="1163" spans="7:63" ht="10.199999999999999" x14ac:dyDescent="0.2">
      <c r="G1163" s="139"/>
      <c r="U1163" s="139"/>
      <c r="AI1163" s="139"/>
      <c r="AW1163" s="139"/>
      <c r="BK1163" s="139"/>
    </row>
    <row r="1164" spans="7:63" ht="10.199999999999999" x14ac:dyDescent="0.2">
      <c r="G1164" s="139"/>
      <c r="U1164" s="139"/>
      <c r="AI1164" s="139"/>
      <c r="AW1164" s="139"/>
      <c r="BK1164" s="139"/>
    </row>
    <row r="1165" spans="7:63" ht="10.199999999999999" x14ac:dyDescent="0.2">
      <c r="G1165" s="139"/>
      <c r="U1165" s="139"/>
      <c r="AI1165" s="139"/>
      <c r="AW1165" s="139"/>
      <c r="BK1165" s="139"/>
    </row>
    <row r="1166" spans="7:63" ht="10.199999999999999" x14ac:dyDescent="0.2">
      <c r="G1166" s="139"/>
      <c r="U1166" s="139"/>
      <c r="AI1166" s="139"/>
      <c r="AW1166" s="139"/>
      <c r="BK1166" s="139"/>
    </row>
    <row r="1167" spans="7:63" ht="10.199999999999999" x14ac:dyDescent="0.2">
      <c r="G1167" s="139"/>
      <c r="U1167" s="139"/>
      <c r="AI1167" s="139"/>
      <c r="AW1167" s="139"/>
      <c r="BK1167" s="139"/>
    </row>
    <row r="1168" spans="7:63" ht="10.199999999999999" x14ac:dyDescent="0.2">
      <c r="G1168" s="139"/>
      <c r="U1168" s="139"/>
      <c r="AI1168" s="139"/>
      <c r="AW1168" s="139"/>
      <c r="BK1168" s="139"/>
    </row>
    <row r="1169" spans="7:63" ht="10.199999999999999" x14ac:dyDescent="0.2">
      <c r="G1169" s="139"/>
      <c r="U1169" s="139"/>
      <c r="AI1169" s="139"/>
      <c r="AW1169" s="139"/>
      <c r="BK1169" s="139"/>
    </row>
    <row r="1170" spans="7:63" ht="10.199999999999999" x14ac:dyDescent="0.2">
      <c r="G1170" s="139"/>
      <c r="U1170" s="139"/>
      <c r="AI1170" s="139"/>
      <c r="AW1170" s="139"/>
      <c r="BK1170" s="139"/>
    </row>
    <row r="1171" spans="7:63" ht="10.199999999999999" x14ac:dyDescent="0.2">
      <c r="G1171" s="139"/>
      <c r="U1171" s="139"/>
      <c r="AI1171" s="139"/>
      <c r="AW1171" s="139"/>
      <c r="BK1171" s="139"/>
    </row>
    <row r="1172" spans="7:63" ht="10.199999999999999" x14ac:dyDescent="0.2">
      <c r="G1172" s="139"/>
      <c r="U1172" s="139"/>
      <c r="AI1172" s="139"/>
      <c r="AW1172" s="139"/>
      <c r="BK1172" s="139"/>
    </row>
    <row r="1173" spans="7:63" ht="10.199999999999999" x14ac:dyDescent="0.2">
      <c r="G1173" s="139"/>
      <c r="U1173" s="139"/>
      <c r="AI1173" s="139"/>
      <c r="AW1173" s="139"/>
      <c r="BK1173" s="139"/>
    </row>
    <row r="1174" spans="7:63" ht="10.199999999999999" x14ac:dyDescent="0.2">
      <c r="G1174" s="139"/>
      <c r="U1174" s="139"/>
      <c r="AI1174" s="139"/>
      <c r="AW1174" s="139"/>
      <c r="BK1174" s="139"/>
    </row>
    <row r="1175" spans="7:63" ht="10.199999999999999" x14ac:dyDescent="0.2">
      <c r="G1175" s="139"/>
      <c r="U1175" s="139"/>
      <c r="AI1175" s="139"/>
      <c r="AW1175" s="139"/>
      <c r="BK1175" s="139"/>
    </row>
    <row r="1176" spans="7:63" ht="10.199999999999999" x14ac:dyDescent="0.2">
      <c r="G1176" s="139"/>
      <c r="U1176" s="139"/>
      <c r="AI1176" s="139"/>
      <c r="AW1176" s="139"/>
      <c r="BK1176" s="139"/>
    </row>
    <row r="1177" spans="7:63" ht="10.199999999999999" x14ac:dyDescent="0.2">
      <c r="G1177" s="139"/>
      <c r="U1177" s="139"/>
      <c r="AI1177" s="139"/>
      <c r="AW1177" s="139"/>
      <c r="BK1177" s="139"/>
    </row>
    <row r="1178" spans="7:63" ht="10.199999999999999" x14ac:dyDescent="0.2">
      <c r="G1178" s="139"/>
      <c r="U1178" s="139"/>
      <c r="AI1178" s="139"/>
      <c r="AW1178" s="139"/>
      <c r="BK1178" s="139"/>
    </row>
    <row r="1179" spans="7:63" ht="10.199999999999999" x14ac:dyDescent="0.2">
      <c r="G1179" s="139"/>
      <c r="U1179" s="139"/>
      <c r="AI1179" s="139"/>
      <c r="AW1179" s="139"/>
      <c r="BK1179" s="139"/>
    </row>
    <row r="1180" spans="7:63" ht="10.199999999999999" x14ac:dyDescent="0.2">
      <c r="G1180" s="139"/>
      <c r="U1180" s="139"/>
      <c r="AI1180" s="139"/>
      <c r="AW1180" s="139"/>
      <c r="BK1180" s="139"/>
    </row>
    <row r="1181" spans="7:63" ht="10.199999999999999" x14ac:dyDescent="0.2">
      <c r="G1181" s="139"/>
      <c r="U1181" s="139"/>
      <c r="AI1181" s="139"/>
      <c r="AW1181" s="139"/>
      <c r="BK1181" s="139"/>
    </row>
    <row r="1182" spans="7:63" ht="10.199999999999999" x14ac:dyDescent="0.2">
      <c r="G1182" s="139"/>
      <c r="U1182" s="139"/>
      <c r="AI1182" s="139"/>
      <c r="AW1182" s="139"/>
      <c r="BK1182" s="139"/>
    </row>
    <row r="1183" spans="7:63" ht="10.199999999999999" x14ac:dyDescent="0.2">
      <c r="G1183" s="139"/>
      <c r="U1183" s="139"/>
      <c r="AI1183" s="139"/>
      <c r="AW1183" s="139"/>
      <c r="BK1183" s="139"/>
    </row>
    <row r="1184" spans="7:63" ht="10.199999999999999" x14ac:dyDescent="0.2">
      <c r="G1184" s="139"/>
      <c r="U1184" s="139"/>
      <c r="AI1184" s="139"/>
      <c r="AW1184" s="139"/>
      <c r="BK1184" s="139"/>
    </row>
    <row r="1185" spans="7:63" ht="10.199999999999999" x14ac:dyDescent="0.2">
      <c r="G1185" s="139"/>
      <c r="U1185" s="139"/>
      <c r="AI1185" s="139"/>
      <c r="AW1185" s="139"/>
      <c r="BK1185" s="139"/>
    </row>
    <row r="1186" spans="7:63" ht="10.199999999999999" x14ac:dyDescent="0.2">
      <c r="G1186" s="139"/>
      <c r="U1186" s="139"/>
      <c r="AI1186" s="139"/>
      <c r="AW1186" s="139"/>
      <c r="BK1186" s="139"/>
    </row>
    <row r="1187" spans="7:63" ht="10.199999999999999" x14ac:dyDescent="0.2">
      <c r="G1187" s="139"/>
      <c r="U1187" s="139"/>
      <c r="AI1187" s="139"/>
      <c r="AW1187" s="139"/>
      <c r="BK1187" s="139"/>
    </row>
    <row r="1188" spans="7:63" ht="10.199999999999999" x14ac:dyDescent="0.2">
      <c r="G1188" s="139"/>
      <c r="U1188" s="139"/>
      <c r="AI1188" s="139"/>
      <c r="AW1188" s="139"/>
      <c r="BK1188" s="139"/>
    </row>
    <row r="1189" spans="7:63" ht="10.199999999999999" x14ac:dyDescent="0.2">
      <c r="G1189" s="139"/>
      <c r="U1189" s="139"/>
      <c r="AI1189" s="139"/>
      <c r="AW1189" s="139"/>
      <c r="BK1189" s="139"/>
    </row>
    <row r="1190" spans="7:63" ht="10.199999999999999" x14ac:dyDescent="0.2">
      <c r="G1190" s="139"/>
      <c r="U1190" s="139"/>
      <c r="AI1190" s="139"/>
      <c r="AW1190" s="139"/>
      <c r="BK1190" s="139"/>
    </row>
    <row r="1191" spans="7:63" ht="10.199999999999999" x14ac:dyDescent="0.2">
      <c r="G1191" s="139"/>
      <c r="U1191" s="139"/>
      <c r="AI1191" s="139"/>
      <c r="AW1191" s="139"/>
      <c r="BK1191" s="139"/>
    </row>
    <row r="1192" spans="7:63" ht="10.199999999999999" x14ac:dyDescent="0.2">
      <c r="G1192" s="139"/>
      <c r="U1192" s="139"/>
      <c r="AI1192" s="139"/>
      <c r="AW1192" s="139"/>
      <c r="BK1192" s="139"/>
    </row>
    <row r="1193" spans="7:63" ht="10.199999999999999" x14ac:dyDescent="0.2">
      <c r="G1193" s="139"/>
      <c r="U1193" s="139"/>
      <c r="AI1193" s="139"/>
      <c r="AW1193" s="139"/>
      <c r="BK1193" s="139"/>
    </row>
    <row r="1194" spans="7:63" ht="10.199999999999999" x14ac:dyDescent="0.2">
      <c r="G1194" s="139"/>
      <c r="U1194" s="139"/>
      <c r="AI1194" s="139"/>
      <c r="AW1194" s="139"/>
      <c r="BK1194" s="139"/>
    </row>
    <row r="1195" spans="7:63" ht="10.199999999999999" x14ac:dyDescent="0.2">
      <c r="G1195" s="139"/>
      <c r="U1195" s="139"/>
      <c r="AI1195" s="139"/>
      <c r="AW1195" s="139"/>
      <c r="BK1195" s="139"/>
    </row>
    <row r="1196" spans="7:63" ht="10.199999999999999" x14ac:dyDescent="0.2">
      <c r="G1196" s="139"/>
      <c r="U1196" s="139"/>
      <c r="AI1196" s="139"/>
      <c r="AW1196" s="139"/>
      <c r="BK1196" s="139"/>
    </row>
    <row r="1197" spans="7:63" ht="10.199999999999999" x14ac:dyDescent="0.2">
      <c r="G1197" s="139"/>
      <c r="U1197" s="139"/>
      <c r="AI1197" s="139"/>
      <c r="AW1197" s="139"/>
      <c r="BK1197" s="139"/>
    </row>
    <row r="1198" spans="7:63" ht="10.199999999999999" x14ac:dyDescent="0.2">
      <c r="G1198" s="139"/>
      <c r="U1198" s="139"/>
      <c r="AI1198" s="139"/>
      <c r="AW1198" s="139"/>
      <c r="BK1198" s="139"/>
    </row>
    <row r="1199" spans="7:63" ht="10.199999999999999" x14ac:dyDescent="0.2">
      <c r="G1199" s="139"/>
      <c r="U1199" s="139"/>
      <c r="AI1199" s="139"/>
      <c r="AW1199" s="139"/>
      <c r="BK1199" s="139"/>
    </row>
    <row r="1200" spans="7:63" ht="10.199999999999999" x14ac:dyDescent="0.2">
      <c r="G1200" s="139"/>
      <c r="U1200" s="139"/>
      <c r="AI1200" s="139"/>
      <c r="AW1200" s="139"/>
      <c r="BK1200" s="139"/>
    </row>
    <row r="1201" spans="7:63" ht="10.199999999999999" x14ac:dyDescent="0.2">
      <c r="G1201" s="139"/>
      <c r="U1201" s="139"/>
      <c r="AI1201" s="139"/>
      <c r="AW1201" s="139"/>
      <c r="BK1201" s="139"/>
    </row>
    <row r="1202" spans="7:63" ht="10.199999999999999" x14ac:dyDescent="0.2">
      <c r="G1202" s="139"/>
      <c r="U1202" s="139"/>
      <c r="AI1202" s="139"/>
      <c r="AW1202" s="139"/>
      <c r="BK1202" s="139"/>
    </row>
    <row r="1203" spans="7:63" ht="10.199999999999999" x14ac:dyDescent="0.2">
      <c r="G1203" s="139"/>
      <c r="U1203" s="139"/>
      <c r="AI1203" s="139"/>
      <c r="AW1203" s="139"/>
      <c r="BK1203" s="139"/>
    </row>
    <row r="1204" spans="7:63" ht="10.199999999999999" x14ac:dyDescent="0.2">
      <c r="G1204" s="139"/>
      <c r="U1204" s="139"/>
      <c r="AI1204" s="139"/>
      <c r="AW1204" s="139"/>
      <c r="BK1204" s="139"/>
    </row>
    <row r="1205" spans="7:63" ht="10.199999999999999" x14ac:dyDescent="0.2">
      <c r="G1205" s="139"/>
      <c r="U1205" s="139"/>
      <c r="AI1205" s="139"/>
      <c r="AW1205" s="139"/>
      <c r="BK1205" s="139"/>
    </row>
    <row r="1206" spans="7:63" ht="10.199999999999999" x14ac:dyDescent="0.2">
      <c r="G1206" s="139"/>
      <c r="U1206" s="139"/>
      <c r="AI1206" s="139"/>
      <c r="AW1206" s="139"/>
      <c r="BK1206" s="139"/>
    </row>
    <row r="1207" spans="7:63" ht="10.199999999999999" x14ac:dyDescent="0.2">
      <c r="G1207" s="139"/>
      <c r="U1207" s="139"/>
      <c r="AI1207" s="139"/>
      <c r="AW1207" s="139"/>
      <c r="BK1207" s="139"/>
    </row>
    <row r="1208" spans="7:63" ht="10.199999999999999" x14ac:dyDescent="0.2">
      <c r="G1208" s="139"/>
      <c r="U1208" s="139"/>
      <c r="AI1208" s="139"/>
      <c r="AW1208" s="139"/>
      <c r="BK1208" s="139"/>
    </row>
    <row r="1209" spans="7:63" ht="10.199999999999999" x14ac:dyDescent="0.2">
      <c r="G1209" s="139"/>
      <c r="U1209" s="139"/>
      <c r="AI1209" s="139"/>
      <c r="AW1209" s="139"/>
      <c r="BK1209" s="139"/>
    </row>
    <row r="1210" spans="7:63" ht="10.199999999999999" x14ac:dyDescent="0.2">
      <c r="G1210" s="139"/>
      <c r="U1210" s="139"/>
      <c r="AI1210" s="139"/>
      <c r="AW1210" s="139"/>
      <c r="BK1210" s="139"/>
    </row>
    <row r="1211" spans="7:63" ht="10.199999999999999" x14ac:dyDescent="0.2">
      <c r="G1211" s="139"/>
      <c r="U1211" s="139"/>
      <c r="AI1211" s="139"/>
      <c r="AW1211" s="139"/>
      <c r="BK1211" s="139"/>
    </row>
    <row r="1212" spans="7:63" ht="10.199999999999999" x14ac:dyDescent="0.2">
      <c r="G1212" s="139"/>
      <c r="U1212" s="139"/>
      <c r="AI1212" s="139"/>
      <c r="AW1212" s="139"/>
      <c r="BK1212" s="139"/>
    </row>
    <row r="1213" spans="7:63" ht="10.199999999999999" x14ac:dyDescent="0.2">
      <c r="G1213" s="139"/>
      <c r="U1213" s="139"/>
      <c r="AI1213" s="139"/>
      <c r="AW1213" s="139"/>
      <c r="BK1213" s="139"/>
    </row>
    <row r="1214" spans="7:63" ht="10.199999999999999" x14ac:dyDescent="0.2">
      <c r="G1214" s="139"/>
      <c r="U1214" s="139"/>
      <c r="AI1214" s="139"/>
      <c r="AW1214" s="139"/>
      <c r="BK1214" s="139"/>
    </row>
    <row r="1215" spans="7:63" ht="10.199999999999999" x14ac:dyDescent="0.2">
      <c r="G1215" s="139"/>
      <c r="U1215" s="139"/>
      <c r="AI1215" s="139"/>
      <c r="AW1215" s="139"/>
      <c r="BK1215" s="139"/>
    </row>
    <row r="1216" spans="7:63" ht="10.199999999999999" x14ac:dyDescent="0.2">
      <c r="G1216" s="139"/>
      <c r="U1216" s="139"/>
      <c r="AI1216" s="139"/>
      <c r="AW1216" s="139"/>
      <c r="BK1216" s="139"/>
    </row>
    <row r="1217" spans="7:63" ht="10.199999999999999" x14ac:dyDescent="0.2">
      <c r="G1217" s="139"/>
      <c r="U1217" s="139"/>
      <c r="AI1217" s="139"/>
      <c r="AW1217" s="139"/>
      <c r="BK1217" s="139"/>
    </row>
    <row r="1218" spans="7:63" ht="10.199999999999999" x14ac:dyDescent="0.2">
      <c r="G1218" s="139"/>
      <c r="U1218" s="139"/>
      <c r="AI1218" s="139"/>
      <c r="AW1218" s="139"/>
      <c r="BK1218" s="139"/>
    </row>
    <row r="1219" spans="7:63" ht="10.199999999999999" x14ac:dyDescent="0.2">
      <c r="G1219" s="139"/>
      <c r="U1219" s="139"/>
      <c r="AI1219" s="139"/>
      <c r="AW1219" s="139"/>
      <c r="BK1219" s="139"/>
    </row>
    <row r="1220" spans="7:63" ht="10.199999999999999" x14ac:dyDescent="0.2">
      <c r="G1220" s="139"/>
      <c r="U1220" s="139"/>
      <c r="AI1220" s="139"/>
      <c r="AW1220" s="139"/>
      <c r="BK1220" s="139"/>
    </row>
    <row r="1221" spans="7:63" ht="10.199999999999999" x14ac:dyDescent="0.2">
      <c r="G1221" s="139"/>
      <c r="U1221" s="139"/>
      <c r="AI1221" s="139"/>
      <c r="AW1221" s="139"/>
      <c r="BK1221" s="139"/>
    </row>
    <row r="1222" spans="7:63" ht="10.199999999999999" x14ac:dyDescent="0.2">
      <c r="G1222" s="139"/>
      <c r="U1222" s="139"/>
      <c r="AI1222" s="139"/>
      <c r="AW1222" s="139"/>
      <c r="BK1222" s="139"/>
    </row>
    <row r="1223" spans="7:63" ht="10.199999999999999" x14ac:dyDescent="0.2">
      <c r="G1223" s="139"/>
      <c r="U1223" s="139"/>
      <c r="AI1223" s="139"/>
      <c r="AW1223" s="139"/>
      <c r="BK1223" s="139"/>
    </row>
    <row r="1224" spans="7:63" ht="10.199999999999999" x14ac:dyDescent="0.2">
      <c r="G1224" s="139"/>
      <c r="U1224" s="139"/>
      <c r="AI1224" s="139"/>
      <c r="AW1224" s="139"/>
      <c r="BK1224" s="139"/>
    </row>
    <row r="1225" spans="7:63" ht="10.199999999999999" x14ac:dyDescent="0.2">
      <c r="G1225" s="139"/>
      <c r="U1225" s="139"/>
      <c r="AI1225" s="139"/>
      <c r="AW1225" s="139"/>
      <c r="BK1225" s="139"/>
    </row>
    <row r="1226" spans="7:63" ht="10.199999999999999" x14ac:dyDescent="0.2">
      <c r="G1226" s="139"/>
      <c r="U1226" s="139"/>
      <c r="AI1226" s="139"/>
      <c r="AW1226" s="139"/>
      <c r="BK1226" s="139"/>
    </row>
    <row r="1227" spans="7:63" ht="10.199999999999999" x14ac:dyDescent="0.2">
      <c r="G1227" s="139"/>
      <c r="U1227" s="139"/>
      <c r="AI1227" s="139"/>
      <c r="AW1227" s="139"/>
      <c r="BK1227" s="139"/>
    </row>
    <row r="1228" spans="7:63" ht="10.199999999999999" x14ac:dyDescent="0.2">
      <c r="G1228" s="139"/>
      <c r="U1228" s="139"/>
      <c r="AI1228" s="139"/>
      <c r="AW1228" s="139"/>
      <c r="BK1228" s="139"/>
    </row>
    <row r="1229" spans="7:63" ht="10.199999999999999" x14ac:dyDescent="0.2">
      <c r="G1229" s="139"/>
      <c r="U1229" s="139"/>
      <c r="AI1229" s="139"/>
      <c r="AW1229" s="139"/>
      <c r="BK1229" s="139"/>
    </row>
    <row r="1230" spans="7:63" ht="10.199999999999999" x14ac:dyDescent="0.2">
      <c r="G1230" s="139"/>
      <c r="U1230" s="139"/>
      <c r="AI1230" s="139"/>
      <c r="AW1230" s="139"/>
      <c r="BK1230" s="139"/>
    </row>
    <row r="1231" spans="7:63" ht="10.199999999999999" x14ac:dyDescent="0.2">
      <c r="G1231" s="139"/>
      <c r="U1231" s="139"/>
      <c r="AI1231" s="139"/>
      <c r="AW1231" s="139"/>
      <c r="BK1231" s="139"/>
    </row>
    <row r="1232" spans="7:63" ht="10.199999999999999" x14ac:dyDescent="0.2">
      <c r="G1232" s="139"/>
      <c r="U1232" s="139"/>
      <c r="AI1232" s="139"/>
      <c r="AW1232" s="139"/>
      <c r="BK1232" s="139"/>
    </row>
    <row r="1233" spans="7:63" ht="10.199999999999999" x14ac:dyDescent="0.2">
      <c r="G1233" s="139"/>
      <c r="U1233" s="139"/>
      <c r="AI1233" s="139"/>
      <c r="AW1233" s="139"/>
      <c r="BK1233" s="139"/>
    </row>
    <row r="1234" spans="7:63" ht="10.199999999999999" x14ac:dyDescent="0.2">
      <c r="G1234" s="139"/>
      <c r="U1234" s="139"/>
      <c r="AI1234" s="139"/>
      <c r="AW1234" s="139"/>
      <c r="BK1234" s="139"/>
    </row>
    <row r="1235" spans="7:63" ht="10.199999999999999" x14ac:dyDescent="0.2">
      <c r="G1235" s="139"/>
      <c r="U1235" s="139"/>
      <c r="AI1235" s="139"/>
      <c r="AW1235" s="139"/>
      <c r="BK1235" s="139"/>
    </row>
    <row r="1236" spans="7:63" ht="10.199999999999999" x14ac:dyDescent="0.2">
      <c r="G1236" s="139"/>
      <c r="U1236" s="139"/>
      <c r="AI1236" s="139"/>
      <c r="AW1236" s="139"/>
      <c r="BK1236" s="139"/>
    </row>
    <row r="1237" spans="7:63" ht="10.199999999999999" x14ac:dyDescent="0.2">
      <c r="G1237" s="139"/>
      <c r="U1237" s="139"/>
      <c r="AI1237" s="139"/>
      <c r="AW1237" s="139"/>
      <c r="BK1237" s="139"/>
    </row>
    <row r="1238" spans="7:63" ht="10.199999999999999" x14ac:dyDescent="0.2">
      <c r="G1238" s="139"/>
      <c r="U1238" s="139"/>
      <c r="AI1238" s="139"/>
      <c r="AW1238" s="139"/>
      <c r="BK1238" s="139"/>
    </row>
    <row r="1239" spans="7:63" ht="10.199999999999999" x14ac:dyDescent="0.2">
      <c r="G1239" s="139"/>
      <c r="U1239" s="139"/>
      <c r="AI1239" s="139"/>
      <c r="AW1239" s="139"/>
      <c r="BK1239" s="139"/>
    </row>
    <row r="1240" spans="7:63" ht="10.199999999999999" x14ac:dyDescent="0.2">
      <c r="G1240" s="139"/>
      <c r="U1240" s="139"/>
      <c r="AI1240" s="139"/>
      <c r="AW1240" s="139"/>
      <c r="BK1240" s="139"/>
    </row>
    <row r="1241" spans="7:63" ht="10.199999999999999" x14ac:dyDescent="0.2">
      <c r="G1241" s="139"/>
      <c r="U1241" s="139"/>
      <c r="AI1241" s="139"/>
      <c r="AW1241" s="139"/>
      <c r="BK1241" s="139"/>
    </row>
    <row r="1242" spans="7:63" ht="10.199999999999999" x14ac:dyDescent="0.2">
      <c r="G1242" s="139"/>
      <c r="U1242" s="139"/>
      <c r="AI1242" s="139"/>
      <c r="AW1242" s="139"/>
      <c r="BK1242" s="139"/>
    </row>
    <row r="1243" spans="7:63" ht="10.199999999999999" x14ac:dyDescent="0.2">
      <c r="G1243" s="139"/>
      <c r="U1243" s="139"/>
      <c r="AI1243" s="139"/>
      <c r="AW1243" s="139"/>
      <c r="BK1243" s="139"/>
    </row>
    <row r="1244" spans="7:63" ht="10.199999999999999" x14ac:dyDescent="0.2">
      <c r="G1244" s="139"/>
      <c r="U1244" s="139"/>
      <c r="AI1244" s="139"/>
      <c r="AW1244" s="139"/>
      <c r="BK1244" s="139"/>
    </row>
    <row r="1245" spans="7:63" ht="10.199999999999999" x14ac:dyDescent="0.2">
      <c r="G1245" s="139"/>
      <c r="U1245" s="139"/>
      <c r="AI1245" s="139"/>
      <c r="AW1245" s="139"/>
      <c r="BK1245" s="139"/>
    </row>
    <row r="1246" spans="7:63" ht="10.199999999999999" x14ac:dyDescent="0.2">
      <c r="G1246" s="139"/>
      <c r="U1246" s="139"/>
      <c r="AI1246" s="139"/>
      <c r="AW1246" s="139"/>
      <c r="BK1246" s="139"/>
    </row>
    <row r="1247" spans="7:63" ht="10.199999999999999" x14ac:dyDescent="0.2">
      <c r="G1247" s="139"/>
      <c r="U1247" s="139"/>
      <c r="AI1247" s="139"/>
      <c r="AW1247" s="139"/>
      <c r="BK1247" s="139"/>
    </row>
    <row r="1248" spans="7:63" ht="10.199999999999999" x14ac:dyDescent="0.2">
      <c r="G1248" s="139"/>
      <c r="U1248" s="139"/>
      <c r="AI1248" s="139"/>
      <c r="AW1248" s="139"/>
      <c r="BK1248" s="139"/>
    </row>
    <row r="1249" spans="7:63" ht="10.199999999999999" x14ac:dyDescent="0.2">
      <c r="G1249" s="139"/>
      <c r="U1249" s="139"/>
      <c r="AI1249" s="139"/>
      <c r="AW1249" s="139"/>
      <c r="BK1249" s="139"/>
    </row>
    <row r="1250" spans="7:63" ht="10.199999999999999" x14ac:dyDescent="0.2">
      <c r="G1250" s="139"/>
      <c r="U1250" s="139"/>
      <c r="AI1250" s="139"/>
      <c r="AW1250" s="139"/>
      <c r="BK1250" s="139"/>
    </row>
    <row r="1251" spans="7:63" ht="10.199999999999999" x14ac:dyDescent="0.2">
      <c r="G1251" s="139"/>
      <c r="U1251" s="139"/>
      <c r="AI1251" s="139"/>
      <c r="AW1251" s="139"/>
      <c r="BK1251" s="139"/>
    </row>
    <row r="1252" spans="7:63" ht="10.199999999999999" x14ac:dyDescent="0.2">
      <c r="G1252" s="139"/>
      <c r="U1252" s="139"/>
      <c r="AI1252" s="139"/>
      <c r="AW1252" s="139"/>
      <c r="BK1252" s="139"/>
    </row>
    <row r="1253" spans="7:63" ht="10.199999999999999" x14ac:dyDescent="0.2">
      <c r="G1253" s="139"/>
      <c r="U1253" s="139"/>
      <c r="AI1253" s="139"/>
      <c r="AW1253" s="139"/>
      <c r="BK1253" s="139"/>
    </row>
    <row r="1254" spans="7:63" ht="10.199999999999999" x14ac:dyDescent="0.2">
      <c r="G1254" s="139"/>
      <c r="U1254" s="139"/>
      <c r="AI1254" s="139"/>
      <c r="AW1254" s="139"/>
      <c r="BK1254" s="139"/>
    </row>
    <row r="1255" spans="7:63" ht="10.199999999999999" x14ac:dyDescent="0.2">
      <c r="G1255" s="139"/>
      <c r="U1255" s="139"/>
      <c r="AI1255" s="139"/>
      <c r="AW1255" s="139"/>
      <c r="BK1255" s="139"/>
    </row>
    <row r="1256" spans="7:63" ht="10.199999999999999" x14ac:dyDescent="0.2">
      <c r="G1256" s="139"/>
      <c r="U1256" s="139"/>
      <c r="AI1256" s="139"/>
      <c r="AW1256" s="139"/>
      <c r="BK1256" s="139"/>
    </row>
    <row r="1257" spans="7:63" ht="10.199999999999999" x14ac:dyDescent="0.2">
      <c r="G1257" s="139"/>
      <c r="U1257" s="139"/>
      <c r="AI1257" s="139"/>
      <c r="AW1257" s="139"/>
      <c r="BK1257" s="139"/>
    </row>
    <row r="1258" spans="7:63" ht="10.199999999999999" x14ac:dyDescent="0.2">
      <c r="G1258" s="139"/>
      <c r="U1258" s="139"/>
      <c r="AI1258" s="139"/>
      <c r="AW1258" s="139"/>
      <c r="BK1258" s="139"/>
    </row>
    <row r="1259" spans="7:63" ht="10.199999999999999" x14ac:dyDescent="0.2">
      <c r="G1259" s="139"/>
      <c r="U1259" s="139"/>
      <c r="AI1259" s="139"/>
      <c r="AW1259" s="139"/>
      <c r="BK1259" s="139"/>
    </row>
    <row r="1260" spans="7:63" ht="10.199999999999999" x14ac:dyDescent="0.2">
      <c r="G1260" s="139"/>
      <c r="U1260" s="139"/>
      <c r="AI1260" s="139"/>
      <c r="AW1260" s="139"/>
      <c r="BK1260" s="139"/>
    </row>
    <row r="1261" spans="7:63" ht="10.199999999999999" x14ac:dyDescent="0.2">
      <c r="G1261" s="139"/>
      <c r="U1261" s="139"/>
      <c r="AI1261" s="139"/>
      <c r="AW1261" s="139"/>
      <c r="BK1261" s="139"/>
    </row>
    <row r="1262" spans="7:63" ht="10.199999999999999" x14ac:dyDescent="0.2">
      <c r="G1262" s="139"/>
      <c r="U1262" s="139"/>
      <c r="AI1262" s="139"/>
      <c r="AW1262" s="139"/>
      <c r="BK1262" s="139"/>
    </row>
    <row r="1263" spans="7:63" ht="10.199999999999999" x14ac:dyDescent="0.2">
      <c r="G1263" s="139"/>
      <c r="U1263" s="139"/>
      <c r="AI1263" s="139"/>
      <c r="AW1263" s="139"/>
      <c r="BK1263" s="139"/>
    </row>
    <row r="1264" spans="7:63" ht="10.199999999999999" x14ac:dyDescent="0.2">
      <c r="G1264" s="139"/>
      <c r="U1264" s="139"/>
      <c r="AI1264" s="139"/>
      <c r="AW1264" s="139"/>
      <c r="BK1264" s="139"/>
    </row>
    <row r="1265" spans="7:63" ht="10.199999999999999" x14ac:dyDescent="0.2">
      <c r="G1265" s="139"/>
      <c r="U1265" s="139"/>
      <c r="AI1265" s="139"/>
      <c r="AW1265" s="139"/>
      <c r="BK1265" s="139"/>
    </row>
    <row r="1266" spans="7:63" ht="10.199999999999999" x14ac:dyDescent="0.2">
      <c r="G1266" s="139"/>
      <c r="U1266" s="139"/>
      <c r="AI1266" s="139"/>
      <c r="AW1266" s="139"/>
      <c r="BK1266" s="139"/>
    </row>
    <row r="1267" spans="7:63" ht="10.199999999999999" x14ac:dyDescent="0.2">
      <c r="G1267" s="139"/>
      <c r="U1267" s="139"/>
      <c r="AI1267" s="139"/>
      <c r="AW1267" s="139"/>
      <c r="BK1267" s="139"/>
    </row>
    <row r="1268" spans="7:63" ht="10.199999999999999" x14ac:dyDescent="0.2">
      <c r="G1268" s="139"/>
      <c r="U1268" s="139"/>
      <c r="AI1268" s="139"/>
      <c r="AW1268" s="139"/>
      <c r="BK1268" s="139"/>
    </row>
    <row r="1269" spans="7:63" ht="10.199999999999999" x14ac:dyDescent="0.2">
      <c r="G1269" s="139"/>
      <c r="U1269" s="139"/>
      <c r="AI1269" s="139"/>
      <c r="AW1269" s="139"/>
      <c r="BK1269" s="139"/>
    </row>
    <row r="1270" spans="7:63" ht="10.199999999999999" x14ac:dyDescent="0.2">
      <c r="G1270" s="139"/>
      <c r="U1270" s="139"/>
      <c r="AI1270" s="139"/>
      <c r="AW1270" s="139"/>
      <c r="BK1270" s="139"/>
    </row>
    <row r="1271" spans="7:63" ht="10.199999999999999" x14ac:dyDescent="0.2">
      <c r="G1271" s="139"/>
      <c r="U1271" s="139"/>
      <c r="AI1271" s="139"/>
      <c r="AW1271" s="139"/>
      <c r="BK1271" s="139"/>
    </row>
    <row r="1272" spans="7:63" ht="10.199999999999999" x14ac:dyDescent="0.2">
      <c r="G1272" s="139"/>
      <c r="U1272" s="139"/>
      <c r="AI1272" s="139"/>
      <c r="AW1272" s="139"/>
      <c r="BK1272" s="139"/>
    </row>
    <row r="1273" spans="7:63" ht="10.199999999999999" x14ac:dyDescent="0.2">
      <c r="G1273" s="139"/>
      <c r="U1273" s="139"/>
      <c r="AI1273" s="139"/>
      <c r="AW1273" s="139"/>
      <c r="BK1273" s="139"/>
    </row>
    <row r="1274" spans="7:63" ht="10.199999999999999" x14ac:dyDescent="0.2">
      <c r="G1274" s="139"/>
      <c r="U1274" s="139"/>
      <c r="AI1274" s="139"/>
      <c r="AW1274" s="139"/>
      <c r="BK1274" s="139"/>
    </row>
    <row r="1275" spans="7:63" ht="10.199999999999999" x14ac:dyDescent="0.2">
      <c r="G1275" s="139"/>
      <c r="U1275" s="139"/>
      <c r="AI1275" s="139"/>
      <c r="AW1275" s="139"/>
      <c r="BK1275" s="139"/>
    </row>
    <row r="1276" spans="7:63" ht="10.199999999999999" x14ac:dyDescent="0.2">
      <c r="G1276" s="139"/>
      <c r="U1276" s="139"/>
      <c r="AI1276" s="139"/>
      <c r="AW1276" s="139"/>
      <c r="BK1276" s="139"/>
    </row>
    <row r="1277" spans="7:63" ht="10.199999999999999" x14ac:dyDescent="0.2">
      <c r="G1277" s="139"/>
      <c r="U1277" s="139"/>
      <c r="AI1277" s="139"/>
      <c r="AW1277" s="139"/>
      <c r="BK1277" s="139"/>
    </row>
    <row r="1278" spans="7:63" ht="10.199999999999999" x14ac:dyDescent="0.2">
      <c r="G1278" s="139"/>
      <c r="U1278" s="139"/>
      <c r="AI1278" s="139"/>
      <c r="AW1278" s="139"/>
      <c r="BK1278" s="139"/>
    </row>
    <row r="1279" spans="7:63" ht="10.199999999999999" x14ac:dyDescent="0.2">
      <c r="G1279" s="139"/>
      <c r="U1279" s="139"/>
      <c r="AI1279" s="139"/>
      <c r="AW1279" s="139"/>
      <c r="BK1279" s="139"/>
    </row>
    <row r="1280" spans="7:63" ht="10.199999999999999" x14ac:dyDescent="0.2">
      <c r="G1280" s="139"/>
      <c r="U1280" s="139"/>
      <c r="AI1280" s="139"/>
      <c r="AW1280" s="139"/>
      <c r="BK1280" s="139"/>
    </row>
    <row r="1281" spans="7:63" ht="10.199999999999999" x14ac:dyDescent="0.2">
      <c r="G1281" s="139"/>
      <c r="U1281" s="139"/>
      <c r="AI1281" s="139"/>
      <c r="AW1281" s="139"/>
      <c r="BK1281" s="139"/>
    </row>
    <row r="1282" spans="7:63" ht="10.199999999999999" x14ac:dyDescent="0.2">
      <c r="G1282" s="139"/>
      <c r="U1282" s="139"/>
      <c r="AI1282" s="139"/>
      <c r="AW1282" s="139"/>
      <c r="BK1282" s="139"/>
    </row>
    <row r="1283" spans="7:63" ht="10.199999999999999" x14ac:dyDescent="0.2">
      <c r="G1283" s="139"/>
      <c r="U1283" s="139"/>
      <c r="AI1283" s="139"/>
      <c r="AW1283" s="139"/>
      <c r="BK1283" s="139"/>
    </row>
    <row r="1284" spans="7:63" ht="10.199999999999999" x14ac:dyDescent="0.2">
      <c r="G1284" s="139"/>
      <c r="U1284" s="139"/>
      <c r="AI1284" s="139"/>
      <c r="AW1284" s="139"/>
      <c r="BK1284" s="139"/>
    </row>
    <row r="1285" spans="7:63" ht="10.199999999999999" x14ac:dyDescent="0.2">
      <c r="G1285" s="139"/>
      <c r="U1285" s="139"/>
      <c r="AI1285" s="139"/>
      <c r="AW1285" s="139"/>
      <c r="BK1285" s="139"/>
    </row>
    <row r="1286" spans="7:63" ht="10.199999999999999" x14ac:dyDescent="0.2">
      <c r="G1286" s="139"/>
      <c r="U1286" s="139"/>
      <c r="AI1286" s="139"/>
      <c r="AW1286" s="139"/>
      <c r="BK1286" s="139"/>
    </row>
    <row r="1287" spans="7:63" ht="10.199999999999999" x14ac:dyDescent="0.2">
      <c r="G1287" s="139"/>
      <c r="U1287" s="139"/>
      <c r="AI1287" s="139"/>
      <c r="AW1287" s="139"/>
      <c r="BK1287" s="139"/>
    </row>
    <row r="1288" spans="7:63" ht="10.199999999999999" x14ac:dyDescent="0.2">
      <c r="G1288" s="139"/>
      <c r="U1288" s="139"/>
      <c r="AI1288" s="139"/>
      <c r="AW1288" s="139"/>
      <c r="BK1288" s="139"/>
    </row>
    <row r="1289" spans="7:63" ht="10.199999999999999" x14ac:dyDescent="0.2">
      <c r="G1289" s="139"/>
      <c r="U1289" s="139"/>
      <c r="AI1289" s="139"/>
      <c r="AW1289" s="139"/>
      <c r="BK1289" s="139"/>
    </row>
    <row r="1290" spans="7:63" ht="10.199999999999999" x14ac:dyDescent="0.2">
      <c r="G1290" s="139"/>
      <c r="U1290" s="139"/>
      <c r="AI1290" s="139"/>
      <c r="AW1290" s="139"/>
      <c r="BK1290" s="139"/>
    </row>
    <row r="1291" spans="7:63" ht="10.199999999999999" x14ac:dyDescent="0.2">
      <c r="G1291" s="139"/>
      <c r="U1291" s="139"/>
      <c r="AI1291" s="139"/>
      <c r="AW1291" s="139"/>
      <c r="BK1291" s="139"/>
    </row>
    <row r="1292" spans="7:63" ht="10.199999999999999" x14ac:dyDescent="0.2">
      <c r="G1292" s="139"/>
      <c r="U1292" s="139"/>
      <c r="AI1292" s="139"/>
      <c r="AW1292" s="139"/>
      <c r="BK1292" s="139"/>
    </row>
    <row r="1293" spans="7:63" ht="10.199999999999999" x14ac:dyDescent="0.2">
      <c r="G1293" s="139"/>
      <c r="U1293" s="139"/>
      <c r="AI1293" s="139"/>
      <c r="AW1293" s="139"/>
      <c r="BK1293" s="139"/>
    </row>
    <row r="1294" spans="7:63" ht="10.199999999999999" x14ac:dyDescent="0.2">
      <c r="G1294" s="139"/>
      <c r="U1294" s="139"/>
      <c r="AI1294" s="139"/>
      <c r="AW1294" s="139"/>
      <c r="BK1294" s="139"/>
    </row>
    <row r="1295" spans="7:63" ht="10.199999999999999" x14ac:dyDescent="0.2">
      <c r="G1295" s="139"/>
      <c r="U1295" s="139"/>
      <c r="AI1295" s="139"/>
      <c r="AW1295" s="139"/>
      <c r="BK1295" s="139"/>
    </row>
    <row r="1296" spans="7:63" ht="10.199999999999999" x14ac:dyDescent="0.2">
      <c r="G1296" s="139"/>
      <c r="U1296" s="139"/>
      <c r="AI1296" s="139"/>
      <c r="AW1296" s="139"/>
      <c r="BK1296" s="139"/>
    </row>
    <row r="1297" spans="7:63" ht="10.199999999999999" x14ac:dyDescent="0.2">
      <c r="G1297" s="139"/>
      <c r="U1297" s="139"/>
      <c r="AI1297" s="139"/>
      <c r="AW1297" s="139"/>
      <c r="BK1297" s="139"/>
    </row>
    <row r="1298" spans="7:63" ht="10.199999999999999" x14ac:dyDescent="0.2">
      <c r="G1298" s="139"/>
      <c r="U1298" s="139"/>
      <c r="AI1298" s="139"/>
      <c r="AW1298" s="139"/>
      <c r="BK1298" s="139"/>
    </row>
    <row r="1299" spans="7:63" ht="10.199999999999999" x14ac:dyDescent="0.2">
      <c r="G1299" s="139"/>
      <c r="U1299" s="139"/>
      <c r="AI1299" s="139"/>
      <c r="AW1299" s="139"/>
      <c r="BK1299" s="139"/>
    </row>
    <row r="1300" spans="7:63" ht="10.199999999999999" x14ac:dyDescent="0.2">
      <c r="G1300" s="139"/>
      <c r="U1300" s="139"/>
      <c r="AI1300" s="139"/>
      <c r="AW1300" s="139"/>
      <c r="BK1300" s="139"/>
    </row>
    <row r="1301" spans="7:63" ht="10.199999999999999" x14ac:dyDescent="0.2">
      <c r="G1301" s="139"/>
      <c r="U1301" s="139"/>
      <c r="AI1301" s="139"/>
      <c r="AW1301" s="139"/>
      <c r="BK1301" s="139"/>
    </row>
    <row r="1302" spans="7:63" ht="10.199999999999999" x14ac:dyDescent="0.2">
      <c r="G1302" s="139"/>
      <c r="U1302" s="139"/>
      <c r="AI1302" s="139"/>
      <c r="AW1302" s="139"/>
      <c r="BK1302" s="139"/>
    </row>
    <row r="1303" spans="7:63" ht="10.199999999999999" x14ac:dyDescent="0.2">
      <c r="G1303" s="139"/>
      <c r="U1303" s="139"/>
      <c r="AI1303" s="139"/>
      <c r="AW1303" s="139"/>
      <c r="BK1303" s="139"/>
    </row>
    <row r="1304" spans="7:63" ht="10.199999999999999" x14ac:dyDescent="0.2">
      <c r="G1304" s="139"/>
      <c r="U1304" s="139"/>
      <c r="AI1304" s="139"/>
      <c r="AW1304" s="139"/>
      <c r="BK1304" s="139"/>
    </row>
    <row r="1305" spans="7:63" ht="10.199999999999999" x14ac:dyDescent="0.2">
      <c r="G1305" s="139"/>
      <c r="U1305" s="139"/>
      <c r="AI1305" s="139"/>
      <c r="AW1305" s="139"/>
      <c r="BK1305" s="139"/>
    </row>
    <row r="1306" spans="7:63" ht="10.199999999999999" x14ac:dyDescent="0.2">
      <c r="G1306" s="139"/>
      <c r="U1306" s="139"/>
      <c r="AI1306" s="139"/>
      <c r="AW1306" s="139"/>
      <c r="BK1306" s="139"/>
    </row>
    <row r="1307" spans="7:63" ht="10.199999999999999" x14ac:dyDescent="0.2">
      <c r="G1307" s="139"/>
      <c r="U1307" s="139"/>
      <c r="AI1307" s="139"/>
      <c r="AW1307" s="139"/>
      <c r="BK1307" s="139"/>
    </row>
    <row r="1308" spans="7:63" ht="10.199999999999999" x14ac:dyDescent="0.2">
      <c r="G1308" s="139"/>
      <c r="U1308" s="139"/>
      <c r="AI1308" s="139"/>
      <c r="AW1308" s="139"/>
      <c r="BK1308" s="139"/>
    </row>
    <row r="1309" spans="7:63" ht="10.199999999999999" x14ac:dyDescent="0.2">
      <c r="G1309" s="139"/>
      <c r="U1309" s="139"/>
      <c r="AI1309" s="139"/>
      <c r="AW1309" s="139"/>
      <c r="BK1309" s="139"/>
    </row>
    <row r="1310" spans="7:63" ht="10.199999999999999" x14ac:dyDescent="0.2">
      <c r="G1310" s="139"/>
      <c r="U1310" s="139"/>
      <c r="AI1310" s="139"/>
      <c r="AW1310" s="139"/>
      <c r="BK1310" s="139"/>
    </row>
    <row r="1311" spans="7:63" ht="10.199999999999999" x14ac:dyDescent="0.2">
      <c r="G1311" s="139"/>
      <c r="U1311" s="139"/>
      <c r="AI1311" s="139"/>
      <c r="AW1311" s="139"/>
      <c r="BK1311" s="139"/>
    </row>
    <row r="1312" spans="7:63" ht="10.199999999999999" x14ac:dyDescent="0.2">
      <c r="G1312" s="139"/>
      <c r="U1312" s="139"/>
      <c r="AI1312" s="139"/>
      <c r="AW1312" s="139"/>
      <c r="BK1312" s="139"/>
    </row>
    <row r="1313" spans="7:63" ht="10.199999999999999" x14ac:dyDescent="0.2">
      <c r="G1313" s="139"/>
      <c r="U1313" s="139"/>
      <c r="AI1313" s="139"/>
      <c r="AW1313" s="139"/>
      <c r="BK1313" s="139"/>
    </row>
    <row r="1314" spans="7:63" ht="10.199999999999999" x14ac:dyDescent="0.2">
      <c r="G1314" s="139"/>
      <c r="U1314" s="139"/>
      <c r="AI1314" s="139"/>
      <c r="AW1314" s="139"/>
      <c r="BK1314" s="139"/>
    </row>
    <row r="1315" spans="7:63" ht="10.199999999999999" x14ac:dyDescent="0.2">
      <c r="G1315" s="139"/>
      <c r="U1315" s="139"/>
      <c r="AI1315" s="139"/>
      <c r="AW1315" s="139"/>
      <c r="BK1315" s="139"/>
    </row>
    <row r="1316" spans="7:63" ht="10.199999999999999" x14ac:dyDescent="0.2">
      <c r="G1316" s="139"/>
      <c r="U1316" s="139"/>
      <c r="AI1316" s="139"/>
      <c r="AW1316" s="139"/>
      <c r="BK1316" s="139"/>
    </row>
    <row r="1317" spans="7:63" ht="10.199999999999999" x14ac:dyDescent="0.2">
      <c r="G1317" s="139"/>
      <c r="U1317" s="139"/>
      <c r="AI1317" s="139"/>
      <c r="AW1317" s="139"/>
      <c r="BK1317" s="139"/>
    </row>
    <row r="1318" spans="7:63" ht="10.199999999999999" x14ac:dyDescent="0.2">
      <c r="G1318" s="139"/>
      <c r="U1318" s="139"/>
      <c r="AI1318" s="139"/>
      <c r="AW1318" s="139"/>
      <c r="BK1318" s="139"/>
    </row>
    <row r="1319" spans="7:63" ht="10.199999999999999" x14ac:dyDescent="0.2">
      <c r="G1319" s="139"/>
      <c r="U1319" s="139"/>
      <c r="AI1319" s="139"/>
      <c r="AW1319" s="139"/>
      <c r="BK1319" s="139"/>
    </row>
    <row r="1320" spans="7:63" ht="10.199999999999999" x14ac:dyDescent="0.2">
      <c r="G1320" s="139"/>
      <c r="U1320" s="139"/>
      <c r="AI1320" s="139"/>
      <c r="AW1320" s="139"/>
      <c r="BK1320" s="139"/>
    </row>
    <row r="1321" spans="7:63" ht="10.199999999999999" x14ac:dyDescent="0.2">
      <c r="G1321" s="139"/>
      <c r="U1321" s="139"/>
      <c r="AI1321" s="139"/>
      <c r="AW1321" s="139"/>
      <c r="BK1321" s="139"/>
    </row>
    <row r="1322" spans="7:63" ht="10.199999999999999" x14ac:dyDescent="0.2">
      <c r="G1322" s="139"/>
      <c r="U1322" s="139"/>
      <c r="AI1322" s="139"/>
      <c r="AW1322" s="139"/>
      <c r="BK1322" s="139"/>
    </row>
    <row r="1323" spans="7:63" ht="10.199999999999999" x14ac:dyDescent="0.2">
      <c r="G1323" s="139"/>
      <c r="U1323" s="139"/>
      <c r="AI1323" s="139"/>
      <c r="AW1323" s="139"/>
      <c r="BK1323" s="139"/>
    </row>
    <row r="1324" spans="7:63" ht="10.199999999999999" x14ac:dyDescent="0.2">
      <c r="G1324" s="139"/>
      <c r="U1324" s="139"/>
      <c r="AI1324" s="139"/>
      <c r="AW1324" s="139"/>
      <c r="BK1324" s="139"/>
    </row>
    <row r="1325" spans="7:63" ht="10.199999999999999" x14ac:dyDescent="0.2">
      <c r="G1325" s="139"/>
      <c r="U1325" s="139"/>
      <c r="AI1325" s="139"/>
      <c r="AW1325" s="139"/>
      <c r="BK1325" s="139"/>
    </row>
    <row r="1326" spans="7:63" ht="10.199999999999999" x14ac:dyDescent="0.2">
      <c r="G1326" s="139"/>
      <c r="U1326" s="139"/>
      <c r="AI1326" s="139"/>
      <c r="AW1326" s="139"/>
      <c r="BK1326" s="139"/>
    </row>
    <row r="1327" spans="7:63" ht="10.199999999999999" x14ac:dyDescent="0.2">
      <c r="G1327" s="139"/>
      <c r="U1327" s="139"/>
      <c r="AI1327" s="139"/>
      <c r="AW1327" s="139"/>
      <c r="BK1327" s="139"/>
    </row>
    <row r="1328" spans="7:63" ht="10.199999999999999" x14ac:dyDescent="0.2">
      <c r="G1328" s="139"/>
      <c r="U1328" s="139"/>
      <c r="AI1328" s="139"/>
      <c r="AW1328" s="139"/>
      <c r="BK1328" s="139"/>
    </row>
    <row r="1329" spans="7:63" ht="10.199999999999999" x14ac:dyDescent="0.2">
      <c r="G1329" s="139"/>
      <c r="U1329" s="139"/>
      <c r="AI1329" s="139"/>
      <c r="AW1329" s="139"/>
      <c r="BK1329" s="139"/>
    </row>
    <row r="1330" spans="7:63" ht="10.199999999999999" x14ac:dyDescent="0.2">
      <c r="G1330" s="139"/>
      <c r="U1330" s="139"/>
      <c r="AI1330" s="139"/>
      <c r="AW1330" s="139"/>
      <c r="BK1330" s="139"/>
    </row>
    <row r="1331" spans="7:63" ht="10.199999999999999" x14ac:dyDescent="0.2">
      <c r="G1331" s="139"/>
      <c r="U1331" s="139"/>
      <c r="AI1331" s="139"/>
      <c r="AW1331" s="139"/>
      <c r="BK1331" s="139"/>
    </row>
    <row r="1332" spans="7:63" ht="10.199999999999999" x14ac:dyDescent="0.2">
      <c r="G1332" s="139"/>
      <c r="U1332" s="139"/>
      <c r="AI1332" s="139"/>
      <c r="AW1332" s="139"/>
      <c r="BK1332" s="139"/>
    </row>
    <row r="1333" spans="7:63" ht="10.199999999999999" x14ac:dyDescent="0.2">
      <c r="G1333" s="139"/>
      <c r="U1333" s="139"/>
      <c r="AI1333" s="139"/>
      <c r="AW1333" s="139"/>
      <c r="BK1333" s="139"/>
    </row>
    <row r="1334" spans="7:63" ht="10.199999999999999" x14ac:dyDescent="0.2">
      <c r="G1334" s="139"/>
      <c r="U1334" s="139"/>
      <c r="AI1334" s="139"/>
      <c r="AW1334" s="139"/>
      <c r="BK1334" s="139"/>
    </row>
    <row r="1335" spans="7:63" ht="10.199999999999999" x14ac:dyDescent="0.2">
      <c r="G1335" s="139"/>
      <c r="U1335" s="139"/>
      <c r="AI1335" s="139"/>
      <c r="AW1335" s="139"/>
      <c r="BK1335" s="139"/>
    </row>
    <row r="1336" spans="7:63" ht="10.199999999999999" x14ac:dyDescent="0.2">
      <c r="G1336" s="139"/>
      <c r="U1336" s="139"/>
      <c r="AI1336" s="139"/>
      <c r="AW1336" s="139"/>
      <c r="BK1336" s="139"/>
    </row>
    <row r="1337" spans="7:63" ht="10.199999999999999" x14ac:dyDescent="0.2">
      <c r="G1337" s="139"/>
      <c r="U1337" s="139"/>
      <c r="AI1337" s="139"/>
      <c r="AW1337" s="139"/>
      <c r="BK1337" s="139"/>
    </row>
    <row r="1338" spans="7:63" ht="10.199999999999999" x14ac:dyDescent="0.2">
      <c r="G1338" s="139"/>
      <c r="U1338" s="139"/>
      <c r="AI1338" s="139"/>
      <c r="AW1338" s="139"/>
      <c r="BK1338" s="139"/>
    </row>
    <row r="1339" spans="7:63" ht="10.199999999999999" x14ac:dyDescent="0.2">
      <c r="G1339" s="139"/>
      <c r="U1339" s="139"/>
      <c r="AI1339" s="139"/>
      <c r="AW1339" s="139"/>
      <c r="BK1339" s="139"/>
    </row>
    <row r="1340" spans="7:63" ht="10.199999999999999" x14ac:dyDescent="0.2">
      <c r="G1340" s="139"/>
      <c r="U1340" s="139"/>
      <c r="AI1340" s="139"/>
      <c r="AW1340" s="139"/>
      <c r="BK1340" s="139"/>
    </row>
    <row r="1341" spans="7:63" ht="10.199999999999999" x14ac:dyDescent="0.2">
      <c r="G1341" s="139"/>
      <c r="U1341" s="139"/>
      <c r="AI1341" s="139"/>
      <c r="AW1341" s="139"/>
      <c r="BK1341" s="139"/>
    </row>
    <row r="1342" spans="7:63" ht="10.199999999999999" x14ac:dyDescent="0.2">
      <c r="G1342" s="139"/>
      <c r="U1342" s="139"/>
      <c r="AI1342" s="139"/>
      <c r="AW1342" s="139"/>
      <c r="BK1342" s="139"/>
    </row>
    <row r="1343" spans="7:63" ht="10.199999999999999" x14ac:dyDescent="0.2">
      <c r="G1343" s="139"/>
      <c r="U1343" s="139"/>
      <c r="AI1343" s="139"/>
      <c r="AW1343" s="139"/>
      <c r="BK1343" s="139"/>
    </row>
    <row r="1344" spans="7:63" ht="10.199999999999999" x14ac:dyDescent="0.2">
      <c r="G1344" s="139"/>
      <c r="U1344" s="139"/>
      <c r="AI1344" s="139"/>
      <c r="AW1344" s="139"/>
      <c r="BK1344" s="139"/>
    </row>
    <row r="1345" spans="7:63" ht="10.199999999999999" x14ac:dyDescent="0.2">
      <c r="G1345" s="139"/>
      <c r="U1345" s="139"/>
      <c r="AI1345" s="139"/>
      <c r="AW1345" s="139"/>
      <c r="BK1345" s="139"/>
    </row>
    <row r="1346" spans="7:63" ht="10.199999999999999" x14ac:dyDescent="0.2">
      <c r="G1346" s="139"/>
      <c r="U1346" s="139"/>
      <c r="AI1346" s="139"/>
      <c r="AW1346" s="139"/>
      <c r="BK1346" s="139"/>
    </row>
    <row r="1347" spans="7:63" ht="10.199999999999999" x14ac:dyDescent="0.2">
      <c r="G1347" s="139"/>
      <c r="U1347" s="139"/>
      <c r="AI1347" s="139"/>
      <c r="AW1347" s="139"/>
      <c r="BK1347" s="139"/>
    </row>
    <row r="1348" spans="7:63" ht="10.199999999999999" x14ac:dyDescent="0.2">
      <c r="G1348" s="139"/>
      <c r="U1348" s="139"/>
      <c r="AI1348" s="139"/>
      <c r="AW1348" s="139"/>
      <c r="BK1348" s="139"/>
    </row>
    <row r="1349" spans="7:63" ht="10.199999999999999" x14ac:dyDescent="0.2">
      <c r="G1349" s="139"/>
      <c r="U1349" s="139"/>
      <c r="AI1349" s="139"/>
      <c r="AW1349" s="139"/>
      <c r="BK1349" s="139"/>
    </row>
    <row r="1350" spans="7:63" ht="10.199999999999999" x14ac:dyDescent="0.2">
      <c r="G1350" s="139"/>
      <c r="U1350" s="139"/>
      <c r="AI1350" s="139"/>
      <c r="AW1350" s="139"/>
      <c r="BK1350" s="139"/>
    </row>
    <row r="1351" spans="7:63" ht="10.199999999999999" x14ac:dyDescent="0.2">
      <c r="G1351" s="139"/>
      <c r="U1351" s="139"/>
      <c r="AI1351" s="139"/>
      <c r="AW1351" s="139"/>
      <c r="BK1351" s="139"/>
    </row>
    <row r="1352" spans="7:63" ht="10.199999999999999" x14ac:dyDescent="0.2">
      <c r="G1352" s="139"/>
      <c r="U1352" s="139"/>
      <c r="AI1352" s="139"/>
      <c r="AW1352" s="139"/>
      <c r="BK1352" s="139"/>
    </row>
    <row r="1353" spans="7:63" ht="10.199999999999999" x14ac:dyDescent="0.2">
      <c r="G1353" s="139"/>
      <c r="U1353" s="139"/>
      <c r="AI1353" s="139"/>
      <c r="AW1353" s="139"/>
      <c r="BK1353" s="139"/>
    </row>
    <row r="1354" spans="7:63" ht="10.199999999999999" x14ac:dyDescent="0.2">
      <c r="G1354" s="139"/>
      <c r="U1354" s="139"/>
      <c r="AI1354" s="139"/>
      <c r="AW1354" s="139"/>
      <c r="BK1354" s="139"/>
    </row>
    <row r="1355" spans="7:63" ht="10.199999999999999" x14ac:dyDescent="0.2">
      <c r="G1355" s="139"/>
      <c r="U1355" s="139"/>
      <c r="AI1355" s="139"/>
      <c r="AW1355" s="139"/>
      <c r="BK1355" s="139"/>
    </row>
    <row r="1356" spans="7:63" ht="10.199999999999999" x14ac:dyDescent="0.2">
      <c r="G1356" s="139"/>
      <c r="U1356" s="139"/>
      <c r="AI1356" s="139"/>
      <c r="AW1356" s="139"/>
      <c r="BK1356" s="139"/>
    </row>
    <row r="1357" spans="7:63" ht="10.199999999999999" x14ac:dyDescent="0.2">
      <c r="G1357" s="139"/>
      <c r="U1357" s="139"/>
      <c r="AI1357" s="139"/>
      <c r="AW1357" s="139"/>
      <c r="BK1357" s="139"/>
    </row>
    <row r="1358" spans="7:63" ht="10.199999999999999" x14ac:dyDescent="0.2">
      <c r="G1358" s="139"/>
      <c r="U1358" s="139"/>
      <c r="AI1358" s="139"/>
      <c r="AW1358" s="139"/>
      <c r="BK1358" s="139"/>
    </row>
    <row r="1359" spans="7:63" ht="10.199999999999999" x14ac:dyDescent="0.2">
      <c r="G1359" s="139"/>
      <c r="U1359" s="139"/>
      <c r="AI1359" s="139"/>
      <c r="AW1359" s="139"/>
      <c r="BK1359" s="139"/>
    </row>
    <row r="1360" spans="7:63" ht="10.199999999999999" x14ac:dyDescent="0.2">
      <c r="G1360" s="139"/>
      <c r="U1360" s="139"/>
      <c r="AI1360" s="139"/>
      <c r="AW1360" s="139"/>
      <c r="BK1360" s="139"/>
    </row>
    <row r="1361" spans="7:63" ht="10.199999999999999" x14ac:dyDescent="0.2">
      <c r="G1361" s="139"/>
      <c r="U1361" s="139"/>
      <c r="AI1361" s="139"/>
      <c r="AW1361" s="139"/>
      <c r="BK1361" s="139"/>
    </row>
    <row r="1362" spans="7:63" ht="10.199999999999999" x14ac:dyDescent="0.2">
      <c r="G1362" s="139"/>
      <c r="U1362" s="139"/>
      <c r="AI1362" s="139"/>
      <c r="AW1362" s="139"/>
      <c r="BK1362" s="139"/>
    </row>
    <row r="1363" spans="7:63" ht="10.199999999999999" x14ac:dyDescent="0.2">
      <c r="G1363" s="139"/>
      <c r="U1363" s="139"/>
      <c r="AI1363" s="139"/>
      <c r="AW1363" s="139"/>
      <c r="BK1363" s="139"/>
    </row>
    <row r="1364" spans="7:63" ht="10.199999999999999" x14ac:dyDescent="0.2">
      <c r="G1364" s="139"/>
      <c r="U1364" s="139"/>
      <c r="AI1364" s="139"/>
      <c r="AW1364" s="139"/>
      <c r="BK1364" s="139"/>
    </row>
    <row r="1365" spans="7:63" ht="10.199999999999999" x14ac:dyDescent="0.2">
      <c r="G1365" s="139"/>
      <c r="U1365" s="139"/>
      <c r="AI1365" s="139"/>
      <c r="AW1365" s="139"/>
      <c r="BK1365" s="139"/>
    </row>
    <row r="1366" spans="7:63" ht="10.199999999999999" x14ac:dyDescent="0.2">
      <c r="G1366" s="139"/>
      <c r="U1366" s="139"/>
      <c r="AI1366" s="139"/>
      <c r="AW1366" s="139"/>
      <c r="BK1366" s="139"/>
    </row>
    <row r="1367" spans="7:63" ht="10.199999999999999" x14ac:dyDescent="0.2">
      <c r="G1367" s="139"/>
      <c r="U1367" s="139"/>
      <c r="AI1367" s="139"/>
      <c r="AW1367" s="139"/>
      <c r="BK1367" s="139"/>
    </row>
    <row r="1368" spans="7:63" ht="10.199999999999999" x14ac:dyDescent="0.2">
      <c r="G1368" s="139"/>
      <c r="U1368" s="139"/>
      <c r="AI1368" s="139"/>
      <c r="AW1368" s="139"/>
      <c r="BK1368" s="139"/>
    </row>
    <row r="1369" spans="7:63" ht="10.199999999999999" x14ac:dyDescent="0.2">
      <c r="G1369" s="139"/>
      <c r="U1369" s="139"/>
      <c r="AI1369" s="139"/>
      <c r="AW1369" s="139"/>
      <c r="BK1369" s="139"/>
    </row>
    <row r="1370" spans="7:63" ht="10.199999999999999" x14ac:dyDescent="0.2">
      <c r="G1370" s="139"/>
      <c r="U1370" s="139"/>
      <c r="AI1370" s="139"/>
      <c r="AW1370" s="139"/>
      <c r="BK1370" s="139"/>
    </row>
    <row r="1371" spans="7:63" ht="10.199999999999999" x14ac:dyDescent="0.2">
      <c r="G1371" s="139"/>
      <c r="U1371" s="139"/>
      <c r="AI1371" s="139"/>
      <c r="AW1371" s="139"/>
      <c r="BK1371" s="139"/>
    </row>
    <row r="1372" spans="7:63" ht="10.199999999999999" x14ac:dyDescent="0.2">
      <c r="G1372" s="139"/>
      <c r="U1372" s="139"/>
      <c r="AI1372" s="139"/>
      <c r="AW1372" s="139"/>
      <c r="BK1372" s="139"/>
    </row>
    <row r="1373" spans="7:63" ht="10.199999999999999" x14ac:dyDescent="0.2">
      <c r="G1373" s="139"/>
      <c r="U1373" s="139"/>
      <c r="AI1373" s="139"/>
      <c r="AW1373" s="139"/>
      <c r="BK1373" s="139"/>
    </row>
    <row r="1374" spans="7:63" ht="10.199999999999999" x14ac:dyDescent="0.2">
      <c r="G1374" s="139"/>
      <c r="U1374" s="139"/>
      <c r="AI1374" s="139"/>
      <c r="AW1374" s="139"/>
      <c r="BK1374" s="139"/>
    </row>
    <row r="1375" spans="7:63" ht="10.199999999999999" x14ac:dyDescent="0.2">
      <c r="G1375" s="139"/>
      <c r="U1375" s="139"/>
      <c r="AI1375" s="139"/>
      <c r="AW1375" s="139"/>
      <c r="BK1375" s="139"/>
    </row>
    <row r="1376" spans="7:63" ht="10.199999999999999" x14ac:dyDescent="0.2">
      <c r="G1376" s="139"/>
      <c r="U1376" s="139"/>
      <c r="AI1376" s="139"/>
      <c r="AW1376" s="139"/>
      <c r="BK1376" s="139"/>
    </row>
    <row r="1377" spans="7:63" ht="10.199999999999999" x14ac:dyDescent="0.2">
      <c r="G1377" s="139"/>
      <c r="U1377" s="139"/>
      <c r="AI1377" s="139"/>
      <c r="AW1377" s="139"/>
      <c r="BK1377" s="139"/>
    </row>
    <row r="1378" spans="7:63" ht="10.199999999999999" x14ac:dyDescent="0.2">
      <c r="G1378" s="139"/>
      <c r="U1378" s="139"/>
      <c r="AI1378" s="139"/>
      <c r="AW1378" s="139"/>
      <c r="BK1378" s="139"/>
    </row>
    <row r="1379" spans="7:63" ht="10.199999999999999" x14ac:dyDescent="0.2">
      <c r="G1379" s="139"/>
      <c r="U1379" s="139"/>
      <c r="AI1379" s="139"/>
      <c r="AW1379" s="139"/>
      <c r="BK1379" s="139"/>
    </row>
    <row r="1380" spans="7:63" ht="10.199999999999999" x14ac:dyDescent="0.2">
      <c r="G1380" s="139"/>
      <c r="U1380" s="139"/>
      <c r="AI1380" s="139"/>
      <c r="AW1380" s="139"/>
      <c r="BK1380" s="139"/>
    </row>
    <row r="1381" spans="7:63" ht="10.199999999999999" x14ac:dyDescent="0.2">
      <c r="G1381" s="139"/>
      <c r="U1381" s="139"/>
      <c r="AI1381" s="139"/>
      <c r="AW1381" s="139"/>
      <c r="BK1381" s="139"/>
    </row>
    <row r="1382" spans="7:63" ht="10.199999999999999" x14ac:dyDescent="0.2">
      <c r="G1382" s="139"/>
      <c r="U1382" s="139"/>
      <c r="AI1382" s="139"/>
      <c r="AW1382" s="139"/>
      <c r="BK1382" s="139"/>
    </row>
    <row r="1383" spans="7:63" ht="10.199999999999999" x14ac:dyDescent="0.2">
      <c r="G1383" s="139"/>
      <c r="U1383" s="139"/>
      <c r="AI1383" s="139"/>
      <c r="AW1383" s="139"/>
      <c r="BK1383" s="139"/>
    </row>
    <row r="1384" spans="7:63" ht="10.199999999999999" x14ac:dyDescent="0.2">
      <c r="G1384" s="139"/>
      <c r="U1384" s="139"/>
      <c r="AI1384" s="139"/>
      <c r="AW1384" s="139"/>
      <c r="BK1384" s="139"/>
    </row>
    <row r="1385" spans="7:63" ht="10.199999999999999" x14ac:dyDescent="0.2">
      <c r="G1385" s="139"/>
      <c r="U1385" s="139"/>
      <c r="AI1385" s="139"/>
      <c r="AW1385" s="139"/>
      <c r="BK1385" s="139"/>
    </row>
    <row r="1386" spans="7:63" ht="10.199999999999999" x14ac:dyDescent="0.2">
      <c r="G1386" s="139"/>
      <c r="U1386" s="139"/>
      <c r="AI1386" s="139"/>
      <c r="AW1386" s="139"/>
      <c r="BK1386" s="139"/>
    </row>
    <row r="1387" spans="7:63" ht="10.199999999999999" x14ac:dyDescent="0.2">
      <c r="G1387" s="139"/>
      <c r="U1387" s="139"/>
      <c r="AI1387" s="139"/>
      <c r="AW1387" s="139"/>
      <c r="BK1387" s="139"/>
    </row>
    <row r="1388" spans="7:63" ht="10.199999999999999" x14ac:dyDescent="0.2">
      <c r="G1388" s="139"/>
      <c r="U1388" s="139"/>
      <c r="AI1388" s="139"/>
      <c r="AW1388" s="139"/>
      <c r="BK1388" s="139"/>
    </row>
    <row r="1389" spans="7:63" ht="10.199999999999999" x14ac:dyDescent="0.2">
      <c r="G1389" s="139"/>
      <c r="U1389" s="139"/>
      <c r="AI1389" s="139"/>
      <c r="AW1389" s="139"/>
      <c r="BK1389" s="139"/>
    </row>
    <row r="1390" spans="7:63" ht="10.199999999999999" x14ac:dyDescent="0.2">
      <c r="G1390" s="139"/>
      <c r="U1390" s="139"/>
      <c r="AI1390" s="139"/>
      <c r="AW1390" s="139"/>
      <c r="BK1390" s="139"/>
    </row>
    <row r="1391" spans="7:63" ht="10.199999999999999" x14ac:dyDescent="0.2">
      <c r="G1391" s="139"/>
      <c r="U1391" s="139"/>
      <c r="AI1391" s="139"/>
      <c r="AW1391" s="139"/>
      <c r="BK1391" s="139"/>
    </row>
    <row r="1392" spans="7:63" ht="10.199999999999999" x14ac:dyDescent="0.2">
      <c r="G1392" s="139"/>
      <c r="U1392" s="139"/>
      <c r="AI1392" s="139"/>
      <c r="AW1392" s="139"/>
      <c r="BK1392" s="139"/>
    </row>
    <row r="1393" spans="7:63" ht="10.199999999999999" x14ac:dyDescent="0.2">
      <c r="G1393" s="139"/>
      <c r="U1393" s="139"/>
      <c r="AI1393" s="139"/>
      <c r="AW1393" s="139"/>
      <c r="BK1393" s="139"/>
    </row>
    <row r="1394" spans="7:63" ht="10.199999999999999" x14ac:dyDescent="0.2">
      <c r="G1394" s="139"/>
      <c r="U1394" s="139"/>
      <c r="AI1394" s="139"/>
      <c r="AW1394" s="139"/>
      <c r="BK1394" s="139"/>
    </row>
    <row r="1395" spans="7:63" ht="10.199999999999999" x14ac:dyDescent="0.2">
      <c r="G1395" s="139"/>
      <c r="U1395" s="139"/>
      <c r="AI1395" s="139"/>
      <c r="AW1395" s="139"/>
      <c r="BK1395" s="139"/>
    </row>
    <row r="1396" spans="7:63" ht="10.199999999999999" x14ac:dyDescent="0.2">
      <c r="G1396" s="139"/>
      <c r="U1396" s="139"/>
      <c r="AI1396" s="139"/>
      <c r="AW1396" s="139"/>
      <c r="BK1396" s="139"/>
    </row>
    <row r="1397" spans="7:63" ht="10.199999999999999" x14ac:dyDescent="0.2">
      <c r="G1397" s="139"/>
      <c r="U1397" s="139"/>
      <c r="AI1397" s="139"/>
      <c r="AW1397" s="139"/>
      <c r="BK1397" s="139"/>
    </row>
    <row r="1398" spans="7:63" ht="10.199999999999999" x14ac:dyDescent="0.2">
      <c r="G1398" s="139"/>
      <c r="U1398" s="139"/>
      <c r="AI1398" s="139"/>
      <c r="AW1398" s="139"/>
      <c r="BK1398" s="139"/>
    </row>
    <row r="1399" spans="7:63" ht="10.199999999999999" x14ac:dyDescent="0.2">
      <c r="G1399" s="139"/>
      <c r="U1399" s="139"/>
      <c r="AI1399" s="139"/>
      <c r="AW1399" s="139"/>
      <c r="BK1399" s="139"/>
    </row>
    <row r="1400" spans="7:63" ht="10.199999999999999" x14ac:dyDescent="0.2">
      <c r="G1400" s="139"/>
      <c r="U1400" s="139"/>
      <c r="AI1400" s="139"/>
      <c r="AW1400" s="139"/>
      <c r="BK1400" s="139"/>
    </row>
    <row r="1401" spans="7:63" ht="10.199999999999999" x14ac:dyDescent="0.2">
      <c r="G1401" s="139"/>
      <c r="U1401" s="139"/>
      <c r="AI1401" s="139"/>
      <c r="AW1401" s="139"/>
      <c r="BK1401" s="139"/>
    </row>
    <row r="1402" spans="7:63" ht="10.199999999999999" x14ac:dyDescent="0.2">
      <c r="G1402" s="139"/>
      <c r="U1402" s="139"/>
      <c r="AI1402" s="139"/>
      <c r="AW1402" s="139"/>
      <c r="BK1402" s="139"/>
    </row>
    <row r="1403" spans="7:63" ht="10.199999999999999" x14ac:dyDescent="0.2">
      <c r="G1403" s="139"/>
      <c r="U1403" s="139"/>
      <c r="AI1403" s="139"/>
      <c r="AW1403" s="139"/>
      <c r="BK1403" s="139"/>
    </row>
    <row r="1404" spans="7:63" ht="10.199999999999999" x14ac:dyDescent="0.2">
      <c r="G1404" s="139"/>
      <c r="U1404" s="139"/>
      <c r="AI1404" s="139"/>
      <c r="AW1404" s="139"/>
      <c r="BK1404" s="139"/>
    </row>
    <row r="1405" spans="7:63" ht="10.199999999999999" x14ac:dyDescent="0.2">
      <c r="G1405" s="139"/>
      <c r="U1405" s="139"/>
      <c r="AI1405" s="139"/>
      <c r="AW1405" s="139"/>
      <c r="BK1405" s="139"/>
    </row>
    <row r="1406" spans="7:63" ht="10.199999999999999" x14ac:dyDescent="0.2">
      <c r="G1406" s="139"/>
      <c r="U1406" s="139"/>
      <c r="AI1406" s="139"/>
      <c r="AW1406" s="139"/>
      <c r="BK1406" s="139"/>
    </row>
    <row r="1407" spans="7:63" ht="10.199999999999999" x14ac:dyDescent="0.2">
      <c r="G1407" s="139"/>
      <c r="U1407" s="139"/>
      <c r="AI1407" s="139"/>
      <c r="AW1407" s="139"/>
      <c r="BK1407" s="139"/>
    </row>
    <row r="1408" spans="7:63" ht="10.199999999999999" x14ac:dyDescent="0.2">
      <c r="G1408" s="139"/>
      <c r="U1408" s="139"/>
      <c r="AI1408" s="139"/>
      <c r="AW1408" s="139"/>
      <c r="BK1408" s="139"/>
    </row>
    <row r="1409" spans="7:63" ht="10.199999999999999" x14ac:dyDescent="0.2">
      <c r="G1409" s="139"/>
      <c r="U1409" s="139"/>
      <c r="AI1409" s="139"/>
      <c r="AW1409" s="139"/>
      <c r="BK1409" s="139"/>
    </row>
    <row r="1410" spans="7:63" ht="10.199999999999999" x14ac:dyDescent="0.2">
      <c r="G1410" s="139"/>
      <c r="U1410" s="139"/>
      <c r="AI1410" s="139"/>
      <c r="AW1410" s="139"/>
      <c r="BK1410" s="139"/>
    </row>
    <row r="1411" spans="7:63" ht="10.199999999999999" x14ac:dyDescent="0.2">
      <c r="G1411" s="139"/>
      <c r="U1411" s="139"/>
      <c r="AI1411" s="139"/>
      <c r="AW1411" s="139"/>
      <c r="BK1411" s="139"/>
    </row>
    <row r="1412" spans="7:63" ht="10.199999999999999" x14ac:dyDescent="0.2">
      <c r="G1412" s="139"/>
      <c r="U1412" s="139"/>
      <c r="AI1412" s="139"/>
      <c r="AW1412" s="139"/>
      <c r="BK1412" s="139"/>
    </row>
    <row r="1413" spans="7:63" ht="10.199999999999999" x14ac:dyDescent="0.2">
      <c r="G1413" s="139"/>
      <c r="U1413" s="139"/>
      <c r="AI1413" s="139"/>
      <c r="AW1413" s="139"/>
      <c r="BK1413" s="139"/>
    </row>
    <row r="1414" spans="7:63" ht="10.199999999999999" x14ac:dyDescent="0.2">
      <c r="G1414" s="139"/>
      <c r="U1414" s="139"/>
      <c r="AI1414" s="139"/>
      <c r="AW1414" s="139"/>
      <c r="BK1414" s="139"/>
    </row>
    <row r="1415" spans="7:63" ht="10.199999999999999" x14ac:dyDescent="0.2">
      <c r="G1415" s="139"/>
      <c r="U1415" s="139"/>
      <c r="AI1415" s="139"/>
      <c r="AW1415" s="139"/>
      <c r="BK1415" s="139"/>
    </row>
    <row r="1416" spans="7:63" ht="10.199999999999999" x14ac:dyDescent="0.2">
      <c r="G1416" s="139"/>
      <c r="U1416" s="139"/>
      <c r="AI1416" s="139"/>
      <c r="AW1416" s="139"/>
      <c r="BK1416" s="139"/>
    </row>
    <row r="1417" spans="7:63" ht="10.199999999999999" x14ac:dyDescent="0.2">
      <c r="G1417" s="139"/>
      <c r="U1417" s="139"/>
      <c r="AI1417" s="139"/>
      <c r="AW1417" s="139"/>
      <c r="BK1417" s="139"/>
    </row>
    <row r="1418" spans="7:63" ht="10.199999999999999" x14ac:dyDescent="0.2">
      <c r="G1418" s="139"/>
      <c r="U1418" s="139"/>
      <c r="AI1418" s="139"/>
      <c r="AW1418" s="139"/>
      <c r="BK1418" s="139"/>
    </row>
    <row r="1419" spans="7:63" ht="10.199999999999999" x14ac:dyDescent="0.2">
      <c r="G1419" s="139"/>
      <c r="U1419" s="139"/>
      <c r="AI1419" s="139"/>
      <c r="AW1419" s="139"/>
      <c r="BK1419" s="139"/>
    </row>
    <row r="1420" spans="7:63" ht="10.199999999999999" x14ac:dyDescent="0.2">
      <c r="G1420" s="139"/>
      <c r="U1420" s="139"/>
      <c r="AI1420" s="139"/>
      <c r="AW1420" s="139"/>
      <c r="BK1420" s="139"/>
    </row>
    <row r="1421" spans="7:63" ht="10.199999999999999" x14ac:dyDescent="0.2">
      <c r="G1421" s="139"/>
      <c r="U1421" s="139"/>
      <c r="AI1421" s="139"/>
      <c r="AW1421" s="139"/>
      <c r="BK1421" s="139"/>
    </row>
    <row r="1422" spans="7:63" ht="10.199999999999999" x14ac:dyDescent="0.2">
      <c r="G1422" s="139"/>
      <c r="U1422" s="139"/>
      <c r="AI1422" s="139"/>
      <c r="AW1422" s="139"/>
      <c r="BK1422" s="139"/>
    </row>
    <row r="1423" spans="7:63" ht="10.199999999999999" x14ac:dyDescent="0.2">
      <c r="G1423" s="139"/>
      <c r="U1423" s="139"/>
      <c r="AI1423" s="139"/>
      <c r="AW1423" s="139"/>
      <c r="BK1423" s="139"/>
    </row>
    <row r="1424" spans="7:63" ht="10.199999999999999" x14ac:dyDescent="0.2">
      <c r="G1424" s="139"/>
      <c r="U1424" s="139"/>
      <c r="AI1424" s="139"/>
      <c r="AW1424" s="139"/>
      <c r="BK1424" s="139"/>
    </row>
    <row r="1425" spans="7:63" ht="10.199999999999999" x14ac:dyDescent="0.2">
      <c r="G1425" s="139"/>
      <c r="U1425" s="139"/>
      <c r="AI1425" s="139"/>
      <c r="AW1425" s="139"/>
      <c r="BK1425" s="139"/>
    </row>
    <row r="1426" spans="7:63" ht="10.199999999999999" x14ac:dyDescent="0.2">
      <c r="G1426" s="139"/>
      <c r="U1426" s="139"/>
      <c r="AI1426" s="139"/>
      <c r="AW1426" s="139"/>
      <c r="BK1426" s="139"/>
    </row>
    <row r="1427" spans="7:63" ht="10.199999999999999" x14ac:dyDescent="0.2">
      <c r="G1427" s="139"/>
      <c r="U1427" s="139"/>
      <c r="AI1427" s="139"/>
      <c r="AW1427" s="139"/>
      <c r="BK1427" s="139"/>
    </row>
    <row r="1428" spans="7:63" ht="10.199999999999999" x14ac:dyDescent="0.2">
      <c r="G1428" s="139"/>
      <c r="U1428" s="139"/>
      <c r="AI1428" s="139"/>
      <c r="AW1428" s="139"/>
      <c r="BK1428" s="139"/>
    </row>
    <row r="1429" spans="7:63" ht="10.199999999999999" x14ac:dyDescent="0.2">
      <c r="G1429" s="139"/>
      <c r="U1429" s="139"/>
      <c r="AI1429" s="139"/>
      <c r="AW1429" s="139"/>
      <c r="BK1429" s="139"/>
    </row>
    <row r="1430" spans="7:63" ht="10.199999999999999" x14ac:dyDescent="0.2">
      <c r="G1430" s="139"/>
      <c r="U1430" s="139"/>
      <c r="AI1430" s="139"/>
      <c r="AW1430" s="139"/>
      <c r="BK1430" s="139"/>
    </row>
    <row r="1431" spans="7:63" ht="10.199999999999999" x14ac:dyDescent="0.2">
      <c r="G1431" s="139"/>
      <c r="U1431" s="139"/>
      <c r="AI1431" s="139"/>
      <c r="AW1431" s="139"/>
      <c r="BK1431" s="139"/>
    </row>
    <row r="1432" spans="7:63" ht="10.199999999999999" x14ac:dyDescent="0.2">
      <c r="G1432" s="139"/>
      <c r="U1432" s="139"/>
      <c r="AI1432" s="139"/>
      <c r="AW1432" s="139"/>
      <c r="BK1432" s="139"/>
    </row>
    <row r="1433" spans="7:63" ht="10.199999999999999" x14ac:dyDescent="0.2">
      <c r="G1433" s="139"/>
      <c r="U1433" s="139"/>
      <c r="AI1433" s="139"/>
      <c r="AW1433" s="139"/>
      <c r="BK1433" s="139"/>
    </row>
    <row r="1434" spans="7:63" ht="10.199999999999999" x14ac:dyDescent="0.2">
      <c r="G1434" s="139"/>
      <c r="U1434" s="139"/>
      <c r="AI1434" s="139"/>
      <c r="AW1434" s="139"/>
      <c r="BK1434" s="139"/>
    </row>
    <row r="1435" spans="7:63" ht="10.199999999999999" x14ac:dyDescent="0.2">
      <c r="G1435" s="139"/>
      <c r="U1435" s="139"/>
      <c r="AI1435" s="139"/>
      <c r="AW1435" s="139"/>
      <c r="BK1435" s="139"/>
    </row>
    <row r="1436" spans="7:63" ht="10.199999999999999" x14ac:dyDescent="0.2">
      <c r="G1436" s="139"/>
      <c r="U1436" s="139"/>
      <c r="AI1436" s="139"/>
      <c r="AW1436" s="139"/>
      <c r="BK1436" s="139"/>
    </row>
    <row r="1437" spans="7:63" ht="10.199999999999999" x14ac:dyDescent="0.2">
      <c r="G1437" s="139"/>
      <c r="U1437" s="139"/>
      <c r="AI1437" s="139"/>
      <c r="AW1437" s="139"/>
      <c r="BK1437" s="139"/>
    </row>
    <row r="1438" spans="7:63" ht="10.199999999999999" x14ac:dyDescent="0.2">
      <c r="G1438" s="139"/>
      <c r="U1438" s="139"/>
      <c r="AI1438" s="139"/>
      <c r="AW1438" s="139"/>
      <c r="BK1438" s="139"/>
    </row>
    <row r="1439" spans="7:63" ht="10.199999999999999" x14ac:dyDescent="0.2">
      <c r="G1439" s="139"/>
      <c r="U1439" s="139"/>
      <c r="AI1439" s="139"/>
      <c r="AW1439" s="139"/>
      <c r="BK1439" s="139"/>
    </row>
    <row r="1440" spans="7:63" ht="10.199999999999999" x14ac:dyDescent="0.2">
      <c r="G1440" s="139"/>
      <c r="U1440" s="139"/>
      <c r="AI1440" s="139"/>
      <c r="AW1440" s="139"/>
      <c r="BK1440" s="139"/>
    </row>
    <row r="1441" spans="7:63" ht="10.199999999999999" x14ac:dyDescent="0.2">
      <c r="G1441" s="139"/>
      <c r="U1441" s="139"/>
      <c r="AI1441" s="139"/>
      <c r="AW1441" s="139"/>
      <c r="BK1441" s="139"/>
    </row>
    <row r="1442" spans="7:63" ht="10.199999999999999" x14ac:dyDescent="0.2">
      <c r="G1442" s="139"/>
      <c r="U1442" s="139"/>
      <c r="AI1442" s="139"/>
      <c r="AW1442" s="139"/>
      <c r="BK1442" s="139"/>
    </row>
    <row r="1443" spans="7:63" ht="10.199999999999999" x14ac:dyDescent="0.2">
      <c r="G1443" s="139"/>
      <c r="U1443" s="139"/>
      <c r="AI1443" s="139"/>
      <c r="AW1443" s="139"/>
      <c r="BK1443" s="139"/>
    </row>
    <row r="1444" spans="7:63" ht="10.199999999999999" x14ac:dyDescent="0.2">
      <c r="G1444" s="139"/>
      <c r="U1444" s="139"/>
      <c r="AI1444" s="139"/>
      <c r="AW1444" s="139"/>
      <c r="BK1444" s="139"/>
    </row>
    <row r="1445" spans="7:63" ht="10.199999999999999" x14ac:dyDescent="0.2">
      <c r="G1445" s="139"/>
      <c r="U1445" s="139"/>
      <c r="AI1445" s="139"/>
      <c r="AW1445" s="139"/>
      <c r="BK1445" s="139"/>
    </row>
    <row r="1446" spans="7:63" ht="10.199999999999999" x14ac:dyDescent="0.2">
      <c r="G1446" s="139"/>
      <c r="U1446" s="139"/>
      <c r="AI1446" s="139"/>
      <c r="AW1446" s="139"/>
      <c r="BK1446" s="139"/>
    </row>
    <row r="1447" spans="7:63" ht="10.199999999999999" x14ac:dyDescent="0.2">
      <c r="G1447" s="139"/>
      <c r="U1447" s="139"/>
      <c r="AI1447" s="139"/>
      <c r="AW1447" s="139"/>
      <c r="BK1447" s="139"/>
    </row>
    <row r="1448" spans="7:63" ht="10.199999999999999" x14ac:dyDescent="0.2">
      <c r="G1448" s="139"/>
      <c r="U1448" s="139"/>
      <c r="AI1448" s="139"/>
      <c r="AW1448" s="139"/>
      <c r="BK1448" s="139"/>
    </row>
    <row r="1449" spans="7:63" ht="10.199999999999999" x14ac:dyDescent="0.2">
      <c r="G1449" s="139"/>
      <c r="U1449" s="139"/>
      <c r="AI1449" s="139"/>
      <c r="AW1449" s="139"/>
      <c r="BK1449" s="139"/>
    </row>
    <row r="1450" spans="7:63" ht="10.199999999999999" x14ac:dyDescent="0.2">
      <c r="G1450" s="139"/>
      <c r="U1450" s="139"/>
      <c r="AI1450" s="139"/>
      <c r="AW1450" s="139"/>
      <c r="BK1450" s="139"/>
    </row>
    <row r="1451" spans="7:63" ht="10.199999999999999" x14ac:dyDescent="0.2">
      <c r="G1451" s="139"/>
      <c r="U1451" s="139"/>
      <c r="AI1451" s="139"/>
      <c r="AW1451" s="139"/>
      <c r="BK1451" s="139"/>
    </row>
    <row r="1452" spans="7:63" ht="10.199999999999999" x14ac:dyDescent="0.2">
      <c r="G1452" s="139"/>
      <c r="U1452" s="139"/>
      <c r="AI1452" s="139"/>
      <c r="AW1452" s="139"/>
      <c r="BK1452" s="139"/>
    </row>
    <row r="1453" spans="7:63" ht="10.199999999999999" x14ac:dyDescent="0.2">
      <c r="G1453" s="139"/>
      <c r="U1453" s="139"/>
      <c r="AI1453" s="139"/>
      <c r="AW1453" s="139"/>
      <c r="BK1453" s="139"/>
    </row>
    <row r="1454" spans="7:63" ht="10.199999999999999" x14ac:dyDescent="0.2">
      <c r="G1454" s="139"/>
      <c r="U1454" s="139"/>
      <c r="AI1454" s="139"/>
      <c r="AW1454" s="139"/>
      <c r="BK1454" s="139"/>
    </row>
    <row r="1455" spans="7:63" ht="10.199999999999999" x14ac:dyDescent="0.2">
      <c r="G1455" s="139"/>
      <c r="U1455" s="139"/>
      <c r="AI1455" s="139"/>
      <c r="AW1455" s="139"/>
      <c r="BK1455" s="139"/>
    </row>
    <row r="1456" spans="7:63" ht="10.199999999999999" x14ac:dyDescent="0.2">
      <c r="G1456" s="139"/>
      <c r="U1456" s="139"/>
      <c r="AI1456" s="139"/>
      <c r="AW1456" s="139"/>
      <c r="BK1456" s="139"/>
    </row>
    <row r="1457" spans="7:63" ht="10.199999999999999" x14ac:dyDescent="0.2">
      <c r="G1457" s="139"/>
      <c r="U1457" s="139"/>
      <c r="AI1457" s="139"/>
      <c r="AW1457" s="139"/>
      <c r="BK1457" s="139"/>
    </row>
    <row r="1458" spans="7:63" ht="10.199999999999999" x14ac:dyDescent="0.2">
      <c r="G1458" s="139"/>
      <c r="U1458" s="139"/>
      <c r="AI1458" s="139"/>
      <c r="AW1458" s="139"/>
      <c r="BK1458" s="139"/>
    </row>
    <row r="1459" spans="7:63" ht="10.199999999999999" x14ac:dyDescent="0.2">
      <c r="G1459" s="139"/>
      <c r="U1459" s="139"/>
      <c r="AI1459" s="139"/>
      <c r="AW1459" s="139"/>
      <c r="BK1459" s="139"/>
    </row>
    <row r="1460" spans="7:63" ht="10.199999999999999" x14ac:dyDescent="0.2">
      <c r="G1460" s="139"/>
      <c r="U1460" s="139"/>
      <c r="AI1460" s="139"/>
      <c r="AW1460" s="139"/>
      <c r="BK1460" s="139"/>
    </row>
    <row r="1461" spans="7:63" ht="10.199999999999999" x14ac:dyDescent="0.2">
      <c r="G1461" s="139"/>
      <c r="U1461" s="139"/>
      <c r="AI1461" s="139"/>
      <c r="AW1461" s="139"/>
      <c r="BK1461" s="139"/>
    </row>
    <row r="1462" spans="7:63" ht="10.199999999999999" x14ac:dyDescent="0.2">
      <c r="G1462" s="139"/>
      <c r="U1462" s="139"/>
      <c r="AI1462" s="139"/>
      <c r="AW1462" s="139"/>
      <c r="BK1462" s="139"/>
    </row>
    <row r="1463" spans="7:63" ht="10.199999999999999" x14ac:dyDescent="0.2">
      <c r="G1463" s="139"/>
      <c r="U1463" s="139"/>
      <c r="AI1463" s="139"/>
      <c r="AW1463" s="139"/>
      <c r="BK1463" s="139"/>
    </row>
    <row r="1464" spans="7:63" ht="10.199999999999999" x14ac:dyDescent="0.2">
      <c r="G1464" s="139"/>
      <c r="U1464" s="139"/>
      <c r="AI1464" s="139"/>
      <c r="AW1464" s="139"/>
      <c r="BK1464" s="139"/>
    </row>
    <row r="1465" spans="7:63" ht="10.199999999999999" x14ac:dyDescent="0.2">
      <c r="G1465" s="139"/>
      <c r="U1465" s="139"/>
      <c r="AI1465" s="139"/>
      <c r="AW1465" s="139"/>
      <c r="BK1465" s="139"/>
    </row>
    <row r="1466" spans="7:63" ht="10.199999999999999" x14ac:dyDescent="0.2">
      <c r="G1466" s="139"/>
      <c r="U1466" s="139"/>
      <c r="AI1466" s="139"/>
      <c r="AW1466" s="139"/>
      <c r="BK1466" s="139"/>
    </row>
    <row r="1467" spans="7:63" ht="10.199999999999999" x14ac:dyDescent="0.2">
      <c r="G1467" s="139"/>
      <c r="U1467" s="139"/>
      <c r="AI1467" s="139"/>
      <c r="AW1467" s="139"/>
      <c r="BK1467" s="139"/>
    </row>
    <row r="1468" spans="7:63" ht="10.199999999999999" x14ac:dyDescent="0.2">
      <c r="G1468" s="139"/>
      <c r="U1468" s="139"/>
      <c r="AI1468" s="139"/>
      <c r="AW1468" s="139"/>
      <c r="BK1468" s="139"/>
    </row>
    <row r="1469" spans="7:63" ht="10.199999999999999" x14ac:dyDescent="0.2">
      <c r="G1469" s="139"/>
      <c r="U1469" s="139"/>
      <c r="AI1469" s="139"/>
      <c r="AW1469" s="139"/>
      <c r="BK1469" s="139"/>
    </row>
    <row r="1470" spans="7:63" ht="10.199999999999999" x14ac:dyDescent="0.2">
      <c r="G1470" s="139"/>
      <c r="U1470" s="139"/>
      <c r="AI1470" s="139"/>
      <c r="AW1470" s="139"/>
      <c r="BK1470" s="139"/>
    </row>
    <row r="1471" spans="7:63" ht="10.199999999999999" x14ac:dyDescent="0.2">
      <c r="G1471" s="139"/>
      <c r="U1471" s="139"/>
      <c r="AI1471" s="139"/>
      <c r="AW1471" s="139"/>
      <c r="BK1471" s="139"/>
    </row>
    <row r="1472" spans="7:63" ht="10.199999999999999" x14ac:dyDescent="0.2">
      <c r="G1472" s="139"/>
      <c r="U1472" s="139"/>
      <c r="AI1472" s="139"/>
      <c r="AW1472" s="139"/>
      <c r="BK1472" s="139"/>
    </row>
    <row r="1473" spans="7:63" ht="10.199999999999999" x14ac:dyDescent="0.2">
      <c r="G1473" s="139"/>
      <c r="U1473" s="139"/>
      <c r="AI1473" s="139"/>
      <c r="AW1473" s="139"/>
      <c r="BK1473" s="139"/>
    </row>
    <row r="1474" spans="7:63" ht="10.199999999999999" x14ac:dyDescent="0.2">
      <c r="G1474" s="139"/>
      <c r="U1474" s="139"/>
      <c r="AI1474" s="139"/>
      <c r="AW1474" s="139"/>
      <c r="BK1474" s="139"/>
    </row>
    <row r="1475" spans="7:63" ht="10.199999999999999" x14ac:dyDescent="0.2">
      <c r="G1475" s="139"/>
      <c r="U1475" s="139"/>
      <c r="AI1475" s="139"/>
      <c r="AW1475" s="139"/>
      <c r="BK1475" s="139"/>
    </row>
    <row r="1476" spans="7:63" ht="10.199999999999999" x14ac:dyDescent="0.2">
      <c r="G1476" s="139"/>
      <c r="U1476" s="139"/>
      <c r="AI1476" s="139"/>
      <c r="AW1476" s="139"/>
      <c r="BK1476" s="139"/>
    </row>
    <row r="1477" spans="7:63" ht="10.199999999999999" x14ac:dyDescent="0.2">
      <c r="G1477" s="139"/>
      <c r="U1477" s="139"/>
      <c r="AI1477" s="139"/>
      <c r="AW1477" s="139"/>
      <c r="BK1477" s="139"/>
    </row>
    <row r="1478" spans="7:63" ht="10.199999999999999" x14ac:dyDescent="0.2">
      <c r="G1478" s="139"/>
      <c r="U1478" s="139"/>
      <c r="AI1478" s="139"/>
      <c r="AW1478" s="139"/>
      <c r="BK1478" s="139"/>
    </row>
    <row r="1479" spans="7:63" ht="10.199999999999999" x14ac:dyDescent="0.2">
      <c r="G1479" s="139"/>
      <c r="U1479" s="139"/>
      <c r="AI1479" s="139"/>
      <c r="AW1479" s="139"/>
      <c r="BK1479" s="139"/>
    </row>
    <row r="1480" spans="7:63" ht="10.199999999999999" x14ac:dyDescent="0.2">
      <c r="G1480" s="139"/>
      <c r="U1480" s="139"/>
      <c r="AI1480" s="139"/>
      <c r="AW1480" s="139"/>
      <c r="BK1480" s="139"/>
    </row>
    <row r="1481" spans="7:63" ht="10.199999999999999" x14ac:dyDescent="0.2">
      <c r="G1481" s="139"/>
      <c r="U1481" s="139"/>
      <c r="AI1481" s="139"/>
      <c r="AW1481" s="139"/>
      <c r="BK1481" s="139"/>
    </row>
    <row r="1482" spans="7:63" ht="10.199999999999999" x14ac:dyDescent="0.2">
      <c r="G1482" s="139"/>
      <c r="U1482" s="139"/>
      <c r="AI1482" s="139"/>
      <c r="AW1482" s="139"/>
      <c r="BK1482" s="139"/>
    </row>
    <row r="1483" spans="7:63" ht="10.199999999999999" x14ac:dyDescent="0.2">
      <c r="G1483" s="139"/>
      <c r="U1483" s="139"/>
      <c r="AI1483" s="139"/>
      <c r="AW1483" s="139"/>
      <c r="BK1483" s="139"/>
    </row>
    <row r="1484" spans="7:63" ht="10.199999999999999" x14ac:dyDescent="0.2">
      <c r="G1484" s="139"/>
      <c r="U1484" s="139"/>
      <c r="AI1484" s="139"/>
      <c r="AW1484" s="139"/>
      <c r="BK1484" s="139"/>
    </row>
    <row r="1485" spans="7:63" ht="10.199999999999999" x14ac:dyDescent="0.2">
      <c r="G1485" s="139"/>
      <c r="U1485" s="139"/>
      <c r="AI1485" s="139"/>
      <c r="AW1485" s="139"/>
      <c r="BK1485" s="139"/>
    </row>
    <row r="1486" spans="7:63" ht="10.199999999999999" x14ac:dyDescent="0.2">
      <c r="G1486" s="139"/>
      <c r="U1486" s="139"/>
      <c r="AI1486" s="139"/>
      <c r="AW1486" s="139"/>
      <c r="BK1486" s="139"/>
    </row>
    <row r="1487" spans="7:63" ht="10.199999999999999" x14ac:dyDescent="0.2">
      <c r="G1487" s="139"/>
      <c r="U1487" s="139"/>
      <c r="AI1487" s="139"/>
      <c r="AW1487" s="139"/>
      <c r="BK1487" s="139"/>
    </row>
    <row r="1488" spans="7:63" ht="10.199999999999999" x14ac:dyDescent="0.2">
      <c r="G1488" s="139"/>
      <c r="U1488" s="139"/>
      <c r="AI1488" s="139"/>
      <c r="AW1488" s="139"/>
      <c r="BK1488" s="139"/>
    </row>
    <row r="1489" spans="7:63" ht="10.199999999999999" x14ac:dyDescent="0.2">
      <c r="G1489" s="139"/>
      <c r="U1489" s="139"/>
      <c r="AI1489" s="139"/>
      <c r="AW1489" s="139"/>
      <c r="BK1489" s="139"/>
    </row>
    <row r="1490" spans="7:63" ht="10.199999999999999" x14ac:dyDescent="0.2">
      <c r="G1490" s="139"/>
      <c r="U1490" s="139"/>
      <c r="AI1490" s="139"/>
      <c r="AW1490" s="139"/>
      <c r="BK1490" s="139"/>
    </row>
    <row r="1491" spans="7:63" ht="10.199999999999999" x14ac:dyDescent="0.2">
      <c r="G1491" s="139"/>
      <c r="U1491" s="139"/>
      <c r="AI1491" s="139"/>
      <c r="AW1491" s="139"/>
      <c r="BK1491" s="139"/>
    </row>
    <row r="1492" spans="7:63" ht="10.199999999999999" x14ac:dyDescent="0.2">
      <c r="G1492" s="139"/>
      <c r="U1492" s="139"/>
      <c r="AI1492" s="139"/>
      <c r="AW1492" s="139"/>
      <c r="BK1492" s="139"/>
    </row>
    <row r="1493" spans="7:63" ht="10.199999999999999" x14ac:dyDescent="0.2">
      <c r="G1493" s="139"/>
      <c r="U1493" s="139"/>
      <c r="AI1493" s="139"/>
      <c r="AW1493" s="139"/>
      <c r="BK1493" s="139"/>
    </row>
    <row r="1494" spans="7:63" ht="10.199999999999999" x14ac:dyDescent="0.2">
      <c r="G1494" s="139"/>
      <c r="U1494" s="139"/>
      <c r="AI1494" s="139"/>
      <c r="AW1494" s="139"/>
      <c r="BK1494" s="139"/>
    </row>
    <row r="1495" spans="7:63" ht="10.199999999999999" x14ac:dyDescent="0.2">
      <c r="G1495" s="139"/>
      <c r="U1495" s="139"/>
      <c r="AI1495" s="139"/>
      <c r="AW1495" s="139"/>
      <c r="BK1495" s="139"/>
    </row>
    <row r="1496" spans="7:63" ht="10.199999999999999" x14ac:dyDescent="0.2">
      <c r="G1496" s="139"/>
      <c r="U1496" s="139"/>
      <c r="AI1496" s="139"/>
      <c r="AW1496" s="139"/>
      <c r="BK1496" s="139"/>
    </row>
    <row r="1497" spans="7:63" ht="10.199999999999999" x14ac:dyDescent="0.2">
      <c r="G1497" s="139"/>
      <c r="U1497" s="139"/>
      <c r="AI1497" s="139"/>
      <c r="AW1497" s="139"/>
      <c r="BK1497" s="139"/>
    </row>
    <row r="1498" spans="7:63" ht="10.199999999999999" x14ac:dyDescent="0.2">
      <c r="G1498" s="139"/>
      <c r="U1498" s="139"/>
      <c r="AI1498" s="139"/>
      <c r="AW1498" s="139"/>
      <c r="BK1498" s="139"/>
    </row>
    <row r="1499" spans="7:63" ht="10.199999999999999" x14ac:dyDescent="0.2">
      <c r="G1499" s="139"/>
      <c r="U1499" s="139"/>
      <c r="AI1499" s="139"/>
      <c r="AW1499" s="139"/>
      <c r="BK1499" s="139"/>
    </row>
    <row r="1500" spans="7:63" ht="10.199999999999999" x14ac:dyDescent="0.2">
      <c r="G1500" s="139"/>
      <c r="U1500" s="139"/>
      <c r="AI1500" s="139"/>
      <c r="AW1500" s="139"/>
      <c r="BK1500" s="139"/>
    </row>
    <row r="1501" spans="7:63" ht="10.199999999999999" x14ac:dyDescent="0.2">
      <c r="G1501" s="139"/>
      <c r="U1501" s="139"/>
      <c r="AI1501" s="139"/>
      <c r="AW1501" s="139"/>
      <c r="BK1501" s="139"/>
    </row>
    <row r="1502" spans="7:63" ht="10.199999999999999" x14ac:dyDescent="0.2">
      <c r="G1502" s="139"/>
      <c r="U1502" s="139"/>
      <c r="AI1502" s="139"/>
      <c r="AW1502" s="139"/>
      <c r="BK1502" s="139"/>
    </row>
    <row r="1503" spans="7:63" ht="10.199999999999999" x14ac:dyDescent="0.2">
      <c r="G1503" s="139"/>
      <c r="U1503" s="139"/>
      <c r="AI1503" s="139"/>
      <c r="AW1503" s="139"/>
      <c r="BK1503" s="139"/>
    </row>
    <row r="1504" spans="7:63" ht="10.199999999999999" x14ac:dyDescent="0.2">
      <c r="G1504" s="139"/>
      <c r="U1504" s="139"/>
      <c r="AI1504" s="139"/>
      <c r="AW1504" s="139"/>
      <c r="BK1504" s="139"/>
    </row>
    <row r="1505" spans="7:63" ht="10.199999999999999" x14ac:dyDescent="0.2">
      <c r="G1505" s="139"/>
      <c r="U1505" s="139"/>
      <c r="AI1505" s="139"/>
      <c r="AW1505" s="139"/>
      <c r="BK1505" s="139"/>
    </row>
    <row r="1506" spans="7:63" ht="10.199999999999999" x14ac:dyDescent="0.2">
      <c r="G1506" s="139"/>
      <c r="U1506" s="139"/>
      <c r="AI1506" s="139"/>
      <c r="AW1506" s="139"/>
      <c r="BK1506" s="139"/>
    </row>
    <row r="1507" spans="7:63" ht="10.199999999999999" x14ac:dyDescent="0.2">
      <c r="G1507" s="139"/>
      <c r="U1507" s="139"/>
      <c r="AI1507" s="139"/>
      <c r="AW1507" s="139"/>
      <c r="BK1507" s="139"/>
    </row>
    <row r="1508" spans="7:63" ht="10.199999999999999" x14ac:dyDescent="0.2">
      <c r="G1508" s="139"/>
      <c r="U1508" s="139"/>
      <c r="AI1508" s="139"/>
      <c r="AW1508" s="139"/>
      <c r="BK1508" s="139"/>
    </row>
    <row r="1509" spans="7:63" ht="10.199999999999999" x14ac:dyDescent="0.2">
      <c r="G1509" s="139"/>
      <c r="U1509" s="139"/>
      <c r="AI1509" s="139"/>
      <c r="AW1509" s="139"/>
      <c r="BK1509" s="139"/>
    </row>
    <row r="1510" spans="7:63" ht="10.199999999999999" x14ac:dyDescent="0.2">
      <c r="G1510" s="139"/>
      <c r="U1510" s="139"/>
      <c r="AI1510" s="139"/>
      <c r="AW1510" s="139"/>
      <c r="BK1510" s="139"/>
    </row>
    <row r="1511" spans="7:63" ht="10.199999999999999" x14ac:dyDescent="0.2">
      <c r="G1511" s="139"/>
      <c r="U1511" s="139"/>
      <c r="AI1511" s="139"/>
      <c r="AW1511" s="139"/>
      <c r="BK1511" s="139"/>
    </row>
    <row r="1512" spans="7:63" ht="10.199999999999999" x14ac:dyDescent="0.2">
      <c r="G1512" s="139"/>
      <c r="U1512" s="139"/>
      <c r="AI1512" s="139"/>
      <c r="AW1512" s="139"/>
      <c r="BK1512" s="139"/>
    </row>
    <row r="1513" spans="7:63" ht="10.199999999999999" x14ac:dyDescent="0.2">
      <c r="G1513" s="139"/>
      <c r="U1513" s="139"/>
      <c r="AI1513" s="139"/>
      <c r="AW1513" s="139"/>
      <c r="BK1513" s="139"/>
    </row>
    <row r="1514" spans="7:63" ht="10.199999999999999" x14ac:dyDescent="0.2">
      <c r="G1514" s="139"/>
      <c r="U1514" s="139"/>
      <c r="AI1514" s="139"/>
      <c r="AW1514" s="139"/>
      <c r="BK1514" s="139"/>
    </row>
    <row r="1515" spans="7:63" ht="10.199999999999999" x14ac:dyDescent="0.2">
      <c r="G1515" s="139"/>
      <c r="U1515" s="139"/>
      <c r="AI1515" s="139"/>
      <c r="AW1515" s="139"/>
      <c r="BK1515" s="139"/>
    </row>
    <row r="1516" spans="7:63" ht="10.199999999999999" x14ac:dyDescent="0.2">
      <c r="G1516" s="139"/>
      <c r="U1516" s="139"/>
      <c r="AI1516" s="139"/>
      <c r="AW1516" s="139"/>
      <c r="BK1516" s="139"/>
    </row>
    <row r="1517" spans="7:63" ht="10.199999999999999" x14ac:dyDescent="0.2">
      <c r="G1517" s="139"/>
      <c r="U1517" s="139"/>
      <c r="AI1517" s="139"/>
      <c r="AW1517" s="139"/>
      <c r="BK1517" s="139"/>
    </row>
    <row r="1518" spans="7:63" ht="10.199999999999999" x14ac:dyDescent="0.2">
      <c r="G1518" s="139"/>
      <c r="U1518" s="139"/>
      <c r="AI1518" s="139"/>
      <c r="AW1518" s="139"/>
      <c r="BK1518" s="139"/>
    </row>
    <row r="1519" spans="7:63" ht="10.199999999999999" x14ac:dyDescent="0.2">
      <c r="G1519" s="139"/>
      <c r="U1519" s="139"/>
      <c r="AI1519" s="139"/>
      <c r="AW1519" s="139"/>
      <c r="BK1519" s="139"/>
    </row>
    <row r="1520" spans="7:63" ht="10.199999999999999" x14ac:dyDescent="0.2">
      <c r="G1520" s="139"/>
      <c r="U1520" s="139"/>
      <c r="AI1520" s="139"/>
      <c r="AW1520" s="139"/>
      <c r="BK1520" s="139"/>
    </row>
    <row r="1521" spans="7:63" ht="10.199999999999999" x14ac:dyDescent="0.2">
      <c r="G1521" s="139"/>
      <c r="U1521" s="139"/>
      <c r="AI1521" s="139"/>
      <c r="AW1521" s="139"/>
      <c r="BK1521" s="139"/>
    </row>
    <row r="1522" spans="7:63" ht="10.199999999999999" x14ac:dyDescent="0.2">
      <c r="G1522" s="139"/>
      <c r="U1522" s="139"/>
      <c r="AI1522" s="139"/>
      <c r="AW1522" s="139"/>
      <c r="BK1522" s="139"/>
    </row>
    <row r="1523" spans="7:63" ht="10.199999999999999" x14ac:dyDescent="0.2">
      <c r="G1523" s="139"/>
      <c r="U1523" s="139"/>
      <c r="AI1523" s="139"/>
      <c r="AW1523" s="139"/>
      <c r="BK1523" s="139"/>
    </row>
    <row r="1524" spans="7:63" ht="10.199999999999999" x14ac:dyDescent="0.2">
      <c r="G1524" s="139"/>
      <c r="U1524" s="139"/>
      <c r="AI1524" s="139"/>
      <c r="AW1524" s="139"/>
      <c r="BK1524" s="139"/>
    </row>
    <row r="1525" spans="7:63" ht="10.199999999999999" x14ac:dyDescent="0.2">
      <c r="G1525" s="139"/>
      <c r="U1525" s="139"/>
      <c r="AI1525" s="139"/>
      <c r="AW1525" s="139"/>
      <c r="BK1525" s="139"/>
    </row>
    <row r="1526" spans="7:63" ht="10.199999999999999" x14ac:dyDescent="0.2">
      <c r="G1526" s="139"/>
      <c r="U1526" s="139"/>
      <c r="AI1526" s="139"/>
      <c r="AW1526" s="139"/>
      <c r="BK1526" s="139"/>
    </row>
    <row r="1527" spans="7:63" ht="10.199999999999999" x14ac:dyDescent="0.2">
      <c r="G1527" s="139"/>
      <c r="U1527" s="139"/>
      <c r="AI1527" s="139"/>
      <c r="AW1527" s="139"/>
      <c r="BK1527" s="139"/>
    </row>
    <row r="1528" spans="7:63" ht="10.199999999999999" x14ac:dyDescent="0.2">
      <c r="G1528" s="139"/>
      <c r="U1528" s="139"/>
      <c r="AI1528" s="139"/>
      <c r="AW1528" s="139"/>
      <c r="BK1528" s="139"/>
    </row>
    <row r="1529" spans="7:63" ht="10.199999999999999" x14ac:dyDescent="0.2">
      <c r="G1529" s="139"/>
      <c r="U1529" s="139"/>
      <c r="AI1529" s="139"/>
      <c r="AW1529" s="139"/>
      <c r="BK1529" s="139"/>
    </row>
    <row r="1530" spans="7:63" ht="10.199999999999999" x14ac:dyDescent="0.2">
      <c r="G1530" s="139"/>
      <c r="U1530" s="139"/>
      <c r="AI1530" s="139"/>
      <c r="AW1530" s="139"/>
      <c r="BK1530" s="139"/>
    </row>
    <row r="1531" spans="7:63" ht="10.199999999999999" x14ac:dyDescent="0.2">
      <c r="G1531" s="139"/>
      <c r="U1531" s="139"/>
      <c r="AI1531" s="139"/>
      <c r="AW1531" s="139"/>
      <c r="BK1531" s="139"/>
    </row>
    <row r="1532" spans="7:63" ht="10.199999999999999" x14ac:dyDescent="0.2">
      <c r="G1532" s="139"/>
      <c r="U1532" s="139"/>
      <c r="AI1532" s="139"/>
      <c r="AW1532" s="139"/>
      <c r="BK1532" s="139"/>
    </row>
    <row r="1533" spans="7:63" ht="10.199999999999999" x14ac:dyDescent="0.2">
      <c r="G1533" s="139"/>
      <c r="U1533" s="139"/>
      <c r="AI1533" s="139"/>
      <c r="AW1533" s="139"/>
      <c r="BK1533" s="139"/>
    </row>
    <row r="1534" spans="7:63" ht="10.199999999999999" x14ac:dyDescent="0.2">
      <c r="G1534" s="139"/>
      <c r="U1534" s="139"/>
      <c r="AI1534" s="139"/>
      <c r="AW1534" s="139"/>
      <c r="BK1534" s="139"/>
    </row>
    <row r="1535" spans="7:63" ht="10.199999999999999" x14ac:dyDescent="0.2">
      <c r="G1535" s="139"/>
      <c r="U1535" s="139"/>
      <c r="AI1535" s="139"/>
      <c r="AW1535" s="139"/>
      <c r="BK1535" s="139"/>
    </row>
    <row r="1536" spans="7:63" ht="10.199999999999999" x14ac:dyDescent="0.2">
      <c r="G1536" s="139"/>
      <c r="U1536" s="139"/>
      <c r="AI1536" s="139"/>
      <c r="AW1536" s="139"/>
      <c r="BK1536" s="139"/>
    </row>
    <row r="1537" spans="7:63" ht="10.199999999999999" x14ac:dyDescent="0.2">
      <c r="G1537" s="139"/>
      <c r="U1537" s="139"/>
      <c r="AI1537" s="139"/>
      <c r="AW1537" s="139"/>
      <c r="BK1537" s="139"/>
    </row>
    <row r="1538" spans="7:63" ht="10.199999999999999" x14ac:dyDescent="0.2">
      <c r="G1538" s="139"/>
      <c r="U1538" s="139"/>
      <c r="AI1538" s="139"/>
      <c r="AW1538" s="139"/>
      <c r="BK1538" s="139"/>
    </row>
    <row r="1539" spans="7:63" ht="10.199999999999999" x14ac:dyDescent="0.2">
      <c r="G1539" s="139"/>
      <c r="U1539" s="139"/>
      <c r="AI1539" s="139"/>
      <c r="AW1539" s="139"/>
      <c r="BK1539" s="139"/>
    </row>
    <row r="1540" spans="7:63" ht="10.199999999999999" x14ac:dyDescent="0.2">
      <c r="G1540" s="139"/>
      <c r="U1540" s="139"/>
      <c r="AI1540" s="139"/>
      <c r="AW1540" s="139"/>
      <c r="BK1540" s="139"/>
    </row>
    <row r="1541" spans="7:63" ht="10.199999999999999" x14ac:dyDescent="0.2">
      <c r="G1541" s="139"/>
      <c r="U1541" s="139"/>
      <c r="AI1541" s="139"/>
      <c r="AW1541" s="139"/>
      <c r="BK1541" s="139"/>
    </row>
    <row r="1542" spans="7:63" ht="10.199999999999999" x14ac:dyDescent="0.2">
      <c r="G1542" s="139"/>
      <c r="U1542" s="139"/>
      <c r="AI1542" s="139"/>
      <c r="AW1542" s="139"/>
      <c r="BK1542" s="139"/>
    </row>
    <row r="1543" spans="7:63" ht="10.199999999999999" x14ac:dyDescent="0.2">
      <c r="G1543" s="139"/>
      <c r="U1543" s="139"/>
      <c r="AI1543" s="139"/>
      <c r="AW1543" s="139"/>
      <c r="BK1543" s="139"/>
    </row>
    <row r="1544" spans="7:63" ht="10.199999999999999" x14ac:dyDescent="0.2">
      <c r="G1544" s="139"/>
      <c r="U1544" s="139"/>
      <c r="AI1544" s="139"/>
      <c r="AW1544" s="139"/>
      <c r="BK1544" s="139"/>
    </row>
    <row r="1545" spans="7:63" ht="10.199999999999999" x14ac:dyDescent="0.2">
      <c r="G1545" s="139"/>
      <c r="U1545" s="139"/>
      <c r="AI1545" s="139"/>
      <c r="AW1545" s="139"/>
      <c r="BK1545" s="139"/>
    </row>
    <row r="1546" spans="7:63" ht="10.199999999999999" x14ac:dyDescent="0.2">
      <c r="G1546" s="139"/>
      <c r="U1546" s="139"/>
      <c r="AI1546" s="139"/>
      <c r="AW1546" s="139"/>
      <c r="BK1546" s="139"/>
    </row>
    <row r="1547" spans="7:63" ht="10.199999999999999" x14ac:dyDescent="0.2">
      <c r="G1547" s="139"/>
      <c r="U1547" s="139"/>
      <c r="AI1547" s="139"/>
      <c r="AW1547" s="139"/>
      <c r="BK1547" s="139"/>
    </row>
    <row r="1548" spans="7:63" ht="10.199999999999999" x14ac:dyDescent="0.2">
      <c r="G1548" s="139"/>
      <c r="U1548" s="139"/>
      <c r="AI1548" s="139"/>
      <c r="AW1548" s="139"/>
      <c r="BK1548" s="139"/>
    </row>
    <row r="1549" spans="7:63" ht="10.199999999999999" x14ac:dyDescent="0.2">
      <c r="G1549" s="139"/>
      <c r="U1549" s="139"/>
      <c r="AI1549" s="139"/>
      <c r="AW1549" s="139"/>
      <c r="BK1549" s="139"/>
    </row>
    <row r="1550" spans="7:63" ht="10.199999999999999" x14ac:dyDescent="0.2">
      <c r="G1550" s="139"/>
      <c r="U1550" s="139"/>
      <c r="AI1550" s="139"/>
      <c r="AW1550" s="139"/>
      <c r="BK1550" s="139"/>
    </row>
    <row r="1551" spans="7:63" ht="10.199999999999999" x14ac:dyDescent="0.2">
      <c r="G1551" s="139"/>
      <c r="U1551" s="139"/>
      <c r="AI1551" s="139"/>
      <c r="AW1551" s="139"/>
      <c r="BK1551" s="139"/>
    </row>
    <row r="1552" spans="7:63" ht="10.199999999999999" x14ac:dyDescent="0.2">
      <c r="G1552" s="139"/>
      <c r="U1552" s="139"/>
      <c r="AI1552" s="139"/>
      <c r="AW1552" s="139"/>
      <c r="BK1552" s="139"/>
    </row>
    <row r="1553" spans="7:63" ht="10.199999999999999" x14ac:dyDescent="0.2">
      <c r="G1553" s="139"/>
      <c r="U1553" s="139"/>
      <c r="AI1553" s="139"/>
      <c r="AW1553" s="139"/>
      <c r="BK1553" s="139"/>
    </row>
    <row r="1554" spans="7:63" ht="10.199999999999999" x14ac:dyDescent="0.2">
      <c r="G1554" s="139"/>
      <c r="U1554" s="139"/>
      <c r="AI1554" s="139"/>
      <c r="AW1554" s="139"/>
      <c r="BK1554" s="139"/>
    </row>
    <row r="1555" spans="7:63" ht="10.199999999999999" x14ac:dyDescent="0.2">
      <c r="G1555" s="139"/>
      <c r="U1555" s="139"/>
      <c r="AI1555" s="139"/>
      <c r="AW1555" s="139"/>
      <c r="BK1555" s="139"/>
    </row>
    <row r="1556" spans="7:63" ht="10.199999999999999" x14ac:dyDescent="0.2">
      <c r="G1556" s="139"/>
      <c r="U1556" s="139"/>
      <c r="AI1556" s="139"/>
      <c r="AW1556" s="139"/>
      <c r="BK1556" s="139"/>
    </row>
    <row r="1557" spans="7:63" ht="10.199999999999999" x14ac:dyDescent="0.2">
      <c r="G1557" s="139"/>
      <c r="U1557" s="139"/>
      <c r="AI1557" s="139"/>
      <c r="AW1557" s="139"/>
      <c r="BK1557" s="139"/>
    </row>
    <row r="1558" spans="7:63" ht="10.199999999999999" x14ac:dyDescent="0.2">
      <c r="G1558" s="139"/>
      <c r="U1558" s="139"/>
      <c r="AI1558" s="139"/>
      <c r="AW1558" s="139"/>
      <c r="BK1558" s="139"/>
    </row>
    <row r="1559" spans="7:63" ht="10.199999999999999" x14ac:dyDescent="0.2">
      <c r="G1559" s="139"/>
      <c r="U1559" s="139"/>
      <c r="AI1559" s="139"/>
      <c r="AW1559" s="139"/>
      <c r="BK1559" s="139"/>
    </row>
    <row r="1560" spans="7:63" ht="10.199999999999999" x14ac:dyDescent="0.2">
      <c r="G1560" s="139"/>
      <c r="U1560" s="139"/>
      <c r="AI1560" s="139"/>
      <c r="AW1560" s="139"/>
      <c r="BK1560" s="139"/>
    </row>
    <row r="1561" spans="7:63" ht="10.199999999999999" x14ac:dyDescent="0.2">
      <c r="G1561" s="139"/>
      <c r="U1561" s="139"/>
      <c r="AI1561" s="139"/>
      <c r="AW1561" s="139"/>
      <c r="BK1561" s="139"/>
    </row>
    <row r="1562" spans="7:63" ht="10.199999999999999" x14ac:dyDescent="0.2">
      <c r="G1562" s="139"/>
      <c r="U1562" s="139"/>
      <c r="AI1562" s="139"/>
      <c r="AW1562" s="139"/>
      <c r="BK1562" s="139"/>
    </row>
    <row r="1563" spans="7:63" ht="10.199999999999999" x14ac:dyDescent="0.2">
      <c r="G1563" s="139"/>
      <c r="U1563" s="139"/>
      <c r="AI1563" s="139"/>
      <c r="AW1563" s="139"/>
      <c r="BK1563" s="139"/>
    </row>
    <row r="1564" spans="7:63" ht="10.199999999999999" x14ac:dyDescent="0.2">
      <c r="G1564" s="139"/>
      <c r="U1564" s="139"/>
      <c r="AI1564" s="139"/>
      <c r="AW1564" s="139"/>
      <c r="BK1564" s="139"/>
    </row>
    <row r="1565" spans="7:63" ht="10.199999999999999" x14ac:dyDescent="0.2">
      <c r="G1565" s="139"/>
      <c r="U1565" s="139"/>
      <c r="AI1565" s="139"/>
      <c r="AW1565" s="139"/>
      <c r="BK1565" s="139"/>
    </row>
    <row r="1566" spans="7:63" ht="10.199999999999999" x14ac:dyDescent="0.2">
      <c r="G1566" s="139"/>
      <c r="U1566" s="139"/>
      <c r="AI1566" s="139"/>
      <c r="AW1566" s="139"/>
      <c r="BK1566" s="139"/>
    </row>
    <row r="1567" spans="7:63" ht="10.199999999999999" x14ac:dyDescent="0.2">
      <c r="G1567" s="139"/>
      <c r="U1567" s="139"/>
      <c r="AI1567" s="139"/>
      <c r="AW1567" s="139"/>
      <c r="BK1567" s="139"/>
    </row>
    <row r="1568" spans="7:63" ht="10.199999999999999" x14ac:dyDescent="0.2">
      <c r="G1568" s="139"/>
      <c r="U1568" s="139"/>
      <c r="AI1568" s="139"/>
      <c r="AW1568" s="139"/>
      <c r="BK1568" s="139"/>
    </row>
    <row r="1569" spans="7:63" ht="10.199999999999999" x14ac:dyDescent="0.2">
      <c r="G1569" s="139"/>
      <c r="U1569" s="139"/>
      <c r="AI1569" s="139"/>
      <c r="AW1569" s="139"/>
      <c r="BK1569" s="139"/>
    </row>
    <row r="1570" spans="7:63" ht="10.199999999999999" x14ac:dyDescent="0.2">
      <c r="G1570" s="139"/>
      <c r="U1570" s="139"/>
      <c r="AI1570" s="139"/>
      <c r="AW1570" s="139"/>
      <c r="BK1570" s="139"/>
    </row>
    <row r="1571" spans="7:63" ht="10.199999999999999" x14ac:dyDescent="0.2">
      <c r="G1571" s="139"/>
      <c r="U1571" s="139"/>
      <c r="AI1571" s="139"/>
      <c r="AW1571" s="139"/>
      <c r="BK1571" s="139"/>
    </row>
    <row r="1572" spans="7:63" ht="10.199999999999999" x14ac:dyDescent="0.2">
      <c r="G1572" s="139"/>
      <c r="U1572" s="139"/>
      <c r="AI1572" s="139"/>
      <c r="AW1572" s="139"/>
      <c r="BK1572" s="139"/>
    </row>
    <row r="1573" spans="7:63" ht="10.199999999999999" x14ac:dyDescent="0.2">
      <c r="G1573" s="139"/>
      <c r="U1573" s="139"/>
      <c r="AI1573" s="139"/>
      <c r="AW1573" s="139"/>
      <c r="BK1573" s="139"/>
    </row>
    <row r="1574" spans="7:63" ht="10.199999999999999" x14ac:dyDescent="0.2">
      <c r="G1574" s="139"/>
      <c r="U1574" s="139"/>
      <c r="AI1574" s="139"/>
      <c r="AW1574" s="139"/>
      <c r="BK1574" s="139"/>
    </row>
    <row r="1575" spans="7:63" ht="10.199999999999999" x14ac:dyDescent="0.2">
      <c r="G1575" s="139"/>
      <c r="U1575" s="139"/>
      <c r="AI1575" s="139"/>
      <c r="AW1575" s="139"/>
      <c r="BK1575" s="139"/>
    </row>
    <row r="1576" spans="7:63" ht="10.199999999999999" x14ac:dyDescent="0.2">
      <c r="G1576" s="139"/>
      <c r="U1576" s="139"/>
      <c r="AI1576" s="139"/>
      <c r="AW1576" s="139"/>
      <c r="BK1576" s="139"/>
    </row>
    <row r="1577" spans="7:63" ht="10.199999999999999" x14ac:dyDescent="0.2">
      <c r="G1577" s="139"/>
      <c r="U1577" s="139"/>
      <c r="AI1577" s="139"/>
      <c r="AW1577" s="139"/>
      <c r="BK1577" s="139"/>
    </row>
    <row r="1578" spans="7:63" ht="10.199999999999999" x14ac:dyDescent="0.2">
      <c r="G1578" s="139"/>
      <c r="U1578" s="139"/>
      <c r="AI1578" s="139"/>
      <c r="AW1578" s="139"/>
      <c r="BK1578" s="139"/>
    </row>
    <row r="1579" spans="7:63" ht="10.199999999999999" x14ac:dyDescent="0.2">
      <c r="G1579" s="139"/>
      <c r="U1579" s="139"/>
      <c r="AI1579" s="139"/>
      <c r="AW1579" s="139"/>
      <c r="BK1579" s="139"/>
    </row>
    <row r="1580" spans="7:63" ht="10.199999999999999" x14ac:dyDescent="0.2">
      <c r="G1580" s="139"/>
      <c r="U1580" s="139"/>
      <c r="AI1580" s="139"/>
      <c r="AW1580" s="139"/>
      <c r="BK1580" s="139"/>
    </row>
    <row r="1581" spans="7:63" ht="10.199999999999999" x14ac:dyDescent="0.2">
      <c r="G1581" s="139"/>
      <c r="U1581" s="139"/>
      <c r="AI1581" s="139"/>
      <c r="AW1581" s="139"/>
      <c r="BK1581" s="139"/>
    </row>
    <row r="1582" spans="7:63" ht="10.199999999999999" x14ac:dyDescent="0.2">
      <c r="G1582" s="139"/>
      <c r="U1582" s="139"/>
      <c r="AI1582" s="139"/>
      <c r="AW1582" s="139"/>
      <c r="BK1582" s="139"/>
    </row>
    <row r="1583" spans="7:63" ht="10.199999999999999" x14ac:dyDescent="0.2">
      <c r="G1583" s="139"/>
      <c r="U1583" s="139"/>
      <c r="AI1583" s="139"/>
      <c r="AW1583" s="139"/>
      <c r="BK1583" s="139"/>
    </row>
    <row r="1584" spans="7:63" ht="10.199999999999999" x14ac:dyDescent="0.2">
      <c r="G1584" s="139"/>
      <c r="U1584" s="139"/>
      <c r="AI1584" s="139"/>
      <c r="AW1584" s="139"/>
      <c r="BK1584" s="139"/>
    </row>
    <row r="1585" spans="7:63" ht="10.199999999999999" x14ac:dyDescent="0.2">
      <c r="G1585" s="139"/>
      <c r="U1585" s="139"/>
      <c r="AI1585" s="139"/>
      <c r="AW1585" s="139"/>
      <c r="BK1585" s="139"/>
    </row>
    <row r="1586" spans="7:63" ht="10.199999999999999" x14ac:dyDescent="0.2">
      <c r="G1586" s="139"/>
      <c r="U1586" s="139"/>
      <c r="AI1586" s="139"/>
      <c r="AW1586" s="139"/>
      <c r="BK1586" s="139"/>
    </row>
    <row r="1587" spans="7:63" ht="10.199999999999999" x14ac:dyDescent="0.2">
      <c r="G1587" s="139"/>
      <c r="U1587" s="139"/>
      <c r="AI1587" s="139"/>
      <c r="AW1587" s="139"/>
      <c r="BK1587" s="139"/>
    </row>
    <row r="1588" spans="7:63" ht="10.199999999999999" x14ac:dyDescent="0.2">
      <c r="G1588" s="139"/>
      <c r="U1588" s="139"/>
      <c r="AI1588" s="139"/>
      <c r="AW1588" s="139"/>
      <c r="BK1588" s="139"/>
    </row>
    <row r="1589" spans="7:63" ht="10.199999999999999" x14ac:dyDescent="0.2">
      <c r="G1589" s="139"/>
      <c r="U1589" s="139"/>
      <c r="AI1589" s="139"/>
      <c r="AW1589" s="139"/>
      <c r="BK1589" s="139"/>
    </row>
    <row r="1590" spans="7:63" ht="10.199999999999999" x14ac:dyDescent="0.2">
      <c r="G1590" s="139"/>
      <c r="U1590" s="139"/>
      <c r="AI1590" s="139"/>
      <c r="AW1590" s="139"/>
      <c r="BK1590" s="139"/>
    </row>
    <row r="1591" spans="7:63" ht="10.199999999999999" x14ac:dyDescent="0.2">
      <c r="G1591" s="139"/>
      <c r="U1591" s="139"/>
      <c r="AI1591" s="139"/>
      <c r="AW1591" s="139"/>
      <c r="BK1591" s="139"/>
    </row>
    <row r="1592" spans="7:63" ht="10.199999999999999" x14ac:dyDescent="0.2">
      <c r="G1592" s="139"/>
      <c r="U1592" s="139"/>
      <c r="AI1592" s="139"/>
      <c r="AW1592" s="139"/>
      <c r="BK1592" s="139"/>
    </row>
    <row r="1593" spans="7:63" ht="10.199999999999999" x14ac:dyDescent="0.2">
      <c r="G1593" s="139"/>
      <c r="U1593" s="139"/>
      <c r="AI1593" s="139"/>
      <c r="AW1593" s="139"/>
      <c r="BK1593" s="139"/>
    </row>
    <row r="1594" spans="7:63" ht="10.199999999999999" x14ac:dyDescent="0.2">
      <c r="G1594" s="139"/>
      <c r="U1594" s="139"/>
      <c r="AI1594" s="139"/>
      <c r="AW1594" s="139"/>
      <c r="BK1594" s="139"/>
    </row>
    <row r="1595" spans="7:63" ht="10.199999999999999" x14ac:dyDescent="0.2">
      <c r="G1595" s="139"/>
      <c r="U1595" s="139"/>
      <c r="AI1595" s="139"/>
      <c r="AW1595" s="139"/>
      <c r="BK1595" s="139"/>
    </row>
    <row r="1596" spans="7:63" ht="10.199999999999999" x14ac:dyDescent="0.2">
      <c r="G1596" s="139"/>
      <c r="U1596" s="139"/>
      <c r="AI1596" s="139"/>
      <c r="AW1596" s="139"/>
      <c r="BK1596" s="139"/>
    </row>
    <row r="1597" spans="7:63" ht="10.199999999999999" x14ac:dyDescent="0.2">
      <c r="G1597" s="139"/>
      <c r="U1597" s="139"/>
      <c r="AI1597" s="139"/>
      <c r="AW1597" s="139"/>
      <c r="BK1597" s="139"/>
    </row>
    <row r="1598" spans="7:63" ht="10.199999999999999" x14ac:dyDescent="0.2">
      <c r="G1598" s="139"/>
      <c r="U1598" s="139"/>
      <c r="AI1598" s="139"/>
      <c r="AW1598" s="139"/>
      <c r="BK1598" s="139"/>
    </row>
    <row r="1599" spans="7:63" ht="10.199999999999999" x14ac:dyDescent="0.2">
      <c r="G1599" s="139"/>
      <c r="U1599" s="139"/>
      <c r="AI1599" s="139"/>
      <c r="AW1599" s="139"/>
      <c r="BK1599" s="139"/>
    </row>
    <row r="1600" spans="7:63" ht="10.199999999999999" x14ac:dyDescent="0.2">
      <c r="G1600" s="139"/>
      <c r="U1600" s="139"/>
      <c r="AI1600" s="139"/>
      <c r="AW1600" s="139"/>
      <c r="BK1600" s="139"/>
    </row>
    <row r="1601" spans="7:63" ht="10.199999999999999" x14ac:dyDescent="0.2">
      <c r="G1601" s="139"/>
      <c r="U1601" s="139"/>
      <c r="AI1601" s="139"/>
      <c r="AW1601" s="139"/>
      <c r="BK1601" s="139"/>
    </row>
    <row r="1602" spans="7:63" ht="10.199999999999999" x14ac:dyDescent="0.2">
      <c r="G1602" s="139"/>
      <c r="U1602" s="139"/>
      <c r="AI1602" s="139"/>
      <c r="AW1602" s="139"/>
      <c r="BK1602" s="139"/>
    </row>
    <row r="1603" spans="7:63" ht="10.199999999999999" x14ac:dyDescent="0.2">
      <c r="G1603" s="139"/>
      <c r="U1603" s="139"/>
      <c r="AI1603" s="139"/>
      <c r="AW1603" s="139"/>
      <c r="BK1603" s="139"/>
    </row>
    <row r="1604" spans="7:63" ht="10.199999999999999" x14ac:dyDescent="0.2">
      <c r="G1604" s="139"/>
      <c r="U1604" s="139"/>
      <c r="AI1604" s="139"/>
      <c r="AW1604" s="139"/>
      <c r="BK1604" s="139"/>
    </row>
    <row r="1605" spans="7:63" ht="10.199999999999999" x14ac:dyDescent="0.2">
      <c r="G1605" s="139"/>
      <c r="U1605" s="139"/>
      <c r="AI1605" s="139"/>
      <c r="AW1605" s="139"/>
      <c r="BK1605" s="139"/>
    </row>
    <row r="1606" spans="7:63" ht="10.199999999999999" x14ac:dyDescent="0.2">
      <c r="G1606" s="139"/>
      <c r="U1606" s="139"/>
      <c r="AI1606" s="139"/>
      <c r="AW1606" s="139"/>
      <c r="BK1606" s="139"/>
    </row>
    <row r="1607" spans="7:63" ht="10.199999999999999" x14ac:dyDescent="0.2">
      <c r="G1607" s="139"/>
      <c r="U1607" s="139"/>
      <c r="AI1607" s="139"/>
      <c r="AW1607" s="139"/>
      <c r="BK1607" s="139"/>
    </row>
    <row r="1608" spans="7:63" ht="10.199999999999999" x14ac:dyDescent="0.2">
      <c r="G1608" s="139"/>
      <c r="U1608" s="139"/>
      <c r="AI1608" s="139"/>
      <c r="AW1608" s="139"/>
      <c r="BK1608" s="139"/>
    </row>
    <row r="1609" spans="7:63" ht="10.199999999999999" x14ac:dyDescent="0.2">
      <c r="G1609" s="139"/>
      <c r="U1609" s="139"/>
      <c r="AI1609" s="139"/>
      <c r="AW1609" s="139"/>
      <c r="BK1609" s="139"/>
    </row>
    <row r="1610" spans="7:63" ht="10.199999999999999" x14ac:dyDescent="0.2">
      <c r="G1610" s="139"/>
      <c r="U1610" s="139"/>
      <c r="AI1610" s="139"/>
      <c r="AW1610" s="139"/>
      <c r="BK1610" s="139"/>
    </row>
    <row r="1611" spans="7:63" ht="10.199999999999999" x14ac:dyDescent="0.2">
      <c r="G1611" s="139"/>
      <c r="U1611" s="139"/>
      <c r="AI1611" s="139"/>
      <c r="AW1611" s="139"/>
      <c r="BK1611" s="139"/>
    </row>
    <row r="1612" spans="7:63" ht="10.199999999999999" x14ac:dyDescent="0.2">
      <c r="G1612" s="139"/>
      <c r="U1612" s="139"/>
      <c r="AI1612" s="139"/>
      <c r="AW1612" s="139"/>
      <c r="BK1612" s="139"/>
    </row>
    <row r="1613" spans="7:63" ht="10.199999999999999" x14ac:dyDescent="0.2">
      <c r="G1613" s="139"/>
      <c r="U1613" s="139"/>
      <c r="AI1613" s="139"/>
      <c r="AW1613" s="139"/>
      <c r="BK1613" s="139"/>
    </row>
    <row r="1614" spans="7:63" ht="10.199999999999999" x14ac:dyDescent="0.2">
      <c r="G1614" s="139"/>
      <c r="U1614" s="139"/>
      <c r="AI1614" s="139"/>
      <c r="AW1614" s="139"/>
      <c r="BK1614" s="139"/>
    </row>
    <row r="1615" spans="7:63" ht="10.199999999999999" x14ac:dyDescent="0.2">
      <c r="G1615" s="139"/>
      <c r="U1615" s="139"/>
      <c r="AI1615" s="139"/>
      <c r="AW1615" s="139"/>
      <c r="BK1615" s="139"/>
    </row>
    <row r="1616" spans="7:63" ht="10.199999999999999" x14ac:dyDescent="0.2">
      <c r="G1616" s="139"/>
      <c r="U1616" s="139"/>
      <c r="AI1616" s="139"/>
      <c r="AW1616" s="139"/>
      <c r="BK1616" s="139"/>
    </row>
    <row r="1617" spans="7:63" ht="10.199999999999999" x14ac:dyDescent="0.2">
      <c r="G1617" s="139"/>
      <c r="U1617" s="139"/>
      <c r="AI1617" s="139"/>
      <c r="AW1617" s="139"/>
      <c r="BK1617" s="139"/>
    </row>
    <row r="1618" spans="7:63" ht="10.199999999999999" x14ac:dyDescent="0.2">
      <c r="G1618" s="139"/>
      <c r="U1618" s="139"/>
      <c r="AI1618" s="139"/>
      <c r="AW1618" s="139"/>
      <c r="BK1618" s="139"/>
    </row>
    <row r="1619" spans="7:63" ht="10.199999999999999" x14ac:dyDescent="0.2">
      <c r="G1619" s="139"/>
      <c r="U1619" s="139"/>
      <c r="AI1619" s="139"/>
      <c r="AW1619" s="139"/>
      <c r="BK1619" s="139"/>
    </row>
    <row r="1620" spans="7:63" ht="10.199999999999999" x14ac:dyDescent="0.2">
      <c r="G1620" s="139"/>
      <c r="U1620" s="139"/>
      <c r="AI1620" s="139"/>
      <c r="AW1620" s="139"/>
      <c r="BK1620" s="139"/>
    </row>
    <row r="1621" spans="7:63" ht="10.199999999999999" x14ac:dyDescent="0.2">
      <c r="G1621" s="139"/>
      <c r="U1621" s="139"/>
      <c r="AI1621" s="139"/>
      <c r="AW1621" s="139"/>
      <c r="BK1621" s="139"/>
    </row>
    <row r="1622" spans="7:63" ht="10.199999999999999" x14ac:dyDescent="0.2">
      <c r="G1622" s="139"/>
      <c r="U1622" s="139"/>
      <c r="AI1622" s="139"/>
      <c r="AW1622" s="139"/>
      <c r="BK1622" s="139"/>
    </row>
    <row r="1623" spans="7:63" ht="10.199999999999999" x14ac:dyDescent="0.2">
      <c r="G1623" s="139"/>
      <c r="U1623" s="139"/>
      <c r="AI1623" s="139"/>
      <c r="AW1623" s="139"/>
      <c r="BK1623" s="139"/>
    </row>
    <row r="1624" spans="7:63" ht="10.199999999999999" x14ac:dyDescent="0.2">
      <c r="G1624" s="139"/>
      <c r="U1624" s="139"/>
      <c r="AI1624" s="139"/>
      <c r="AW1624" s="139"/>
      <c r="BK1624" s="139"/>
    </row>
    <row r="1625" spans="7:63" ht="10.199999999999999" x14ac:dyDescent="0.2">
      <c r="G1625" s="139"/>
      <c r="U1625" s="139"/>
      <c r="AI1625" s="139"/>
      <c r="AW1625" s="139"/>
      <c r="BK1625" s="139"/>
    </row>
    <row r="1626" spans="7:63" ht="10.199999999999999" x14ac:dyDescent="0.2">
      <c r="G1626" s="139"/>
      <c r="U1626" s="139"/>
      <c r="AI1626" s="139"/>
      <c r="AW1626" s="139"/>
      <c r="BK1626" s="139"/>
    </row>
    <row r="1627" spans="7:63" ht="10.199999999999999" x14ac:dyDescent="0.2">
      <c r="G1627" s="139"/>
      <c r="U1627" s="139"/>
      <c r="AI1627" s="139"/>
      <c r="AW1627" s="139"/>
      <c r="BK1627" s="139"/>
    </row>
    <row r="1628" spans="7:63" ht="10.199999999999999" x14ac:dyDescent="0.2">
      <c r="G1628" s="139"/>
      <c r="U1628" s="139"/>
      <c r="AI1628" s="139"/>
      <c r="AW1628" s="139"/>
      <c r="BK1628" s="139"/>
    </row>
    <row r="1629" spans="7:63" ht="10.199999999999999" x14ac:dyDescent="0.2">
      <c r="G1629" s="139"/>
      <c r="U1629" s="139"/>
      <c r="AI1629" s="139"/>
      <c r="AW1629" s="139"/>
      <c r="BK1629" s="139"/>
    </row>
    <row r="1630" spans="7:63" ht="10.199999999999999" x14ac:dyDescent="0.2">
      <c r="G1630" s="139"/>
      <c r="U1630" s="139"/>
      <c r="AI1630" s="139"/>
      <c r="AW1630" s="139"/>
      <c r="BK1630" s="139"/>
    </row>
    <row r="1631" spans="7:63" ht="10.199999999999999" x14ac:dyDescent="0.2">
      <c r="G1631" s="139"/>
      <c r="U1631" s="139"/>
      <c r="AI1631" s="139"/>
      <c r="AW1631" s="139"/>
      <c r="BK1631" s="139"/>
    </row>
    <row r="1632" spans="7:63" ht="10.199999999999999" x14ac:dyDescent="0.2">
      <c r="G1632" s="139"/>
      <c r="U1632" s="139"/>
      <c r="AI1632" s="139"/>
      <c r="AW1632" s="139"/>
      <c r="BK1632" s="139"/>
    </row>
    <row r="1633" spans="7:63" ht="10.199999999999999" x14ac:dyDescent="0.2">
      <c r="G1633" s="139"/>
      <c r="U1633" s="139"/>
      <c r="AI1633" s="139"/>
      <c r="AW1633" s="139"/>
      <c r="BK1633" s="139"/>
    </row>
    <row r="1634" spans="7:63" ht="10.199999999999999" x14ac:dyDescent="0.2">
      <c r="G1634" s="139"/>
      <c r="U1634" s="139"/>
      <c r="AI1634" s="139"/>
      <c r="AW1634" s="139"/>
      <c r="BK1634" s="139"/>
    </row>
    <row r="1635" spans="7:63" ht="10.199999999999999" x14ac:dyDescent="0.2">
      <c r="G1635" s="139"/>
      <c r="U1635" s="139"/>
      <c r="AI1635" s="139"/>
      <c r="AW1635" s="139"/>
      <c r="BK1635" s="139"/>
    </row>
    <row r="1636" spans="7:63" ht="10.199999999999999" x14ac:dyDescent="0.2">
      <c r="G1636" s="139"/>
      <c r="U1636" s="139"/>
      <c r="AI1636" s="139"/>
      <c r="AW1636" s="139"/>
      <c r="BK1636" s="139"/>
    </row>
    <row r="1637" spans="7:63" ht="10.199999999999999" x14ac:dyDescent="0.2">
      <c r="G1637" s="139"/>
      <c r="U1637" s="139"/>
      <c r="AI1637" s="139"/>
      <c r="AW1637" s="139"/>
      <c r="BK1637" s="139"/>
    </row>
    <row r="1638" spans="7:63" ht="10.199999999999999" x14ac:dyDescent="0.2">
      <c r="G1638" s="139"/>
      <c r="U1638" s="139"/>
      <c r="AI1638" s="139"/>
      <c r="AW1638" s="139"/>
      <c r="BK1638" s="139"/>
    </row>
    <row r="1639" spans="7:63" ht="10.199999999999999" x14ac:dyDescent="0.2">
      <c r="G1639" s="139"/>
      <c r="U1639" s="139"/>
      <c r="AI1639" s="139"/>
      <c r="AW1639" s="139"/>
      <c r="BK1639" s="139"/>
    </row>
    <row r="1640" spans="7:63" ht="10.199999999999999" x14ac:dyDescent="0.2">
      <c r="G1640" s="139"/>
      <c r="U1640" s="139"/>
      <c r="AI1640" s="139"/>
      <c r="AW1640" s="139"/>
      <c r="BK1640" s="139"/>
    </row>
    <row r="1641" spans="7:63" ht="10.199999999999999" x14ac:dyDescent="0.2">
      <c r="G1641" s="139"/>
      <c r="U1641" s="139"/>
      <c r="AI1641" s="139"/>
      <c r="AW1641" s="139"/>
      <c r="BK1641" s="139"/>
    </row>
    <row r="1642" spans="7:63" ht="10.199999999999999" x14ac:dyDescent="0.2">
      <c r="G1642" s="139"/>
      <c r="U1642" s="139"/>
      <c r="AI1642" s="139"/>
      <c r="AW1642" s="139"/>
      <c r="BK1642" s="139"/>
    </row>
    <row r="1643" spans="7:63" ht="10.199999999999999" x14ac:dyDescent="0.2">
      <c r="G1643" s="139"/>
      <c r="U1643" s="139"/>
      <c r="AI1643" s="139"/>
      <c r="AW1643" s="139"/>
      <c r="BK1643" s="139"/>
    </row>
    <row r="1644" spans="7:63" ht="10.199999999999999" x14ac:dyDescent="0.2">
      <c r="G1644" s="139"/>
      <c r="U1644" s="139"/>
      <c r="AI1644" s="139"/>
      <c r="AW1644" s="139"/>
      <c r="BK1644" s="139"/>
    </row>
    <row r="1645" spans="7:63" ht="10.199999999999999" x14ac:dyDescent="0.2">
      <c r="G1645" s="139"/>
      <c r="U1645" s="139"/>
      <c r="AI1645" s="139"/>
      <c r="AW1645" s="139"/>
      <c r="BK1645" s="139"/>
    </row>
    <row r="1646" spans="7:63" ht="10.199999999999999" x14ac:dyDescent="0.2">
      <c r="G1646" s="139"/>
      <c r="U1646" s="139"/>
      <c r="AI1646" s="139"/>
      <c r="AW1646" s="139"/>
      <c r="BK1646" s="139"/>
    </row>
    <row r="1647" spans="7:63" ht="10.199999999999999" x14ac:dyDescent="0.2">
      <c r="G1647" s="139"/>
      <c r="U1647" s="139"/>
      <c r="AI1647" s="139"/>
      <c r="AW1647" s="139"/>
      <c r="BK1647" s="139"/>
    </row>
    <row r="1648" spans="7:63" ht="10.199999999999999" x14ac:dyDescent="0.2">
      <c r="G1648" s="139"/>
      <c r="U1648" s="139"/>
      <c r="AI1648" s="139"/>
      <c r="AW1648" s="139"/>
      <c r="BK1648" s="139"/>
    </row>
    <row r="1649" spans="7:63" ht="10.199999999999999" x14ac:dyDescent="0.2">
      <c r="G1649" s="139"/>
      <c r="U1649" s="139"/>
      <c r="AI1649" s="139"/>
      <c r="AW1649" s="139"/>
      <c r="BK1649" s="139"/>
    </row>
    <row r="1650" spans="7:63" ht="10.199999999999999" x14ac:dyDescent="0.2">
      <c r="G1650" s="139"/>
      <c r="U1650" s="139"/>
      <c r="AI1650" s="139"/>
      <c r="AW1650" s="139"/>
      <c r="BK1650" s="139"/>
    </row>
    <row r="1651" spans="7:63" ht="10.199999999999999" x14ac:dyDescent="0.2">
      <c r="G1651" s="139"/>
      <c r="U1651" s="139"/>
      <c r="AI1651" s="139"/>
      <c r="AW1651" s="139"/>
      <c r="BK1651" s="139"/>
    </row>
    <row r="1652" spans="7:63" ht="10.199999999999999" x14ac:dyDescent="0.2">
      <c r="G1652" s="139"/>
      <c r="U1652" s="139"/>
      <c r="AI1652" s="139"/>
      <c r="AW1652" s="139"/>
      <c r="BK1652" s="139"/>
    </row>
    <row r="1653" spans="7:63" ht="10.199999999999999" x14ac:dyDescent="0.2">
      <c r="G1653" s="139"/>
      <c r="U1653" s="139"/>
      <c r="AI1653" s="139"/>
      <c r="AW1653" s="139"/>
      <c r="BK1653" s="139"/>
    </row>
    <row r="1654" spans="7:63" ht="10.199999999999999" x14ac:dyDescent="0.2">
      <c r="G1654" s="139"/>
      <c r="U1654" s="139"/>
      <c r="AI1654" s="139"/>
      <c r="AW1654" s="139"/>
      <c r="BK1654" s="139"/>
    </row>
    <row r="1655" spans="7:63" ht="10.199999999999999" x14ac:dyDescent="0.2">
      <c r="G1655" s="139"/>
      <c r="U1655" s="139"/>
      <c r="AI1655" s="139"/>
      <c r="AW1655" s="139"/>
      <c r="BK1655" s="139"/>
    </row>
    <row r="1656" spans="7:63" ht="10.199999999999999" x14ac:dyDescent="0.2">
      <c r="G1656" s="139"/>
      <c r="U1656" s="139"/>
      <c r="AI1656" s="139"/>
      <c r="AW1656" s="139"/>
      <c r="BK1656" s="139"/>
    </row>
    <row r="1657" spans="7:63" ht="10.199999999999999" x14ac:dyDescent="0.2">
      <c r="G1657" s="139"/>
      <c r="U1657" s="139"/>
      <c r="AI1657" s="139"/>
      <c r="AW1657" s="139"/>
      <c r="BK1657" s="139"/>
    </row>
    <row r="1658" spans="7:63" ht="10.199999999999999" x14ac:dyDescent="0.2">
      <c r="G1658" s="139"/>
      <c r="U1658" s="139"/>
      <c r="AI1658" s="139"/>
      <c r="AW1658" s="139"/>
      <c r="BK1658" s="139"/>
    </row>
    <row r="1659" spans="7:63" ht="10.199999999999999" x14ac:dyDescent="0.2">
      <c r="G1659" s="139"/>
      <c r="U1659" s="139"/>
      <c r="AI1659" s="139"/>
      <c r="AW1659" s="139"/>
      <c r="BK1659" s="139"/>
    </row>
    <row r="1660" spans="7:63" ht="10.199999999999999" x14ac:dyDescent="0.2">
      <c r="G1660" s="139"/>
      <c r="U1660" s="139"/>
      <c r="AI1660" s="139"/>
      <c r="AW1660" s="139"/>
      <c r="BK1660" s="139"/>
    </row>
    <row r="1661" spans="7:63" ht="10.199999999999999" x14ac:dyDescent="0.2">
      <c r="G1661" s="139"/>
      <c r="U1661" s="139"/>
      <c r="AI1661" s="139"/>
      <c r="AW1661" s="139"/>
      <c r="BK1661" s="139"/>
    </row>
    <row r="1662" spans="7:63" ht="10.199999999999999" x14ac:dyDescent="0.2">
      <c r="G1662" s="139"/>
      <c r="U1662" s="139"/>
      <c r="AI1662" s="139"/>
      <c r="AW1662" s="139"/>
      <c r="BK1662" s="139"/>
    </row>
    <row r="1663" spans="7:63" ht="10.199999999999999" x14ac:dyDescent="0.2">
      <c r="G1663" s="139"/>
      <c r="U1663" s="139"/>
      <c r="AI1663" s="139"/>
      <c r="AW1663" s="139"/>
      <c r="BK1663" s="139"/>
    </row>
    <row r="1664" spans="7:63" ht="10.199999999999999" x14ac:dyDescent="0.2">
      <c r="G1664" s="139"/>
      <c r="U1664" s="139"/>
      <c r="AI1664" s="139"/>
      <c r="AW1664" s="139"/>
      <c r="BK1664" s="139"/>
    </row>
    <row r="1665" spans="7:63" ht="10.199999999999999" x14ac:dyDescent="0.2">
      <c r="G1665" s="139"/>
      <c r="U1665" s="139"/>
      <c r="AI1665" s="139"/>
      <c r="AW1665" s="139"/>
      <c r="BK1665" s="139"/>
    </row>
    <row r="1666" spans="7:63" ht="10.199999999999999" x14ac:dyDescent="0.2">
      <c r="G1666" s="139"/>
      <c r="U1666" s="139"/>
      <c r="AI1666" s="139"/>
      <c r="AW1666" s="139"/>
      <c r="BK1666" s="139"/>
    </row>
    <row r="1667" spans="7:63" ht="10.199999999999999" x14ac:dyDescent="0.2">
      <c r="G1667" s="139"/>
      <c r="U1667" s="139"/>
      <c r="AI1667" s="139"/>
      <c r="AW1667" s="139"/>
      <c r="BK1667" s="139"/>
    </row>
    <row r="1668" spans="7:63" ht="10.199999999999999" x14ac:dyDescent="0.2">
      <c r="G1668" s="139"/>
      <c r="U1668" s="139"/>
      <c r="AI1668" s="139"/>
      <c r="AW1668" s="139"/>
      <c r="BK1668" s="139"/>
    </row>
    <row r="1669" spans="7:63" ht="10.199999999999999" x14ac:dyDescent="0.2">
      <c r="G1669" s="139"/>
      <c r="U1669" s="139"/>
      <c r="AI1669" s="139"/>
      <c r="AW1669" s="139"/>
      <c r="BK1669" s="139"/>
    </row>
    <row r="1670" spans="7:63" ht="10.199999999999999" x14ac:dyDescent="0.2">
      <c r="G1670" s="139"/>
      <c r="U1670" s="139"/>
      <c r="AI1670" s="139"/>
      <c r="AW1670" s="139"/>
      <c r="BK1670" s="139"/>
    </row>
    <row r="1671" spans="7:63" ht="10.199999999999999" x14ac:dyDescent="0.2">
      <c r="G1671" s="139"/>
      <c r="U1671" s="139"/>
      <c r="AI1671" s="139"/>
      <c r="AW1671" s="139"/>
      <c r="BK1671" s="139"/>
    </row>
    <row r="1672" spans="7:63" ht="10.199999999999999" x14ac:dyDescent="0.2">
      <c r="G1672" s="139"/>
      <c r="U1672" s="139"/>
      <c r="AI1672" s="139"/>
      <c r="AW1672" s="139"/>
      <c r="BK1672" s="139"/>
    </row>
    <row r="1673" spans="7:63" ht="10.199999999999999" x14ac:dyDescent="0.2">
      <c r="G1673" s="139"/>
      <c r="U1673" s="139"/>
      <c r="AI1673" s="139"/>
      <c r="AW1673" s="139"/>
      <c r="BK1673" s="139"/>
    </row>
    <row r="1674" spans="7:63" ht="10.199999999999999" x14ac:dyDescent="0.2">
      <c r="G1674" s="139"/>
      <c r="U1674" s="139"/>
      <c r="AI1674" s="139"/>
      <c r="AW1674" s="139"/>
      <c r="BK1674" s="139"/>
    </row>
    <row r="1675" spans="7:63" ht="10.199999999999999" x14ac:dyDescent="0.2">
      <c r="G1675" s="139"/>
      <c r="U1675" s="139"/>
      <c r="AI1675" s="139"/>
      <c r="AW1675" s="139"/>
      <c r="BK1675" s="139"/>
    </row>
    <row r="1676" spans="7:63" ht="10.199999999999999" x14ac:dyDescent="0.2">
      <c r="G1676" s="139"/>
      <c r="U1676" s="139"/>
      <c r="AI1676" s="139"/>
      <c r="AW1676" s="139"/>
      <c r="BK1676" s="139"/>
    </row>
    <row r="1677" spans="7:63" ht="10.199999999999999" x14ac:dyDescent="0.2">
      <c r="G1677" s="139"/>
      <c r="U1677" s="139"/>
      <c r="AI1677" s="139"/>
      <c r="AW1677" s="139"/>
      <c r="BK1677" s="139"/>
    </row>
    <row r="1678" spans="7:63" ht="10.199999999999999" x14ac:dyDescent="0.2">
      <c r="G1678" s="139"/>
      <c r="U1678" s="139"/>
      <c r="AI1678" s="139"/>
      <c r="AW1678" s="139"/>
      <c r="BK1678" s="139"/>
    </row>
    <row r="1679" spans="7:63" ht="10.199999999999999" x14ac:dyDescent="0.2">
      <c r="G1679" s="139"/>
      <c r="U1679" s="139"/>
      <c r="AI1679" s="139"/>
      <c r="AW1679" s="139"/>
      <c r="BK1679" s="139"/>
    </row>
    <row r="1680" spans="7:63" ht="10.199999999999999" x14ac:dyDescent="0.2">
      <c r="G1680" s="139"/>
      <c r="U1680" s="139"/>
      <c r="AI1680" s="139"/>
      <c r="AW1680" s="139"/>
      <c r="BK1680" s="139"/>
    </row>
    <row r="1681" spans="7:63" ht="10.199999999999999" x14ac:dyDescent="0.2">
      <c r="G1681" s="139"/>
      <c r="U1681" s="139"/>
      <c r="AI1681" s="139"/>
      <c r="AW1681" s="139"/>
      <c r="BK1681" s="139"/>
    </row>
    <row r="1682" spans="7:63" ht="10.199999999999999" x14ac:dyDescent="0.2">
      <c r="G1682" s="139"/>
      <c r="U1682" s="139"/>
      <c r="AI1682" s="139"/>
      <c r="AW1682" s="139"/>
      <c r="BK1682" s="139"/>
    </row>
    <row r="1683" spans="7:63" ht="10.199999999999999" x14ac:dyDescent="0.2">
      <c r="G1683" s="139"/>
      <c r="U1683" s="139"/>
      <c r="AI1683" s="139"/>
      <c r="AW1683" s="139"/>
      <c r="BK1683" s="139"/>
    </row>
    <row r="1684" spans="7:63" ht="10.199999999999999" x14ac:dyDescent="0.2">
      <c r="G1684" s="139"/>
      <c r="U1684" s="139"/>
      <c r="AI1684" s="139"/>
      <c r="AW1684" s="139"/>
      <c r="BK1684" s="139"/>
    </row>
    <row r="1685" spans="7:63" ht="10.199999999999999" x14ac:dyDescent="0.2">
      <c r="G1685" s="139"/>
      <c r="U1685" s="139"/>
      <c r="AI1685" s="139"/>
      <c r="AW1685" s="139"/>
      <c r="BK1685" s="139"/>
    </row>
    <row r="1686" spans="7:63" ht="10.199999999999999" x14ac:dyDescent="0.2">
      <c r="G1686" s="139"/>
      <c r="U1686" s="139"/>
      <c r="AI1686" s="139"/>
      <c r="AW1686" s="139"/>
      <c r="BK1686" s="139"/>
    </row>
    <row r="1687" spans="7:63" ht="10.199999999999999" x14ac:dyDescent="0.2">
      <c r="G1687" s="139"/>
      <c r="U1687" s="139"/>
      <c r="AI1687" s="139"/>
      <c r="AW1687" s="139"/>
      <c r="BK1687" s="139"/>
    </row>
    <row r="1688" spans="7:63" ht="10.199999999999999" x14ac:dyDescent="0.2">
      <c r="G1688" s="139"/>
      <c r="U1688" s="139"/>
      <c r="AI1688" s="139"/>
      <c r="AW1688" s="139"/>
      <c r="BK1688" s="139"/>
    </row>
    <row r="1689" spans="7:63" ht="10.199999999999999" x14ac:dyDescent="0.2">
      <c r="G1689" s="139"/>
      <c r="U1689" s="139"/>
      <c r="AI1689" s="139"/>
      <c r="AW1689" s="139"/>
      <c r="BK1689" s="139"/>
    </row>
    <row r="1690" spans="7:63" ht="10.199999999999999" x14ac:dyDescent="0.2">
      <c r="G1690" s="139"/>
      <c r="U1690" s="139"/>
      <c r="AI1690" s="139"/>
      <c r="AW1690" s="139"/>
      <c r="BK1690" s="139"/>
    </row>
    <row r="1691" spans="7:63" ht="10.199999999999999" x14ac:dyDescent="0.2">
      <c r="G1691" s="139"/>
      <c r="U1691" s="139"/>
      <c r="AI1691" s="139"/>
      <c r="AW1691" s="139"/>
      <c r="BK1691" s="139"/>
    </row>
    <row r="1692" spans="7:63" ht="10.199999999999999" x14ac:dyDescent="0.2">
      <c r="G1692" s="139"/>
      <c r="U1692" s="139"/>
      <c r="AI1692" s="139"/>
      <c r="AW1692" s="139"/>
      <c r="BK1692" s="139"/>
    </row>
    <row r="1693" spans="7:63" ht="10.199999999999999" x14ac:dyDescent="0.2">
      <c r="G1693" s="139"/>
      <c r="U1693" s="139"/>
      <c r="AI1693" s="139"/>
      <c r="AW1693" s="139"/>
      <c r="BK1693" s="139"/>
    </row>
    <row r="1694" spans="7:63" ht="10.199999999999999" x14ac:dyDescent="0.2">
      <c r="G1694" s="139"/>
      <c r="U1694" s="139"/>
      <c r="AI1694" s="139"/>
      <c r="AW1694" s="139"/>
      <c r="BK1694" s="139"/>
    </row>
    <row r="1695" spans="7:63" ht="10.199999999999999" x14ac:dyDescent="0.2">
      <c r="G1695" s="139"/>
      <c r="U1695" s="139"/>
      <c r="AI1695" s="139"/>
      <c r="AW1695" s="139"/>
      <c r="BK1695" s="139"/>
    </row>
    <row r="1696" spans="7:63" ht="10.199999999999999" x14ac:dyDescent="0.2">
      <c r="G1696" s="139"/>
      <c r="U1696" s="139"/>
      <c r="AI1696" s="139"/>
      <c r="AW1696" s="139"/>
      <c r="BK1696" s="139"/>
    </row>
    <row r="1697" spans="7:63" ht="10.199999999999999" x14ac:dyDescent="0.2">
      <c r="G1697" s="139"/>
      <c r="U1697" s="139"/>
      <c r="AI1697" s="139"/>
      <c r="AW1697" s="139"/>
      <c r="BK1697" s="139"/>
    </row>
    <row r="1698" spans="7:63" ht="10.199999999999999" x14ac:dyDescent="0.2">
      <c r="G1698" s="139"/>
      <c r="U1698" s="139"/>
      <c r="AI1698" s="139"/>
      <c r="AW1698" s="139"/>
      <c r="BK1698" s="139"/>
    </row>
    <row r="1699" spans="7:63" ht="10.199999999999999" x14ac:dyDescent="0.2">
      <c r="G1699" s="139"/>
      <c r="U1699" s="139"/>
      <c r="AI1699" s="139"/>
      <c r="AW1699" s="139"/>
      <c r="BK1699" s="139"/>
    </row>
    <row r="1700" spans="7:63" ht="10.199999999999999" x14ac:dyDescent="0.2">
      <c r="G1700" s="139"/>
      <c r="U1700" s="139"/>
      <c r="AI1700" s="139"/>
      <c r="AW1700" s="139"/>
      <c r="BK1700" s="139"/>
    </row>
    <row r="1701" spans="7:63" ht="10.199999999999999" x14ac:dyDescent="0.2">
      <c r="G1701" s="139"/>
      <c r="U1701" s="139"/>
      <c r="AI1701" s="139"/>
      <c r="AW1701" s="139"/>
      <c r="BK1701" s="139"/>
    </row>
    <row r="1702" spans="7:63" ht="10.199999999999999" x14ac:dyDescent="0.2">
      <c r="G1702" s="139"/>
      <c r="U1702" s="139"/>
      <c r="AI1702" s="139"/>
      <c r="AW1702" s="139"/>
      <c r="BK1702" s="139"/>
    </row>
    <row r="1703" spans="7:63" ht="10.199999999999999" x14ac:dyDescent="0.2">
      <c r="G1703" s="139"/>
      <c r="U1703" s="139"/>
      <c r="AI1703" s="139"/>
      <c r="AW1703" s="139"/>
      <c r="BK1703" s="139"/>
    </row>
    <row r="1704" spans="7:63" ht="10.199999999999999" x14ac:dyDescent="0.2">
      <c r="G1704" s="139"/>
      <c r="U1704" s="139"/>
      <c r="AI1704" s="139"/>
      <c r="AW1704" s="139"/>
      <c r="BK1704" s="139"/>
    </row>
    <row r="1705" spans="7:63" ht="10.199999999999999" x14ac:dyDescent="0.2">
      <c r="G1705" s="139"/>
      <c r="U1705" s="139"/>
      <c r="AI1705" s="139"/>
      <c r="AW1705" s="139"/>
      <c r="BK1705" s="139"/>
    </row>
    <row r="1706" spans="7:63" ht="10.199999999999999" x14ac:dyDescent="0.2">
      <c r="G1706" s="139"/>
      <c r="U1706" s="139"/>
      <c r="AI1706" s="139"/>
      <c r="AW1706" s="139"/>
      <c r="BK1706" s="139"/>
    </row>
    <row r="1707" spans="7:63" ht="10.199999999999999" x14ac:dyDescent="0.2">
      <c r="G1707" s="139"/>
      <c r="U1707" s="139"/>
      <c r="AI1707" s="139"/>
      <c r="AW1707" s="139"/>
      <c r="BK1707" s="139"/>
    </row>
    <row r="1708" spans="7:63" ht="10.199999999999999" x14ac:dyDescent="0.2">
      <c r="G1708" s="139"/>
      <c r="U1708" s="139"/>
      <c r="AI1708" s="139"/>
      <c r="AW1708" s="139"/>
      <c r="BK1708" s="139"/>
    </row>
    <row r="1709" spans="7:63" ht="10.199999999999999" x14ac:dyDescent="0.2">
      <c r="G1709" s="139"/>
      <c r="U1709" s="139"/>
      <c r="AI1709" s="139"/>
      <c r="AW1709" s="139"/>
      <c r="BK1709" s="139"/>
    </row>
    <row r="1710" spans="7:63" ht="10.199999999999999" x14ac:dyDescent="0.2">
      <c r="G1710" s="139"/>
      <c r="U1710" s="139"/>
      <c r="AI1710" s="139"/>
      <c r="AW1710" s="139"/>
      <c r="BK1710" s="139"/>
    </row>
    <row r="1711" spans="7:63" ht="10.199999999999999" x14ac:dyDescent="0.2">
      <c r="G1711" s="139"/>
      <c r="U1711" s="139"/>
      <c r="AI1711" s="139"/>
      <c r="AW1711" s="139"/>
      <c r="BK1711" s="139"/>
    </row>
    <row r="1712" spans="7:63" ht="10.199999999999999" x14ac:dyDescent="0.2">
      <c r="G1712" s="139"/>
      <c r="U1712" s="139"/>
      <c r="AI1712" s="139"/>
      <c r="AW1712" s="139"/>
      <c r="BK1712" s="139"/>
    </row>
    <row r="1713" spans="7:63" ht="10.199999999999999" x14ac:dyDescent="0.2">
      <c r="G1713" s="139"/>
      <c r="U1713" s="139"/>
      <c r="AI1713" s="139"/>
      <c r="AW1713" s="139"/>
      <c r="BK1713" s="139"/>
    </row>
    <row r="1714" spans="7:63" ht="10.199999999999999" x14ac:dyDescent="0.2">
      <c r="G1714" s="139"/>
      <c r="U1714" s="139"/>
      <c r="AI1714" s="139"/>
      <c r="AW1714" s="139"/>
      <c r="BK1714" s="139"/>
    </row>
    <row r="1715" spans="7:63" ht="10.199999999999999" x14ac:dyDescent="0.2">
      <c r="G1715" s="139"/>
      <c r="U1715" s="139"/>
      <c r="AI1715" s="139"/>
      <c r="AW1715" s="139"/>
      <c r="BK1715" s="139"/>
    </row>
    <row r="1716" spans="7:63" ht="10.199999999999999" x14ac:dyDescent="0.2">
      <c r="G1716" s="139"/>
      <c r="U1716" s="139"/>
      <c r="AI1716" s="139"/>
      <c r="AW1716" s="139"/>
      <c r="BK1716" s="139"/>
    </row>
    <row r="1717" spans="7:63" ht="10.199999999999999" x14ac:dyDescent="0.2">
      <c r="G1717" s="139"/>
      <c r="U1717" s="139"/>
      <c r="AI1717" s="139"/>
      <c r="AW1717" s="139"/>
      <c r="BK1717" s="139"/>
    </row>
    <row r="1718" spans="7:63" ht="10.199999999999999" x14ac:dyDescent="0.2">
      <c r="G1718" s="139"/>
      <c r="U1718" s="139"/>
      <c r="AI1718" s="139"/>
      <c r="AW1718" s="139"/>
      <c r="BK1718" s="139"/>
    </row>
    <row r="1719" spans="7:63" ht="10.199999999999999" x14ac:dyDescent="0.2">
      <c r="G1719" s="139"/>
      <c r="U1719" s="139"/>
      <c r="AI1719" s="139"/>
      <c r="AW1719" s="139"/>
      <c r="BK1719" s="139"/>
    </row>
    <row r="1720" spans="7:63" ht="10.199999999999999" x14ac:dyDescent="0.2">
      <c r="G1720" s="139"/>
      <c r="U1720" s="139"/>
      <c r="AI1720" s="139"/>
      <c r="AW1720" s="139"/>
      <c r="BK1720" s="139"/>
    </row>
    <row r="1721" spans="7:63" ht="10.199999999999999" x14ac:dyDescent="0.2">
      <c r="G1721" s="139"/>
      <c r="U1721" s="139"/>
      <c r="AI1721" s="139"/>
      <c r="AW1721" s="139"/>
      <c r="BK1721" s="139"/>
    </row>
    <row r="1722" spans="7:63" ht="10.199999999999999" x14ac:dyDescent="0.2">
      <c r="G1722" s="139"/>
      <c r="U1722" s="139"/>
      <c r="AI1722" s="139"/>
      <c r="AW1722" s="139"/>
      <c r="BK1722" s="139"/>
    </row>
    <row r="1723" spans="7:63" ht="10.199999999999999" x14ac:dyDescent="0.2">
      <c r="G1723" s="139"/>
      <c r="U1723" s="139"/>
      <c r="AI1723" s="139"/>
      <c r="AW1723" s="139"/>
      <c r="BK1723" s="139"/>
    </row>
    <row r="1724" spans="7:63" ht="10.199999999999999" x14ac:dyDescent="0.2">
      <c r="G1724" s="139"/>
      <c r="U1724" s="139"/>
      <c r="AI1724" s="139"/>
      <c r="AW1724" s="139"/>
      <c r="BK1724" s="139"/>
    </row>
    <row r="1725" spans="7:63" ht="10.199999999999999" x14ac:dyDescent="0.2">
      <c r="G1725" s="139"/>
      <c r="U1725" s="139"/>
      <c r="AI1725" s="139"/>
      <c r="AW1725" s="139"/>
      <c r="BK1725" s="139"/>
    </row>
    <row r="1726" spans="7:63" ht="10.199999999999999" x14ac:dyDescent="0.2">
      <c r="G1726" s="139"/>
      <c r="U1726" s="139"/>
      <c r="AI1726" s="139"/>
      <c r="AW1726" s="139"/>
      <c r="BK1726" s="139"/>
    </row>
    <row r="1727" spans="7:63" ht="10.199999999999999" x14ac:dyDescent="0.2">
      <c r="G1727" s="139"/>
      <c r="U1727" s="139"/>
      <c r="AI1727" s="139"/>
      <c r="AW1727" s="139"/>
      <c r="BK1727" s="139"/>
    </row>
    <row r="1728" spans="7:63" ht="10.199999999999999" x14ac:dyDescent="0.2">
      <c r="G1728" s="139"/>
      <c r="U1728" s="139"/>
      <c r="AI1728" s="139"/>
      <c r="AW1728" s="139"/>
      <c r="BK1728" s="139"/>
    </row>
    <row r="1729" spans="7:63" ht="10.199999999999999" x14ac:dyDescent="0.2">
      <c r="G1729" s="139"/>
      <c r="U1729" s="139"/>
      <c r="AI1729" s="139"/>
      <c r="AW1729" s="139"/>
      <c r="BK1729" s="139"/>
    </row>
    <row r="1730" spans="7:63" ht="10.199999999999999" x14ac:dyDescent="0.2">
      <c r="G1730" s="139"/>
      <c r="U1730" s="139"/>
      <c r="AI1730" s="139"/>
      <c r="AW1730" s="139"/>
      <c r="BK1730" s="139"/>
    </row>
    <row r="1731" spans="7:63" ht="10.199999999999999" x14ac:dyDescent="0.2">
      <c r="G1731" s="139"/>
      <c r="U1731" s="139"/>
      <c r="AI1731" s="139"/>
      <c r="AW1731" s="139"/>
      <c r="BK1731" s="139"/>
    </row>
    <row r="1732" spans="7:63" ht="10.199999999999999" x14ac:dyDescent="0.2">
      <c r="G1732" s="139"/>
      <c r="U1732" s="139"/>
      <c r="AI1732" s="139"/>
      <c r="AW1732" s="139"/>
      <c r="BK1732" s="139"/>
    </row>
    <row r="1733" spans="7:63" ht="10.199999999999999" x14ac:dyDescent="0.2">
      <c r="G1733" s="139"/>
      <c r="U1733" s="139"/>
      <c r="AI1733" s="139"/>
      <c r="AW1733" s="139"/>
      <c r="BK1733" s="139"/>
    </row>
    <row r="1734" spans="7:63" ht="10.199999999999999" x14ac:dyDescent="0.2">
      <c r="G1734" s="139"/>
      <c r="U1734" s="139"/>
      <c r="AI1734" s="139"/>
      <c r="AW1734" s="139"/>
      <c r="BK1734" s="139"/>
    </row>
    <row r="1735" spans="7:63" ht="10.199999999999999" x14ac:dyDescent="0.2">
      <c r="G1735" s="139"/>
      <c r="U1735" s="139"/>
      <c r="AI1735" s="139"/>
      <c r="AW1735" s="139"/>
      <c r="BK1735" s="139"/>
    </row>
    <row r="1736" spans="7:63" ht="10.199999999999999" x14ac:dyDescent="0.2">
      <c r="G1736" s="139"/>
      <c r="U1736" s="139"/>
      <c r="AI1736" s="139"/>
      <c r="AW1736" s="139"/>
      <c r="BK1736" s="139"/>
    </row>
    <row r="1737" spans="7:63" ht="10.199999999999999" x14ac:dyDescent="0.2">
      <c r="G1737" s="139"/>
      <c r="U1737" s="139"/>
      <c r="AI1737" s="139"/>
      <c r="AW1737" s="139"/>
      <c r="BK1737" s="139"/>
    </row>
    <row r="1738" spans="7:63" ht="10.199999999999999" x14ac:dyDescent="0.2">
      <c r="G1738" s="139"/>
      <c r="U1738" s="139"/>
      <c r="AI1738" s="139"/>
      <c r="AW1738" s="139"/>
      <c r="BK1738" s="139"/>
    </row>
    <row r="1739" spans="7:63" ht="10.199999999999999" x14ac:dyDescent="0.2">
      <c r="G1739" s="139"/>
      <c r="U1739" s="139"/>
      <c r="AI1739" s="139"/>
      <c r="AW1739" s="139"/>
      <c r="BK1739" s="139"/>
    </row>
    <row r="1740" spans="7:63" ht="10.199999999999999" x14ac:dyDescent="0.2">
      <c r="G1740" s="139"/>
      <c r="U1740" s="139"/>
      <c r="AI1740" s="139"/>
      <c r="AW1740" s="139"/>
      <c r="BK1740" s="139"/>
    </row>
    <row r="1741" spans="7:63" ht="10.199999999999999" x14ac:dyDescent="0.2">
      <c r="G1741" s="139"/>
      <c r="U1741" s="139"/>
      <c r="AI1741" s="139"/>
      <c r="AW1741" s="139"/>
      <c r="BK1741" s="139"/>
    </row>
    <row r="1742" spans="7:63" ht="10.199999999999999" x14ac:dyDescent="0.2">
      <c r="G1742" s="139"/>
      <c r="U1742" s="139"/>
      <c r="AI1742" s="139"/>
      <c r="AW1742" s="139"/>
      <c r="BK1742" s="139"/>
    </row>
    <row r="1743" spans="7:63" ht="10.199999999999999" x14ac:dyDescent="0.2">
      <c r="G1743" s="139"/>
      <c r="U1743" s="139"/>
      <c r="AI1743" s="139"/>
      <c r="AW1743" s="139"/>
      <c r="BK1743" s="139"/>
    </row>
    <row r="1744" spans="7:63" ht="10.199999999999999" x14ac:dyDescent="0.2">
      <c r="G1744" s="139"/>
      <c r="U1744" s="139"/>
      <c r="AI1744" s="139"/>
      <c r="AW1744" s="139"/>
      <c r="BK1744" s="139"/>
    </row>
    <row r="1745" spans="7:63" ht="10.199999999999999" x14ac:dyDescent="0.2">
      <c r="G1745" s="139"/>
      <c r="U1745" s="139"/>
      <c r="AI1745" s="139"/>
      <c r="AW1745" s="139"/>
      <c r="BK1745" s="139"/>
    </row>
    <row r="1746" spans="7:63" ht="10.199999999999999" x14ac:dyDescent="0.2">
      <c r="G1746" s="139"/>
      <c r="U1746" s="139"/>
      <c r="AI1746" s="139"/>
      <c r="AW1746" s="139"/>
      <c r="BK1746" s="139"/>
    </row>
    <row r="1747" spans="7:63" ht="10.199999999999999" x14ac:dyDescent="0.2">
      <c r="G1747" s="139"/>
      <c r="U1747" s="139"/>
      <c r="AI1747" s="139"/>
      <c r="AW1747" s="139"/>
      <c r="BK1747" s="139"/>
    </row>
    <row r="1748" spans="7:63" ht="10.199999999999999" x14ac:dyDescent="0.2">
      <c r="G1748" s="139"/>
      <c r="U1748" s="139"/>
      <c r="AI1748" s="139"/>
      <c r="AW1748" s="139"/>
      <c r="BK1748" s="139"/>
    </row>
    <row r="1749" spans="7:63" ht="10.199999999999999" x14ac:dyDescent="0.2">
      <c r="G1749" s="139"/>
      <c r="U1749" s="139"/>
      <c r="AI1749" s="139"/>
      <c r="AW1749" s="139"/>
      <c r="BK1749" s="139"/>
    </row>
    <row r="1750" spans="7:63" ht="10.199999999999999" x14ac:dyDescent="0.2">
      <c r="G1750" s="139"/>
      <c r="U1750" s="139"/>
      <c r="AI1750" s="139"/>
      <c r="AW1750" s="139"/>
      <c r="BK1750" s="139"/>
    </row>
    <row r="1751" spans="7:63" ht="10.199999999999999" x14ac:dyDescent="0.2">
      <c r="G1751" s="139"/>
      <c r="U1751" s="139"/>
      <c r="AI1751" s="139"/>
      <c r="AW1751" s="139"/>
      <c r="BK1751" s="139"/>
    </row>
    <row r="1752" spans="7:63" ht="10.199999999999999" x14ac:dyDescent="0.2">
      <c r="G1752" s="139"/>
      <c r="U1752" s="139"/>
      <c r="AI1752" s="139"/>
      <c r="AW1752" s="139"/>
      <c r="BK1752" s="139"/>
    </row>
    <row r="1753" spans="7:63" ht="10.199999999999999" x14ac:dyDescent="0.2">
      <c r="G1753" s="139"/>
      <c r="U1753" s="139"/>
      <c r="AI1753" s="139"/>
      <c r="AW1753" s="139"/>
      <c r="BK1753" s="139"/>
    </row>
    <row r="1754" spans="7:63" ht="10.199999999999999" x14ac:dyDescent="0.2">
      <c r="G1754" s="139"/>
      <c r="U1754" s="139"/>
      <c r="AI1754" s="139"/>
      <c r="AW1754" s="139"/>
      <c r="BK1754" s="139"/>
    </row>
    <row r="1755" spans="7:63" ht="10.199999999999999" x14ac:dyDescent="0.2">
      <c r="G1755" s="139"/>
      <c r="U1755" s="139"/>
      <c r="AI1755" s="139"/>
      <c r="AW1755" s="139"/>
      <c r="BK1755" s="139"/>
    </row>
    <row r="1756" spans="7:63" ht="10.199999999999999" x14ac:dyDescent="0.2">
      <c r="G1756" s="139"/>
      <c r="U1756" s="139"/>
      <c r="AI1756" s="139"/>
      <c r="AW1756" s="139"/>
      <c r="BK1756" s="139"/>
    </row>
    <row r="1757" spans="7:63" ht="10.199999999999999" x14ac:dyDescent="0.2">
      <c r="G1757" s="139"/>
      <c r="U1757" s="139"/>
      <c r="AI1757" s="139"/>
      <c r="AW1757" s="139"/>
      <c r="BK1757" s="139"/>
    </row>
    <row r="1758" spans="7:63" ht="10.199999999999999" x14ac:dyDescent="0.2">
      <c r="G1758" s="139"/>
      <c r="U1758" s="139"/>
      <c r="AI1758" s="139"/>
      <c r="AW1758" s="139"/>
      <c r="BK1758" s="139"/>
    </row>
    <row r="1759" spans="7:63" ht="10.199999999999999" x14ac:dyDescent="0.2">
      <c r="G1759" s="139"/>
      <c r="U1759" s="139"/>
      <c r="AI1759" s="139"/>
      <c r="AW1759" s="139"/>
      <c r="BK1759" s="139"/>
    </row>
    <row r="1760" spans="7:63" ht="10.199999999999999" x14ac:dyDescent="0.2">
      <c r="G1760" s="139"/>
      <c r="U1760" s="139"/>
      <c r="AI1760" s="139"/>
      <c r="AW1760" s="139"/>
      <c r="BK1760" s="139"/>
    </row>
    <row r="1761" spans="7:63" ht="10.199999999999999" x14ac:dyDescent="0.2">
      <c r="G1761" s="139"/>
      <c r="U1761" s="139"/>
      <c r="AI1761" s="139"/>
      <c r="AW1761" s="139"/>
      <c r="BK1761" s="139"/>
    </row>
    <row r="1762" spans="7:63" ht="10.199999999999999" x14ac:dyDescent="0.2">
      <c r="G1762" s="139"/>
      <c r="U1762" s="139"/>
      <c r="AI1762" s="139"/>
      <c r="AW1762" s="139"/>
      <c r="BK1762" s="139"/>
    </row>
    <row r="1763" spans="7:63" ht="10.199999999999999" x14ac:dyDescent="0.2">
      <c r="G1763" s="139"/>
      <c r="U1763" s="139"/>
      <c r="AI1763" s="139"/>
      <c r="AW1763" s="139"/>
      <c r="BK1763" s="139"/>
    </row>
    <row r="1764" spans="7:63" ht="10.199999999999999" x14ac:dyDescent="0.2">
      <c r="G1764" s="139"/>
      <c r="U1764" s="139"/>
      <c r="AI1764" s="139"/>
      <c r="AW1764" s="139"/>
      <c r="BK1764" s="139"/>
    </row>
    <row r="1765" spans="7:63" ht="10.199999999999999" x14ac:dyDescent="0.2">
      <c r="G1765" s="139"/>
      <c r="U1765" s="139"/>
      <c r="AI1765" s="139"/>
      <c r="AW1765" s="139"/>
      <c r="BK1765" s="139"/>
    </row>
    <row r="1766" spans="7:63" ht="10.199999999999999" x14ac:dyDescent="0.2">
      <c r="G1766" s="139"/>
      <c r="U1766" s="139"/>
      <c r="AI1766" s="139"/>
      <c r="AW1766" s="139"/>
      <c r="BK1766" s="139"/>
    </row>
    <row r="1767" spans="7:63" ht="10.199999999999999" x14ac:dyDescent="0.2">
      <c r="G1767" s="139"/>
      <c r="U1767" s="139"/>
      <c r="AI1767" s="139"/>
      <c r="AW1767" s="139"/>
      <c r="BK1767" s="139"/>
    </row>
    <row r="1768" spans="7:63" ht="10.199999999999999" x14ac:dyDescent="0.2">
      <c r="G1768" s="139"/>
      <c r="U1768" s="139"/>
      <c r="AI1768" s="139"/>
      <c r="AW1768" s="139"/>
      <c r="BK1768" s="139"/>
    </row>
    <row r="1769" spans="7:63" ht="10.199999999999999" x14ac:dyDescent="0.2">
      <c r="G1769" s="139"/>
      <c r="U1769" s="139"/>
      <c r="AI1769" s="139"/>
      <c r="AW1769" s="139"/>
      <c r="BK1769" s="139"/>
    </row>
    <row r="1770" spans="7:63" ht="10.199999999999999" x14ac:dyDescent="0.2">
      <c r="G1770" s="139"/>
      <c r="U1770" s="139"/>
      <c r="AI1770" s="139"/>
      <c r="AW1770" s="139"/>
      <c r="BK1770" s="139"/>
    </row>
  </sheetData>
  <sheetProtection algorithmName="SHA-512" hashValue="9fDUafubmnoagNdDldhyDp5RrynahnmQtNTgl6huKFDmUPNCuB+ubyCeQDJgB+F5/trFdxAP7p/GzusJNz9rlA==" saltValue="u4svjxVUbc/eZfYnO5RlqA==" spinCount="100000" sheet="1" objects="1" scenarios="1" formatCells="0" formatColumns="0" formatRows="0"/>
  <dataConsolidate/>
  <mergeCells count="10">
    <mergeCell ref="BY7:BY8"/>
    <mergeCell ref="V7:AH7"/>
    <mergeCell ref="AJ7:AV7"/>
    <mergeCell ref="AX7:BJ7"/>
    <mergeCell ref="BL7:BX7"/>
    <mergeCell ref="C7:C8"/>
    <mergeCell ref="D7:D8"/>
    <mergeCell ref="E7:E8"/>
    <mergeCell ref="H7:T7"/>
    <mergeCell ref="F7:F8"/>
  </mergeCells>
  <conditionalFormatting sqref="F12">
    <cfRule type="cellIs" dxfId="88" priority="43" operator="lessThan">
      <formula>0</formula>
    </cfRule>
    <cfRule type="cellIs" dxfId="87" priority="44" operator="greaterThan">
      <formula>0</formula>
    </cfRule>
  </conditionalFormatting>
  <conditionalFormatting sqref="F14">
    <cfRule type="cellIs" dxfId="86" priority="41" operator="lessThan">
      <formula>0</formula>
    </cfRule>
    <cfRule type="cellIs" dxfId="85" priority="42" operator="greaterThan">
      <formula>0</formula>
    </cfRule>
  </conditionalFormatting>
  <conditionalFormatting sqref="F16">
    <cfRule type="cellIs" dxfId="84" priority="39" operator="lessThan">
      <formula>0</formula>
    </cfRule>
    <cfRule type="cellIs" dxfId="83" priority="40" operator="greaterThan">
      <formula>0</formula>
    </cfRule>
  </conditionalFormatting>
  <conditionalFormatting sqref="F18">
    <cfRule type="cellIs" dxfId="82" priority="37" operator="lessThan">
      <formula>0</formula>
    </cfRule>
    <cfRule type="cellIs" dxfId="81" priority="38" operator="greaterThan">
      <formula>0</formula>
    </cfRule>
  </conditionalFormatting>
  <conditionalFormatting sqref="F20">
    <cfRule type="cellIs" dxfId="80" priority="35" operator="lessThan">
      <formula>0</formula>
    </cfRule>
    <cfRule type="cellIs" dxfId="79" priority="36" operator="greaterThan">
      <formula>0</formula>
    </cfRule>
  </conditionalFormatting>
  <conditionalFormatting sqref="F22">
    <cfRule type="cellIs" dxfId="78" priority="33" operator="lessThan">
      <formula>0</formula>
    </cfRule>
    <cfRule type="cellIs" dxfId="77" priority="34" operator="greaterThan">
      <formula>0</formula>
    </cfRule>
  </conditionalFormatting>
  <conditionalFormatting sqref="F24">
    <cfRule type="cellIs" dxfId="76" priority="31" operator="lessThan">
      <formula>0</formula>
    </cfRule>
    <cfRule type="cellIs" dxfId="75" priority="32" operator="greaterThan">
      <formula>0</formula>
    </cfRule>
  </conditionalFormatting>
  <conditionalFormatting sqref="F26">
    <cfRule type="cellIs" dxfId="74" priority="29" operator="lessThan">
      <formula>0</formula>
    </cfRule>
    <cfRule type="cellIs" dxfId="73" priority="30" operator="greaterThan">
      <formula>0</formula>
    </cfRule>
  </conditionalFormatting>
  <conditionalFormatting sqref="F28">
    <cfRule type="cellIs" dxfId="72" priority="27" operator="lessThan">
      <formula>0</formula>
    </cfRule>
    <cfRule type="cellIs" dxfId="71" priority="28" operator="greaterThan">
      <formula>0</formula>
    </cfRule>
  </conditionalFormatting>
  <conditionalFormatting sqref="F30">
    <cfRule type="cellIs" dxfId="70" priority="25" operator="lessThan">
      <formula>0</formula>
    </cfRule>
    <cfRule type="cellIs" dxfId="69" priority="26" operator="greaterThan">
      <formula>0</formula>
    </cfRule>
  </conditionalFormatting>
  <conditionalFormatting sqref="F32">
    <cfRule type="cellIs" dxfId="68" priority="23" operator="lessThan">
      <formula>0</formula>
    </cfRule>
    <cfRule type="cellIs" dxfId="67" priority="24" operator="greaterThan">
      <formula>0</formula>
    </cfRule>
  </conditionalFormatting>
  <conditionalFormatting sqref="F54">
    <cfRule type="cellIs" dxfId="66" priority="1" operator="lessThan">
      <formula>0</formula>
    </cfRule>
    <cfRule type="cellIs" dxfId="65" priority="2" operator="greaterThan">
      <formula>0</formula>
    </cfRule>
  </conditionalFormatting>
  <conditionalFormatting sqref="F34">
    <cfRule type="cellIs" dxfId="64" priority="21" operator="lessThan">
      <formula>0</formula>
    </cfRule>
    <cfRule type="cellIs" dxfId="63" priority="22" operator="greaterThan">
      <formula>0</formula>
    </cfRule>
  </conditionalFormatting>
  <conditionalFormatting sqref="F36">
    <cfRule type="cellIs" dxfId="62" priority="19" operator="lessThan">
      <formula>0</formula>
    </cfRule>
    <cfRule type="cellIs" dxfId="61" priority="20" operator="greaterThan">
      <formula>0</formula>
    </cfRule>
  </conditionalFormatting>
  <conditionalFormatting sqref="F38">
    <cfRule type="cellIs" dxfId="60" priority="17" operator="lessThan">
      <formula>0</formula>
    </cfRule>
    <cfRule type="cellIs" dxfId="59" priority="18" operator="greaterThan">
      <formula>0</formula>
    </cfRule>
  </conditionalFormatting>
  <conditionalFormatting sqref="F40">
    <cfRule type="cellIs" dxfId="58" priority="15" operator="lessThan">
      <formula>0</formula>
    </cfRule>
    <cfRule type="cellIs" dxfId="57" priority="16" operator="greaterThan">
      <formula>0</formula>
    </cfRule>
  </conditionalFormatting>
  <conditionalFormatting sqref="F42">
    <cfRule type="cellIs" dxfId="56" priority="13" operator="lessThan">
      <formula>0</formula>
    </cfRule>
    <cfRule type="cellIs" dxfId="55" priority="14" operator="greaterThan">
      <formula>0</formula>
    </cfRule>
  </conditionalFormatting>
  <conditionalFormatting sqref="F44">
    <cfRule type="cellIs" dxfId="54" priority="11" operator="lessThan">
      <formula>0</formula>
    </cfRule>
    <cfRule type="cellIs" dxfId="53" priority="12" operator="greaterThan">
      <formula>0</formula>
    </cfRule>
  </conditionalFormatting>
  <conditionalFormatting sqref="F46">
    <cfRule type="cellIs" dxfId="52" priority="9" operator="lessThan">
      <formula>0</formula>
    </cfRule>
    <cfRule type="cellIs" dxfId="51" priority="10" operator="greaterThan">
      <formula>0</formula>
    </cfRule>
  </conditionalFormatting>
  <conditionalFormatting sqref="F48">
    <cfRule type="cellIs" dxfId="50" priority="7" operator="lessThan">
      <formula>0</formula>
    </cfRule>
    <cfRule type="cellIs" dxfId="49" priority="8" operator="greaterThan">
      <formula>0</formula>
    </cfRule>
  </conditionalFormatting>
  <conditionalFormatting sqref="F50">
    <cfRule type="cellIs" dxfId="48" priority="5" operator="lessThan">
      <formula>0</formula>
    </cfRule>
    <cfRule type="cellIs" dxfId="47" priority="6" operator="greaterThan">
      <formula>0</formula>
    </cfRule>
  </conditionalFormatting>
  <conditionalFormatting sqref="F52">
    <cfRule type="cellIs" dxfId="46" priority="3" operator="lessThan">
      <formula>0</formula>
    </cfRule>
    <cfRule type="cellIs" dxfId="45" priority="4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="Выбрать из списка" xr:uid="{00000000-0002-0000-0500-000000000000}">
          <x14:formula1>
            <xm:f>'Справочник статей'!$D$8:$D$10</xm:f>
          </x14:formula1>
          <xm:sqref>C12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">
    <tabColor theme="6" tint="0.79998168889431442"/>
    <pageSetUpPr fitToPage="1"/>
  </sheetPr>
  <dimension ref="A1:DE42"/>
  <sheetViews>
    <sheetView showGridLines="0" workbookViewId="0">
      <pane xSplit="8" ySplit="7" topLeftCell="I8" activePane="bottomRight" state="frozen"/>
      <selection activeCell="D1" sqref="D1"/>
      <selection pane="topRight" activeCell="I1" sqref="I1"/>
      <selection pane="bottomLeft" activeCell="D8" sqref="D8"/>
      <selection pane="bottomRight" activeCell="I19" sqref="I19"/>
    </sheetView>
  </sheetViews>
  <sheetFormatPr defaultRowHeight="14.4" x14ac:dyDescent="0.3"/>
  <cols>
    <col min="1" max="3" width="9.109375" hidden="1" customWidth="1"/>
    <col min="4" max="4" width="2.88671875" style="1" customWidth="1"/>
    <col min="6" max="6" width="36.33203125" bestFit="1" customWidth="1"/>
    <col min="7" max="7" width="35" bestFit="1" customWidth="1"/>
    <col min="8" max="8" width="0.44140625" style="1" customWidth="1"/>
    <col min="9" max="9" width="12.88671875" customWidth="1"/>
    <col min="10" max="10" width="0.44140625" style="1" customWidth="1"/>
    <col min="11" max="29" width="11.44140625" customWidth="1"/>
    <col min="30" max="30" width="0.44140625" style="1" customWidth="1"/>
    <col min="31" max="49" width="11.44140625" customWidth="1"/>
    <col min="50" max="50" width="0.44140625" style="1" customWidth="1"/>
    <col min="51" max="69" width="11.44140625" customWidth="1"/>
    <col min="70" max="70" width="0.44140625" style="1" customWidth="1"/>
    <col min="71" max="89" width="11.44140625" style="1" customWidth="1"/>
    <col min="90" max="90" width="0.44140625" style="1" customWidth="1"/>
    <col min="91" max="109" width="11.44140625" style="1" customWidth="1"/>
  </cols>
  <sheetData>
    <row r="1" spans="1:109" s="12" customFormat="1" ht="13.2" x14ac:dyDescent="0.25">
      <c r="A1" s="11"/>
      <c r="B1" s="11"/>
      <c r="E1" s="13" t="s">
        <v>193</v>
      </c>
      <c r="G1" s="1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</row>
    <row r="2" spans="1:109" s="12" customFormat="1" ht="10.199999999999999" x14ac:dyDescent="0.2">
      <c r="A2" s="11"/>
      <c r="B2" s="11"/>
      <c r="E2" s="17"/>
      <c r="G2" s="14"/>
      <c r="I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</row>
    <row r="3" spans="1:109" s="95" customFormat="1" ht="10.199999999999999" hidden="1" x14ac:dyDescent="0.2">
      <c r="K3" s="95" t="str">
        <f>"Январь_"&amp;YEAR('Карточка проекта'!$D$9)</f>
        <v>Январь_2023</v>
      </c>
      <c r="L3" s="95" t="str">
        <f>"Февраль_"&amp;YEAR('Карточка проекта'!$D$9)</f>
        <v>Февраль_2023</v>
      </c>
      <c r="M3" s="95" t="str">
        <f>"Март_"&amp;YEAR('Карточка проекта'!$D$9)</f>
        <v>Март_2023</v>
      </c>
      <c r="O3" s="95" t="str">
        <f>"Апрель_"&amp;YEAR('Карточка проекта'!$D$9)</f>
        <v>Апрель_2023</v>
      </c>
      <c r="P3" s="95" t="str">
        <f>"Май_"&amp;YEAR('Карточка проекта'!$D$9)</f>
        <v>Май_2023</v>
      </c>
      <c r="Q3" s="95" t="str">
        <f>"Июнь_"&amp;YEAR('Карточка проекта'!$D$9)</f>
        <v>Июнь_2023</v>
      </c>
      <c r="T3" s="95" t="str">
        <f>"Июль_"&amp;YEAR('Карточка проекта'!$D$9)</f>
        <v>Июль_2023</v>
      </c>
      <c r="U3" s="95" t="str">
        <f>"Август_"&amp;YEAR('Карточка проекта'!$D$9)</f>
        <v>Август_2023</v>
      </c>
      <c r="V3" s="95" t="str">
        <f>"Сентябрь_"&amp;YEAR('Карточка проекта'!$D$9)</f>
        <v>Сентябрь_2023</v>
      </c>
      <c r="Y3" s="95" t="str">
        <f>"Октябрь_"&amp;YEAR('Карточка проекта'!$D$9)</f>
        <v>Октябрь_2023</v>
      </c>
      <c r="Z3" s="95" t="str">
        <f>"Ноябрь_"&amp;YEAR('Карточка проекта'!$D$9)</f>
        <v>Ноябрь_2023</v>
      </c>
      <c r="AA3" s="95" t="str">
        <f>"Декабрь_"&amp;YEAR('Карточка проекта'!$D$9)</f>
        <v>Декабрь_2023</v>
      </c>
      <c r="AE3" s="95" t="str">
        <f>"Январь_"&amp;YEAR('Карточка проекта'!$D$9)+1</f>
        <v>Январь_2024</v>
      </c>
      <c r="AF3" s="95" t="str">
        <f>"Февраль_"&amp;YEAR('Карточка проекта'!$D$9)+1</f>
        <v>Февраль_2024</v>
      </c>
      <c r="AG3" s="95" t="str">
        <f>"Март_"&amp;YEAR('Карточка проекта'!$D$9)+1</f>
        <v>Март_2024</v>
      </c>
      <c r="AI3" s="95" t="str">
        <f>"Апрель_"&amp;YEAR('Карточка проекта'!$D$9)+1</f>
        <v>Апрель_2024</v>
      </c>
      <c r="AJ3" s="95" t="str">
        <f>"Май_"&amp;YEAR('Карточка проекта'!$D$9)+1</f>
        <v>Май_2024</v>
      </c>
      <c r="AK3" s="95" t="str">
        <f>"Июнь_"&amp;YEAR('Карточка проекта'!$D$9)+1</f>
        <v>Июнь_2024</v>
      </c>
      <c r="AN3" s="95" t="str">
        <f>"Июль_"&amp;YEAR('Карточка проекта'!$D$9)+1</f>
        <v>Июль_2024</v>
      </c>
      <c r="AO3" s="95" t="str">
        <f>"Август_"&amp;YEAR('Карточка проекта'!$D$9)+1</f>
        <v>Август_2024</v>
      </c>
      <c r="AP3" s="95" t="str">
        <f>"Сентябрь_"&amp;YEAR('Карточка проекта'!$D$9)+1</f>
        <v>Сентябрь_2024</v>
      </c>
      <c r="AS3" s="95" t="str">
        <f>"Октябрь_"&amp;YEAR('Карточка проекта'!$D$9)+1</f>
        <v>Октябрь_2024</v>
      </c>
      <c r="AT3" s="95" t="str">
        <f>"Ноябрь_"&amp;YEAR('Карточка проекта'!$D$9)+1</f>
        <v>Ноябрь_2024</v>
      </c>
      <c r="AU3" s="95" t="str">
        <f>"Декабрь_"&amp;YEAR('Карточка проекта'!$D$9)+1</f>
        <v>Декабрь_2024</v>
      </c>
      <c r="AY3" s="95" t="str">
        <f>"Январь_"&amp;YEAR('Карточка проекта'!$D$9)+2</f>
        <v>Январь_2025</v>
      </c>
      <c r="AZ3" s="95" t="str">
        <f>"Февраль_"&amp;YEAR('Карточка проекта'!$D$9)+2</f>
        <v>Февраль_2025</v>
      </c>
      <c r="BA3" s="95" t="str">
        <f>"Март_"&amp;YEAR('Карточка проекта'!$D$9)+2</f>
        <v>Март_2025</v>
      </c>
      <c r="BC3" s="95" t="str">
        <f>"Апрель_"&amp;YEAR('Карточка проекта'!$D$9)+2</f>
        <v>Апрель_2025</v>
      </c>
      <c r="BD3" s="95" t="str">
        <f>"Май_"&amp;YEAR('Карточка проекта'!$D$9)+2</f>
        <v>Май_2025</v>
      </c>
      <c r="BE3" s="95" t="str">
        <f>"Июнь_"&amp;YEAR('Карточка проекта'!$D$9)+2</f>
        <v>Июнь_2025</v>
      </c>
      <c r="BH3" s="95" t="str">
        <f>"Июль_"&amp;YEAR('Карточка проекта'!$D$9)+2</f>
        <v>Июль_2025</v>
      </c>
      <c r="BI3" s="95" t="str">
        <f>"Август_"&amp;YEAR('Карточка проекта'!$D$9)+2</f>
        <v>Август_2025</v>
      </c>
      <c r="BJ3" s="95" t="str">
        <f>"Сентябрь_"&amp;YEAR('Карточка проекта'!$D$9)+2</f>
        <v>Сентябрь_2025</v>
      </c>
      <c r="BM3" s="95" t="str">
        <f>"Октябрь_"&amp;YEAR('Карточка проекта'!$D$9)+2</f>
        <v>Октябрь_2025</v>
      </c>
      <c r="BN3" s="95" t="str">
        <f>"Ноябрь_"&amp;YEAR('Карточка проекта'!$D$9)+2</f>
        <v>Ноябрь_2025</v>
      </c>
      <c r="BO3" s="95" t="str">
        <f>"Декабрь_"&amp;YEAR('Карточка проекта'!$D$9)+2</f>
        <v>Декабрь_2025</v>
      </c>
      <c r="BS3" s="95" t="str">
        <f>"Январь_"&amp;YEAR('Карточка проекта'!$D$9)+3</f>
        <v>Январь_2026</v>
      </c>
      <c r="BT3" s="95" t="str">
        <f>"Февраль_"&amp;YEAR('Карточка проекта'!$D$9)+3</f>
        <v>Февраль_2026</v>
      </c>
      <c r="BU3" s="95" t="str">
        <f>"Март_"&amp;YEAR('Карточка проекта'!$D$9)+3</f>
        <v>Март_2026</v>
      </c>
      <c r="BW3" s="95" t="str">
        <f>"Апрель_"&amp;YEAR('Карточка проекта'!$D$9)+3</f>
        <v>Апрель_2026</v>
      </c>
      <c r="BX3" s="95" t="str">
        <f>"Май_"&amp;YEAR('Карточка проекта'!$D$9)+3</f>
        <v>Май_2026</v>
      </c>
      <c r="BY3" s="95" t="str">
        <f>"Июнь_"&amp;YEAR('Карточка проекта'!$D$9)+3</f>
        <v>Июнь_2026</v>
      </c>
      <c r="CB3" s="95" t="str">
        <f>"Июль_"&amp;YEAR('Карточка проекта'!$D$9)+3</f>
        <v>Июль_2026</v>
      </c>
      <c r="CC3" s="95" t="str">
        <f>"Август_"&amp;YEAR('Карточка проекта'!$D$9)+3</f>
        <v>Август_2026</v>
      </c>
      <c r="CD3" s="95" t="str">
        <f>"Сентябрь_"&amp;YEAR('Карточка проекта'!$D$9)+3</f>
        <v>Сентябрь_2026</v>
      </c>
      <c r="CG3" s="95" t="str">
        <f>"Октябрь_"&amp;YEAR('Карточка проекта'!$D$9)+3</f>
        <v>Октябрь_2026</v>
      </c>
      <c r="CH3" s="95" t="str">
        <f>"Ноябрь_"&amp;YEAR('Карточка проекта'!$D$9)+3</f>
        <v>Ноябрь_2026</v>
      </c>
      <c r="CI3" s="95" t="str">
        <f>"Декабрь_"&amp;YEAR('Карточка проекта'!$D$9)+3</f>
        <v>Декабрь_2026</v>
      </c>
      <c r="CM3" s="95" t="str">
        <f>"Январь_"&amp;YEAR('Карточка проекта'!$D$9)+4</f>
        <v>Январь_2027</v>
      </c>
      <c r="CN3" s="95" t="str">
        <f>"Февраль_"&amp;YEAR('Карточка проекта'!$D$9)+4</f>
        <v>Февраль_2027</v>
      </c>
      <c r="CO3" s="95" t="str">
        <f>"Март_"&amp;YEAR('Карточка проекта'!$D$9)+4</f>
        <v>Март_2027</v>
      </c>
      <c r="CQ3" s="95" t="str">
        <f>"Апрель_"&amp;YEAR('Карточка проекта'!$D$9)+4</f>
        <v>Апрель_2027</v>
      </c>
      <c r="CR3" s="95" t="str">
        <f>"Май_"&amp;YEAR('Карточка проекта'!$D$9)+4</f>
        <v>Май_2027</v>
      </c>
      <c r="CS3" s="95" t="str">
        <f>"Июнь_"&amp;YEAR('Карточка проекта'!$D$9)+4</f>
        <v>Июнь_2027</v>
      </c>
      <c r="CV3" s="95" t="str">
        <f>"Июль_"&amp;YEAR('Карточка проекта'!$D$9)+4</f>
        <v>Июль_2027</v>
      </c>
      <c r="CW3" s="95" t="str">
        <f>"Август_"&amp;YEAR('Карточка проекта'!$D$9)+4</f>
        <v>Август_2027</v>
      </c>
      <c r="CX3" s="95" t="str">
        <f>"Сентябрь_"&amp;YEAR('Карточка проекта'!$D$9)+4</f>
        <v>Сентябрь_2027</v>
      </c>
      <c r="DA3" s="95" t="str">
        <f>"Октябрь_"&amp;YEAR('Карточка проекта'!$D$9)+4</f>
        <v>Октябрь_2027</v>
      </c>
      <c r="DB3" s="95" t="str">
        <f>"Ноябрь_"&amp;YEAR('Карточка проекта'!$D$9)+4</f>
        <v>Ноябрь_2027</v>
      </c>
      <c r="DC3" s="95" t="str">
        <f>"Декабрь_"&amp;YEAR('Карточка проекта'!$D$9)+4</f>
        <v>Декабрь_2027</v>
      </c>
    </row>
    <row r="4" spans="1:109" s="95" customFormat="1" ht="10.199999999999999" hidden="1" x14ac:dyDescent="0.2">
      <c r="K4" s="95" t="s">
        <v>239</v>
      </c>
      <c r="L4" s="95" t="s">
        <v>240</v>
      </c>
      <c r="M4" s="95" t="s">
        <v>241</v>
      </c>
      <c r="N4" s="95" t="s">
        <v>233</v>
      </c>
      <c r="O4" s="95" t="s">
        <v>242</v>
      </c>
      <c r="P4" s="95" t="s">
        <v>243</v>
      </c>
      <c r="Q4" s="95" t="s">
        <v>244</v>
      </c>
      <c r="R4" s="95" t="s">
        <v>234</v>
      </c>
      <c r="S4" s="95" t="s">
        <v>235</v>
      </c>
      <c r="T4" s="95" t="s">
        <v>245</v>
      </c>
      <c r="U4" s="95" t="s">
        <v>246</v>
      </c>
      <c r="V4" s="95" t="s">
        <v>247</v>
      </c>
      <c r="W4" s="95" t="s">
        <v>236</v>
      </c>
      <c r="X4" s="95" t="s">
        <v>237</v>
      </c>
      <c r="Y4" s="95" t="s">
        <v>248</v>
      </c>
      <c r="Z4" s="95" t="s">
        <v>249</v>
      </c>
      <c r="AA4" s="95" t="s">
        <v>250</v>
      </c>
      <c r="AB4" s="95" t="s">
        <v>238</v>
      </c>
      <c r="AC4" s="95" t="s">
        <v>251</v>
      </c>
      <c r="AE4" s="95" t="s">
        <v>239</v>
      </c>
      <c r="AF4" s="95" t="s">
        <v>240</v>
      </c>
      <c r="AG4" s="95" t="s">
        <v>241</v>
      </c>
      <c r="AH4" s="95" t="s">
        <v>233</v>
      </c>
      <c r="AI4" s="95" t="s">
        <v>242</v>
      </c>
      <c r="AJ4" s="95" t="s">
        <v>243</v>
      </c>
      <c r="AK4" s="95" t="s">
        <v>244</v>
      </c>
      <c r="AL4" s="95" t="s">
        <v>234</v>
      </c>
      <c r="AM4" s="95" t="s">
        <v>235</v>
      </c>
      <c r="AN4" s="95" t="s">
        <v>245</v>
      </c>
      <c r="AO4" s="95" t="s">
        <v>246</v>
      </c>
      <c r="AP4" s="95" t="s">
        <v>247</v>
      </c>
      <c r="AQ4" s="95" t="s">
        <v>236</v>
      </c>
      <c r="AR4" s="95" t="s">
        <v>237</v>
      </c>
      <c r="AS4" s="95" t="s">
        <v>248</v>
      </c>
      <c r="AT4" s="95" t="s">
        <v>249</v>
      </c>
      <c r="AU4" s="95" t="s">
        <v>250</v>
      </c>
      <c r="AV4" s="95" t="s">
        <v>238</v>
      </c>
      <c r="AW4" s="95" t="s">
        <v>251</v>
      </c>
      <c r="AY4" s="95" t="s">
        <v>239</v>
      </c>
      <c r="AZ4" s="95" t="s">
        <v>240</v>
      </c>
      <c r="BA4" s="95" t="s">
        <v>241</v>
      </c>
      <c r="BB4" s="95" t="s">
        <v>233</v>
      </c>
      <c r="BC4" s="95" t="s">
        <v>242</v>
      </c>
      <c r="BD4" s="95" t="s">
        <v>243</v>
      </c>
      <c r="BE4" s="95" t="s">
        <v>244</v>
      </c>
      <c r="BF4" s="95" t="s">
        <v>234</v>
      </c>
      <c r="BG4" s="95" t="s">
        <v>235</v>
      </c>
      <c r="BH4" s="95" t="s">
        <v>245</v>
      </c>
      <c r="BI4" s="95" t="s">
        <v>246</v>
      </c>
      <c r="BJ4" s="95" t="s">
        <v>247</v>
      </c>
      <c r="BK4" s="95" t="s">
        <v>236</v>
      </c>
      <c r="BL4" s="95" t="s">
        <v>237</v>
      </c>
      <c r="BM4" s="95" t="s">
        <v>248</v>
      </c>
      <c r="BN4" s="95" t="s">
        <v>249</v>
      </c>
      <c r="BO4" s="95" t="s">
        <v>250</v>
      </c>
      <c r="BP4" s="95" t="s">
        <v>238</v>
      </c>
      <c r="BQ4" s="95" t="s">
        <v>251</v>
      </c>
      <c r="BS4" s="95" t="s">
        <v>239</v>
      </c>
      <c r="BT4" s="95" t="s">
        <v>240</v>
      </c>
      <c r="BU4" s="95" t="s">
        <v>241</v>
      </c>
      <c r="BV4" s="95" t="s">
        <v>233</v>
      </c>
      <c r="BW4" s="95" t="s">
        <v>242</v>
      </c>
      <c r="BX4" s="95" t="s">
        <v>243</v>
      </c>
      <c r="BY4" s="95" t="s">
        <v>244</v>
      </c>
      <c r="BZ4" s="95" t="s">
        <v>234</v>
      </c>
      <c r="CA4" s="95" t="s">
        <v>235</v>
      </c>
      <c r="CB4" s="95" t="s">
        <v>245</v>
      </c>
      <c r="CC4" s="95" t="s">
        <v>246</v>
      </c>
      <c r="CD4" s="95" t="s">
        <v>247</v>
      </c>
      <c r="CE4" s="95" t="s">
        <v>236</v>
      </c>
      <c r="CF4" s="95" t="s">
        <v>237</v>
      </c>
      <c r="CG4" s="95" t="s">
        <v>248</v>
      </c>
      <c r="CH4" s="95" t="s">
        <v>249</v>
      </c>
      <c r="CI4" s="95" t="s">
        <v>250</v>
      </c>
      <c r="CJ4" s="95" t="s">
        <v>238</v>
      </c>
      <c r="CK4" s="95" t="s">
        <v>251</v>
      </c>
      <c r="CM4" s="95" t="s">
        <v>239</v>
      </c>
      <c r="CN4" s="95" t="s">
        <v>240</v>
      </c>
      <c r="CO4" s="95" t="s">
        <v>241</v>
      </c>
      <c r="CP4" s="95" t="s">
        <v>233</v>
      </c>
      <c r="CQ4" s="95" t="s">
        <v>242</v>
      </c>
      <c r="CR4" s="95" t="s">
        <v>243</v>
      </c>
      <c r="CS4" s="95" t="s">
        <v>244</v>
      </c>
      <c r="CT4" s="95" t="s">
        <v>234</v>
      </c>
      <c r="CU4" s="95" t="s">
        <v>235</v>
      </c>
      <c r="CV4" s="95" t="s">
        <v>245</v>
      </c>
      <c r="CW4" s="95" t="s">
        <v>246</v>
      </c>
      <c r="CX4" s="95" t="s">
        <v>247</v>
      </c>
      <c r="CY4" s="95" t="s">
        <v>236</v>
      </c>
      <c r="CZ4" s="95" t="s">
        <v>237</v>
      </c>
      <c r="DA4" s="95" t="s">
        <v>248</v>
      </c>
      <c r="DB4" s="95" t="s">
        <v>249</v>
      </c>
      <c r="DC4" s="95" t="s">
        <v>250</v>
      </c>
      <c r="DD4" s="95" t="s">
        <v>238</v>
      </c>
      <c r="DE4" s="95" t="s">
        <v>251</v>
      </c>
    </row>
    <row r="5" spans="1:109" s="12" customFormat="1" ht="10.199999999999999" x14ac:dyDescent="0.2">
      <c r="A5" s="11" t="s">
        <v>176</v>
      </c>
      <c r="B5" s="11" t="s">
        <v>196</v>
      </c>
      <c r="E5" s="25" t="s">
        <v>197</v>
      </c>
      <c r="F5" s="25" t="s">
        <v>198</v>
      </c>
      <c r="G5" s="25" t="s">
        <v>199</v>
      </c>
      <c r="I5" s="26" t="s">
        <v>200</v>
      </c>
      <c r="K5" s="26" t="str">
        <f>K4&amp;YEAR('Карточка проекта'!$D$9)</f>
        <v>янв.2023</v>
      </c>
      <c r="L5" s="26" t="str">
        <f>L4&amp;YEAR('Карточка проекта'!$D$9)</f>
        <v>фев.2023</v>
      </c>
      <c r="M5" s="26" t="str">
        <f>M4&amp;YEAR('Карточка проекта'!$D$9)</f>
        <v>мар.2023</v>
      </c>
      <c r="N5" s="26" t="str">
        <f>N4&amp;YEAR('Карточка проекта'!$D$9)</f>
        <v>1 кв. 2023</v>
      </c>
      <c r="O5" s="26" t="str">
        <f>O4&amp;YEAR('Карточка проекта'!$D$9)</f>
        <v>апр.2023</v>
      </c>
      <c r="P5" s="26" t="str">
        <f>P4&amp;YEAR('Карточка проекта'!$D$9)</f>
        <v>май.2023</v>
      </c>
      <c r="Q5" s="26" t="str">
        <f>Q4&amp;YEAR('Карточка проекта'!$D$9)</f>
        <v>июн.2023</v>
      </c>
      <c r="R5" s="26" t="str">
        <f>R4&amp;YEAR('Карточка проекта'!$D$9)</f>
        <v>2 кв. 2023</v>
      </c>
      <c r="S5" s="26" t="str">
        <f>S4&amp;YEAR('Карточка проекта'!$D$9)</f>
        <v>6 мес. 2023</v>
      </c>
      <c r="T5" s="26" t="str">
        <f>T4&amp;YEAR('Карточка проекта'!$D$9)</f>
        <v>июл.2023</v>
      </c>
      <c r="U5" s="26" t="str">
        <f>U4&amp;YEAR('Карточка проекта'!$D$9)</f>
        <v>авг.2023</v>
      </c>
      <c r="V5" s="26" t="str">
        <f>V4&amp;YEAR('Карточка проекта'!$D$9)</f>
        <v>сен.2023</v>
      </c>
      <c r="W5" s="26" t="str">
        <f>W4&amp;YEAR('Карточка проекта'!$D$9)</f>
        <v>3 кв. 2023</v>
      </c>
      <c r="X5" s="26" t="str">
        <f>X4&amp;YEAR('Карточка проекта'!$D$9)</f>
        <v>9 мес. 2023</v>
      </c>
      <c r="Y5" s="26" t="str">
        <f>Y4&amp;YEAR('Карточка проекта'!$D$9)</f>
        <v>окт.2023</v>
      </c>
      <c r="Z5" s="26" t="str">
        <f>Z4&amp;YEAR('Карточка проекта'!$D$9)</f>
        <v>ноя.2023</v>
      </c>
      <c r="AA5" s="26" t="str">
        <f>AA4&amp;YEAR('Карточка проекта'!$D$9)</f>
        <v>дек.2023</v>
      </c>
      <c r="AB5" s="26" t="str">
        <f>AB4&amp;YEAR('Карточка проекта'!$D$9)</f>
        <v>4 кв. 2023</v>
      </c>
      <c r="AC5" s="26" t="str">
        <f>YEAR('Карточка проекта'!$D$9)&amp;AC4</f>
        <v>2023 год</v>
      </c>
      <c r="AE5" s="26" t="str">
        <f>AE4&amp;YEAR('Карточка проекта'!$D$9)+1</f>
        <v>янв.2024</v>
      </c>
      <c r="AF5" s="26" t="str">
        <f>AF4&amp;YEAR('Карточка проекта'!$D$9)+1</f>
        <v>фев.2024</v>
      </c>
      <c r="AG5" s="26" t="str">
        <f>AG4&amp;YEAR('Карточка проекта'!$D$9)+1</f>
        <v>мар.2024</v>
      </c>
      <c r="AH5" s="26" t="str">
        <f>AH4&amp;YEAR('Карточка проекта'!$D$9)+1</f>
        <v>1 кв. 2024</v>
      </c>
      <c r="AI5" s="26" t="str">
        <f>AI4&amp;YEAR('Карточка проекта'!$D$9)+1</f>
        <v>апр.2024</v>
      </c>
      <c r="AJ5" s="26" t="str">
        <f>AJ4&amp;YEAR('Карточка проекта'!$D$9)+1</f>
        <v>май.2024</v>
      </c>
      <c r="AK5" s="26" t="str">
        <f>AK4&amp;YEAR('Карточка проекта'!$D$9)+1</f>
        <v>июн.2024</v>
      </c>
      <c r="AL5" s="26" t="str">
        <f>AL4&amp;YEAR('Карточка проекта'!$D$9)+1</f>
        <v>2 кв. 2024</v>
      </c>
      <c r="AM5" s="26" t="str">
        <f>AM4&amp;YEAR('Карточка проекта'!$D$9)+1</f>
        <v>6 мес. 2024</v>
      </c>
      <c r="AN5" s="26" t="str">
        <f>AN4&amp;YEAR('Карточка проекта'!$D$9)+1</f>
        <v>июл.2024</v>
      </c>
      <c r="AO5" s="26" t="str">
        <f>AO4&amp;YEAR('Карточка проекта'!$D$9)+1</f>
        <v>авг.2024</v>
      </c>
      <c r="AP5" s="26" t="str">
        <f>AP4&amp;YEAR('Карточка проекта'!$D$9)+1</f>
        <v>сен.2024</v>
      </c>
      <c r="AQ5" s="26" t="str">
        <f>AQ4&amp;YEAR('Карточка проекта'!$D$9)+1</f>
        <v>3 кв. 2024</v>
      </c>
      <c r="AR5" s="26" t="str">
        <f>AR4&amp;YEAR('Карточка проекта'!$D$9)+1</f>
        <v>9 мес. 2024</v>
      </c>
      <c r="AS5" s="26" t="str">
        <f>AS4&amp;YEAR('Карточка проекта'!$D$9)+1</f>
        <v>окт.2024</v>
      </c>
      <c r="AT5" s="26" t="str">
        <f>AT4&amp;YEAR('Карточка проекта'!$D$9)+1</f>
        <v>ноя.2024</v>
      </c>
      <c r="AU5" s="26" t="str">
        <f>AU4&amp;YEAR('Карточка проекта'!$D$9)+1</f>
        <v>дек.2024</v>
      </c>
      <c r="AV5" s="26" t="str">
        <f>AV4&amp;YEAR('Карточка проекта'!$D$9)+1</f>
        <v>4 кв. 2024</v>
      </c>
      <c r="AW5" s="26" t="str">
        <f>YEAR('Карточка проекта'!$D$9)+1&amp;AW4</f>
        <v>2024 год</v>
      </c>
      <c r="AY5" s="26" t="str">
        <f>AY4&amp;YEAR('Карточка проекта'!$D$9)+2</f>
        <v>янв.2025</v>
      </c>
      <c r="AZ5" s="26" t="str">
        <f>AZ4&amp;YEAR('Карточка проекта'!$D$9)+2</f>
        <v>фев.2025</v>
      </c>
      <c r="BA5" s="26" t="str">
        <f>BA4&amp;YEAR('Карточка проекта'!$D$9)+2</f>
        <v>мар.2025</v>
      </c>
      <c r="BB5" s="26" t="str">
        <f>BB4&amp;YEAR('Карточка проекта'!$D$9)+2</f>
        <v>1 кв. 2025</v>
      </c>
      <c r="BC5" s="26" t="str">
        <f>BC4&amp;YEAR('Карточка проекта'!$D$9)+2</f>
        <v>апр.2025</v>
      </c>
      <c r="BD5" s="26" t="str">
        <f>BD4&amp;YEAR('Карточка проекта'!$D$9)+2</f>
        <v>май.2025</v>
      </c>
      <c r="BE5" s="26" t="str">
        <f>BE4&amp;YEAR('Карточка проекта'!$D$9)+2</f>
        <v>июн.2025</v>
      </c>
      <c r="BF5" s="26" t="str">
        <f>BF4&amp;YEAR('Карточка проекта'!$D$9)+2</f>
        <v>2 кв. 2025</v>
      </c>
      <c r="BG5" s="26" t="str">
        <f>BG4&amp;YEAR('Карточка проекта'!$D$9)+2</f>
        <v>6 мес. 2025</v>
      </c>
      <c r="BH5" s="26" t="str">
        <f>BH4&amp;YEAR('Карточка проекта'!$D$9)+2</f>
        <v>июл.2025</v>
      </c>
      <c r="BI5" s="26" t="str">
        <f>BI4&amp;YEAR('Карточка проекта'!$D$9)+2</f>
        <v>авг.2025</v>
      </c>
      <c r="BJ5" s="26" t="str">
        <f>BJ4&amp;YEAR('Карточка проекта'!$D$9)+2</f>
        <v>сен.2025</v>
      </c>
      <c r="BK5" s="26" t="str">
        <f>BK4&amp;YEAR('Карточка проекта'!$D$9)+2</f>
        <v>3 кв. 2025</v>
      </c>
      <c r="BL5" s="26" t="str">
        <f>BL4&amp;YEAR('Карточка проекта'!$D$9)+2</f>
        <v>9 мес. 2025</v>
      </c>
      <c r="BM5" s="26" t="str">
        <f>BM4&amp;YEAR('Карточка проекта'!$D$9)+2</f>
        <v>окт.2025</v>
      </c>
      <c r="BN5" s="26" t="str">
        <f>BN4&amp;YEAR('Карточка проекта'!$D$9)+2</f>
        <v>ноя.2025</v>
      </c>
      <c r="BO5" s="26" t="str">
        <f>BO4&amp;YEAR('Карточка проекта'!$D$9)+2</f>
        <v>дек.2025</v>
      </c>
      <c r="BP5" s="26" t="str">
        <f>BP4&amp;YEAR('Карточка проекта'!$D$9)+2</f>
        <v>4 кв. 2025</v>
      </c>
      <c r="BQ5" s="26" t="str">
        <f>YEAR('Карточка проекта'!$D$9)+2&amp;BQ4</f>
        <v>2025 год</v>
      </c>
      <c r="BS5" s="26" t="str">
        <f>BS4&amp;YEAR('Карточка проекта'!$D$9)+3</f>
        <v>янв.2026</v>
      </c>
      <c r="BT5" s="26" t="str">
        <f>BT4&amp;YEAR('Карточка проекта'!$D$9)+3</f>
        <v>фев.2026</v>
      </c>
      <c r="BU5" s="26" t="str">
        <f>BU4&amp;YEAR('Карточка проекта'!$D$9)+3</f>
        <v>мар.2026</v>
      </c>
      <c r="BV5" s="26" t="str">
        <f>BV4&amp;YEAR('Карточка проекта'!$D$9)+3</f>
        <v>1 кв. 2026</v>
      </c>
      <c r="BW5" s="26" t="str">
        <f>BW4&amp;YEAR('Карточка проекта'!$D$9)+3</f>
        <v>апр.2026</v>
      </c>
      <c r="BX5" s="26" t="str">
        <f>BX4&amp;YEAR('Карточка проекта'!$D$9)+3</f>
        <v>май.2026</v>
      </c>
      <c r="BY5" s="26" t="str">
        <f>BY4&amp;YEAR('Карточка проекта'!$D$9)+3</f>
        <v>июн.2026</v>
      </c>
      <c r="BZ5" s="26" t="str">
        <f>BZ4&amp;YEAR('Карточка проекта'!$D$9)+3</f>
        <v>2 кв. 2026</v>
      </c>
      <c r="CA5" s="26" t="str">
        <f>CA4&amp;YEAR('Карточка проекта'!$D$9)+3</f>
        <v>6 мес. 2026</v>
      </c>
      <c r="CB5" s="26" t="str">
        <f>CB4&amp;YEAR('Карточка проекта'!$D$9)+3</f>
        <v>июл.2026</v>
      </c>
      <c r="CC5" s="26" t="str">
        <f>CC4&amp;YEAR('Карточка проекта'!$D$9)+3</f>
        <v>авг.2026</v>
      </c>
      <c r="CD5" s="26" t="str">
        <f>CD4&amp;YEAR('Карточка проекта'!$D$9)+3</f>
        <v>сен.2026</v>
      </c>
      <c r="CE5" s="26" t="str">
        <f>CE4&amp;YEAR('Карточка проекта'!$D$9)+3</f>
        <v>3 кв. 2026</v>
      </c>
      <c r="CF5" s="26" t="str">
        <f>CF4&amp;YEAR('Карточка проекта'!$D$9)+3</f>
        <v>9 мес. 2026</v>
      </c>
      <c r="CG5" s="26" t="str">
        <f>CG4&amp;YEAR('Карточка проекта'!$D$9)+3</f>
        <v>окт.2026</v>
      </c>
      <c r="CH5" s="26" t="str">
        <f>CH4&amp;YEAR('Карточка проекта'!$D$9)+3</f>
        <v>ноя.2026</v>
      </c>
      <c r="CI5" s="26" t="str">
        <f>CI4&amp;YEAR('Карточка проекта'!$D$9)+3</f>
        <v>дек.2026</v>
      </c>
      <c r="CJ5" s="26" t="str">
        <f>CJ4&amp;YEAR('Карточка проекта'!$D$9)+3</f>
        <v>4 кв. 2026</v>
      </c>
      <c r="CK5" s="26" t="str">
        <f>YEAR('Карточка проекта'!$D$9)+3&amp;CK4</f>
        <v>2026 год</v>
      </c>
      <c r="CM5" s="26" t="str">
        <f>CM4&amp;YEAR('Карточка проекта'!$D$9)+4</f>
        <v>янв.2027</v>
      </c>
      <c r="CN5" s="26" t="str">
        <f>CN4&amp;YEAR('Карточка проекта'!$D$9)+4</f>
        <v>фев.2027</v>
      </c>
      <c r="CO5" s="26" t="str">
        <f>CO4&amp;YEAR('Карточка проекта'!$D$9)+4</f>
        <v>мар.2027</v>
      </c>
      <c r="CP5" s="26" t="str">
        <f>CP4&amp;YEAR('Карточка проекта'!$D$9)+4</f>
        <v>1 кв. 2027</v>
      </c>
      <c r="CQ5" s="26" t="str">
        <f>CQ4&amp;YEAR('Карточка проекта'!$D$9)+4</f>
        <v>апр.2027</v>
      </c>
      <c r="CR5" s="26" t="str">
        <f>CR4&amp;YEAR('Карточка проекта'!$D$9)+4</f>
        <v>май.2027</v>
      </c>
      <c r="CS5" s="26" t="str">
        <f>CS4&amp;YEAR('Карточка проекта'!$D$9)+4</f>
        <v>июн.2027</v>
      </c>
      <c r="CT5" s="26" t="str">
        <f>CT4&amp;YEAR('Карточка проекта'!$D$9)+4</f>
        <v>2 кв. 2027</v>
      </c>
      <c r="CU5" s="26" t="str">
        <f>CU4&amp;YEAR('Карточка проекта'!$D$9)+4</f>
        <v>6 мес. 2027</v>
      </c>
      <c r="CV5" s="26" t="str">
        <f>CV4&amp;YEAR('Карточка проекта'!$D$9)+4</f>
        <v>июл.2027</v>
      </c>
      <c r="CW5" s="26" t="str">
        <f>CW4&amp;YEAR('Карточка проекта'!$D$9)+4</f>
        <v>авг.2027</v>
      </c>
      <c r="CX5" s="26" t="str">
        <f>CX4&amp;YEAR('Карточка проекта'!$D$9)+4</f>
        <v>сен.2027</v>
      </c>
      <c r="CY5" s="26" t="str">
        <f>CY4&amp;YEAR('Карточка проекта'!$D$9)+4</f>
        <v>3 кв. 2027</v>
      </c>
      <c r="CZ5" s="26" t="str">
        <f>CZ4&amp;YEAR('Карточка проекта'!$D$9)+4</f>
        <v>9 мес. 2027</v>
      </c>
      <c r="DA5" s="26" t="str">
        <f>DA4&amp;YEAR('Карточка проекта'!$D$9)+4</f>
        <v>окт.2027</v>
      </c>
      <c r="DB5" s="26" t="str">
        <f>DB4&amp;YEAR('Карточка проекта'!$D$9)+4</f>
        <v>ноя.2027</v>
      </c>
      <c r="DC5" s="26" t="str">
        <f>DC4&amp;YEAR('Карточка проекта'!$D$9)+4</f>
        <v>дек.2027</v>
      </c>
      <c r="DD5" s="26" t="str">
        <f>DD4&amp;YEAR('Карточка проекта'!$D$9)+4</f>
        <v>4 кв. 2027</v>
      </c>
      <c r="DE5" s="26" t="str">
        <f>YEAR('Карточка проекта'!$D$9)+4&amp;DE4</f>
        <v>2027 год</v>
      </c>
    </row>
    <row r="6" spans="1:109" s="12" customFormat="1" ht="10.199999999999999" x14ac:dyDescent="0.2">
      <c r="A6" s="11"/>
      <c r="B6" s="11"/>
      <c r="E6" s="26"/>
      <c r="F6" s="26"/>
      <c r="G6" s="26"/>
      <c r="I6" s="26" t="s">
        <v>201</v>
      </c>
      <c r="K6" s="26" t="s">
        <v>201</v>
      </c>
      <c r="L6" s="26" t="s">
        <v>201</v>
      </c>
      <c r="M6" s="26" t="s">
        <v>201</v>
      </c>
      <c r="N6" s="26" t="s">
        <v>201</v>
      </c>
      <c r="O6" s="26" t="s">
        <v>201</v>
      </c>
      <c r="P6" s="26" t="s">
        <v>201</v>
      </c>
      <c r="Q6" s="26" t="s">
        <v>201</v>
      </c>
      <c r="R6" s="26" t="s">
        <v>201</v>
      </c>
      <c r="S6" s="26" t="s">
        <v>201</v>
      </c>
      <c r="T6" s="26" t="s">
        <v>201</v>
      </c>
      <c r="U6" s="26" t="s">
        <v>201</v>
      </c>
      <c r="V6" s="26" t="s">
        <v>201</v>
      </c>
      <c r="W6" s="26" t="s">
        <v>201</v>
      </c>
      <c r="X6" s="26" t="s">
        <v>201</v>
      </c>
      <c r="Y6" s="26" t="s">
        <v>201</v>
      </c>
      <c r="Z6" s="26" t="s">
        <v>201</v>
      </c>
      <c r="AA6" s="26" t="s">
        <v>201</v>
      </c>
      <c r="AB6" s="26" t="s">
        <v>201</v>
      </c>
      <c r="AC6" s="26" t="s">
        <v>201</v>
      </c>
      <c r="AE6" s="26" t="s">
        <v>201</v>
      </c>
      <c r="AF6" s="26" t="s">
        <v>201</v>
      </c>
      <c r="AG6" s="26" t="s">
        <v>201</v>
      </c>
      <c r="AH6" s="26" t="s">
        <v>201</v>
      </c>
      <c r="AI6" s="26" t="s">
        <v>201</v>
      </c>
      <c r="AJ6" s="26" t="s">
        <v>201</v>
      </c>
      <c r="AK6" s="26" t="s">
        <v>201</v>
      </c>
      <c r="AL6" s="26" t="s">
        <v>201</v>
      </c>
      <c r="AM6" s="26" t="s">
        <v>201</v>
      </c>
      <c r="AN6" s="26" t="s">
        <v>201</v>
      </c>
      <c r="AO6" s="26" t="s">
        <v>201</v>
      </c>
      <c r="AP6" s="26" t="s">
        <v>201</v>
      </c>
      <c r="AQ6" s="26" t="s">
        <v>201</v>
      </c>
      <c r="AR6" s="26" t="s">
        <v>201</v>
      </c>
      <c r="AS6" s="26" t="s">
        <v>201</v>
      </c>
      <c r="AT6" s="26" t="s">
        <v>201</v>
      </c>
      <c r="AU6" s="26" t="s">
        <v>201</v>
      </c>
      <c r="AV6" s="26" t="s">
        <v>201</v>
      </c>
      <c r="AW6" s="26" t="s">
        <v>201</v>
      </c>
      <c r="AY6" s="26" t="s">
        <v>201</v>
      </c>
      <c r="AZ6" s="26" t="s">
        <v>201</v>
      </c>
      <c r="BA6" s="26" t="s">
        <v>201</v>
      </c>
      <c r="BB6" s="26" t="s">
        <v>201</v>
      </c>
      <c r="BC6" s="26" t="s">
        <v>201</v>
      </c>
      <c r="BD6" s="26" t="s">
        <v>201</v>
      </c>
      <c r="BE6" s="26" t="s">
        <v>201</v>
      </c>
      <c r="BF6" s="26" t="s">
        <v>201</v>
      </c>
      <c r="BG6" s="26" t="s">
        <v>201</v>
      </c>
      <c r="BH6" s="26" t="s">
        <v>201</v>
      </c>
      <c r="BI6" s="26" t="s">
        <v>201</v>
      </c>
      <c r="BJ6" s="26" t="s">
        <v>201</v>
      </c>
      <c r="BK6" s="26" t="s">
        <v>201</v>
      </c>
      <c r="BL6" s="26" t="s">
        <v>201</v>
      </c>
      <c r="BM6" s="26" t="s">
        <v>201</v>
      </c>
      <c r="BN6" s="26" t="s">
        <v>201</v>
      </c>
      <c r="BO6" s="26" t="s">
        <v>201</v>
      </c>
      <c r="BP6" s="26" t="s">
        <v>201</v>
      </c>
      <c r="BQ6" s="26" t="s">
        <v>201</v>
      </c>
      <c r="BS6" s="26" t="s">
        <v>201</v>
      </c>
      <c r="BT6" s="26" t="s">
        <v>201</v>
      </c>
      <c r="BU6" s="26" t="s">
        <v>201</v>
      </c>
      <c r="BV6" s="26" t="s">
        <v>201</v>
      </c>
      <c r="BW6" s="26" t="s">
        <v>201</v>
      </c>
      <c r="BX6" s="26" t="s">
        <v>201</v>
      </c>
      <c r="BY6" s="26" t="s">
        <v>201</v>
      </c>
      <c r="BZ6" s="26" t="s">
        <v>201</v>
      </c>
      <c r="CA6" s="26" t="s">
        <v>201</v>
      </c>
      <c r="CB6" s="26" t="s">
        <v>201</v>
      </c>
      <c r="CC6" s="26" t="s">
        <v>201</v>
      </c>
      <c r="CD6" s="26" t="s">
        <v>201</v>
      </c>
      <c r="CE6" s="26" t="s">
        <v>201</v>
      </c>
      <c r="CF6" s="26" t="s">
        <v>201</v>
      </c>
      <c r="CG6" s="26" t="s">
        <v>201</v>
      </c>
      <c r="CH6" s="26" t="s">
        <v>201</v>
      </c>
      <c r="CI6" s="26" t="s">
        <v>201</v>
      </c>
      <c r="CJ6" s="26" t="s">
        <v>201</v>
      </c>
      <c r="CK6" s="26" t="s">
        <v>201</v>
      </c>
      <c r="CM6" s="26" t="s">
        <v>201</v>
      </c>
      <c r="CN6" s="26" t="s">
        <v>201</v>
      </c>
      <c r="CO6" s="26" t="s">
        <v>201</v>
      </c>
      <c r="CP6" s="26" t="s">
        <v>201</v>
      </c>
      <c r="CQ6" s="26" t="s">
        <v>201</v>
      </c>
      <c r="CR6" s="26" t="s">
        <v>201</v>
      </c>
      <c r="CS6" s="26" t="s">
        <v>201</v>
      </c>
      <c r="CT6" s="26" t="s">
        <v>201</v>
      </c>
      <c r="CU6" s="26" t="s">
        <v>201</v>
      </c>
      <c r="CV6" s="26" t="s">
        <v>201</v>
      </c>
      <c r="CW6" s="26" t="s">
        <v>201</v>
      </c>
      <c r="CX6" s="26" t="s">
        <v>201</v>
      </c>
      <c r="CY6" s="26" t="s">
        <v>201</v>
      </c>
      <c r="CZ6" s="26" t="s">
        <v>201</v>
      </c>
      <c r="DA6" s="26" t="s">
        <v>201</v>
      </c>
      <c r="DB6" s="26" t="s">
        <v>201</v>
      </c>
      <c r="DC6" s="26" t="s">
        <v>201</v>
      </c>
      <c r="DD6" s="26" t="s">
        <v>201</v>
      </c>
      <c r="DE6" s="26" t="s">
        <v>201</v>
      </c>
    </row>
    <row r="7" spans="1:109" s="12" customFormat="1" ht="2.25" customHeight="1" x14ac:dyDescent="0.2">
      <c r="A7" s="11"/>
      <c r="B7" s="11"/>
      <c r="I7" s="19"/>
      <c r="N7" s="19"/>
      <c r="R7" s="19"/>
      <c r="S7" s="19"/>
      <c r="W7" s="19"/>
      <c r="X7" s="19"/>
      <c r="AB7" s="19"/>
      <c r="AC7" s="19"/>
      <c r="AH7" s="19"/>
      <c r="AL7" s="19"/>
      <c r="AM7" s="19"/>
      <c r="AQ7" s="19"/>
      <c r="AR7" s="19"/>
      <c r="AV7" s="19"/>
      <c r="AW7" s="19"/>
      <c r="BB7" s="19"/>
      <c r="BF7" s="19"/>
      <c r="BG7" s="19"/>
      <c r="BK7" s="19"/>
      <c r="BL7" s="19"/>
      <c r="BP7" s="19"/>
      <c r="BQ7" s="19"/>
      <c r="BV7" s="19"/>
      <c r="BZ7" s="19"/>
      <c r="CA7" s="19"/>
      <c r="CE7" s="19"/>
      <c r="CF7" s="19"/>
      <c r="CJ7" s="19"/>
      <c r="CK7" s="19"/>
      <c r="CP7" s="19"/>
      <c r="CT7" s="19"/>
      <c r="CU7" s="19"/>
      <c r="CY7" s="19"/>
      <c r="CZ7" s="19"/>
      <c r="DD7" s="19"/>
      <c r="DE7" s="19"/>
    </row>
    <row r="8" spans="1:109" s="12" customFormat="1" ht="10.199999999999999" x14ac:dyDescent="0.2">
      <c r="A8" s="11"/>
      <c r="B8" s="11"/>
      <c r="E8" s="24"/>
      <c r="F8" s="24" t="s">
        <v>252</v>
      </c>
      <c r="G8" s="24"/>
      <c r="I8" s="39">
        <f>I9+I15</f>
        <v>12823496.83804824</v>
      </c>
      <c r="K8" s="28">
        <f t="shared" ref="K8:X8" si="0">K9+K15</f>
        <v>0</v>
      </c>
      <c r="L8" s="28">
        <f t="shared" si="0"/>
        <v>0</v>
      </c>
      <c r="M8" s="28">
        <f t="shared" si="0"/>
        <v>0</v>
      </c>
      <c r="N8" s="39">
        <f t="shared" si="0"/>
        <v>0</v>
      </c>
      <c r="O8" s="34">
        <f t="shared" si="0"/>
        <v>0</v>
      </c>
      <c r="P8" s="28">
        <f t="shared" si="0"/>
        <v>0</v>
      </c>
      <c r="Q8" s="28">
        <f t="shared" si="0"/>
        <v>0</v>
      </c>
      <c r="R8" s="30">
        <f t="shared" si="0"/>
        <v>0</v>
      </c>
      <c r="S8" s="39">
        <f t="shared" si="0"/>
        <v>0</v>
      </c>
      <c r="T8" s="34">
        <f t="shared" ref="T8:V8" si="1">T9+T15</f>
        <v>0</v>
      </c>
      <c r="U8" s="28">
        <f t="shared" si="1"/>
        <v>0</v>
      </c>
      <c r="V8" s="28">
        <f t="shared" si="1"/>
        <v>385535.0105478745</v>
      </c>
      <c r="W8" s="39">
        <f t="shared" si="0"/>
        <v>385535.0105478745</v>
      </c>
      <c r="X8" s="39">
        <f t="shared" si="0"/>
        <v>385535.0105478745</v>
      </c>
      <c r="Y8" s="34">
        <f t="shared" ref="Y8:AA8" si="2">Y9+Y15</f>
        <v>4466065.0105478745</v>
      </c>
      <c r="Z8" s="28">
        <f t="shared" si="2"/>
        <v>4386163.4444823917</v>
      </c>
      <c r="AA8" s="28">
        <f t="shared" si="2"/>
        <v>3585733.3724701004</v>
      </c>
      <c r="AB8" s="30">
        <f t="shared" ref="AB8:AC8" si="3">AB9+AB15</f>
        <v>12437961.827500366</v>
      </c>
      <c r="AC8" s="39">
        <f t="shared" si="3"/>
        <v>12823496.83804824</v>
      </c>
      <c r="AE8" s="28">
        <f t="shared" ref="AE8:AG8" si="4">AE9+AE15</f>
        <v>0</v>
      </c>
      <c r="AF8" s="28">
        <f t="shared" si="4"/>
        <v>0</v>
      </c>
      <c r="AG8" s="28">
        <f t="shared" si="4"/>
        <v>0</v>
      </c>
      <c r="AH8" s="39">
        <f t="shared" ref="AH8:AU8" si="5">AH9+AH15</f>
        <v>0</v>
      </c>
      <c r="AI8" s="28">
        <f t="shared" si="5"/>
        <v>0</v>
      </c>
      <c r="AJ8" s="28">
        <f t="shared" si="5"/>
        <v>0</v>
      </c>
      <c r="AK8" s="28">
        <f t="shared" si="5"/>
        <v>0</v>
      </c>
      <c r="AL8" s="39">
        <f t="shared" ref="AL8" si="6">AL9+AL15</f>
        <v>0</v>
      </c>
      <c r="AM8" s="39">
        <f t="shared" si="5"/>
        <v>0</v>
      </c>
      <c r="AN8" s="28">
        <f t="shared" si="5"/>
        <v>0</v>
      </c>
      <c r="AO8" s="28">
        <f t="shared" si="5"/>
        <v>0</v>
      </c>
      <c r="AP8" s="28">
        <f t="shared" si="5"/>
        <v>0</v>
      </c>
      <c r="AQ8" s="39">
        <f t="shared" ref="AQ8" si="7">AQ9+AQ15</f>
        <v>0</v>
      </c>
      <c r="AR8" s="39">
        <f t="shared" si="5"/>
        <v>0</v>
      </c>
      <c r="AS8" s="28">
        <f t="shared" si="5"/>
        <v>0</v>
      </c>
      <c r="AT8" s="28">
        <f t="shared" si="5"/>
        <v>0</v>
      </c>
      <c r="AU8" s="28">
        <f t="shared" si="5"/>
        <v>0</v>
      </c>
      <c r="AV8" s="39">
        <f t="shared" ref="AV8" si="8">AV9+AV15</f>
        <v>0</v>
      </c>
      <c r="AW8" s="39">
        <f t="shared" ref="AW8" si="9">AW9+AW15</f>
        <v>0</v>
      </c>
      <c r="AY8" s="28">
        <f t="shared" ref="AY8:BQ8" si="10">AY9+AY15</f>
        <v>0</v>
      </c>
      <c r="AZ8" s="28">
        <f t="shared" si="10"/>
        <v>0</v>
      </c>
      <c r="BA8" s="28">
        <f t="shared" si="10"/>
        <v>0</v>
      </c>
      <c r="BB8" s="39">
        <f t="shared" si="10"/>
        <v>0</v>
      </c>
      <c r="BC8" s="28">
        <f t="shared" si="10"/>
        <v>0</v>
      </c>
      <c r="BD8" s="28">
        <f t="shared" si="10"/>
        <v>0</v>
      </c>
      <c r="BE8" s="28">
        <f t="shared" si="10"/>
        <v>0</v>
      </c>
      <c r="BF8" s="39">
        <f t="shared" si="10"/>
        <v>0</v>
      </c>
      <c r="BG8" s="39">
        <f t="shared" si="10"/>
        <v>0</v>
      </c>
      <c r="BH8" s="28">
        <f t="shared" si="10"/>
        <v>0</v>
      </c>
      <c r="BI8" s="28">
        <f t="shared" si="10"/>
        <v>0</v>
      </c>
      <c r="BJ8" s="28">
        <f t="shared" si="10"/>
        <v>0</v>
      </c>
      <c r="BK8" s="39">
        <f t="shared" si="10"/>
        <v>0</v>
      </c>
      <c r="BL8" s="39">
        <f t="shared" si="10"/>
        <v>0</v>
      </c>
      <c r="BM8" s="28">
        <f t="shared" si="10"/>
        <v>0</v>
      </c>
      <c r="BN8" s="28">
        <f t="shared" si="10"/>
        <v>0</v>
      </c>
      <c r="BO8" s="28">
        <f t="shared" si="10"/>
        <v>0</v>
      </c>
      <c r="BP8" s="39">
        <f t="shared" si="10"/>
        <v>0</v>
      </c>
      <c r="BQ8" s="39">
        <f t="shared" si="10"/>
        <v>0</v>
      </c>
      <c r="BS8" s="28">
        <f t="shared" ref="BS8:CK8" si="11">BS9+BS15</f>
        <v>0</v>
      </c>
      <c r="BT8" s="28">
        <f t="shared" si="11"/>
        <v>0</v>
      </c>
      <c r="BU8" s="28">
        <f t="shared" si="11"/>
        <v>0</v>
      </c>
      <c r="BV8" s="39">
        <f t="shared" si="11"/>
        <v>0</v>
      </c>
      <c r="BW8" s="28">
        <f t="shared" si="11"/>
        <v>0</v>
      </c>
      <c r="BX8" s="28">
        <f t="shared" si="11"/>
        <v>0</v>
      </c>
      <c r="BY8" s="28">
        <f t="shared" si="11"/>
        <v>0</v>
      </c>
      <c r="BZ8" s="39">
        <f t="shared" si="11"/>
        <v>0</v>
      </c>
      <c r="CA8" s="39">
        <f t="shared" si="11"/>
        <v>0</v>
      </c>
      <c r="CB8" s="28">
        <f t="shared" si="11"/>
        <v>0</v>
      </c>
      <c r="CC8" s="28">
        <f t="shared" si="11"/>
        <v>0</v>
      </c>
      <c r="CD8" s="28">
        <f t="shared" si="11"/>
        <v>0</v>
      </c>
      <c r="CE8" s="39">
        <f t="shared" si="11"/>
        <v>0</v>
      </c>
      <c r="CF8" s="39">
        <f t="shared" si="11"/>
        <v>0</v>
      </c>
      <c r="CG8" s="28">
        <f t="shared" si="11"/>
        <v>0</v>
      </c>
      <c r="CH8" s="28">
        <f t="shared" si="11"/>
        <v>0</v>
      </c>
      <c r="CI8" s="28">
        <f t="shared" si="11"/>
        <v>0</v>
      </c>
      <c r="CJ8" s="39">
        <f t="shared" si="11"/>
        <v>0</v>
      </c>
      <c r="CK8" s="39">
        <f t="shared" si="11"/>
        <v>0</v>
      </c>
      <c r="CM8" s="28">
        <f t="shared" ref="CM8:DE8" si="12">CM9+CM15</f>
        <v>0</v>
      </c>
      <c r="CN8" s="28">
        <f t="shared" si="12"/>
        <v>0</v>
      </c>
      <c r="CO8" s="28">
        <f t="shared" si="12"/>
        <v>0</v>
      </c>
      <c r="CP8" s="39">
        <f t="shared" si="12"/>
        <v>0</v>
      </c>
      <c r="CQ8" s="28">
        <f t="shared" si="12"/>
        <v>0</v>
      </c>
      <c r="CR8" s="28">
        <f t="shared" si="12"/>
        <v>0</v>
      </c>
      <c r="CS8" s="28">
        <f t="shared" si="12"/>
        <v>0</v>
      </c>
      <c r="CT8" s="39">
        <f t="shared" si="12"/>
        <v>0</v>
      </c>
      <c r="CU8" s="39">
        <f t="shared" si="12"/>
        <v>0</v>
      </c>
      <c r="CV8" s="28">
        <f t="shared" si="12"/>
        <v>0</v>
      </c>
      <c r="CW8" s="28">
        <f t="shared" si="12"/>
        <v>0</v>
      </c>
      <c r="CX8" s="28">
        <f t="shared" si="12"/>
        <v>0</v>
      </c>
      <c r="CY8" s="39">
        <f t="shared" si="12"/>
        <v>0</v>
      </c>
      <c r="CZ8" s="39">
        <f t="shared" si="12"/>
        <v>0</v>
      </c>
      <c r="DA8" s="28">
        <f t="shared" si="12"/>
        <v>0</v>
      </c>
      <c r="DB8" s="28">
        <f t="shared" si="12"/>
        <v>0</v>
      </c>
      <c r="DC8" s="28">
        <f t="shared" si="12"/>
        <v>0</v>
      </c>
      <c r="DD8" s="39">
        <f t="shared" si="12"/>
        <v>0</v>
      </c>
      <c r="DE8" s="39">
        <f t="shared" si="12"/>
        <v>0</v>
      </c>
    </row>
    <row r="9" spans="1:109" s="12" customFormat="1" ht="10.199999999999999" x14ac:dyDescent="0.2">
      <c r="A9" s="11"/>
      <c r="B9" s="11"/>
      <c r="E9" s="27"/>
      <c r="F9" s="27" t="s">
        <v>194</v>
      </c>
      <c r="G9" s="27"/>
      <c r="I9" s="40">
        <f>SUM(I10:I14)</f>
        <v>21000000</v>
      </c>
      <c r="K9" s="29">
        <f t="shared" ref="K9:X9" si="13">SUM(K10:K14)</f>
        <v>0</v>
      </c>
      <c r="L9" s="29">
        <f t="shared" si="13"/>
        <v>0</v>
      </c>
      <c r="M9" s="29">
        <f t="shared" si="13"/>
        <v>0</v>
      </c>
      <c r="N9" s="40">
        <f t="shared" si="13"/>
        <v>0</v>
      </c>
      <c r="O9" s="35">
        <f t="shared" si="13"/>
        <v>0</v>
      </c>
      <c r="P9" s="29">
        <f t="shared" si="13"/>
        <v>0</v>
      </c>
      <c r="Q9" s="29">
        <f t="shared" si="13"/>
        <v>0</v>
      </c>
      <c r="R9" s="31">
        <f>SUM(R10:R14)</f>
        <v>0</v>
      </c>
      <c r="S9" s="40">
        <f t="shared" si="13"/>
        <v>0</v>
      </c>
      <c r="T9" s="35">
        <f t="shared" ref="T9:V9" si="14">SUM(T10:T14)</f>
        <v>0</v>
      </c>
      <c r="U9" s="29">
        <f t="shared" si="14"/>
        <v>0</v>
      </c>
      <c r="V9" s="29">
        <f t="shared" si="14"/>
        <v>3000000</v>
      </c>
      <c r="W9" s="40">
        <f>SUM(W10:W14)</f>
        <v>3000000</v>
      </c>
      <c r="X9" s="40">
        <f t="shared" si="13"/>
        <v>3000000</v>
      </c>
      <c r="Y9" s="35">
        <f t="shared" ref="Y9:AA9" si="15">SUM(Y10:Y14)</f>
        <v>6000000</v>
      </c>
      <c r="Z9" s="29">
        <f t="shared" si="15"/>
        <v>6000000</v>
      </c>
      <c r="AA9" s="29">
        <f t="shared" si="15"/>
        <v>6000000</v>
      </c>
      <c r="AB9" s="31">
        <f t="shared" ref="AB9:AC9" si="16">SUM(AB10:AB14)</f>
        <v>18000000</v>
      </c>
      <c r="AC9" s="40">
        <f t="shared" si="16"/>
        <v>21000000</v>
      </c>
      <c r="AE9" s="29">
        <f t="shared" ref="AE9:AG9" si="17">SUM(AE10:AE14)</f>
        <v>0</v>
      </c>
      <c r="AF9" s="29">
        <f t="shared" si="17"/>
        <v>0</v>
      </c>
      <c r="AG9" s="29">
        <f t="shared" si="17"/>
        <v>0</v>
      </c>
      <c r="AH9" s="40">
        <f t="shared" ref="AH9:AU9" si="18">SUM(AH10:AH14)</f>
        <v>0</v>
      </c>
      <c r="AI9" s="29">
        <f t="shared" si="18"/>
        <v>0</v>
      </c>
      <c r="AJ9" s="29">
        <f t="shared" si="18"/>
        <v>0</v>
      </c>
      <c r="AK9" s="29">
        <f t="shared" si="18"/>
        <v>0</v>
      </c>
      <c r="AL9" s="40">
        <f t="shared" ref="AL9" si="19">SUM(AL10:AL14)</f>
        <v>0</v>
      </c>
      <c r="AM9" s="40">
        <f t="shared" si="18"/>
        <v>0</v>
      </c>
      <c r="AN9" s="29">
        <f t="shared" si="18"/>
        <v>0</v>
      </c>
      <c r="AO9" s="29">
        <f t="shared" si="18"/>
        <v>0</v>
      </c>
      <c r="AP9" s="29">
        <f t="shared" si="18"/>
        <v>0</v>
      </c>
      <c r="AQ9" s="40">
        <f t="shared" ref="AQ9" si="20">SUM(AQ10:AQ14)</f>
        <v>0</v>
      </c>
      <c r="AR9" s="40">
        <f t="shared" si="18"/>
        <v>0</v>
      </c>
      <c r="AS9" s="29">
        <f t="shared" si="18"/>
        <v>0</v>
      </c>
      <c r="AT9" s="29">
        <f t="shared" si="18"/>
        <v>0</v>
      </c>
      <c r="AU9" s="29">
        <f t="shared" si="18"/>
        <v>0</v>
      </c>
      <c r="AV9" s="40">
        <f t="shared" ref="AV9" si="21">SUM(AV10:AV14)</f>
        <v>0</v>
      </c>
      <c r="AW9" s="40">
        <f t="shared" ref="AW9" si="22">SUM(AW10:AW14)</f>
        <v>0</v>
      </c>
      <c r="AY9" s="29">
        <f t="shared" ref="AY9:BQ9" si="23">SUM(AY10:AY14)</f>
        <v>0</v>
      </c>
      <c r="AZ9" s="29">
        <f t="shared" si="23"/>
        <v>0</v>
      </c>
      <c r="BA9" s="29">
        <f t="shared" si="23"/>
        <v>0</v>
      </c>
      <c r="BB9" s="40">
        <f t="shared" si="23"/>
        <v>0</v>
      </c>
      <c r="BC9" s="29">
        <f t="shared" si="23"/>
        <v>0</v>
      </c>
      <c r="BD9" s="29">
        <f t="shared" si="23"/>
        <v>0</v>
      </c>
      <c r="BE9" s="29">
        <f t="shared" si="23"/>
        <v>0</v>
      </c>
      <c r="BF9" s="40">
        <f t="shared" si="23"/>
        <v>0</v>
      </c>
      <c r="BG9" s="40">
        <f t="shared" si="23"/>
        <v>0</v>
      </c>
      <c r="BH9" s="29">
        <f t="shared" si="23"/>
        <v>0</v>
      </c>
      <c r="BI9" s="29">
        <f t="shared" si="23"/>
        <v>0</v>
      </c>
      <c r="BJ9" s="29">
        <f t="shared" si="23"/>
        <v>0</v>
      </c>
      <c r="BK9" s="40">
        <f t="shared" si="23"/>
        <v>0</v>
      </c>
      <c r="BL9" s="40">
        <f t="shared" si="23"/>
        <v>0</v>
      </c>
      <c r="BM9" s="29">
        <f t="shared" si="23"/>
        <v>0</v>
      </c>
      <c r="BN9" s="29">
        <f t="shared" si="23"/>
        <v>0</v>
      </c>
      <c r="BO9" s="29">
        <f t="shared" si="23"/>
        <v>0</v>
      </c>
      <c r="BP9" s="40">
        <f t="shared" si="23"/>
        <v>0</v>
      </c>
      <c r="BQ9" s="40">
        <f t="shared" si="23"/>
        <v>0</v>
      </c>
      <c r="BS9" s="29">
        <f t="shared" ref="BS9:CK9" si="24">SUM(BS10:BS14)</f>
        <v>0</v>
      </c>
      <c r="BT9" s="29">
        <f t="shared" si="24"/>
        <v>0</v>
      </c>
      <c r="BU9" s="29">
        <f t="shared" si="24"/>
        <v>0</v>
      </c>
      <c r="BV9" s="40">
        <f t="shared" si="24"/>
        <v>0</v>
      </c>
      <c r="BW9" s="29">
        <f t="shared" si="24"/>
        <v>0</v>
      </c>
      <c r="BX9" s="29">
        <f t="shared" si="24"/>
        <v>0</v>
      </c>
      <c r="BY9" s="29">
        <f t="shared" si="24"/>
        <v>0</v>
      </c>
      <c r="BZ9" s="40">
        <f t="shared" si="24"/>
        <v>0</v>
      </c>
      <c r="CA9" s="40">
        <f t="shared" si="24"/>
        <v>0</v>
      </c>
      <c r="CB9" s="29">
        <f t="shared" si="24"/>
        <v>0</v>
      </c>
      <c r="CC9" s="29">
        <f t="shared" si="24"/>
        <v>0</v>
      </c>
      <c r="CD9" s="29">
        <f t="shared" si="24"/>
        <v>0</v>
      </c>
      <c r="CE9" s="40">
        <f t="shared" si="24"/>
        <v>0</v>
      </c>
      <c r="CF9" s="40">
        <f t="shared" si="24"/>
        <v>0</v>
      </c>
      <c r="CG9" s="29">
        <f t="shared" si="24"/>
        <v>0</v>
      </c>
      <c r="CH9" s="29">
        <f t="shared" si="24"/>
        <v>0</v>
      </c>
      <c r="CI9" s="29">
        <f t="shared" si="24"/>
        <v>0</v>
      </c>
      <c r="CJ9" s="40">
        <f t="shared" si="24"/>
        <v>0</v>
      </c>
      <c r="CK9" s="40">
        <f t="shared" si="24"/>
        <v>0</v>
      </c>
      <c r="CM9" s="29">
        <f t="shared" ref="CM9:DE9" si="25">SUM(CM10:CM14)</f>
        <v>0</v>
      </c>
      <c r="CN9" s="29">
        <f t="shared" si="25"/>
        <v>0</v>
      </c>
      <c r="CO9" s="29">
        <f t="shared" si="25"/>
        <v>0</v>
      </c>
      <c r="CP9" s="40">
        <f t="shared" si="25"/>
        <v>0</v>
      </c>
      <c r="CQ9" s="29">
        <f t="shared" si="25"/>
        <v>0</v>
      </c>
      <c r="CR9" s="29">
        <f t="shared" si="25"/>
        <v>0</v>
      </c>
      <c r="CS9" s="29">
        <f t="shared" si="25"/>
        <v>0</v>
      </c>
      <c r="CT9" s="40">
        <f t="shared" si="25"/>
        <v>0</v>
      </c>
      <c r="CU9" s="40">
        <f t="shared" si="25"/>
        <v>0</v>
      </c>
      <c r="CV9" s="29">
        <f t="shared" si="25"/>
        <v>0</v>
      </c>
      <c r="CW9" s="29">
        <f t="shared" si="25"/>
        <v>0</v>
      </c>
      <c r="CX9" s="29">
        <f t="shared" si="25"/>
        <v>0</v>
      </c>
      <c r="CY9" s="40">
        <f t="shared" si="25"/>
        <v>0</v>
      </c>
      <c r="CZ9" s="40">
        <f t="shared" si="25"/>
        <v>0</v>
      </c>
      <c r="DA9" s="29">
        <f t="shared" si="25"/>
        <v>0</v>
      </c>
      <c r="DB9" s="29">
        <f t="shared" si="25"/>
        <v>0</v>
      </c>
      <c r="DC9" s="29">
        <f t="shared" si="25"/>
        <v>0</v>
      </c>
      <c r="DD9" s="40">
        <f t="shared" si="25"/>
        <v>0</v>
      </c>
      <c r="DE9" s="40">
        <f t="shared" si="25"/>
        <v>0</v>
      </c>
    </row>
    <row r="10" spans="1:109" s="12" customFormat="1" ht="10.199999999999999" x14ac:dyDescent="0.2">
      <c r="A10" s="11" t="s">
        <v>202</v>
      </c>
      <c r="B10" s="11" t="str">
        <f>F10&amp;A10</f>
        <v>Облачное хранилище для строительной компании с функцией архивации 201051 Поставка оборудования</v>
      </c>
      <c r="E10" s="20">
        <v>201051</v>
      </c>
      <c r="F10" s="21" t="str">
        <f>'Карточка проекта'!$B$1</f>
        <v xml:space="preserve">Облачное хранилище для строительной компании с функцией архивации </v>
      </c>
      <c r="G10" s="43" t="s">
        <v>203</v>
      </c>
      <c r="I10" s="41">
        <f>AC10+AW10+BQ10+CK10+DE10</f>
        <v>0</v>
      </c>
      <c r="K10" s="23">
        <f>SUMIFS(БДР_Выручка!$I:$I,БДР_Выручка!$D:$D,$A10,БДР_Выручка!$C:$C,K$3)</f>
        <v>0</v>
      </c>
      <c r="L10" s="23">
        <f>SUMIFS(БДР_Выручка!$I:$I,БДР_Выручка!$D:$D,$A10,БДР_Выручка!$C:$C,L$3)</f>
        <v>0</v>
      </c>
      <c r="M10" s="23">
        <f>SUMIFS(БДР_Выручка!$I:$I,БДР_Выручка!$D:$D,$A10,БДР_Выручка!$C:$C,M$3)</f>
        <v>0</v>
      </c>
      <c r="N10" s="41">
        <f>K10+L10+M10</f>
        <v>0</v>
      </c>
      <c r="O10" s="23">
        <f>SUMIFS(БДР_Выручка!$I:$I,БДР_Выручка!$D:$D,$A10,БДР_Выручка!$C:$C,O$3)</f>
        <v>0</v>
      </c>
      <c r="P10" s="23">
        <f>SUMIFS(БДР_Выручка!$I:$I,БДР_Выручка!$D:$D,$A10,БДР_Выручка!$C:$C,P$3)</f>
        <v>0</v>
      </c>
      <c r="Q10" s="23">
        <f>SUMIFS(БДР_Выручка!$I:$I,БДР_Выручка!$D:$D,$A10,БДР_Выручка!$C:$C,Q$3)</f>
        <v>0</v>
      </c>
      <c r="R10" s="22">
        <f>O10+P10+Q10</f>
        <v>0</v>
      </c>
      <c r="S10" s="41">
        <f>N10+R10</f>
        <v>0</v>
      </c>
      <c r="T10" s="23">
        <f>SUMIFS(БДР_Выручка!$I:$I,БДР_Выручка!$D:$D,$A10,БДР_Выручка!$C:$C,T$3)</f>
        <v>0</v>
      </c>
      <c r="U10" s="23">
        <f>SUMIFS(БДР_Выручка!$I:$I,БДР_Выручка!$D:$D,$A10,БДР_Выручка!$C:$C,U$3)</f>
        <v>0</v>
      </c>
      <c r="V10" s="23">
        <f>SUMIFS(БДР_Выручка!$I:$I,БДР_Выручка!$D:$D,$A10,БДР_Выручка!$C:$C,V$3)</f>
        <v>0</v>
      </c>
      <c r="W10" s="41">
        <f>T10+U10+V10</f>
        <v>0</v>
      </c>
      <c r="X10" s="41">
        <f>S10+W10</f>
        <v>0</v>
      </c>
      <c r="Y10" s="23">
        <f>SUMIFS(БДР_Выручка!$I:$I,БДР_Выручка!$D:$D,$A10,БДР_Выручка!$C:$C,Y$3)</f>
        <v>0</v>
      </c>
      <c r="Z10" s="23">
        <f>SUMIFS(БДР_Выручка!$I:$I,БДР_Выручка!$D:$D,$A10,БДР_Выручка!$C:$C,Z$3)</f>
        <v>0</v>
      </c>
      <c r="AA10" s="23">
        <f>SUMIFS(БДР_Выручка!$I:$I,БДР_Выручка!$D:$D,$A10,БДР_Выручка!$C:$C,AA$3)</f>
        <v>0</v>
      </c>
      <c r="AB10" s="22">
        <f>Y10+Z10+AA10</f>
        <v>0</v>
      </c>
      <c r="AC10" s="41">
        <f>X10+AB10</f>
        <v>0</v>
      </c>
      <c r="AE10" s="23">
        <f>SUMIFS(БДР_Выручка!$I:$I,БДР_Выручка!$D:$D,$A10,БДР_Выручка!$C:$C,AE$3)</f>
        <v>0</v>
      </c>
      <c r="AF10" s="23">
        <f>SUMIFS(БДР_Выручка!$I:$I,БДР_Выручка!$D:$D,$A10,БДР_Выручка!$C:$C,AF$3)</f>
        <v>0</v>
      </c>
      <c r="AG10" s="23">
        <f>SUMIFS(БДР_Выручка!$I:$I,БДР_Выручка!$D:$D,$A10,БДР_Выручка!$C:$C,AG$3)</f>
        <v>0</v>
      </c>
      <c r="AH10" s="41">
        <f>AE10+AF10+AG10</f>
        <v>0</v>
      </c>
      <c r="AI10" s="23">
        <f>SUMIFS(БДР_Выручка!$I:$I,БДР_Выручка!$D:$D,$A10,БДР_Выручка!$C:$C,AI$3)</f>
        <v>0</v>
      </c>
      <c r="AJ10" s="23">
        <f>SUMIFS(БДР_Выручка!$I:$I,БДР_Выручка!$D:$D,$A10,БДР_Выручка!$C:$C,AJ$3)</f>
        <v>0</v>
      </c>
      <c r="AK10" s="23">
        <f>SUMIFS(БДР_Выручка!$I:$I,БДР_Выручка!$D:$D,$A10,БДР_Выручка!$C:$C,AK$3)</f>
        <v>0</v>
      </c>
      <c r="AL10" s="41">
        <f>AI10+AJ10+AK10</f>
        <v>0</v>
      </c>
      <c r="AM10" s="41">
        <f>AH10+AL10</f>
        <v>0</v>
      </c>
      <c r="AN10" s="23">
        <f>SUMIFS(БДР_Выручка!$I:$I,БДР_Выручка!$D:$D,$A10,БДР_Выручка!$C:$C,AN$3)</f>
        <v>0</v>
      </c>
      <c r="AO10" s="23">
        <f>SUMIFS(БДР_Выручка!$I:$I,БДР_Выручка!$D:$D,$A10,БДР_Выручка!$C:$C,AO$3)</f>
        <v>0</v>
      </c>
      <c r="AP10" s="23">
        <f>SUMIFS(БДР_Выручка!$I:$I,БДР_Выручка!$D:$D,$A10,БДР_Выручка!$C:$C,AP$3)</f>
        <v>0</v>
      </c>
      <c r="AQ10" s="41">
        <f>AN10+AO10+AP10</f>
        <v>0</v>
      </c>
      <c r="AR10" s="41">
        <f>AM10+AQ10</f>
        <v>0</v>
      </c>
      <c r="AS10" s="23">
        <f>SUMIFS(БДР_Выручка!$I:$I,БДР_Выручка!$D:$D,$A10,БДР_Выручка!$C:$C,AS$3)</f>
        <v>0</v>
      </c>
      <c r="AT10" s="23">
        <f>SUMIFS(БДР_Выручка!$I:$I,БДР_Выручка!$D:$D,$A10,БДР_Выручка!$C:$C,AT$3)</f>
        <v>0</v>
      </c>
      <c r="AU10" s="23">
        <f>SUMIFS(БДР_Выручка!$I:$I,БДР_Выручка!$D:$D,$A10,БДР_Выручка!$C:$C,AU$3)</f>
        <v>0</v>
      </c>
      <c r="AV10" s="41">
        <f>AS10+AT10+AU10</f>
        <v>0</v>
      </c>
      <c r="AW10" s="41">
        <f>AR10+AV10</f>
        <v>0</v>
      </c>
      <c r="AY10" s="23">
        <f>SUMIFS(БДР_Выручка!$I:$I,БДР_Выручка!$D:$D,$A10,БДР_Выручка!$C:$C,AY$3)</f>
        <v>0</v>
      </c>
      <c r="AZ10" s="23">
        <f>SUMIFS(БДР_Выручка!$I:$I,БДР_Выручка!$D:$D,$A10,БДР_Выручка!$C:$C,AZ$3)</f>
        <v>0</v>
      </c>
      <c r="BA10" s="23">
        <f>SUMIFS(БДР_Выручка!$I:$I,БДР_Выручка!$D:$D,$A10,БДР_Выручка!$C:$C,BA$3)</f>
        <v>0</v>
      </c>
      <c r="BB10" s="41">
        <f>AY10+AZ10+BA10</f>
        <v>0</v>
      </c>
      <c r="BC10" s="23">
        <f>SUMIFS(БДР_Выручка!$I:$I,БДР_Выручка!$D:$D,$A10,БДР_Выручка!$C:$C,BC$3)</f>
        <v>0</v>
      </c>
      <c r="BD10" s="23">
        <f>SUMIFS(БДР_Выручка!$I:$I,БДР_Выручка!$D:$D,$A10,БДР_Выручка!$C:$C,BD$3)</f>
        <v>0</v>
      </c>
      <c r="BE10" s="23">
        <f>SUMIFS(БДР_Выручка!$I:$I,БДР_Выручка!$D:$D,$A10,БДР_Выручка!$C:$C,BE$3)</f>
        <v>0</v>
      </c>
      <c r="BF10" s="41">
        <f>BC10+BD10+BE10</f>
        <v>0</v>
      </c>
      <c r="BG10" s="41">
        <f>BB10+BF10</f>
        <v>0</v>
      </c>
      <c r="BH10" s="23">
        <f>SUMIFS(БДР_Выручка!$I:$I,БДР_Выручка!$D:$D,$A10,БДР_Выручка!$C:$C,BH$3)</f>
        <v>0</v>
      </c>
      <c r="BI10" s="23">
        <f>SUMIFS(БДР_Выручка!$I:$I,БДР_Выручка!$D:$D,$A10,БДР_Выручка!$C:$C,BI$3)</f>
        <v>0</v>
      </c>
      <c r="BJ10" s="23">
        <f>SUMIFS(БДР_Выручка!$I:$I,БДР_Выручка!$D:$D,$A10,БДР_Выручка!$C:$C,BJ$3)</f>
        <v>0</v>
      </c>
      <c r="BK10" s="41">
        <f>BH10+BI10+BJ10</f>
        <v>0</v>
      </c>
      <c r="BL10" s="41">
        <f>BG10+BK10</f>
        <v>0</v>
      </c>
      <c r="BM10" s="23">
        <f>SUMIFS(БДР_Выручка!$I:$I,БДР_Выручка!$D:$D,$A10,БДР_Выручка!$C:$C,BM$3)</f>
        <v>0</v>
      </c>
      <c r="BN10" s="23">
        <f>SUMIFS(БДР_Выручка!$I:$I,БДР_Выручка!$D:$D,$A10,БДР_Выручка!$C:$C,BN$3)</f>
        <v>0</v>
      </c>
      <c r="BO10" s="23">
        <f>SUMIFS(БДР_Выручка!$I:$I,БДР_Выручка!$D:$D,$A10,БДР_Выручка!$C:$C,BO$3)</f>
        <v>0</v>
      </c>
      <c r="BP10" s="41">
        <f>BM10+BN10+BO10</f>
        <v>0</v>
      </c>
      <c r="BQ10" s="41">
        <f>BL10+BP10</f>
        <v>0</v>
      </c>
      <c r="BS10" s="23">
        <f>SUMIFS(БДР_Выручка!$I:$I,БДР_Выручка!$D:$D,$A10,БДР_Выручка!$C:$C,BS$3)</f>
        <v>0</v>
      </c>
      <c r="BT10" s="23">
        <f>SUMIFS(БДР_Выручка!$I:$I,БДР_Выручка!$D:$D,$A10,БДР_Выручка!$C:$C,BT$3)</f>
        <v>0</v>
      </c>
      <c r="BU10" s="23">
        <f>SUMIFS(БДР_Выручка!$I:$I,БДР_Выручка!$D:$D,$A10,БДР_Выручка!$C:$C,BU$3)</f>
        <v>0</v>
      </c>
      <c r="BV10" s="41">
        <f>BS10+BT10+BU10</f>
        <v>0</v>
      </c>
      <c r="BW10" s="23">
        <f>SUMIFS(БДР_Выручка!$I:$I,БДР_Выручка!$D:$D,$A10,БДР_Выручка!$C:$C,BW$3)</f>
        <v>0</v>
      </c>
      <c r="BX10" s="23">
        <f>SUMIFS(БДР_Выручка!$I:$I,БДР_Выручка!$D:$D,$A10,БДР_Выручка!$C:$C,BX$3)</f>
        <v>0</v>
      </c>
      <c r="BY10" s="23">
        <f>SUMIFS(БДР_Выручка!$I:$I,БДР_Выручка!$D:$D,$A10,БДР_Выручка!$C:$C,BY$3)</f>
        <v>0</v>
      </c>
      <c r="BZ10" s="41">
        <f>BW10+BX10+BY10</f>
        <v>0</v>
      </c>
      <c r="CA10" s="41">
        <f>BV10+BZ10</f>
        <v>0</v>
      </c>
      <c r="CB10" s="23">
        <f>SUMIFS(БДР_Выручка!$I:$I,БДР_Выручка!$D:$D,$A10,БДР_Выручка!$C:$C,CB$3)</f>
        <v>0</v>
      </c>
      <c r="CC10" s="23">
        <f>SUMIFS(БДР_Выручка!$I:$I,БДР_Выручка!$D:$D,$A10,БДР_Выручка!$C:$C,CC$3)</f>
        <v>0</v>
      </c>
      <c r="CD10" s="23">
        <f>SUMIFS(БДР_Выручка!$I:$I,БДР_Выручка!$D:$D,$A10,БДР_Выручка!$C:$C,CD$3)</f>
        <v>0</v>
      </c>
      <c r="CE10" s="41">
        <f>CB10+CC10+CD10</f>
        <v>0</v>
      </c>
      <c r="CF10" s="41">
        <f>CA10+CE10</f>
        <v>0</v>
      </c>
      <c r="CG10" s="23">
        <f>SUMIFS(БДР_Выручка!$I:$I,БДР_Выручка!$D:$D,$A10,БДР_Выручка!$C:$C,CG$3)</f>
        <v>0</v>
      </c>
      <c r="CH10" s="23">
        <f>SUMIFS(БДР_Выручка!$I:$I,БДР_Выручка!$D:$D,$A10,БДР_Выручка!$C:$C,CH$3)</f>
        <v>0</v>
      </c>
      <c r="CI10" s="23">
        <f>SUMIFS(БДР_Выручка!$I:$I,БДР_Выручка!$D:$D,$A10,БДР_Выручка!$C:$C,CI$3)</f>
        <v>0</v>
      </c>
      <c r="CJ10" s="41">
        <f>CG10+CH10+CI10</f>
        <v>0</v>
      </c>
      <c r="CK10" s="41">
        <f>CF10+CJ10</f>
        <v>0</v>
      </c>
      <c r="CM10" s="23">
        <f>SUMIFS(БДР_Выручка!$I:$I,БДР_Выручка!$D:$D,$A10,БДР_Выручка!$C:$C,CM$3)</f>
        <v>0</v>
      </c>
      <c r="CN10" s="23">
        <f>SUMIFS(БДР_Выручка!$I:$I,БДР_Выручка!$D:$D,$A10,БДР_Выручка!$C:$C,CN$3)</f>
        <v>0</v>
      </c>
      <c r="CO10" s="23">
        <f>SUMIFS(БДР_Выручка!$I:$I,БДР_Выручка!$D:$D,$A10,БДР_Выручка!$C:$C,CO$3)</f>
        <v>0</v>
      </c>
      <c r="CP10" s="41">
        <f>CM10+CN10+CO10</f>
        <v>0</v>
      </c>
      <c r="CQ10" s="23">
        <f>SUMIFS(БДР_Выручка!$I:$I,БДР_Выручка!$D:$D,$A10,БДР_Выручка!$C:$C,CQ$3)</f>
        <v>0</v>
      </c>
      <c r="CR10" s="23">
        <f>SUMIFS(БДР_Выручка!$I:$I,БДР_Выручка!$D:$D,$A10,БДР_Выручка!$C:$C,CR$3)</f>
        <v>0</v>
      </c>
      <c r="CS10" s="23">
        <f>SUMIFS(БДР_Выручка!$I:$I,БДР_Выручка!$D:$D,$A10,БДР_Выручка!$C:$C,CS$3)</f>
        <v>0</v>
      </c>
      <c r="CT10" s="41">
        <f>CQ10+CR10+CS10</f>
        <v>0</v>
      </c>
      <c r="CU10" s="41">
        <f>CP10+CT10</f>
        <v>0</v>
      </c>
      <c r="CV10" s="23">
        <f>SUMIFS(БДР_Выручка!$I:$I,БДР_Выручка!$D:$D,$A10,БДР_Выручка!$C:$C,CV$3)</f>
        <v>0</v>
      </c>
      <c r="CW10" s="23">
        <f>SUMIFS(БДР_Выручка!$I:$I,БДР_Выручка!$D:$D,$A10,БДР_Выручка!$C:$C,CW$3)</f>
        <v>0</v>
      </c>
      <c r="CX10" s="23">
        <f>SUMIFS(БДР_Выручка!$I:$I,БДР_Выручка!$D:$D,$A10,БДР_Выручка!$C:$C,CX$3)</f>
        <v>0</v>
      </c>
      <c r="CY10" s="41">
        <f>CV10+CW10+CX10</f>
        <v>0</v>
      </c>
      <c r="CZ10" s="41">
        <f>CU10+CY10</f>
        <v>0</v>
      </c>
      <c r="DA10" s="23">
        <f>SUMIFS(БДР_Выручка!$I:$I,БДР_Выручка!$D:$D,$A10,БДР_Выручка!$C:$C,DA$3)</f>
        <v>0</v>
      </c>
      <c r="DB10" s="23">
        <f>SUMIFS(БДР_Выручка!$I:$I,БДР_Выручка!$D:$D,$A10,БДР_Выручка!$C:$C,DB$3)</f>
        <v>0</v>
      </c>
      <c r="DC10" s="23">
        <f>SUMIFS(БДР_Выручка!$I:$I,БДР_Выручка!$D:$D,$A10,БДР_Выручка!$C:$C,DC$3)</f>
        <v>0</v>
      </c>
      <c r="DD10" s="41">
        <f>DA10+DB10+DC10</f>
        <v>0</v>
      </c>
      <c r="DE10" s="41">
        <f>CZ10+DD10</f>
        <v>0</v>
      </c>
    </row>
    <row r="11" spans="1:109" s="12" customFormat="1" ht="10.199999999999999" x14ac:dyDescent="0.2">
      <c r="A11" s="11" t="s">
        <v>180</v>
      </c>
      <c r="B11" s="11" t="str">
        <f>F11&amp;A11</f>
        <v>Облачное хранилище для строительной компании с функцией архивации 201077 Сопровождение ИТ-услуг</v>
      </c>
      <c r="E11" s="20">
        <v>201077</v>
      </c>
      <c r="F11" s="21" t="str">
        <f>'Карточка проекта'!$B$1</f>
        <v xml:space="preserve">Облачное хранилище для строительной компании с функцией архивации </v>
      </c>
      <c r="G11" s="43" t="s">
        <v>204</v>
      </c>
      <c r="I11" s="41">
        <f t="shared" ref="I11:I14" si="26">AC11+AW11+BQ11+CK11+DE11</f>
        <v>0</v>
      </c>
      <c r="K11" s="23">
        <f>SUMIFS(БДР_Выручка!$I:$I,БДР_Выручка!$D:$D,$A11,БДР_Выручка!$C:$C,K$3)</f>
        <v>0</v>
      </c>
      <c r="L11" s="23">
        <f>SUMIFS(БДР_Выручка!$I:$I,БДР_Выручка!$D:$D,$A11,БДР_Выручка!$C:$C,L$3)</f>
        <v>0</v>
      </c>
      <c r="M11" s="23">
        <f>SUMIFS(БДР_Выручка!$I:$I,БДР_Выручка!$D:$D,$A11,БДР_Выручка!$C:$C,M$3)</f>
        <v>0</v>
      </c>
      <c r="N11" s="41">
        <f>K11+L11+M11</f>
        <v>0</v>
      </c>
      <c r="O11" s="23">
        <f>SUMIFS(БДР_Выручка!$I:$I,БДР_Выручка!$D:$D,$A11,БДР_Выручка!$C:$C,O$3)</f>
        <v>0</v>
      </c>
      <c r="P11" s="23">
        <f>SUMIFS(БДР_Выручка!$I:$I,БДР_Выручка!$D:$D,$A11,БДР_Выручка!$C:$C,P$3)</f>
        <v>0</v>
      </c>
      <c r="Q11" s="23">
        <f>SUMIFS(БДР_Выручка!$I:$I,БДР_Выручка!$D:$D,$A11,БДР_Выручка!$C:$C,Q$3)</f>
        <v>0</v>
      </c>
      <c r="R11" s="22">
        <f>O11+P11+Q11</f>
        <v>0</v>
      </c>
      <c r="S11" s="41">
        <f>N11+R11</f>
        <v>0</v>
      </c>
      <c r="T11" s="23">
        <f>SUMIFS(БДР_Выручка!$I:$I,БДР_Выручка!$D:$D,$A11,БДР_Выручка!$C:$C,T$3)</f>
        <v>0</v>
      </c>
      <c r="U11" s="23">
        <f>SUMIFS(БДР_Выручка!$I:$I,БДР_Выручка!$D:$D,$A11,БДР_Выручка!$C:$C,U$3)</f>
        <v>0</v>
      </c>
      <c r="V11" s="23">
        <f>SUMIFS(БДР_Выручка!$I:$I,БДР_Выручка!$D:$D,$A11,БДР_Выручка!$C:$C,V$3)</f>
        <v>0</v>
      </c>
      <c r="W11" s="41">
        <f>T11+U11+V11</f>
        <v>0</v>
      </c>
      <c r="X11" s="41">
        <f>S11+W11</f>
        <v>0</v>
      </c>
      <c r="Y11" s="23">
        <f>SUMIFS(БДР_Выручка!$I:$I,БДР_Выручка!$D:$D,$A11,БДР_Выручка!$C:$C,Y$3)</f>
        <v>0</v>
      </c>
      <c r="Z11" s="23">
        <f>SUMIFS(БДР_Выручка!$I:$I,БДР_Выручка!$D:$D,$A11,БДР_Выручка!$C:$C,Z$3)</f>
        <v>0</v>
      </c>
      <c r="AA11" s="23">
        <f>SUMIFS(БДР_Выручка!$I:$I,БДР_Выручка!$D:$D,$A11,БДР_Выручка!$C:$C,AA$3)</f>
        <v>0</v>
      </c>
      <c r="AB11" s="22">
        <f>Y11+Z11+AA11</f>
        <v>0</v>
      </c>
      <c r="AC11" s="41">
        <f>X11+AB11</f>
        <v>0</v>
      </c>
      <c r="AE11" s="23">
        <f>SUMIFS(БДР_Выручка!$I:$I,БДР_Выручка!$D:$D,$A11,БДР_Выручка!$C:$C,AE$3)</f>
        <v>0</v>
      </c>
      <c r="AF11" s="23">
        <f>SUMIFS(БДР_Выручка!$I:$I,БДР_Выручка!$D:$D,$A11,БДР_Выручка!$C:$C,AF$3)</f>
        <v>0</v>
      </c>
      <c r="AG11" s="23">
        <f>SUMIFS(БДР_Выручка!$I:$I,БДР_Выручка!$D:$D,$A11,БДР_Выручка!$C:$C,AG$3)</f>
        <v>0</v>
      </c>
      <c r="AH11" s="41">
        <f>AE11+AF11+AG11</f>
        <v>0</v>
      </c>
      <c r="AI11" s="23">
        <f>SUMIFS(БДР_Выручка!$I:$I,БДР_Выручка!$D:$D,$A11,БДР_Выручка!$C:$C,AI$3)</f>
        <v>0</v>
      </c>
      <c r="AJ11" s="23">
        <f>SUMIFS(БДР_Выручка!$I:$I,БДР_Выручка!$D:$D,$A11,БДР_Выручка!$C:$C,AJ$3)</f>
        <v>0</v>
      </c>
      <c r="AK11" s="23">
        <f>SUMIFS(БДР_Выручка!$I:$I,БДР_Выручка!$D:$D,$A11,БДР_Выручка!$C:$C,AK$3)</f>
        <v>0</v>
      </c>
      <c r="AL11" s="41">
        <f>AI11+AJ11+AK11</f>
        <v>0</v>
      </c>
      <c r="AM11" s="41">
        <f>AH11+AL11</f>
        <v>0</v>
      </c>
      <c r="AN11" s="23">
        <f>SUMIFS(БДР_Выручка!$I:$I,БДР_Выручка!$D:$D,$A11,БДР_Выручка!$C:$C,AN$3)</f>
        <v>0</v>
      </c>
      <c r="AO11" s="23">
        <f>SUMIFS(БДР_Выручка!$I:$I,БДР_Выручка!$D:$D,$A11,БДР_Выручка!$C:$C,AO$3)</f>
        <v>0</v>
      </c>
      <c r="AP11" s="23">
        <f>SUMIFS(БДР_Выручка!$I:$I,БДР_Выручка!$D:$D,$A11,БДР_Выручка!$C:$C,AP$3)</f>
        <v>0</v>
      </c>
      <c r="AQ11" s="41">
        <f>AN11+AO11+AP11</f>
        <v>0</v>
      </c>
      <c r="AR11" s="41">
        <f>AM11+AQ11</f>
        <v>0</v>
      </c>
      <c r="AS11" s="23">
        <f>SUMIFS(БДР_Выручка!$I:$I,БДР_Выручка!$D:$D,$A11,БДР_Выручка!$C:$C,AS$3)</f>
        <v>0</v>
      </c>
      <c r="AT11" s="23">
        <f>SUMIFS(БДР_Выручка!$I:$I,БДР_Выручка!$D:$D,$A11,БДР_Выручка!$C:$C,AT$3)</f>
        <v>0</v>
      </c>
      <c r="AU11" s="23">
        <f>SUMIFS(БДР_Выручка!$I:$I,БДР_Выручка!$D:$D,$A11,БДР_Выручка!$C:$C,AU$3)</f>
        <v>0</v>
      </c>
      <c r="AV11" s="41">
        <f>AS11+AT11+AU11</f>
        <v>0</v>
      </c>
      <c r="AW11" s="41">
        <f>AR11+AV11</f>
        <v>0</v>
      </c>
      <c r="AY11" s="23">
        <f>SUMIFS(БДР_Выручка!$I:$I,БДР_Выручка!$D:$D,$A11,БДР_Выручка!$C:$C,AY$3)</f>
        <v>0</v>
      </c>
      <c r="AZ11" s="23">
        <f>SUMIFS(БДР_Выручка!$I:$I,БДР_Выручка!$D:$D,$A11,БДР_Выручка!$C:$C,AZ$3)</f>
        <v>0</v>
      </c>
      <c r="BA11" s="23">
        <f>SUMIFS(БДР_Выручка!$I:$I,БДР_Выручка!$D:$D,$A11,БДР_Выручка!$C:$C,BA$3)</f>
        <v>0</v>
      </c>
      <c r="BB11" s="41">
        <f>AY11+AZ11+BA11</f>
        <v>0</v>
      </c>
      <c r="BC11" s="23">
        <f>SUMIFS(БДР_Выручка!$I:$I,БДР_Выручка!$D:$D,$A11,БДР_Выручка!$C:$C,BC$3)</f>
        <v>0</v>
      </c>
      <c r="BD11" s="23">
        <f>SUMIFS(БДР_Выручка!$I:$I,БДР_Выручка!$D:$D,$A11,БДР_Выручка!$C:$C,BD$3)</f>
        <v>0</v>
      </c>
      <c r="BE11" s="23">
        <f>SUMIFS(БДР_Выручка!$I:$I,БДР_Выручка!$D:$D,$A11,БДР_Выручка!$C:$C,BE$3)</f>
        <v>0</v>
      </c>
      <c r="BF11" s="41">
        <f>BC11+BD11+BE11</f>
        <v>0</v>
      </c>
      <c r="BG11" s="41">
        <f>BB11+BF11</f>
        <v>0</v>
      </c>
      <c r="BH11" s="23">
        <f>SUMIFS(БДР_Выручка!$I:$I,БДР_Выручка!$D:$D,$A11,БДР_Выручка!$C:$C,BH$3)</f>
        <v>0</v>
      </c>
      <c r="BI11" s="23">
        <f>SUMIFS(БДР_Выручка!$I:$I,БДР_Выручка!$D:$D,$A11,БДР_Выручка!$C:$C,BI$3)</f>
        <v>0</v>
      </c>
      <c r="BJ11" s="23">
        <f>SUMIFS(БДР_Выручка!$I:$I,БДР_Выручка!$D:$D,$A11,БДР_Выручка!$C:$C,BJ$3)</f>
        <v>0</v>
      </c>
      <c r="BK11" s="41">
        <f>BH11+BI11+BJ11</f>
        <v>0</v>
      </c>
      <c r="BL11" s="41">
        <f>BG11+BK11</f>
        <v>0</v>
      </c>
      <c r="BM11" s="23">
        <f>SUMIFS(БДР_Выручка!$I:$I,БДР_Выручка!$D:$D,$A11,БДР_Выручка!$C:$C,BM$3)</f>
        <v>0</v>
      </c>
      <c r="BN11" s="23">
        <f>SUMIFS(БДР_Выручка!$I:$I,БДР_Выручка!$D:$D,$A11,БДР_Выручка!$C:$C,BN$3)</f>
        <v>0</v>
      </c>
      <c r="BO11" s="23">
        <f>SUMIFS(БДР_Выручка!$I:$I,БДР_Выручка!$D:$D,$A11,БДР_Выручка!$C:$C,BO$3)</f>
        <v>0</v>
      </c>
      <c r="BP11" s="41">
        <f>BM11+BN11+BO11</f>
        <v>0</v>
      </c>
      <c r="BQ11" s="41">
        <f>BL11+BP11</f>
        <v>0</v>
      </c>
      <c r="BS11" s="23">
        <f>SUMIFS(БДР_Выручка!$I:$I,БДР_Выручка!$D:$D,$A11,БДР_Выручка!$C:$C,BS$3)</f>
        <v>0</v>
      </c>
      <c r="BT11" s="23">
        <f>SUMIFS(БДР_Выручка!$I:$I,БДР_Выручка!$D:$D,$A11,БДР_Выручка!$C:$C,BT$3)</f>
        <v>0</v>
      </c>
      <c r="BU11" s="23">
        <f>SUMIFS(БДР_Выручка!$I:$I,БДР_Выручка!$D:$D,$A11,БДР_Выручка!$C:$C,BU$3)</f>
        <v>0</v>
      </c>
      <c r="BV11" s="41">
        <f>BS11+BT11+BU11</f>
        <v>0</v>
      </c>
      <c r="BW11" s="23">
        <f>SUMIFS(БДР_Выручка!$I:$I,БДР_Выручка!$D:$D,$A11,БДР_Выручка!$C:$C,BW$3)</f>
        <v>0</v>
      </c>
      <c r="BX11" s="23">
        <f>SUMIFS(БДР_Выручка!$I:$I,БДР_Выручка!$D:$D,$A11,БДР_Выручка!$C:$C,BX$3)</f>
        <v>0</v>
      </c>
      <c r="BY11" s="23">
        <f>SUMIFS(БДР_Выручка!$I:$I,БДР_Выручка!$D:$D,$A11,БДР_Выручка!$C:$C,BY$3)</f>
        <v>0</v>
      </c>
      <c r="BZ11" s="41">
        <f>BW11+BX11+BY11</f>
        <v>0</v>
      </c>
      <c r="CA11" s="41">
        <f>BV11+BZ11</f>
        <v>0</v>
      </c>
      <c r="CB11" s="23">
        <f>SUMIFS(БДР_Выручка!$I:$I,БДР_Выручка!$D:$D,$A11,БДР_Выручка!$C:$C,CB$3)</f>
        <v>0</v>
      </c>
      <c r="CC11" s="23">
        <f>SUMIFS(БДР_Выручка!$I:$I,БДР_Выручка!$D:$D,$A11,БДР_Выручка!$C:$C,CC$3)</f>
        <v>0</v>
      </c>
      <c r="CD11" s="23">
        <f>SUMIFS(БДР_Выручка!$I:$I,БДР_Выручка!$D:$D,$A11,БДР_Выручка!$C:$C,CD$3)</f>
        <v>0</v>
      </c>
      <c r="CE11" s="41">
        <f>CB11+CC11+CD11</f>
        <v>0</v>
      </c>
      <c r="CF11" s="41">
        <f>CA11+CE11</f>
        <v>0</v>
      </c>
      <c r="CG11" s="23">
        <f>SUMIFS(БДР_Выручка!$I:$I,БДР_Выручка!$D:$D,$A11,БДР_Выручка!$C:$C,CG$3)</f>
        <v>0</v>
      </c>
      <c r="CH11" s="23">
        <f>SUMIFS(БДР_Выручка!$I:$I,БДР_Выручка!$D:$D,$A11,БДР_Выручка!$C:$C,CH$3)</f>
        <v>0</v>
      </c>
      <c r="CI11" s="23">
        <f>SUMIFS(БДР_Выручка!$I:$I,БДР_Выручка!$D:$D,$A11,БДР_Выручка!$C:$C,CI$3)</f>
        <v>0</v>
      </c>
      <c r="CJ11" s="41">
        <f>CG11+CH11+CI11</f>
        <v>0</v>
      </c>
      <c r="CK11" s="41">
        <f>CF11+CJ11</f>
        <v>0</v>
      </c>
      <c r="CM11" s="23">
        <f>SUMIFS(БДР_Выручка!$I:$I,БДР_Выручка!$D:$D,$A11,БДР_Выручка!$C:$C,CM$3)</f>
        <v>0</v>
      </c>
      <c r="CN11" s="23">
        <f>SUMIFS(БДР_Выручка!$I:$I,БДР_Выручка!$D:$D,$A11,БДР_Выручка!$C:$C,CN$3)</f>
        <v>0</v>
      </c>
      <c r="CO11" s="23">
        <f>SUMIFS(БДР_Выручка!$I:$I,БДР_Выручка!$D:$D,$A11,БДР_Выручка!$C:$C,CO$3)</f>
        <v>0</v>
      </c>
      <c r="CP11" s="41">
        <f>CM11+CN11+CO11</f>
        <v>0</v>
      </c>
      <c r="CQ11" s="23">
        <f>SUMIFS(БДР_Выручка!$I:$I,БДР_Выручка!$D:$D,$A11,БДР_Выручка!$C:$C,CQ$3)</f>
        <v>0</v>
      </c>
      <c r="CR11" s="23">
        <f>SUMIFS(БДР_Выручка!$I:$I,БДР_Выручка!$D:$D,$A11,БДР_Выручка!$C:$C,CR$3)</f>
        <v>0</v>
      </c>
      <c r="CS11" s="23">
        <f>SUMIFS(БДР_Выручка!$I:$I,БДР_Выручка!$D:$D,$A11,БДР_Выручка!$C:$C,CS$3)</f>
        <v>0</v>
      </c>
      <c r="CT11" s="41">
        <f>CQ11+CR11+CS11</f>
        <v>0</v>
      </c>
      <c r="CU11" s="41">
        <f>CP11+CT11</f>
        <v>0</v>
      </c>
      <c r="CV11" s="23">
        <f>SUMIFS(БДР_Выручка!$I:$I,БДР_Выручка!$D:$D,$A11,БДР_Выручка!$C:$C,CV$3)</f>
        <v>0</v>
      </c>
      <c r="CW11" s="23">
        <f>SUMIFS(БДР_Выручка!$I:$I,БДР_Выручка!$D:$D,$A11,БДР_Выручка!$C:$C,CW$3)</f>
        <v>0</v>
      </c>
      <c r="CX11" s="23">
        <f>SUMIFS(БДР_Выручка!$I:$I,БДР_Выручка!$D:$D,$A11,БДР_Выручка!$C:$C,CX$3)</f>
        <v>0</v>
      </c>
      <c r="CY11" s="41">
        <f>CV11+CW11+CX11</f>
        <v>0</v>
      </c>
      <c r="CZ11" s="41">
        <f>CU11+CY11</f>
        <v>0</v>
      </c>
      <c r="DA11" s="23">
        <f>SUMIFS(БДР_Выручка!$I:$I,БДР_Выручка!$D:$D,$A11,БДР_Выручка!$C:$C,DA$3)</f>
        <v>0</v>
      </c>
      <c r="DB11" s="23">
        <f>SUMIFS(БДР_Выручка!$I:$I,БДР_Выручка!$D:$D,$A11,БДР_Выручка!$C:$C,DB$3)</f>
        <v>0</v>
      </c>
      <c r="DC11" s="23">
        <f>SUMIFS(БДР_Выручка!$I:$I,БДР_Выручка!$D:$D,$A11,БДР_Выручка!$C:$C,DC$3)</f>
        <v>0</v>
      </c>
      <c r="DD11" s="41">
        <f>DA11+DB11+DC11</f>
        <v>0</v>
      </c>
      <c r="DE11" s="41">
        <f>CZ11+DD11</f>
        <v>0</v>
      </c>
    </row>
    <row r="12" spans="1:109" s="12" customFormat="1" ht="10.199999999999999" x14ac:dyDescent="0.2">
      <c r="A12" s="11" t="s">
        <v>178</v>
      </c>
      <c r="B12" s="11" t="str">
        <f>F12&amp;A12</f>
        <v>Облачное хранилище для строительной компании с функцией архивации 201047 Внедрение ИТ-услуг</v>
      </c>
      <c r="E12" s="20">
        <v>201047</v>
      </c>
      <c r="F12" s="21" t="str">
        <f>'Карточка проекта'!$B$1</f>
        <v xml:space="preserve">Облачное хранилище для строительной компании с функцией архивации </v>
      </c>
      <c r="G12" s="43" t="s">
        <v>205</v>
      </c>
      <c r="I12" s="41">
        <f t="shared" si="26"/>
        <v>18000000</v>
      </c>
      <c r="K12" s="23">
        <f>SUMIFS(БДР_Выручка!$I:$I,БДР_Выручка!$D:$D,$A12,БДР_Выручка!$C:$C,K$3)</f>
        <v>0</v>
      </c>
      <c r="L12" s="23">
        <f>SUMIFS(БДР_Выручка!$I:$I,БДР_Выручка!$D:$D,$A12,БДР_Выручка!$C:$C,L$3)</f>
        <v>0</v>
      </c>
      <c r="M12" s="23">
        <f>SUMIFS(БДР_Выручка!$I:$I,БДР_Выручка!$D:$D,$A12,БДР_Выручка!$C:$C,M$3)</f>
        <v>0</v>
      </c>
      <c r="N12" s="41">
        <f>K12+L12+M12</f>
        <v>0</v>
      </c>
      <c r="O12" s="23">
        <f>SUMIFS(БДР_Выручка!$I:$I,БДР_Выручка!$D:$D,$A12,БДР_Выручка!$C:$C,O$3)</f>
        <v>0</v>
      </c>
      <c r="P12" s="23">
        <f>SUMIFS(БДР_Выручка!$I:$I,БДР_Выручка!$D:$D,$A12,БДР_Выручка!$C:$C,P$3)</f>
        <v>0</v>
      </c>
      <c r="Q12" s="23">
        <f>SUMIFS(БДР_Выручка!$I:$I,БДР_Выручка!$D:$D,$A12,БДР_Выручка!$C:$C,Q$3)</f>
        <v>0</v>
      </c>
      <c r="R12" s="22">
        <f>O12+P12+Q12</f>
        <v>0</v>
      </c>
      <c r="S12" s="41">
        <f>N12+R12</f>
        <v>0</v>
      </c>
      <c r="T12" s="23">
        <f>SUMIFS(БДР_Выручка!$I:$I,БДР_Выручка!$D:$D,$A12,БДР_Выручка!$C:$C,T$3)</f>
        <v>0</v>
      </c>
      <c r="U12" s="23">
        <f>SUMIFS(БДР_Выручка!$I:$I,БДР_Выручка!$D:$D,$A12,БДР_Выручка!$C:$C,U$3)</f>
        <v>0</v>
      </c>
      <c r="V12" s="23">
        <f>SUMIFS(БДР_Выручка!$I:$I,БДР_Выручка!$D:$D,$A12,БДР_Выручка!$C:$C,V$3)</f>
        <v>0</v>
      </c>
      <c r="W12" s="41">
        <f>T12+U12+V12</f>
        <v>0</v>
      </c>
      <c r="X12" s="41">
        <f>S12+W12</f>
        <v>0</v>
      </c>
      <c r="Y12" s="23">
        <f>SUMIFS(БДР_Выручка!$I:$I,БДР_Выручка!$D:$D,$A12,БДР_Выручка!$C:$C,Y$3)</f>
        <v>6000000</v>
      </c>
      <c r="Z12" s="23">
        <f>SUMIFS(БДР_Выручка!$I:$I,БДР_Выручка!$D:$D,$A12,БДР_Выручка!$C:$C,Z$3)</f>
        <v>6000000</v>
      </c>
      <c r="AA12" s="23">
        <f>SUMIFS(БДР_Выручка!$I:$I,БДР_Выручка!$D:$D,$A12,БДР_Выручка!$C:$C,AA$3)</f>
        <v>6000000</v>
      </c>
      <c r="AB12" s="22">
        <f>Y12+Z12+AA12</f>
        <v>18000000</v>
      </c>
      <c r="AC12" s="41">
        <f>X12+AB12</f>
        <v>18000000</v>
      </c>
      <c r="AE12" s="23">
        <f>SUMIFS(БДР_Выручка!$I:$I,БДР_Выручка!$D:$D,$A12,БДР_Выручка!$C:$C,AE$3)</f>
        <v>0</v>
      </c>
      <c r="AF12" s="23">
        <f>SUMIFS(БДР_Выручка!$I:$I,БДР_Выручка!$D:$D,$A12,БДР_Выручка!$C:$C,AF$3)</f>
        <v>0</v>
      </c>
      <c r="AG12" s="23">
        <f>SUMIFS(БДР_Выручка!$I:$I,БДР_Выручка!$D:$D,$A12,БДР_Выручка!$C:$C,AG$3)</f>
        <v>0</v>
      </c>
      <c r="AH12" s="41">
        <f>AE12+AF12+AG12</f>
        <v>0</v>
      </c>
      <c r="AI12" s="23">
        <f>SUMIFS(БДР_Выручка!$I:$I,БДР_Выручка!$D:$D,$A12,БДР_Выручка!$C:$C,AI$3)</f>
        <v>0</v>
      </c>
      <c r="AJ12" s="23">
        <f>SUMIFS(БДР_Выручка!$I:$I,БДР_Выручка!$D:$D,$A12,БДР_Выручка!$C:$C,AJ$3)</f>
        <v>0</v>
      </c>
      <c r="AK12" s="23">
        <f>SUMIFS(БДР_Выручка!$I:$I,БДР_Выручка!$D:$D,$A12,БДР_Выручка!$C:$C,AK$3)</f>
        <v>0</v>
      </c>
      <c r="AL12" s="41">
        <f>AI12+AJ12+AK12</f>
        <v>0</v>
      </c>
      <c r="AM12" s="41">
        <f>AH12+AL12</f>
        <v>0</v>
      </c>
      <c r="AN12" s="23">
        <f>SUMIFS(БДР_Выручка!$I:$I,БДР_Выручка!$D:$D,$A12,БДР_Выручка!$C:$C,AN$3)</f>
        <v>0</v>
      </c>
      <c r="AO12" s="23">
        <f>SUMIFS(БДР_Выручка!$I:$I,БДР_Выручка!$D:$D,$A12,БДР_Выручка!$C:$C,AO$3)</f>
        <v>0</v>
      </c>
      <c r="AP12" s="23">
        <f>SUMIFS(БДР_Выручка!$I:$I,БДР_Выручка!$D:$D,$A12,БДР_Выручка!$C:$C,AP$3)</f>
        <v>0</v>
      </c>
      <c r="AQ12" s="41">
        <f>AN12+AO12+AP12</f>
        <v>0</v>
      </c>
      <c r="AR12" s="41">
        <f>AM12+AQ12</f>
        <v>0</v>
      </c>
      <c r="AS12" s="23">
        <f>SUMIFS(БДР_Выручка!$I:$I,БДР_Выручка!$D:$D,$A12,БДР_Выручка!$C:$C,AS$3)</f>
        <v>0</v>
      </c>
      <c r="AT12" s="23">
        <f>SUMIFS(БДР_Выручка!$I:$I,БДР_Выручка!$D:$D,$A12,БДР_Выручка!$C:$C,AT$3)</f>
        <v>0</v>
      </c>
      <c r="AU12" s="23">
        <f>SUMIFS(БДР_Выручка!$I:$I,БДР_Выручка!$D:$D,$A12,БДР_Выручка!$C:$C,AU$3)</f>
        <v>0</v>
      </c>
      <c r="AV12" s="41">
        <f>AS12+AT12+AU12</f>
        <v>0</v>
      </c>
      <c r="AW12" s="41">
        <f>AR12+AV12</f>
        <v>0</v>
      </c>
      <c r="AY12" s="23">
        <f>SUMIFS(БДР_Выручка!$I:$I,БДР_Выручка!$D:$D,$A12,БДР_Выручка!$C:$C,AY$3)</f>
        <v>0</v>
      </c>
      <c r="AZ12" s="23">
        <f>SUMIFS(БДР_Выручка!$I:$I,БДР_Выручка!$D:$D,$A12,БДР_Выручка!$C:$C,AZ$3)</f>
        <v>0</v>
      </c>
      <c r="BA12" s="23">
        <f>SUMIFS(БДР_Выручка!$I:$I,БДР_Выручка!$D:$D,$A12,БДР_Выручка!$C:$C,BA$3)</f>
        <v>0</v>
      </c>
      <c r="BB12" s="41">
        <f>AY12+AZ12+BA12</f>
        <v>0</v>
      </c>
      <c r="BC12" s="23">
        <f>SUMIFS(БДР_Выручка!$I:$I,БДР_Выручка!$D:$D,$A12,БДР_Выручка!$C:$C,BC$3)</f>
        <v>0</v>
      </c>
      <c r="BD12" s="23">
        <f>SUMIFS(БДР_Выручка!$I:$I,БДР_Выручка!$D:$D,$A12,БДР_Выручка!$C:$C,BD$3)</f>
        <v>0</v>
      </c>
      <c r="BE12" s="23">
        <f>SUMIFS(БДР_Выручка!$I:$I,БДР_Выручка!$D:$D,$A12,БДР_Выручка!$C:$C,BE$3)</f>
        <v>0</v>
      </c>
      <c r="BF12" s="41">
        <f>BC12+BD12+BE12</f>
        <v>0</v>
      </c>
      <c r="BG12" s="41">
        <f>BB12+BF12</f>
        <v>0</v>
      </c>
      <c r="BH12" s="23">
        <f>SUMIFS(БДР_Выручка!$I:$I,БДР_Выручка!$D:$D,$A12,БДР_Выручка!$C:$C,BH$3)</f>
        <v>0</v>
      </c>
      <c r="BI12" s="23">
        <f>SUMIFS(БДР_Выручка!$I:$I,БДР_Выручка!$D:$D,$A12,БДР_Выручка!$C:$C,BI$3)</f>
        <v>0</v>
      </c>
      <c r="BJ12" s="23">
        <f>SUMIFS(БДР_Выручка!$I:$I,БДР_Выручка!$D:$D,$A12,БДР_Выручка!$C:$C,BJ$3)</f>
        <v>0</v>
      </c>
      <c r="BK12" s="41">
        <f>BH12+BI12+BJ12</f>
        <v>0</v>
      </c>
      <c r="BL12" s="41">
        <f>BG12+BK12</f>
        <v>0</v>
      </c>
      <c r="BM12" s="23">
        <f>SUMIFS(БДР_Выручка!$I:$I,БДР_Выручка!$D:$D,$A12,БДР_Выручка!$C:$C,BM$3)</f>
        <v>0</v>
      </c>
      <c r="BN12" s="23">
        <f>SUMIFS(БДР_Выручка!$I:$I,БДР_Выручка!$D:$D,$A12,БДР_Выручка!$C:$C,BN$3)</f>
        <v>0</v>
      </c>
      <c r="BO12" s="23">
        <f>SUMIFS(БДР_Выручка!$I:$I,БДР_Выручка!$D:$D,$A12,БДР_Выручка!$C:$C,BO$3)</f>
        <v>0</v>
      </c>
      <c r="BP12" s="41">
        <f>BM12+BN12+BO12</f>
        <v>0</v>
      </c>
      <c r="BQ12" s="41">
        <f>BL12+BP12</f>
        <v>0</v>
      </c>
      <c r="BS12" s="23">
        <f>SUMIFS(БДР_Выручка!$I:$I,БДР_Выручка!$D:$D,$A12,БДР_Выручка!$C:$C,BS$3)</f>
        <v>0</v>
      </c>
      <c r="BT12" s="23">
        <f>SUMIFS(БДР_Выручка!$I:$I,БДР_Выручка!$D:$D,$A12,БДР_Выручка!$C:$C,BT$3)</f>
        <v>0</v>
      </c>
      <c r="BU12" s="23">
        <f>SUMIFS(БДР_Выручка!$I:$I,БДР_Выручка!$D:$D,$A12,БДР_Выручка!$C:$C,BU$3)</f>
        <v>0</v>
      </c>
      <c r="BV12" s="41">
        <f>BS12+BT12+BU12</f>
        <v>0</v>
      </c>
      <c r="BW12" s="23">
        <f>SUMIFS(БДР_Выручка!$I:$I,БДР_Выручка!$D:$D,$A12,БДР_Выручка!$C:$C,BW$3)</f>
        <v>0</v>
      </c>
      <c r="BX12" s="23">
        <f>SUMIFS(БДР_Выручка!$I:$I,БДР_Выручка!$D:$D,$A12,БДР_Выручка!$C:$C,BX$3)</f>
        <v>0</v>
      </c>
      <c r="BY12" s="23">
        <f>SUMIFS(БДР_Выручка!$I:$I,БДР_Выручка!$D:$D,$A12,БДР_Выручка!$C:$C,BY$3)</f>
        <v>0</v>
      </c>
      <c r="BZ12" s="41">
        <f>BW12+BX12+BY12</f>
        <v>0</v>
      </c>
      <c r="CA12" s="41">
        <f>BV12+BZ12</f>
        <v>0</v>
      </c>
      <c r="CB12" s="23">
        <f>SUMIFS(БДР_Выручка!$I:$I,БДР_Выручка!$D:$D,$A12,БДР_Выручка!$C:$C,CB$3)</f>
        <v>0</v>
      </c>
      <c r="CC12" s="23">
        <f>SUMIFS(БДР_Выручка!$I:$I,БДР_Выручка!$D:$D,$A12,БДР_Выручка!$C:$C,CC$3)</f>
        <v>0</v>
      </c>
      <c r="CD12" s="23">
        <f>SUMIFS(БДР_Выручка!$I:$I,БДР_Выручка!$D:$D,$A12,БДР_Выручка!$C:$C,CD$3)</f>
        <v>0</v>
      </c>
      <c r="CE12" s="41">
        <f>CB12+CC12+CD12</f>
        <v>0</v>
      </c>
      <c r="CF12" s="41">
        <f>CA12+CE12</f>
        <v>0</v>
      </c>
      <c r="CG12" s="23">
        <f>SUMIFS(БДР_Выручка!$I:$I,БДР_Выручка!$D:$D,$A12,БДР_Выручка!$C:$C,CG$3)</f>
        <v>0</v>
      </c>
      <c r="CH12" s="23">
        <f>SUMIFS(БДР_Выручка!$I:$I,БДР_Выручка!$D:$D,$A12,БДР_Выручка!$C:$C,CH$3)</f>
        <v>0</v>
      </c>
      <c r="CI12" s="23">
        <f>SUMIFS(БДР_Выручка!$I:$I,БДР_Выручка!$D:$D,$A12,БДР_Выручка!$C:$C,CI$3)</f>
        <v>0</v>
      </c>
      <c r="CJ12" s="41">
        <f>CG12+CH12+CI12</f>
        <v>0</v>
      </c>
      <c r="CK12" s="41">
        <f>CF12+CJ12</f>
        <v>0</v>
      </c>
      <c r="CM12" s="23">
        <f>SUMIFS(БДР_Выручка!$I:$I,БДР_Выручка!$D:$D,$A12,БДР_Выручка!$C:$C,CM$3)</f>
        <v>0</v>
      </c>
      <c r="CN12" s="23">
        <f>SUMIFS(БДР_Выручка!$I:$I,БДР_Выручка!$D:$D,$A12,БДР_Выручка!$C:$C,CN$3)</f>
        <v>0</v>
      </c>
      <c r="CO12" s="23">
        <f>SUMIFS(БДР_Выручка!$I:$I,БДР_Выручка!$D:$D,$A12,БДР_Выручка!$C:$C,CO$3)</f>
        <v>0</v>
      </c>
      <c r="CP12" s="41">
        <f>CM12+CN12+CO12</f>
        <v>0</v>
      </c>
      <c r="CQ12" s="23">
        <f>SUMIFS(БДР_Выручка!$I:$I,БДР_Выручка!$D:$D,$A12,БДР_Выручка!$C:$C,CQ$3)</f>
        <v>0</v>
      </c>
      <c r="CR12" s="23">
        <f>SUMIFS(БДР_Выручка!$I:$I,БДР_Выручка!$D:$D,$A12,БДР_Выручка!$C:$C,CR$3)</f>
        <v>0</v>
      </c>
      <c r="CS12" s="23">
        <f>SUMIFS(БДР_Выручка!$I:$I,БДР_Выручка!$D:$D,$A12,БДР_Выручка!$C:$C,CS$3)</f>
        <v>0</v>
      </c>
      <c r="CT12" s="41">
        <f>CQ12+CR12+CS12</f>
        <v>0</v>
      </c>
      <c r="CU12" s="41">
        <f>CP12+CT12</f>
        <v>0</v>
      </c>
      <c r="CV12" s="23">
        <f>SUMIFS(БДР_Выручка!$I:$I,БДР_Выручка!$D:$D,$A12,БДР_Выручка!$C:$C,CV$3)</f>
        <v>0</v>
      </c>
      <c r="CW12" s="23">
        <f>SUMIFS(БДР_Выручка!$I:$I,БДР_Выручка!$D:$D,$A12,БДР_Выручка!$C:$C,CW$3)</f>
        <v>0</v>
      </c>
      <c r="CX12" s="23">
        <f>SUMIFS(БДР_Выручка!$I:$I,БДР_Выручка!$D:$D,$A12,БДР_Выручка!$C:$C,CX$3)</f>
        <v>0</v>
      </c>
      <c r="CY12" s="41">
        <f>CV12+CW12+CX12</f>
        <v>0</v>
      </c>
      <c r="CZ12" s="41">
        <f>CU12+CY12</f>
        <v>0</v>
      </c>
      <c r="DA12" s="23">
        <f>SUMIFS(БДР_Выручка!$I:$I,БДР_Выручка!$D:$D,$A12,БДР_Выручка!$C:$C,DA$3)</f>
        <v>0</v>
      </c>
      <c r="DB12" s="23">
        <f>SUMIFS(БДР_Выручка!$I:$I,БДР_Выручка!$D:$D,$A12,БДР_Выручка!$C:$C,DB$3)</f>
        <v>0</v>
      </c>
      <c r="DC12" s="23">
        <f>SUMIFS(БДР_Выручка!$I:$I,БДР_Выручка!$D:$D,$A12,БДР_Выручка!$C:$C,DC$3)</f>
        <v>0</v>
      </c>
      <c r="DD12" s="41">
        <f>DA12+DB12+DC12</f>
        <v>0</v>
      </c>
      <c r="DE12" s="41">
        <f>CZ12+DD12</f>
        <v>0</v>
      </c>
    </row>
    <row r="13" spans="1:109" s="12" customFormat="1" ht="10.199999999999999" x14ac:dyDescent="0.2">
      <c r="A13" s="11" t="s">
        <v>192</v>
      </c>
      <c r="B13" s="11" t="str">
        <f>F13&amp;A13</f>
        <v>Облачное хранилище для строительной компании с функцией архивации 201057 Поставка ПО</v>
      </c>
      <c r="E13" s="20">
        <v>201057</v>
      </c>
      <c r="F13" s="21" t="str">
        <f>'Карточка проекта'!$B$1</f>
        <v xml:space="preserve">Облачное хранилище для строительной компании с функцией архивации </v>
      </c>
      <c r="G13" s="43" t="s">
        <v>206</v>
      </c>
      <c r="I13" s="41">
        <f t="shared" si="26"/>
        <v>3000000</v>
      </c>
      <c r="K13" s="23">
        <f>SUMIFS(БДР_Выручка!$I:$I,БДР_Выручка!$D:$D,$A13,БДР_Выручка!$C:$C,K$3)</f>
        <v>0</v>
      </c>
      <c r="L13" s="23">
        <f>SUMIFS(БДР_Выручка!$I:$I,БДР_Выручка!$D:$D,$A13,БДР_Выручка!$C:$C,L$3)</f>
        <v>0</v>
      </c>
      <c r="M13" s="23">
        <f>SUMIFS(БДР_Выручка!$I:$I,БДР_Выручка!$D:$D,$A13,БДР_Выручка!$C:$C,M$3)</f>
        <v>0</v>
      </c>
      <c r="N13" s="41">
        <f>K13+L13+M13</f>
        <v>0</v>
      </c>
      <c r="O13" s="23">
        <f>SUMIFS(БДР_Выручка!$I:$I,БДР_Выручка!$D:$D,$A13,БДР_Выручка!$C:$C,O$3)</f>
        <v>0</v>
      </c>
      <c r="P13" s="23">
        <f>SUMIFS(БДР_Выручка!$I:$I,БДР_Выручка!$D:$D,$A13,БДР_Выручка!$C:$C,P$3)</f>
        <v>0</v>
      </c>
      <c r="Q13" s="23">
        <f>SUMIFS(БДР_Выручка!$I:$I,БДР_Выручка!$D:$D,$A13,БДР_Выручка!$C:$C,Q$3)</f>
        <v>0</v>
      </c>
      <c r="R13" s="22">
        <f>O13+P13+Q13</f>
        <v>0</v>
      </c>
      <c r="S13" s="41">
        <f>N13+R13</f>
        <v>0</v>
      </c>
      <c r="T13" s="23">
        <f>SUMIFS(БДР_Выручка!$I:$I,БДР_Выручка!$D:$D,$A13,БДР_Выручка!$C:$C,T$3)</f>
        <v>0</v>
      </c>
      <c r="U13" s="23">
        <f>SUMIFS(БДР_Выручка!$I:$I,БДР_Выручка!$D:$D,$A13,БДР_Выручка!$C:$C,U$3)</f>
        <v>0</v>
      </c>
      <c r="V13" s="23">
        <f>SUMIFS(БДР_Выручка!$I:$I,БДР_Выручка!$D:$D,$A13,БДР_Выручка!$C:$C,V$3)</f>
        <v>3000000</v>
      </c>
      <c r="W13" s="41">
        <f>T13+U13+V13</f>
        <v>3000000</v>
      </c>
      <c r="X13" s="41">
        <f>S13+W13</f>
        <v>3000000</v>
      </c>
      <c r="Y13" s="23">
        <f>SUMIFS(БДР_Выручка!$I:$I,БДР_Выручка!$D:$D,$A13,БДР_Выручка!$C:$C,Y$3)</f>
        <v>0</v>
      </c>
      <c r="Z13" s="23">
        <f>SUMIFS(БДР_Выручка!$I:$I,БДР_Выручка!$D:$D,$A13,БДР_Выручка!$C:$C,Z$3)</f>
        <v>0</v>
      </c>
      <c r="AA13" s="23">
        <f>SUMIFS(БДР_Выручка!$I:$I,БДР_Выручка!$D:$D,$A13,БДР_Выручка!$C:$C,AA$3)</f>
        <v>0</v>
      </c>
      <c r="AB13" s="22">
        <f>Y13+Z13+AA13</f>
        <v>0</v>
      </c>
      <c r="AC13" s="41">
        <f>X13+AB13</f>
        <v>3000000</v>
      </c>
      <c r="AE13" s="23">
        <f>SUMIFS(БДР_Выручка!$I:$I,БДР_Выручка!$D:$D,$A13,БДР_Выручка!$C:$C,AE$3)</f>
        <v>0</v>
      </c>
      <c r="AF13" s="23">
        <f>SUMIFS(БДР_Выручка!$I:$I,БДР_Выручка!$D:$D,$A13,БДР_Выручка!$C:$C,AF$3)</f>
        <v>0</v>
      </c>
      <c r="AG13" s="23">
        <f>SUMIFS(БДР_Выручка!$I:$I,БДР_Выручка!$D:$D,$A13,БДР_Выручка!$C:$C,AG$3)</f>
        <v>0</v>
      </c>
      <c r="AH13" s="41">
        <f>AE13+AF13+AG13</f>
        <v>0</v>
      </c>
      <c r="AI13" s="23">
        <f>SUMIFS(БДР_Выручка!$I:$I,БДР_Выручка!$D:$D,$A13,БДР_Выручка!$C:$C,AI$3)</f>
        <v>0</v>
      </c>
      <c r="AJ13" s="23">
        <f>SUMIFS(БДР_Выручка!$I:$I,БДР_Выручка!$D:$D,$A13,БДР_Выручка!$C:$C,AJ$3)</f>
        <v>0</v>
      </c>
      <c r="AK13" s="23">
        <f>SUMIFS(БДР_Выручка!$I:$I,БДР_Выручка!$D:$D,$A13,БДР_Выручка!$C:$C,AK$3)</f>
        <v>0</v>
      </c>
      <c r="AL13" s="41">
        <f>AI13+AJ13+AK13</f>
        <v>0</v>
      </c>
      <c r="AM13" s="41">
        <f>AH13+AL13</f>
        <v>0</v>
      </c>
      <c r="AN13" s="23">
        <f>SUMIFS(БДР_Выручка!$I:$I,БДР_Выручка!$D:$D,$A13,БДР_Выручка!$C:$C,AN$3)</f>
        <v>0</v>
      </c>
      <c r="AO13" s="23">
        <f>SUMIFS(БДР_Выручка!$I:$I,БДР_Выручка!$D:$D,$A13,БДР_Выручка!$C:$C,AO$3)</f>
        <v>0</v>
      </c>
      <c r="AP13" s="23">
        <f>SUMIFS(БДР_Выручка!$I:$I,БДР_Выручка!$D:$D,$A13,БДР_Выручка!$C:$C,AP$3)</f>
        <v>0</v>
      </c>
      <c r="AQ13" s="41">
        <f>AN13+AO13+AP13</f>
        <v>0</v>
      </c>
      <c r="AR13" s="41">
        <f>AM13+AQ13</f>
        <v>0</v>
      </c>
      <c r="AS13" s="23">
        <f>SUMIFS(БДР_Выручка!$I:$I,БДР_Выручка!$D:$D,$A13,БДР_Выручка!$C:$C,AS$3)</f>
        <v>0</v>
      </c>
      <c r="AT13" s="23">
        <f>SUMIFS(БДР_Выручка!$I:$I,БДР_Выручка!$D:$D,$A13,БДР_Выручка!$C:$C,AT$3)</f>
        <v>0</v>
      </c>
      <c r="AU13" s="23">
        <f>SUMIFS(БДР_Выручка!$I:$I,БДР_Выручка!$D:$D,$A13,БДР_Выручка!$C:$C,AU$3)</f>
        <v>0</v>
      </c>
      <c r="AV13" s="41">
        <f>AS13+AT13+AU13</f>
        <v>0</v>
      </c>
      <c r="AW13" s="41">
        <f>AR13+AV13</f>
        <v>0</v>
      </c>
      <c r="AY13" s="23">
        <f>SUMIFS(БДР_Выручка!$I:$I,БДР_Выручка!$D:$D,$A13,БДР_Выручка!$C:$C,AY$3)</f>
        <v>0</v>
      </c>
      <c r="AZ13" s="23">
        <f>SUMIFS(БДР_Выручка!$I:$I,БДР_Выручка!$D:$D,$A13,БДР_Выручка!$C:$C,AZ$3)</f>
        <v>0</v>
      </c>
      <c r="BA13" s="23">
        <f>SUMIFS(БДР_Выручка!$I:$I,БДР_Выручка!$D:$D,$A13,БДР_Выручка!$C:$C,BA$3)</f>
        <v>0</v>
      </c>
      <c r="BB13" s="41">
        <f>AY13+AZ13+BA13</f>
        <v>0</v>
      </c>
      <c r="BC13" s="23">
        <f>SUMIFS(БДР_Выручка!$I:$I,БДР_Выручка!$D:$D,$A13,БДР_Выручка!$C:$C,BC$3)</f>
        <v>0</v>
      </c>
      <c r="BD13" s="23">
        <f>SUMIFS(БДР_Выручка!$I:$I,БДР_Выручка!$D:$D,$A13,БДР_Выручка!$C:$C,BD$3)</f>
        <v>0</v>
      </c>
      <c r="BE13" s="23">
        <f>SUMIFS(БДР_Выручка!$I:$I,БДР_Выручка!$D:$D,$A13,БДР_Выручка!$C:$C,BE$3)</f>
        <v>0</v>
      </c>
      <c r="BF13" s="41">
        <f>BC13+BD13+BE13</f>
        <v>0</v>
      </c>
      <c r="BG13" s="41">
        <f>BB13+BF13</f>
        <v>0</v>
      </c>
      <c r="BH13" s="23">
        <f>SUMIFS(БДР_Выручка!$I:$I,БДР_Выручка!$D:$D,$A13,БДР_Выручка!$C:$C,BH$3)</f>
        <v>0</v>
      </c>
      <c r="BI13" s="23">
        <f>SUMIFS(БДР_Выручка!$I:$I,БДР_Выручка!$D:$D,$A13,БДР_Выручка!$C:$C,BI$3)</f>
        <v>0</v>
      </c>
      <c r="BJ13" s="23">
        <f>SUMIFS(БДР_Выручка!$I:$I,БДР_Выручка!$D:$D,$A13,БДР_Выручка!$C:$C,BJ$3)</f>
        <v>0</v>
      </c>
      <c r="BK13" s="41">
        <f>BH13+BI13+BJ13</f>
        <v>0</v>
      </c>
      <c r="BL13" s="41">
        <f>BG13+BK13</f>
        <v>0</v>
      </c>
      <c r="BM13" s="23">
        <f>SUMIFS(БДР_Выручка!$I:$I,БДР_Выручка!$D:$D,$A13,БДР_Выручка!$C:$C,BM$3)</f>
        <v>0</v>
      </c>
      <c r="BN13" s="23">
        <f>SUMIFS(БДР_Выручка!$I:$I,БДР_Выручка!$D:$D,$A13,БДР_Выручка!$C:$C,BN$3)</f>
        <v>0</v>
      </c>
      <c r="BO13" s="23">
        <f>SUMIFS(БДР_Выручка!$I:$I,БДР_Выручка!$D:$D,$A13,БДР_Выручка!$C:$C,BO$3)</f>
        <v>0</v>
      </c>
      <c r="BP13" s="41">
        <f>BM13+BN13+BO13</f>
        <v>0</v>
      </c>
      <c r="BQ13" s="41">
        <f>BL13+BP13</f>
        <v>0</v>
      </c>
      <c r="BS13" s="23">
        <f>SUMIFS(БДР_Выручка!$I:$I,БДР_Выручка!$D:$D,$A13,БДР_Выручка!$C:$C,BS$3)</f>
        <v>0</v>
      </c>
      <c r="BT13" s="23">
        <f>SUMIFS(БДР_Выручка!$I:$I,БДР_Выручка!$D:$D,$A13,БДР_Выручка!$C:$C,BT$3)</f>
        <v>0</v>
      </c>
      <c r="BU13" s="23">
        <f>SUMIFS(БДР_Выручка!$I:$I,БДР_Выручка!$D:$D,$A13,БДР_Выручка!$C:$C,BU$3)</f>
        <v>0</v>
      </c>
      <c r="BV13" s="41">
        <f>BS13+BT13+BU13</f>
        <v>0</v>
      </c>
      <c r="BW13" s="23">
        <f>SUMIFS(БДР_Выручка!$I:$I,БДР_Выручка!$D:$D,$A13,БДР_Выручка!$C:$C,BW$3)</f>
        <v>0</v>
      </c>
      <c r="BX13" s="23">
        <f>SUMIFS(БДР_Выручка!$I:$I,БДР_Выручка!$D:$D,$A13,БДР_Выручка!$C:$C,BX$3)</f>
        <v>0</v>
      </c>
      <c r="BY13" s="23">
        <f>SUMIFS(БДР_Выручка!$I:$I,БДР_Выручка!$D:$D,$A13,БДР_Выручка!$C:$C,BY$3)</f>
        <v>0</v>
      </c>
      <c r="BZ13" s="41">
        <f>BW13+BX13+BY13</f>
        <v>0</v>
      </c>
      <c r="CA13" s="41">
        <f>BV13+BZ13</f>
        <v>0</v>
      </c>
      <c r="CB13" s="23">
        <f>SUMIFS(БДР_Выручка!$I:$I,БДР_Выручка!$D:$D,$A13,БДР_Выручка!$C:$C,CB$3)</f>
        <v>0</v>
      </c>
      <c r="CC13" s="23">
        <f>SUMIFS(БДР_Выручка!$I:$I,БДР_Выручка!$D:$D,$A13,БДР_Выручка!$C:$C,CC$3)</f>
        <v>0</v>
      </c>
      <c r="CD13" s="23">
        <f>SUMIFS(БДР_Выручка!$I:$I,БДР_Выручка!$D:$D,$A13,БДР_Выручка!$C:$C,CD$3)</f>
        <v>0</v>
      </c>
      <c r="CE13" s="41">
        <f>CB13+CC13+CD13</f>
        <v>0</v>
      </c>
      <c r="CF13" s="41">
        <f>CA13+CE13</f>
        <v>0</v>
      </c>
      <c r="CG13" s="23">
        <f>SUMIFS(БДР_Выручка!$I:$I,БДР_Выручка!$D:$D,$A13,БДР_Выручка!$C:$C,CG$3)</f>
        <v>0</v>
      </c>
      <c r="CH13" s="23">
        <f>SUMIFS(БДР_Выручка!$I:$I,БДР_Выручка!$D:$D,$A13,БДР_Выручка!$C:$C,CH$3)</f>
        <v>0</v>
      </c>
      <c r="CI13" s="23">
        <f>SUMIFS(БДР_Выручка!$I:$I,БДР_Выручка!$D:$D,$A13,БДР_Выручка!$C:$C,CI$3)</f>
        <v>0</v>
      </c>
      <c r="CJ13" s="41">
        <f>CG13+CH13+CI13</f>
        <v>0</v>
      </c>
      <c r="CK13" s="41">
        <f>CF13+CJ13</f>
        <v>0</v>
      </c>
      <c r="CM13" s="23">
        <f>SUMIFS(БДР_Выручка!$I:$I,БДР_Выручка!$D:$D,$A13,БДР_Выручка!$C:$C,CM$3)</f>
        <v>0</v>
      </c>
      <c r="CN13" s="23">
        <f>SUMIFS(БДР_Выручка!$I:$I,БДР_Выручка!$D:$D,$A13,БДР_Выручка!$C:$C,CN$3)</f>
        <v>0</v>
      </c>
      <c r="CO13" s="23">
        <f>SUMIFS(БДР_Выручка!$I:$I,БДР_Выручка!$D:$D,$A13,БДР_Выручка!$C:$C,CO$3)</f>
        <v>0</v>
      </c>
      <c r="CP13" s="41">
        <f>CM13+CN13+CO13</f>
        <v>0</v>
      </c>
      <c r="CQ13" s="23">
        <f>SUMIFS(БДР_Выручка!$I:$I,БДР_Выручка!$D:$D,$A13,БДР_Выручка!$C:$C,CQ$3)</f>
        <v>0</v>
      </c>
      <c r="CR13" s="23">
        <f>SUMIFS(БДР_Выручка!$I:$I,БДР_Выручка!$D:$D,$A13,БДР_Выручка!$C:$C,CR$3)</f>
        <v>0</v>
      </c>
      <c r="CS13" s="23">
        <f>SUMIFS(БДР_Выручка!$I:$I,БДР_Выручка!$D:$D,$A13,БДР_Выручка!$C:$C,CS$3)</f>
        <v>0</v>
      </c>
      <c r="CT13" s="41">
        <f>CQ13+CR13+CS13</f>
        <v>0</v>
      </c>
      <c r="CU13" s="41">
        <f>CP13+CT13</f>
        <v>0</v>
      </c>
      <c r="CV13" s="23">
        <f>SUMIFS(БДР_Выручка!$I:$I,БДР_Выручка!$D:$D,$A13,БДР_Выручка!$C:$C,CV$3)</f>
        <v>0</v>
      </c>
      <c r="CW13" s="23">
        <f>SUMIFS(БДР_Выручка!$I:$I,БДР_Выручка!$D:$D,$A13,БДР_Выручка!$C:$C,CW$3)</f>
        <v>0</v>
      </c>
      <c r="CX13" s="23">
        <f>SUMIFS(БДР_Выручка!$I:$I,БДР_Выручка!$D:$D,$A13,БДР_Выручка!$C:$C,CX$3)</f>
        <v>0</v>
      </c>
      <c r="CY13" s="41">
        <f>CV13+CW13+CX13</f>
        <v>0</v>
      </c>
      <c r="CZ13" s="41">
        <f>CU13+CY13</f>
        <v>0</v>
      </c>
      <c r="DA13" s="23">
        <f>SUMIFS(БДР_Выручка!$I:$I,БДР_Выручка!$D:$D,$A13,БДР_Выручка!$C:$C,DA$3)</f>
        <v>0</v>
      </c>
      <c r="DB13" s="23">
        <f>SUMIFS(БДР_Выручка!$I:$I,БДР_Выручка!$D:$D,$A13,БДР_Выручка!$C:$C,DB$3)</f>
        <v>0</v>
      </c>
      <c r="DC13" s="23">
        <f>SUMIFS(БДР_Выручка!$I:$I,БДР_Выручка!$D:$D,$A13,БДР_Выручка!$C:$C,DC$3)</f>
        <v>0</v>
      </c>
      <c r="DD13" s="41">
        <f>DA13+DB13+DC13</f>
        <v>0</v>
      </c>
      <c r="DE13" s="41">
        <f>CZ13+DD13</f>
        <v>0</v>
      </c>
    </row>
    <row r="14" spans="1:109" s="12" customFormat="1" ht="10.199999999999999" x14ac:dyDescent="0.2">
      <c r="A14" s="11" t="s">
        <v>207</v>
      </c>
      <c r="B14" s="11" t="str">
        <f>F14&amp;A14</f>
        <v>Облачное хранилище для строительной компании с функцией архивации 201900 Прочее</v>
      </c>
      <c r="E14" s="20">
        <v>201900</v>
      </c>
      <c r="F14" s="21" t="str">
        <f>'Карточка проекта'!$B$1</f>
        <v xml:space="preserve">Облачное хранилище для строительной компании с функцией архивации </v>
      </c>
      <c r="G14" s="43" t="s">
        <v>208</v>
      </c>
      <c r="I14" s="41">
        <f t="shared" si="26"/>
        <v>0</v>
      </c>
      <c r="K14" s="23">
        <f>SUMIFS(БДР_Выручка!$I:$I,БДР_Выручка!$D:$D,$A14,БДР_Выручка!$C:$C,K$3)</f>
        <v>0</v>
      </c>
      <c r="L14" s="23">
        <f>SUMIFS(БДР_Выручка!$I:$I,БДР_Выручка!$D:$D,$A14,БДР_Выручка!$C:$C,L$3)</f>
        <v>0</v>
      </c>
      <c r="M14" s="23">
        <f>SUMIFS(БДР_Выручка!$I:$I,БДР_Выручка!$D:$D,$A14,БДР_Выручка!$C:$C,M$3)</f>
        <v>0</v>
      </c>
      <c r="N14" s="41">
        <f>K14+L14+M14</f>
        <v>0</v>
      </c>
      <c r="O14" s="23">
        <f>SUMIFS(БДР_Выручка!$I:$I,БДР_Выручка!$D:$D,$A14,БДР_Выручка!$C:$C,O$3)</f>
        <v>0</v>
      </c>
      <c r="P14" s="23">
        <f>SUMIFS(БДР_Выручка!$I:$I,БДР_Выручка!$D:$D,$A14,БДР_Выручка!$C:$C,P$3)</f>
        <v>0</v>
      </c>
      <c r="Q14" s="23">
        <f>SUMIFS(БДР_Выручка!$I:$I,БДР_Выручка!$D:$D,$A14,БДР_Выручка!$C:$C,Q$3)</f>
        <v>0</v>
      </c>
      <c r="R14" s="22">
        <f>O14+P14+Q14</f>
        <v>0</v>
      </c>
      <c r="S14" s="41">
        <f>N14+R14</f>
        <v>0</v>
      </c>
      <c r="T14" s="23">
        <f>SUMIFS(БДР_Выручка!$I:$I,БДР_Выручка!$D:$D,$A14,БДР_Выручка!$C:$C,T$3)</f>
        <v>0</v>
      </c>
      <c r="U14" s="23">
        <f>SUMIFS(БДР_Выручка!$I:$I,БДР_Выручка!$D:$D,$A14,БДР_Выручка!$C:$C,U$3)</f>
        <v>0</v>
      </c>
      <c r="V14" s="23">
        <f>SUMIFS(БДР_Выручка!$I:$I,БДР_Выручка!$D:$D,$A14,БДР_Выручка!$C:$C,V$3)</f>
        <v>0</v>
      </c>
      <c r="W14" s="41">
        <f>T14+U14+V14</f>
        <v>0</v>
      </c>
      <c r="X14" s="41">
        <f>S14+W14</f>
        <v>0</v>
      </c>
      <c r="Y14" s="23">
        <f>SUMIFS(БДР_Выручка!$I:$I,БДР_Выручка!$D:$D,$A14,БДР_Выручка!$C:$C,Y$3)</f>
        <v>0</v>
      </c>
      <c r="Z14" s="23">
        <f>SUMIFS(БДР_Выручка!$I:$I,БДР_Выручка!$D:$D,$A14,БДР_Выручка!$C:$C,Z$3)</f>
        <v>0</v>
      </c>
      <c r="AA14" s="23">
        <f>SUMIFS(БДР_Выручка!$I:$I,БДР_Выручка!$D:$D,$A14,БДР_Выручка!$C:$C,AA$3)</f>
        <v>0</v>
      </c>
      <c r="AB14" s="22">
        <f>Y14+Z14+AA14</f>
        <v>0</v>
      </c>
      <c r="AC14" s="41">
        <f>X14+AB14</f>
        <v>0</v>
      </c>
      <c r="AE14" s="23">
        <f>SUMIFS(БДР_Выручка!$I:$I,БДР_Выручка!$D:$D,$A14,БДР_Выручка!$C:$C,AE$3)</f>
        <v>0</v>
      </c>
      <c r="AF14" s="23">
        <f>SUMIFS(БДР_Выручка!$I:$I,БДР_Выручка!$D:$D,$A14,БДР_Выручка!$C:$C,AF$3)</f>
        <v>0</v>
      </c>
      <c r="AG14" s="23">
        <f>SUMIFS(БДР_Выручка!$I:$I,БДР_Выручка!$D:$D,$A14,БДР_Выручка!$C:$C,AG$3)</f>
        <v>0</v>
      </c>
      <c r="AH14" s="41">
        <f>AE14+AF14+AG14</f>
        <v>0</v>
      </c>
      <c r="AI14" s="23">
        <f>SUMIFS(БДР_Выручка!$I:$I,БДР_Выручка!$D:$D,$A14,БДР_Выручка!$C:$C,AI$3)</f>
        <v>0</v>
      </c>
      <c r="AJ14" s="23">
        <f>SUMIFS(БДР_Выручка!$I:$I,БДР_Выручка!$D:$D,$A14,БДР_Выручка!$C:$C,AJ$3)</f>
        <v>0</v>
      </c>
      <c r="AK14" s="23">
        <f>SUMIFS(БДР_Выручка!$I:$I,БДР_Выручка!$D:$D,$A14,БДР_Выручка!$C:$C,AK$3)</f>
        <v>0</v>
      </c>
      <c r="AL14" s="41">
        <f>AI14+AJ14+AK14</f>
        <v>0</v>
      </c>
      <c r="AM14" s="41">
        <f>AH14+AL14</f>
        <v>0</v>
      </c>
      <c r="AN14" s="23">
        <f>SUMIFS(БДР_Выручка!$I:$I,БДР_Выручка!$D:$D,$A14,БДР_Выручка!$C:$C,AN$3)</f>
        <v>0</v>
      </c>
      <c r="AO14" s="23">
        <f>SUMIFS(БДР_Выручка!$I:$I,БДР_Выручка!$D:$D,$A14,БДР_Выручка!$C:$C,AO$3)</f>
        <v>0</v>
      </c>
      <c r="AP14" s="23">
        <f>SUMIFS(БДР_Выручка!$I:$I,БДР_Выручка!$D:$D,$A14,БДР_Выручка!$C:$C,AP$3)</f>
        <v>0</v>
      </c>
      <c r="AQ14" s="41">
        <f>AN14+AO14+AP14</f>
        <v>0</v>
      </c>
      <c r="AR14" s="41">
        <f>AM14+AQ14</f>
        <v>0</v>
      </c>
      <c r="AS14" s="23">
        <f>SUMIFS(БДР_Выручка!$I:$I,БДР_Выручка!$D:$D,$A14,БДР_Выручка!$C:$C,AS$3)</f>
        <v>0</v>
      </c>
      <c r="AT14" s="23">
        <f>SUMIFS(БДР_Выручка!$I:$I,БДР_Выручка!$D:$D,$A14,БДР_Выручка!$C:$C,AT$3)</f>
        <v>0</v>
      </c>
      <c r="AU14" s="23">
        <f>SUMIFS(БДР_Выручка!$I:$I,БДР_Выручка!$D:$D,$A14,БДР_Выручка!$C:$C,AU$3)</f>
        <v>0</v>
      </c>
      <c r="AV14" s="41">
        <f>AS14+AT14+AU14</f>
        <v>0</v>
      </c>
      <c r="AW14" s="41">
        <f>AR14+AV14</f>
        <v>0</v>
      </c>
      <c r="AY14" s="23">
        <f>SUMIFS(БДР_Выручка!$I:$I,БДР_Выручка!$D:$D,$A14,БДР_Выручка!$C:$C,AY$3)</f>
        <v>0</v>
      </c>
      <c r="AZ14" s="23">
        <f>SUMIFS(БДР_Выручка!$I:$I,БДР_Выручка!$D:$D,$A14,БДР_Выручка!$C:$C,AZ$3)</f>
        <v>0</v>
      </c>
      <c r="BA14" s="23">
        <f>SUMIFS(БДР_Выручка!$I:$I,БДР_Выручка!$D:$D,$A14,БДР_Выручка!$C:$C,BA$3)</f>
        <v>0</v>
      </c>
      <c r="BB14" s="41">
        <f>AY14+AZ14+BA14</f>
        <v>0</v>
      </c>
      <c r="BC14" s="23">
        <f>SUMIFS(БДР_Выручка!$I:$I,БДР_Выручка!$D:$D,$A14,БДР_Выручка!$C:$C,BC$3)</f>
        <v>0</v>
      </c>
      <c r="BD14" s="23">
        <f>SUMIFS(БДР_Выручка!$I:$I,БДР_Выручка!$D:$D,$A14,БДР_Выручка!$C:$C,BD$3)</f>
        <v>0</v>
      </c>
      <c r="BE14" s="23">
        <f>SUMIFS(БДР_Выручка!$I:$I,БДР_Выручка!$D:$D,$A14,БДР_Выручка!$C:$C,BE$3)</f>
        <v>0</v>
      </c>
      <c r="BF14" s="41">
        <f>BC14+BD14+BE14</f>
        <v>0</v>
      </c>
      <c r="BG14" s="41">
        <f>BB14+BF14</f>
        <v>0</v>
      </c>
      <c r="BH14" s="23">
        <f>SUMIFS(БДР_Выручка!$I:$I,БДР_Выручка!$D:$D,$A14,БДР_Выручка!$C:$C,BH$3)</f>
        <v>0</v>
      </c>
      <c r="BI14" s="23">
        <f>SUMIFS(БДР_Выручка!$I:$I,БДР_Выручка!$D:$D,$A14,БДР_Выручка!$C:$C,BI$3)</f>
        <v>0</v>
      </c>
      <c r="BJ14" s="23">
        <f>SUMIFS(БДР_Выручка!$I:$I,БДР_Выручка!$D:$D,$A14,БДР_Выручка!$C:$C,BJ$3)</f>
        <v>0</v>
      </c>
      <c r="BK14" s="41">
        <f>BH14+BI14+BJ14</f>
        <v>0</v>
      </c>
      <c r="BL14" s="41">
        <f>BG14+BK14</f>
        <v>0</v>
      </c>
      <c r="BM14" s="23">
        <f>SUMIFS(БДР_Выручка!$I:$I,БДР_Выручка!$D:$D,$A14,БДР_Выручка!$C:$C,BM$3)</f>
        <v>0</v>
      </c>
      <c r="BN14" s="23">
        <f>SUMIFS(БДР_Выручка!$I:$I,БДР_Выручка!$D:$D,$A14,БДР_Выручка!$C:$C,BN$3)</f>
        <v>0</v>
      </c>
      <c r="BO14" s="23">
        <f>SUMIFS(БДР_Выручка!$I:$I,БДР_Выручка!$D:$D,$A14,БДР_Выручка!$C:$C,BO$3)</f>
        <v>0</v>
      </c>
      <c r="BP14" s="41">
        <f>BM14+BN14+BO14</f>
        <v>0</v>
      </c>
      <c r="BQ14" s="41">
        <f>BL14+BP14</f>
        <v>0</v>
      </c>
      <c r="BS14" s="23">
        <f>SUMIFS(БДР_Выручка!$I:$I,БДР_Выручка!$D:$D,$A14,БДР_Выручка!$C:$C,BS$3)</f>
        <v>0</v>
      </c>
      <c r="BT14" s="23">
        <f>SUMIFS(БДР_Выручка!$I:$I,БДР_Выручка!$D:$D,$A14,БДР_Выручка!$C:$C,BT$3)</f>
        <v>0</v>
      </c>
      <c r="BU14" s="23">
        <f>SUMIFS(БДР_Выручка!$I:$I,БДР_Выручка!$D:$D,$A14,БДР_Выручка!$C:$C,BU$3)</f>
        <v>0</v>
      </c>
      <c r="BV14" s="41">
        <f>BS14+BT14+BU14</f>
        <v>0</v>
      </c>
      <c r="BW14" s="23">
        <f>SUMIFS(БДР_Выручка!$I:$I,БДР_Выручка!$D:$D,$A14,БДР_Выручка!$C:$C,BW$3)</f>
        <v>0</v>
      </c>
      <c r="BX14" s="23">
        <f>SUMIFS(БДР_Выручка!$I:$I,БДР_Выручка!$D:$D,$A14,БДР_Выручка!$C:$C,BX$3)</f>
        <v>0</v>
      </c>
      <c r="BY14" s="23">
        <f>SUMIFS(БДР_Выручка!$I:$I,БДР_Выручка!$D:$D,$A14,БДР_Выручка!$C:$C,BY$3)</f>
        <v>0</v>
      </c>
      <c r="BZ14" s="41">
        <f>BW14+BX14+BY14</f>
        <v>0</v>
      </c>
      <c r="CA14" s="41">
        <f>BV14+BZ14</f>
        <v>0</v>
      </c>
      <c r="CB14" s="23">
        <f>SUMIFS(БДР_Выручка!$I:$I,БДР_Выручка!$D:$D,$A14,БДР_Выручка!$C:$C,CB$3)</f>
        <v>0</v>
      </c>
      <c r="CC14" s="23">
        <f>SUMIFS(БДР_Выручка!$I:$I,БДР_Выручка!$D:$D,$A14,БДР_Выручка!$C:$C,CC$3)</f>
        <v>0</v>
      </c>
      <c r="CD14" s="23">
        <f>SUMIFS(БДР_Выручка!$I:$I,БДР_Выручка!$D:$D,$A14,БДР_Выручка!$C:$C,CD$3)</f>
        <v>0</v>
      </c>
      <c r="CE14" s="41">
        <f>CB14+CC14+CD14</f>
        <v>0</v>
      </c>
      <c r="CF14" s="41">
        <f>CA14+CE14</f>
        <v>0</v>
      </c>
      <c r="CG14" s="23">
        <f>SUMIFS(БДР_Выручка!$I:$I,БДР_Выручка!$D:$D,$A14,БДР_Выручка!$C:$C,CG$3)</f>
        <v>0</v>
      </c>
      <c r="CH14" s="23">
        <f>SUMIFS(БДР_Выручка!$I:$I,БДР_Выручка!$D:$D,$A14,БДР_Выручка!$C:$C,CH$3)</f>
        <v>0</v>
      </c>
      <c r="CI14" s="23">
        <f>SUMIFS(БДР_Выручка!$I:$I,БДР_Выручка!$D:$D,$A14,БДР_Выручка!$C:$C,CI$3)</f>
        <v>0</v>
      </c>
      <c r="CJ14" s="41">
        <f>CG14+CH14+CI14</f>
        <v>0</v>
      </c>
      <c r="CK14" s="41">
        <f>CF14+CJ14</f>
        <v>0</v>
      </c>
      <c r="CM14" s="23">
        <f>SUMIFS(БДР_Выручка!$I:$I,БДР_Выручка!$D:$D,$A14,БДР_Выручка!$C:$C,CM$3)</f>
        <v>0</v>
      </c>
      <c r="CN14" s="23">
        <f>SUMIFS(БДР_Выручка!$I:$I,БДР_Выручка!$D:$D,$A14,БДР_Выручка!$C:$C,CN$3)</f>
        <v>0</v>
      </c>
      <c r="CO14" s="23">
        <f>SUMIFS(БДР_Выручка!$I:$I,БДР_Выручка!$D:$D,$A14,БДР_Выручка!$C:$C,CO$3)</f>
        <v>0</v>
      </c>
      <c r="CP14" s="41">
        <f>CM14+CN14+CO14</f>
        <v>0</v>
      </c>
      <c r="CQ14" s="23">
        <f>SUMIFS(БДР_Выручка!$I:$I,БДР_Выручка!$D:$D,$A14,БДР_Выручка!$C:$C,CQ$3)</f>
        <v>0</v>
      </c>
      <c r="CR14" s="23">
        <f>SUMIFS(БДР_Выручка!$I:$I,БДР_Выручка!$D:$D,$A14,БДР_Выручка!$C:$C,CR$3)</f>
        <v>0</v>
      </c>
      <c r="CS14" s="23">
        <f>SUMIFS(БДР_Выручка!$I:$I,БДР_Выручка!$D:$D,$A14,БДР_Выручка!$C:$C,CS$3)</f>
        <v>0</v>
      </c>
      <c r="CT14" s="41">
        <f>CQ14+CR14+CS14</f>
        <v>0</v>
      </c>
      <c r="CU14" s="41">
        <f>CP14+CT14</f>
        <v>0</v>
      </c>
      <c r="CV14" s="23">
        <f>SUMIFS(БДР_Выручка!$I:$I,БДР_Выручка!$D:$D,$A14,БДР_Выручка!$C:$C,CV$3)</f>
        <v>0</v>
      </c>
      <c r="CW14" s="23">
        <f>SUMIFS(БДР_Выручка!$I:$I,БДР_Выручка!$D:$D,$A14,БДР_Выручка!$C:$C,CW$3)</f>
        <v>0</v>
      </c>
      <c r="CX14" s="23">
        <f>SUMIFS(БДР_Выручка!$I:$I,БДР_Выручка!$D:$D,$A14,БДР_Выручка!$C:$C,CX$3)</f>
        <v>0</v>
      </c>
      <c r="CY14" s="41">
        <f>CV14+CW14+CX14</f>
        <v>0</v>
      </c>
      <c r="CZ14" s="41">
        <f>CU14+CY14</f>
        <v>0</v>
      </c>
      <c r="DA14" s="23">
        <f>SUMIFS(БДР_Выручка!$I:$I,БДР_Выручка!$D:$D,$A14,БДР_Выручка!$C:$C,DA$3)</f>
        <v>0</v>
      </c>
      <c r="DB14" s="23">
        <f>SUMIFS(БДР_Выручка!$I:$I,БДР_Выручка!$D:$D,$A14,БДР_Выручка!$C:$C,DB$3)</f>
        <v>0</v>
      </c>
      <c r="DC14" s="23">
        <f>SUMIFS(БДР_Выручка!$I:$I,БДР_Выручка!$D:$D,$A14,БДР_Выручка!$C:$C,DC$3)</f>
        <v>0</v>
      </c>
      <c r="DD14" s="41">
        <f>DA14+DB14+DC14</f>
        <v>0</v>
      </c>
      <c r="DE14" s="41">
        <f>CZ14+DD14</f>
        <v>0</v>
      </c>
    </row>
    <row r="15" spans="1:109" s="12" customFormat="1" ht="10.199999999999999" x14ac:dyDescent="0.2">
      <c r="A15" s="11"/>
      <c r="B15" s="11"/>
      <c r="E15" s="27"/>
      <c r="F15" s="27" t="s">
        <v>195</v>
      </c>
      <c r="G15" s="27"/>
      <c r="I15" s="40">
        <f>SUM(I16:I29)</f>
        <v>-8176503.1619517598</v>
      </c>
      <c r="K15" s="29">
        <f t="shared" ref="K15:X15" si="27">SUM(K16:K29)</f>
        <v>0</v>
      </c>
      <c r="L15" s="29">
        <f t="shared" si="27"/>
        <v>0</v>
      </c>
      <c r="M15" s="29">
        <f t="shared" si="27"/>
        <v>0</v>
      </c>
      <c r="N15" s="40">
        <f t="shared" si="27"/>
        <v>0</v>
      </c>
      <c r="O15" s="35">
        <f t="shared" si="27"/>
        <v>0</v>
      </c>
      <c r="P15" s="29">
        <f t="shared" si="27"/>
        <v>0</v>
      </c>
      <c r="Q15" s="29">
        <f t="shared" si="27"/>
        <v>0</v>
      </c>
      <c r="R15" s="31">
        <f>SUM(R16:R29)</f>
        <v>0</v>
      </c>
      <c r="S15" s="40">
        <f t="shared" si="27"/>
        <v>0</v>
      </c>
      <c r="T15" s="35">
        <f t="shared" ref="T15:V15" si="28">SUM(T16:T29)</f>
        <v>0</v>
      </c>
      <c r="U15" s="29">
        <f t="shared" si="28"/>
        <v>0</v>
      </c>
      <c r="V15" s="29">
        <f t="shared" si="28"/>
        <v>-2614464.9894521255</v>
      </c>
      <c r="W15" s="40">
        <f>SUM(W16:W29)</f>
        <v>-2614464.9894521255</v>
      </c>
      <c r="X15" s="40">
        <f t="shared" si="27"/>
        <v>-2614464.9894521255</v>
      </c>
      <c r="Y15" s="35">
        <f t="shared" ref="Y15:AA15" si="29">SUM(Y16:Y29)</f>
        <v>-1533934.9894521257</v>
      </c>
      <c r="Z15" s="29">
        <f t="shared" si="29"/>
        <v>-1613836.5555176083</v>
      </c>
      <c r="AA15" s="29">
        <f t="shared" si="29"/>
        <v>-2414266.6275298996</v>
      </c>
      <c r="AB15" s="31">
        <f t="shared" ref="AB15:AC15" si="30">SUM(AB16:AB29)</f>
        <v>-5562038.1724996334</v>
      </c>
      <c r="AC15" s="40">
        <f t="shared" si="30"/>
        <v>-8176503.1619517598</v>
      </c>
      <c r="AE15" s="29">
        <f t="shared" ref="AE15:AG15" si="31">SUM(AE16:AE29)</f>
        <v>0</v>
      </c>
      <c r="AF15" s="29">
        <f t="shared" si="31"/>
        <v>0</v>
      </c>
      <c r="AG15" s="29">
        <f t="shared" si="31"/>
        <v>0</v>
      </c>
      <c r="AH15" s="40">
        <f t="shared" ref="AH15:AU15" si="32">SUM(AH16:AH29)</f>
        <v>0</v>
      </c>
      <c r="AI15" s="35">
        <f t="shared" si="32"/>
        <v>0</v>
      </c>
      <c r="AJ15" s="29">
        <f t="shared" si="32"/>
        <v>0</v>
      </c>
      <c r="AK15" s="29">
        <f t="shared" si="32"/>
        <v>0</v>
      </c>
      <c r="AL15" s="40">
        <f t="shared" ref="AL15" si="33">SUM(AL16:AL29)</f>
        <v>0</v>
      </c>
      <c r="AM15" s="40">
        <f t="shared" si="32"/>
        <v>0</v>
      </c>
      <c r="AN15" s="35">
        <f t="shared" si="32"/>
        <v>0</v>
      </c>
      <c r="AO15" s="29">
        <f t="shared" si="32"/>
        <v>0</v>
      </c>
      <c r="AP15" s="29">
        <f t="shared" si="32"/>
        <v>0</v>
      </c>
      <c r="AQ15" s="40">
        <f t="shared" ref="AQ15" si="34">SUM(AQ16:AQ29)</f>
        <v>0</v>
      </c>
      <c r="AR15" s="40">
        <f t="shared" si="32"/>
        <v>0</v>
      </c>
      <c r="AS15" s="35">
        <f t="shared" si="32"/>
        <v>0</v>
      </c>
      <c r="AT15" s="29">
        <f t="shared" si="32"/>
        <v>0</v>
      </c>
      <c r="AU15" s="29">
        <f t="shared" si="32"/>
        <v>0</v>
      </c>
      <c r="AV15" s="40">
        <f t="shared" ref="AV15" si="35">SUM(AV16:AV29)</f>
        <v>0</v>
      </c>
      <c r="AW15" s="40">
        <f t="shared" ref="AW15" si="36">SUM(AW16:AW29)</f>
        <v>0</v>
      </c>
      <c r="AY15" s="29">
        <f t="shared" ref="AY15:BQ15" si="37">SUM(AY16:AY29)</f>
        <v>0</v>
      </c>
      <c r="AZ15" s="29">
        <f t="shared" si="37"/>
        <v>0</v>
      </c>
      <c r="BA15" s="29">
        <f t="shared" si="37"/>
        <v>0</v>
      </c>
      <c r="BB15" s="40">
        <f t="shared" si="37"/>
        <v>0</v>
      </c>
      <c r="BC15" s="35">
        <f t="shared" si="37"/>
        <v>0</v>
      </c>
      <c r="BD15" s="29">
        <f t="shared" si="37"/>
        <v>0</v>
      </c>
      <c r="BE15" s="29">
        <f t="shared" si="37"/>
        <v>0</v>
      </c>
      <c r="BF15" s="40">
        <f t="shared" si="37"/>
        <v>0</v>
      </c>
      <c r="BG15" s="40">
        <f t="shared" si="37"/>
        <v>0</v>
      </c>
      <c r="BH15" s="35">
        <f t="shared" si="37"/>
        <v>0</v>
      </c>
      <c r="BI15" s="29">
        <f t="shared" si="37"/>
        <v>0</v>
      </c>
      <c r="BJ15" s="29">
        <f t="shared" si="37"/>
        <v>0</v>
      </c>
      <c r="BK15" s="40">
        <f t="shared" si="37"/>
        <v>0</v>
      </c>
      <c r="BL15" s="40">
        <f t="shared" si="37"/>
        <v>0</v>
      </c>
      <c r="BM15" s="35">
        <f t="shared" si="37"/>
        <v>0</v>
      </c>
      <c r="BN15" s="29">
        <f t="shared" si="37"/>
        <v>0</v>
      </c>
      <c r="BO15" s="29">
        <f t="shared" si="37"/>
        <v>0</v>
      </c>
      <c r="BP15" s="40">
        <f t="shared" si="37"/>
        <v>0</v>
      </c>
      <c r="BQ15" s="40">
        <f t="shared" si="37"/>
        <v>0</v>
      </c>
      <c r="BS15" s="29">
        <f t="shared" ref="BS15:CK15" si="38">SUM(BS16:BS29)</f>
        <v>0</v>
      </c>
      <c r="BT15" s="29">
        <f t="shared" si="38"/>
        <v>0</v>
      </c>
      <c r="BU15" s="29">
        <f t="shared" si="38"/>
        <v>0</v>
      </c>
      <c r="BV15" s="40">
        <f t="shared" si="38"/>
        <v>0</v>
      </c>
      <c r="BW15" s="35">
        <f t="shared" si="38"/>
        <v>0</v>
      </c>
      <c r="BX15" s="29">
        <f t="shared" si="38"/>
        <v>0</v>
      </c>
      <c r="BY15" s="29">
        <f t="shared" si="38"/>
        <v>0</v>
      </c>
      <c r="BZ15" s="40">
        <f t="shared" si="38"/>
        <v>0</v>
      </c>
      <c r="CA15" s="40">
        <f t="shared" si="38"/>
        <v>0</v>
      </c>
      <c r="CB15" s="35">
        <f t="shared" si="38"/>
        <v>0</v>
      </c>
      <c r="CC15" s="29">
        <f t="shared" si="38"/>
        <v>0</v>
      </c>
      <c r="CD15" s="29">
        <f t="shared" si="38"/>
        <v>0</v>
      </c>
      <c r="CE15" s="40">
        <f t="shared" si="38"/>
        <v>0</v>
      </c>
      <c r="CF15" s="40">
        <f t="shared" si="38"/>
        <v>0</v>
      </c>
      <c r="CG15" s="35">
        <f t="shared" si="38"/>
        <v>0</v>
      </c>
      <c r="CH15" s="29">
        <f t="shared" si="38"/>
        <v>0</v>
      </c>
      <c r="CI15" s="29">
        <f t="shared" si="38"/>
        <v>0</v>
      </c>
      <c r="CJ15" s="40">
        <f t="shared" si="38"/>
        <v>0</v>
      </c>
      <c r="CK15" s="40">
        <f t="shared" si="38"/>
        <v>0</v>
      </c>
      <c r="CM15" s="29">
        <f t="shared" ref="CM15:DE15" si="39">SUM(CM16:CM29)</f>
        <v>0</v>
      </c>
      <c r="CN15" s="29">
        <f t="shared" si="39"/>
        <v>0</v>
      </c>
      <c r="CO15" s="29">
        <f t="shared" si="39"/>
        <v>0</v>
      </c>
      <c r="CP15" s="40">
        <f t="shared" si="39"/>
        <v>0</v>
      </c>
      <c r="CQ15" s="35">
        <f t="shared" si="39"/>
        <v>0</v>
      </c>
      <c r="CR15" s="29">
        <f t="shared" si="39"/>
        <v>0</v>
      </c>
      <c r="CS15" s="29">
        <f t="shared" si="39"/>
        <v>0</v>
      </c>
      <c r="CT15" s="40">
        <f t="shared" si="39"/>
        <v>0</v>
      </c>
      <c r="CU15" s="40">
        <f t="shared" si="39"/>
        <v>0</v>
      </c>
      <c r="CV15" s="35">
        <f t="shared" si="39"/>
        <v>0</v>
      </c>
      <c r="CW15" s="29">
        <f t="shared" si="39"/>
        <v>0</v>
      </c>
      <c r="CX15" s="29">
        <f t="shared" si="39"/>
        <v>0</v>
      </c>
      <c r="CY15" s="40">
        <f t="shared" si="39"/>
        <v>0</v>
      </c>
      <c r="CZ15" s="40">
        <f t="shared" si="39"/>
        <v>0</v>
      </c>
      <c r="DA15" s="35">
        <f t="shared" si="39"/>
        <v>0</v>
      </c>
      <c r="DB15" s="29">
        <f t="shared" si="39"/>
        <v>0</v>
      </c>
      <c r="DC15" s="29">
        <f t="shared" si="39"/>
        <v>0</v>
      </c>
      <c r="DD15" s="40">
        <f t="shared" si="39"/>
        <v>0</v>
      </c>
      <c r="DE15" s="40">
        <f t="shared" si="39"/>
        <v>0</v>
      </c>
    </row>
    <row r="16" spans="1:109" s="12" customFormat="1" ht="10.199999999999999" x14ac:dyDescent="0.2">
      <c r="A16" s="11" t="s">
        <v>181</v>
      </c>
      <c r="B16" s="11" t="str">
        <f t="shared" ref="B16:B29" si="40">F16&amp;A16</f>
        <v>Облачное хранилище для строительной компании с функцией архивации 202077 Сопровождение ИТ-услуг</v>
      </c>
      <c r="E16" s="20">
        <v>202077</v>
      </c>
      <c r="F16" s="21" t="str">
        <f>'Карточка проекта'!$B$1</f>
        <v xml:space="preserve">Облачное хранилище для строительной компании с функцией архивации </v>
      </c>
      <c r="G16" s="43" t="s">
        <v>204</v>
      </c>
      <c r="I16" s="41">
        <f t="shared" ref="I16:I42" si="41">AC16+AW16+BQ16+CK16+DE16</f>
        <v>-788300</v>
      </c>
      <c r="K16" s="23">
        <f>-SUMIFS('БДР_Себестоимость и Расходы'!$I:$I,'БДР_Себестоимость и Расходы'!$D:$D,$A16,'БДР_Себестоимость и Расходы'!$C:$C,K$3)-IF('Договоры ГПХ'!$C$12=$A16,'Договоры ГПХ'!H$9+'Договоры ГПХ'!H$10,0)</f>
        <v>0</v>
      </c>
      <c r="L16" s="23">
        <f>-SUMIFS('БДР_Себестоимость и Расходы'!$I:$I,'БДР_Себестоимость и Расходы'!$D:$D,$A16,'БДР_Себестоимость и Расходы'!$C:$C,L$3)-IF('Договоры ГПХ'!$C$12=$A16,'Договоры ГПХ'!I$9+'Договоры ГПХ'!I$10,0)</f>
        <v>0</v>
      </c>
      <c r="M16" s="23">
        <f>-SUMIFS('БДР_Себестоимость и Расходы'!$I:$I,'БДР_Себестоимость и Расходы'!$D:$D,$A16,'БДР_Себестоимость и Расходы'!$C:$C,M$3)-IF('Договоры ГПХ'!$C$12=$A16,'Договоры ГПХ'!J$9+'Договоры ГПХ'!J$10,0)</f>
        <v>0</v>
      </c>
      <c r="N16" s="41">
        <f t="shared" ref="N16:N29" si="42">K16+L16+M16</f>
        <v>0</v>
      </c>
      <c r="O16" s="23">
        <f>-SUMIFS('БДР_Себестоимость и Расходы'!$I:$I,'БДР_Себестоимость и Расходы'!$D:$D,$A16,'БДР_Себестоимость и Расходы'!$C:$C,O$3)-IF('Договоры ГПХ'!$C$12=$A16,'Договоры ГПХ'!K$9+'Договоры ГПХ'!K$10,0)</f>
        <v>0</v>
      </c>
      <c r="P16" s="23">
        <f>-SUMIFS('БДР_Себестоимость и Расходы'!$I:$I,'БДР_Себестоимость и Расходы'!$D:$D,$A16,'БДР_Себестоимость и Расходы'!$C:$C,P$3)-IF('Договоры ГПХ'!$C$12=$A16,'Договоры ГПХ'!L$9+'Договоры ГПХ'!L$10,0)</f>
        <v>0</v>
      </c>
      <c r="Q16" s="23">
        <f>-SUMIFS('БДР_Себестоимость и Расходы'!$I:$I,'БДР_Себестоимость и Расходы'!$D:$D,$A16,'БДР_Себестоимость и Расходы'!$C:$C,Q$3)-IF('Договоры ГПХ'!$C$12=$A16,'Договоры ГПХ'!M$9+'Договоры ГПХ'!M$10,0)</f>
        <v>0</v>
      </c>
      <c r="R16" s="22">
        <f t="shared" ref="R16:R29" si="43">O16+P16+Q16</f>
        <v>0</v>
      </c>
      <c r="S16" s="41">
        <f t="shared" ref="S16:S29" si="44">N16+R16</f>
        <v>0</v>
      </c>
      <c r="T16" s="23">
        <f>-SUMIFS('БДР_Себестоимость и Расходы'!$I:$I,'БДР_Себестоимость и Расходы'!$D:$D,$A16,'БДР_Себестоимость и Расходы'!$C:$C,T$3)-IF('Договоры ГПХ'!$C$12=$A16,'Договоры ГПХ'!N$9+'Договоры ГПХ'!N$10,0)</f>
        <v>0</v>
      </c>
      <c r="U16" s="23">
        <f>-SUMIFS('БДР_Себестоимость и Расходы'!$I:$I,'БДР_Себестоимость и Расходы'!$D:$D,$A16,'БДР_Себестоимость и Расходы'!$C:$C,U$3)-IF('Договоры ГПХ'!$C$12=$A16,'Договоры ГПХ'!O$9+'Договоры ГПХ'!O$10,0)</f>
        <v>0</v>
      </c>
      <c r="V16" s="23">
        <f>-SUMIFS('БДР_Себестоимость и Расходы'!$I:$I,'БДР_Себестоимость и Расходы'!$D:$D,$A16,'БДР_Себестоимость и Расходы'!$C:$C,V$3)-IF('Договоры ГПХ'!$C$12=$A16,'Договоры ГПХ'!P$9+'Договоры ГПХ'!P$10,0)</f>
        <v>0</v>
      </c>
      <c r="W16" s="41">
        <f t="shared" ref="W16:W29" si="45">T16+U16+V16</f>
        <v>0</v>
      </c>
      <c r="X16" s="41">
        <f t="shared" ref="X16:X29" si="46">S16+W16</f>
        <v>0</v>
      </c>
      <c r="Y16" s="23">
        <f>-SUMIFS('БДР_Себестоимость и Расходы'!$I:$I,'БДР_Себестоимость и Расходы'!$D:$D,$A16,'БДР_Себестоимость и Расходы'!$C:$C,Y$3)-IF('Договоры ГПХ'!$C$12=$A16,'Договоры ГПХ'!Q$9+'Договоры ГПХ'!Q$10,0)</f>
        <v>0</v>
      </c>
      <c r="Z16" s="23">
        <f>-SUMIFS('БДР_Себестоимость и Расходы'!$I:$I,'БДР_Себестоимость и Расходы'!$D:$D,$A16,'БДР_Себестоимость и Расходы'!$C:$C,Z$3)-IF('Договоры ГПХ'!$C$12=$A16,'Договоры ГПХ'!R$9+'Договоры ГПХ'!R$10,0)</f>
        <v>0</v>
      </c>
      <c r="AA16" s="23">
        <f>-SUMIFS('БДР_Себестоимость и Расходы'!$I:$I,'БДР_Себестоимость и Расходы'!$D:$D,$A16,'БДР_Себестоимость и Расходы'!$C:$C,AA$3)-IF('Договоры ГПХ'!$C$12=$A16,'Договоры ГПХ'!S$9+'Договоры ГПХ'!S$10,0)</f>
        <v>-788300</v>
      </c>
      <c r="AB16" s="22">
        <f t="shared" ref="AB16:AB29" si="47">Y16+Z16+AA16</f>
        <v>-788300</v>
      </c>
      <c r="AC16" s="41">
        <f t="shared" ref="AC16:AC29" si="48">X16+AB16</f>
        <v>-788300</v>
      </c>
      <c r="AE16" s="23">
        <f>-SUMIFS('БДР_Себестоимость и Расходы'!$I:$I,'БДР_Себестоимость и Расходы'!$D:$D,$A16,'БДР_Себестоимость и Расходы'!$C:$C,AE$3)-IF('Договоры ГПХ'!$C$12=$A16,'Договоры ГПХ'!V$9+'Договоры ГПХ'!V$10,0)</f>
        <v>0</v>
      </c>
      <c r="AF16" s="23">
        <f>-SUMIFS('БДР_Себестоимость и Расходы'!$I:$I,'БДР_Себестоимость и Расходы'!$D:$D,$A16,'БДР_Себестоимость и Расходы'!$C:$C,AF$3)-IF('Договоры ГПХ'!$C$12=$A16,'Договоры ГПХ'!W$9+'Договоры ГПХ'!W$10,0)</f>
        <v>0</v>
      </c>
      <c r="AG16" s="23">
        <f>-SUMIFS('БДР_Себестоимость и Расходы'!$I:$I,'БДР_Себестоимость и Расходы'!$D:$D,$A16,'БДР_Себестоимость и Расходы'!$C:$C,AG$3)-IF('Договоры ГПХ'!$C$12=$A16,'Договоры ГПХ'!X$9+'Договоры ГПХ'!X$10,0)</f>
        <v>0</v>
      </c>
      <c r="AH16" s="41">
        <f t="shared" ref="AH16:AH29" si="49">AE16+AF16+AG16</f>
        <v>0</v>
      </c>
      <c r="AI16" s="23">
        <f>-SUMIFS('БДР_Себестоимость и Расходы'!$I:$I,'БДР_Себестоимость и Расходы'!$D:$D,$A16,'БДР_Себестоимость и Расходы'!$C:$C,AI$3)-IF('Договоры ГПХ'!$C$12=$A16,'Договоры ГПХ'!Y$9+'Договоры ГПХ'!Y$10,0)</f>
        <v>0</v>
      </c>
      <c r="AJ16" s="23">
        <f>-SUMIFS('БДР_Себестоимость и Расходы'!$I:$I,'БДР_Себестоимость и Расходы'!$D:$D,$A16,'БДР_Себестоимость и Расходы'!$C:$C,AJ$3)-IF('Договоры ГПХ'!$C$12=$A16,'Договоры ГПХ'!Z$9+'Договоры ГПХ'!Z$10,0)</f>
        <v>0</v>
      </c>
      <c r="AK16" s="23">
        <f>-SUMIFS('БДР_Себестоимость и Расходы'!$I:$I,'БДР_Себестоимость и Расходы'!$D:$D,$A16,'БДР_Себестоимость и Расходы'!$C:$C,AK$3)-IF('Договоры ГПХ'!$C$12=$A16,'Договоры ГПХ'!AA$9+'Договоры ГПХ'!AA$10,0)</f>
        <v>0</v>
      </c>
      <c r="AL16" s="41">
        <f t="shared" ref="AL16:AL29" si="50">AI16+AJ16+AK16</f>
        <v>0</v>
      </c>
      <c r="AM16" s="41">
        <f t="shared" ref="AM16:AM29" si="51">AH16+AL16</f>
        <v>0</v>
      </c>
      <c r="AN16" s="23">
        <f>-SUMIFS('БДР_Себестоимость и Расходы'!$I:$I,'БДР_Себестоимость и Расходы'!$D:$D,$A16,'БДР_Себестоимость и Расходы'!$C:$C,AN$3)-IF('Договоры ГПХ'!$C$12=$A16,'Договоры ГПХ'!AB$9+'Договоры ГПХ'!AB$10,0)</f>
        <v>0</v>
      </c>
      <c r="AO16" s="23">
        <f>-SUMIFS('БДР_Себестоимость и Расходы'!$I:$I,'БДР_Себестоимость и Расходы'!$D:$D,$A16,'БДР_Себестоимость и Расходы'!$C:$C,AO$3)-IF('Договоры ГПХ'!$C$12=$A16,'Договоры ГПХ'!AC$9+'Договоры ГПХ'!AC$10,0)</f>
        <v>0</v>
      </c>
      <c r="AP16" s="23">
        <f>-SUMIFS('БДР_Себестоимость и Расходы'!$I:$I,'БДР_Себестоимость и Расходы'!$D:$D,$A16,'БДР_Себестоимость и Расходы'!$C:$C,AP$3)-IF('Договоры ГПХ'!$C$12=$A16,'Договоры ГПХ'!AD$9+'Договоры ГПХ'!AD$10,0)</f>
        <v>0</v>
      </c>
      <c r="AQ16" s="41">
        <f t="shared" ref="AQ16:AQ29" si="52">AN16+AO16+AP16</f>
        <v>0</v>
      </c>
      <c r="AR16" s="41">
        <f t="shared" ref="AR16:AR41" si="53">AM16+AQ16</f>
        <v>0</v>
      </c>
      <c r="AS16" s="23">
        <f>-SUMIFS('БДР_Себестоимость и Расходы'!$I:$I,'БДР_Себестоимость и Расходы'!$D:$D,$A16,'БДР_Себестоимость и Расходы'!$C:$C,AS$3)-IF('Договоры ГПХ'!$C$12=$A16,'Договоры ГПХ'!AE$9+'Договоры ГПХ'!AE$10,0)</f>
        <v>0</v>
      </c>
      <c r="AT16" s="23">
        <f>-SUMIFS('БДР_Себестоимость и Расходы'!$I:$I,'БДР_Себестоимость и Расходы'!$D:$D,$A16,'БДР_Себестоимость и Расходы'!$C:$C,AT$3)-IF('Договоры ГПХ'!$C$12=$A16,'Договоры ГПХ'!AF$9+'Договоры ГПХ'!AF$10,0)</f>
        <v>0</v>
      </c>
      <c r="AU16" s="23">
        <f>-SUMIFS('БДР_Себестоимость и Расходы'!$I:$I,'БДР_Себестоимость и Расходы'!$D:$D,$A16,'БДР_Себестоимость и Расходы'!$C:$C,AU$3)-IF('Договоры ГПХ'!$C$12=$A16,'Договоры ГПХ'!AG$9+'Договоры ГПХ'!AG$10,0)</f>
        <v>0</v>
      </c>
      <c r="AV16" s="41">
        <f t="shared" ref="AV16:AV29" si="54">AS16+AT16+AU16</f>
        <v>0</v>
      </c>
      <c r="AW16" s="41">
        <f t="shared" ref="AW16:AW29" si="55">AR16+AV16</f>
        <v>0</v>
      </c>
      <c r="AY16" s="23">
        <f>-SUMIFS('БДР_Себестоимость и Расходы'!$I:$I,'БДР_Себестоимость и Расходы'!$D:$D,$A16,'БДР_Себестоимость и Расходы'!$C:$C,AY$3)-IF('Договоры ГПХ'!$C$12=$A16,'Договоры ГПХ'!AJ$9+'Договоры ГПХ'!AJ$10,0)</f>
        <v>0</v>
      </c>
      <c r="AZ16" s="23">
        <f>-SUMIFS('БДР_Себестоимость и Расходы'!$I:$I,'БДР_Себестоимость и Расходы'!$D:$D,$A16,'БДР_Себестоимость и Расходы'!$C:$C,AZ$3)-IF('Договоры ГПХ'!$C$12=$A16,'Договоры ГПХ'!AK$9+'Договоры ГПХ'!AK$10,0)</f>
        <v>0</v>
      </c>
      <c r="BA16" s="23">
        <f>-SUMIFS('БДР_Себестоимость и Расходы'!$I:$I,'БДР_Себестоимость и Расходы'!$D:$D,$A16,'БДР_Себестоимость и Расходы'!$C:$C,BA$3)-IF('Договоры ГПХ'!$C$12=$A16,'Договоры ГПХ'!AL$9+'Договоры ГПХ'!AL$10,0)</f>
        <v>0</v>
      </c>
      <c r="BB16" s="41">
        <f t="shared" ref="BB16:BB29" si="56">AY16+AZ16+BA16</f>
        <v>0</v>
      </c>
      <c r="BC16" s="23">
        <f>-SUMIFS('БДР_Себестоимость и Расходы'!$I:$I,'БДР_Себестоимость и Расходы'!$D:$D,$A16,'БДР_Себестоимость и Расходы'!$C:$C,BC$3)-IF('Договоры ГПХ'!$C$12=$A16,'Договоры ГПХ'!AM$9+'Договоры ГПХ'!AM$10,0)</f>
        <v>0</v>
      </c>
      <c r="BD16" s="23">
        <f>-SUMIFS('БДР_Себестоимость и Расходы'!$I:$I,'БДР_Себестоимость и Расходы'!$D:$D,$A16,'БДР_Себестоимость и Расходы'!$C:$C,BD$3)-IF('Договоры ГПХ'!$C$12=$A16,'Договоры ГПХ'!AN$9+'Договоры ГПХ'!AN$10,0)</f>
        <v>0</v>
      </c>
      <c r="BE16" s="23">
        <f>-SUMIFS('БДР_Себестоимость и Расходы'!$I:$I,'БДР_Себестоимость и Расходы'!$D:$D,$A16,'БДР_Себестоимость и Расходы'!$C:$C,BE$3)-IF('Договоры ГПХ'!$C$12=$A16,'Договоры ГПХ'!AO$9+'Договоры ГПХ'!AO$10,0)</f>
        <v>0</v>
      </c>
      <c r="BF16" s="41">
        <f t="shared" ref="BF16:BF29" si="57">BC16+BD16+BE16</f>
        <v>0</v>
      </c>
      <c r="BG16" s="41">
        <f t="shared" ref="BG16:BG29" si="58">BB16+BF16</f>
        <v>0</v>
      </c>
      <c r="BH16" s="23">
        <f>-SUMIFS('БДР_Себестоимость и Расходы'!$I:$I,'БДР_Себестоимость и Расходы'!$D:$D,$A16,'БДР_Себестоимость и Расходы'!$C:$C,BH$3)-IF('Договоры ГПХ'!$C$12=$A16,'Договоры ГПХ'!AP$9+'Договоры ГПХ'!AP$10,0)</f>
        <v>0</v>
      </c>
      <c r="BI16" s="23">
        <f>-SUMIFS('БДР_Себестоимость и Расходы'!$I:$I,'БДР_Себестоимость и Расходы'!$D:$D,$A16,'БДР_Себестоимость и Расходы'!$C:$C,BI$3)-IF('Договоры ГПХ'!$C$12=$A16,'Договоры ГПХ'!AQ$9+'Договоры ГПХ'!AQ$10,0)</f>
        <v>0</v>
      </c>
      <c r="BJ16" s="23">
        <f>-SUMIFS('БДР_Себестоимость и Расходы'!$I:$I,'БДР_Себестоимость и Расходы'!$D:$D,$A16,'БДР_Себестоимость и Расходы'!$C:$C,BJ$3)-IF('Договоры ГПХ'!$C$12=$A16,'Договоры ГПХ'!AR$9+'Договоры ГПХ'!AR$10,0)</f>
        <v>0</v>
      </c>
      <c r="BK16" s="41">
        <f t="shared" ref="BK16:BK29" si="59">BH16+BI16+BJ16</f>
        <v>0</v>
      </c>
      <c r="BL16" s="41">
        <f t="shared" ref="BL16:BL29" si="60">BG16+BK16</f>
        <v>0</v>
      </c>
      <c r="BM16" s="23">
        <f>-SUMIFS('БДР_Себестоимость и Расходы'!$I:$I,'БДР_Себестоимость и Расходы'!$D:$D,$A16,'БДР_Себестоимость и Расходы'!$C:$C,BM$3)-IF('Договоры ГПХ'!$C$12=$A16,'Договоры ГПХ'!AS$9+'Договоры ГПХ'!AS$10,0)</f>
        <v>0</v>
      </c>
      <c r="BN16" s="23">
        <f>-SUMIFS('БДР_Себестоимость и Расходы'!$I:$I,'БДР_Себестоимость и Расходы'!$D:$D,$A16,'БДР_Себестоимость и Расходы'!$C:$C,BN$3)-IF('Договоры ГПХ'!$C$12=$A16,'Договоры ГПХ'!AT$9+'Договоры ГПХ'!AT$10,0)</f>
        <v>0</v>
      </c>
      <c r="BO16" s="23">
        <f>-SUMIFS('БДР_Себестоимость и Расходы'!$I:$I,'БДР_Себестоимость и Расходы'!$D:$D,$A16,'БДР_Себестоимость и Расходы'!$C:$C,BO$3)-IF('Договоры ГПХ'!$C$12=$A16,'Договоры ГПХ'!AU$9+'Договоры ГПХ'!AU$10,0)</f>
        <v>0</v>
      </c>
      <c r="BP16" s="41">
        <f t="shared" ref="BP16:BP29" si="61">BM16+BN16+BO16</f>
        <v>0</v>
      </c>
      <c r="BQ16" s="41">
        <f t="shared" ref="BQ16:BQ29" si="62">BL16+BP16</f>
        <v>0</v>
      </c>
      <c r="BS16" s="23">
        <f>-SUMIFS('БДР_Себестоимость и Расходы'!$I:$I,'БДР_Себестоимость и Расходы'!$D:$D,$A16,'БДР_Себестоимость и Расходы'!$C:$C,BS$3)-IF('Договоры ГПХ'!$C$12=$A16,'Договоры ГПХ'!AX$9+'Договоры ГПХ'!AX$10,0)</f>
        <v>0</v>
      </c>
      <c r="BT16" s="23">
        <f>-SUMIFS('БДР_Себестоимость и Расходы'!$I:$I,'БДР_Себестоимость и Расходы'!$D:$D,$A16,'БДР_Себестоимость и Расходы'!$C:$C,BT$3)-IF('Договоры ГПХ'!$C$12=$A16,'Договоры ГПХ'!AY$9+'Договоры ГПХ'!AY$10,0)</f>
        <v>0</v>
      </c>
      <c r="BU16" s="23">
        <f>-SUMIFS('БДР_Себестоимость и Расходы'!$I:$I,'БДР_Себестоимость и Расходы'!$D:$D,$A16,'БДР_Себестоимость и Расходы'!$C:$C,BU$3)-IF('Договоры ГПХ'!$C$12=$A16,'Договоры ГПХ'!AZ$9+'Договоры ГПХ'!AZ$10,0)</f>
        <v>0</v>
      </c>
      <c r="BV16" s="41">
        <f t="shared" ref="BV16:BV29" si="63">BS16+BT16+BU16</f>
        <v>0</v>
      </c>
      <c r="BW16" s="23">
        <f>-SUMIFS('БДР_Себестоимость и Расходы'!$I:$I,'БДР_Себестоимость и Расходы'!$D:$D,$A16,'БДР_Себестоимость и Расходы'!$C:$C,BW$3)-IF('Договоры ГПХ'!$C$12=$A16,'Договоры ГПХ'!BA$9+'Договоры ГПХ'!BA$10,0)</f>
        <v>0</v>
      </c>
      <c r="BX16" s="23">
        <f>-SUMIFS('БДР_Себестоимость и Расходы'!$I:$I,'БДР_Себестоимость и Расходы'!$D:$D,$A16,'БДР_Себестоимость и Расходы'!$C:$C,BX$3)-IF('Договоры ГПХ'!$C$12=$A16,'Договоры ГПХ'!BB$9+'Договоры ГПХ'!BB$10,0)</f>
        <v>0</v>
      </c>
      <c r="BY16" s="23">
        <f>-SUMIFS('БДР_Себестоимость и Расходы'!$I:$I,'БДР_Себестоимость и Расходы'!$D:$D,$A16,'БДР_Себестоимость и Расходы'!$C:$C,BY$3)-IF('Договоры ГПХ'!$C$12=$A16,'Договоры ГПХ'!BC$9+'Договоры ГПХ'!BC$10,0)</f>
        <v>0</v>
      </c>
      <c r="BZ16" s="41">
        <f t="shared" ref="BZ16:BZ29" si="64">BW16+BX16+BY16</f>
        <v>0</v>
      </c>
      <c r="CA16" s="41">
        <f t="shared" ref="CA16:CA29" si="65">BV16+BZ16</f>
        <v>0</v>
      </c>
      <c r="CB16" s="23">
        <f>-SUMIFS('БДР_Себестоимость и Расходы'!$I:$I,'БДР_Себестоимость и Расходы'!$D:$D,$A16,'БДР_Себестоимость и Расходы'!$C:$C,CB$3)-IF('Договоры ГПХ'!$C$12=$A16,'Договоры ГПХ'!BD$9+'Договоры ГПХ'!BD$10,0)</f>
        <v>0</v>
      </c>
      <c r="CC16" s="23">
        <f>-SUMIFS('БДР_Себестоимость и Расходы'!$I:$I,'БДР_Себестоимость и Расходы'!$D:$D,$A16,'БДР_Себестоимость и Расходы'!$C:$C,CC$3)-IF('Договоры ГПХ'!$C$12=$A16,'Договоры ГПХ'!BE$9+'Договоры ГПХ'!BE$10,0)</f>
        <v>0</v>
      </c>
      <c r="CD16" s="23">
        <f>-SUMIFS('БДР_Себестоимость и Расходы'!$I:$I,'БДР_Себестоимость и Расходы'!$D:$D,$A16,'БДР_Себестоимость и Расходы'!$C:$C,CD$3)-IF('Договоры ГПХ'!$C$12=$A16,'Договоры ГПХ'!BF$9+'Договоры ГПХ'!BF$10,0)</f>
        <v>0</v>
      </c>
      <c r="CE16" s="41">
        <f t="shared" ref="CE16:CE29" si="66">CB16+CC16+CD16</f>
        <v>0</v>
      </c>
      <c r="CF16" s="41">
        <f t="shared" ref="CF16:CF29" si="67">CA16+CE16</f>
        <v>0</v>
      </c>
      <c r="CG16" s="23">
        <f>-SUMIFS('БДР_Себестоимость и Расходы'!$I:$I,'БДР_Себестоимость и Расходы'!$D:$D,$A16,'БДР_Себестоимость и Расходы'!$C:$C,CG$3)-IF('Договоры ГПХ'!$C$12=$A16,'Договоры ГПХ'!BG$9+'Договоры ГПХ'!BG$10,0)</f>
        <v>0</v>
      </c>
      <c r="CH16" s="23">
        <f>-SUMIFS('БДР_Себестоимость и Расходы'!$I:$I,'БДР_Себестоимость и Расходы'!$D:$D,$A16,'БДР_Себестоимость и Расходы'!$C:$C,CH$3)-IF('Договоры ГПХ'!$C$12=$A16,'Договоры ГПХ'!BH$9+'Договоры ГПХ'!BH$10,0)</f>
        <v>0</v>
      </c>
      <c r="CI16" s="23">
        <f>-SUMIFS('БДР_Себестоимость и Расходы'!$I:$I,'БДР_Себестоимость и Расходы'!$D:$D,$A16,'БДР_Себестоимость и Расходы'!$C:$C,CI$3)-IF('Договоры ГПХ'!$C$12=$A16,'Договоры ГПХ'!BI$9+'Договоры ГПХ'!BI$10,0)</f>
        <v>0</v>
      </c>
      <c r="CJ16" s="41">
        <f t="shared" ref="CJ16:CJ29" si="68">CG16+CH16+CI16</f>
        <v>0</v>
      </c>
      <c r="CK16" s="41">
        <f t="shared" ref="CK16:CK29" si="69">CF16+CJ16</f>
        <v>0</v>
      </c>
      <c r="CM16" s="23">
        <f>-SUMIFS('БДР_Себестоимость и Расходы'!$I:$I,'БДР_Себестоимость и Расходы'!$D:$D,$A16,'БДР_Себестоимость и Расходы'!$C:$C,CM$3)-IF('Договоры ГПХ'!$C$12=$A16,'Договоры ГПХ'!BL$9+'Договоры ГПХ'!BL$10,0)</f>
        <v>0</v>
      </c>
      <c r="CN16" s="23">
        <f>-SUMIFS('БДР_Себестоимость и Расходы'!$I:$I,'БДР_Себестоимость и Расходы'!$D:$D,$A16,'БДР_Себестоимость и Расходы'!$C:$C,CN$3)-IF('Договоры ГПХ'!$C$12=$A16,'Договоры ГПХ'!BM$9+'Договоры ГПХ'!BM$10,0)</f>
        <v>0</v>
      </c>
      <c r="CO16" s="23">
        <f>-SUMIFS('БДР_Себестоимость и Расходы'!$I:$I,'БДР_Себестоимость и Расходы'!$D:$D,$A16,'БДР_Себестоимость и Расходы'!$C:$C,CO$3)-IF('Договоры ГПХ'!$C$12=$A16,'Договоры ГПХ'!BN$9+'Договоры ГПХ'!BN$10,0)</f>
        <v>0</v>
      </c>
      <c r="CP16" s="41">
        <f t="shared" ref="CP16:CP29" si="70">CM16+CN16+CO16</f>
        <v>0</v>
      </c>
      <c r="CQ16" s="23">
        <f>-SUMIFS('БДР_Себестоимость и Расходы'!$I:$I,'БДР_Себестоимость и Расходы'!$D:$D,$A16,'БДР_Себестоимость и Расходы'!$C:$C,CQ$3)-IF('Договоры ГПХ'!$C$12=$A16,'Договоры ГПХ'!BO$9+'Договоры ГПХ'!BO$10,0)</f>
        <v>0</v>
      </c>
      <c r="CR16" s="23">
        <f>-SUMIFS('БДР_Себестоимость и Расходы'!$I:$I,'БДР_Себестоимость и Расходы'!$D:$D,$A16,'БДР_Себестоимость и Расходы'!$C:$C,CR$3)-IF('Договоры ГПХ'!$C$12=$A16,'Договоры ГПХ'!BP$9+'Договоры ГПХ'!BP$10,0)</f>
        <v>0</v>
      </c>
      <c r="CS16" s="23">
        <f>-SUMIFS('БДР_Себестоимость и Расходы'!$I:$I,'БДР_Себестоимость и Расходы'!$D:$D,$A16,'БДР_Себестоимость и Расходы'!$C:$C,CS$3)-IF('Договоры ГПХ'!$C$12=$A16,'Договоры ГПХ'!BQ$9+'Договоры ГПХ'!BQ$10,0)</f>
        <v>0</v>
      </c>
      <c r="CT16" s="41">
        <f t="shared" ref="CT16:CT29" si="71">CQ16+CR16+CS16</f>
        <v>0</v>
      </c>
      <c r="CU16" s="41">
        <f t="shared" ref="CU16:CU29" si="72">CP16+CT16</f>
        <v>0</v>
      </c>
      <c r="CV16" s="23">
        <f>-SUMIFS('БДР_Себестоимость и Расходы'!$I:$I,'БДР_Себестоимость и Расходы'!$D:$D,$A16,'БДР_Себестоимость и Расходы'!$C:$C,CV$3)-IF('Договоры ГПХ'!$C$12=$A16,'Договоры ГПХ'!BR$9+'Договоры ГПХ'!BR$10,0)</f>
        <v>0</v>
      </c>
      <c r="CW16" s="23">
        <f>-SUMIFS('БДР_Себестоимость и Расходы'!$I:$I,'БДР_Себестоимость и Расходы'!$D:$D,$A16,'БДР_Себестоимость и Расходы'!$C:$C,CW$3)-IF('Договоры ГПХ'!$C$12=$A16,'Договоры ГПХ'!BS$9+'Договоры ГПХ'!BS$10,0)</f>
        <v>0</v>
      </c>
      <c r="CX16" s="23">
        <f>-SUMIFS('БДР_Себестоимость и Расходы'!$I:$I,'БДР_Себестоимость и Расходы'!$D:$D,$A16,'БДР_Себестоимость и Расходы'!$C:$C,CX$3)-IF('Договоры ГПХ'!$C$12=$A16,'Договоры ГПХ'!BT$9+'Договоры ГПХ'!BT$10,0)</f>
        <v>0</v>
      </c>
      <c r="CY16" s="41">
        <f t="shared" ref="CY16:CY29" si="73">CV16+CW16+CX16</f>
        <v>0</v>
      </c>
      <c r="CZ16" s="41">
        <f t="shared" ref="CZ16:CZ29" si="74">CU16+CY16</f>
        <v>0</v>
      </c>
      <c r="DA16" s="23">
        <f>-SUMIFS('БДР_Себестоимость и Расходы'!$I:$I,'БДР_Себестоимость и Расходы'!$D:$D,$A16,'БДР_Себестоимость и Расходы'!$C:$C,DA$3)-IF('Договоры ГПХ'!$C$12=$A16,'Договоры ГПХ'!BU$9+'Договоры ГПХ'!BU$10,0)</f>
        <v>0</v>
      </c>
      <c r="DB16" s="23">
        <f>-SUMIFS('БДР_Себестоимость и Расходы'!$I:$I,'БДР_Себестоимость и Расходы'!$D:$D,$A16,'БДР_Себестоимость и Расходы'!$C:$C,DB$3)-IF('Договоры ГПХ'!$C$12=$A16,'Договоры ГПХ'!BV$9+'Договоры ГПХ'!BV$10,0)</f>
        <v>0</v>
      </c>
      <c r="DC16" s="23">
        <f>-SUMIFS('БДР_Себестоимость и Расходы'!$I:$I,'БДР_Себестоимость и Расходы'!$D:$D,$A16,'БДР_Себестоимость и Расходы'!$C:$C,DC$3)-IF('Договоры ГПХ'!$C$12=$A16,'Договоры ГПХ'!BW$9+'Договоры ГПХ'!BW$10,0)</f>
        <v>0</v>
      </c>
      <c r="DD16" s="41">
        <f t="shared" ref="DD16:DD29" si="75">DA16+DB16+DC16</f>
        <v>0</v>
      </c>
      <c r="DE16" s="41">
        <f t="shared" ref="DE16:DE29" si="76">CZ16+DD16</f>
        <v>0</v>
      </c>
    </row>
    <row r="17" spans="1:109" s="12" customFormat="1" ht="10.199999999999999" x14ac:dyDescent="0.2">
      <c r="A17" s="11" t="s">
        <v>179</v>
      </c>
      <c r="B17" s="11" t="str">
        <f t="shared" si="40"/>
        <v>Облачное хранилище для строительной компании с функцией архивации 202047 Внедрение ИТ-услуг</v>
      </c>
      <c r="E17" s="20">
        <v>202047</v>
      </c>
      <c r="F17" s="21" t="str">
        <f>'Карточка проекта'!$B$1</f>
        <v xml:space="preserve">Облачное хранилище для строительной компании с функцией архивации </v>
      </c>
      <c r="G17" s="43" t="s">
        <v>205</v>
      </c>
      <c r="I17" s="41">
        <f t="shared" ref="I17:I18" si="77">AC17+AW17+BQ17+CK17+DE17</f>
        <v>-1000000</v>
      </c>
      <c r="K17" s="23">
        <f>-SUMIFS('БДР_Себестоимость и Расходы'!$I:$I,'БДР_Себестоимость и Расходы'!$D:$D,$A17,'БДР_Себестоимость и Расходы'!$C:$C,K$3)-IF('Договоры ГПХ'!$C$12=$A17,'Договоры ГПХ'!H$9+'Договоры ГПХ'!H$10,0)</f>
        <v>0</v>
      </c>
      <c r="L17" s="23">
        <f>-SUMIFS('БДР_Себестоимость и Расходы'!$I:$I,'БДР_Себестоимость и Расходы'!$D:$D,$A17,'БДР_Себестоимость и Расходы'!$C:$C,L$3)-IF('Договоры ГПХ'!$C$12=$A17,'Договоры ГПХ'!I$9+'Договоры ГПХ'!I$10,0)</f>
        <v>0</v>
      </c>
      <c r="M17" s="23">
        <f>-SUMIFS('БДР_Себестоимость и Расходы'!$I:$I,'БДР_Себестоимость и Расходы'!$D:$D,$A17,'БДР_Себестоимость и Расходы'!$C:$C,M$3)-IF('Договоры ГПХ'!$C$12=$A17,'Договоры ГПХ'!J$9+'Договоры ГПХ'!J$10,0)</f>
        <v>0</v>
      </c>
      <c r="N17" s="41">
        <f t="shared" ref="N17:N18" si="78">K17+L17+M17</f>
        <v>0</v>
      </c>
      <c r="O17" s="23">
        <f>-SUMIFS('БДР_Себестоимость и Расходы'!$I:$I,'БДР_Себестоимость и Расходы'!$D:$D,$A17,'БДР_Себестоимость и Расходы'!$C:$C,O$3)-IF('Договоры ГПХ'!$C$12=$A17,'Договоры ГПХ'!K$9+'Договоры ГПХ'!K$10,0)</f>
        <v>0</v>
      </c>
      <c r="P17" s="23">
        <f>-SUMIFS('БДР_Себестоимость и Расходы'!$I:$I,'БДР_Себестоимость и Расходы'!$D:$D,$A17,'БДР_Себестоимость и Расходы'!$C:$C,P$3)-IF('Договоры ГПХ'!$C$12=$A17,'Договоры ГПХ'!L$9+'Договоры ГПХ'!L$10,0)</f>
        <v>0</v>
      </c>
      <c r="Q17" s="23">
        <f>-SUMIFS('БДР_Себестоимость и Расходы'!$I:$I,'БДР_Себестоимость и Расходы'!$D:$D,$A17,'БДР_Себестоимость и Расходы'!$C:$C,Q$3)-IF('Договоры ГПХ'!$C$12=$A17,'Договоры ГПХ'!M$9+'Договоры ГПХ'!M$10,0)</f>
        <v>0</v>
      </c>
      <c r="R17" s="22">
        <f t="shared" ref="R17:R18" si="79">O17+P17+Q17</f>
        <v>0</v>
      </c>
      <c r="S17" s="41">
        <f t="shared" ref="S17:S18" si="80">N17+R17</f>
        <v>0</v>
      </c>
      <c r="T17" s="23">
        <f>-SUMIFS('БДР_Себестоимость и Расходы'!$I:$I,'БДР_Себестоимость и Расходы'!$D:$D,$A17,'БДР_Себестоимость и Расходы'!$C:$C,T$3)-IF('Договоры ГПХ'!$C$12=$A17,'Договоры ГПХ'!N$9+'Договоры ГПХ'!N$10,0)</f>
        <v>0</v>
      </c>
      <c r="U17" s="23">
        <f>-SUMIFS('БДР_Себестоимость и Расходы'!$I:$I,'БДР_Себестоимость и Расходы'!$D:$D,$A17,'БДР_Себестоимость и Расходы'!$C:$C,U$3)-IF('Договоры ГПХ'!$C$12=$A17,'Договоры ГПХ'!O$9+'Договоры ГПХ'!O$10,0)</f>
        <v>0</v>
      </c>
      <c r="V17" s="23">
        <f>-SUMIFS('БДР_Себестоимость и Расходы'!$I:$I,'БДР_Себестоимость и Расходы'!$D:$D,$A17,'БДР_Себестоимость и Расходы'!$C:$C,V$3)-IF('Договоры ГПХ'!$C$12=$A17,'Договоры ГПХ'!P$9+'Договоры ГПХ'!P$10,0)</f>
        <v>0</v>
      </c>
      <c r="W17" s="41">
        <f t="shared" ref="W17:W18" si="81">T17+U17+V17</f>
        <v>0</v>
      </c>
      <c r="X17" s="41">
        <f t="shared" ref="X17:X18" si="82">S17+W17</f>
        <v>0</v>
      </c>
      <c r="Y17" s="23">
        <f>-SUMIFS('БДР_Себестоимость и Расходы'!$I:$I,'БДР_Себестоимость и Расходы'!$D:$D,$A17,'БДР_Себестоимость и Расходы'!$C:$C,Y$3)-IF('Договоры ГПХ'!$C$12=$A17,'Договоры ГПХ'!Q$9+'Договоры ГПХ'!Q$10,0)</f>
        <v>0</v>
      </c>
      <c r="Z17" s="23">
        <f>-SUMIFS('БДР_Себестоимость и Расходы'!$I:$I,'БДР_Себестоимость и Расходы'!$D:$D,$A17,'БДР_Себестоимость и Расходы'!$C:$C,Z$3)-IF('Договоры ГПХ'!$C$12=$A17,'Договоры ГПХ'!R$9+'Договоры ГПХ'!R$10,0)</f>
        <v>-1000000</v>
      </c>
      <c r="AA17" s="23">
        <f>-SUMIFS('БДР_Себестоимость и Расходы'!$I:$I,'БДР_Себестоимость и Расходы'!$D:$D,$A17,'БДР_Себестоимость и Расходы'!$C:$C,AA$3)-IF('Договоры ГПХ'!$C$12=$A17,'Договоры ГПХ'!S$9+'Договоры ГПХ'!S$10,0)</f>
        <v>0</v>
      </c>
      <c r="AB17" s="22">
        <f t="shared" ref="AB17:AB18" si="83">Y17+Z17+AA17</f>
        <v>-1000000</v>
      </c>
      <c r="AC17" s="41">
        <f t="shared" ref="AC17:AC18" si="84">X17+AB17</f>
        <v>-1000000</v>
      </c>
      <c r="AE17" s="23">
        <f>-SUMIFS('БДР_Себестоимость и Расходы'!$I:$I,'БДР_Себестоимость и Расходы'!$D:$D,$A17,'БДР_Себестоимость и Расходы'!$C:$C,AE$3)-IF('Договоры ГПХ'!$C$12=$A17,'Договоры ГПХ'!V$9+'Договоры ГПХ'!V$10,0)</f>
        <v>0</v>
      </c>
      <c r="AF17" s="23">
        <f>-SUMIFS('БДР_Себестоимость и Расходы'!$I:$I,'БДР_Себестоимость и Расходы'!$D:$D,$A17,'БДР_Себестоимость и Расходы'!$C:$C,AF$3)-IF('Договоры ГПХ'!$C$12=$A17,'Договоры ГПХ'!W$9+'Договоры ГПХ'!W$10,0)</f>
        <v>0</v>
      </c>
      <c r="AG17" s="23">
        <f>-SUMIFS('БДР_Себестоимость и Расходы'!$I:$I,'БДР_Себестоимость и Расходы'!$D:$D,$A17,'БДР_Себестоимость и Расходы'!$C:$C,AG$3)-IF('Договоры ГПХ'!$C$12=$A17,'Договоры ГПХ'!X$9+'Договоры ГПХ'!X$10,0)</f>
        <v>0</v>
      </c>
      <c r="AH17" s="41">
        <f t="shared" ref="AH17:AH18" si="85">AE17+AF17+AG17</f>
        <v>0</v>
      </c>
      <c r="AI17" s="23">
        <f>-SUMIFS('БДР_Себестоимость и Расходы'!$I:$I,'БДР_Себестоимость и Расходы'!$D:$D,$A17,'БДР_Себестоимость и Расходы'!$C:$C,AI$3)-IF('Договоры ГПХ'!$C$12=$A17,'Договоры ГПХ'!Y$9+'Договоры ГПХ'!Y$10,0)</f>
        <v>0</v>
      </c>
      <c r="AJ17" s="23">
        <f>-SUMIFS('БДР_Себестоимость и Расходы'!$I:$I,'БДР_Себестоимость и Расходы'!$D:$D,$A17,'БДР_Себестоимость и Расходы'!$C:$C,AJ$3)-IF('Договоры ГПХ'!$C$12=$A17,'Договоры ГПХ'!Z$9+'Договоры ГПХ'!Z$10,0)</f>
        <v>0</v>
      </c>
      <c r="AK17" s="23">
        <f>-SUMIFS('БДР_Себестоимость и Расходы'!$I:$I,'БДР_Себестоимость и Расходы'!$D:$D,$A17,'БДР_Себестоимость и Расходы'!$C:$C,AK$3)-IF('Договоры ГПХ'!$C$12=$A17,'Договоры ГПХ'!AA$9+'Договоры ГПХ'!AA$10,0)</f>
        <v>0</v>
      </c>
      <c r="AL17" s="41">
        <f t="shared" ref="AL17:AL18" si="86">AI17+AJ17+AK17</f>
        <v>0</v>
      </c>
      <c r="AM17" s="41">
        <f t="shared" ref="AM17:AM18" si="87">AH17+AL17</f>
        <v>0</v>
      </c>
      <c r="AN17" s="23">
        <f>-SUMIFS('БДР_Себестоимость и Расходы'!$I:$I,'БДР_Себестоимость и Расходы'!$D:$D,$A17,'БДР_Себестоимость и Расходы'!$C:$C,AN$3)-IF('Договоры ГПХ'!$C$12=$A17,'Договоры ГПХ'!AB$9+'Договоры ГПХ'!AB$10,0)</f>
        <v>0</v>
      </c>
      <c r="AO17" s="23">
        <f>-SUMIFS('БДР_Себестоимость и Расходы'!$I:$I,'БДР_Себестоимость и Расходы'!$D:$D,$A17,'БДР_Себестоимость и Расходы'!$C:$C,AO$3)-IF('Договоры ГПХ'!$C$12=$A17,'Договоры ГПХ'!AC$9+'Договоры ГПХ'!AC$10,0)</f>
        <v>0</v>
      </c>
      <c r="AP17" s="23">
        <f>-SUMIFS('БДР_Себестоимость и Расходы'!$I:$I,'БДР_Себестоимость и Расходы'!$D:$D,$A17,'БДР_Себестоимость и Расходы'!$C:$C,AP$3)-IF('Договоры ГПХ'!$C$12=$A17,'Договоры ГПХ'!AD$9+'Договоры ГПХ'!AD$10,0)</f>
        <v>0</v>
      </c>
      <c r="AQ17" s="41">
        <f t="shared" ref="AQ17:AQ18" si="88">AN17+AO17+AP17</f>
        <v>0</v>
      </c>
      <c r="AR17" s="41">
        <f t="shared" ref="AR17:AR18" si="89">AM17+AQ17</f>
        <v>0</v>
      </c>
      <c r="AS17" s="23">
        <f>-SUMIFS('БДР_Себестоимость и Расходы'!$I:$I,'БДР_Себестоимость и Расходы'!$D:$D,$A17,'БДР_Себестоимость и Расходы'!$C:$C,AS$3)-IF('Договоры ГПХ'!$C$12=$A17,'Договоры ГПХ'!AE$9+'Договоры ГПХ'!AE$10,0)</f>
        <v>0</v>
      </c>
      <c r="AT17" s="23">
        <f>-SUMIFS('БДР_Себестоимость и Расходы'!$I:$I,'БДР_Себестоимость и Расходы'!$D:$D,$A17,'БДР_Себестоимость и Расходы'!$C:$C,AT$3)-IF('Договоры ГПХ'!$C$12=$A17,'Договоры ГПХ'!AF$9+'Договоры ГПХ'!AF$10,0)</f>
        <v>0</v>
      </c>
      <c r="AU17" s="23">
        <f>-SUMIFS('БДР_Себестоимость и Расходы'!$I:$I,'БДР_Себестоимость и Расходы'!$D:$D,$A17,'БДР_Себестоимость и Расходы'!$C:$C,AU$3)-IF('Договоры ГПХ'!$C$12=$A17,'Договоры ГПХ'!AG$9+'Договоры ГПХ'!AG$10,0)</f>
        <v>0</v>
      </c>
      <c r="AV17" s="41">
        <f t="shared" ref="AV17:AV18" si="90">AS17+AT17+AU17</f>
        <v>0</v>
      </c>
      <c r="AW17" s="41">
        <f t="shared" ref="AW17:AW18" si="91">AR17+AV17</f>
        <v>0</v>
      </c>
      <c r="AY17" s="23">
        <f>-SUMIFS('БДР_Себестоимость и Расходы'!$I:$I,'БДР_Себестоимость и Расходы'!$D:$D,$A17,'БДР_Себестоимость и Расходы'!$C:$C,AY$3)-IF('Договоры ГПХ'!$C$12=$A17,'Договоры ГПХ'!AJ$9+'Договоры ГПХ'!AJ$10,0)</f>
        <v>0</v>
      </c>
      <c r="AZ17" s="23">
        <f>-SUMIFS('БДР_Себестоимость и Расходы'!$I:$I,'БДР_Себестоимость и Расходы'!$D:$D,$A17,'БДР_Себестоимость и Расходы'!$C:$C,AZ$3)-IF('Договоры ГПХ'!$C$12=$A17,'Договоры ГПХ'!AK$9+'Договоры ГПХ'!AK$10,0)</f>
        <v>0</v>
      </c>
      <c r="BA17" s="23">
        <f>-SUMIFS('БДР_Себестоимость и Расходы'!$I:$I,'БДР_Себестоимость и Расходы'!$D:$D,$A17,'БДР_Себестоимость и Расходы'!$C:$C,BA$3)-IF('Договоры ГПХ'!$C$12=$A17,'Договоры ГПХ'!AL$9+'Договоры ГПХ'!AL$10,0)</f>
        <v>0</v>
      </c>
      <c r="BB17" s="41">
        <f t="shared" ref="BB17:BB18" si="92">AY17+AZ17+BA17</f>
        <v>0</v>
      </c>
      <c r="BC17" s="23">
        <f>-SUMIFS('БДР_Себестоимость и Расходы'!$I:$I,'БДР_Себестоимость и Расходы'!$D:$D,$A17,'БДР_Себестоимость и Расходы'!$C:$C,BC$3)-IF('Договоры ГПХ'!$C$12=$A17,'Договоры ГПХ'!AM$9+'Договоры ГПХ'!AM$10,0)</f>
        <v>0</v>
      </c>
      <c r="BD17" s="23">
        <f>-SUMIFS('БДР_Себестоимость и Расходы'!$I:$I,'БДР_Себестоимость и Расходы'!$D:$D,$A17,'БДР_Себестоимость и Расходы'!$C:$C,BD$3)-IF('Договоры ГПХ'!$C$12=$A17,'Договоры ГПХ'!AN$9+'Договоры ГПХ'!AN$10,0)</f>
        <v>0</v>
      </c>
      <c r="BE17" s="23">
        <f>-SUMIFS('БДР_Себестоимость и Расходы'!$I:$I,'БДР_Себестоимость и Расходы'!$D:$D,$A17,'БДР_Себестоимость и Расходы'!$C:$C,BE$3)-IF('Договоры ГПХ'!$C$12=$A17,'Договоры ГПХ'!AO$9+'Договоры ГПХ'!AO$10,0)</f>
        <v>0</v>
      </c>
      <c r="BF17" s="41">
        <f t="shared" ref="BF17:BF18" si="93">BC17+BD17+BE17</f>
        <v>0</v>
      </c>
      <c r="BG17" s="41">
        <f t="shared" ref="BG17:BG18" si="94">BB17+BF17</f>
        <v>0</v>
      </c>
      <c r="BH17" s="23">
        <f>-SUMIFS('БДР_Себестоимость и Расходы'!$I:$I,'БДР_Себестоимость и Расходы'!$D:$D,$A17,'БДР_Себестоимость и Расходы'!$C:$C,BH$3)-IF('Договоры ГПХ'!$C$12=$A17,'Договоры ГПХ'!AP$9+'Договоры ГПХ'!AP$10,0)</f>
        <v>0</v>
      </c>
      <c r="BI17" s="23">
        <f>-SUMIFS('БДР_Себестоимость и Расходы'!$I:$I,'БДР_Себестоимость и Расходы'!$D:$D,$A17,'БДР_Себестоимость и Расходы'!$C:$C,BI$3)-IF('Договоры ГПХ'!$C$12=$A17,'Договоры ГПХ'!AQ$9+'Договоры ГПХ'!AQ$10,0)</f>
        <v>0</v>
      </c>
      <c r="BJ17" s="23">
        <f>-SUMIFS('БДР_Себестоимость и Расходы'!$I:$I,'БДР_Себестоимость и Расходы'!$D:$D,$A17,'БДР_Себестоимость и Расходы'!$C:$C,BJ$3)-IF('Договоры ГПХ'!$C$12=$A17,'Договоры ГПХ'!AR$9+'Договоры ГПХ'!AR$10,0)</f>
        <v>0</v>
      </c>
      <c r="BK17" s="41">
        <f t="shared" ref="BK17:BK18" si="95">BH17+BI17+BJ17</f>
        <v>0</v>
      </c>
      <c r="BL17" s="41">
        <f t="shared" ref="BL17:BL18" si="96">BG17+BK17</f>
        <v>0</v>
      </c>
      <c r="BM17" s="23">
        <f>-SUMIFS('БДР_Себестоимость и Расходы'!$I:$I,'БДР_Себестоимость и Расходы'!$D:$D,$A17,'БДР_Себестоимость и Расходы'!$C:$C,BM$3)-IF('Договоры ГПХ'!$C$12=$A17,'Договоры ГПХ'!AS$9+'Договоры ГПХ'!AS$10,0)</f>
        <v>0</v>
      </c>
      <c r="BN17" s="23">
        <f>-SUMIFS('БДР_Себестоимость и Расходы'!$I:$I,'БДР_Себестоимость и Расходы'!$D:$D,$A17,'БДР_Себестоимость и Расходы'!$C:$C,BN$3)-IF('Договоры ГПХ'!$C$12=$A17,'Договоры ГПХ'!AT$9+'Договоры ГПХ'!AT$10,0)</f>
        <v>0</v>
      </c>
      <c r="BO17" s="23">
        <f>-SUMIFS('БДР_Себестоимость и Расходы'!$I:$I,'БДР_Себестоимость и Расходы'!$D:$D,$A17,'БДР_Себестоимость и Расходы'!$C:$C,BO$3)-IF('Договоры ГПХ'!$C$12=$A17,'Договоры ГПХ'!AU$9+'Договоры ГПХ'!AU$10,0)</f>
        <v>0</v>
      </c>
      <c r="BP17" s="41">
        <f t="shared" ref="BP17:BP18" si="97">BM17+BN17+BO17</f>
        <v>0</v>
      </c>
      <c r="BQ17" s="41">
        <f t="shared" ref="BQ17:BQ18" si="98">BL17+BP17</f>
        <v>0</v>
      </c>
      <c r="BS17" s="23">
        <f>-SUMIFS('БДР_Себестоимость и Расходы'!$I:$I,'БДР_Себестоимость и Расходы'!$D:$D,$A17,'БДР_Себестоимость и Расходы'!$C:$C,BS$3)-IF('Договоры ГПХ'!$C$12=$A17,'Договоры ГПХ'!AX$9+'Договоры ГПХ'!AX$10,0)</f>
        <v>0</v>
      </c>
      <c r="BT17" s="23">
        <f>-SUMIFS('БДР_Себестоимость и Расходы'!$I:$I,'БДР_Себестоимость и Расходы'!$D:$D,$A17,'БДР_Себестоимость и Расходы'!$C:$C,BT$3)-IF('Договоры ГПХ'!$C$12=$A17,'Договоры ГПХ'!AY$9+'Договоры ГПХ'!AY$10,0)</f>
        <v>0</v>
      </c>
      <c r="BU17" s="23">
        <f>-SUMIFS('БДР_Себестоимость и Расходы'!$I:$I,'БДР_Себестоимость и Расходы'!$D:$D,$A17,'БДР_Себестоимость и Расходы'!$C:$C,BU$3)-IF('Договоры ГПХ'!$C$12=$A17,'Договоры ГПХ'!AZ$9+'Договоры ГПХ'!AZ$10,0)</f>
        <v>0</v>
      </c>
      <c r="BV17" s="41">
        <f t="shared" ref="BV17:BV18" si="99">BS17+BT17+BU17</f>
        <v>0</v>
      </c>
      <c r="BW17" s="23">
        <f>-SUMIFS('БДР_Себестоимость и Расходы'!$I:$I,'БДР_Себестоимость и Расходы'!$D:$D,$A17,'БДР_Себестоимость и Расходы'!$C:$C,BW$3)-IF('Договоры ГПХ'!$C$12=$A17,'Договоры ГПХ'!BA$9+'Договоры ГПХ'!BA$10,0)</f>
        <v>0</v>
      </c>
      <c r="BX17" s="23">
        <f>-SUMIFS('БДР_Себестоимость и Расходы'!$I:$I,'БДР_Себестоимость и Расходы'!$D:$D,$A17,'БДР_Себестоимость и Расходы'!$C:$C,BX$3)-IF('Договоры ГПХ'!$C$12=$A17,'Договоры ГПХ'!BB$9+'Договоры ГПХ'!BB$10,0)</f>
        <v>0</v>
      </c>
      <c r="BY17" s="23">
        <f>-SUMIFS('БДР_Себестоимость и Расходы'!$I:$I,'БДР_Себестоимость и Расходы'!$D:$D,$A17,'БДР_Себестоимость и Расходы'!$C:$C,BY$3)-IF('Договоры ГПХ'!$C$12=$A17,'Договоры ГПХ'!BC$9+'Договоры ГПХ'!BC$10,0)</f>
        <v>0</v>
      </c>
      <c r="BZ17" s="41">
        <f t="shared" ref="BZ17:BZ18" si="100">BW17+BX17+BY17</f>
        <v>0</v>
      </c>
      <c r="CA17" s="41">
        <f t="shared" ref="CA17:CA18" si="101">BV17+BZ17</f>
        <v>0</v>
      </c>
      <c r="CB17" s="23">
        <f>-SUMIFS('БДР_Себестоимость и Расходы'!$I:$I,'БДР_Себестоимость и Расходы'!$D:$D,$A17,'БДР_Себестоимость и Расходы'!$C:$C,CB$3)-IF('Договоры ГПХ'!$C$12=$A17,'Договоры ГПХ'!BD$9+'Договоры ГПХ'!BD$10,0)</f>
        <v>0</v>
      </c>
      <c r="CC17" s="23">
        <f>-SUMIFS('БДР_Себестоимость и Расходы'!$I:$I,'БДР_Себестоимость и Расходы'!$D:$D,$A17,'БДР_Себестоимость и Расходы'!$C:$C,CC$3)-IF('Договоры ГПХ'!$C$12=$A17,'Договоры ГПХ'!BE$9+'Договоры ГПХ'!BE$10,0)</f>
        <v>0</v>
      </c>
      <c r="CD17" s="23">
        <f>-SUMIFS('БДР_Себестоимость и Расходы'!$I:$I,'БДР_Себестоимость и Расходы'!$D:$D,$A17,'БДР_Себестоимость и Расходы'!$C:$C,CD$3)-IF('Договоры ГПХ'!$C$12=$A17,'Договоры ГПХ'!BF$9+'Договоры ГПХ'!BF$10,0)</f>
        <v>0</v>
      </c>
      <c r="CE17" s="41">
        <f t="shared" ref="CE17:CE18" si="102">CB17+CC17+CD17</f>
        <v>0</v>
      </c>
      <c r="CF17" s="41">
        <f t="shared" ref="CF17:CF18" si="103">CA17+CE17</f>
        <v>0</v>
      </c>
      <c r="CG17" s="23">
        <f>-SUMIFS('БДР_Себестоимость и Расходы'!$I:$I,'БДР_Себестоимость и Расходы'!$D:$D,$A17,'БДР_Себестоимость и Расходы'!$C:$C,CG$3)-IF('Договоры ГПХ'!$C$12=$A17,'Договоры ГПХ'!BG$9+'Договоры ГПХ'!BG$10,0)</f>
        <v>0</v>
      </c>
      <c r="CH17" s="23">
        <f>-SUMIFS('БДР_Себестоимость и Расходы'!$I:$I,'БДР_Себестоимость и Расходы'!$D:$D,$A17,'БДР_Себестоимость и Расходы'!$C:$C,CH$3)-IF('Договоры ГПХ'!$C$12=$A17,'Договоры ГПХ'!BH$9+'Договоры ГПХ'!BH$10,0)</f>
        <v>0</v>
      </c>
      <c r="CI17" s="23">
        <f>-SUMIFS('БДР_Себестоимость и Расходы'!$I:$I,'БДР_Себестоимость и Расходы'!$D:$D,$A17,'БДР_Себестоимость и Расходы'!$C:$C,CI$3)-IF('Договоры ГПХ'!$C$12=$A17,'Договоры ГПХ'!BI$9+'Договоры ГПХ'!BI$10,0)</f>
        <v>0</v>
      </c>
      <c r="CJ17" s="41">
        <f t="shared" ref="CJ17:CJ18" si="104">CG17+CH17+CI17</f>
        <v>0</v>
      </c>
      <c r="CK17" s="41">
        <f t="shared" ref="CK17:CK18" si="105">CF17+CJ17</f>
        <v>0</v>
      </c>
      <c r="CM17" s="23">
        <f>-SUMIFS('БДР_Себестоимость и Расходы'!$I:$I,'БДР_Себестоимость и Расходы'!$D:$D,$A17,'БДР_Себестоимость и Расходы'!$C:$C,CM$3)-IF('Договоры ГПХ'!$C$12=$A17,'Договоры ГПХ'!BL$9+'Договоры ГПХ'!BL$10,0)</f>
        <v>0</v>
      </c>
      <c r="CN17" s="23">
        <f>-SUMIFS('БДР_Себестоимость и Расходы'!$I:$I,'БДР_Себестоимость и Расходы'!$D:$D,$A17,'БДР_Себестоимость и Расходы'!$C:$C,CN$3)-IF('Договоры ГПХ'!$C$12=$A17,'Договоры ГПХ'!BM$9+'Договоры ГПХ'!BM$10,0)</f>
        <v>0</v>
      </c>
      <c r="CO17" s="23">
        <f>-SUMIFS('БДР_Себестоимость и Расходы'!$I:$I,'БДР_Себестоимость и Расходы'!$D:$D,$A17,'БДР_Себестоимость и Расходы'!$C:$C,CO$3)-IF('Договоры ГПХ'!$C$12=$A17,'Договоры ГПХ'!BN$9+'Договоры ГПХ'!BN$10,0)</f>
        <v>0</v>
      </c>
      <c r="CP17" s="41">
        <f t="shared" ref="CP17:CP18" si="106">CM17+CN17+CO17</f>
        <v>0</v>
      </c>
      <c r="CQ17" s="23">
        <f>-SUMIFS('БДР_Себестоимость и Расходы'!$I:$I,'БДР_Себестоимость и Расходы'!$D:$D,$A17,'БДР_Себестоимость и Расходы'!$C:$C,CQ$3)-IF('Договоры ГПХ'!$C$12=$A17,'Договоры ГПХ'!BO$9+'Договоры ГПХ'!BO$10,0)</f>
        <v>0</v>
      </c>
      <c r="CR17" s="23">
        <f>-SUMIFS('БДР_Себестоимость и Расходы'!$I:$I,'БДР_Себестоимость и Расходы'!$D:$D,$A17,'БДР_Себестоимость и Расходы'!$C:$C,CR$3)-IF('Договоры ГПХ'!$C$12=$A17,'Договоры ГПХ'!BP$9+'Договоры ГПХ'!BP$10,0)</f>
        <v>0</v>
      </c>
      <c r="CS17" s="23">
        <f>-SUMIFS('БДР_Себестоимость и Расходы'!$I:$I,'БДР_Себестоимость и Расходы'!$D:$D,$A17,'БДР_Себестоимость и Расходы'!$C:$C,CS$3)-IF('Договоры ГПХ'!$C$12=$A17,'Договоры ГПХ'!BQ$9+'Договоры ГПХ'!BQ$10,0)</f>
        <v>0</v>
      </c>
      <c r="CT17" s="41">
        <f t="shared" ref="CT17:CT18" si="107">CQ17+CR17+CS17</f>
        <v>0</v>
      </c>
      <c r="CU17" s="41">
        <f t="shared" ref="CU17:CU18" si="108">CP17+CT17</f>
        <v>0</v>
      </c>
      <c r="CV17" s="23">
        <f>-SUMIFS('БДР_Себестоимость и Расходы'!$I:$I,'БДР_Себестоимость и Расходы'!$D:$D,$A17,'БДР_Себестоимость и Расходы'!$C:$C,CV$3)-IF('Договоры ГПХ'!$C$12=$A17,'Договоры ГПХ'!BR$9+'Договоры ГПХ'!BR$10,0)</f>
        <v>0</v>
      </c>
      <c r="CW17" s="23">
        <f>-SUMIFS('БДР_Себестоимость и Расходы'!$I:$I,'БДР_Себестоимость и Расходы'!$D:$D,$A17,'БДР_Себестоимость и Расходы'!$C:$C,CW$3)-IF('Договоры ГПХ'!$C$12=$A17,'Договоры ГПХ'!BS$9+'Договоры ГПХ'!BS$10,0)</f>
        <v>0</v>
      </c>
      <c r="CX17" s="23">
        <f>-SUMIFS('БДР_Себестоимость и Расходы'!$I:$I,'БДР_Себестоимость и Расходы'!$D:$D,$A17,'БДР_Себестоимость и Расходы'!$C:$C,CX$3)-IF('Договоры ГПХ'!$C$12=$A17,'Договоры ГПХ'!BT$9+'Договоры ГПХ'!BT$10,0)</f>
        <v>0</v>
      </c>
      <c r="CY17" s="41">
        <f t="shared" ref="CY17:CY18" si="109">CV17+CW17+CX17</f>
        <v>0</v>
      </c>
      <c r="CZ17" s="41">
        <f t="shared" ref="CZ17:CZ18" si="110">CU17+CY17</f>
        <v>0</v>
      </c>
      <c r="DA17" s="23">
        <f>-SUMIFS('БДР_Себестоимость и Расходы'!$I:$I,'БДР_Себестоимость и Расходы'!$D:$D,$A17,'БДР_Себестоимость и Расходы'!$C:$C,DA$3)-IF('Договоры ГПХ'!$C$12=$A17,'Договоры ГПХ'!BU$9+'Договоры ГПХ'!BU$10,0)</f>
        <v>0</v>
      </c>
      <c r="DB17" s="23">
        <f>-SUMIFS('БДР_Себестоимость и Расходы'!$I:$I,'БДР_Себестоимость и Расходы'!$D:$D,$A17,'БДР_Себестоимость и Расходы'!$C:$C,DB$3)-IF('Договоры ГПХ'!$C$12=$A17,'Договоры ГПХ'!BV$9+'Договоры ГПХ'!BV$10,0)</f>
        <v>0</v>
      </c>
      <c r="DC17" s="23">
        <f>-SUMIFS('БДР_Себестоимость и Расходы'!$I:$I,'БДР_Себестоимость и Расходы'!$D:$D,$A17,'БДР_Себестоимость и Расходы'!$C:$C,DC$3)-IF('Договоры ГПХ'!$C$12=$A17,'Договоры ГПХ'!BW$9+'Договоры ГПХ'!BW$10,0)</f>
        <v>0</v>
      </c>
      <c r="DD17" s="41">
        <f t="shared" ref="DD17:DD18" si="111">DA17+DB17+DC17</f>
        <v>0</v>
      </c>
      <c r="DE17" s="41">
        <f t="shared" ref="DE17:DE18" si="112">CZ17+DD17</f>
        <v>0</v>
      </c>
    </row>
    <row r="18" spans="1:109" s="12" customFormat="1" ht="10.199999999999999" x14ac:dyDescent="0.2">
      <c r="A18" s="11" t="s">
        <v>177</v>
      </c>
      <c r="B18" s="11" t="str">
        <f t="shared" si="40"/>
        <v>Облачное хранилище для строительной компании с функцией архивации 202056 Закупка ПО</v>
      </c>
      <c r="E18" s="20">
        <v>202056</v>
      </c>
      <c r="F18" s="21" t="str">
        <f>'Карточка проекта'!$B$1</f>
        <v xml:space="preserve">Облачное хранилище для строительной компании с функцией архивации </v>
      </c>
      <c r="G18" s="43" t="s">
        <v>209</v>
      </c>
      <c r="I18" s="41">
        <f t="shared" si="77"/>
        <v>-410000</v>
      </c>
      <c r="K18" s="23">
        <f>-SUMIFS('БДР_Себестоимость и Расходы'!$I:$I,'БДР_Себестоимость и Расходы'!$D:$D,$A18,'БДР_Себестоимость и Расходы'!$C:$C,K$3)-IF('Договоры ГПХ'!$C$12=$A18,'Договоры ГПХ'!H$9+'Договоры ГПХ'!H$10,0)</f>
        <v>0</v>
      </c>
      <c r="L18" s="23">
        <f>-SUMIFS('БДР_Себестоимость и Расходы'!$I:$I,'БДР_Себестоимость и Расходы'!$D:$D,$A18,'БДР_Себестоимость и Расходы'!$C:$C,L$3)-IF('Договоры ГПХ'!$C$12=$A18,'Договоры ГПХ'!I$9+'Договоры ГПХ'!I$10,0)</f>
        <v>0</v>
      </c>
      <c r="M18" s="23">
        <f>-SUMIFS('БДР_Себестоимость и Расходы'!$I:$I,'БДР_Себестоимость и Расходы'!$D:$D,$A18,'БДР_Себестоимость и Расходы'!$C:$C,M$3)-IF('Договоры ГПХ'!$C$12=$A18,'Договоры ГПХ'!J$9+'Договоры ГПХ'!J$10,0)</f>
        <v>0</v>
      </c>
      <c r="N18" s="41">
        <f t="shared" si="78"/>
        <v>0</v>
      </c>
      <c r="O18" s="23">
        <f>-SUMIFS('БДР_Себестоимость и Расходы'!$I:$I,'БДР_Себестоимость и Расходы'!$D:$D,$A18,'БДР_Себестоимость и Расходы'!$C:$C,O$3)-IF('Договоры ГПХ'!$C$12=$A18,'Договоры ГПХ'!K$9+'Договоры ГПХ'!K$10,0)</f>
        <v>0</v>
      </c>
      <c r="P18" s="23">
        <f>-SUMIFS('БДР_Себестоимость и Расходы'!$I:$I,'БДР_Себестоимость и Расходы'!$D:$D,$A18,'БДР_Себестоимость и Расходы'!$C:$C,P$3)-IF('Договоры ГПХ'!$C$12=$A18,'Договоры ГПХ'!L$9+'Договоры ГПХ'!L$10,0)</f>
        <v>0</v>
      </c>
      <c r="Q18" s="23">
        <f>-SUMIFS('БДР_Себестоимость и Расходы'!$I:$I,'БДР_Себестоимость и Расходы'!$D:$D,$A18,'БДР_Себестоимость и Расходы'!$C:$C,Q$3)-IF('Договоры ГПХ'!$C$12=$A18,'Договоры ГПХ'!M$9+'Договоры ГПХ'!M$10,0)</f>
        <v>0</v>
      </c>
      <c r="R18" s="22">
        <f t="shared" si="79"/>
        <v>0</v>
      </c>
      <c r="S18" s="41">
        <f t="shared" si="80"/>
        <v>0</v>
      </c>
      <c r="T18" s="23">
        <f>-SUMIFS('БДР_Себестоимость и Расходы'!$I:$I,'БДР_Себестоимость и Расходы'!$D:$D,$A18,'БДР_Себестоимость и Расходы'!$C:$C,T$3)-IF('Договоры ГПХ'!$C$12=$A18,'Договоры ГПХ'!N$9+'Договоры ГПХ'!N$10,0)</f>
        <v>0</v>
      </c>
      <c r="U18" s="23">
        <f>-SUMIFS('БДР_Себестоимость и Расходы'!$I:$I,'БДР_Себестоимость и Расходы'!$D:$D,$A18,'БДР_Себестоимость и Расходы'!$C:$C,U$3)-IF('Договоры ГПХ'!$C$12=$A18,'Договоры ГПХ'!O$9+'Договоры ГПХ'!O$10,0)</f>
        <v>0</v>
      </c>
      <c r="V18" s="23">
        <f>-SUMIFS('БДР_Себестоимость и Расходы'!$I:$I,'БДР_Себестоимость и Расходы'!$D:$D,$A18,'БДР_Себестоимость и Расходы'!$C:$C,V$3)-IF('Договоры ГПХ'!$C$12=$A18,'Договоры ГПХ'!P$9+'Договоры ГПХ'!P$10,0)</f>
        <v>-410000</v>
      </c>
      <c r="W18" s="41">
        <f t="shared" si="81"/>
        <v>-410000</v>
      </c>
      <c r="X18" s="41">
        <f t="shared" si="82"/>
        <v>-410000</v>
      </c>
      <c r="Y18" s="23">
        <f>-SUMIFS('БДР_Себестоимость и Расходы'!$I:$I,'БДР_Себестоимость и Расходы'!$D:$D,$A18,'БДР_Себестоимость и Расходы'!$C:$C,Y$3)-IF('Договоры ГПХ'!$C$12=$A18,'Договоры ГПХ'!Q$9+'Договоры ГПХ'!Q$10,0)</f>
        <v>0</v>
      </c>
      <c r="Z18" s="23">
        <f>-SUMIFS('БДР_Себестоимость и Расходы'!$I:$I,'БДР_Себестоимость и Расходы'!$D:$D,$A18,'БДР_Себестоимость и Расходы'!$C:$C,Z$3)-IF('Договоры ГПХ'!$C$12=$A18,'Договоры ГПХ'!R$9+'Договоры ГПХ'!R$10,0)</f>
        <v>0</v>
      </c>
      <c r="AA18" s="23">
        <f>-SUMIFS('БДР_Себестоимость и Расходы'!$I:$I,'БДР_Себестоимость и Расходы'!$D:$D,$A18,'БДР_Себестоимость и Расходы'!$C:$C,AA$3)-IF('Договоры ГПХ'!$C$12=$A18,'Договоры ГПХ'!S$9+'Договоры ГПХ'!S$10,0)</f>
        <v>0</v>
      </c>
      <c r="AB18" s="22">
        <f t="shared" si="83"/>
        <v>0</v>
      </c>
      <c r="AC18" s="41">
        <f t="shared" si="84"/>
        <v>-410000</v>
      </c>
      <c r="AE18" s="23">
        <f>-SUMIFS('БДР_Себестоимость и Расходы'!$I:$I,'БДР_Себестоимость и Расходы'!$D:$D,$A18,'БДР_Себестоимость и Расходы'!$C:$C,AE$3)-IF('Договоры ГПХ'!$C$12=$A18,'Договоры ГПХ'!V$9+'Договоры ГПХ'!V$10,0)</f>
        <v>0</v>
      </c>
      <c r="AF18" s="23">
        <f>-SUMIFS('БДР_Себестоимость и Расходы'!$I:$I,'БДР_Себестоимость и Расходы'!$D:$D,$A18,'БДР_Себестоимость и Расходы'!$C:$C,AF$3)-IF('Договоры ГПХ'!$C$12=$A18,'Договоры ГПХ'!W$9+'Договоры ГПХ'!W$10,0)</f>
        <v>0</v>
      </c>
      <c r="AG18" s="23">
        <f>-SUMIFS('БДР_Себестоимость и Расходы'!$I:$I,'БДР_Себестоимость и Расходы'!$D:$D,$A18,'БДР_Себестоимость и Расходы'!$C:$C,AG$3)-IF('Договоры ГПХ'!$C$12=$A18,'Договоры ГПХ'!X$9+'Договоры ГПХ'!X$10,0)</f>
        <v>0</v>
      </c>
      <c r="AH18" s="41">
        <f t="shared" si="85"/>
        <v>0</v>
      </c>
      <c r="AI18" s="23">
        <f>-SUMIFS('БДР_Себестоимость и Расходы'!$I:$I,'БДР_Себестоимость и Расходы'!$D:$D,$A18,'БДР_Себестоимость и Расходы'!$C:$C,AI$3)-IF('Договоры ГПХ'!$C$12=$A18,'Договоры ГПХ'!Y$9+'Договоры ГПХ'!Y$10,0)</f>
        <v>0</v>
      </c>
      <c r="AJ18" s="23">
        <f>-SUMIFS('БДР_Себестоимость и Расходы'!$I:$I,'БДР_Себестоимость и Расходы'!$D:$D,$A18,'БДР_Себестоимость и Расходы'!$C:$C,AJ$3)-IF('Договоры ГПХ'!$C$12=$A18,'Договоры ГПХ'!Z$9+'Договоры ГПХ'!Z$10,0)</f>
        <v>0</v>
      </c>
      <c r="AK18" s="23">
        <f>-SUMIFS('БДР_Себестоимость и Расходы'!$I:$I,'БДР_Себестоимость и Расходы'!$D:$D,$A18,'БДР_Себестоимость и Расходы'!$C:$C,AK$3)-IF('Договоры ГПХ'!$C$12=$A18,'Договоры ГПХ'!AA$9+'Договоры ГПХ'!AA$10,0)</f>
        <v>0</v>
      </c>
      <c r="AL18" s="41">
        <f t="shared" si="86"/>
        <v>0</v>
      </c>
      <c r="AM18" s="41">
        <f t="shared" si="87"/>
        <v>0</v>
      </c>
      <c r="AN18" s="23">
        <f>-SUMIFS('БДР_Себестоимость и Расходы'!$I:$I,'БДР_Себестоимость и Расходы'!$D:$D,$A18,'БДР_Себестоимость и Расходы'!$C:$C,AN$3)-IF('Договоры ГПХ'!$C$12=$A18,'Договоры ГПХ'!AB$9+'Договоры ГПХ'!AB$10,0)</f>
        <v>0</v>
      </c>
      <c r="AO18" s="23">
        <f>-SUMIFS('БДР_Себестоимость и Расходы'!$I:$I,'БДР_Себестоимость и Расходы'!$D:$D,$A18,'БДР_Себестоимость и Расходы'!$C:$C,AO$3)-IF('Договоры ГПХ'!$C$12=$A18,'Договоры ГПХ'!AC$9+'Договоры ГПХ'!AC$10,0)</f>
        <v>0</v>
      </c>
      <c r="AP18" s="23">
        <f>-SUMIFS('БДР_Себестоимость и Расходы'!$I:$I,'БДР_Себестоимость и Расходы'!$D:$D,$A18,'БДР_Себестоимость и Расходы'!$C:$C,AP$3)-IF('Договоры ГПХ'!$C$12=$A18,'Договоры ГПХ'!AD$9+'Договоры ГПХ'!AD$10,0)</f>
        <v>0</v>
      </c>
      <c r="AQ18" s="41">
        <f t="shared" si="88"/>
        <v>0</v>
      </c>
      <c r="AR18" s="41">
        <f t="shared" si="89"/>
        <v>0</v>
      </c>
      <c r="AS18" s="23">
        <f>-SUMIFS('БДР_Себестоимость и Расходы'!$I:$I,'БДР_Себестоимость и Расходы'!$D:$D,$A18,'БДР_Себестоимость и Расходы'!$C:$C,AS$3)-IF('Договоры ГПХ'!$C$12=$A18,'Договоры ГПХ'!AE$9+'Договоры ГПХ'!AE$10,0)</f>
        <v>0</v>
      </c>
      <c r="AT18" s="23">
        <f>-SUMIFS('БДР_Себестоимость и Расходы'!$I:$I,'БДР_Себестоимость и Расходы'!$D:$D,$A18,'БДР_Себестоимость и Расходы'!$C:$C,AT$3)-IF('Договоры ГПХ'!$C$12=$A18,'Договоры ГПХ'!AF$9+'Договоры ГПХ'!AF$10,0)</f>
        <v>0</v>
      </c>
      <c r="AU18" s="23">
        <f>-SUMIFS('БДР_Себестоимость и Расходы'!$I:$I,'БДР_Себестоимость и Расходы'!$D:$D,$A18,'БДР_Себестоимость и Расходы'!$C:$C,AU$3)-IF('Договоры ГПХ'!$C$12=$A18,'Договоры ГПХ'!AG$9+'Договоры ГПХ'!AG$10,0)</f>
        <v>0</v>
      </c>
      <c r="AV18" s="41">
        <f t="shared" si="90"/>
        <v>0</v>
      </c>
      <c r="AW18" s="41">
        <f t="shared" si="91"/>
        <v>0</v>
      </c>
      <c r="AY18" s="23">
        <f>-SUMIFS('БДР_Себестоимость и Расходы'!$I:$I,'БДР_Себестоимость и Расходы'!$D:$D,$A18,'БДР_Себестоимость и Расходы'!$C:$C,AY$3)-IF('Договоры ГПХ'!$C$12=$A18,'Договоры ГПХ'!AJ$9+'Договоры ГПХ'!AJ$10,0)</f>
        <v>0</v>
      </c>
      <c r="AZ18" s="23">
        <f>-SUMIFS('БДР_Себестоимость и Расходы'!$I:$I,'БДР_Себестоимость и Расходы'!$D:$D,$A18,'БДР_Себестоимость и Расходы'!$C:$C,AZ$3)-IF('Договоры ГПХ'!$C$12=$A18,'Договоры ГПХ'!AK$9+'Договоры ГПХ'!AK$10,0)</f>
        <v>0</v>
      </c>
      <c r="BA18" s="23">
        <f>-SUMIFS('БДР_Себестоимость и Расходы'!$I:$I,'БДР_Себестоимость и Расходы'!$D:$D,$A18,'БДР_Себестоимость и Расходы'!$C:$C,BA$3)-IF('Договоры ГПХ'!$C$12=$A18,'Договоры ГПХ'!AL$9+'Договоры ГПХ'!AL$10,0)</f>
        <v>0</v>
      </c>
      <c r="BB18" s="41">
        <f t="shared" si="92"/>
        <v>0</v>
      </c>
      <c r="BC18" s="23">
        <f>-SUMIFS('БДР_Себестоимость и Расходы'!$I:$I,'БДР_Себестоимость и Расходы'!$D:$D,$A18,'БДР_Себестоимость и Расходы'!$C:$C,BC$3)-IF('Договоры ГПХ'!$C$12=$A18,'Договоры ГПХ'!AM$9+'Договоры ГПХ'!AM$10,0)</f>
        <v>0</v>
      </c>
      <c r="BD18" s="23">
        <f>-SUMIFS('БДР_Себестоимость и Расходы'!$I:$I,'БДР_Себестоимость и Расходы'!$D:$D,$A18,'БДР_Себестоимость и Расходы'!$C:$C,BD$3)-IF('Договоры ГПХ'!$C$12=$A18,'Договоры ГПХ'!AN$9+'Договоры ГПХ'!AN$10,0)</f>
        <v>0</v>
      </c>
      <c r="BE18" s="23">
        <f>-SUMIFS('БДР_Себестоимость и Расходы'!$I:$I,'БДР_Себестоимость и Расходы'!$D:$D,$A18,'БДР_Себестоимость и Расходы'!$C:$C,BE$3)-IF('Договоры ГПХ'!$C$12=$A18,'Договоры ГПХ'!AO$9+'Договоры ГПХ'!AO$10,0)</f>
        <v>0</v>
      </c>
      <c r="BF18" s="41">
        <f t="shared" si="93"/>
        <v>0</v>
      </c>
      <c r="BG18" s="41">
        <f t="shared" si="94"/>
        <v>0</v>
      </c>
      <c r="BH18" s="23">
        <f>-SUMIFS('БДР_Себестоимость и Расходы'!$I:$I,'БДР_Себестоимость и Расходы'!$D:$D,$A18,'БДР_Себестоимость и Расходы'!$C:$C,BH$3)-IF('Договоры ГПХ'!$C$12=$A18,'Договоры ГПХ'!AP$9+'Договоры ГПХ'!AP$10,0)</f>
        <v>0</v>
      </c>
      <c r="BI18" s="23">
        <f>-SUMIFS('БДР_Себестоимость и Расходы'!$I:$I,'БДР_Себестоимость и Расходы'!$D:$D,$A18,'БДР_Себестоимость и Расходы'!$C:$C,BI$3)-IF('Договоры ГПХ'!$C$12=$A18,'Договоры ГПХ'!AQ$9+'Договоры ГПХ'!AQ$10,0)</f>
        <v>0</v>
      </c>
      <c r="BJ18" s="23">
        <f>-SUMIFS('БДР_Себестоимость и Расходы'!$I:$I,'БДР_Себестоимость и Расходы'!$D:$D,$A18,'БДР_Себестоимость и Расходы'!$C:$C,BJ$3)-IF('Договоры ГПХ'!$C$12=$A18,'Договоры ГПХ'!AR$9+'Договоры ГПХ'!AR$10,0)</f>
        <v>0</v>
      </c>
      <c r="BK18" s="41">
        <f t="shared" si="95"/>
        <v>0</v>
      </c>
      <c r="BL18" s="41">
        <f t="shared" si="96"/>
        <v>0</v>
      </c>
      <c r="BM18" s="23">
        <f>-SUMIFS('БДР_Себестоимость и Расходы'!$I:$I,'БДР_Себестоимость и Расходы'!$D:$D,$A18,'БДР_Себестоимость и Расходы'!$C:$C,BM$3)-IF('Договоры ГПХ'!$C$12=$A18,'Договоры ГПХ'!AS$9+'Договоры ГПХ'!AS$10,0)</f>
        <v>0</v>
      </c>
      <c r="BN18" s="23">
        <f>-SUMIFS('БДР_Себестоимость и Расходы'!$I:$I,'БДР_Себестоимость и Расходы'!$D:$D,$A18,'БДР_Себестоимость и Расходы'!$C:$C,BN$3)-IF('Договоры ГПХ'!$C$12=$A18,'Договоры ГПХ'!AT$9+'Договоры ГПХ'!AT$10,0)</f>
        <v>0</v>
      </c>
      <c r="BO18" s="23">
        <f>-SUMIFS('БДР_Себестоимость и Расходы'!$I:$I,'БДР_Себестоимость и Расходы'!$D:$D,$A18,'БДР_Себестоимость и Расходы'!$C:$C,BO$3)-IF('Договоры ГПХ'!$C$12=$A18,'Договоры ГПХ'!AU$9+'Договоры ГПХ'!AU$10,0)</f>
        <v>0</v>
      </c>
      <c r="BP18" s="41">
        <f t="shared" si="97"/>
        <v>0</v>
      </c>
      <c r="BQ18" s="41">
        <f t="shared" si="98"/>
        <v>0</v>
      </c>
      <c r="BS18" s="23">
        <f>-SUMIFS('БДР_Себестоимость и Расходы'!$I:$I,'БДР_Себестоимость и Расходы'!$D:$D,$A18,'БДР_Себестоимость и Расходы'!$C:$C,BS$3)-IF('Договоры ГПХ'!$C$12=$A18,'Договоры ГПХ'!AX$9+'Договоры ГПХ'!AX$10,0)</f>
        <v>0</v>
      </c>
      <c r="BT18" s="23">
        <f>-SUMIFS('БДР_Себестоимость и Расходы'!$I:$I,'БДР_Себестоимость и Расходы'!$D:$D,$A18,'БДР_Себестоимость и Расходы'!$C:$C,BT$3)-IF('Договоры ГПХ'!$C$12=$A18,'Договоры ГПХ'!AY$9+'Договоры ГПХ'!AY$10,0)</f>
        <v>0</v>
      </c>
      <c r="BU18" s="23">
        <f>-SUMIFS('БДР_Себестоимость и Расходы'!$I:$I,'БДР_Себестоимость и Расходы'!$D:$D,$A18,'БДР_Себестоимость и Расходы'!$C:$C,BU$3)-IF('Договоры ГПХ'!$C$12=$A18,'Договоры ГПХ'!AZ$9+'Договоры ГПХ'!AZ$10,0)</f>
        <v>0</v>
      </c>
      <c r="BV18" s="41">
        <f t="shared" si="99"/>
        <v>0</v>
      </c>
      <c r="BW18" s="23">
        <f>-SUMIFS('БДР_Себестоимость и Расходы'!$I:$I,'БДР_Себестоимость и Расходы'!$D:$D,$A18,'БДР_Себестоимость и Расходы'!$C:$C,BW$3)-IF('Договоры ГПХ'!$C$12=$A18,'Договоры ГПХ'!BA$9+'Договоры ГПХ'!BA$10,0)</f>
        <v>0</v>
      </c>
      <c r="BX18" s="23">
        <f>-SUMIFS('БДР_Себестоимость и Расходы'!$I:$I,'БДР_Себестоимость и Расходы'!$D:$D,$A18,'БДР_Себестоимость и Расходы'!$C:$C,BX$3)-IF('Договоры ГПХ'!$C$12=$A18,'Договоры ГПХ'!BB$9+'Договоры ГПХ'!BB$10,0)</f>
        <v>0</v>
      </c>
      <c r="BY18" s="23">
        <f>-SUMIFS('БДР_Себестоимость и Расходы'!$I:$I,'БДР_Себестоимость и Расходы'!$D:$D,$A18,'БДР_Себестоимость и Расходы'!$C:$C,BY$3)-IF('Договоры ГПХ'!$C$12=$A18,'Договоры ГПХ'!BC$9+'Договоры ГПХ'!BC$10,0)</f>
        <v>0</v>
      </c>
      <c r="BZ18" s="41">
        <f t="shared" si="100"/>
        <v>0</v>
      </c>
      <c r="CA18" s="41">
        <f t="shared" si="101"/>
        <v>0</v>
      </c>
      <c r="CB18" s="23">
        <f>-SUMIFS('БДР_Себестоимость и Расходы'!$I:$I,'БДР_Себестоимость и Расходы'!$D:$D,$A18,'БДР_Себестоимость и Расходы'!$C:$C,CB$3)-IF('Договоры ГПХ'!$C$12=$A18,'Договоры ГПХ'!BD$9+'Договоры ГПХ'!BD$10,0)</f>
        <v>0</v>
      </c>
      <c r="CC18" s="23">
        <f>-SUMIFS('БДР_Себестоимость и Расходы'!$I:$I,'БДР_Себестоимость и Расходы'!$D:$D,$A18,'БДР_Себестоимость и Расходы'!$C:$C,CC$3)-IF('Договоры ГПХ'!$C$12=$A18,'Договоры ГПХ'!BE$9+'Договоры ГПХ'!BE$10,0)</f>
        <v>0</v>
      </c>
      <c r="CD18" s="23">
        <f>-SUMIFS('БДР_Себестоимость и Расходы'!$I:$I,'БДР_Себестоимость и Расходы'!$D:$D,$A18,'БДР_Себестоимость и Расходы'!$C:$C,CD$3)-IF('Договоры ГПХ'!$C$12=$A18,'Договоры ГПХ'!BF$9+'Договоры ГПХ'!BF$10,0)</f>
        <v>0</v>
      </c>
      <c r="CE18" s="41">
        <f t="shared" si="102"/>
        <v>0</v>
      </c>
      <c r="CF18" s="41">
        <f t="shared" si="103"/>
        <v>0</v>
      </c>
      <c r="CG18" s="23">
        <f>-SUMIFS('БДР_Себестоимость и Расходы'!$I:$I,'БДР_Себестоимость и Расходы'!$D:$D,$A18,'БДР_Себестоимость и Расходы'!$C:$C,CG$3)-IF('Договоры ГПХ'!$C$12=$A18,'Договоры ГПХ'!BG$9+'Договоры ГПХ'!BG$10,0)</f>
        <v>0</v>
      </c>
      <c r="CH18" s="23">
        <f>-SUMIFS('БДР_Себестоимость и Расходы'!$I:$I,'БДР_Себестоимость и Расходы'!$D:$D,$A18,'БДР_Себестоимость и Расходы'!$C:$C,CH$3)-IF('Договоры ГПХ'!$C$12=$A18,'Договоры ГПХ'!BH$9+'Договоры ГПХ'!BH$10,0)</f>
        <v>0</v>
      </c>
      <c r="CI18" s="23">
        <f>-SUMIFS('БДР_Себестоимость и Расходы'!$I:$I,'БДР_Себестоимость и Расходы'!$D:$D,$A18,'БДР_Себестоимость и Расходы'!$C:$C,CI$3)-IF('Договоры ГПХ'!$C$12=$A18,'Договоры ГПХ'!BI$9+'Договоры ГПХ'!BI$10,0)</f>
        <v>0</v>
      </c>
      <c r="CJ18" s="41">
        <f t="shared" si="104"/>
        <v>0</v>
      </c>
      <c r="CK18" s="41">
        <f t="shared" si="105"/>
        <v>0</v>
      </c>
      <c r="CM18" s="23">
        <f>-SUMIFS('БДР_Себестоимость и Расходы'!$I:$I,'БДР_Себестоимость и Расходы'!$D:$D,$A18,'БДР_Себестоимость и Расходы'!$C:$C,CM$3)-IF('Договоры ГПХ'!$C$12=$A18,'Договоры ГПХ'!BL$9+'Договоры ГПХ'!BL$10,0)</f>
        <v>0</v>
      </c>
      <c r="CN18" s="23">
        <f>-SUMIFS('БДР_Себестоимость и Расходы'!$I:$I,'БДР_Себестоимость и Расходы'!$D:$D,$A18,'БДР_Себестоимость и Расходы'!$C:$C,CN$3)-IF('Договоры ГПХ'!$C$12=$A18,'Договоры ГПХ'!BM$9+'Договоры ГПХ'!BM$10,0)</f>
        <v>0</v>
      </c>
      <c r="CO18" s="23">
        <f>-SUMIFS('БДР_Себестоимость и Расходы'!$I:$I,'БДР_Себестоимость и Расходы'!$D:$D,$A18,'БДР_Себестоимость и Расходы'!$C:$C,CO$3)-IF('Договоры ГПХ'!$C$12=$A18,'Договоры ГПХ'!BN$9+'Договоры ГПХ'!BN$10,0)</f>
        <v>0</v>
      </c>
      <c r="CP18" s="41">
        <f t="shared" si="106"/>
        <v>0</v>
      </c>
      <c r="CQ18" s="23">
        <f>-SUMIFS('БДР_Себестоимость и Расходы'!$I:$I,'БДР_Себестоимость и Расходы'!$D:$D,$A18,'БДР_Себестоимость и Расходы'!$C:$C,CQ$3)-IF('Договоры ГПХ'!$C$12=$A18,'Договоры ГПХ'!BO$9+'Договоры ГПХ'!BO$10,0)</f>
        <v>0</v>
      </c>
      <c r="CR18" s="23">
        <f>-SUMIFS('БДР_Себестоимость и Расходы'!$I:$I,'БДР_Себестоимость и Расходы'!$D:$D,$A18,'БДР_Себестоимость и Расходы'!$C:$C,CR$3)-IF('Договоры ГПХ'!$C$12=$A18,'Договоры ГПХ'!BP$9+'Договоры ГПХ'!BP$10,0)</f>
        <v>0</v>
      </c>
      <c r="CS18" s="23">
        <f>-SUMIFS('БДР_Себестоимость и Расходы'!$I:$I,'БДР_Себестоимость и Расходы'!$D:$D,$A18,'БДР_Себестоимость и Расходы'!$C:$C,CS$3)-IF('Договоры ГПХ'!$C$12=$A18,'Договоры ГПХ'!BQ$9+'Договоры ГПХ'!BQ$10,0)</f>
        <v>0</v>
      </c>
      <c r="CT18" s="41">
        <f t="shared" si="107"/>
        <v>0</v>
      </c>
      <c r="CU18" s="41">
        <f t="shared" si="108"/>
        <v>0</v>
      </c>
      <c r="CV18" s="23">
        <f>-SUMIFS('БДР_Себестоимость и Расходы'!$I:$I,'БДР_Себестоимость и Расходы'!$D:$D,$A18,'БДР_Себестоимость и Расходы'!$C:$C,CV$3)-IF('Договоры ГПХ'!$C$12=$A18,'Договоры ГПХ'!BR$9+'Договоры ГПХ'!BR$10,0)</f>
        <v>0</v>
      </c>
      <c r="CW18" s="23">
        <f>-SUMIFS('БДР_Себестоимость и Расходы'!$I:$I,'БДР_Себестоимость и Расходы'!$D:$D,$A18,'БДР_Себестоимость и Расходы'!$C:$C,CW$3)-IF('Договоры ГПХ'!$C$12=$A18,'Договоры ГПХ'!BS$9+'Договоры ГПХ'!BS$10,0)</f>
        <v>0</v>
      </c>
      <c r="CX18" s="23">
        <f>-SUMIFS('БДР_Себестоимость и Расходы'!$I:$I,'БДР_Себестоимость и Расходы'!$D:$D,$A18,'БДР_Себестоимость и Расходы'!$C:$C,CX$3)-IF('Договоры ГПХ'!$C$12=$A18,'Договоры ГПХ'!BT$9+'Договоры ГПХ'!BT$10,0)</f>
        <v>0</v>
      </c>
      <c r="CY18" s="41">
        <f t="shared" si="109"/>
        <v>0</v>
      </c>
      <c r="CZ18" s="41">
        <f t="shared" si="110"/>
        <v>0</v>
      </c>
      <c r="DA18" s="23">
        <f>-SUMIFS('БДР_Себестоимость и Расходы'!$I:$I,'БДР_Себестоимость и Расходы'!$D:$D,$A18,'БДР_Себестоимость и Расходы'!$C:$C,DA$3)-IF('Договоры ГПХ'!$C$12=$A18,'Договоры ГПХ'!BU$9+'Договоры ГПХ'!BU$10,0)</f>
        <v>0</v>
      </c>
      <c r="DB18" s="23">
        <f>-SUMIFS('БДР_Себестоимость и Расходы'!$I:$I,'БДР_Себестоимость и Расходы'!$D:$D,$A18,'БДР_Себестоимость и Расходы'!$C:$C,DB$3)-IF('Договоры ГПХ'!$C$12=$A18,'Договоры ГПХ'!BV$9+'Договоры ГПХ'!BV$10,0)</f>
        <v>0</v>
      </c>
      <c r="DC18" s="23">
        <f>-SUMIFS('БДР_Себестоимость и Расходы'!$I:$I,'БДР_Себестоимость и Расходы'!$D:$D,$A18,'БДР_Себестоимость и Расходы'!$C:$C,DC$3)-IF('Договоры ГПХ'!$C$12=$A18,'Договоры ГПХ'!BW$9+'Договоры ГПХ'!BW$10,0)</f>
        <v>0</v>
      </c>
      <c r="DD18" s="41">
        <f t="shared" si="111"/>
        <v>0</v>
      </c>
      <c r="DE18" s="41">
        <f t="shared" si="112"/>
        <v>0</v>
      </c>
    </row>
    <row r="19" spans="1:109" s="12" customFormat="1" ht="10.199999999999999" x14ac:dyDescent="0.2">
      <c r="A19" s="11" t="s">
        <v>210</v>
      </c>
      <c r="B19" s="11" t="str">
        <f t="shared" si="40"/>
        <v>Облачное хранилище для строительной компании с функцией архивации 203181 20 ФОТ - Оплата труда - Окладная часть</v>
      </c>
      <c r="E19" s="20">
        <v>203181</v>
      </c>
      <c r="F19" s="21" t="str">
        <f>'Карточка проекта'!$B$1</f>
        <v xml:space="preserve">Облачное хранилище для строительной компании с функцией архивации </v>
      </c>
      <c r="G19" s="43" t="s">
        <v>211</v>
      </c>
      <c r="I19" s="41">
        <f t="shared" si="41"/>
        <v>-2147465.4236091906</v>
      </c>
      <c r="K19" s="23">
        <f>-'Оценка трудоемкости'!CC9-'Оценка трудоемкости'!CC10</f>
        <v>0</v>
      </c>
      <c r="L19" s="23">
        <f>-'Оценка трудоемкости'!CD9-'Оценка трудоемкости'!CD10</f>
        <v>0</v>
      </c>
      <c r="M19" s="23">
        <f>-'Оценка трудоемкости'!CE9-'Оценка трудоемкости'!CE10</f>
        <v>0</v>
      </c>
      <c r="N19" s="41">
        <f t="shared" si="42"/>
        <v>0</v>
      </c>
      <c r="O19" s="23">
        <f>-'Оценка трудоемкости'!CF9-'Оценка трудоемкости'!CF10</f>
        <v>0</v>
      </c>
      <c r="P19" s="23">
        <f>-'Оценка трудоемкости'!CG9-'Оценка трудоемкости'!CG10</f>
        <v>0</v>
      </c>
      <c r="Q19" s="23">
        <f>-'Оценка трудоемкости'!CH9-'Оценка трудоемкости'!CH10</f>
        <v>0</v>
      </c>
      <c r="R19" s="22">
        <f t="shared" si="43"/>
        <v>0</v>
      </c>
      <c r="S19" s="41">
        <f t="shared" si="44"/>
        <v>0</v>
      </c>
      <c r="T19" s="23">
        <f>-'Оценка трудоемкости'!CI9-'Оценка трудоемкости'!CI10</f>
        <v>0</v>
      </c>
      <c r="U19" s="23">
        <f>-'Оценка трудоемкости'!CJ9-'Оценка трудоемкости'!CJ10</f>
        <v>0</v>
      </c>
      <c r="V19" s="23">
        <f>-'Оценка трудоемкости'!CK9-'Оценка трудоемкости'!CK10</f>
        <v>-576619.58628699998</v>
      </c>
      <c r="W19" s="41">
        <f t="shared" si="45"/>
        <v>-576619.58628699998</v>
      </c>
      <c r="X19" s="41">
        <f t="shared" si="46"/>
        <v>-576619.58628699998</v>
      </c>
      <c r="Y19" s="23">
        <f>-'Оценка трудоемкости'!CL9-'Оценка трудоемкости'!CL10</f>
        <v>-576619.58628699998</v>
      </c>
      <c r="Z19" s="23">
        <f>-'Оценка трудоемкости'!CM9-'Оценка трудоемкости'!CM10</f>
        <v>-482169.74271390476</v>
      </c>
      <c r="AA19" s="23">
        <f>-'Оценка трудоемкости'!CN9-'Оценка трудоемкости'!CN10</f>
        <v>-512056.50832128571</v>
      </c>
      <c r="AB19" s="22">
        <f t="shared" si="47"/>
        <v>-1570845.8373221904</v>
      </c>
      <c r="AC19" s="41">
        <f t="shared" si="48"/>
        <v>-2147465.4236091906</v>
      </c>
      <c r="AE19" s="23">
        <f>-'Оценка трудоемкости'!CQ9-'Оценка трудоемкости'!CQ10</f>
        <v>0</v>
      </c>
      <c r="AF19" s="23">
        <f>-'Оценка трудоемкости'!CR9-'Оценка трудоемкости'!CR10</f>
        <v>0</v>
      </c>
      <c r="AG19" s="23">
        <f>-'Оценка трудоемкости'!CS9-'Оценка трудоемкости'!CS10</f>
        <v>0</v>
      </c>
      <c r="AH19" s="41">
        <f t="shared" si="49"/>
        <v>0</v>
      </c>
      <c r="AI19" s="23">
        <f>-'Оценка трудоемкости'!CT9-'Оценка трудоемкости'!CT10</f>
        <v>0</v>
      </c>
      <c r="AJ19" s="23">
        <f>-'Оценка трудоемкости'!CU9-'Оценка трудоемкости'!CU10</f>
        <v>0</v>
      </c>
      <c r="AK19" s="23">
        <f>-'Оценка трудоемкости'!CV9-'Оценка трудоемкости'!CV10</f>
        <v>0</v>
      </c>
      <c r="AL19" s="41">
        <f t="shared" si="50"/>
        <v>0</v>
      </c>
      <c r="AM19" s="41">
        <f t="shared" si="51"/>
        <v>0</v>
      </c>
      <c r="AN19" s="23">
        <f>-'Оценка трудоемкости'!CW9-'Оценка трудоемкости'!CW10</f>
        <v>0</v>
      </c>
      <c r="AO19" s="23">
        <f>-'Оценка трудоемкости'!CX9-'Оценка трудоемкости'!CX10</f>
        <v>0</v>
      </c>
      <c r="AP19" s="23">
        <f>-'Оценка трудоемкости'!CY9-'Оценка трудоемкости'!CY10</f>
        <v>0</v>
      </c>
      <c r="AQ19" s="41">
        <f t="shared" si="52"/>
        <v>0</v>
      </c>
      <c r="AR19" s="41">
        <f t="shared" si="53"/>
        <v>0</v>
      </c>
      <c r="AS19" s="23">
        <f>-'Оценка трудоемкости'!CZ9-'Оценка трудоемкости'!CZ10</f>
        <v>0</v>
      </c>
      <c r="AT19" s="23">
        <f>-'Оценка трудоемкости'!DA9-'Оценка трудоемкости'!DA10</f>
        <v>0</v>
      </c>
      <c r="AU19" s="23">
        <f>-'Оценка трудоемкости'!DB9-'Оценка трудоемкости'!DB10</f>
        <v>0</v>
      </c>
      <c r="AV19" s="41">
        <f t="shared" si="54"/>
        <v>0</v>
      </c>
      <c r="AW19" s="41">
        <f t="shared" si="55"/>
        <v>0</v>
      </c>
      <c r="AY19" s="23">
        <f>-'Оценка трудоемкости'!DE9-'Оценка трудоемкости'!DE10</f>
        <v>0</v>
      </c>
      <c r="AZ19" s="23">
        <f>-'Оценка трудоемкости'!DF9-'Оценка трудоемкости'!DF10</f>
        <v>0</v>
      </c>
      <c r="BA19" s="23">
        <f>-'Оценка трудоемкости'!DG9-'Оценка трудоемкости'!DG10</f>
        <v>0</v>
      </c>
      <c r="BB19" s="41">
        <f t="shared" si="56"/>
        <v>0</v>
      </c>
      <c r="BC19" s="23">
        <f>-'Оценка трудоемкости'!DH9-'Оценка трудоемкости'!DH10</f>
        <v>0</v>
      </c>
      <c r="BD19" s="23">
        <f>-'Оценка трудоемкости'!DI9-'Оценка трудоемкости'!DI10</f>
        <v>0</v>
      </c>
      <c r="BE19" s="23">
        <f>-'Оценка трудоемкости'!DJ9-'Оценка трудоемкости'!DJ10</f>
        <v>0</v>
      </c>
      <c r="BF19" s="41">
        <f t="shared" si="57"/>
        <v>0</v>
      </c>
      <c r="BG19" s="41">
        <f t="shared" si="58"/>
        <v>0</v>
      </c>
      <c r="BH19" s="23">
        <f>-'Оценка трудоемкости'!DK9-'Оценка трудоемкости'!DK10</f>
        <v>0</v>
      </c>
      <c r="BI19" s="23">
        <f>-'Оценка трудоемкости'!DL9-'Оценка трудоемкости'!DL10</f>
        <v>0</v>
      </c>
      <c r="BJ19" s="23">
        <f>-'Оценка трудоемкости'!DM9-'Оценка трудоемкости'!DM10</f>
        <v>0</v>
      </c>
      <c r="BK19" s="41">
        <f t="shared" si="59"/>
        <v>0</v>
      </c>
      <c r="BL19" s="41">
        <f t="shared" si="60"/>
        <v>0</v>
      </c>
      <c r="BM19" s="23">
        <f>-'Оценка трудоемкости'!DN9-'Оценка трудоемкости'!DN10</f>
        <v>0</v>
      </c>
      <c r="BN19" s="23">
        <f>-'Оценка трудоемкости'!DO9-'Оценка трудоемкости'!DO10</f>
        <v>0</v>
      </c>
      <c r="BO19" s="23">
        <f>-'Оценка трудоемкости'!DP9-'Оценка трудоемкости'!DP10</f>
        <v>0</v>
      </c>
      <c r="BP19" s="41">
        <f t="shared" si="61"/>
        <v>0</v>
      </c>
      <c r="BQ19" s="41">
        <f t="shared" si="62"/>
        <v>0</v>
      </c>
      <c r="BS19" s="23">
        <f>-'Оценка трудоемкости'!DS9-'Оценка трудоемкости'!DS10</f>
        <v>0</v>
      </c>
      <c r="BT19" s="23">
        <f>-'Оценка трудоемкости'!DT9-'Оценка трудоемкости'!DT10</f>
        <v>0</v>
      </c>
      <c r="BU19" s="23">
        <f>-'Оценка трудоемкости'!DU9-'Оценка трудоемкости'!DU10</f>
        <v>0</v>
      </c>
      <c r="BV19" s="41">
        <f t="shared" si="63"/>
        <v>0</v>
      </c>
      <c r="BW19" s="23">
        <f>-'Оценка трудоемкости'!DV9-'Оценка трудоемкости'!DV10</f>
        <v>0</v>
      </c>
      <c r="BX19" s="23">
        <f>-'Оценка трудоемкости'!DW9-'Оценка трудоемкости'!DW10</f>
        <v>0</v>
      </c>
      <c r="BY19" s="23">
        <f>-'Оценка трудоемкости'!DX9-'Оценка трудоемкости'!DX10</f>
        <v>0</v>
      </c>
      <c r="BZ19" s="41">
        <f t="shared" si="64"/>
        <v>0</v>
      </c>
      <c r="CA19" s="41">
        <f t="shared" si="65"/>
        <v>0</v>
      </c>
      <c r="CB19" s="23">
        <f>-'Оценка трудоемкости'!DY9-'Оценка трудоемкости'!DY10</f>
        <v>0</v>
      </c>
      <c r="CC19" s="23">
        <f>-'Оценка трудоемкости'!DZ9-'Оценка трудоемкости'!DZ10</f>
        <v>0</v>
      </c>
      <c r="CD19" s="23">
        <f>-'Оценка трудоемкости'!EA9-'Оценка трудоемкости'!EA10</f>
        <v>0</v>
      </c>
      <c r="CE19" s="41">
        <f t="shared" si="66"/>
        <v>0</v>
      </c>
      <c r="CF19" s="41">
        <f t="shared" si="67"/>
        <v>0</v>
      </c>
      <c r="CG19" s="23">
        <f>-'Оценка трудоемкости'!EB9-'Оценка трудоемкости'!EB10</f>
        <v>0</v>
      </c>
      <c r="CH19" s="23">
        <f>-'Оценка трудоемкости'!EC9-'Оценка трудоемкости'!EC10</f>
        <v>0</v>
      </c>
      <c r="CI19" s="23">
        <f>-'Оценка трудоемкости'!ED9-'Оценка трудоемкости'!ED10</f>
        <v>0</v>
      </c>
      <c r="CJ19" s="41">
        <f t="shared" si="68"/>
        <v>0</v>
      </c>
      <c r="CK19" s="41">
        <f t="shared" si="69"/>
        <v>0</v>
      </c>
      <c r="CM19" s="23">
        <f>-'Оценка трудоемкости'!EG9-'Оценка трудоемкости'!EG10</f>
        <v>0</v>
      </c>
      <c r="CN19" s="23">
        <f>-'Оценка трудоемкости'!EH9-'Оценка трудоемкости'!EH10</f>
        <v>0</v>
      </c>
      <c r="CO19" s="23">
        <f>-'Оценка трудоемкости'!EI9-'Оценка трудоемкости'!EI10</f>
        <v>0</v>
      </c>
      <c r="CP19" s="41">
        <f t="shared" si="70"/>
        <v>0</v>
      </c>
      <c r="CQ19" s="23">
        <f>-'Оценка трудоемкости'!EJ9-'Оценка трудоемкости'!EJ10</f>
        <v>0</v>
      </c>
      <c r="CR19" s="23">
        <f>-'Оценка трудоемкости'!EK9-'Оценка трудоемкости'!EK10</f>
        <v>0</v>
      </c>
      <c r="CS19" s="23">
        <f>-'Оценка трудоемкости'!EL9-'Оценка трудоемкости'!EL10</f>
        <v>0</v>
      </c>
      <c r="CT19" s="41">
        <f t="shared" si="71"/>
        <v>0</v>
      </c>
      <c r="CU19" s="41">
        <f t="shared" si="72"/>
        <v>0</v>
      </c>
      <c r="CV19" s="23">
        <f>-'Оценка трудоемкости'!EM9-'Оценка трудоемкости'!EM10</f>
        <v>0</v>
      </c>
      <c r="CW19" s="23">
        <f>-'Оценка трудоемкости'!EN9-'Оценка трудоемкости'!EN10</f>
        <v>0</v>
      </c>
      <c r="CX19" s="23">
        <f>-'Оценка трудоемкости'!EO9-'Оценка трудоемкости'!EO10</f>
        <v>0</v>
      </c>
      <c r="CY19" s="41">
        <f t="shared" si="73"/>
        <v>0</v>
      </c>
      <c r="CZ19" s="41">
        <f t="shared" si="74"/>
        <v>0</v>
      </c>
      <c r="DA19" s="23">
        <f>-'Оценка трудоемкости'!EP9-'Оценка трудоемкости'!EP10</f>
        <v>0</v>
      </c>
      <c r="DB19" s="23">
        <f>-'Оценка трудоемкости'!EQ9-'Оценка трудоемкости'!EQ10</f>
        <v>0</v>
      </c>
      <c r="DC19" s="23">
        <f>-'Оценка трудоемкости'!ER9-'Оценка трудоемкости'!ER10</f>
        <v>0</v>
      </c>
      <c r="DD19" s="41">
        <f t="shared" si="75"/>
        <v>0</v>
      </c>
      <c r="DE19" s="41">
        <f t="shared" si="76"/>
        <v>0</v>
      </c>
    </row>
    <row r="20" spans="1:109" s="12" customFormat="1" ht="10.199999999999999" x14ac:dyDescent="0.2">
      <c r="A20" s="11" t="s">
        <v>212</v>
      </c>
      <c r="B20" s="11" t="str">
        <f t="shared" si="40"/>
        <v>Облачное хранилище для строительной компании с функцией архивации 203182 20 ФОТ - Оплата труда - Премиальная часть</v>
      </c>
      <c r="E20" s="20">
        <v>203182</v>
      </c>
      <c r="F20" s="21" t="str">
        <f>'Карточка проекта'!$B$1</f>
        <v xml:space="preserve">Облачное хранилище для строительной компании с функцией архивации </v>
      </c>
      <c r="G20" s="43" t="s">
        <v>213</v>
      </c>
      <c r="I20" s="41">
        <f t="shared" si="41"/>
        <v>-700000</v>
      </c>
      <c r="K20" s="23">
        <f>-SUMIFS('БДР_Себестоимость и Расходы'!$I:$I,'БДР_Себестоимость и Расходы'!$D:$D,$A20,'БДР_Себестоимость и Расходы'!$C:$C,K$3)</f>
        <v>0</v>
      </c>
      <c r="L20" s="23">
        <f>-SUMIFS('БДР_Себестоимость и Расходы'!$I:$I,'БДР_Себестоимость и Расходы'!$D:$D,$A20,'БДР_Себестоимость и Расходы'!$C:$C,L$3)</f>
        <v>0</v>
      </c>
      <c r="M20" s="23">
        <f>-SUMIFS('БДР_Себестоимость и Расходы'!$I:$I,'БДР_Себестоимость и Расходы'!$D:$D,$A20,'БДР_Себестоимость и Расходы'!$C:$C,M$3)</f>
        <v>0</v>
      </c>
      <c r="N20" s="41">
        <f t="shared" si="42"/>
        <v>0</v>
      </c>
      <c r="O20" s="23">
        <f>-SUMIFS('БДР_Себестоимость и Расходы'!$I:$I,'БДР_Себестоимость и Расходы'!$D:$D,$A20,'БДР_Себестоимость и Расходы'!$C:$C,O$3)</f>
        <v>0</v>
      </c>
      <c r="P20" s="23">
        <f>-SUMIFS('БДР_Себестоимость и Расходы'!$I:$I,'БДР_Себестоимость и Расходы'!$D:$D,$A20,'БДР_Себестоимость и Расходы'!$C:$C,P$3)</f>
        <v>0</v>
      </c>
      <c r="Q20" s="23">
        <f>-SUMIFS('БДР_Себестоимость и Расходы'!$I:$I,'БДР_Себестоимость и Расходы'!$D:$D,$A20,'БДР_Себестоимость и Расходы'!$C:$C,Q$3)</f>
        <v>0</v>
      </c>
      <c r="R20" s="22">
        <f t="shared" si="43"/>
        <v>0</v>
      </c>
      <c r="S20" s="41">
        <f t="shared" si="44"/>
        <v>0</v>
      </c>
      <c r="T20" s="23">
        <f>-SUMIFS('БДР_Себестоимость и Расходы'!$I:$I,'БДР_Себестоимость и Расходы'!$D:$D,$A20,'БДР_Себестоимость и Расходы'!$C:$C,T$3)</f>
        <v>0</v>
      </c>
      <c r="U20" s="23">
        <f>-SUMIFS('БДР_Себестоимость и Расходы'!$I:$I,'БДР_Себестоимость и Расходы'!$D:$D,$A20,'БДР_Себестоимость и Расходы'!$C:$C,U$3)</f>
        <v>0</v>
      </c>
      <c r="V20" s="23">
        <f>-SUMIFS('БДР_Себестоимость и Расходы'!$I:$I,'БДР_Себестоимость и Расходы'!$D:$D,$A20,'БДР_Себестоимость и Расходы'!$C:$C,V$3)</f>
        <v>0</v>
      </c>
      <c r="W20" s="41">
        <f t="shared" si="45"/>
        <v>0</v>
      </c>
      <c r="X20" s="41">
        <f t="shared" si="46"/>
        <v>0</v>
      </c>
      <c r="Y20" s="23">
        <f>-SUMIFS('БДР_Себестоимость и Расходы'!$I:$I,'БДР_Себестоимость и Расходы'!$D:$D,$A20,'БДР_Себестоимость и Расходы'!$C:$C,Y$3)</f>
        <v>0</v>
      </c>
      <c r="Z20" s="23">
        <f>-SUMIFS('БДР_Себестоимость и Расходы'!$I:$I,'БДР_Себестоимость и Расходы'!$D:$D,$A20,'БДР_Себестоимость и Расходы'!$C:$C,Z$3)</f>
        <v>0</v>
      </c>
      <c r="AA20" s="23">
        <f>-SUMIFS('БДР_Себестоимость и Расходы'!$I:$I,'БДР_Себестоимость и Расходы'!$D:$D,$A20,'БДР_Себестоимость и Расходы'!$C:$C,AA$3)</f>
        <v>-700000</v>
      </c>
      <c r="AB20" s="22">
        <f t="shared" si="47"/>
        <v>-700000</v>
      </c>
      <c r="AC20" s="41">
        <f t="shared" si="48"/>
        <v>-700000</v>
      </c>
      <c r="AE20" s="23">
        <f>-SUMIFS('БДР_Себестоимость и Расходы'!$I:$I,'БДР_Себестоимость и Расходы'!$D:$D,$A20,'БДР_Себестоимость и Расходы'!$C:$C,AE$3)</f>
        <v>0</v>
      </c>
      <c r="AF20" s="23">
        <f>-SUMIFS('БДР_Себестоимость и Расходы'!$I:$I,'БДР_Себестоимость и Расходы'!$D:$D,$A20,'БДР_Себестоимость и Расходы'!$C:$C,AF$3)</f>
        <v>0</v>
      </c>
      <c r="AG20" s="23">
        <f>-SUMIFS('БДР_Себестоимость и Расходы'!$I:$I,'БДР_Себестоимость и Расходы'!$D:$D,$A20,'БДР_Себестоимость и Расходы'!$C:$C,AG$3)</f>
        <v>0</v>
      </c>
      <c r="AH20" s="41">
        <f t="shared" si="49"/>
        <v>0</v>
      </c>
      <c r="AI20" s="23">
        <f>-SUMIFS('БДР_Себестоимость и Расходы'!$I:$I,'БДР_Себестоимость и Расходы'!$D:$D,$A20,'БДР_Себестоимость и Расходы'!$C:$C,AI$3)</f>
        <v>0</v>
      </c>
      <c r="AJ20" s="23">
        <f>-SUMIFS('БДР_Себестоимость и Расходы'!$I:$I,'БДР_Себестоимость и Расходы'!$D:$D,$A20,'БДР_Себестоимость и Расходы'!$C:$C,AJ$3)</f>
        <v>0</v>
      </c>
      <c r="AK20" s="23">
        <f>-SUMIFS('БДР_Себестоимость и Расходы'!$I:$I,'БДР_Себестоимость и Расходы'!$D:$D,$A20,'БДР_Себестоимость и Расходы'!$C:$C,AK$3)</f>
        <v>0</v>
      </c>
      <c r="AL20" s="41">
        <f t="shared" si="50"/>
        <v>0</v>
      </c>
      <c r="AM20" s="41">
        <f t="shared" si="51"/>
        <v>0</v>
      </c>
      <c r="AN20" s="23">
        <f>-SUMIFS('БДР_Себестоимость и Расходы'!$I:$I,'БДР_Себестоимость и Расходы'!$D:$D,$A20,'БДР_Себестоимость и Расходы'!$C:$C,AN$3)</f>
        <v>0</v>
      </c>
      <c r="AO20" s="23">
        <f>-SUMIFS('БДР_Себестоимость и Расходы'!$I:$I,'БДР_Себестоимость и Расходы'!$D:$D,$A20,'БДР_Себестоимость и Расходы'!$C:$C,AO$3)</f>
        <v>0</v>
      </c>
      <c r="AP20" s="23">
        <f>-SUMIFS('БДР_Себестоимость и Расходы'!$I:$I,'БДР_Себестоимость и Расходы'!$D:$D,$A20,'БДР_Себестоимость и Расходы'!$C:$C,AP$3)</f>
        <v>0</v>
      </c>
      <c r="AQ20" s="41">
        <f t="shared" si="52"/>
        <v>0</v>
      </c>
      <c r="AR20" s="41">
        <f t="shared" si="53"/>
        <v>0</v>
      </c>
      <c r="AS20" s="23">
        <f>-SUMIFS('БДР_Себестоимость и Расходы'!$I:$I,'БДР_Себестоимость и Расходы'!$D:$D,$A20,'БДР_Себестоимость и Расходы'!$C:$C,AS$3)</f>
        <v>0</v>
      </c>
      <c r="AT20" s="23">
        <f>-SUMIFS('БДР_Себестоимость и Расходы'!$I:$I,'БДР_Себестоимость и Расходы'!$D:$D,$A20,'БДР_Себестоимость и Расходы'!$C:$C,AT$3)</f>
        <v>0</v>
      </c>
      <c r="AU20" s="23">
        <f>-SUMIFS('БДР_Себестоимость и Расходы'!$I:$I,'БДР_Себестоимость и Расходы'!$D:$D,$A20,'БДР_Себестоимость и Расходы'!$C:$C,AU$3)</f>
        <v>0</v>
      </c>
      <c r="AV20" s="41">
        <f t="shared" si="54"/>
        <v>0</v>
      </c>
      <c r="AW20" s="41">
        <f t="shared" si="55"/>
        <v>0</v>
      </c>
      <c r="AY20" s="23">
        <f>-SUMIFS('БДР_Себестоимость и Расходы'!$I:$I,'БДР_Себестоимость и Расходы'!$D:$D,$A20,'БДР_Себестоимость и Расходы'!$C:$C,AY$3)</f>
        <v>0</v>
      </c>
      <c r="AZ20" s="23">
        <f>-SUMIFS('БДР_Себестоимость и Расходы'!$I:$I,'БДР_Себестоимость и Расходы'!$D:$D,$A20,'БДР_Себестоимость и Расходы'!$C:$C,AZ$3)</f>
        <v>0</v>
      </c>
      <c r="BA20" s="23">
        <f>-SUMIFS('БДР_Себестоимость и Расходы'!$I:$I,'БДР_Себестоимость и Расходы'!$D:$D,$A20,'БДР_Себестоимость и Расходы'!$C:$C,BA$3)</f>
        <v>0</v>
      </c>
      <c r="BB20" s="41">
        <f t="shared" si="56"/>
        <v>0</v>
      </c>
      <c r="BC20" s="23">
        <f>-SUMIFS('БДР_Себестоимость и Расходы'!$I:$I,'БДР_Себестоимость и Расходы'!$D:$D,$A20,'БДР_Себестоимость и Расходы'!$C:$C,BC$3)</f>
        <v>0</v>
      </c>
      <c r="BD20" s="23">
        <f>-SUMIFS('БДР_Себестоимость и Расходы'!$I:$I,'БДР_Себестоимость и Расходы'!$D:$D,$A20,'БДР_Себестоимость и Расходы'!$C:$C,BD$3)</f>
        <v>0</v>
      </c>
      <c r="BE20" s="23">
        <f>-SUMIFS('БДР_Себестоимость и Расходы'!$I:$I,'БДР_Себестоимость и Расходы'!$D:$D,$A20,'БДР_Себестоимость и Расходы'!$C:$C,BE$3)</f>
        <v>0</v>
      </c>
      <c r="BF20" s="41">
        <f t="shared" si="57"/>
        <v>0</v>
      </c>
      <c r="BG20" s="41">
        <f t="shared" si="58"/>
        <v>0</v>
      </c>
      <c r="BH20" s="23">
        <f>-SUMIFS('БДР_Себестоимость и Расходы'!$I:$I,'БДР_Себестоимость и Расходы'!$D:$D,$A20,'БДР_Себестоимость и Расходы'!$C:$C,BH$3)</f>
        <v>0</v>
      </c>
      <c r="BI20" s="23">
        <f>-SUMIFS('БДР_Себестоимость и Расходы'!$I:$I,'БДР_Себестоимость и Расходы'!$D:$D,$A20,'БДР_Себестоимость и Расходы'!$C:$C,BI$3)</f>
        <v>0</v>
      </c>
      <c r="BJ20" s="23">
        <f>-SUMIFS('БДР_Себестоимость и Расходы'!$I:$I,'БДР_Себестоимость и Расходы'!$D:$D,$A20,'БДР_Себестоимость и Расходы'!$C:$C,BJ$3)</f>
        <v>0</v>
      </c>
      <c r="BK20" s="41">
        <f t="shared" si="59"/>
        <v>0</v>
      </c>
      <c r="BL20" s="41">
        <f t="shared" si="60"/>
        <v>0</v>
      </c>
      <c r="BM20" s="23">
        <f>-SUMIFS('БДР_Себестоимость и Расходы'!$I:$I,'БДР_Себестоимость и Расходы'!$D:$D,$A20,'БДР_Себестоимость и Расходы'!$C:$C,BM$3)</f>
        <v>0</v>
      </c>
      <c r="BN20" s="23">
        <f>-SUMIFS('БДР_Себестоимость и Расходы'!$I:$I,'БДР_Себестоимость и Расходы'!$D:$D,$A20,'БДР_Себестоимость и Расходы'!$C:$C,BN$3)</f>
        <v>0</v>
      </c>
      <c r="BO20" s="23">
        <f>-SUMIFS('БДР_Себестоимость и Расходы'!$I:$I,'БДР_Себестоимость и Расходы'!$D:$D,$A20,'БДР_Себестоимость и Расходы'!$C:$C,BO$3)</f>
        <v>0</v>
      </c>
      <c r="BP20" s="41">
        <f t="shared" si="61"/>
        <v>0</v>
      </c>
      <c r="BQ20" s="41">
        <f t="shared" si="62"/>
        <v>0</v>
      </c>
      <c r="BS20" s="23">
        <f>-SUMIFS('БДР_Себестоимость и Расходы'!$I:$I,'БДР_Себестоимость и Расходы'!$D:$D,$A20,'БДР_Себестоимость и Расходы'!$C:$C,BS$3)</f>
        <v>0</v>
      </c>
      <c r="BT20" s="23">
        <f>-SUMIFS('БДР_Себестоимость и Расходы'!$I:$I,'БДР_Себестоимость и Расходы'!$D:$D,$A20,'БДР_Себестоимость и Расходы'!$C:$C,BT$3)</f>
        <v>0</v>
      </c>
      <c r="BU20" s="23">
        <f>-SUMIFS('БДР_Себестоимость и Расходы'!$I:$I,'БДР_Себестоимость и Расходы'!$D:$D,$A20,'БДР_Себестоимость и Расходы'!$C:$C,BU$3)</f>
        <v>0</v>
      </c>
      <c r="BV20" s="41">
        <f t="shared" si="63"/>
        <v>0</v>
      </c>
      <c r="BW20" s="23">
        <f>-SUMIFS('БДР_Себестоимость и Расходы'!$I:$I,'БДР_Себестоимость и Расходы'!$D:$D,$A20,'БДР_Себестоимость и Расходы'!$C:$C,BW$3)</f>
        <v>0</v>
      </c>
      <c r="BX20" s="23">
        <f>-SUMIFS('БДР_Себестоимость и Расходы'!$I:$I,'БДР_Себестоимость и Расходы'!$D:$D,$A20,'БДР_Себестоимость и Расходы'!$C:$C,BX$3)</f>
        <v>0</v>
      </c>
      <c r="BY20" s="23">
        <f>-SUMIFS('БДР_Себестоимость и Расходы'!$I:$I,'БДР_Себестоимость и Расходы'!$D:$D,$A20,'БДР_Себестоимость и Расходы'!$C:$C,BY$3)</f>
        <v>0</v>
      </c>
      <c r="BZ20" s="41">
        <f t="shared" si="64"/>
        <v>0</v>
      </c>
      <c r="CA20" s="41">
        <f t="shared" si="65"/>
        <v>0</v>
      </c>
      <c r="CB20" s="23">
        <f>-SUMIFS('БДР_Себестоимость и Расходы'!$I:$I,'БДР_Себестоимость и Расходы'!$D:$D,$A20,'БДР_Себестоимость и Расходы'!$C:$C,CB$3)</f>
        <v>0</v>
      </c>
      <c r="CC20" s="23">
        <f>-SUMIFS('БДР_Себестоимость и Расходы'!$I:$I,'БДР_Себестоимость и Расходы'!$D:$D,$A20,'БДР_Себестоимость и Расходы'!$C:$C,CC$3)</f>
        <v>0</v>
      </c>
      <c r="CD20" s="23">
        <f>-SUMIFS('БДР_Себестоимость и Расходы'!$I:$I,'БДР_Себестоимость и Расходы'!$D:$D,$A20,'БДР_Себестоимость и Расходы'!$C:$C,CD$3)</f>
        <v>0</v>
      </c>
      <c r="CE20" s="41">
        <f t="shared" si="66"/>
        <v>0</v>
      </c>
      <c r="CF20" s="41">
        <f t="shared" si="67"/>
        <v>0</v>
      </c>
      <c r="CG20" s="23">
        <f>-SUMIFS('БДР_Себестоимость и Расходы'!$I:$I,'БДР_Себестоимость и Расходы'!$D:$D,$A20,'БДР_Себестоимость и Расходы'!$C:$C,CG$3)</f>
        <v>0</v>
      </c>
      <c r="CH20" s="23">
        <f>-SUMIFS('БДР_Себестоимость и Расходы'!$I:$I,'БДР_Себестоимость и Расходы'!$D:$D,$A20,'БДР_Себестоимость и Расходы'!$C:$C,CH$3)</f>
        <v>0</v>
      </c>
      <c r="CI20" s="23">
        <f>-SUMIFS('БДР_Себестоимость и Расходы'!$I:$I,'БДР_Себестоимость и Расходы'!$D:$D,$A20,'БДР_Себестоимость и Расходы'!$C:$C,CI$3)</f>
        <v>0</v>
      </c>
      <c r="CJ20" s="41">
        <f t="shared" si="68"/>
        <v>0</v>
      </c>
      <c r="CK20" s="41">
        <f t="shared" si="69"/>
        <v>0</v>
      </c>
      <c r="CM20" s="23">
        <f>-SUMIFS('БДР_Себестоимость и Расходы'!$I:$I,'БДР_Себестоимость и Расходы'!$D:$D,$A20,'БДР_Себестоимость и Расходы'!$C:$C,CM$3)</f>
        <v>0</v>
      </c>
      <c r="CN20" s="23">
        <f>-SUMIFS('БДР_Себестоимость и Расходы'!$I:$I,'БДР_Себестоимость и Расходы'!$D:$D,$A20,'БДР_Себестоимость и Расходы'!$C:$C,CN$3)</f>
        <v>0</v>
      </c>
      <c r="CO20" s="23">
        <f>-SUMIFS('БДР_Себестоимость и Расходы'!$I:$I,'БДР_Себестоимость и Расходы'!$D:$D,$A20,'БДР_Себестоимость и Расходы'!$C:$C,CO$3)</f>
        <v>0</v>
      </c>
      <c r="CP20" s="41">
        <f t="shared" si="70"/>
        <v>0</v>
      </c>
      <c r="CQ20" s="23">
        <f>-SUMIFS('БДР_Себестоимость и Расходы'!$I:$I,'БДР_Себестоимость и Расходы'!$D:$D,$A20,'БДР_Себестоимость и Расходы'!$C:$C,CQ$3)</f>
        <v>0</v>
      </c>
      <c r="CR20" s="23">
        <f>-SUMIFS('БДР_Себестоимость и Расходы'!$I:$I,'БДР_Себестоимость и Расходы'!$D:$D,$A20,'БДР_Себестоимость и Расходы'!$C:$C,CR$3)</f>
        <v>0</v>
      </c>
      <c r="CS20" s="23">
        <f>-SUMIFS('БДР_Себестоимость и Расходы'!$I:$I,'БДР_Себестоимость и Расходы'!$D:$D,$A20,'БДР_Себестоимость и Расходы'!$C:$C,CS$3)</f>
        <v>0</v>
      </c>
      <c r="CT20" s="41">
        <f t="shared" si="71"/>
        <v>0</v>
      </c>
      <c r="CU20" s="41">
        <f t="shared" si="72"/>
        <v>0</v>
      </c>
      <c r="CV20" s="23">
        <f>-SUMIFS('БДР_Себестоимость и Расходы'!$I:$I,'БДР_Себестоимость и Расходы'!$D:$D,$A20,'БДР_Себестоимость и Расходы'!$C:$C,CV$3)</f>
        <v>0</v>
      </c>
      <c r="CW20" s="23">
        <f>-SUMIFS('БДР_Себестоимость и Расходы'!$I:$I,'БДР_Себестоимость и Расходы'!$D:$D,$A20,'БДР_Себестоимость и Расходы'!$C:$C,CW$3)</f>
        <v>0</v>
      </c>
      <c r="CX20" s="23">
        <f>-SUMIFS('БДР_Себестоимость и Расходы'!$I:$I,'БДР_Себестоимость и Расходы'!$D:$D,$A20,'БДР_Себестоимость и Расходы'!$C:$C,CX$3)</f>
        <v>0</v>
      </c>
      <c r="CY20" s="41">
        <f t="shared" si="73"/>
        <v>0</v>
      </c>
      <c r="CZ20" s="41">
        <f t="shared" si="74"/>
        <v>0</v>
      </c>
      <c r="DA20" s="23">
        <f>-SUMIFS('БДР_Себестоимость и Расходы'!$I:$I,'БДР_Себестоимость и Расходы'!$D:$D,$A20,'БДР_Себестоимость и Расходы'!$C:$C,DA$3)</f>
        <v>0</v>
      </c>
      <c r="DB20" s="23">
        <f>-SUMIFS('БДР_Себестоимость и Расходы'!$I:$I,'БДР_Себестоимость и Расходы'!$D:$D,$A20,'БДР_Себестоимость и Расходы'!$C:$C,DB$3)</f>
        <v>0</v>
      </c>
      <c r="DC20" s="23">
        <f>-SUMIFS('БДР_Себестоимость и Расходы'!$I:$I,'БДР_Себестоимость и Расходы'!$D:$D,$A20,'БДР_Себестоимость и Расходы'!$C:$C,DC$3)</f>
        <v>0</v>
      </c>
      <c r="DD20" s="41">
        <f t="shared" si="75"/>
        <v>0</v>
      </c>
      <c r="DE20" s="41">
        <f t="shared" si="76"/>
        <v>0</v>
      </c>
    </row>
    <row r="21" spans="1:109" s="12" customFormat="1" ht="10.199999999999999" x14ac:dyDescent="0.2">
      <c r="A21" s="11" t="s">
        <v>214</v>
      </c>
      <c r="B21" s="11" t="str">
        <f t="shared" si="40"/>
        <v>Облачное хранилище для строительной компании с функцией архивации 203150 20 ФОТ - Страховые взносы</v>
      </c>
      <c r="E21" s="20">
        <v>203150</v>
      </c>
      <c r="F21" s="21" t="str">
        <f>'Карточка проекта'!$B$1</f>
        <v xml:space="preserve">Облачное хранилище для строительной компании с функцией архивации </v>
      </c>
      <c r="G21" s="43" t="s">
        <v>215</v>
      </c>
      <c r="I21" s="41">
        <f t="shared" si="41"/>
        <v>-745937.73834256898</v>
      </c>
      <c r="K21" s="23">
        <f>-'Оценка трудоемкости'!CC11-'Договоры ГПХ'!H11
-SUMIFS('БДР_Себестоимость и Расходы'!$I:$I,'БДР_Себестоимость и Расходы'!$D:$D,$A20,'БДР_Себестоимость и Расходы'!$C:$C,K$3)*0.2534</f>
        <v>0</v>
      </c>
      <c r="L21" s="23">
        <f>-'Оценка трудоемкости'!CD11-'Договоры ГПХ'!I11
-SUMIFS('БДР_Себестоимость и Расходы'!$I:$I,'БДР_Себестоимость и Расходы'!$D:$D,$A20,'БДР_Себестоимость и Расходы'!$C:$C,L$3)*0.2534</f>
        <v>0</v>
      </c>
      <c r="M21" s="23">
        <f>-'Оценка трудоемкости'!CE11-'Договоры ГПХ'!J11
-SUMIFS('БДР_Себестоимость и Расходы'!$I:$I,'БДР_Себестоимость и Расходы'!$D:$D,$A20,'БДР_Себестоимость и Расходы'!$C:$C,M$3)*0.2534</f>
        <v>0</v>
      </c>
      <c r="N21" s="41">
        <f t="shared" si="42"/>
        <v>0</v>
      </c>
      <c r="O21" s="23">
        <f>-'Оценка трудоемкости'!CF11-'Договоры ГПХ'!K11
-SUMIFS('БДР_Себестоимость и Расходы'!$I:$I,'БДР_Себестоимость и Расходы'!$D:$D,$A20,'БДР_Себестоимость и Расходы'!$C:$C,O$3)*0.2534</f>
        <v>0</v>
      </c>
      <c r="P21" s="23">
        <f>-'Оценка трудоемкости'!CG11-'Договоры ГПХ'!L11
-SUMIFS('БДР_Себестоимость и Расходы'!$I:$I,'БДР_Себестоимость и Расходы'!$D:$D,$A20,'БДР_Себестоимость и Расходы'!$C:$C,P$3)*0.2534</f>
        <v>0</v>
      </c>
      <c r="Q21" s="23">
        <f>-'Оценка трудоемкости'!CH11-'Договоры ГПХ'!M11
-SUMIFS('БДР_Себестоимость и Расходы'!$I:$I,'БДР_Себестоимость и Расходы'!$D:$D,$A20,'БДР_Себестоимость и Расходы'!$C:$C,Q$3)*0.2534</f>
        <v>0</v>
      </c>
      <c r="R21" s="22">
        <f t="shared" si="43"/>
        <v>0</v>
      </c>
      <c r="S21" s="41">
        <f t="shared" si="44"/>
        <v>0</v>
      </c>
      <c r="T21" s="23">
        <f>-'Оценка трудоемкости'!CI11-'Договоры ГПХ'!N11
-SUMIFS('БДР_Себестоимость и Расходы'!$I:$I,'БДР_Себестоимость и Расходы'!$D:$D,$A20,'БДР_Себестоимость и Расходы'!$C:$C,T$3)*0.2534</f>
        <v>0</v>
      </c>
      <c r="U21" s="23">
        <f>-'Оценка трудоемкости'!CJ11-'Договоры ГПХ'!O11
-SUMIFS('БДР_Себестоимость и Расходы'!$I:$I,'БДР_Себестоимость и Расходы'!$D:$D,$A20,'БДР_Себестоимость и Расходы'!$C:$C,U$3)*0.2534</f>
        <v>0</v>
      </c>
      <c r="V21" s="23">
        <f>-'Оценка трудоемкости'!CK11-'Договоры ГПХ'!P11
-SUMIFS('БДР_Себестоимость и Расходы'!$I:$I,'БДР_Себестоимость и Расходы'!$D:$D,$A20,'БДР_Себестоимость и Расходы'!$C:$C,V$3)*0.2534</f>
        <v>-154245.40316512581</v>
      </c>
      <c r="W21" s="41">
        <f t="shared" si="45"/>
        <v>-154245.40316512581</v>
      </c>
      <c r="X21" s="41">
        <f t="shared" si="46"/>
        <v>-154245.40316512581</v>
      </c>
      <c r="Y21" s="23">
        <f>-'Оценка трудоемкости'!CL11-'Договоры ГПХ'!Q11
-SUMIFS('БДР_Себестоимость и Расходы'!$I:$I,'БДР_Себестоимость и Расходы'!$D:$D,$A20,'БДР_Себестоимость и Расходы'!$C:$C,Y$3)*0.2534</f>
        <v>-146115.40316512581</v>
      </c>
      <c r="Z21" s="23">
        <f>-'Оценка трудоемкости'!CM11-'Договоры ГПХ'!R11
-SUMIFS('БДР_Себестоимость и Расходы'!$I:$I,'БДР_Себестоимость и Расходы'!$D:$D,$A20,'БДР_Себестоимость и Расходы'!$C:$C,Z$3)*0.2534</f>
        <v>-131666.81280370348</v>
      </c>
      <c r="AA21" s="23">
        <f>-'Оценка трудоемкости'!CN11-'Договоры ГПХ'!S11
-SUMIFS('БДР_Себестоимость и Расходы'!$I:$I,'БДР_Себестоимость и Расходы'!$D:$D,$A20,'БДР_Себестоимость и Расходы'!$C:$C,AA$3)*0.2534</f>
        <v>-313910.11920861382</v>
      </c>
      <c r="AB21" s="22">
        <f t="shared" si="47"/>
        <v>-591692.33517744311</v>
      </c>
      <c r="AC21" s="41">
        <f t="shared" si="48"/>
        <v>-745937.73834256898</v>
      </c>
      <c r="AE21" s="23">
        <f>-'Оценка трудоемкости'!CQ11-'Договоры ГПХ'!V11
-SUMIFS('БДР_Себестоимость и Расходы'!$I:$I,'БДР_Себестоимость и Расходы'!$D:$D,$A20,'БДР_Себестоимость и Расходы'!$C:$C,AE$3)*0.2534</f>
        <v>0</v>
      </c>
      <c r="AF21" s="23">
        <f>-'Оценка трудоемкости'!CR11-'Договоры ГПХ'!W11
-SUMIFS('БДР_Себестоимость и Расходы'!$I:$I,'БДР_Себестоимость и Расходы'!$D:$D,$A20,'БДР_Себестоимость и Расходы'!$C:$C,AF$3)*0.2534</f>
        <v>0</v>
      </c>
      <c r="AG21" s="23">
        <f>-'Оценка трудоемкости'!CS11-'Договоры ГПХ'!X11
-SUMIFS('БДР_Себестоимость и Расходы'!$I:$I,'БДР_Себестоимость и Расходы'!$D:$D,$A20,'БДР_Себестоимость и Расходы'!$C:$C,AG$3)*0.2534</f>
        <v>0</v>
      </c>
      <c r="AH21" s="41">
        <f t="shared" si="49"/>
        <v>0</v>
      </c>
      <c r="AI21" s="23">
        <f>-'Оценка трудоемкости'!CT11-'Договоры ГПХ'!Y11
-SUMIFS('БДР_Себестоимость и Расходы'!$I:$I,'БДР_Себестоимость и Расходы'!$D:$D,$A20,'БДР_Себестоимость и Расходы'!$C:$C,AI$3)*0.2534</f>
        <v>0</v>
      </c>
      <c r="AJ21" s="23">
        <f>-'Оценка трудоемкости'!CU11-'Договоры ГПХ'!Z11
-SUMIFS('БДР_Себестоимость и Расходы'!$I:$I,'БДР_Себестоимость и Расходы'!$D:$D,$A20,'БДР_Себестоимость и Расходы'!$C:$C,AJ$3)*0.2534</f>
        <v>0</v>
      </c>
      <c r="AK21" s="23">
        <f>-'Оценка трудоемкости'!CV11-'Договоры ГПХ'!AA11
-SUMIFS('БДР_Себестоимость и Расходы'!$I:$I,'БДР_Себестоимость и Расходы'!$D:$D,$A20,'БДР_Себестоимость и Расходы'!$C:$C,AK$3)*0.2534</f>
        <v>0</v>
      </c>
      <c r="AL21" s="41">
        <f t="shared" si="50"/>
        <v>0</v>
      </c>
      <c r="AM21" s="41">
        <f t="shared" si="51"/>
        <v>0</v>
      </c>
      <c r="AN21" s="23">
        <f>-'Оценка трудоемкости'!CW11-'Договоры ГПХ'!AB11
-SUMIFS('БДР_Себестоимость и Расходы'!$I:$I,'БДР_Себестоимость и Расходы'!$D:$D,$A20,'БДР_Себестоимость и Расходы'!$C:$C,AN$3)*0.2534</f>
        <v>0</v>
      </c>
      <c r="AO21" s="23">
        <f>-'Оценка трудоемкости'!CX11-'Договоры ГПХ'!AC11
-SUMIFS('БДР_Себестоимость и Расходы'!$I:$I,'БДР_Себестоимость и Расходы'!$D:$D,$A20,'БДР_Себестоимость и Расходы'!$C:$C,AO$3)*0.2534</f>
        <v>0</v>
      </c>
      <c r="AP21" s="23">
        <f>-'Оценка трудоемкости'!CY11-'Договоры ГПХ'!AD11
-SUMIFS('БДР_Себестоимость и Расходы'!$I:$I,'БДР_Себестоимость и Расходы'!$D:$D,$A20,'БДР_Себестоимость и Расходы'!$C:$C,AP$3)*0.2534</f>
        <v>0</v>
      </c>
      <c r="AQ21" s="41">
        <f t="shared" si="52"/>
        <v>0</v>
      </c>
      <c r="AR21" s="41">
        <f t="shared" si="53"/>
        <v>0</v>
      </c>
      <c r="AS21" s="23">
        <f>-'Оценка трудоемкости'!CZ11-'Договоры ГПХ'!AE11
-SUMIFS('БДР_Себестоимость и Расходы'!$I:$I,'БДР_Себестоимость и Расходы'!$D:$D,$A20,'БДР_Себестоимость и Расходы'!$C:$C,AS$3)*0.2534</f>
        <v>0</v>
      </c>
      <c r="AT21" s="23">
        <f>-'Оценка трудоемкости'!DA11-'Договоры ГПХ'!AF11
-SUMIFS('БДР_Себестоимость и Расходы'!$I:$I,'БДР_Себестоимость и Расходы'!$D:$D,$A20,'БДР_Себестоимость и Расходы'!$C:$C,AT$3)*0.2534</f>
        <v>0</v>
      </c>
      <c r="AU21" s="23">
        <f>-'Оценка трудоемкости'!DB11-'Договоры ГПХ'!AG11
-SUMIFS('БДР_Себестоимость и Расходы'!$I:$I,'БДР_Себестоимость и Расходы'!$D:$D,$A20,'БДР_Себестоимость и Расходы'!$C:$C,AU$3)*0.2534</f>
        <v>0</v>
      </c>
      <c r="AV21" s="41">
        <f t="shared" si="54"/>
        <v>0</v>
      </c>
      <c r="AW21" s="41">
        <f t="shared" si="55"/>
        <v>0</v>
      </c>
      <c r="AY21" s="23">
        <f>-'Оценка трудоемкости'!DE11-'Договоры ГПХ'!AJ11
-SUMIFS('БДР_Себестоимость и Расходы'!$I:$I,'БДР_Себестоимость и Расходы'!$D:$D,$A20,'БДР_Себестоимость и Расходы'!$C:$C,AY$3)*0.2534</f>
        <v>0</v>
      </c>
      <c r="AZ21" s="23">
        <f>-'Оценка трудоемкости'!DF11-'Договоры ГПХ'!AK11
-SUMIFS('БДР_Себестоимость и Расходы'!$I:$I,'БДР_Себестоимость и Расходы'!$D:$D,$A20,'БДР_Себестоимость и Расходы'!$C:$C,AZ$3)*0.2534</f>
        <v>0</v>
      </c>
      <c r="BA21" s="23">
        <f>-'Оценка трудоемкости'!DG11-'Договоры ГПХ'!AL11
-SUMIFS('БДР_Себестоимость и Расходы'!$I:$I,'БДР_Себестоимость и Расходы'!$D:$D,$A20,'БДР_Себестоимость и Расходы'!$C:$C,BA$3)*0.2534</f>
        <v>0</v>
      </c>
      <c r="BB21" s="41">
        <f t="shared" si="56"/>
        <v>0</v>
      </c>
      <c r="BC21" s="23">
        <f>-'Оценка трудоемкости'!DH11-'Договоры ГПХ'!AM11
-SUMIFS('БДР_Себестоимость и Расходы'!$I:$I,'БДР_Себестоимость и Расходы'!$D:$D,$A20,'БДР_Себестоимость и Расходы'!$C:$C,BC$3)*0.2534</f>
        <v>0</v>
      </c>
      <c r="BD21" s="23">
        <f>-'Оценка трудоемкости'!DI11-'Договоры ГПХ'!AN11
-SUMIFS('БДР_Себестоимость и Расходы'!$I:$I,'БДР_Себестоимость и Расходы'!$D:$D,$A20,'БДР_Себестоимость и Расходы'!$C:$C,BD$3)*0.2534</f>
        <v>0</v>
      </c>
      <c r="BE21" s="23">
        <f>-'Оценка трудоемкости'!DJ11-'Договоры ГПХ'!AO11
-SUMIFS('БДР_Себестоимость и Расходы'!$I:$I,'БДР_Себестоимость и Расходы'!$D:$D,$A20,'БДР_Себестоимость и Расходы'!$C:$C,BE$3)*0.2534</f>
        <v>0</v>
      </c>
      <c r="BF21" s="41">
        <f t="shared" si="57"/>
        <v>0</v>
      </c>
      <c r="BG21" s="41">
        <f t="shared" si="58"/>
        <v>0</v>
      </c>
      <c r="BH21" s="23">
        <f>-'Оценка трудоемкости'!DK11-'Договоры ГПХ'!AP11
-SUMIFS('БДР_Себестоимость и Расходы'!$I:$I,'БДР_Себестоимость и Расходы'!$D:$D,$A20,'БДР_Себестоимость и Расходы'!$C:$C,BH$3)*0.2534</f>
        <v>0</v>
      </c>
      <c r="BI21" s="23">
        <f>-'Оценка трудоемкости'!DL11-'Договоры ГПХ'!AQ11
-SUMIFS('БДР_Себестоимость и Расходы'!$I:$I,'БДР_Себестоимость и Расходы'!$D:$D,$A20,'БДР_Себестоимость и Расходы'!$C:$C,BI$3)*0.2534</f>
        <v>0</v>
      </c>
      <c r="BJ21" s="23">
        <f>-'Оценка трудоемкости'!DM11-'Договоры ГПХ'!AR11
-SUMIFS('БДР_Себестоимость и Расходы'!$I:$I,'БДР_Себестоимость и Расходы'!$D:$D,$A20,'БДР_Себестоимость и Расходы'!$C:$C,BJ$3)*0.2534</f>
        <v>0</v>
      </c>
      <c r="BK21" s="41">
        <f t="shared" si="59"/>
        <v>0</v>
      </c>
      <c r="BL21" s="41">
        <f t="shared" si="60"/>
        <v>0</v>
      </c>
      <c r="BM21" s="23">
        <f>-'Оценка трудоемкости'!DN11-'Договоры ГПХ'!AS11
-SUMIFS('БДР_Себестоимость и Расходы'!$I:$I,'БДР_Себестоимость и Расходы'!$D:$D,$A20,'БДР_Себестоимость и Расходы'!$C:$C,BM$3)*0.2534</f>
        <v>0</v>
      </c>
      <c r="BN21" s="23">
        <f>-'Оценка трудоемкости'!DO11-'Договоры ГПХ'!AT11
-SUMIFS('БДР_Себестоимость и Расходы'!$I:$I,'БДР_Себестоимость и Расходы'!$D:$D,$A20,'БДР_Себестоимость и Расходы'!$C:$C,BN$3)*0.2534</f>
        <v>0</v>
      </c>
      <c r="BO21" s="23">
        <f>-'Оценка трудоемкости'!DP11-'Договоры ГПХ'!AU11
-SUMIFS('БДР_Себестоимость и Расходы'!$I:$I,'БДР_Себестоимость и Расходы'!$D:$D,$A20,'БДР_Себестоимость и Расходы'!$C:$C,BO$3)*0.2534</f>
        <v>0</v>
      </c>
      <c r="BP21" s="41">
        <f t="shared" si="61"/>
        <v>0</v>
      </c>
      <c r="BQ21" s="41">
        <f t="shared" si="62"/>
        <v>0</v>
      </c>
      <c r="BS21" s="23">
        <f>-'Оценка трудоемкости'!DS11-'Договоры ГПХ'!AX11
-SUMIFS('БДР_Себестоимость и Расходы'!$I:$I,'БДР_Себестоимость и Расходы'!$D:$D,$A20,'БДР_Себестоимость и Расходы'!$C:$C,BS$3)*0.2534</f>
        <v>0</v>
      </c>
      <c r="BT21" s="23">
        <f>-'Оценка трудоемкости'!DT11-'Договоры ГПХ'!AY11
-SUMIFS('БДР_Себестоимость и Расходы'!$I:$I,'БДР_Себестоимость и Расходы'!$D:$D,$A20,'БДР_Себестоимость и Расходы'!$C:$C,BT$3)*0.2534</f>
        <v>0</v>
      </c>
      <c r="BU21" s="23">
        <f>-'Оценка трудоемкости'!DU11-'Договоры ГПХ'!AZ11
-SUMIFS('БДР_Себестоимость и Расходы'!$I:$I,'БДР_Себестоимость и Расходы'!$D:$D,$A20,'БДР_Себестоимость и Расходы'!$C:$C,BU$3)*0.2534</f>
        <v>0</v>
      </c>
      <c r="BV21" s="41">
        <f t="shared" si="63"/>
        <v>0</v>
      </c>
      <c r="BW21" s="23">
        <f>-'Оценка трудоемкости'!DV11-'Договоры ГПХ'!BA11
-SUMIFS('БДР_Себестоимость и Расходы'!$I:$I,'БДР_Себестоимость и Расходы'!$D:$D,$A20,'БДР_Себестоимость и Расходы'!$C:$C,BW$3)*0.2534</f>
        <v>0</v>
      </c>
      <c r="BX21" s="23">
        <f>-'Оценка трудоемкости'!DW11-'Договоры ГПХ'!BB11
-SUMIFS('БДР_Себестоимость и Расходы'!$I:$I,'БДР_Себестоимость и Расходы'!$D:$D,$A20,'БДР_Себестоимость и Расходы'!$C:$C,BX$3)*0.2534</f>
        <v>0</v>
      </c>
      <c r="BY21" s="23">
        <f>-'Оценка трудоемкости'!DX11-'Договоры ГПХ'!BC11
-SUMIFS('БДР_Себестоимость и Расходы'!$I:$I,'БДР_Себестоимость и Расходы'!$D:$D,$A20,'БДР_Себестоимость и Расходы'!$C:$C,BY$3)*0.2534</f>
        <v>0</v>
      </c>
      <c r="BZ21" s="41">
        <f t="shared" si="64"/>
        <v>0</v>
      </c>
      <c r="CA21" s="41">
        <f t="shared" si="65"/>
        <v>0</v>
      </c>
      <c r="CB21" s="23">
        <f>-'Оценка трудоемкости'!DY11-'Договоры ГПХ'!BD11
-SUMIFS('БДР_Себестоимость и Расходы'!$I:$I,'БДР_Себестоимость и Расходы'!$D:$D,$A20,'БДР_Себестоимость и Расходы'!$C:$C,CB$3)*0.2534</f>
        <v>0</v>
      </c>
      <c r="CC21" s="23">
        <f>-'Оценка трудоемкости'!DZ11-'Договоры ГПХ'!BE11
-SUMIFS('БДР_Себестоимость и Расходы'!$I:$I,'БДР_Себестоимость и Расходы'!$D:$D,$A20,'БДР_Себестоимость и Расходы'!$C:$C,CC$3)*0.2534</f>
        <v>0</v>
      </c>
      <c r="CD21" s="23">
        <f>-'Оценка трудоемкости'!EA11-'Договоры ГПХ'!BF11
-SUMIFS('БДР_Себестоимость и Расходы'!$I:$I,'БДР_Себестоимость и Расходы'!$D:$D,$A20,'БДР_Себестоимость и Расходы'!$C:$C,CD$3)*0.2534</f>
        <v>0</v>
      </c>
      <c r="CE21" s="41">
        <f t="shared" si="66"/>
        <v>0</v>
      </c>
      <c r="CF21" s="41">
        <f t="shared" si="67"/>
        <v>0</v>
      </c>
      <c r="CG21" s="23">
        <f>-'Оценка трудоемкости'!EB11-'Договоры ГПХ'!BG11
-SUMIFS('БДР_Себестоимость и Расходы'!$I:$I,'БДР_Себестоимость и Расходы'!$D:$D,$A20,'БДР_Себестоимость и Расходы'!$C:$C,CG$3)*0.2534</f>
        <v>0</v>
      </c>
      <c r="CH21" s="23">
        <f>-'Оценка трудоемкости'!EC11-'Договоры ГПХ'!BH11
-SUMIFS('БДР_Себестоимость и Расходы'!$I:$I,'БДР_Себестоимость и Расходы'!$D:$D,$A20,'БДР_Себестоимость и Расходы'!$C:$C,CH$3)*0.2534</f>
        <v>0</v>
      </c>
      <c r="CI21" s="23">
        <f>-'Оценка трудоемкости'!ED11-'Договоры ГПХ'!BI11
-SUMIFS('БДР_Себестоимость и Расходы'!$I:$I,'БДР_Себестоимость и Расходы'!$D:$D,$A20,'БДР_Себестоимость и Расходы'!$C:$C,CI$3)*0.2534</f>
        <v>0</v>
      </c>
      <c r="CJ21" s="41">
        <f t="shared" si="68"/>
        <v>0</v>
      </c>
      <c r="CK21" s="41">
        <f t="shared" si="69"/>
        <v>0</v>
      </c>
      <c r="CM21" s="23">
        <f>-'Оценка трудоемкости'!EG11-'Договоры ГПХ'!BL11
-SUMIFS('БДР_Себестоимость и Расходы'!$I:$I,'БДР_Себестоимость и Расходы'!$D:$D,$A20,'БДР_Себестоимость и Расходы'!$C:$C,CM$3)*0.2534</f>
        <v>0</v>
      </c>
      <c r="CN21" s="23">
        <f>-'Оценка трудоемкости'!EH11-'Договоры ГПХ'!BM11
-SUMIFS('БДР_Себестоимость и Расходы'!$I:$I,'БДР_Себестоимость и Расходы'!$D:$D,$A20,'БДР_Себестоимость и Расходы'!$C:$C,CN$3)*0.2534</f>
        <v>0</v>
      </c>
      <c r="CO21" s="23">
        <f>-'Оценка трудоемкости'!EI11-'Договоры ГПХ'!BN11
-SUMIFS('БДР_Себестоимость и Расходы'!$I:$I,'БДР_Себестоимость и Расходы'!$D:$D,$A20,'БДР_Себестоимость и Расходы'!$C:$C,CO$3)*0.2534</f>
        <v>0</v>
      </c>
      <c r="CP21" s="41">
        <f t="shared" si="70"/>
        <v>0</v>
      </c>
      <c r="CQ21" s="23">
        <f>-'Оценка трудоемкости'!EJ11-'Договоры ГПХ'!BO11
-SUMIFS('БДР_Себестоимость и Расходы'!$I:$I,'БДР_Себестоимость и Расходы'!$D:$D,$A20,'БДР_Себестоимость и Расходы'!$C:$C,CQ$3)*0.2534</f>
        <v>0</v>
      </c>
      <c r="CR21" s="23">
        <f>-'Оценка трудоемкости'!EK11-'Договоры ГПХ'!BP11
-SUMIFS('БДР_Себестоимость и Расходы'!$I:$I,'БДР_Себестоимость и Расходы'!$D:$D,$A20,'БДР_Себестоимость и Расходы'!$C:$C,CR$3)*0.2534</f>
        <v>0</v>
      </c>
      <c r="CS21" s="23">
        <f>-'Оценка трудоемкости'!EL11-'Договоры ГПХ'!BQ11
-SUMIFS('БДР_Себестоимость и Расходы'!$I:$I,'БДР_Себестоимость и Расходы'!$D:$D,$A20,'БДР_Себестоимость и Расходы'!$C:$C,CS$3)*0.2534</f>
        <v>0</v>
      </c>
      <c r="CT21" s="41">
        <f t="shared" si="71"/>
        <v>0</v>
      </c>
      <c r="CU21" s="41">
        <f t="shared" si="72"/>
        <v>0</v>
      </c>
      <c r="CV21" s="23">
        <f>-'Оценка трудоемкости'!EM11-'Договоры ГПХ'!BR11
-SUMIFS('БДР_Себестоимость и Расходы'!$I:$I,'БДР_Себестоимость и Расходы'!$D:$D,$A20,'БДР_Себестоимость и Расходы'!$C:$C,CV$3)*0.2534</f>
        <v>0</v>
      </c>
      <c r="CW21" s="23">
        <f>-'Оценка трудоемкости'!EN11-'Договоры ГПХ'!BS11
-SUMIFS('БДР_Себестоимость и Расходы'!$I:$I,'БДР_Себестоимость и Расходы'!$D:$D,$A20,'БДР_Себестоимость и Расходы'!$C:$C,CW$3)*0.2534</f>
        <v>0</v>
      </c>
      <c r="CX21" s="23">
        <f>-'Оценка трудоемкости'!EO11-'Договоры ГПХ'!BT11
-SUMIFS('БДР_Себестоимость и Расходы'!$I:$I,'БДР_Себестоимость и Расходы'!$D:$D,$A20,'БДР_Себестоимость и Расходы'!$C:$C,CX$3)*0.2534</f>
        <v>0</v>
      </c>
      <c r="CY21" s="41">
        <f t="shared" si="73"/>
        <v>0</v>
      </c>
      <c r="CZ21" s="41">
        <f t="shared" si="74"/>
        <v>0</v>
      </c>
      <c r="DA21" s="23">
        <f>-'Оценка трудоемкости'!EP11-'Договоры ГПХ'!BU11
-SUMIFS('БДР_Себестоимость и Расходы'!$I:$I,'БДР_Себестоимость и Расходы'!$D:$D,$A20,'БДР_Себестоимость и Расходы'!$C:$C,DA$3)*0.2534</f>
        <v>0</v>
      </c>
      <c r="DB21" s="23">
        <f>-'Оценка трудоемкости'!EQ11-'Договоры ГПХ'!BV11
-SUMIFS('БДР_Себестоимость и Расходы'!$I:$I,'БДР_Себестоимость и Расходы'!$D:$D,$A20,'БДР_Себестоимость и Расходы'!$C:$C,DB$3)*0.2534</f>
        <v>0</v>
      </c>
      <c r="DC21" s="23">
        <f>-'Оценка трудоемкости'!ER11-'Договоры ГПХ'!BW11
-SUMIFS('БДР_Себестоимость и Расходы'!$I:$I,'БДР_Себестоимость и Расходы'!$D:$D,$A20,'БДР_Себестоимость и Расходы'!$C:$C,DC$3)*0.2534</f>
        <v>0</v>
      </c>
      <c r="DD21" s="41">
        <f t="shared" si="75"/>
        <v>0</v>
      </c>
      <c r="DE21" s="41">
        <f t="shared" si="76"/>
        <v>0</v>
      </c>
    </row>
    <row r="22" spans="1:109" s="12" customFormat="1" ht="10.199999999999999" x14ac:dyDescent="0.2">
      <c r="A22" s="11" t="s">
        <v>418</v>
      </c>
      <c r="B22" s="11" t="str">
        <f t="shared" si="40"/>
        <v>Облачное хранилище для строительной компании с функцией архивации 203010 20 Аренда помещений</v>
      </c>
      <c r="E22" s="20">
        <v>203010</v>
      </c>
      <c r="F22" s="21" t="str">
        <f>'Карточка проекта'!$B$1</f>
        <v xml:space="preserve">Облачное хранилище для строительной компании с функцией архивации </v>
      </c>
      <c r="G22" s="43" t="s">
        <v>419</v>
      </c>
      <c r="I22" s="41">
        <f t="shared" ref="I22" si="113">AC22+AW22+BQ22+CK22+DE22</f>
        <v>-800000</v>
      </c>
      <c r="K22" s="23">
        <f>-SUMIFS('БДР_Себестоимость и Расходы'!$I:$I,'БДР_Себестоимость и Расходы'!$D:$D,$A22,'БДР_Себестоимость и Расходы'!$C:$C,K$3)</f>
        <v>0</v>
      </c>
      <c r="L22" s="23">
        <f>-SUMIFS('БДР_Себестоимость и Расходы'!$I:$I,'БДР_Себестоимость и Расходы'!$D:$D,$A22,'БДР_Себестоимость и Расходы'!$C:$C,L$3)</f>
        <v>0</v>
      </c>
      <c r="M22" s="23">
        <f>-SUMIFS('БДР_Себестоимость и Расходы'!$I:$I,'БДР_Себестоимость и Расходы'!$D:$D,$A22,'БДР_Себестоимость и Расходы'!$C:$C,M$3)</f>
        <v>0</v>
      </c>
      <c r="N22" s="41">
        <f t="shared" si="42"/>
        <v>0</v>
      </c>
      <c r="O22" s="23">
        <f>-SUMIFS('БДР_Себестоимость и Расходы'!$I:$I,'БДР_Себестоимость и Расходы'!$D:$D,$A22,'БДР_Себестоимость и Расходы'!$C:$C,O$3)</f>
        <v>0</v>
      </c>
      <c r="P22" s="23">
        <f>-SUMIFS('БДР_Себестоимость и Расходы'!$I:$I,'БДР_Себестоимость и Расходы'!$D:$D,$A22,'БДР_Себестоимость и Расходы'!$C:$C,P$3)</f>
        <v>0</v>
      </c>
      <c r="Q22" s="23">
        <f>-SUMIFS('БДР_Себестоимость и Расходы'!$I:$I,'БДР_Себестоимость и Расходы'!$D:$D,$A22,'БДР_Себестоимость и Расходы'!$C:$C,Q$3)</f>
        <v>0</v>
      </c>
      <c r="R22" s="22">
        <f t="shared" si="43"/>
        <v>0</v>
      </c>
      <c r="S22" s="41">
        <f t="shared" si="44"/>
        <v>0</v>
      </c>
      <c r="T22" s="23">
        <f>-SUMIFS('БДР_Себестоимость и Расходы'!$I:$I,'БДР_Себестоимость и Расходы'!$D:$D,$A22,'БДР_Себестоимость и Расходы'!$C:$C,T$3)</f>
        <v>0</v>
      </c>
      <c r="U22" s="23">
        <f>-SUMIFS('БДР_Себестоимость и Расходы'!$I:$I,'БДР_Себестоимость и Расходы'!$D:$D,$A22,'БДР_Себестоимость и Расходы'!$C:$C,U$3)</f>
        <v>0</v>
      </c>
      <c r="V22" s="23">
        <f>-SUMIFS('БДР_Себестоимость и Расходы'!$I:$I,'БДР_Себестоимость и Расходы'!$D:$D,$A22,'БДР_Себестоимость и Расходы'!$C:$C,V$3)</f>
        <v>-800000</v>
      </c>
      <c r="W22" s="41">
        <f t="shared" si="45"/>
        <v>-800000</v>
      </c>
      <c r="X22" s="41">
        <f t="shared" si="46"/>
        <v>-800000</v>
      </c>
      <c r="Y22" s="23">
        <f>-SUMIFS('БДР_Себестоимость и Расходы'!$I:$I,'БДР_Себестоимость и Расходы'!$D:$D,$A22,'БДР_Себестоимость и Расходы'!$C:$C,Y$3)</f>
        <v>0</v>
      </c>
      <c r="Z22" s="23">
        <f>-SUMIFS('БДР_Себестоимость и Расходы'!$I:$I,'БДР_Себестоимость и Расходы'!$D:$D,$A22,'БДР_Себестоимость и Расходы'!$C:$C,Z$3)</f>
        <v>0</v>
      </c>
      <c r="AA22" s="23">
        <f>-SUMIFS('БДР_Себестоимость и Расходы'!$I:$I,'БДР_Себестоимость и Расходы'!$D:$D,$A22,'БДР_Себестоимость и Расходы'!$C:$C,AA$3)</f>
        <v>0</v>
      </c>
      <c r="AB22" s="22">
        <f t="shared" si="47"/>
        <v>0</v>
      </c>
      <c r="AC22" s="41">
        <f t="shared" si="48"/>
        <v>-800000</v>
      </c>
      <c r="AE22" s="23">
        <f>-SUMIFS('БДР_Себестоимость и Расходы'!$I:$I,'БДР_Себестоимость и Расходы'!$D:$D,$A22,'БДР_Себестоимость и Расходы'!$C:$C,AE$3)</f>
        <v>0</v>
      </c>
      <c r="AF22" s="23">
        <f>-SUMIFS('БДР_Себестоимость и Расходы'!$I:$I,'БДР_Себестоимость и Расходы'!$D:$D,$A22,'БДР_Себестоимость и Расходы'!$C:$C,AF$3)</f>
        <v>0</v>
      </c>
      <c r="AG22" s="23">
        <f>-SUMIFS('БДР_Себестоимость и Расходы'!$I:$I,'БДР_Себестоимость и Расходы'!$D:$D,$A22,'БДР_Себестоимость и Расходы'!$C:$C,AG$3)</f>
        <v>0</v>
      </c>
      <c r="AH22" s="41">
        <f t="shared" si="49"/>
        <v>0</v>
      </c>
      <c r="AI22" s="23">
        <f>-SUMIFS('БДР_Себестоимость и Расходы'!$I:$I,'БДР_Себестоимость и Расходы'!$D:$D,$A22,'БДР_Себестоимость и Расходы'!$C:$C,AI$3)</f>
        <v>0</v>
      </c>
      <c r="AJ22" s="23">
        <f>-SUMIFS('БДР_Себестоимость и Расходы'!$I:$I,'БДР_Себестоимость и Расходы'!$D:$D,$A22,'БДР_Себестоимость и Расходы'!$C:$C,AJ$3)</f>
        <v>0</v>
      </c>
      <c r="AK22" s="23">
        <f>-SUMIFS('БДР_Себестоимость и Расходы'!$I:$I,'БДР_Себестоимость и Расходы'!$D:$D,$A22,'БДР_Себестоимость и Расходы'!$C:$C,AK$3)</f>
        <v>0</v>
      </c>
      <c r="AL22" s="41">
        <f t="shared" ref="AL22" si="114">AI22+AJ22+AK22</f>
        <v>0</v>
      </c>
      <c r="AM22" s="41">
        <f t="shared" si="51"/>
        <v>0</v>
      </c>
      <c r="AN22" s="23">
        <f>-SUMIFS('БДР_Себестоимость и Расходы'!$I:$I,'БДР_Себестоимость и Расходы'!$D:$D,$A22,'БДР_Себестоимость и Расходы'!$C:$C,AN$3)</f>
        <v>0</v>
      </c>
      <c r="AO22" s="23">
        <f>-SUMIFS('БДР_Себестоимость и Расходы'!$I:$I,'БДР_Себестоимость и Расходы'!$D:$D,$A22,'БДР_Себестоимость и Расходы'!$C:$C,AO$3)</f>
        <v>0</v>
      </c>
      <c r="AP22" s="23">
        <f>-SUMIFS('БДР_Себестоимость и Расходы'!$I:$I,'БДР_Себестоимость и Расходы'!$D:$D,$A22,'БДР_Себестоимость и Расходы'!$C:$C,AP$3)</f>
        <v>0</v>
      </c>
      <c r="AQ22" s="41">
        <f t="shared" ref="AQ22" si="115">AN22+AO22+AP22</f>
        <v>0</v>
      </c>
      <c r="AR22" s="41">
        <f t="shared" si="53"/>
        <v>0</v>
      </c>
      <c r="AS22" s="23">
        <f>-SUMIFS('БДР_Себестоимость и Расходы'!$I:$I,'БДР_Себестоимость и Расходы'!$D:$D,$A22,'БДР_Себестоимость и Расходы'!$C:$C,AS$3)</f>
        <v>0</v>
      </c>
      <c r="AT22" s="23">
        <f>-SUMIFS('БДР_Себестоимость и Расходы'!$I:$I,'БДР_Себестоимость и Расходы'!$D:$D,$A22,'БДР_Себестоимость и Расходы'!$C:$C,AT$3)</f>
        <v>0</v>
      </c>
      <c r="AU22" s="23">
        <f>-SUMIFS('БДР_Себестоимость и Расходы'!$I:$I,'БДР_Себестоимость и Расходы'!$D:$D,$A22,'БДР_Себестоимость и Расходы'!$C:$C,AU$3)</f>
        <v>0</v>
      </c>
      <c r="AV22" s="41">
        <f t="shared" ref="AV22" si="116">AS22+AT22+AU22</f>
        <v>0</v>
      </c>
      <c r="AW22" s="41">
        <f t="shared" si="55"/>
        <v>0</v>
      </c>
      <c r="AY22" s="23">
        <f>-SUMIFS('БДР_Себестоимость и Расходы'!$I:$I,'БДР_Себестоимость и Расходы'!$D:$D,$A22,'БДР_Себестоимость и Расходы'!$C:$C,AY$3)</f>
        <v>0</v>
      </c>
      <c r="AZ22" s="23">
        <f>-SUMIFS('БДР_Себестоимость и Расходы'!$I:$I,'БДР_Себестоимость и Расходы'!$D:$D,$A22,'БДР_Себестоимость и Расходы'!$C:$C,AZ$3)</f>
        <v>0</v>
      </c>
      <c r="BA22" s="23">
        <f>-SUMIFS('БДР_Себестоимость и Расходы'!$I:$I,'БДР_Себестоимость и Расходы'!$D:$D,$A22,'БДР_Себестоимость и Расходы'!$C:$C,BA$3)</f>
        <v>0</v>
      </c>
      <c r="BB22" s="41">
        <f t="shared" ref="BB22" si="117">AY22+AZ22+BA22</f>
        <v>0</v>
      </c>
      <c r="BC22" s="23">
        <f>-SUMIFS('БДР_Себестоимость и Расходы'!$I:$I,'БДР_Себестоимость и Расходы'!$D:$D,$A22,'БДР_Себестоимость и Расходы'!$C:$C,BC$3)</f>
        <v>0</v>
      </c>
      <c r="BD22" s="23">
        <f>-SUMIFS('БДР_Себестоимость и Расходы'!$I:$I,'БДР_Себестоимость и Расходы'!$D:$D,$A22,'БДР_Себестоимость и Расходы'!$C:$C,BD$3)</f>
        <v>0</v>
      </c>
      <c r="BE22" s="23">
        <f>-SUMIFS('БДР_Себестоимость и Расходы'!$I:$I,'БДР_Себестоимость и Расходы'!$D:$D,$A22,'БДР_Себестоимость и Расходы'!$C:$C,BE$3)</f>
        <v>0</v>
      </c>
      <c r="BF22" s="41">
        <f t="shared" ref="BF22" si="118">BC22+BD22+BE22</f>
        <v>0</v>
      </c>
      <c r="BG22" s="41">
        <f t="shared" ref="BG22" si="119">BB22+BF22</f>
        <v>0</v>
      </c>
      <c r="BH22" s="23">
        <f>-SUMIFS('БДР_Себестоимость и Расходы'!$I:$I,'БДР_Себестоимость и Расходы'!$D:$D,$A22,'БДР_Себестоимость и Расходы'!$C:$C,BH$3)</f>
        <v>0</v>
      </c>
      <c r="BI22" s="23">
        <f>-SUMIFS('БДР_Себестоимость и Расходы'!$I:$I,'БДР_Себестоимость и Расходы'!$D:$D,$A22,'БДР_Себестоимость и Расходы'!$C:$C,BI$3)</f>
        <v>0</v>
      </c>
      <c r="BJ22" s="23">
        <f>-SUMIFS('БДР_Себестоимость и Расходы'!$I:$I,'БДР_Себестоимость и Расходы'!$D:$D,$A22,'БДР_Себестоимость и Расходы'!$C:$C,BJ$3)</f>
        <v>0</v>
      </c>
      <c r="BK22" s="41">
        <f t="shared" ref="BK22" si="120">BH22+BI22+BJ22</f>
        <v>0</v>
      </c>
      <c r="BL22" s="41">
        <f t="shared" ref="BL22" si="121">BG22+BK22</f>
        <v>0</v>
      </c>
      <c r="BM22" s="23">
        <f>-SUMIFS('БДР_Себестоимость и Расходы'!$I:$I,'БДР_Себестоимость и Расходы'!$D:$D,$A22,'БДР_Себестоимость и Расходы'!$C:$C,BM$3)</f>
        <v>0</v>
      </c>
      <c r="BN22" s="23">
        <f>-SUMIFS('БДР_Себестоимость и Расходы'!$I:$I,'БДР_Себестоимость и Расходы'!$D:$D,$A22,'БДР_Себестоимость и Расходы'!$C:$C,BN$3)</f>
        <v>0</v>
      </c>
      <c r="BO22" s="23">
        <f>-SUMIFS('БДР_Себестоимость и Расходы'!$I:$I,'БДР_Себестоимость и Расходы'!$D:$D,$A22,'БДР_Себестоимость и Расходы'!$C:$C,BO$3)</f>
        <v>0</v>
      </c>
      <c r="BP22" s="41">
        <f t="shared" ref="BP22" si="122">BM22+BN22+BO22</f>
        <v>0</v>
      </c>
      <c r="BQ22" s="41">
        <f t="shared" ref="BQ22" si="123">BL22+BP22</f>
        <v>0</v>
      </c>
      <c r="BS22" s="23">
        <f>-SUMIFS('БДР_Себестоимость и Расходы'!$I:$I,'БДР_Себестоимость и Расходы'!$D:$D,$A22,'БДР_Себестоимость и Расходы'!$C:$C,BS$3)</f>
        <v>0</v>
      </c>
      <c r="BT22" s="23">
        <f>-SUMIFS('БДР_Себестоимость и Расходы'!$I:$I,'БДР_Себестоимость и Расходы'!$D:$D,$A22,'БДР_Себестоимость и Расходы'!$C:$C,BT$3)</f>
        <v>0</v>
      </c>
      <c r="BU22" s="23">
        <f>-SUMIFS('БДР_Себестоимость и Расходы'!$I:$I,'БДР_Себестоимость и Расходы'!$D:$D,$A22,'БДР_Себестоимость и Расходы'!$C:$C,BU$3)</f>
        <v>0</v>
      </c>
      <c r="BV22" s="41">
        <f t="shared" ref="BV22" si="124">BS22+BT22+BU22</f>
        <v>0</v>
      </c>
      <c r="BW22" s="23">
        <f>-SUMIFS('БДР_Себестоимость и Расходы'!$I:$I,'БДР_Себестоимость и Расходы'!$D:$D,$A22,'БДР_Себестоимость и Расходы'!$C:$C,BW$3)</f>
        <v>0</v>
      </c>
      <c r="BX22" s="23">
        <f>-SUMIFS('БДР_Себестоимость и Расходы'!$I:$I,'БДР_Себестоимость и Расходы'!$D:$D,$A22,'БДР_Себестоимость и Расходы'!$C:$C,BX$3)</f>
        <v>0</v>
      </c>
      <c r="BY22" s="23">
        <f>-SUMIFS('БДР_Себестоимость и Расходы'!$I:$I,'БДР_Себестоимость и Расходы'!$D:$D,$A22,'БДР_Себестоимость и Расходы'!$C:$C,BY$3)</f>
        <v>0</v>
      </c>
      <c r="BZ22" s="41">
        <f t="shared" ref="BZ22" si="125">BW22+BX22+BY22</f>
        <v>0</v>
      </c>
      <c r="CA22" s="41">
        <f t="shared" ref="CA22" si="126">BV22+BZ22</f>
        <v>0</v>
      </c>
      <c r="CB22" s="23">
        <f>-SUMIFS('БДР_Себестоимость и Расходы'!$I:$I,'БДР_Себестоимость и Расходы'!$D:$D,$A22,'БДР_Себестоимость и Расходы'!$C:$C,CB$3)</f>
        <v>0</v>
      </c>
      <c r="CC22" s="23">
        <f>-SUMIFS('БДР_Себестоимость и Расходы'!$I:$I,'БДР_Себестоимость и Расходы'!$D:$D,$A22,'БДР_Себестоимость и Расходы'!$C:$C,CC$3)</f>
        <v>0</v>
      </c>
      <c r="CD22" s="23">
        <f>-SUMIFS('БДР_Себестоимость и Расходы'!$I:$I,'БДР_Себестоимость и Расходы'!$D:$D,$A22,'БДР_Себестоимость и Расходы'!$C:$C,CD$3)</f>
        <v>0</v>
      </c>
      <c r="CE22" s="41">
        <f t="shared" ref="CE22" si="127">CB22+CC22+CD22</f>
        <v>0</v>
      </c>
      <c r="CF22" s="41">
        <f t="shared" ref="CF22" si="128">CA22+CE22</f>
        <v>0</v>
      </c>
      <c r="CG22" s="23">
        <f>-SUMIFS('БДР_Себестоимость и Расходы'!$I:$I,'БДР_Себестоимость и Расходы'!$D:$D,$A22,'БДР_Себестоимость и Расходы'!$C:$C,CG$3)</f>
        <v>0</v>
      </c>
      <c r="CH22" s="23">
        <f>-SUMIFS('БДР_Себестоимость и Расходы'!$I:$I,'БДР_Себестоимость и Расходы'!$D:$D,$A22,'БДР_Себестоимость и Расходы'!$C:$C,CH$3)</f>
        <v>0</v>
      </c>
      <c r="CI22" s="23">
        <f>-SUMIFS('БДР_Себестоимость и Расходы'!$I:$I,'БДР_Себестоимость и Расходы'!$D:$D,$A22,'БДР_Себестоимость и Расходы'!$C:$C,CI$3)</f>
        <v>0</v>
      </c>
      <c r="CJ22" s="41">
        <f t="shared" ref="CJ22" si="129">CG22+CH22+CI22</f>
        <v>0</v>
      </c>
      <c r="CK22" s="41">
        <f t="shared" ref="CK22" si="130">CF22+CJ22</f>
        <v>0</v>
      </c>
      <c r="CM22" s="23">
        <f>-SUMIFS('БДР_Себестоимость и Расходы'!$I:$I,'БДР_Себестоимость и Расходы'!$D:$D,$A22,'БДР_Себестоимость и Расходы'!$C:$C,CM$3)</f>
        <v>0</v>
      </c>
      <c r="CN22" s="23">
        <f>-SUMIFS('БДР_Себестоимость и Расходы'!$I:$I,'БДР_Себестоимость и Расходы'!$D:$D,$A22,'БДР_Себестоимость и Расходы'!$C:$C,CN$3)</f>
        <v>0</v>
      </c>
      <c r="CO22" s="23">
        <f>-SUMIFS('БДР_Себестоимость и Расходы'!$I:$I,'БДР_Себестоимость и Расходы'!$D:$D,$A22,'БДР_Себестоимость и Расходы'!$C:$C,CO$3)</f>
        <v>0</v>
      </c>
      <c r="CP22" s="41">
        <f t="shared" ref="CP22" si="131">CM22+CN22+CO22</f>
        <v>0</v>
      </c>
      <c r="CQ22" s="23">
        <f>-SUMIFS('БДР_Себестоимость и Расходы'!$I:$I,'БДР_Себестоимость и Расходы'!$D:$D,$A22,'БДР_Себестоимость и Расходы'!$C:$C,CQ$3)</f>
        <v>0</v>
      </c>
      <c r="CR22" s="23">
        <f>-SUMIFS('БДР_Себестоимость и Расходы'!$I:$I,'БДР_Себестоимость и Расходы'!$D:$D,$A22,'БДР_Себестоимость и Расходы'!$C:$C,CR$3)</f>
        <v>0</v>
      </c>
      <c r="CS22" s="23">
        <f>-SUMIFS('БДР_Себестоимость и Расходы'!$I:$I,'БДР_Себестоимость и Расходы'!$D:$D,$A22,'БДР_Себестоимость и Расходы'!$C:$C,CS$3)</f>
        <v>0</v>
      </c>
      <c r="CT22" s="41">
        <f t="shared" ref="CT22" si="132">CQ22+CR22+CS22</f>
        <v>0</v>
      </c>
      <c r="CU22" s="41">
        <f t="shared" ref="CU22" si="133">CP22+CT22</f>
        <v>0</v>
      </c>
      <c r="CV22" s="23">
        <f>-SUMIFS('БДР_Себестоимость и Расходы'!$I:$I,'БДР_Себестоимость и Расходы'!$D:$D,$A22,'БДР_Себестоимость и Расходы'!$C:$C,CV$3)</f>
        <v>0</v>
      </c>
      <c r="CW22" s="23">
        <f>-SUMIFS('БДР_Себестоимость и Расходы'!$I:$I,'БДР_Себестоимость и Расходы'!$D:$D,$A22,'БДР_Себестоимость и Расходы'!$C:$C,CW$3)</f>
        <v>0</v>
      </c>
      <c r="CX22" s="23">
        <f>-SUMIFS('БДР_Себестоимость и Расходы'!$I:$I,'БДР_Себестоимость и Расходы'!$D:$D,$A22,'БДР_Себестоимость и Расходы'!$C:$C,CX$3)</f>
        <v>0</v>
      </c>
      <c r="CY22" s="41">
        <f t="shared" ref="CY22" si="134">CV22+CW22+CX22</f>
        <v>0</v>
      </c>
      <c r="CZ22" s="41">
        <f t="shared" ref="CZ22" si="135">CU22+CY22</f>
        <v>0</v>
      </c>
      <c r="DA22" s="23">
        <f>-SUMIFS('БДР_Себестоимость и Расходы'!$I:$I,'БДР_Себестоимость и Расходы'!$D:$D,$A22,'БДР_Себестоимость и Расходы'!$C:$C,DA$3)</f>
        <v>0</v>
      </c>
      <c r="DB22" s="23">
        <f>-SUMIFS('БДР_Себестоимость и Расходы'!$I:$I,'БДР_Себестоимость и Расходы'!$D:$D,$A22,'БДР_Себестоимость и Расходы'!$C:$C,DB$3)</f>
        <v>0</v>
      </c>
      <c r="DC22" s="23">
        <f>-SUMIFS('БДР_Себестоимость и Расходы'!$I:$I,'БДР_Себестоимость и Расходы'!$D:$D,$A22,'БДР_Себестоимость и Расходы'!$C:$C,DC$3)</f>
        <v>0</v>
      </c>
      <c r="DD22" s="41">
        <f t="shared" ref="DD22" si="136">DA22+DB22+DC22</f>
        <v>0</v>
      </c>
      <c r="DE22" s="41">
        <f t="shared" ref="DE22" si="137">CZ22+DD22</f>
        <v>0</v>
      </c>
    </row>
    <row r="23" spans="1:109" s="12" customFormat="1" ht="10.199999999999999" x14ac:dyDescent="0.2">
      <c r="A23" s="11" t="s">
        <v>216</v>
      </c>
      <c r="B23" s="11" t="str">
        <f t="shared" si="40"/>
        <v>Облачное хранилище для строительной компании с функцией архивации 203031 20 Командировочные расходы - Суточные</v>
      </c>
      <c r="E23" s="20">
        <v>203031</v>
      </c>
      <c r="F23" s="21" t="str">
        <f>'Карточка проекта'!$B$1</f>
        <v xml:space="preserve">Облачное хранилище для строительной компании с функцией архивации </v>
      </c>
      <c r="G23" s="43" t="s">
        <v>217</v>
      </c>
      <c r="I23" s="41">
        <f t="shared" si="41"/>
        <v>-30800</v>
      </c>
      <c r="K23" s="23">
        <f>-SUMIFS(Командировки!$O:$O,Командировки!$J:$J,K$3)</f>
        <v>0</v>
      </c>
      <c r="L23" s="23">
        <f>-SUMIFS(Командировки!$O:$O,Командировки!$J:$J,L$3)</f>
        <v>0</v>
      </c>
      <c r="M23" s="23">
        <f>-SUMIFS(Командировки!$O:$O,Командировки!$J:$J,M$3)</f>
        <v>0</v>
      </c>
      <c r="N23" s="41">
        <f t="shared" si="42"/>
        <v>0</v>
      </c>
      <c r="O23" s="23">
        <f>-SUMIFS(Командировки!$O:$O,Командировки!$J:$J,O$3)</f>
        <v>0</v>
      </c>
      <c r="P23" s="23">
        <f>-SUMIFS(Командировки!$O:$O,Командировки!$J:$J,P$3)</f>
        <v>0</v>
      </c>
      <c r="Q23" s="23">
        <f>-SUMIFS(Командировки!$O:$O,Командировки!$J:$J,Q$3)</f>
        <v>0</v>
      </c>
      <c r="R23" s="22">
        <f t="shared" si="43"/>
        <v>0</v>
      </c>
      <c r="S23" s="41">
        <f t="shared" si="44"/>
        <v>0</v>
      </c>
      <c r="T23" s="23">
        <f>-SUMIFS(Командировки!$O:$O,Командировки!$J:$J,T$3)</f>
        <v>0</v>
      </c>
      <c r="U23" s="23">
        <f>-SUMIFS(Командировки!$O:$O,Командировки!$J:$J,U$3)</f>
        <v>0</v>
      </c>
      <c r="V23" s="23">
        <f>-SUMIFS(Командировки!$O:$O,Командировки!$J:$J,V$3)</f>
        <v>-5600</v>
      </c>
      <c r="W23" s="41">
        <f t="shared" si="45"/>
        <v>-5600</v>
      </c>
      <c r="X23" s="41">
        <f t="shared" si="46"/>
        <v>-5600</v>
      </c>
      <c r="Y23" s="23">
        <f>-SUMIFS(Командировки!$O:$O,Командировки!$J:$J,Y$3)</f>
        <v>-25200</v>
      </c>
      <c r="Z23" s="23">
        <f>-SUMIFS(Командировки!$O:$O,Командировки!$J:$J,Z$3)</f>
        <v>0</v>
      </c>
      <c r="AA23" s="23">
        <f>-SUMIFS(Командировки!$O:$O,Командировки!$J:$J,AA$3)</f>
        <v>0</v>
      </c>
      <c r="AB23" s="22">
        <f t="shared" si="47"/>
        <v>-25200</v>
      </c>
      <c r="AC23" s="41">
        <f t="shared" si="48"/>
        <v>-30800</v>
      </c>
      <c r="AE23" s="23">
        <f>-SUMIFS(Командировки!$O:$O,Командировки!$J:$J,AE$3)</f>
        <v>0</v>
      </c>
      <c r="AF23" s="23">
        <f>-SUMIFS(Командировки!$O:$O,Командировки!$J:$J,AF$3)</f>
        <v>0</v>
      </c>
      <c r="AG23" s="23">
        <f>-SUMIFS(Командировки!$O:$O,Командировки!$J:$J,AG$3)</f>
        <v>0</v>
      </c>
      <c r="AH23" s="41">
        <f t="shared" si="49"/>
        <v>0</v>
      </c>
      <c r="AI23" s="23">
        <f>-SUMIFS(Командировки!$O:$O,Командировки!$J:$J,AI$3)</f>
        <v>0</v>
      </c>
      <c r="AJ23" s="23">
        <f>-SUMIFS(Командировки!$O:$O,Командировки!$J:$J,AJ$3)</f>
        <v>0</v>
      </c>
      <c r="AK23" s="23">
        <f>-SUMIFS(Командировки!$O:$O,Командировки!$J:$J,AK$3)</f>
        <v>0</v>
      </c>
      <c r="AL23" s="41">
        <f t="shared" si="50"/>
        <v>0</v>
      </c>
      <c r="AM23" s="41">
        <f t="shared" si="51"/>
        <v>0</v>
      </c>
      <c r="AN23" s="23">
        <f>-SUMIFS(Командировки!$O:$O,Командировки!$J:$J,AN$3)</f>
        <v>0</v>
      </c>
      <c r="AO23" s="23">
        <f>-SUMIFS(Командировки!$O:$O,Командировки!$J:$J,AO$3)</f>
        <v>0</v>
      </c>
      <c r="AP23" s="23">
        <f>-SUMIFS(Командировки!$O:$O,Командировки!$J:$J,AP$3)</f>
        <v>0</v>
      </c>
      <c r="AQ23" s="41">
        <f t="shared" si="52"/>
        <v>0</v>
      </c>
      <c r="AR23" s="41">
        <f t="shared" si="53"/>
        <v>0</v>
      </c>
      <c r="AS23" s="23">
        <f>-SUMIFS(Командировки!$O:$O,Командировки!$J:$J,AS$3)</f>
        <v>0</v>
      </c>
      <c r="AT23" s="23">
        <f>-SUMIFS(Командировки!$O:$O,Командировки!$J:$J,AT$3)</f>
        <v>0</v>
      </c>
      <c r="AU23" s="23">
        <f>-SUMIFS(Командировки!$O:$O,Командировки!$J:$J,AU$3)</f>
        <v>0</v>
      </c>
      <c r="AV23" s="41">
        <f t="shared" si="54"/>
        <v>0</v>
      </c>
      <c r="AW23" s="41">
        <f t="shared" si="55"/>
        <v>0</v>
      </c>
      <c r="AY23" s="23">
        <f>-SUMIFS(Командировки!$O:$O,Командировки!$J:$J,AY$3)</f>
        <v>0</v>
      </c>
      <c r="AZ23" s="23">
        <f>-SUMIFS(Командировки!$O:$O,Командировки!$J:$J,AZ$3)</f>
        <v>0</v>
      </c>
      <c r="BA23" s="23">
        <f>-SUMIFS(Командировки!$O:$O,Командировки!$J:$J,BA$3)</f>
        <v>0</v>
      </c>
      <c r="BB23" s="41">
        <f t="shared" si="56"/>
        <v>0</v>
      </c>
      <c r="BC23" s="23">
        <f>-SUMIFS(Командировки!$O:$O,Командировки!$J:$J,BC$3)</f>
        <v>0</v>
      </c>
      <c r="BD23" s="23">
        <f>-SUMIFS(Командировки!$O:$O,Командировки!$J:$J,BD$3)</f>
        <v>0</v>
      </c>
      <c r="BE23" s="23">
        <f>-SUMIFS(Командировки!$O:$O,Командировки!$J:$J,BE$3)</f>
        <v>0</v>
      </c>
      <c r="BF23" s="41">
        <f t="shared" si="57"/>
        <v>0</v>
      </c>
      <c r="BG23" s="41">
        <f t="shared" si="58"/>
        <v>0</v>
      </c>
      <c r="BH23" s="23">
        <f>-SUMIFS(Командировки!$O:$O,Командировки!$J:$J,BH$3)</f>
        <v>0</v>
      </c>
      <c r="BI23" s="23">
        <f>-SUMIFS(Командировки!$O:$O,Командировки!$J:$J,BI$3)</f>
        <v>0</v>
      </c>
      <c r="BJ23" s="23">
        <f>-SUMIFS(Командировки!$O:$O,Командировки!$J:$J,BJ$3)</f>
        <v>0</v>
      </c>
      <c r="BK23" s="41">
        <f t="shared" si="59"/>
        <v>0</v>
      </c>
      <c r="BL23" s="41">
        <f t="shared" si="60"/>
        <v>0</v>
      </c>
      <c r="BM23" s="23">
        <f>-SUMIFS(Командировки!$O:$O,Командировки!$J:$J,BM$3)</f>
        <v>0</v>
      </c>
      <c r="BN23" s="23">
        <f>-SUMIFS(Командировки!$O:$O,Командировки!$J:$J,BN$3)</f>
        <v>0</v>
      </c>
      <c r="BO23" s="23">
        <f>-SUMIFS(Командировки!$O:$O,Командировки!$J:$J,BO$3)</f>
        <v>0</v>
      </c>
      <c r="BP23" s="41">
        <f t="shared" si="61"/>
        <v>0</v>
      </c>
      <c r="BQ23" s="41">
        <f t="shared" si="62"/>
        <v>0</v>
      </c>
      <c r="BS23" s="23">
        <f>-SUMIFS(Командировки!$O:$O,Командировки!$J:$J,BS$3)</f>
        <v>0</v>
      </c>
      <c r="BT23" s="23">
        <f>-SUMIFS(Командировки!$O:$O,Командировки!$J:$J,BT$3)</f>
        <v>0</v>
      </c>
      <c r="BU23" s="23">
        <f>-SUMIFS(Командировки!$O:$O,Командировки!$J:$J,BU$3)</f>
        <v>0</v>
      </c>
      <c r="BV23" s="41">
        <f t="shared" si="63"/>
        <v>0</v>
      </c>
      <c r="BW23" s="23">
        <f>-SUMIFS(Командировки!$O:$O,Командировки!$J:$J,BW$3)</f>
        <v>0</v>
      </c>
      <c r="BX23" s="23">
        <f>-SUMIFS(Командировки!$O:$O,Командировки!$J:$J,BX$3)</f>
        <v>0</v>
      </c>
      <c r="BY23" s="23">
        <f>-SUMIFS(Командировки!$O:$O,Командировки!$J:$J,BY$3)</f>
        <v>0</v>
      </c>
      <c r="BZ23" s="41">
        <f t="shared" si="64"/>
        <v>0</v>
      </c>
      <c r="CA23" s="41">
        <f t="shared" si="65"/>
        <v>0</v>
      </c>
      <c r="CB23" s="23">
        <f>-SUMIFS(Командировки!$O:$O,Командировки!$J:$J,CB$3)</f>
        <v>0</v>
      </c>
      <c r="CC23" s="23">
        <f>-SUMIFS(Командировки!$O:$O,Командировки!$J:$J,CC$3)</f>
        <v>0</v>
      </c>
      <c r="CD23" s="23">
        <f>-SUMIFS(Командировки!$O:$O,Командировки!$J:$J,CD$3)</f>
        <v>0</v>
      </c>
      <c r="CE23" s="41">
        <f t="shared" si="66"/>
        <v>0</v>
      </c>
      <c r="CF23" s="41">
        <f t="shared" si="67"/>
        <v>0</v>
      </c>
      <c r="CG23" s="23">
        <f>-SUMIFS(Командировки!$O:$O,Командировки!$J:$J,CG$3)</f>
        <v>0</v>
      </c>
      <c r="CH23" s="23">
        <f>-SUMIFS(Командировки!$O:$O,Командировки!$J:$J,CH$3)</f>
        <v>0</v>
      </c>
      <c r="CI23" s="23">
        <f>-SUMIFS(Командировки!$O:$O,Командировки!$J:$J,CI$3)</f>
        <v>0</v>
      </c>
      <c r="CJ23" s="41">
        <f t="shared" si="68"/>
        <v>0</v>
      </c>
      <c r="CK23" s="41">
        <f t="shared" si="69"/>
        <v>0</v>
      </c>
      <c r="CM23" s="23">
        <f>-SUMIFS('БДР_Себестоимость и Расходы'!$I:$I,'БДР_Себестоимость и Расходы'!$D:$D,$A23,'БДР_Себестоимость и Расходы'!$C:$C,CM$3)</f>
        <v>0</v>
      </c>
      <c r="CN23" s="23">
        <f>-SUMIFS('БДР_Себестоимость и Расходы'!$I:$I,'БДР_Себестоимость и Расходы'!$D:$D,$A23,'БДР_Себестоимость и Расходы'!$C:$C,CN$3)</f>
        <v>0</v>
      </c>
      <c r="CO23" s="23">
        <f>-SUMIFS('БДР_Себестоимость и Расходы'!$I:$I,'БДР_Себестоимость и Расходы'!$D:$D,$A23,'БДР_Себестоимость и Расходы'!$C:$C,CO$3)</f>
        <v>0</v>
      </c>
      <c r="CP23" s="41">
        <f t="shared" si="70"/>
        <v>0</v>
      </c>
      <c r="CQ23" s="23">
        <f>-SUMIFS('БДР_Себестоимость и Расходы'!$I:$I,'БДР_Себестоимость и Расходы'!$D:$D,$A23,'БДР_Себестоимость и Расходы'!$C:$C,CQ$3)</f>
        <v>0</v>
      </c>
      <c r="CR23" s="23">
        <f>-SUMIFS('БДР_Себестоимость и Расходы'!$I:$I,'БДР_Себестоимость и Расходы'!$D:$D,$A23,'БДР_Себестоимость и Расходы'!$C:$C,CR$3)</f>
        <v>0</v>
      </c>
      <c r="CS23" s="23">
        <f>-SUMIFS('БДР_Себестоимость и Расходы'!$I:$I,'БДР_Себестоимость и Расходы'!$D:$D,$A23,'БДР_Себестоимость и Расходы'!$C:$C,CS$3)</f>
        <v>0</v>
      </c>
      <c r="CT23" s="41">
        <f t="shared" si="71"/>
        <v>0</v>
      </c>
      <c r="CU23" s="41">
        <f t="shared" si="72"/>
        <v>0</v>
      </c>
      <c r="CV23" s="23">
        <f>-SUMIFS('БДР_Себестоимость и Расходы'!$I:$I,'БДР_Себестоимость и Расходы'!$D:$D,$A23,'БДР_Себестоимость и Расходы'!$C:$C,CV$3)</f>
        <v>0</v>
      </c>
      <c r="CW23" s="23">
        <f>-SUMIFS('БДР_Себестоимость и Расходы'!$I:$I,'БДР_Себестоимость и Расходы'!$D:$D,$A23,'БДР_Себестоимость и Расходы'!$C:$C,CW$3)</f>
        <v>0</v>
      </c>
      <c r="CX23" s="23">
        <f>-SUMIFS('БДР_Себестоимость и Расходы'!$I:$I,'БДР_Себестоимость и Расходы'!$D:$D,$A23,'БДР_Себестоимость и Расходы'!$C:$C,CX$3)</f>
        <v>0</v>
      </c>
      <c r="CY23" s="41">
        <f t="shared" si="73"/>
        <v>0</v>
      </c>
      <c r="CZ23" s="41">
        <f t="shared" si="74"/>
        <v>0</v>
      </c>
      <c r="DA23" s="23">
        <f>-SUMIFS('БДР_Себестоимость и Расходы'!$I:$I,'БДР_Себестоимость и Расходы'!$D:$D,$A23,'БДР_Себестоимость и Расходы'!$C:$C,DA$3)</f>
        <v>0</v>
      </c>
      <c r="DB23" s="23">
        <f>-SUMIFS('БДР_Себестоимость и Расходы'!$I:$I,'БДР_Себестоимость и Расходы'!$D:$D,$A23,'БДР_Себестоимость и Расходы'!$C:$C,DB$3)</f>
        <v>0</v>
      </c>
      <c r="DC23" s="23">
        <f>-SUMIFS('БДР_Себестоимость и Расходы'!$I:$I,'БДР_Себестоимость и Расходы'!$D:$D,$A23,'БДР_Себестоимость и Расходы'!$C:$C,DC$3)</f>
        <v>0</v>
      </c>
      <c r="DD23" s="41">
        <f t="shared" si="75"/>
        <v>0</v>
      </c>
      <c r="DE23" s="41">
        <f t="shared" si="76"/>
        <v>0</v>
      </c>
    </row>
    <row r="24" spans="1:109" s="12" customFormat="1" ht="10.199999999999999" x14ac:dyDescent="0.2">
      <c r="A24" s="11" t="s">
        <v>218</v>
      </c>
      <c r="B24" s="11" t="str">
        <f t="shared" si="40"/>
        <v>Облачное хранилище для строительной компании с функцией архивации 203032 20 Командировочные расходы - Проживание</v>
      </c>
      <c r="E24" s="20">
        <v>203032</v>
      </c>
      <c r="F24" s="21" t="str">
        <f>'Карточка проекта'!$B$1</f>
        <v xml:space="preserve">Облачное хранилище для строительной компании с функцией архивации </v>
      </c>
      <c r="G24" s="43" t="s">
        <v>219</v>
      </c>
      <c r="I24" s="41">
        <f t="shared" si="41"/>
        <v>-80000</v>
      </c>
      <c r="K24" s="23">
        <f>-SUMIFS(Командировки!$P:$P,Командировки!$J:$J,K$3)</f>
        <v>0</v>
      </c>
      <c r="L24" s="23">
        <f>-SUMIFS(Командировки!$P:$P,Командировки!$J:$J,L$3)</f>
        <v>0</v>
      </c>
      <c r="M24" s="23">
        <f>-SUMIFS(Командировки!$P:$P,Командировки!$J:$J,M$3)</f>
        <v>0</v>
      </c>
      <c r="N24" s="41">
        <f t="shared" si="42"/>
        <v>0</v>
      </c>
      <c r="O24" s="23">
        <f>-SUMIFS(Командировки!$P:$P,Командировки!$J:$J,O$3)</f>
        <v>0</v>
      </c>
      <c r="P24" s="23">
        <f>-SUMIFS(Командировки!$P:$P,Командировки!$J:$J,P$3)</f>
        <v>0</v>
      </c>
      <c r="Q24" s="23">
        <f>-SUMIFS(Командировки!$P:$P,Командировки!$J:$J,Q$3)</f>
        <v>0</v>
      </c>
      <c r="R24" s="22">
        <f t="shared" si="43"/>
        <v>0</v>
      </c>
      <c r="S24" s="41">
        <f t="shared" si="44"/>
        <v>0</v>
      </c>
      <c r="T24" s="23">
        <f>-SUMIFS(Командировки!$P:$P,Командировки!$J:$J,T$3)</f>
        <v>0</v>
      </c>
      <c r="U24" s="23">
        <f>-SUMIFS(Командировки!$P:$P,Командировки!$J:$J,U$3)</f>
        <v>0</v>
      </c>
      <c r="V24" s="23">
        <f>-SUMIFS(Командировки!$P:$P,Командировки!$J:$J,V$3)</f>
        <v>-20000</v>
      </c>
      <c r="W24" s="41">
        <f t="shared" si="45"/>
        <v>-20000</v>
      </c>
      <c r="X24" s="41">
        <f t="shared" si="46"/>
        <v>-20000</v>
      </c>
      <c r="Y24" s="23">
        <f>-SUMIFS(Командировки!$P:$P,Командировки!$J:$J,Y$3)</f>
        <v>-60000</v>
      </c>
      <c r="Z24" s="23">
        <f>-SUMIFS(Командировки!$P:$P,Командировки!$J:$J,Z$3)</f>
        <v>0</v>
      </c>
      <c r="AA24" s="23">
        <f>-SUMIFS(Командировки!$P:$P,Командировки!$J:$J,AA$3)</f>
        <v>0</v>
      </c>
      <c r="AB24" s="22">
        <f t="shared" si="47"/>
        <v>-60000</v>
      </c>
      <c r="AC24" s="41">
        <f t="shared" si="48"/>
        <v>-80000</v>
      </c>
      <c r="AE24" s="23">
        <f>-SUMIFS(Командировки!$P:$P,Командировки!$J:$J,AE$3)</f>
        <v>0</v>
      </c>
      <c r="AF24" s="23">
        <f>-SUMIFS(Командировки!$P:$P,Командировки!$J:$J,AF$3)</f>
        <v>0</v>
      </c>
      <c r="AG24" s="23">
        <f>-SUMIFS(Командировки!$P:$P,Командировки!$J:$J,AG$3)</f>
        <v>0</v>
      </c>
      <c r="AH24" s="41">
        <f t="shared" si="49"/>
        <v>0</v>
      </c>
      <c r="AI24" s="23">
        <f>-SUMIFS(Командировки!$P:$P,Командировки!$J:$J,AI$3)</f>
        <v>0</v>
      </c>
      <c r="AJ24" s="23">
        <f>-SUMIFS(Командировки!$P:$P,Командировки!$J:$J,AJ$3)</f>
        <v>0</v>
      </c>
      <c r="AK24" s="23">
        <f>-SUMIFS(Командировки!$P:$P,Командировки!$J:$J,AK$3)</f>
        <v>0</v>
      </c>
      <c r="AL24" s="41">
        <f t="shared" si="50"/>
        <v>0</v>
      </c>
      <c r="AM24" s="41">
        <f t="shared" si="51"/>
        <v>0</v>
      </c>
      <c r="AN24" s="23">
        <f>-SUMIFS(Командировки!$P:$P,Командировки!$J:$J,AN$3)</f>
        <v>0</v>
      </c>
      <c r="AO24" s="23">
        <f>-SUMIFS(Командировки!$P:$P,Командировки!$J:$J,AO$3)</f>
        <v>0</v>
      </c>
      <c r="AP24" s="23">
        <f>-SUMIFS(Командировки!$P:$P,Командировки!$J:$J,AP$3)</f>
        <v>0</v>
      </c>
      <c r="AQ24" s="41">
        <f t="shared" si="52"/>
        <v>0</v>
      </c>
      <c r="AR24" s="41">
        <f t="shared" si="53"/>
        <v>0</v>
      </c>
      <c r="AS24" s="23">
        <f>-SUMIFS(Командировки!$P:$P,Командировки!$J:$J,AS$3)</f>
        <v>0</v>
      </c>
      <c r="AT24" s="23">
        <f>-SUMIFS(Командировки!$P:$P,Командировки!$J:$J,AT$3)</f>
        <v>0</v>
      </c>
      <c r="AU24" s="23">
        <f>-SUMIFS(Командировки!$P:$P,Командировки!$J:$J,AU$3)</f>
        <v>0</v>
      </c>
      <c r="AV24" s="41">
        <f t="shared" si="54"/>
        <v>0</v>
      </c>
      <c r="AW24" s="41">
        <f t="shared" si="55"/>
        <v>0</v>
      </c>
      <c r="AY24" s="23">
        <f>-SUMIFS(Командировки!$P:$P,Командировки!$J:$J,AY$3)</f>
        <v>0</v>
      </c>
      <c r="AZ24" s="23">
        <f>-SUMIFS(Командировки!$P:$P,Командировки!$J:$J,AZ$3)</f>
        <v>0</v>
      </c>
      <c r="BA24" s="23">
        <f>-SUMIFS(Командировки!$P:$P,Командировки!$J:$J,BA$3)</f>
        <v>0</v>
      </c>
      <c r="BB24" s="41">
        <f t="shared" si="56"/>
        <v>0</v>
      </c>
      <c r="BC24" s="23">
        <f>-SUMIFS(Командировки!$P:$P,Командировки!$J:$J,BC$3)</f>
        <v>0</v>
      </c>
      <c r="BD24" s="23">
        <f>-SUMIFS(Командировки!$P:$P,Командировки!$J:$J,BD$3)</f>
        <v>0</v>
      </c>
      <c r="BE24" s="23">
        <f>-SUMIFS(Командировки!$P:$P,Командировки!$J:$J,BE$3)</f>
        <v>0</v>
      </c>
      <c r="BF24" s="41">
        <f t="shared" si="57"/>
        <v>0</v>
      </c>
      <c r="BG24" s="41">
        <f t="shared" si="58"/>
        <v>0</v>
      </c>
      <c r="BH24" s="23">
        <f>-SUMIFS(Командировки!$P:$P,Командировки!$J:$J,BH$3)</f>
        <v>0</v>
      </c>
      <c r="BI24" s="23">
        <f>-SUMIFS(Командировки!$P:$P,Командировки!$J:$J,BI$3)</f>
        <v>0</v>
      </c>
      <c r="BJ24" s="23">
        <f>-SUMIFS(Командировки!$P:$P,Командировки!$J:$J,BJ$3)</f>
        <v>0</v>
      </c>
      <c r="BK24" s="41">
        <f t="shared" si="59"/>
        <v>0</v>
      </c>
      <c r="BL24" s="41">
        <f t="shared" si="60"/>
        <v>0</v>
      </c>
      <c r="BM24" s="23">
        <f>-SUMIFS(Командировки!$P:$P,Командировки!$J:$J,BM$3)</f>
        <v>0</v>
      </c>
      <c r="BN24" s="23">
        <f>-SUMIFS(Командировки!$P:$P,Командировки!$J:$J,BN$3)</f>
        <v>0</v>
      </c>
      <c r="BO24" s="23">
        <f>-SUMIFS(Командировки!$P:$P,Командировки!$J:$J,BO$3)</f>
        <v>0</v>
      </c>
      <c r="BP24" s="41">
        <f t="shared" si="61"/>
        <v>0</v>
      </c>
      <c r="BQ24" s="41">
        <f t="shared" si="62"/>
        <v>0</v>
      </c>
      <c r="BS24" s="23">
        <f>-SUMIFS(Командировки!$P:$P,Командировки!$J:$J,BS$3)</f>
        <v>0</v>
      </c>
      <c r="BT24" s="23">
        <f>-SUMIFS(Командировки!$P:$P,Командировки!$J:$J,BT$3)</f>
        <v>0</v>
      </c>
      <c r="BU24" s="23">
        <f>-SUMIFS(Командировки!$P:$P,Командировки!$J:$J,BU$3)</f>
        <v>0</v>
      </c>
      <c r="BV24" s="41">
        <f t="shared" si="63"/>
        <v>0</v>
      </c>
      <c r="BW24" s="23">
        <f>-SUMIFS(Командировки!$P:$P,Командировки!$J:$J,BW$3)</f>
        <v>0</v>
      </c>
      <c r="BX24" s="23">
        <f>-SUMIFS(Командировки!$P:$P,Командировки!$J:$J,BX$3)</f>
        <v>0</v>
      </c>
      <c r="BY24" s="23">
        <f>-SUMIFS(Командировки!$P:$P,Командировки!$J:$J,BY$3)</f>
        <v>0</v>
      </c>
      <c r="BZ24" s="41">
        <f t="shared" si="64"/>
        <v>0</v>
      </c>
      <c r="CA24" s="41">
        <f t="shared" si="65"/>
        <v>0</v>
      </c>
      <c r="CB24" s="23">
        <f>-SUMIFS(Командировки!$P:$P,Командировки!$J:$J,CB$3)</f>
        <v>0</v>
      </c>
      <c r="CC24" s="23">
        <f>-SUMIFS(Командировки!$P:$P,Командировки!$J:$J,CC$3)</f>
        <v>0</v>
      </c>
      <c r="CD24" s="23">
        <f>-SUMIFS(Командировки!$P:$P,Командировки!$J:$J,CD$3)</f>
        <v>0</v>
      </c>
      <c r="CE24" s="41">
        <f t="shared" si="66"/>
        <v>0</v>
      </c>
      <c r="CF24" s="41">
        <f t="shared" si="67"/>
        <v>0</v>
      </c>
      <c r="CG24" s="23">
        <f>-SUMIFS(Командировки!$P:$P,Командировки!$J:$J,CG$3)</f>
        <v>0</v>
      </c>
      <c r="CH24" s="23">
        <f>-SUMIFS(Командировки!$P:$P,Командировки!$J:$J,CH$3)</f>
        <v>0</v>
      </c>
      <c r="CI24" s="23">
        <f>-SUMIFS(Командировки!$P:$P,Командировки!$J:$J,CI$3)</f>
        <v>0</v>
      </c>
      <c r="CJ24" s="41">
        <f t="shared" si="68"/>
        <v>0</v>
      </c>
      <c r="CK24" s="41">
        <f t="shared" si="69"/>
        <v>0</v>
      </c>
      <c r="CM24" s="23">
        <f>-SUMIFS('БДР_Себестоимость и Расходы'!$I:$I,'БДР_Себестоимость и Расходы'!$D:$D,$A24,'БДР_Себестоимость и Расходы'!$C:$C,CM$3)</f>
        <v>0</v>
      </c>
      <c r="CN24" s="23">
        <f>-SUMIFS('БДР_Себестоимость и Расходы'!$I:$I,'БДР_Себестоимость и Расходы'!$D:$D,$A24,'БДР_Себестоимость и Расходы'!$C:$C,CN$3)</f>
        <v>0</v>
      </c>
      <c r="CO24" s="23">
        <f>-SUMIFS('БДР_Себестоимость и Расходы'!$I:$I,'БДР_Себестоимость и Расходы'!$D:$D,$A24,'БДР_Себестоимость и Расходы'!$C:$C,CO$3)</f>
        <v>0</v>
      </c>
      <c r="CP24" s="41">
        <f t="shared" si="70"/>
        <v>0</v>
      </c>
      <c r="CQ24" s="23">
        <f>-SUMIFS('БДР_Себестоимость и Расходы'!$I:$I,'БДР_Себестоимость и Расходы'!$D:$D,$A24,'БДР_Себестоимость и Расходы'!$C:$C,CQ$3)</f>
        <v>0</v>
      </c>
      <c r="CR24" s="23">
        <f>-SUMIFS('БДР_Себестоимость и Расходы'!$I:$I,'БДР_Себестоимость и Расходы'!$D:$D,$A24,'БДР_Себестоимость и Расходы'!$C:$C,CR$3)</f>
        <v>0</v>
      </c>
      <c r="CS24" s="23">
        <f>-SUMIFS('БДР_Себестоимость и Расходы'!$I:$I,'БДР_Себестоимость и Расходы'!$D:$D,$A24,'БДР_Себестоимость и Расходы'!$C:$C,CS$3)</f>
        <v>0</v>
      </c>
      <c r="CT24" s="41">
        <f t="shared" si="71"/>
        <v>0</v>
      </c>
      <c r="CU24" s="41">
        <f t="shared" si="72"/>
        <v>0</v>
      </c>
      <c r="CV24" s="23">
        <f>-SUMIFS('БДР_Себестоимость и Расходы'!$I:$I,'БДР_Себестоимость и Расходы'!$D:$D,$A24,'БДР_Себестоимость и Расходы'!$C:$C,CV$3)</f>
        <v>0</v>
      </c>
      <c r="CW24" s="23">
        <f>-SUMIFS('БДР_Себестоимость и Расходы'!$I:$I,'БДР_Себестоимость и Расходы'!$D:$D,$A24,'БДР_Себестоимость и Расходы'!$C:$C,CW$3)</f>
        <v>0</v>
      </c>
      <c r="CX24" s="23">
        <f>-SUMIFS('БДР_Себестоимость и Расходы'!$I:$I,'БДР_Себестоимость и Расходы'!$D:$D,$A24,'БДР_Себестоимость и Расходы'!$C:$C,CX$3)</f>
        <v>0</v>
      </c>
      <c r="CY24" s="41">
        <f t="shared" si="73"/>
        <v>0</v>
      </c>
      <c r="CZ24" s="41">
        <f t="shared" si="74"/>
        <v>0</v>
      </c>
      <c r="DA24" s="23">
        <f>-SUMIFS('БДР_Себестоимость и Расходы'!$I:$I,'БДР_Себестоимость и Расходы'!$D:$D,$A24,'БДР_Себестоимость и Расходы'!$C:$C,DA$3)</f>
        <v>0</v>
      </c>
      <c r="DB24" s="23">
        <f>-SUMIFS('БДР_Себестоимость и Расходы'!$I:$I,'БДР_Себестоимость и Расходы'!$D:$D,$A24,'БДР_Себестоимость и Расходы'!$C:$C,DB$3)</f>
        <v>0</v>
      </c>
      <c r="DC24" s="23">
        <f>-SUMIFS('БДР_Себестоимость и Расходы'!$I:$I,'БДР_Себестоимость и Расходы'!$D:$D,$A24,'БДР_Себестоимость и Расходы'!$C:$C,DC$3)</f>
        <v>0</v>
      </c>
      <c r="DD24" s="41">
        <f t="shared" si="75"/>
        <v>0</v>
      </c>
      <c r="DE24" s="41">
        <f t="shared" si="76"/>
        <v>0</v>
      </c>
    </row>
    <row r="25" spans="1:109" s="12" customFormat="1" ht="10.199999999999999" x14ac:dyDescent="0.2">
      <c r="A25" s="11" t="s">
        <v>220</v>
      </c>
      <c r="B25" s="11" t="str">
        <f t="shared" si="40"/>
        <v>Облачное хранилище для строительной компании с функцией архивации 203033 20 Командировочные расходы - Транспорт</v>
      </c>
      <c r="E25" s="20">
        <v>203033</v>
      </c>
      <c r="F25" s="21" t="str">
        <f>'Карточка проекта'!$B$1</f>
        <v xml:space="preserve">Облачное хранилище для строительной компании с функцией архивации </v>
      </c>
      <c r="G25" s="43" t="s">
        <v>221</v>
      </c>
      <c r="I25" s="41">
        <f t="shared" si="41"/>
        <v>-474000</v>
      </c>
      <c r="K25" s="23">
        <f>-SUMIFS(Командировки!$Q:$Q,Командировки!$J:$J,K$3)</f>
        <v>0</v>
      </c>
      <c r="L25" s="23">
        <f>-SUMIFS(Командировки!$Q:$Q,Командировки!$J:$J,L$3)</f>
        <v>0</v>
      </c>
      <c r="M25" s="23">
        <f>-SUMIFS(Командировки!$Q:$Q,Командировки!$J:$J,M$3)</f>
        <v>0</v>
      </c>
      <c r="N25" s="41">
        <f t="shared" si="42"/>
        <v>0</v>
      </c>
      <c r="O25" s="23">
        <f>-SUMIFS(Командировки!$Q:$Q,Командировки!$J:$J,O$3)</f>
        <v>0</v>
      </c>
      <c r="P25" s="23">
        <f>-SUMIFS(Командировки!$Q:$Q,Командировки!$J:$J,P$3)</f>
        <v>0</v>
      </c>
      <c r="Q25" s="23">
        <f>-SUMIFS(Командировки!$Q:$Q,Командировки!$J:$J,Q$3)</f>
        <v>0</v>
      </c>
      <c r="R25" s="22">
        <f t="shared" si="43"/>
        <v>0</v>
      </c>
      <c r="S25" s="41">
        <f t="shared" si="44"/>
        <v>0</v>
      </c>
      <c r="T25" s="23">
        <f>-SUMIFS(Командировки!$Q:$Q,Командировки!$J:$J,T$3)</f>
        <v>0</v>
      </c>
      <c r="U25" s="23">
        <f>-SUMIFS(Командировки!$Q:$Q,Командировки!$J:$J,U$3)</f>
        <v>0</v>
      </c>
      <c r="V25" s="23">
        <f>-SUMIFS(Командировки!$Q:$Q,Командировки!$J:$J,V$3)</f>
        <v>-48000</v>
      </c>
      <c r="W25" s="41">
        <f t="shared" si="45"/>
        <v>-48000</v>
      </c>
      <c r="X25" s="41">
        <f t="shared" si="46"/>
        <v>-48000</v>
      </c>
      <c r="Y25" s="23">
        <f>-SUMIFS(Командировки!$Q:$Q,Командировки!$J:$J,Y$3)</f>
        <v>-426000</v>
      </c>
      <c r="Z25" s="23">
        <f>-SUMIFS(Командировки!$Q:$Q,Командировки!$J:$J,Z$3)</f>
        <v>0</v>
      </c>
      <c r="AA25" s="23">
        <f>-SUMIFS(Командировки!$Q:$Q,Командировки!$J:$J,AA$3)</f>
        <v>0</v>
      </c>
      <c r="AB25" s="22">
        <f t="shared" si="47"/>
        <v>-426000</v>
      </c>
      <c r="AC25" s="41">
        <f t="shared" si="48"/>
        <v>-474000</v>
      </c>
      <c r="AE25" s="23">
        <f>-SUMIFS(Командировки!$Q:$Q,Командировки!$J:$J,AE$3)</f>
        <v>0</v>
      </c>
      <c r="AF25" s="23">
        <f>-SUMIFS(Командировки!$Q:$Q,Командировки!$J:$J,AF$3)</f>
        <v>0</v>
      </c>
      <c r="AG25" s="23">
        <f>-SUMIFS(Командировки!$Q:$Q,Командировки!$J:$J,AG$3)</f>
        <v>0</v>
      </c>
      <c r="AH25" s="41">
        <f t="shared" si="49"/>
        <v>0</v>
      </c>
      <c r="AI25" s="23">
        <f>-SUMIFS(Командировки!$Q:$Q,Командировки!$J:$J,AI$3)</f>
        <v>0</v>
      </c>
      <c r="AJ25" s="23">
        <f>-SUMIFS(Командировки!$Q:$Q,Командировки!$J:$J,AJ$3)</f>
        <v>0</v>
      </c>
      <c r="AK25" s="23">
        <f>-SUMIFS(Командировки!$Q:$Q,Командировки!$J:$J,AK$3)</f>
        <v>0</v>
      </c>
      <c r="AL25" s="41">
        <f t="shared" si="50"/>
        <v>0</v>
      </c>
      <c r="AM25" s="41">
        <f t="shared" si="51"/>
        <v>0</v>
      </c>
      <c r="AN25" s="23">
        <f>-SUMIFS(Командировки!$Q:$Q,Командировки!$J:$J,AN$3)</f>
        <v>0</v>
      </c>
      <c r="AO25" s="23">
        <f>-SUMIFS(Командировки!$Q:$Q,Командировки!$J:$J,AO$3)</f>
        <v>0</v>
      </c>
      <c r="AP25" s="23">
        <f>-SUMIFS(Командировки!$Q:$Q,Командировки!$J:$J,AP$3)</f>
        <v>0</v>
      </c>
      <c r="AQ25" s="41">
        <f t="shared" si="52"/>
        <v>0</v>
      </c>
      <c r="AR25" s="41">
        <f t="shared" si="53"/>
        <v>0</v>
      </c>
      <c r="AS25" s="23">
        <f>-SUMIFS(Командировки!$Q:$Q,Командировки!$J:$J,AS$3)</f>
        <v>0</v>
      </c>
      <c r="AT25" s="23">
        <f>-SUMIFS(Командировки!$Q:$Q,Командировки!$J:$J,AT$3)</f>
        <v>0</v>
      </c>
      <c r="AU25" s="23">
        <f>-SUMIFS(Командировки!$Q:$Q,Командировки!$J:$J,AU$3)</f>
        <v>0</v>
      </c>
      <c r="AV25" s="41">
        <f t="shared" si="54"/>
        <v>0</v>
      </c>
      <c r="AW25" s="41">
        <f t="shared" si="55"/>
        <v>0</v>
      </c>
      <c r="AY25" s="23">
        <f>-SUMIFS(Командировки!$Q:$Q,Командировки!$J:$J,AY$3)</f>
        <v>0</v>
      </c>
      <c r="AZ25" s="23">
        <f>-SUMIFS(Командировки!$Q:$Q,Командировки!$J:$J,AZ$3)</f>
        <v>0</v>
      </c>
      <c r="BA25" s="23">
        <f>-SUMIFS(Командировки!$Q:$Q,Командировки!$J:$J,BA$3)</f>
        <v>0</v>
      </c>
      <c r="BB25" s="41">
        <f t="shared" si="56"/>
        <v>0</v>
      </c>
      <c r="BC25" s="23">
        <f>-SUMIFS(Командировки!$Q:$Q,Командировки!$J:$J,BC$3)</f>
        <v>0</v>
      </c>
      <c r="BD25" s="23">
        <f>-SUMIFS(Командировки!$Q:$Q,Командировки!$J:$J,BD$3)</f>
        <v>0</v>
      </c>
      <c r="BE25" s="23">
        <f>-SUMIFS(Командировки!$Q:$Q,Командировки!$J:$J,BE$3)</f>
        <v>0</v>
      </c>
      <c r="BF25" s="41">
        <f t="shared" si="57"/>
        <v>0</v>
      </c>
      <c r="BG25" s="41">
        <f t="shared" si="58"/>
        <v>0</v>
      </c>
      <c r="BH25" s="23">
        <f>-SUMIFS(Командировки!$Q:$Q,Командировки!$J:$J,BH$3)</f>
        <v>0</v>
      </c>
      <c r="BI25" s="23">
        <f>-SUMIFS(Командировки!$Q:$Q,Командировки!$J:$J,BI$3)</f>
        <v>0</v>
      </c>
      <c r="BJ25" s="23">
        <f>-SUMIFS(Командировки!$Q:$Q,Командировки!$J:$J,BJ$3)</f>
        <v>0</v>
      </c>
      <c r="BK25" s="41">
        <f t="shared" si="59"/>
        <v>0</v>
      </c>
      <c r="BL25" s="41">
        <f t="shared" si="60"/>
        <v>0</v>
      </c>
      <c r="BM25" s="23">
        <f>-SUMIFS(Командировки!$Q:$Q,Командировки!$J:$J,BM$3)</f>
        <v>0</v>
      </c>
      <c r="BN25" s="23">
        <f>-SUMIFS(Командировки!$Q:$Q,Командировки!$J:$J,BN$3)</f>
        <v>0</v>
      </c>
      <c r="BO25" s="23">
        <f>-SUMIFS(Командировки!$Q:$Q,Командировки!$J:$J,BO$3)</f>
        <v>0</v>
      </c>
      <c r="BP25" s="41">
        <f t="shared" si="61"/>
        <v>0</v>
      </c>
      <c r="BQ25" s="41">
        <f t="shared" si="62"/>
        <v>0</v>
      </c>
      <c r="BS25" s="23">
        <f>-SUMIFS(Командировки!$Q:$Q,Командировки!$J:$J,BS$3)</f>
        <v>0</v>
      </c>
      <c r="BT25" s="23">
        <f>-SUMIFS(Командировки!$Q:$Q,Командировки!$J:$J,BT$3)</f>
        <v>0</v>
      </c>
      <c r="BU25" s="23">
        <f>-SUMIFS(Командировки!$Q:$Q,Командировки!$J:$J,BU$3)</f>
        <v>0</v>
      </c>
      <c r="BV25" s="41">
        <f t="shared" si="63"/>
        <v>0</v>
      </c>
      <c r="BW25" s="23">
        <f>-SUMIFS(Командировки!$Q:$Q,Командировки!$J:$J,BW$3)</f>
        <v>0</v>
      </c>
      <c r="BX25" s="23">
        <f>-SUMIFS(Командировки!$Q:$Q,Командировки!$J:$J,BX$3)</f>
        <v>0</v>
      </c>
      <c r="BY25" s="23">
        <f>-SUMIFS(Командировки!$Q:$Q,Командировки!$J:$J,BY$3)</f>
        <v>0</v>
      </c>
      <c r="BZ25" s="41">
        <f t="shared" si="64"/>
        <v>0</v>
      </c>
      <c r="CA25" s="41">
        <f t="shared" si="65"/>
        <v>0</v>
      </c>
      <c r="CB25" s="23">
        <f>-SUMIFS(Командировки!$Q:$Q,Командировки!$J:$J,CB$3)</f>
        <v>0</v>
      </c>
      <c r="CC25" s="23">
        <f>-SUMIFS(Командировки!$Q:$Q,Командировки!$J:$J,CC$3)</f>
        <v>0</v>
      </c>
      <c r="CD25" s="23">
        <f>-SUMIFS(Командировки!$Q:$Q,Командировки!$J:$J,CD$3)</f>
        <v>0</v>
      </c>
      <c r="CE25" s="41">
        <f t="shared" si="66"/>
        <v>0</v>
      </c>
      <c r="CF25" s="41">
        <f t="shared" si="67"/>
        <v>0</v>
      </c>
      <c r="CG25" s="23">
        <f>-SUMIFS(Командировки!$Q:$Q,Командировки!$J:$J,CG$3)</f>
        <v>0</v>
      </c>
      <c r="CH25" s="23">
        <f>-SUMIFS(Командировки!$Q:$Q,Командировки!$J:$J,CH$3)</f>
        <v>0</v>
      </c>
      <c r="CI25" s="23">
        <f>-SUMIFS(Командировки!$Q:$Q,Командировки!$J:$J,CI$3)</f>
        <v>0</v>
      </c>
      <c r="CJ25" s="41">
        <f t="shared" si="68"/>
        <v>0</v>
      </c>
      <c r="CK25" s="41">
        <f t="shared" si="69"/>
        <v>0</v>
      </c>
      <c r="CM25" s="23">
        <f>-SUMIFS('БДР_Себестоимость и Расходы'!$I:$I,'БДР_Себестоимость и Расходы'!$D:$D,$A25,'БДР_Себестоимость и Расходы'!$C:$C,CM$3)</f>
        <v>0</v>
      </c>
      <c r="CN25" s="23">
        <f>-SUMIFS('БДР_Себестоимость и Расходы'!$I:$I,'БДР_Себестоимость и Расходы'!$D:$D,$A25,'БДР_Себестоимость и Расходы'!$C:$C,CN$3)</f>
        <v>0</v>
      </c>
      <c r="CO25" s="23">
        <f>-SUMIFS('БДР_Себестоимость и Расходы'!$I:$I,'БДР_Себестоимость и Расходы'!$D:$D,$A25,'БДР_Себестоимость и Расходы'!$C:$C,CO$3)</f>
        <v>0</v>
      </c>
      <c r="CP25" s="41">
        <f t="shared" si="70"/>
        <v>0</v>
      </c>
      <c r="CQ25" s="23">
        <f>-SUMIFS('БДР_Себестоимость и Расходы'!$I:$I,'БДР_Себестоимость и Расходы'!$D:$D,$A25,'БДР_Себестоимость и Расходы'!$C:$C,CQ$3)</f>
        <v>0</v>
      </c>
      <c r="CR25" s="23">
        <f>-SUMIFS('БДР_Себестоимость и Расходы'!$I:$I,'БДР_Себестоимость и Расходы'!$D:$D,$A25,'БДР_Себестоимость и Расходы'!$C:$C,CR$3)</f>
        <v>0</v>
      </c>
      <c r="CS25" s="23">
        <f>-SUMIFS('БДР_Себестоимость и Расходы'!$I:$I,'БДР_Себестоимость и Расходы'!$D:$D,$A25,'БДР_Себестоимость и Расходы'!$C:$C,CS$3)</f>
        <v>0</v>
      </c>
      <c r="CT25" s="41">
        <f t="shared" si="71"/>
        <v>0</v>
      </c>
      <c r="CU25" s="41">
        <f t="shared" si="72"/>
        <v>0</v>
      </c>
      <c r="CV25" s="23">
        <f>-SUMIFS('БДР_Себестоимость и Расходы'!$I:$I,'БДР_Себестоимость и Расходы'!$D:$D,$A25,'БДР_Себестоимость и Расходы'!$C:$C,CV$3)</f>
        <v>0</v>
      </c>
      <c r="CW25" s="23">
        <f>-SUMIFS('БДР_Себестоимость и Расходы'!$I:$I,'БДР_Себестоимость и Расходы'!$D:$D,$A25,'БДР_Себестоимость и Расходы'!$C:$C,CW$3)</f>
        <v>0</v>
      </c>
      <c r="CX25" s="23">
        <f>-SUMIFS('БДР_Себестоимость и Расходы'!$I:$I,'БДР_Себестоимость и Расходы'!$D:$D,$A25,'БДР_Себестоимость и Расходы'!$C:$C,CX$3)</f>
        <v>0</v>
      </c>
      <c r="CY25" s="41">
        <f t="shared" si="73"/>
        <v>0</v>
      </c>
      <c r="CZ25" s="41">
        <f t="shared" si="74"/>
        <v>0</v>
      </c>
      <c r="DA25" s="23">
        <f>-SUMIFS('БДР_Себестоимость и Расходы'!$I:$I,'БДР_Себестоимость и Расходы'!$D:$D,$A25,'БДР_Себестоимость и Расходы'!$C:$C,DA$3)</f>
        <v>0</v>
      </c>
      <c r="DB25" s="23">
        <f>-SUMIFS('БДР_Себестоимость и Расходы'!$I:$I,'БДР_Себестоимость и Расходы'!$D:$D,$A25,'БДР_Себестоимость и Расходы'!$C:$C,DB$3)</f>
        <v>0</v>
      </c>
      <c r="DC25" s="23">
        <f>-SUMIFS('БДР_Себестоимость и Расходы'!$I:$I,'БДР_Себестоимость и Расходы'!$D:$D,$A25,'БДР_Себестоимость и Расходы'!$C:$C,DC$3)</f>
        <v>0</v>
      </c>
      <c r="DD25" s="41">
        <f t="shared" si="75"/>
        <v>0</v>
      </c>
      <c r="DE25" s="41">
        <f t="shared" si="76"/>
        <v>0</v>
      </c>
    </row>
    <row r="26" spans="1:109" s="12" customFormat="1" ht="10.199999999999999" x14ac:dyDescent="0.2">
      <c r="A26" s="11" t="s">
        <v>222</v>
      </c>
      <c r="B26" s="11" t="str">
        <f t="shared" si="40"/>
        <v>Облачное хранилище для строительной компании с функцией архивации 203034 20 Командировочные расходы - Прочее</v>
      </c>
      <c r="E26" s="20">
        <v>203034</v>
      </c>
      <c r="F26" s="21" t="str">
        <f>'Карточка проекта'!$B$1</f>
        <v xml:space="preserve">Облачное хранилище для строительной компании с функцией архивации </v>
      </c>
      <c r="G26" s="43" t="s">
        <v>223</v>
      </c>
      <c r="I26" s="41">
        <f t="shared" si="41"/>
        <v>0</v>
      </c>
      <c r="K26" s="23">
        <f>-SUMIFS(Командировки!$R:$R,Командировки!$J:$J,K$3)</f>
        <v>0</v>
      </c>
      <c r="L26" s="23">
        <f>-SUMIFS(Командировки!$R:$R,Командировки!$J:$J,L$3)</f>
        <v>0</v>
      </c>
      <c r="M26" s="23">
        <f>-SUMIFS(Командировки!$R:$R,Командировки!$J:$J,M$3)</f>
        <v>0</v>
      </c>
      <c r="N26" s="41">
        <f t="shared" si="42"/>
        <v>0</v>
      </c>
      <c r="O26" s="23">
        <f>-SUMIFS(Командировки!$R:$R,Командировки!$J:$J,O$3)</f>
        <v>0</v>
      </c>
      <c r="P26" s="23">
        <f>-SUMIFS(Командировки!$R:$R,Командировки!$J:$J,P$3)</f>
        <v>0</v>
      </c>
      <c r="Q26" s="23">
        <f>-SUMIFS(Командировки!$R:$R,Командировки!$J:$J,Q$3)</f>
        <v>0</v>
      </c>
      <c r="R26" s="22">
        <f t="shared" si="43"/>
        <v>0</v>
      </c>
      <c r="S26" s="41">
        <f t="shared" si="44"/>
        <v>0</v>
      </c>
      <c r="T26" s="23">
        <f>-SUMIFS(Командировки!$R:$R,Командировки!$J:$J,T$3)</f>
        <v>0</v>
      </c>
      <c r="U26" s="23">
        <f>-SUMIFS(Командировки!$R:$R,Командировки!$J:$J,U$3)</f>
        <v>0</v>
      </c>
      <c r="V26" s="23">
        <f>-SUMIFS(Командировки!$R:$R,Командировки!$J:$J,V$3)</f>
        <v>0</v>
      </c>
      <c r="W26" s="41">
        <f t="shared" si="45"/>
        <v>0</v>
      </c>
      <c r="X26" s="41">
        <f t="shared" si="46"/>
        <v>0</v>
      </c>
      <c r="Y26" s="23">
        <f>-SUMIFS(Командировки!$R:$R,Командировки!$J:$J,Y$3)</f>
        <v>0</v>
      </c>
      <c r="Z26" s="23">
        <f>-SUMIFS(Командировки!$R:$R,Командировки!$J:$J,Z$3)</f>
        <v>0</v>
      </c>
      <c r="AA26" s="23">
        <f>-SUMIFS(Командировки!$R:$R,Командировки!$J:$J,AA$3)</f>
        <v>0</v>
      </c>
      <c r="AB26" s="22">
        <f t="shared" si="47"/>
        <v>0</v>
      </c>
      <c r="AC26" s="41">
        <f t="shared" si="48"/>
        <v>0</v>
      </c>
      <c r="AE26" s="23">
        <f>-SUMIFS(Командировки!$R:$R,Командировки!$J:$J,AE$3)</f>
        <v>0</v>
      </c>
      <c r="AF26" s="23">
        <f>-SUMIFS(Командировки!$R:$R,Командировки!$J:$J,AF$3)</f>
        <v>0</v>
      </c>
      <c r="AG26" s="23">
        <f>-SUMIFS(Командировки!$R:$R,Командировки!$J:$J,AG$3)</f>
        <v>0</v>
      </c>
      <c r="AH26" s="41">
        <f t="shared" si="49"/>
        <v>0</v>
      </c>
      <c r="AI26" s="23">
        <f>-SUMIFS(Командировки!$R:$R,Командировки!$J:$J,AI$3)</f>
        <v>0</v>
      </c>
      <c r="AJ26" s="23">
        <f>-SUMIFS(Командировки!$R:$R,Командировки!$J:$J,AJ$3)</f>
        <v>0</v>
      </c>
      <c r="AK26" s="23">
        <f>-SUMIFS(Командировки!$R:$R,Командировки!$J:$J,AK$3)</f>
        <v>0</v>
      </c>
      <c r="AL26" s="41">
        <f t="shared" si="50"/>
        <v>0</v>
      </c>
      <c r="AM26" s="41">
        <f t="shared" si="51"/>
        <v>0</v>
      </c>
      <c r="AN26" s="23">
        <f>-SUMIFS(Командировки!$R:$R,Командировки!$J:$J,AN$3)</f>
        <v>0</v>
      </c>
      <c r="AO26" s="23">
        <f>-SUMIFS(Командировки!$R:$R,Командировки!$J:$J,AO$3)</f>
        <v>0</v>
      </c>
      <c r="AP26" s="23">
        <f>-SUMIFS(Командировки!$R:$R,Командировки!$J:$J,AP$3)</f>
        <v>0</v>
      </c>
      <c r="AQ26" s="41">
        <f t="shared" si="52"/>
        <v>0</v>
      </c>
      <c r="AR26" s="41">
        <f t="shared" si="53"/>
        <v>0</v>
      </c>
      <c r="AS26" s="23">
        <f>-SUMIFS(Командировки!$R:$R,Командировки!$J:$J,AS$3)</f>
        <v>0</v>
      </c>
      <c r="AT26" s="23">
        <f>-SUMIFS(Командировки!$R:$R,Командировки!$J:$J,AT$3)</f>
        <v>0</v>
      </c>
      <c r="AU26" s="23">
        <f>-SUMIFS(Командировки!$R:$R,Командировки!$J:$J,AU$3)</f>
        <v>0</v>
      </c>
      <c r="AV26" s="41">
        <f t="shared" si="54"/>
        <v>0</v>
      </c>
      <c r="AW26" s="41">
        <f t="shared" si="55"/>
        <v>0</v>
      </c>
      <c r="AY26" s="23">
        <f>-SUMIFS(Командировки!$R:$R,Командировки!$J:$J,AY$3)</f>
        <v>0</v>
      </c>
      <c r="AZ26" s="23">
        <f>-SUMIFS(Командировки!$R:$R,Командировки!$J:$J,AZ$3)</f>
        <v>0</v>
      </c>
      <c r="BA26" s="23">
        <f>-SUMIFS(Командировки!$R:$R,Командировки!$J:$J,BA$3)</f>
        <v>0</v>
      </c>
      <c r="BB26" s="41">
        <f t="shared" si="56"/>
        <v>0</v>
      </c>
      <c r="BC26" s="23">
        <f>-SUMIFS(Командировки!$R:$R,Командировки!$J:$J,BC$3)</f>
        <v>0</v>
      </c>
      <c r="BD26" s="23">
        <f>-SUMIFS(Командировки!$R:$R,Командировки!$J:$J,BD$3)</f>
        <v>0</v>
      </c>
      <c r="BE26" s="23">
        <f>-SUMIFS(Командировки!$R:$R,Командировки!$J:$J,BE$3)</f>
        <v>0</v>
      </c>
      <c r="BF26" s="41">
        <f t="shared" si="57"/>
        <v>0</v>
      </c>
      <c r="BG26" s="41">
        <f t="shared" si="58"/>
        <v>0</v>
      </c>
      <c r="BH26" s="23">
        <f>-SUMIFS(Командировки!$R:$R,Командировки!$J:$J,BH$3)</f>
        <v>0</v>
      </c>
      <c r="BI26" s="23">
        <f>-SUMIFS(Командировки!$R:$R,Командировки!$J:$J,BI$3)</f>
        <v>0</v>
      </c>
      <c r="BJ26" s="23">
        <f>-SUMIFS(Командировки!$R:$R,Командировки!$J:$J,BJ$3)</f>
        <v>0</v>
      </c>
      <c r="BK26" s="41">
        <f t="shared" si="59"/>
        <v>0</v>
      </c>
      <c r="BL26" s="41">
        <f t="shared" si="60"/>
        <v>0</v>
      </c>
      <c r="BM26" s="23">
        <f>-SUMIFS(Командировки!$R:$R,Командировки!$J:$J,BM$3)</f>
        <v>0</v>
      </c>
      <c r="BN26" s="23">
        <f>-SUMIFS(Командировки!$R:$R,Командировки!$J:$J,BN$3)</f>
        <v>0</v>
      </c>
      <c r="BO26" s="23">
        <f>-SUMIFS(Командировки!$R:$R,Командировки!$J:$J,BO$3)</f>
        <v>0</v>
      </c>
      <c r="BP26" s="41">
        <f t="shared" si="61"/>
        <v>0</v>
      </c>
      <c r="BQ26" s="41">
        <f t="shared" si="62"/>
        <v>0</v>
      </c>
      <c r="BS26" s="23">
        <f>-SUMIFS(Командировки!$R:$R,Командировки!$J:$J,BS$3)</f>
        <v>0</v>
      </c>
      <c r="BT26" s="23">
        <f>-SUMIFS(Командировки!$R:$R,Командировки!$J:$J,BT$3)</f>
        <v>0</v>
      </c>
      <c r="BU26" s="23">
        <f>-SUMIFS(Командировки!$R:$R,Командировки!$J:$J,BU$3)</f>
        <v>0</v>
      </c>
      <c r="BV26" s="41">
        <f t="shared" si="63"/>
        <v>0</v>
      </c>
      <c r="BW26" s="23">
        <f>-SUMIFS(Командировки!$R:$R,Командировки!$J:$J,BW$3)</f>
        <v>0</v>
      </c>
      <c r="BX26" s="23">
        <f>-SUMIFS(Командировки!$R:$R,Командировки!$J:$J,BX$3)</f>
        <v>0</v>
      </c>
      <c r="BY26" s="23">
        <f>-SUMIFS(Командировки!$R:$R,Командировки!$J:$J,BY$3)</f>
        <v>0</v>
      </c>
      <c r="BZ26" s="41">
        <f t="shared" si="64"/>
        <v>0</v>
      </c>
      <c r="CA26" s="41">
        <f t="shared" si="65"/>
        <v>0</v>
      </c>
      <c r="CB26" s="23">
        <f>-SUMIFS(Командировки!$R:$R,Командировки!$J:$J,CB$3)</f>
        <v>0</v>
      </c>
      <c r="CC26" s="23">
        <f>-SUMIFS(Командировки!$R:$R,Командировки!$J:$J,CC$3)</f>
        <v>0</v>
      </c>
      <c r="CD26" s="23">
        <f>-SUMIFS(Командировки!$R:$R,Командировки!$J:$J,CD$3)</f>
        <v>0</v>
      </c>
      <c r="CE26" s="41">
        <f t="shared" si="66"/>
        <v>0</v>
      </c>
      <c r="CF26" s="41">
        <f t="shared" si="67"/>
        <v>0</v>
      </c>
      <c r="CG26" s="23">
        <f>-SUMIFS(Командировки!$R:$R,Командировки!$J:$J,CG$3)</f>
        <v>0</v>
      </c>
      <c r="CH26" s="23">
        <f>-SUMIFS(Командировки!$R:$R,Командировки!$J:$J,CH$3)</f>
        <v>0</v>
      </c>
      <c r="CI26" s="23">
        <f>-SUMIFS(Командировки!$R:$R,Командировки!$J:$J,CI$3)</f>
        <v>0</v>
      </c>
      <c r="CJ26" s="41">
        <f t="shared" si="68"/>
        <v>0</v>
      </c>
      <c r="CK26" s="41">
        <f t="shared" si="69"/>
        <v>0</v>
      </c>
      <c r="CM26" s="23">
        <f>-SUMIFS('БДР_Себестоимость и Расходы'!$I:$I,'БДР_Себестоимость и Расходы'!$D:$D,$A26,'БДР_Себестоимость и Расходы'!$C:$C,CM$3)</f>
        <v>0</v>
      </c>
      <c r="CN26" s="23">
        <f>-SUMIFS('БДР_Себестоимость и Расходы'!$I:$I,'БДР_Себестоимость и Расходы'!$D:$D,$A26,'БДР_Себестоимость и Расходы'!$C:$C,CN$3)</f>
        <v>0</v>
      </c>
      <c r="CO26" s="23">
        <f>-SUMIFS('БДР_Себестоимость и Расходы'!$I:$I,'БДР_Себестоимость и Расходы'!$D:$D,$A26,'БДР_Себестоимость и Расходы'!$C:$C,CO$3)</f>
        <v>0</v>
      </c>
      <c r="CP26" s="41">
        <f t="shared" si="70"/>
        <v>0</v>
      </c>
      <c r="CQ26" s="23">
        <f>-SUMIFS('БДР_Себестоимость и Расходы'!$I:$I,'БДР_Себестоимость и Расходы'!$D:$D,$A26,'БДР_Себестоимость и Расходы'!$C:$C,CQ$3)</f>
        <v>0</v>
      </c>
      <c r="CR26" s="23">
        <f>-SUMIFS('БДР_Себестоимость и Расходы'!$I:$I,'БДР_Себестоимость и Расходы'!$D:$D,$A26,'БДР_Себестоимость и Расходы'!$C:$C,CR$3)</f>
        <v>0</v>
      </c>
      <c r="CS26" s="23">
        <f>-SUMIFS('БДР_Себестоимость и Расходы'!$I:$I,'БДР_Себестоимость и Расходы'!$D:$D,$A26,'БДР_Себестоимость и Расходы'!$C:$C,CS$3)</f>
        <v>0</v>
      </c>
      <c r="CT26" s="41">
        <f t="shared" si="71"/>
        <v>0</v>
      </c>
      <c r="CU26" s="41">
        <f t="shared" si="72"/>
        <v>0</v>
      </c>
      <c r="CV26" s="23">
        <f>-SUMIFS('БДР_Себестоимость и Расходы'!$I:$I,'БДР_Себестоимость и Расходы'!$D:$D,$A26,'БДР_Себестоимость и Расходы'!$C:$C,CV$3)</f>
        <v>0</v>
      </c>
      <c r="CW26" s="23">
        <f>-SUMIFS('БДР_Себестоимость и Расходы'!$I:$I,'БДР_Себестоимость и Расходы'!$D:$D,$A26,'БДР_Себестоимость и Расходы'!$C:$C,CW$3)</f>
        <v>0</v>
      </c>
      <c r="CX26" s="23">
        <f>-SUMIFS('БДР_Себестоимость и Расходы'!$I:$I,'БДР_Себестоимость и Расходы'!$D:$D,$A26,'БДР_Себестоимость и Расходы'!$C:$C,CX$3)</f>
        <v>0</v>
      </c>
      <c r="CY26" s="41">
        <f t="shared" si="73"/>
        <v>0</v>
      </c>
      <c r="CZ26" s="41">
        <f t="shared" si="74"/>
        <v>0</v>
      </c>
      <c r="DA26" s="23">
        <f>-SUMIFS('БДР_Себестоимость и Расходы'!$I:$I,'БДР_Себестоимость и Расходы'!$D:$D,$A26,'БДР_Себестоимость и Расходы'!$C:$C,DA$3)</f>
        <v>0</v>
      </c>
      <c r="DB26" s="23">
        <f>-SUMIFS('БДР_Себестоимость и Расходы'!$I:$I,'БДР_Себестоимость и Расходы'!$D:$D,$A26,'БДР_Себестоимость и Расходы'!$C:$C,DB$3)</f>
        <v>0</v>
      </c>
      <c r="DC26" s="23">
        <f>-SUMIFS('БДР_Себестоимость и Расходы'!$I:$I,'БДР_Себестоимость и Расходы'!$D:$D,$A26,'БДР_Себестоимость и Расходы'!$C:$C,DC$3)</f>
        <v>0</v>
      </c>
      <c r="DD26" s="41">
        <f t="shared" si="75"/>
        <v>0</v>
      </c>
      <c r="DE26" s="41">
        <f t="shared" si="76"/>
        <v>0</v>
      </c>
    </row>
    <row r="27" spans="1:109" s="12" customFormat="1" ht="10.199999999999999" x14ac:dyDescent="0.2">
      <c r="A27" s="11" t="s">
        <v>224</v>
      </c>
      <c r="B27" s="11" t="str">
        <f t="shared" si="40"/>
        <v>Облачное хранилище для строительной компании с функцией архивации 203120 20 Материальные расходы</v>
      </c>
      <c r="E27" s="20">
        <v>203120</v>
      </c>
      <c r="F27" s="21" t="str">
        <f>'Карточка проекта'!$B$1</f>
        <v xml:space="preserve">Облачное хранилище для строительной компании с функцией архивации </v>
      </c>
      <c r="G27" s="43" t="s">
        <v>225</v>
      </c>
      <c r="I27" s="41">
        <f t="shared" si="41"/>
        <v>-600000</v>
      </c>
      <c r="K27" s="23">
        <f>-SUMIFS('БДР_Себестоимость и Расходы'!$I:$I,'БДР_Себестоимость и Расходы'!$D:$D,$A27,'БДР_Себестоимость и Расходы'!$C:$C,K$3)</f>
        <v>0</v>
      </c>
      <c r="L27" s="23">
        <f>-SUMIFS('БДР_Себестоимость и Расходы'!$I:$I,'БДР_Себестоимость и Расходы'!$D:$D,$A27,'БДР_Себестоимость и Расходы'!$C:$C,L$3)</f>
        <v>0</v>
      </c>
      <c r="M27" s="23">
        <f>-SUMIFS('БДР_Себестоимость и Расходы'!$I:$I,'БДР_Себестоимость и Расходы'!$D:$D,$A27,'БДР_Себестоимость и Расходы'!$C:$C,M$3)</f>
        <v>0</v>
      </c>
      <c r="N27" s="41">
        <f t="shared" si="42"/>
        <v>0</v>
      </c>
      <c r="O27" s="23">
        <f>-SUMIFS('БДР_Себестоимость и Расходы'!$I:$I,'БДР_Себестоимость и Расходы'!$D:$D,$A27,'БДР_Себестоимость и Расходы'!$C:$C,O$3)</f>
        <v>0</v>
      </c>
      <c r="P27" s="23">
        <f>-SUMIFS('БДР_Себестоимость и Расходы'!$I:$I,'БДР_Себестоимость и Расходы'!$D:$D,$A27,'БДР_Себестоимость и Расходы'!$C:$C,P$3)</f>
        <v>0</v>
      </c>
      <c r="Q27" s="23">
        <f>-SUMIFS('БДР_Себестоимость и Расходы'!$I:$I,'БДР_Себестоимость и Расходы'!$D:$D,$A27,'БДР_Себестоимость и Расходы'!$C:$C,Q$3)</f>
        <v>0</v>
      </c>
      <c r="R27" s="22">
        <f t="shared" si="43"/>
        <v>0</v>
      </c>
      <c r="S27" s="41">
        <f t="shared" si="44"/>
        <v>0</v>
      </c>
      <c r="T27" s="23">
        <f>-SUMIFS('БДР_Себестоимость и Расходы'!$I:$I,'БДР_Себестоимость и Расходы'!$D:$D,$A27,'БДР_Себестоимость и Расходы'!$C:$C,T$3)</f>
        <v>0</v>
      </c>
      <c r="U27" s="23">
        <f>-SUMIFS('БДР_Себестоимость и Расходы'!$I:$I,'БДР_Себестоимость и Расходы'!$D:$D,$A27,'БДР_Себестоимость и Расходы'!$C:$C,U$3)</f>
        <v>0</v>
      </c>
      <c r="V27" s="23">
        <f>-SUMIFS('БДР_Себестоимость и Расходы'!$I:$I,'БДР_Себестоимость и Расходы'!$D:$D,$A27,'БДР_Себестоимость и Расходы'!$C:$C,V$3)</f>
        <v>-600000</v>
      </c>
      <c r="W27" s="41">
        <f t="shared" si="45"/>
        <v>-600000</v>
      </c>
      <c r="X27" s="41">
        <f t="shared" si="46"/>
        <v>-600000</v>
      </c>
      <c r="Y27" s="23">
        <f>-SUMIFS('БДР_Себестоимость и Расходы'!$I:$I,'БДР_Себестоимость и Расходы'!$D:$D,$A27,'БДР_Себестоимость и Расходы'!$C:$C,Y$3)</f>
        <v>0</v>
      </c>
      <c r="Z27" s="23">
        <f>-SUMIFS('БДР_Себестоимость и Расходы'!$I:$I,'БДР_Себестоимость и Расходы'!$D:$D,$A27,'БДР_Себестоимость и Расходы'!$C:$C,Z$3)</f>
        <v>0</v>
      </c>
      <c r="AA27" s="23">
        <f>-SUMIFS('БДР_Себестоимость и Расходы'!$I:$I,'БДР_Себестоимость и Расходы'!$D:$D,$A27,'БДР_Себестоимость и Расходы'!$C:$C,AA$3)</f>
        <v>0</v>
      </c>
      <c r="AB27" s="22">
        <f t="shared" si="47"/>
        <v>0</v>
      </c>
      <c r="AC27" s="41">
        <f t="shared" si="48"/>
        <v>-600000</v>
      </c>
      <c r="AE27" s="23">
        <f>-SUMIFS('БДР_Себестоимость и Расходы'!$I:$I,'БДР_Себестоимость и Расходы'!$D:$D,$A27,'БДР_Себестоимость и Расходы'!$C:$C,AE$3)</f>
        <v>0</v>
      </c>
      <c r="AF27" s="23">
        <f>-SUMIFS('БДР_Себестоимость и Расходы'!$I:$I,'БДР_Себестоимость и Расходы'!$D:$D,$A27,'БДР_Себестоимость и Расходы'!$C:$C,AF$3)</f>
        <v>0</v>
      </c>
      <c r="AG27" s="23">
        <f>-SUMIFS('БДР_Себестоимость и Расходы'!$I:$I,'БДР_Себестоимость и Расходы'!$D:$D,$A27,'БДР_Себестоимость и Расходы'!$C:$C,AG$3)</f>
        <v>0</v>
      </c>
      <c r="AH27" s="41">
        <f t="shared" si="49"/>
        <v>0</v>
      </c>
      <c r="AI27" s="23">
        <f>-SUMIFS('БДР_Себестоимость и Расходы'!$I:$I,'БДР_Себестоимость и Расходы'!$D:$D,$A27,'БДР_Себестоимость и Расходы'!$C:$C,AI$3)</f>
        <v>0</v>
      </c>
      <c r="AJ27" s="23">
        <f>-SUMIFS('БДР_Себестоимость и Расходы'!$I:$I,'БДР_Себестоимость и Расходы'!$D:$D,$A27,'БДР_Себестоимость и Расходы'!$C:$C,AJ$3)</f>
        <v>0</v>
      </c>
      <c r="AK27" s="23">
        <f>-SUMIFS('БДР_Себестоимость и Расходы'!$I:$I,'БДР_Себестоимость и Расходы'!$D:$D,$A27,'БДР_Себестоимость и Расходы'!$C:$C,AK$3)</f>
        <v>0</v>
      </c>
      <c r="AL27" s="41">
        <f t="shared" si="50"/>
        <v>0</v>
      </c>
      <c r="AM27" s="41">
        <f t="shared" si="51"/>
        <v>0</v>
      </c>
      <c r="AN27" s="23">
        <f>-SUMIFS('БДР_Себестоимость и Расходы'!$I:$I,'БДР_Себестоимость и Расходы'!$D:$D,$A27,'БДР_Себестоимость и Расходы'!$C:$C,AN$3)</f>
        <v>0</v>
      </c>
      <c r="AO27" s="23">
        <f>-SUMIFS('БДР_Себестоимость и Расходы'!$I:$I,'БДР_Себестоимость и Расходы'!$D:$D,$A27,'БДР_Себестоимость и Расходы'!$C:$C,AO$3)</f>
        <v>0</v>
      </c>
      <c r="AP27" s="23">
        <f>-SUMIFS('БДР_Себестоимость и Расходы'!$I:$I,'БДР_Себестоимость и Расходы'!$D:$D,$A27,'БДР_Себестоимость и Расходы'!$C:$C,AP$3)</f>
        <v>0</v>
      </c>
      <c r="AQ27" s="41">
        <f t="shared" si="52"/>
        <v>0</v>
      </c>
      <c r="AR27" s="41">
        <f t="shared" si="53"/>
        <v>0</v>
      </c>
      <c r="AS27" s="23">
        <f>-SUMIFS('БДР_Себестоимость и Расходы'!$I:$I,'БДР_Себестоимость и Расходы'!$D:$D,$A27,'БДР_Себестоимость и Расходы'!$C:$C,AS$3)</f>
        <v>0</v>
      </c>
      <c r="AT27" s="23">
        <f>-SUMIFS('БДР_Себестоимость и Расходы'!$I:$I,'БДР_Себестоимость и Расходы'!$D:$D,$A27,'БДР_Себестоимость и Расходы'!$C:$C,AT$3)</f>
        <v>0</v>
      </c>
      <c r="AU27" s="23">
        <f>-SUMIFS('БДР_Себестоимость и Расходы'!$I:$I,'БДР_Себестоимость и Расходы'!$D:$D,$A27,'БДР_Себестоимость и Расходы'!$C:$C,AU$3)</f>
        <v>0</v>
      </c>
      <c r="AV27" s="41">
        <f t="shared" si="54"/>
        <v>0</v>
      </c>
      <c r="AW27" s="41">
        <f t="shared" si="55"/>
        <v>0</v>
      </c>
      <c r="AY27" s="23">
        <f>-SUMIFS('БДР_Себестоимость и Расходы'!$I:$I,'БДР_Себестоимость и Расходы'!$D:$D,$A27,'БДР_Себестоимость и Расходы'!$C:$C,AY$3)</f>
        <v>0</v>
      </c>
      <c r="AZ27" s="23">
        <f>-SUMIFS('БДР_Себестоимость и Расходы'!$I:$I,'БДР_Себестоимость и Расходы'!$D:$D,$A27,'БДР_Себестоимость и Расходы'!$C:$C,AZ$3)</f>
        <v>0</v>
      </c>
      <c r="BA27" s="23">
        <f>-SUMIFS('БДР_Себестоимость и Расходы'!$I:$I,'БДР_Себестоимость и Расходы'!$D:$D,$A27,'БДР_Себестоимость и Расходы'!$C:$C,BA$3)</f>
        <v>0</v>
      </c>
      <c r="BB27" s="41">
        <f t="shared" si="56"/>
        <v>0</v>
      </c>
      <c r="BC27" s="23">
        <f>-SUMIFS('БДР_Себестоимость и Расходы'!$I:$I,'БДР_Себестоимость и Расходы'!$D:$D,$A27,'БДР_Себестоимость и Расходы'!$C:$C,BC$3)</f>
        <v>0</v>
      </c>
      <c r="BD27" s="23">
        <f>-SUMIFS('БДР_Себестоимость и Расходы'!$I:$I,'БДР_Себестоимость и Расходы'!$D:$D,$A27,'БДР_Себестоимость и Расходы'!$C:$C,BD$3)</f>
        <v>0</v>
      </c>
      <c r="BE27" s="23">
        <f>-SUMIFS('БДР_Себестоимость и Расходы'!$I:$I,'БДР_Себестоимость и Расходы'!$D:$D,$A27,'БДР_Себестоимость и Расходы'!$C:$C,BE$3)</f>
        <v>0</v>
      </c>
      <c r="BF27" s="41">
        <f t="shared" si="57"/>
        <v>0</v>
      </c>
      <c r="BG27" s="41">
        <f t="shared" si="58"/>
        <v>0</v>
      </c>
      <c r="BH27" s="23">
        <f>-SUMIFS('БДР_Себестоимость и Расходы'!$I:$I,'БДР_Себестоимость и Расходы'!$D:$D,$A27,'БДР_Себестоимость и Расходы'!$C:$C,BH$3)</f>
        <v>0</v>
      </c>
      <c r="BI27" s="23">
        <f>-SUMIFS('БДР_Себестоимость и Расходы'!$I:$I,'БДР_Себестоимость и Расходы'!$D:$D,$A27,'БДР_Себестоимость и Расходы'!$C:$C,BI$3)</f>
        <v>0</v>
      </c>
      <c r="BJ27" s="23">
        <f>-SUMIFS('БДР_Себестоимость и Расходы'!$I:$I,'БДР_Себестоимость и Расходы'!$D:$D,$A27,'БДР_Себестоимость и Расходы'!$C:$C,BJ$3)</f>
        <v>0</v>
      </c>
      <c r="BK27" s="41">
        <f t="shared" si="59"/>
        <v>0</v>
      </c>
      <c r="BL27" s="41">
        <f t="shared" si="60"/>
        <v>0</v>
      </c>
      <c r="BM27" s="23">
        <f>-SUMIFS('БДР_Себестоимость и Расходы'!$I:$I,'БДР_Себестоимость и Расходы'!$D:$D,$A27,'БДР_Себестоимость и Расходы'!$C:$C,BM$3)</f>
        <v>0</v>
      </c>
      <c r="BN27" s="23">
        <f>-SUMIFS('БДР_Себестоимость и Расходы'!$I:$I,'БДР_Себестоимость и Расходы'!$D:$D,$A27,'БДР_Себестоимость и Расходы'!$C:$C,BN$3)</f>
        <v>0</v>
      </c>
      <c r="BO27" s="23">
        <f>-SUMIFS('БДР_Себестоимость и Расходы'!$I:$I,'БДР_Себестоимость и Расходы'!$D:$D,$A27,'БДР_Себестоимость и Расходы'!$C:$C,BO$3)</f>
        <v>0</v>
      </c>
      <c r="BP27" s="41">
        <f t="shared" si="61"/>
        <v>0</v>
      </c>
      <c r="BQ27" s="41">
        <f t="shared" si="62"/>
        <v>0</v>
      </c>
      <c r="BS27" s="23">
        <f>-SUMIFS('БДР_Себестоимость и Расходы'!$I:$I,'БДР_Себестоимость и Расходы'!$D:$D,$A27,'БДР_Себестоимость и Расходы'!$C:$C,BS$3)</f>
        <v>0</v>
      </c>
      <c r="BT27" s="23">
        <f>-SUMIFS('БДР_Себестоимость и Расходы'!$I:$I,'БДР_Себестоимость и Расходы'!$D:$D,$A27,'БДР_Себестоимость и Расходы'!$C:$C,BT$3)</f>
        <v>0</v>
      </c>
      <c r="BU27" s="23">
        <f>-SUMIFS('БДР_Себестоимость и Расходы'!$I:$I,'БДР_Себестоимость и Расходы'!$D:$D,$A27,'БДР_Себестоимость и Расходы'!$C:$C,BU$3)</f>
        <v>0</v>
      </c>
      <c r="BV27" s="41">
        <f t="shared" si="63"/>
        <v>0</v>
      </c>
      <c r="BW27" s="23">
        <f>-SUMIFS('БДР_Себестоимость и Расходы'!$I:$I,'БДР_Себестоимость и Расходы'!$D:$D,$A27,'БДР_Себестоимость и Расходы'!$C:$C,BW$3)</f>
        <v>0</v>
      </c>
      <c r="BX27" s="23">
        <f>-SUMIFS('БДР_Себестоимость и Расходы'!$I:$I,'БДР_Себестоимость и Расходы'!$D:$D,$A27,'БДР_Себестоимость и Расходы'!$C:$C,BX$3)</f>
        <v>0</v>
      </c>
      <c r="BY27" s="23">
        <f>-SUMIFS('БДР_Себестоимость и Расходы'!$I:$I,'БДР_Себестоимость и Расходы'!$D:$D,$A27,'БДР_Себестоимость и Расходы'!$C:$C,BY$3)</f>
        <v>0</v>
      </c>
      <c r="BZ27" s="41">
        <f t="shared" si="64"/>
        <v>0</v>
      </c>
      <c r="CA27" s="41">
        <f t="shared" si="65"/>
        <v>0</v>
      </c>
      <c r="CB27" s="23">
        <f>-SUMIFS('БДР_Себестоимость и Расходы'!$I:$I,'БДР_Себестоимость и Расходы'!$D:$D,$A27,'БДР_Себестоимость и Расходы'!$C:$C,CB$3)</f>
        <v>0</v>
      </c>
      <c r="CC27" s="23">
        <f>-SUMIFS('БДР_Себестоимость и Расходы'!$I:$I,'БДР_Себестоимость и Расходы'!$D:$D,$A27,'БДР_Себестоимость и Расходы'!$C:$C,CC$3)</f>
        <v>0</v>
      </c>
      <c r="CD27" s="23">
        <f>-SUMIFS('БДР_Себестоимость и Расходы'!$I:$I,'БДР_Себестоимость и Расходы'!$D:$D,$A27,'БДР_Себестоимость и Расходы'!$C:$C,CD$3)</f>
        <v>0</v>
      </c>
      <c r="CE27" s="41">
        <f t="shared" si="66"/>
        <v>0</v>
      </c>
      <c r="CF27" s="41">
        <f t="shared" si="67"/>
        <v>0</v>
      </c>
      <c r="CG27" s="23">
        <f>-SUMIFS('БДР_Себестоимость и Расходы'!$I:$I,'БДР_Себестоимость и Расходы'!$D:$D,$A27,'БДР_Себестоимость и Расходы'!$C:$C,CG$3)</f>
        <v>0</v>
      </c>
      <c r="CH27" s="23">
        <f>-SUMIFS('БДР_Себестоимость и Расходы'!$I:$I,'БДР_Себестоимость и Расходы'!$D:$D,$A27,'БДР_Себестоимость и Расходы'!$C:$C,CH$3)</f>
        <v>0</v>
      </c>
      <c r="CI27" s="23">
        <f>-SUMIFS('БДР_Себестоимость и Расходы'!$I:$I,'БДР_Себестоимость и Расходы'!$D:$D,$A27,'БДР_Себестоимость и Расходы'!$C:$C,CI$3)</f>
        <v>0</v>
      </c>
      <c r="CJ27" s="41">
        <f t="shared" si="68"/>
        <v>0</v>
      </c>
      <c r="CK27" s="41">
        <f t="shared" si="69"/>
        <v>0</v>
      </c>
      <c r="CM27" s="23">
        <f>-SUMIFS('БДР_Себестоимость и Расходы'!$I:$I,'БДР_Себестоимость и Расходы'!$D:$D,$A27,'БДР_Себестоимость и Расходы'!$C:$C,CM$3)</f>
        <v>0</v>
      </c>
      <c r="CN27" s="23">
        <f>-SUMIFS('БДР_Себестоимость и Расходы'!$I:$I,'БДР_Себестоимость и Расходы'!$D:$D,$A27,'БДР_Себестоимость и Расходы'!$C:$C,CN$3)</f>
        <v>0</v>
      </c>
      <c r="CO27" s="23">
        <f>-SUMIFS('БДР_Себестоимость и Расходы'!$I:$I,'БДР_Себестоимость и Расходы'!$D:$D,$A27,'БДР_Себестоимость и Расходы'!$C:$C,CO$3)</f>
        <v>0</v>
      </c>
      <c r="CP27" s="41">
        <f t="shared" si="70"/>
        <v>0</v>
      </c>
      <c r="CQ27" s="23">
        <f>-SUMIFS('БДР_Себестоимость и Расходы'!$I:$I,'БДР_Себестоимость и Расходы'!$D:$D,$A27,'БДР_Себестоимость и Расходы'!$C:$C,CQ$3)</f>
        <v>0</v>
      </c>
      <c r="CR27" s="23">
        <f>-SUMIFS('БДР_Себестоимость и Расходы'!$I:$I,'БДР_Себестоимость и Расходы'!$D:$D,$A27,'БДР_Себестоимость и Расходы'!$C:$C,CR$3)</f>
        <v>0</v>
      </c>
      <c r="CS27" s="23">
        <f>-SUMIFS('БДР_Себестоимость и Расходы'!$I:$I,'БДР_Себестоимость и Расходы'!$D:$D,$A27,'БДР_Себестоимость и Расходы'!$C:$C,CS$3)</f>
        <v>0</v>
      </c>
      <c r="CT27" s="41">
        <f t="shared" si="71"/>
        <v>0</v>
      </c>
      <c r="CU27" s="41">
        <f t="shared" si="72"/>
        <v>0</v>
      </c>
      <c r="CV27" s="23">
        <f>-SUMIFS('БДР_Себестоимость и Расходы'!$I:$I,'БДР_Себестоимость и Расходы'!$D:$D,$A27,'БДР_Себестоимость и Расходы'!$C:$C,CV$3)</f>
        <v>0</v>
      </c>
      <c r="CW27" s="23">
        <f>-SUMIFS('БДР_Себестоимость и Расходы'!$I:$I,'БДР_Себестоимость и Расходы'!$D:$D,$A27,'БДР_Себестоимость и Расходы'!$C:$C,CW$3)</f>
        <v>0</v>
      </c>
      <c r="CX27" s="23">
        <f>-SUMIFS('БДР_Себестоимость и Расходы'!$I:$I,'БДР_Себестоимость и Расходы'!$D:$D,$A27,'БДР_Себестоимость и Расходы'!$C:$C,CX$3)</f>
        <v>0</v>
      </c>
      <c r="CY27" s="41">
        <f t="shared" si="73"/>
        <v>0</v>
      </c>
      <c r="CZ27" s="41">
        <f t="shared" si="74"/>
        <v>0</v>
      </c>
      <c r="DA27" s="23">
        <f>-SUMIFS('БДР_Себестоимость и Расходы'!$I:$I,'БДР_Себестоимость и Расходы'!$D:$D,$A27,'БДР_Себестоимость и Расходы'!$C:$C,DA$3)</f>
        <v>0</v>
      </c>
      <c r="DB27" s="23">
        <f>-SUMIFS('БДР_Себестоимость и Расходы'!$I:$I,'БДР_Себестоимость и Расходы'!$D:$D,$A27,'БДР_Себестоимость и Расходы'!$C:$C,DB$3)</f>
        <v>0</v>
      </c>
      <c r="DC27" s="23">
        <f>-SUMIFS('БДР_Себестоимость и Расходы'!$I:$I,'БДР_Себестоимость и Расходы'!$D:$D,$A27,'БДР_Себестоимость и Расходы'!$C:$C,DC$3)</f>
        <v>0</v>
      </c>
      <c r="DD27" s="41">
        <f t="shared" si="75"/>
        <v>0</v>
      </c>
      <c r="DE27" s="41">
        <f t="shared" si="76"/>
        <v>0</v>
      </c>
    </row>
    <row r="28" spans="1:109" s="12" customFormat="1" ht="10.199999999999999" x14ac:dyDescent="0.2">
      <c r="A28" s="11" t="s">
        <v>279</v>
      </c>
      <c r="B28" s="11" t="str">
        <f t="shared" si="40"/>
        <v>Облачное хранилище для строительной компании с функцией архивации 205190 20 Комиссия за выдачу БГ</v>
      </c>
      <c r="E28" s="20">
        <v>205190</v>
      </c>
      <c r="F28" s="21" t="str">
        <f>'Карточка проекта'!$B$1</f>
        <v xml:space="preserve">Облачное хранилище для строительной компании с функцией архивации </v>
      </c>
      <c r="G28" s="43" t="s">
        <v>280</v>
      </c>
      <c r="I28" s="41">
        <f t="shared" si="41"/>
        <v>-100000</v>
      </c>
      <c r="K28" s="23">
        <f>-SUMIFS('БДР_Себестоимость и Расходы'!$I:$I,'БДР_Себестоимость и Расходы'!$D:$D,$A28,'БДР_Себестоимость и Расходы'!$C:$C,K$3)</f>
        <v>0</v>
      </c>
      <c r="L28" s="23">
        <f>-SUMIFS('БДР_Себестоимость и Расходы'!$I:$I,'БДР_Себестоимость и Расходы'!$D:$D,$A28,'БДР_Себестоимость и Расходы'!$C:$C,L$3)</f>
        <v>0</v>
      </c>
      <c r="M28" s="23">
        <f>-SUMIFS('БДР_Себестоимость и Расходы'!$I:$I,'БДР_Себестоимость и Расходы'!$D:$D,$A28,'БДР_Себестоимость и Расходы'!$C:$C,M$3)</f>
        <v>0</v>
      </c>
      <c r="N28" s="41">
        <f t="shared" ref="N28" si="138">K28+L28+M28</f>
        <v>0</v>
      </c>
      <c r="O28" s="23">
        <f>-SUMIFS('БДР_Себестоимость и Расходы'!$I:$I,'БДР_Себестоимость и Расходы'!$D:$D,$A28,'БДР_Себестоимость и Расходы'!$C:$C,O$3)</f>
        <v>0</v>
      </c>
      <c r="P28" s="23">
        <f>-SUMIFS('БДР_Себестоимость и Расходы'!$I:$I,'БДР_Себестоимость и Расходы'!$D:$D,$A28,'БДР_Себестоимость и Расходы'!$C:$C,P$3)</f>
        <v>0</v>
      </c>
      <c r="Q28" s="23">
        <f>-SUMIFS('БДР_Себестоимость и Расходы'!$I:$I,'БДР_Себестоимость и Расходы'!$D:$D,$A28,'БДР_Себестоимость и Расходы'!$C:$C,Q$3)</f>
        <v>0</v>
      </c>
      <c r="R28" s="22">
        <f t="shared" ref="R28" si="139">O28+P28+Q28</f>
        <v>0</v>
      </c>
      <c r="S28" s="41">
        <f t="shared" ref="S28" si="140">N28+R28</f>
        <v>0</v>
      </c>
      <c r="T28" s="23">
        <f>-SUMIFS('БДР_Себестоимость и Расходы'!$I:$I,'БДР_Себестоимость и Расходы'!$D:$D,$A28,'БДР_Себестоимость и Расходы'!$C:$C,T$3)</f>
        <v>0</v>
      </c>
      <c r="U28" s="23">
        <f>-SUMIFS('БДР_Себестоимость и Расходы'!$I:$I,'БДР_Себестоимость и Расходы'!$D:$D,$A28,'БДР_Себестоимость и Расходы'!$C:$C,U$3)</f>
        <v>0</v>
      </c>
      <c r="V28" s="23">
        <f>-SUMIFS('БДР_Себестоимость и Расходы'!$I:$I,'БДР_Себестоимость и Расходы'!$D:$D,$A28,'БДР_Себестоимость и Расходы'!$C:$C,V$3)</f>
        <v>0</v>
      </c>
      <c r="W28" s="41">
        <f t="shared" ref="W28" si="141">T28+U28+V28</f>
        <v>0</v>
      </c>
      <c r="X28" s="41">
        <f t="shared" ref="X28" si="142">S28+W28</f>
        <v>0</v>
      </c>
      <c r="Y28" s="23">
        <f>-SUMIFS('БДР_Себестоимость и Расходы'!$I:$I,'БДР_Себестоимость и Расходы'!$D:$D,$A28,'БДР_Себестоимость и Расходы'!$C:$C,Y$3)</f>
        <v>0</v>
      </c>
      <c r="Z28" s="23">
        <f>-SUMIFS('БДР_Себестоимость и Расходы'!$I:$I,'БДР_Себестоимость и Расходы'!$D:$D,$A28,'БДР_Себестоимость и Расходы'!$C:$C,Z$3)</f>
        <v>0</v>
      </c>
      <c r="AA28" s="23">
        <f>-SUMIFS('БДР_Себестоимость и Расходы'!$I:$I,'БДР_Себестоимость и Расходы'!$D:$D,$A28,'БДР_Себестоимость и Расходы'!$C:$C,AA$3)</f>
        <v>-100000</v>
      </c>
      <c r="AB28" s="22">
        <f t="shared" ref="AB28" si="143">Y28+Z28+AA28</f>
        <v>-100000</v>
      </c>
      <c r="AC28" s="41">
        <f t="shared" ref="AC28" si="144">X28+AB28</f>
        <v>-100000</v>
      </c>
      <c r="AE28" s="23">
        <f>-SUMIFS('БДР_Себестоимость и Расходы'!$I:$I,'БДР_Себестоимость и Расходы'!$D:$D,$A28,'БДР_Себестоимость и Расходы'!$C:$C,AE$3)</f>
        <v>0</v>
      </c>
      <c r="AF28" s="23">
        <f>-SUMIFS('БДР_Себестоимость и Расходы'!$I:$I,'БДР_Себестоимость и Расходы'!$D:$D,$A28,'БДР_Себестоимость и Расходы'!$C:$C,AF$3)</f>
        <v>0</v>
      </c>
      <c r="AG28" s="23">
        <f>-SUMIFS('БДР_Себестоимость и Расходы'!$I:$I,'БДР_Себестоимость и Расходы'!$D:$D,$A28,'БДР_Себестоимость и Расходы'!$C:$C,AG$3)</f>
        <v>0</v>
      </c>
      <c r="AH28" s="41">
        <f t="shared" ref="AH28" si="145">AE28+AF28+AG28</f>
        <v>0</v>
      </c>
      <c r="AI28" s="23">
        <f>-SUMIFS('БДР_Себестоимость и Расходы'!$I:$I,'БДР_Себестоимость и Расходы'!$D:$D,$A28,'БДР_Себестоимость и Расходы'!$C:$C,AI$3)</f>
        <v>0</v>
      </c>
      <c r="AJ28" s="23">
        <f>-SUMIFS('БДР_Себестоимость и Расходы'!$I:$I,'БДР_Себестоимость и Расходы'!$D:$D,$A28,'БДР_Себестоимость и Расходы'!$C:$C,AJ$3)</f>
        <v>0</v>
      </c>
      <c r="AK28" s="23">
        <f>-SUMIFS('БДР_Себестоимость и Расходы'!$I:$I,'БДР_Себестоимость и Расходы'!$D:$D,$A28,'БДР_Себестоимость и Расходы'!$C:$C,AK$3)</f>
        <v>0</v>
      </c>
      <c r="AL28" s="41">
        <f t="shared" si="50"/>
        <v>0</v>
      </c>
      <c r="AM28" s="41">
        <f t="shared" ref="AM28" si="146">AH28+AL28</f>
        <v>0</v>
      </c>
      <c r="AN28" s="23">
        <f>-SUMIFS('БДР_Себестоимость и Расходы'!$I:$I,'БДР_Себестоимость и Расходы'!$D:$D,$A28,'БДР_Себестоимость и Расходы'!$C:$C,AN$3)</f>
        <v>0</v>
      </c>
      <c r="AO28" s="23">
        <f>-SUMIFS('БДР_Себестоимость и Расходы'!$I:$I,'БДР_Себестоимость и Расходы'!$D:$D,$A28,'БДР_Себестоимость и Расходы'!$C:$C,AO$3)</f>
        <v>0</v>
      </c>
      <c r="AP28" s="23">
        <f>-SUMIFS('БДР_Себестоимость и Расходы'!$I:$I,'БДР_Себестоимость и Расходы'!$D:$D,$A28,'БДР_Себестоимость и Расходы'!$C:$C,AP$3)</f>
        <v>0</v>
      </c>
      <c r="AQ28" s="41">
        <f t="shared" si="52"/>
        <v>0</v>
      </c>
      <c r="AR28" s="41">
        <f t="shared" ref="AR28" si="147">AM28+AQ28</f>
        <v>0</v>
      </c>
      <c r="AS28" s="23">
        <f>-SUMIFS('БДР_Себестоимость и Расходы'!$I:$I,'БДР_Себестоимость и Расходы'!$D:$D,$A28,'БДР_Себестоимость и Расходы'!$C:$C,AS$3)</f>
        <v>0</v>
      </c>
      <c r="AT28" s="23">
        <f>-SUMIFS('БДР_Себестоимость и Расходы'!$I:$I,'БДР_Себестоимость и Расходы'!$D:$D,$A28,'БДР_Себестоимость и Расходы'!$C:$C,AT$3)</f>
        <v>0</v>
      </c>
      <c r="AU28" s="23">
        <f>-SUMIFS('БДР_Себестоимость и Расходы'!$I:$I,'БДР_Себестоимость и Расходы'!$D:$D,$A28,'БДР_Себестоимость и Расходы'!$C:$C,AU$3)</f>
        <v>0</v>
      </c>
      <c r="AV28" s="41">
        <f t="shared" si="54"/>
        <v>0</v>
      </c>
      <c r="AW28" s="41">
        <f t="shared" ref="AW28" si="148">AR28+AV28</f>
        <v>0</v>
      </c>
      <c r="AY28" s="23">
        <f>-SUMIFS('БДР_Себестоимость и Расходы'!$I:$I,'БДР_Себестоимость и Расходы'!$D:$D,$A28,'БДР_Себестоимость и Расходы'!$C:$C,AY$3)</f>
        <v>0</v>
      </c>
      <c r="AZ28" s="23">
        <f>-SUMIFS('БДР_Себестоимость и Расходы'!$I:$I,'БДР_Себестоимость и Расходы'!$D:$D,$A28,'БДР_Себестоимость и Расходы'!$C:$C,AZ$3)</f>
        <v>0</v>
      </c>
      <c r="BA28" s="23">
        <f>-SUMIFS('БДР_Себестоимость и Расходы'!$I:$I,'БДР_Себестоимость и Расходы'!$D:$D,$A28,'БДР_Себестоимость и Расходы'!$C:$C,BA$3)</f>
        <v>0</v>
      </c>
      <c r="BB28" s="41">
        <f t="shared" si="56"/>
        <v>0</v>
      </c>
      <c r="BC28" s="23">
        <f>-SUMIFS('БДР_Себестоимость и Расходы'!$I:$I,'БДР_Себестоимость и Расходы'!$D:$D,$A28,'БДР_Себестоимость и Расходы'!$C:$C,BC$3)</f>
        <v>0</v>
      </c>
      <c r="BD28" s="23">
        <f>-SUMIFS('БДР_Себестоимость и Расходы'!$I:$I,'БДР_Себестоимость и Расходы'!$D:$D,$A28,'БДР_Себестоимость и Расходы'!$C:$C,BD$3)</f>
        <v>0</v>
      </c>
      <c r="BE28" s="23">
        <f>-SUMIFS('БДР_Себестоимость и Расходы'!$I:$I,'БДР_Себестоимость и Расходы'!$D:$D,$A28,'БДР_Себестоимость и Расходы'!$C:$C,BE$3)</f>
        <v>0</v>
      </c>
      <c r="BF28" s="41">
        <f t="shared" si="57"/>
        <v>0</v>
      </c>
      <c r="BG28" s="41">
        <f t="shared" si="58"/>
        <v>0</v>
      </c>
      <c r="BH28" s="23">
        <f>-SUMIFS('БДР_Себестоимость и Расходы'!$I:$I,'БДР_Себестоимость и Расходы'!$D:$D,$A28,'БДР_Себестоимость и Расходы'!$C:$C,BH$3)</f>
        <v>0</v>
      </c>
      <c r="BI28" s="23">
        <f>-SUMIFS('БДР_Себестоимость и Расходы'!$I:$I,'БДР_Себестоимость и Расходы'!$D:$D,$A28,'БДР_Себестоимость и Расходы'!$C:$C,BI$3)</f>
        <v>0</v>
      </c>
      <c r="BJ28" s="23">
        <f>-SUMIFS('БДР_Себестоимость и Расходы'!$I:$I,'БДР_Себестоимость и Расходы'!$D:$D,$A28,'БДР_Себестоимость и Расходы'!$C:$C,BJ$3)</f>
        <v>0</v>
      </c>
      <c r="BK28" s="41">
        <f t="shared" si="59"/>
        <v>0</v>
      </c>
      <c r="BL28" s="41">
        <f t="shared" si="60"/>
        <v>0</v>
      </c>
      <c r="BM28" s="23">
        <f>-SUMIFS('БДР_Себестоимость и Расходы'!$I:$I,'БДР_Себестоимость и Расходы'!$D:$D,$A28,'БДР_Себестоимость и Расходы'!$C:$C,BM$3)</f>
        <v>0</v>
      </c>
      <c r="BN28" s="23">
        <f>-SUMIFS('БДР_Себестоимость и Расходы'!$I:$I,'БДР_Себестоимость и Расходы'!$D:$D,$A28,'БДР_Себестоимость и Расходы'!$C:$C,BN$3)</f>
        <v>0</v>
      </c>
      <c r="BO28" s="23">
        <f>-SUMIFS('БДР_Себестоимость и Расходы'!$I:$I,'БДР_Себестоимость и Расходы'!$D:$D,$A28,'БДР_Себестоимость и Расходы'!$C:$C,BO$3)</f>
        <v>0</v>
      </c>
      <c r="BP28" s="41">
        <f t="shared" si="61"/>
        <v>0</v>
      </c>
      <c r="BQ28" s="41">
        <f t="shared" si="62"/>
        <v>0</v>
      </c>
      <c r="BS28" s="23">
        <f>-SUMIFS('БДР_Себестоимость и Расходы'!$I:$I,'БДР_Себестоимость и Расходы'!$D:$D,$A28,'БДР_Себестоимость и Расходы'!$C:$C,BS$3)</f>
        <v>0</v>
      </c>
      <c r="BT28" s="23">
        <f>-SUMIFS('БДР_Себестоимость и Расходы'!$I:$I,'БДР_Себестоимость и Расходы'!$D:$D,$A28,'БДР_Себестоимость и Расходы'!$C:$C,BT$3)</f>
        <v>0</v>
      </c>
      <c r="BU28" s="23">
        <f>-SUMIFS('БДР_Себестоимость и Расходы'!$I:$I,'БДР_Себестоимость и Расходы'!$D:$D,$A28,'БДР_Себестоимость и Расходы'!$C:$C,BU$3)</f>
        <v>0</v>
      </c>
      <c r="BV28" s="41">
        <f t="shared" si="63"/>
        <v>0</v>
      </c>
      <c r="BW28" s="23">
        <f>-SUMIFS('БДР_Себестоимость и Расходы'!$I:$I,'БДР_Себестоимость и Расходы'!$D:$D,$A28,'БДР_Себестоимость и Расходы'!$C:$C,BW$3)</f>
        <v>0</v>
      </c>
      <c r="BX28" s="23">
        <f>-SUMIFS('БДР_Себестоимость и Расходы'!$I:$I,'БДР_Себестоимость и Расходы'!$D:$D,$A28,'БДР_Себестоимость и Расходы'!$C:$C,BX$3)</f>
        <v>0</v>
      </c>
      <c r="BY28" s="23">
        <f>-SUMIFS('БДР_Себестоимость и Расходы'!$I:$I,'БДР_Себестоимость и Расходы'!$D:$D,$A28,'БДР_Себестоимость и Расходы'!$C:$C,BY$3)</f>
        <v>0</v>
      </c>
      <c r="BZ28" s="41">
        <f t="shared" si="64"/>
        <v>0</v>
      </c>
      <c r="CA28" s="41">
        <f t="shared" si="65"/>
        <v>0</v>
      </c>
      <c r="CB28" s="23">
        <f>-SUMIFS('БДР_Себестоимость и Расходы'!$I:$I,'БДР_Себестоимость и Расходы'!$D:$D,$A28,'БДР_Себестоимость и Расходы'!$C:$C,CB$3)</f>
        <v>0</v>
      </c>
      <c r="CC28" s="23">
        <f>-SUMIFS('БДР_Себестоимость и Расходы'!$I:$I,'БДР_Себестоимость и Расходы'!$D:$D,$A28,'БДР_Себестоимость и Расходы'!$C:$C,CC$3)</f>
        <v>0</v>
      </c>
      <c r="CD28" s="23">
        <f>-SUMIFS('БДР_Себестоимость и Расходы'!$I:$I,'БДР_Себестоимость и Расходы'!$D:$D,$A28,'БДР_Себестоимость и Расходы'!$C:$C,CD$3)</f>
        <v>0</v>
      </c>
      <c r="CE28" s="41">
        <f t="shared" si="66"/>
        <v>0</v>
      </c>
      <c r="CF28" s="41">
        <f t="shared" si="67"/>
        <v>0</v>
      </c>
      <c r="CG28" s="23">
        <f>-SUMIFS('БДР_Себестоимость и Расходы'!$I:$I,'БДР_Себестоимость и Расходы'!$D:$D,$A28,'БДР_Себестоимость и Расходы'!$C:$C,CG$3)</f>
        <v>0</v>
      </c>
      <c r="CH28" s="23">
        <f>-SUMIFS('БДР_Себестоимость и Расходы'!$I:$I,'БДР_Себестоимость и Расходы'!$D:$D,$A28,'БДР_Себестоимость и Расходы'!$C:$C,CH$3)</f>
        <v>0</v>
      </c>
      <c r="CI28" s="23">
        <f>-SUMIFS('БДР_Себестоимость и Расходы'!$I:$I,'БДР_Себестоимость и Расходы'!$D:$D,$A28,'БДР_Себестоимость и Расходы'!$C:$C,CI$3)</f>
        <v>0</v>
      </c>
      <c r="CJ28" s="41">
        <f t="shared" si="68"/>
        <v>0</v>
      </c>
      <c r="CK28" s="41">
        <f t="shared" si="69"/>
        <v>0</v>
      </c>
      <c r="CM28" s="23">
        <f>-SUMIFS('БДР_Себестоимость и Расходы'!$I:$I,'БДР_Себестоимость и Расходы'!$D:$D,$A28,'БДР_Себестоимость и Расходы'!$C:$C,CM$3)</f>
        <v>0</v>
      </c>
      <c r="CN28" s="23">
        <f>-SUMIFS('БДР_Себестоимость и Расходы'!$I:$I,'БДР_Себестоимость и Расходы'!$D:$D,$A28,'БДР_Себестоимость и Расходы'!$C:$C,CN$3)</f>
        <v>0</v>
      </c>
      <c r="CO28" s="23">
        <f>-SUMIFS('БДР_Себестоимость и Расходы'!$I:$I,'БДР_Себестоимость и Расходы'!$D:$D,$A28,'БДР_Себестоимость и Расходы'!$C:$C,CO$3)</f>
        <v>0</v>
      </c>
      <c r="CP28" s="41">
        <f t="shared" si="70"/>
        <v>0</v>
      </c>
      <c r="CQ28" s="23">
        <f>-SUMIFS('БДР_Себестоимость и Расходы'!$I:$I,'БДР_Себестоимость и Расходы'!$D:$D,$A28,'БДР_Себестоимость и Расходы'!$C:$C,CQ$3)</f>
        <v>0</v>
      </c>
      <c r="CR28" s="23">
        <f>-SUMIFS('БДР_Себестоимость и Расходы'!$I:$I,'БДР_Себестоимость и Расходы'!$D:$D,$A28,'БДР_Себестоимость и Расходы'!$C:$C,CR$3)</f>
        <v>0</v>
      </c>
      <c r="CS28" s="23">
        <f>-SUMIFS('БДР_Себестоимость и Расходы'!$I:$I,'БДР_Себестоимость и Расходы'!$D:$D,$A28,'БДР_Себестоимость и Расходы'!$C:$C,CS$3)</f>
        <v>0</v>
      </c>
      <c r="CT28" s="41">
        <f t="shared" si="71"/>
        <v>0</v>
      </c>
      <c r="CU28" s="41">
        <f t="shared" si="72"/>
        <v>0</v>
      </c>
      <c r="CV28" s="23">
        <f>-SUMIFS('БДР_Себестоимость и Расходы'!$I:$I,'БДР_Себестоимость и Расходы'!$D:$D,$A28,'БДР_Себестоимость и Расходы'!$C:$C,CV$3)</f>
        <v>0</v>
      </c>
      <c r="CW28" s="23">
        <f>-SUMIFS('БДР_Себестоимость и Расходы'!$I:$I,'БДР_Себестоимость и Расходы'!$D:$D,$A28,'БДР_Себестоимость и Расходы'!$C:$C,CW$3)</f>
        <v>0</v>
      </c>
      <c r="CX28" s="23">
        <f>-SUMIFS('БДР_Себестоимость и Расходы'!$I:$I,'БДР_Себестоимость и Расходы'!$D:$D,$A28,'БДР_Себестоимость и Расходы'!$C:$C,CX$3)</f>
        <v>0</v>
      </c>
      <c r="CY28" s="41">
        <f t="shared" si="73"/>
        <v>0</v>
      </c>
      <c r="CZ28" s="41">
        <f t="shared" si="74"/>
        <v>0</v>
      </c>
      <c r="DA28" s="23">
        <f>-SUMIFS('БДР_Себестоимость и Расходы'!$I:$I,'БДР_Себестоимость и Расходы'!$D:$D,$A28,'БДР_Себестоимость и Расходы'!$C:$C,DA$3)</f>
        <v>0</v>
      </c>
      <c r="DB28" s="23">
        <f>-SUMIFS('БДР_Себестоимость и Расходы'!$I:$I,'БДР_Себестоимость и Расходы'!$D:$D,$A28,'БДР_Себестоимость и Расходы'!$C:$C,DB$3)</f>
        <v>0</v>
      </c>
      <c r="DC28" s="23">
        <f>-SUMIFS('БДР_Себестоимость и Расходы'!$I:$I,'БДР_Себестоимость и Расходы'!$D:$D,$A28,'БДР_Себестоимость и Расходы'!$C:$C,DC$3)</f>
        <v>0</v>
      </c>
      <c r="DD28" s="41">
        <f t="shared" si="75"/>
        <v>0</v>
      </c>
      <c r="DE28" s="41">
        <f t="shared" si="76"/>
        <v>0</v>
      </c>
    </row>
    <row r="29" spans="1:109" s="12" customFormat="1" ht="10.199999999999999" x14ac:dyDescent="0.2">
      <c r="A29" s="11" t="s">
        <v>226</v>
      </c>
      <c r="B29" s="11" t="str">
        <f t="shared" si="40"/>
        <v>Облачное хранилище для строительной компании с функцией архивации 202900 20 Прочие расходы</v>
      </c>
      <c r="E29" s="20">
        <v>202900</v>
      </c>
      <c r="F29" s="21" t="str">
        <f>'Карточка проекта'!$B$1</f>
        <v xml:space="preserve">Облачное хранилище для строительной компании с функцией архивации </v>
      </c>
      <c r="G29" s="43" t="s">
        <v>227</v>
      </c>
      <c r="I29" s="42">
        <f t="shared" si="41"/>
        <v>-300000</v>
      </c>
      <c r="K29" s="23">
        <f>-SUMIFS('БДР_Себестоимость и Расходы'!$I:$I,'БДР_Себестоимость и Расходы'!$D:$D,$A29,'БДР_Себестоимость и Расходы'!$C:$C,K$3)</f>
        <v>0</v>
      </c>
      <c r="L29" s="23">
        <f>-SUMIFS('БДР_Себестоимость и Расходы'!$I:$I,'БДР_Себестоимость и Расходы'!$D:$D,$A29,'БДР_Себестоимость и Расходы'!$C:$C,L$3)</f>
        <v>0</v>
      </c>
      <c r="M29" s="23">
        <f>-SUMIFS('БДР_Себестоимость и Расходы'!$I:$I,'БДР_Себестоимость и Расходы'!$D:$D,$A29,'БДР_Себестоимость и Расходы'!$C:$C,M$3)</f>
        <v>0</v>
      </c>
      <c r="N29" s="42">
        <f t="shared" si="42"/>
        <v>0</v>
      </c>
      <c r="O29" s="23">
        <f>-SUMIFS('БДР_Себестоимость и Расходы'!$I:$I,'БДР_Себестоимость и Расходы'!$D:$D,$A29,'БДР_Себестоимость и Расходы'!$C:$C,O$3)</f>
        <v>0</v>
      </c>
      <c r="P29" s="23">
        <f>-SUMIFS('БДР_Себестоимость и Расходы'!$I:$I,'БДР_Себестоимость и Расходы'!$D:$D,$A29,'БДР_Себестоимость и Расходы'!$C:$C,P$3)</f>
        <v>0</v>
      </c>
      <c r="Q29" s="23">
        <f>-SUMIFS('БДР_Себестоимость и Расходы'!$I:$I,'БДР_Себестоимость и Расходы'!$D:$D,$A29,'БДР_Себестоимость и Расходы'!$C:$C,Q$3)</f>
        <v>0</v>
      </c>
      <c r="R29" s="32">
        <f t="shared" si="43"/>
        <v>0</v>
      </c>
      <c r="S29" s="42">
        <f t="shared" si="44"/>
        <v>0</v>
      </c>
      <c r="T29" s="23">
        <f>-SUMIFS('БДР_Себестоимость и Расходы'!$I:$I,'БДР_Себестоимость и Расходы'!$D:$D,$A29,'БДР_Себестоимость и Расходы'!$C:$C,T$3)</f>
        <v>0</v>
      </c>
      <c r="U29" s="23">
        <f>-SUMIFS('БДР_Себестоимость и Расходы'!$I:$I,'БДР_Себестоимость и Расходы'!$D:$D,$A29,'БДР_Себестоимость и Расходы'!$C:$C,U$3)</f>
        <v>0</v>
      </c>
      <c r="V29" s="23">
        <f>-SUMIFS('БДР_Себестоимость и Расходы'!$I:$I,'БДР_Себестоимость и Расходы'!$D:$D,$A29,'БДР_Себестоимость и Расходы'!$C:$C,V$3)</f>
        <v>0</v>
      </c>
      <c r="W29" s="42">
        <f t="shared" si="45"/>
        <v>0</v>
      </c>
      <c r="X29" s="42">
        <f t="shared" si="46"/>
        <v>0</v>
      </c>
      <c r="Y29" s="23">
        <f>-SUMIFS('БДР_Себестоимость и Расходы'!$I:$I,'БДР_Себестоимость и Расходы'!$D:$D,$A29,'БДР_Себестоимость и Расходы'!$C:$C,Y$3)</f>
        <v>-300000</v>
      </c>
      <c r="Z29" s="23">
        <f>-SUMIFS('БДР_Себестоимость и Расходы'!$I:$I,'БДР_Себестоимость и Расходы'!$D:$D,$A29,'БДР_Себестоимость и Расходы'!$C:$C,Z$3)</f>
        <v>0</v>
      </c>
      <c r="AA29" s="23">
        <f>-SUMIFS('БДР_Себестоимость и Расходы'!$I:$I,'БДР_Себестоимость и Расходы'!$D:$D,$A29,'БДР_Себестоимость и Расходы'!$C:$C,AA$3)</f>
        <v>0</v>
      </c>
      <c r="AB29" s="32">
        <f t="shared" si="47"/>
        <v>-300000</v>
      </c>
      <c r="AC29" s="42">
        <f t="shared" si="48"/>
        <v>-300000</v>
      </c>
      <c r="AE29" s="23">
        <f>-SUMIFS('БДР_Себестоимость и Расходы'!$I:$I,'БДР_Себестоимость и Расходы'!$D:$D,$A29,'БДР_Себестоимость и Расходы'!$C:$C,AE$3)</f>
        <v>0</v>
      </c>
      <c r="AF29" s="23">
        <f>-SUMIFS('БДР_Себестоимость и Расходы'!$I:$I,'БДР_Себестоимость и Расходы'!$D:$D,$A29,'БДР_Себестоимость и Расходы'!$C:$C,AF$3)</f>
        <v>0</v>
      </c>
      <c r="AG29" s="23">
        <f>-SUMIFS('БДР_Себестоимость и Расходы'!$I:$I,'БДР_Себестоимость и Расходы'!$D:$D,$A29,'БДР_Себестоимость и Расходы'!$C:$C,AG$3)</f>
        <v>0</v>
      </c>
      <c r="AH29" s="42">
        <f t="shared" si="49"/>
        <v>0</v>
      </c>
      <c r="AI29" s="23">
        <f>-SUMIFS('БДР_Себестоимость и Расходы'!$I:$I,'БДР_Себестоимость и Расходы'!$D:$D,$A29,'БДР_Себестоимость и Расходы'!$C:$C,AI$3)</f>
        <v>0</v>
      </c>
      <c r="AJ29" s="23">
        <f>-SUMIFS('БДР_Себестоимость и Расходы'!$I:$I,'БДР_Себестоимость и Расходы'!$D:$D,$A29,'БДР_Себестоимость и Расходы'!$C:$C,AJ$3)</f>
        <v>0</v>
      </c>
      <c r="AK29" s="23">
        <f>-SUMIFS('БДР_Себестоимость и Расходы'!$I:$I,'БДР_Себестоимость и Расходы'!$D:$D,$A29,'БДР_Себестоимость и Расходы'!$C:$C,AK$3)</f>
        <v>0</v>
      </c>
      <c r="AL29" s="42">
        <f t="shared" si="50"/>
        <v>0</v>
      </c>
      <c r="AM29" s="42">
        <f t="shared" si="51"/>
        <v>0</v>
      </c>
      <c r="AN29" s="23">
        <f>-SUMIFS('БДР_Себестоимость и Расходы'!$I:$I,'БДР_Себестоимость и Расходы'!$D:$D,$A29,'БДР_Себестоимость и Расходы'!$C:$C,AN$3)</f>
        <v>0</v>
      </c>
      <c r="AO29" s="23">
        <f>-SUMIFS('БДР_Себестоимость и Расходы'!$I:$I,'БДР_Себестоимость и Расходы'!$D:$D,$A29,'БДР_Себестоимость и Расходы'!$C:$C,AO$3)</f>
        <v>0</v>
      </c>
      <c r="AP29" s="23">
        <f>-SUMIFS('БДР_Себестоимость и Расходы'!$I:$I,'БДР_Себестоимость и Расходы'!$D:$D,$A29,'БДР_Себестоимость и Расходы'!$C:$C,AP$3)</f>
        <v>0</v>
      </c>
      <c r="AQ29" s="42">
        <f t="shared" si="52"/>
        <v>0</v>
      </c>
      <c r="AR29" s="42">
        <f t="shared" si="53"/>
        <v>0</v>
      </c>
      <c r="AS29" s="23">
        <f>-SUMIFS('БДР_Себестоимость и Расходы'!$I:$I,'БДР_Себестоимость и Расходы'!$D:$D,$A29,'БДР_Себестоимость и Расходы'!$C:$C,AS$3)</f>
        <v>0</v>
      </c>
      <c r="AT29" s="23">
        <f>-SUMIFS('БДР_Себестоимость и Расходы'!$I:$I,'БДР_Себестоимость и Расходы'!$D:$D,$A29,'БДР_Себестоимость и Расходы'!$C:$C,AT$3)</f>
        <v>0</v>
      </c>
      <c r="AU29" s="23">
        <f>-SUMIFS('БДР_Себестоимость и Расходы'!$I:$I,'БДР_Себестоимость и Расходы'!$D:$D,$A29,'БДР_Себестоимость и Расходы'!$C:$C,AU$3)</f>
        <v>0</v>
      </c>
      <c r="AV29" s="42">
        <f t="shared" si="54"/>
        <v>0</v>
      </c>
      <c r="AW29" s="42">
        <f t="shared" si="55"/>
        <v>0</v>
      </c>
      <c r="AY29" s="23">
        <f>-SUMIFS('БДР_Себестоимость и Расходы'!$I:$I,'БДР_Себестоимость и Расходы'!$D:$D,$A29,'БДР_Себестоимость и Расходы'!$C:$C,AY$3)</f>
        <v>0</v>
      </c>
      <c r="AZ29" s="23">
        <f>-SUMIFS('БДР_Себестоимость и Расходы'!$I:$I,'БДР_Себестоимость и Расходы'!$D:$D,$A29,'БДР_Себестоимость и Расходы'!$C:$C,AZ$3)</f>
        <v>0</v>
      </c>
      <c r="BA29" s="23">
        <f>-SUMIFS('БДР_Себестоимость и Расходы'!$I:$I,'БДР_Себестоимость и Расходы'!$D:$D,$A29,'БДР_Себестоимость и Расходы'!$C:$C,BA$3)</f>
        <v>0</v>
      </c>
      <c r="BB29" s="42">
        <f t="shared" si="56"/>
        <v>0</v>
      </c>
      <c r="BC29" s="23">
        <f>-SUMIFS('БДР_Себестоимость и Расходы'!$I:$I,'БДР_Себестоимость и Расходы'!$D:$D,$A29,'БДР_Себестоимость и Расходы'!$C:$C,BC$3)</f>
        <v>0</v>
      </c>
      <c r="BD29" s="23">
        <f>-SUMIFS('БДР_Себестоимость и Расходы'!$I:$I,'БДР_Себестоимость и Расходы'!$D:$D,$A29,'БДР_Себестоимость и Расходы'!$C:$C,BD$3)</f>
        <v>0</v>
      </c>
      <c r="BE29" s="23">
        <f>-SUMIFS('БДР_Себестоимость и Расходы'!$I:$I,'БДР_Себестоимость и Расходы'!$D:$D,$A29,'БДР_Себестоимость и Расходы'!$C:$C,BE$3)</f>
        <v>0</v>
      </c>
      <c r="BF29" s="42">
        <f t="shared" si="57"/>
        <v>0</v>
      </c>
      <c r="BG29" s="42">
        <f t="shared" si="58"/>
        <v>0</v>
      </c>
      <c r="BH29" s="23">
        <f>-SUMIFS('БДР_Себестоимость и Расходы'!$I:$I,'БДР_Себестоимость и Расходы'!$D:$D,$A29,'БДР_Себестоимость и Расходы'!$C:$C,BH$3)</f>
        <v>0</v>
      </c>
      <c r="BI29" s="23">
        <f>-SUMIFS('БДР_Себестоимость и Расходы'!$I:$I,'БДР_Себестоимость и Расходы'!$D:$D,$A29,'БДР_Себестоимость и Расходы'!$C:$C,BI$3)</f>
        <v>0</v>
      </c>
      <c r="BJ29" s="23">
        <f>-SUMIFS('БДР_Себестоимость и Расходы'!$I:$I,'БДР_Себестоимость и Расходы'!$D:$D,$A29,'БДР_Себестоимость и Расходы'!$C:$C,BJ$3)</f>
        <v>0</v>
      </c>
      <c r="BK29" s="42">
        <f t="shared" si="59"/>
        <v>0</v>
      </c>
      <c r="BL29" s="42">
        <f t="shared" si="60"/>
        <v>0</v>
      </c>
      <c r="BM29" s="23">
        <f>-SUMIFS('БДР_Себестоимость и Расходы'!$I:$I,'БДР_Себестоимость и Расходы'!$D:$D,$A29,'БДР_Себестоимость и Расходы'!$C:$C,BM$3)</f>
        <v>0</v>
      </c>
      <c r="BN29" s="23">
        <f>-SUMIFS('БДР_Себестоимость и Расходы'!$I:$I,'БДР_Себестоимость и Расходы'!$D:$D,$A29,'БДР_Себестоимость и Расходы'!$C:$C,BN$3)</f>
        <v>0</v>
      </c>
      <c r="BO29" s="23">
        <f>-SUMIFS('БДР_Себестоимость и Расходы'!$I:$I,'БДР_Себестоимость и Расходы'!$D:$D,$A29,'БДР_Себестоимость и Расходы'!$C:$C,BO$3)</f>
        <v>0</v>
      </c>
      <c r="BP29" s="42">
        <f t="shared" si="61"/>
        <v>0</v>
      </c>
      <c r="BQ29" s="42">
        <f t="shared" si="62"/>
        <v>0</v>
      </c>
      <c r="BS29" s="23">
        <f>-SUMIFS('БДР_Себестоимость и Расходы'!$I:$I,'БДР_Себестоимость и Расходы'!$D:$D,$A29,'БДР_Себестоимость и Расходы'!$C:$C,BS$3)</f>
        <v>0</v>
      </c>
      <c r="BT29" s="23">
        <f>-SUMIFS('БДР_Себестоимость и Расходы'!$I:$I,'БДР_Себестоимость и Расходы'!$D:$D,$A29,'БДР_Себестоимость и Расходы'!$C:$C,BT$3)</f>
        <v>0</v>
      </c>
      <c r="BU29" s="23">
        <f>-SUMIFS('БДР_Себестоимость и Расходы'!$I:$I,'БДР_Себестоимость и Расходы'!$D:$D,$A29,'БДР_Себестоимость и Расходы'!$C:$C,BU$3)</f>
        <v>0</v>
      </c>
      <c r="BV29" s="42">
        <f t="shared" si="63"/>
        <v>0</v>
      </c>
      <c r="BW29" s="23">
        <f>-SUMIFS('БДР_Себестоимость и Расходы'!$I:$I,'БДР_Себестоимость и Расходы'!$D:$D,$A29,'БДР_Себестоимость и Расходы'!$C:$C,BW$3)</f>
        <v>0</v>
      </c>
      <c r="BX29" s="23">
        <f>-SUMIFS('БДР_Себестоимость и Расходы'!$I:$I,'БДР_Себестоимость и Расходы'!$D:$D,$A29,'БДР_Себестоимость и Расходы'!$C:$C,BX$3)</f>
        <v>0</v>
      </c>
      <c r="BY29" s="23">
        <f>-SUMIFS('БДР_Себестоимость и Расходы'!$I:$I,'БДР_Себестоимость и Расходы'!$D:$D,$A29,'БДР_Себестоимость и Расходы'!$C:$C,BY$3)</f>
        <v>0</v>
      </c>
      <c r="BZ29" s="42">
        <f t="shared" si="64"/>
        <v>0</v>
      </c>
      <c r="CA29" s="42">
        <f t="shared" si="65"/>
        <v>0</v>
      </c>
      <c r="CB29" s="23">
        <f>-SUMIFS('БДР_Себестоимость и Расходы'!$I:$I,'БДР_Себестоимость и Расходы'!$D:$D,$A29,'БДР_Себестоимость и Расходы'!$C:$C,CB$3)</f>
        <v>0</v>
      </c>
      <c r="CC29" s="23">
        <f>-SUMIFS('БДР_Себестоимость и Расходы'!$I:$I,'БДР_Себестоимость и Расходы'!$D:$D,$A29,'БДР_Себестоимость и Расходы'!$C:$C,CC$3)</f>
        <v>0</v>
      </c>
      <c r="CD29" s="23">
        <f>-SUMIFS('БДР_Себестоимость и Расходы'!$I:$I,'БДР_Себестоимость и Расходы'!$D:$D,$A29,'БДР_Себестоимость и Расходы'!$C:$C,CD$3)</f>
        <v>0</v>
      </c>
      <c r="CE29" s="42">
        <f t="shared" si="66"/>
        <v>0</v>
      </c>
      <c r="CF29" s="42">
        <f t="shared" si="67"/>
        <v>0</v>
      </c>
      <c r="CG29" s="23">
        <f>-SUMIFS('БДР_Себестоимость и Расходы'!$I:$I,'БДР_Себестоимость и Расходы'!$D:$D,$A29,'БДР_Себестоимость и Расходы'!$C:$C,CG$3)</f>
        <v>0</v>
      </c>
      <c r="CH29" s="23">
        <f>-SUMIFS('БДР_Себестоимость и Расходы'!$I:$I,'БДР_Себестоимость и Расходы'!$D:$D,$A29,'БДР_Себестоимость и Расходы'!$C:$C,CH$3)</f>
        <v>0</v>
      </c>
      <c r="CI29" s="23">
        <f>-SUMIFS('БДР_Себестоимость и Расходы'!$I:$I,'БДР_Себестоимость и Расходы'!$D:$D,$A29,'БДР_Себестоимость и Расходы'!$C:$C,CI$3)</f>
        <v>0</v>
      </c>
      <c r="CJ29" s="42">
        <f t="shared" si="68"/>
        <v>0</v>
      </c>
      <c r="CK29" s="42">
        <f t="shared" si="69"/>
        <v>0</v>
      </c>
      <c r="CM29" s="23">
        <f>-SUMIFS('БДР_Себестоимость и Расходы'!$I:$I,'БДР_Себестоимость и Расходы'!$D:$D,$A29,'БДР_Себестоимость и Расходы'!$C:$C,CM$3)</f>
        <v>0</v>
      </c>
      <c r="CN29" s="23">
        <f>-SUMIFS('БДР_Себестоимость и Расходы'!$I:$I,'БДР_Себестоимость и Расходы'!$D:$D,$A29,'БДР_Себестоимость и Расходы'!$C:$C,CN$3)</f>
        <v>0</v>
      </c>
      <c r="CO29" s="23">
        <f>-SUMIFS('БДР_Себестоимость и Расходы'!$I:$I,'БДР_Себестоимость и Расходы'!$D:$D,$A29,'БДР_Себестоимость и Расходы'!$C:$C,CO$3)</f>
        <v>0</v>
      </c>
      <c r="CP29" s="42">
        <f t="shared" si="70"/>
        <v>0</v>
      </c>
      <c r="CQ29" s="23">
        <f>-SUMIFS('БДР_Себестоимость и Расходы'!$I:$I,'БДР_Себестоимость и Расходы'!$D:$D,$A29,'БДР_Себестоимость и Расходы'!$C:$C,CQ$3)</f>
        <v>0</v>
      </c>
      <c r="CR29" s="23">
        <f>-SUMIFS('БДР_Себестоимость и Расходы'!$I:$I,'БДР_Себестоимость и Расходы'!$D:$D,$A29,'БДР_Себестоимость и Расходы'!$C:$C,CR$3)</f>
        <v>0</v>
      </c>
      <c r="CS29" s="23">
        <f>-SUMIFS('БДР_Себестоимость и Расходы'!$I:$I,'БДР_Себестоимость и Расходы'!$D:$D,$A29,'БДР_Себестоимость и Расходы'!$C:$C,CS$3)</f>
        <v>0</v>
      </c>
      <c r="CT29" s="42">
        <f t="shared" si="71"/>
        <v>0</v>
      </c>
      <c r="CU29" s="42">
        <f t="shared" si="72"/>
        <v>0</v>
      </c>
      <c r="CV29" s="23">
        <f>-SUMIFS('БДР_Себестоимость и Расходы'!$I:$I,'БДР_Себестоимость и Расходы'!$D:$D,$A29,'БДР_Себестоимость и Расходы'!$C:$C,CV$3)</f>
        <v>0</v>
      </c>
      <c r="CW29" s="23">
        <f>-SUMIFS('БДР_Себестоимость и Расходы'!$I:$I,'БДР_Себестоимость и Расходы'!$D:$D,$A29,'БДР_Себестоимость и Расходы'!$C:$C,CW$3)</f>
        <v>0</v>
      </c>
      <c r="CX29" s="23">
        <f>-SUMIFS('БДР_Себестоимость и Расходы'!$I:$I,'БДР_Себестоимость и Расходы'!$D:$D,$A29,'БДР_Себестоимость и Расходы'!$C:$C,CX$3)</f>
        <v>0</v>
      </c>
      <c r="CY29" s="42">
        <f t="shared" si="73"/>
        <v>0</v>
      </c>
      <c r="CZ29" s="42">
        <f t="shared" si="74"/>
        <v>0</v>
      </c>
      <c r="DA29" s="23">
        <f>-SUMIFS('БДР_Себестоимость и Расходы'!$I:$I,'БДР_Себестоимость и Расходы'!$D:$D,$A29,'БДР_Себестоимость и Расходы'!$C:$C,DA$3)</f>
        <v>0</v>
      </c>
      <c r="DB29" s="23">
        <f>-SUMIFS('БДР_Себестоимость и Расходы'!$I:$I,'БДР_Себестоимость и Расходы'!$D:$D,$A29,'БДР_Себестоимость и Расходы'!$C:$C,DB$3)</f>
        <v>0</v>
      </c>
      <c r="DC29" s="23">
        <f>-SUMIFS('БДР_Себестоимость и Расходы'!$I:$I,'БДР_Себестоимость и Расходы'!$D:$D,$A29,'БДР_Себестоимость и Расходы'!$C:$C,DC$3)</f>
        <v>0</v>
      </c>
      <c r="DD29" s="42">
        <f t="shared" si="75"/>
        <v>0</v>
      </c>
      <c r="DE29" s="42">
        <f t="shared" si="76"/>
        <v>0</v>
      </c>
    </row>
    <row r="30" spans="1:109" s="12" customFormat="1" ht="2.25" customHeight="1" x14ac:dyDescent="0.2">
      <c r="A30" s="11"/>
    </row>
    <row r="31" spans="1:109" s="12" customFormat="1" ht="10.199999999999999" x14ac:dyDescent="0.2">
      <c r="E31" s="79"/>
      <c r="F31" s="79" t="s">
        <v>276</v>
      </c>
      <c r="G31" s="79"/>
      <c r="I31" s="84">
        <f t="shared" si="41"/>
        <v>-3150000</v>
      </c>
      <c r="K31" s="85">
        <f>-IF('Карточка проекта'!$D$6="Торговая деятельность",K9*0.03,K9*0.15)</f>
        <v>0</v>
      </c>
      <c r="L31" s="85">
        <f>-IF('Карточка проекта'!$D$6="Торговая деятельность",L9*0.03,L9*0.15)</f>
        <v>0</v>
      </c>
      <c r="M31" s="85">
        <f>-IF('Карточка проекта'!$D$6="Торговая деятельность",M9*0.03,M9*0.15)</f>
        <v>0</v>
      </c>
      <c r="N31" s="84">
        <f>K31+L31+M31</f>
        <v>0</v>
      </c>
      <c r="O31" s="85">
        <f>-IF('Карточка проекта'!$D$6="Торговая деятельность",O9*0.03,O9*0.15)</f>
        <v>0</v>
      </c>
      <c r="P31" s="85">
        <f>-IF('Карточка проекта'!$D$6="Торговая деятельность",P9*0.03,P9*0.15)</f>
        <v>0</v>
      </c>
      <c r="Q31" s="85">
        <f>-IF('Карточка проекта'!$D$6="Торговая деятельность",Q9*0.03,Q9*0.15)</f>
        <v>0</v>
      </c>
      <c r="R31" s="84">
        <f>O31+P31+Q31</f>
        <v>0</v>
      </c>
      <c r="S31" s="84">
        <f t="shared" ref="S31:S41" si="149">N31+R31</f>
        <v>0</v>
      </c>
      <c r="T31" s="85">
        <f>-IF('Карточка проекта'!$D$6="Торговая деятельность",T9*0.03,T9*0.15)</f>
        <v>0</v>
      </c>
      <c r="U31" s="85">
        <f>-IF('Карточка проекта'!$D$6="Торговая деятельность",U9*0.03,U9*0.15)</f>
        <v>0</v>
      </c>
      <c r="V31" s="85">
        <f>-IF('Карточка проекта'!$D$6="Торговая деятельность",V9*0.03,V9*0.15)</f>
        <v>-450000</v>
      </c>
      <c r="W31" s="84">
        <f>T31+U31+V31</f>
        <v>-450000</v>
      </c>
      <c r="X31" s="84">
        <f t="shared" ref="X31:X41" si="150">S31+W31</f>
        <v>-450000</v>
      </c>
      <c r="Y31" s="85">
        <f>-IF('Карточка проекта'!$D$6="Торговая деятельность",Y9*0.03,Y9*0.15)</f>
        <v>-900000</v>
      </c>
      <c r="Z31" s="85">
        <f>-IF('Карточка проекта'!$D$6="Торговая деятельность",Z9*0.03,Z9*0.15)</f>
        <v>-900000</v>
      </c>
      <c r="AA31" s="85">
        <f>-IF('Карточка проекта'!$D$6="Торговая деятельность",AA9*0.03,AA9*0.15)</f>
        <v>-900000</v>
      </c>
      <c r="AB31" s="84">
        <f>Y31+Z31+AA31</f>
        <v>-2700000</v>
      </c>
      <c r="AC31" s="84">
        <f t="shared" ref="AC31:AC41" si="151">X31+AB31</f>
        <v>-3150000</v>
      </c>
      <c r="AE31" s="85">
        <f>-IF('Карточка проекта'!$D$6="Торговая деятельность",AE9*0.03,AE9*0.15)</f>
        <v>0</v>
      </c>
      <c r="AF31" s="85">
        <f>-IF('Карточка проекта'!$D$6="Торговая деятельность",AF9*0.03,AF9*0.15)</f>
        <v>0</v>
      </c>
      <c r="AG31" s="85">
        <f>-IF('Карточка проекта'!$D$6="Торговая деятельность",AG9*0.03,AG9*0.15)</f>
        <v>0</v>
      </c>
      <c r="AH31" s="84">
        <f>AE31+AF31+AG31</f>
        <v>0</v>
      </c>
      <c r="AI31" s="85">
        <f>-IF('Карточка проекта'!$D$6="Торговая деятельность",AI9*0.03,AI9*0.15)</f>
        <v>0</v>
      </c>
      <c r="AJ31" s="85">
        <f>-IF('Карточка проекта'!$D$6="Торговая деятельность",AJ9*0.03,AJ9*0.15)</f>
        <v>0</v>
      </c>
      <c r="AK31" s="85">
        <f>-IF('Карточка проекта'!$D$6="Торговая деятельность",AK9*0.03,AK9*0.15)</f>
        <v>0</v>
      </c>
      <c r="AL31" s="84">
        <f>AI31+AJ31+AK31</f>
        <v>0</v>
      </c>
      <c r="AM31" s="84">
        <f t="shared" ref="AM31:AM37" si="152">AH31+AL31</f>
        <v>0</v>
      </c>
      <c r="AN31" s="85">
        <f>-IF('Карточка проекта'!$D$6="Торговая деятельность",AN9*0.03,AN9*0.15)</f>
        <v>0</v>
      </c>
      <c r="AO31" s="85">
        <f>-IF('Карточка проекта'!$D$6="Торговая деятельность",AO9*0.03,AO9*0.15)</f>
        <v>0</v>
      </c>
      <c r="AP31" s="85">
        <f>-IF('Карточка проекта'!$D$6="Торговая деятельность",AP9*0.03,AP9*0.15)</f>
        <v>0</v>
      </c>
      <c r="AQ31" s="84">
        <f>AN31+AO31+AP31</f>
        <v>0</v>
      </c>
      <c r="AR31" s="84">
        <f t="shared" si="53"/>
        <v>0</v>
      </c>
      <c r="AS31" s="85">
        <f>-IF('Карточка проекта'!$D$6="Торговая деятельность",AS9*0.03,AS9*0.15)</f>
        <v>0</v>
      </c>
      <c r="AT31" s="85">
        <f>-IF('Карточка проекта'!$D$6="Торговая деятельность",AT9*0.03,AT9*0.15)</f>
        <v>0</v>
      </c>
      <c r="AU31" s="85">
        <f>-IF('Карточка проекта'!$D$6="Торговая деятельность",AU9*0.03,AU9*0.15)</f>
        <v>0</v>
      </c>
      <c r="AV31" s="84">
        <f>AS31+AT31+AU31</f>
        <v>0</v>
      </c>
      <c r="AW31" s="84">
        <f t="shared" ref="AW31:AW37" si="153">AR31+AV31</f>
        <v>0</v>
      </c>
      <c r="AY31" s="85">
        <f>-IF('Карточка проекта'!$D$6="Торговая деятельность",AY9*0.03,AY9*0.15)</f>
        <v>0</v>
      </c>
      <c r="AZ31" s="85">
        <f>-IF('Карточка проекта'!$D$6="Торговая деятельность",AZ9*0.03,AZ9*0.15)</f>
        <v>0</v>
      </c>
      <c r="BA31" s="85">
        <f>-IF('Карточка проекта'!$D$6="Торговая деятельность",BA9*0.03,BA9*0.15)</f>
        <v>0</v>
      </c>
      <c r="BB31" s="84">
        <f>AY31+AZ31+BA31</f>
        <v>0</v>
      </c>
      <c r="BC31" s="85">
        <f>-IF('Карточка проекта'!$D$6="Торговая деятельность",BC9*0.03,BC9*0.15)</f>
        <v>0</v>
      </c>
      <c r="BD31" s="85">
        <f>-IF('Карточка проекта'!$D$6="Торговая деятельность",BD9*0.03,BD9*0.15)</f>
        <v>0</v>
      </c>
      <c r="BE31" s="85">
        <f>-IF('Карточка проекта'!$D$6="Торговая деятельность",BE9*0.03,BE9*0.15)</f>
        <v>0</v>
      </c>
      <c r="BF31" s="84">
        <f>BC31+BD31+BE31</f>
        <v>0</v>
      </c>
      <c r="BG31" s="84">
        <f t="shared" ref="BG31:BG41" si="154">BB31+BF31</f>
        <v>0</v>
      </c>
      <c r="BH31" s="85">
        <f>-IF('Карточка проекта'!$D$6="Торговая деятельность",BH9*0.03,BH9*0.15)</f>
        <v>0</v>
      </c>
      <c r="BI31" s="85">
        <f>-IF('Карточка проекта'!$D$6="Торговая деятельность",BI9*0.03,BI9*0.15)</f>
        <v>0</v>
      </c>
      <c r="BJ31" s="85">
        <f>-IF('Карточка проекта'!$D$6="Торговая деятельность",BJ9*0.03,BJ9*0.15)</f>
        <v>0</v>
      </c>
      <c r="BK31" s="84">
        <f>BH31+BI31+BJ31</f>
        <v>0</v>
      </c>
      <c r="BL31" s="84">
        <f t="shared" ref="BL31:BL41" si="155">BG31+BK31</f>
        <v>0</v>
      </c>
      <c r="BM31" s="85">
        <f>-IF('Карточка проекта'!$D$6="Торговая деятельность",BM9*0.03,BM9*0.15)</f>
        <v>0</v>
      </c>
      <c r="BN31" s="85">
        <f>-IF('Карточка проекта'!$D$6="Торговая деятельность",BN9*0.03,BN9*0.15)</f>
        <v>0</v>
      </c>
      <c r="BO31" s="85">
        <f>-IF('Карточка проекта'!$D$6="Торговая деятельность",BO9*0.03,BO9*0.15)</f>
        <v>0</v>
      </c>
      <c r="BP31" s="84">
        <f>BM31+BN31+BO31</f>
        <v>0</v>
      </c>
      <c r="BQ31" s="84">
        <f t="shared" ref="BQ31:BQ41" si="156">BL31+BP31</f>
        <v>0</v>
      </c>
      <c r="BS31" s="85">
        <f>-IF('Карточка проекта'!$D$6="Торговая деятельность",BS9*0.03,BS9*0.15)</f>
        <v>0</v>
      </c>
      <c r="BT31" s="85">
        <f>-IF('Карточка проекта'!$D$6="Торговая деятельность",BT9*0.03,BT9*0.15)</f>
        <v>0</v>
      </c>
      <c r="BU31" s="85">
        <f>-IF('Карточка проекта'!$D$6="Торговая деятельность",BU9*0.03,BU9*0.15)</f>
        <v>0</v>
      </c>
      <c r="BV31" s="84">
        <f>BS31+BT31+BU31</f>
        <v>0</v>
      </c>
      <c r="BW31" s="85">
        <f>-IF('Карточка проекта'!$D$6="Торговая деятельность",BW9*0.03,BW9*0.15)</f>
        <v>0</v>
      </c>
      <c r="BX31" s="85">
        <f>-IF('Карточка проекта'!$D$6="Торговая деятельность",BX9*0.03,BX9*0.15)</f>
        <v>0</v>
      </c>
      <c r="BY31" s="85">
        <f>-IF('Карточка проекта'!$D$6="Торговая деятельность",BY9*0.03,BY9*0.15)</f>
        <v>0</v>
      </c>
      <c r="BZ31" s="84">
        <f>BW31+BX31+BY31</f>
        <v>0</v>
      </c>
      <c r="CA31" s="84">
        <f t="shared" ref="CA31:CA41" si="157">BV31+BZ31</f>
        <v>0</v>
      </c>
      <c r="CB31" s="85">
        <f>-IF('Карточка проекта'!$D$6="Торговая деятельность",CB9*0.03,CB9*0.15)</f>
        <v>0</v>
      </c>
      <c r="CC31" s="85">
        <f>-IF('Карточка проекта'!$D$6="Торговая деятельность",CC9*0.03,CC9*0.15)</f>
        <v>0</v>
      </c>
      <c r="CD31" s="85">
        <f>-IF('Карточка проекта'!$D$6="Торговая деятельность",CD9*0.03,CD9*0.15)</f>
        <v>0</v>
      </c>
      <c r="CE31" s="84">
        <f>CB31+CC31+CD31</f>
        <v>0</v>
      </c>
      <c r="CF31" s="84">
        <f t="shared" ref="CF31:CF41" si="158">CA31+CE31</f>
        <v>0</v>
      </c>
      <c r="CG31" s="85">
        <f>-IF('Карточка проекта'!$D$6="Торговая деятельность",CG9*0.03,CG9*0.15)</f>
        <v>0</v>
      </c>
      <c r="CH31" s="85">
        <f>-IF('Карточка проекта'!$D$6="Торговая деятельность",CH9*0.03,CH9*0.15)</f>
        <v>0</v>
      </c>
      <c r="CI31" s="85">
        <f>-IF('Карточка проекта'!$D$6="Торговая деятельность",CI9*0.03,CI9*0.15)</f>
        <v>0</v>
      </c>
      <c r="CJ31" s="84">
        <f>CG31+CH31+CI31</f>
        <v>0</v>
      </c>
      <c r="CK31" s="84">
        <f t="shared" ref="CK31:CK41" si="159">CF31+CJ31</f>
        <v>0</v>
      </c>
      <c r="CM31" s="85">
        <f>-IF('Карточка проекта'!$D$6="Торговая деятельность",CM9*0.03,CM9*0.15)</f>
        <v>0</v>
      </c>
      <c r="CN31" s="85">
        <f>-IF('Карточка проекта'!$D$6="Торговая деятельность",CN9*0.03,CN9*0.15)</f>
        <v>0</v>
      </c>
      <c r="CO31" s="85">
        <f>-IF('Карточка проекта'!$D$6="Торговая деятельность",CO9*0.03,CO9*0.15)</f>
        <v>0</v>
      </c>
      <c r="CP31" s="84">
        <f>CM31+CN31+CO31</f>
        <v>0</v>
      </c>
      <c r="CQ31" s="85">
        <f>-IF('Карточка проекта'!$D$6="Торговая деятельность",CQ9*0.03,CQ9*0.15)</f>
        <v>0</v>
      </c>
      <c r="CR31" s="85">
        <f>-IF('Карточка проекта'!$D$6="Торговая деятельность",CR9*0.03,CR9*0.15)</f>
        <v>0</v>
      </c>
      <c r="CS31" s="85">
        <f>-IF('Карточка проекта'!$D$6="Торговая деятельность",CS9*0.03,CS9*0.15)</f>
        <v>0</v>
      </c>
      <c r="CT31" s="84">
        <f>CQ31+CR31+CS31</f>
        <v>0</v>
      </c>
      <c r="CU31" s="84">
        <f t="shared" ref="CU31:CU41" si="160">CP31+CT31</f>
        <v>0</v>
      </c>
      <c r="CV31" s="85">
        <f>-IF('Карточка проекта'!$D$6="Торговая деятельность",CV9*0.03,CV9*0.15)</f>
        <v>0</v>
      </c>
      <c r="CW31" s="85">
        <f>-IF('Карточка проекта'!$D$6="Торговая деятельность",CW9*0.03,CW9*0.15)</f>
        <v>0</v>
      </c>
      <c r="CX31" s="85">
        <f>-IF('Карточка проекта'!$D$6="Торговая деятельность",CX9*0.03,CX9*0.15)</f>
        <v>0</v>
      </c>
      <c r="CY31" s="84">
        <f>CV31+CW31+CX31</f>
        <v>0</v>
      </c>
      <c r="CZ31" s="84">
        <f t="shared" ref="CZ31:CZ41" si="161">CU31+CY31</f>
        <v>0</v>
      </c>
      <c r="DA31" s="85">
        <f>-IF('Карточка проекта'!$D$6="Торговая деятельность",DA9*0.03,DA9*0.15)</f>
        <v>0</v>
      </c>
      <c r="DB31" s="85">
        <f>-IF('Карточка проекта'!$D$6="Торговая деятельность",DB9*0.03,DB9*0.15)</f>
        <v>0</v>
      </c>
      <c r="DC31" s="85">
        <f>-IF('Карточка проекта'!$D$6="Торговая деятельность",DC9*0.03,DC9*0.15)</f>
        <v>0</v>
      </c>
      <c r="DD31" s="84">
        <f>DA31+DB31+DC31</f>
        <v>0</v>
      </c>
      <c r="DE31" s="84">
        <f t="shared" ref="DE31:DE41" si="162">CZ31+DD31</f>
        <v>0</v>
      </c>
    </row>
    <row r="32" spans="1:109" s="12" customFormat="1" ht="10.199999999999999" x14ac:dyDescent="0.2">
      <c r="A32" s="11" t="s">
        <v>261</v>
      </c>
      <c r="E32" s="94">
        <v>255190</v>
      </c>
      <c r="F32" s="79" t="s">
        <v>260</v>
      </c>
      <c r="G32" s="79"/>
      <c r="I32" s="88">
        <f t="shared" si="41"/>
        <v>0</v>
      </c>
      <c r="K32" s="85">
        <f>-SUMIFS('БДР_Себестоимость и Расходы'!$I:$I,'БДР_Себестоимость и Расходы'!$D:$D,$A32,'БДР_Себестоимость и Расходы'!$C:$C,K$3)</f>
        <v>0</v>
      </c>
      <c r="L32" s="85">
        <f>-SUMIFS('БДР_Себестоимость и Расходы'!$I:$I,'БДР_Себестоимость и Расходы'!$D:$D,$A32,'БДР_Себестоимость и Расходы'!$C:$C,L$3)</f>
        <v>0</v>
      </c>
      <c r="M32" s="86">
        <f>-SUMIFS('БДР_Себестоимость и Расходы'!$I:$I,'БДР_Себестоимость и Расходы'!$D:$D,$A32,'БДР_Себестоимость и Расходы'!$C:$C,M$3)</f>
        <v>0</v>
      </c>
      <c r="N32" s="88">
        <f t="shared" ref="N32:N41" si="163">K32+L32+M32</f>
        <v>0</v>
      </c>
      <c r="O32" s="85">
        <f>-SUMIFS('БДР_Себестоимость и Расходы'!$I:$I,'БДР_Себестоимость и Расходы'!$D:$D,$A32,'БДР_Себестоимость и Расходы'!$C:$C,O$3)</f>
        <v>0</v>
      </c>
      <c r="P32" s="85">
        <f>-SUMIFS('БДР_Себестоимость и Расходы'!$I:$I,'БДР_Себестоимость и Расходы'!$D:$D,$A32,'БДР_Себестоимость и Расходы'!$C:$C,P$3)</f>
        <v>0</v>
      </c>
      <c r="Q32" s="86">
        <f>-SUMIFS('БДР_Себестоимость и Расходы'!$I:$I,'БДР_Себестоимость и Расходы'!$D:$D,$A32,'БДР_Себестоимость и Расходы'!$C:$C,Q$3)</f>
        <v>0</v>
      </c>
      <c r="R32" s="88">
        <f t="shared" ref="R32:R41" si="164">O32+P32+Q32</f>
        <v>0</v>
      </c>
      <c r="S32" s="88">
        <f t="shared" si="149"/>
        <v>0</v>
      </c>
      <c r="T32" s="85">
        <f>-SUMIFS('БДР_Себестоимость и Расходы'!$I:$I,'БДР_Себестоимость и Расходы'!$D:$D,$A32,'БДР_Себестоимость и Расходы'!$C:$C,T$3)</f>
        <v>0</v>
      </c>
      <c r="U32" s="85">
        <f>-SUMIFS('БДР_Себестоимость и Расходы'!$I:$I,'БДР_Себестоимость и Расходы'!$D:$D,$A32,'БДР_Себестоимость и Расходы'!$C:$C,U$3)</f>
        <v>0</v>
      </c>
      <c r="V32" s="86">
        <f>-SUMIFS('БДР_Себестоимость и Расходы'!$I:$I,'БДР_Себестоимость и Расходы'!$D:$D,$A32,'БДР_Себестоимость и Расходы'!$C:$C,V$3)</f>
        <v>0</v>
      </c>
      <c r="W32" s="88">
        <f t="shared" ref="W32:W41" si="165">T32+U32+V32</f>
        <v>0</v>
      </c>
      <c r="X32" s="88">
        <f t="shared" si="150"/>
        <v>0</v>
      </c>
      <c r="Y32" s="85">
        <f>-SUMIFS('БДР_Себестоимость и Расходы'!$I:$I,'БДР_Себестоимость и Расходы'!$D:$D,$A32,'БДР_Себестоимость и Расходы'!$C:$C,Y$3)</f>
        <v>0</v>
      </c>
      <c r="Z32" s="85">
        <f>-SUMIFS('БДР_Себестоимость и Расходы'!$I:$I,'БДР_Себестоимость и Расходы'!$D:$D,$A32,'БДР_Себестоимость и Расходы'!$C:$C,Z$3)</f>
        <v>0</v>
      </c>
      <c r="AA32" s="86">
        <f>-SUMIFS('БДР_Себестоимость и Расходы'!$I:$I,'БДР_Себестоимость и Расходы'!$D:$D,$A32,'БДР_Себестоимость и Расходы'!$C:$C,AA$3)</f>
        <v>0</v>
      </c>
      <c r="AB32" s="88">
        <f t="shared" ref="AB32:AB41" si="166">Y32+Z32+AA32</f>
        <v>0</v>
      </c>
      <c r="AC32" s="88">
        <f t="shared" si="151"/>
        <v>0</v>
      </c>
      <c r="AE32" s="85">
        <f>-SUMIFS('БДР_Себестоимость и Расходы'!$I:$I,'БДР_Себестоимость и Расходы'!$D:$D,$A32,'БДР_Себестоимость и Расходы'!$C:$C,AE$3)</f>
        <v>0</v>
      </c>
      <c r="AF32" s="85">
        <f>-SUMIFS('БДР_Себестоимость и Расходы'!$I:$I,'БДР_Себестоимость и Расходы'!$D:$D,$A32,'БДР_Себестоимость и Расходы'!$C:$C,AF$3)</f>
        <v>0</v>
      </c>
      <c r="AG32" s="86">
        <f>-SUMIFS('БДР_Себестоимость и Расходы'!$I:$I,'БДР_Себестоимость и Расходы'!$D:$D,$A32,'БДР_Себестоимость и Расходы'!$C:$C,AG$3)</f>
        <v>0</v>
      </c>
      <c r="AH32" s="88">
        <f t="shared" ref="AH32:AH41" si="167">AE32+AF32+AG32</f>
        <v>0</v>
      </c>
      <c r="AI32" s="85">
        <f>-SUMIFS('БДР_Себестоимость и Расходы'!$I:$I,'БДР_Себестоимость и Расходы'!$D:$D,$A32,'БДР_Себестоимость и Расходы'!$C:$C,AI$3)</f>
        <v>0</v>
      </c>
      <c r="AJ32" s="85">
        <f>-SUMIFS('БДР_Себестоимость и Расходы'!$I:$I,'БДР_Себестоимость и Расходы'!$D:$D,$A32,'БДР_Себестоимость и Расходы'!$C:$C,AJ$3)</f>
        <v>0</v>
      </c>
      <c r="AK32" s="86">
        <f>-SUMIFS('БДР_Себестоимость и Расходы'!$I:$I,'БДР_Себестоимость и Расходы'!$D:$D,$A32,'БДР_Себестоимость и Расходы'!$C:$C,AK$3)</f>
        <v>0</v>
      </c>
      <c r="AL32" s="88">
        <f t="shared" ref="AL32:AL41" si="168">AI32+AJ32+AK32</f>
        <v>0</v>
      </c>
      <c r="AM32" s="88">
        <f t="shared" si="152"/>
        <v>0</v>
      </c>
      <c r="AN32" s="85">
        <f>-SUMIFS('БДР_Себестоимость и Расходы'!$I:$I,'БДР_Себестоимость и Расходы'!$D:$D,$A32,'БДР_Себестоимость и Расходы'!$C:$C,AN$3)</f>
        <v>0</v>
      </c>
      <c r="AO32" s="85">
        <f>-SUMIFS('БДР_Себестоимость и Расходы'!$I:$I,'БДР_Себестоимость и Расходы'!$D:$D,$A32,'БДР_Себестоимость и Расходы'!$C:$C,AO$3)</f>
        <v>0</v>
      </c>
      <c r="AP32" s="86">
        <f>-SUMIFS('БДР_Себестоимость и Расходы'!$I:$I,'БДР_Себестоимость и Расходы'!$D:$D,$A32,'БДР_Себестоимость и Расходы'!$C:$C,AP$3)</f>
        <v>0</v>
      </c>
      <c r="AQ32" s="88">
        <f t="shared" ref="AQ32:AQ41" si="169">AN32+AO32+AP32</f>
        <v>0</v>
      </c>
      <c r="AR32" s="88">
        <f t="shared" si="53"/>
        <v>0</v>
      </c>
      <c r="AS32" s="85">
        <f>-SUMIFS('БДР_Себестоимость и Расходы'!$I:$I,'БДР_Себестоимость и Расходы'!$D:$D,$A32,'БДР_Себестоимость и Расходы'!$C:$C,AS$3)</f>
        <v>0</v>
      </c>
      <c r="AT32" s="85">
        <f>-SUMIFS('БДР_Себестоимость и Расходы'!$I:$I,'БДР_Себестоимость и Расходы'!$D:$D,$A32,'БДР_Себестоимость и Расходы'!$C:$C,AT$3)</f>
        <v>0</v>
      </c>
      <c r="AU32" s="86">
        <f>-SUMIFS('БДР_Себестоимость и Расходы'!$I:$I,'БДР_Себестоимость и Расходы'!$D:$D,$A32,'БДР_Себестоимость и Расходы'!$C:$C,AU$3)</f>
        <v>0</v>
      </c>
      <c r="AV32" s="88">
        <f t="shared" ref="AV32:AV41" si="170">AS32+AT32+AU32</f>
        <v>0</v>
      </c>
      <c r="AW32" s="88">
        <f t="shared" si="153"/>
        <v>0</v>
      </c>
      <c r="AY32" s="85">
        <f>-SUMIFS('БДР_Себестоимость и Расходы'!$I:$I,'БДР_Себестоимость и Расходы'!$D:$D,$A32,'БДР_Себестоимость и Расходы'!$C:$C,AY$3)</f>
        <v>0</v>
      </c>
      <c r="AZ32" s="85">
        <f>-SUMIFS('БДР_Себестоимость и Расходы'!$I:$I,'БДР_Себестоимость и Расходы'!$D:$D,$A32,'БДР_Себестоимость и Расходы'!$C:$C,AZ$3)</f>
        <v>0</v>
      </c>
      <c r="BA32" s="86">
        <f>-SUMIFS('БДР_Себестоимость и Расходы'!$I:$I,'БДР_Себестоимость и Расходы'!$D:$D,$A32,'БДР_Себестоимость и Расходы'!$C:$C,BA$3)</f>
        <v>0</v>
      </c>
      <c r="BB32" s="88">
        <f t="shared" ref="BB32:BB41" si="171">AY32+AZ32+BA32</f>
        <v>0</v>
      </c>
      <c r="BC32" s="85">
        <f>-SUMIFS('БДР_Себестоимость и Расходы'!$I:$I,'БДР_Себестоимость и Расходы'!$D:$D,$A32,'БДР_Себестоимость и Расходы'!$C:$C,BC$3)</f>
        <v>0</v>
      </c>
      <c r="BD32" s="85">
        <f>-SUMIFS('БДР_Себестоимость и Расходы'!$I:$I,'БДР_Себестоимость и Расходы'!$D:$D,$A32,'БДР_Себестоимость и Расходы'!$C:$C,BD$3)</f>
        <v>0</v>
      </c>
      <c r="BE32" s="86">
        <f>-SUMIFS('БДР_Себестоимость и Расходы'!$I:$I,'БДР_Себестоимость и Расходы'!$D:$D,$A32,'БДР_Себестоимость и Расходы'!$C:$C,BE$3)</f>
        <v>0</v>
      </c>
      <c r="BF32" s="88">
        <f t="shared" ref="BF32:BF41" si="172">BC32+BD32+BE32</f>
        <v>0</v>
      </c>
      <c r="BG32" s="88">
        <f t="shared" si="154"/>
        <v>0</v>
      </c>
      <c r="BH32" s="85">
        <f>-SUMIFS('БДР_Себестоимость и Расходы'!$I:$I,'БДР_Себестоимость и Расходы'!$D:$D,$A32,'БДР_Себестоимость и Расходы'!$C:$C,BH$3)</f>
        <v>0</v>
      </c>
      <c r="BI32" s="85">
        <f>-SUMIFS('БДР_Себестоимость и Расходы'!$I:$I,'БДР_Себестоимость и Расходы'!$D:$D,$A32,'БДР_Себестоимость и Расходы'!$C:$C,BI$3)</f>
        <v>0</v>
      </c>
      <c r="BJ32" s="86">
        <f>-SUMIFS('БДР_Себестоимость и Расходы'!$I:$I,'БДР_Себестоимость и Расходы'!$D:$D,$A32,'БДР_Себестоимость и Расходы'!$C:$C,BJ$3)</f>
        <v>0</v>
      </c>
      <c r="BK32" s="88">
        <f t="shared" ref="BK32:BK41" si="173">BH32+BI32+BJ32</f>
        <v>0</v>
      </c>
      <c r="BL32" s="88">
        <f t="shared" si="155"/>
        <v>0</v>
      </c>
      <c r="BM32" s="85">
        <f>-SUMIFS('БДР_Себестоимость и Расходы'!$I:$I,'БДР_Себестоимость и Расходы'!$D:$D,$A32,'БДР_Себестоимость и Расходы'!$C:$C,BM$3)</f>
        <v>0</v>
      </c>
      <c r="BN32" s="85">
        <f>-SUMIFS('БДР_Себестоимость и Расходы'!$I:$I,'БДР_Себестоимость и Расходы'!$D:$D,$A32,'БДР_Себестоимость и Расходы'!$C:$C,BN$3)</f>
        <v>0</v>
      </c>
      <c r="BO32" s="86">
        <f>-SUMIFS('БДР_Себестоимость и Расходы'!$I:$I,'БДР_Себестоимость и Расходы'!$D:$D,$A32,'БДР_Себестоимость и Расходы'!$C:$C,BO$3)</f>
        <v>0</v>
      </c>
      <c r="BP32" s="88">
        <f t="shared" ref="BP32:BP41" si="174">BM32+BN32+BO32</f>
        <v>0</v>
      </c>
      <c r="BQ32" s="88">
        <f t="shared" si="156"/>
        <v>0</v>
      </c>
      <c r="BS32" s="85">
        <f>-SUMIFS('БДР_Себестоимость и Расходы'!$I:$I,'БДР_Себестоимость и Расходы'!$D:$D,$A32,'БДР_Себестоимость и Расходы'!$C:$C,BS$3)</f>
        <v>0</v>
      </c>
      <c r="BT32" s="85">
        <f>-SUMIFS('БДР_Себестоимость и Расходы'!$I:$I,'БДР_Себестоимость и Расходы'!$D:$D,$A32,'БДР_Себестоимость и Расходы'!$C:$C,BT$3)</f>
        <v>0</v>
      </c>
      <c r="BU32" s="86">
        <f>-SUMIFS('БДР_Себестоимость и Расходы'!$I:$I,'БДР_Себестоимость и Расходы'!$D:$D,$A32,'БДР_Себестоимость и Расходы'!$C:$C,BU$3)</f>
        <v>0</v>
      </c>
      <c r="BV32" s="88">
        <f t="shared" ref="BV32:BV41" si="175">BS32+BT32+BU32</f>
        <v>0</v>
      </c>
      <c r="BW32" s="85">
        <f>-SUMIFS('БДР_Себестоимость и Расходы'!$I:$I,'БДР_Себестоимость и Расходы'!$D:$D,$A32,'БДР_Себестоимость и Расходы'!$C:$C,BW$3)</f>
        <v>0</v>
      </c>
      <c r="BX32" s="85">
        <f>-SUMIFS('БДР_Себестоимость и Расходы'!$I:$I,'БДР_Себестоимость и Расходы'!$D:$D,$A32,'БДР_Себестоимость и Расходы'!$C:$C,BX$3)</f>
        <v>0</v>
      </c>
      <c r="BY32" s="86">
        <f>-SUMIFS('БДР_Себестоимость и Расходы'!$I:$I,'БДР_Себестоимость и Расходы'!$D:$D,$A32,'БДР_Себестоимость и Расходы'!$C:$C,BY$3)</f>
        <v>0</v>
      </c>
      <c r="BZ32" s="88">
        <f t="shared" ref="BZ32:BZ41" si="176">BW32+BX32+BY32</f>
        <v>0</v>
      </c>
      <c r="CA32" s="88">
        <f t="shared" si="157"/>
        <v>0</v>
      </c>
      <c r="CB32" s="85">
        <f>-SUMIFS('БДР_Себестоимость и Расходы'!$I:$I,'БДР_Себестоимость и Расходы'!$D:$D,$A32,'БДР_Себестоимость и Расходы'!$C:$C,CB$3)</f>
        <v>0</v>
      </c>
      <c r="CC32" s="85">
        <f>-SUMIFS('БДР_Себестоимость и Расходы'!$I:$I,'БДР_Себестоимость и Расходы'!$D:$D,$A32,'БДР_Себестоимость и Расходы'!$C:$C,CC$3)</f>
        <v>0</v>
      </c>
      <c r="CD32" s="86">
        <f>-SUMIFS('БДР_Себестоимость и Расходы'!$I:$I,'БДР_Себестоимость и Расходы'!$D:$D,$A32,'БДР_Себестоимость и Расходы'!$C:$C,CD$3)</f>
        <v>0</v>
      </c>
      <c r="CE32" s="88">
        <f t="shared" ref="CE32:CE41" si="177">CB32+CC32+CD32</f>
        <v>0</v>
      </c>
      <c r="CF32" s="88">
        <f t="shared" si="158"/>
        <v>0</v>
      </c>
      <c r="CG32" s="85">
        <f>-SUMIFS('БДР_Себестоимость и Расходы'!$I:$I,'БДР_Себестоимость и Расходы'!$D:$D,$A32,'БДР_Себестоимость и Расходы'!$C:$C,CG$3)</f>
        <v>0</v>
      </c>
      <c r="CH32" s="85">
        <f>-SUMIFS('БДР_Себестоимость и Расходы'!$I:$I,'БДР_Себестоимость и Расходы'!$D:$D,$A32,'БДР_Себестоимость и Расходы'!$C:$C,CH$3)</f>
        <v>0</v>
      </c>
      <c r="CI32" s="86">
        <f>-SUMIFS('БДР_Себестоимость и Расходы'!$I:$I,'БДР_Себестоимость и Расходы'!$D:$D,$A32,'БДР_Себестоимость и Расходы'!$C:$C,CI$3)</f>
        <v>0</v>
      </c>
      <c r="CJ32" s="88">
        <f t="shared" ref="CJ32:CJ41" si="178">CG32+CH32+CI32</f>
        <v>0</v>
      </c>
      <c r="CK32" s="88">
        <f t="shared" si="159"/>
        <v>0</v>
      </c>
      <c r="CM32" s="85">
        <f>-SUMIFS('БДР_Себестоимость и Расходы'!$I:$I,'БДР_Себестоимость и Расходы'!$D:$D,$A32,'БДР_Себестоимость и Расходы'!$C:$C,CM$3)</f>
        <v>0</v>
      </c>
      <c r="CN32" s="85">
        <f>-SUMIFS('БДР_Себестоимость и Расходы'!$I:$I,'БДР_Себестоимость и Расходы'!$D:$D,$A32,'БДР_Себестоимость и Расходы'!$C:$C,CN$3)</f>
        <v>0</v>
      </c>
      <c r="CO32" s="86">
        <f>-SUMIFS('БДР_Себестоимость и Расходы'!$I:$I,'БДР_Себестоимость и Расходы'!$D:$D,$A32,'БДР_Себестоимость и Расходы'!$C:$C,CO$3)</f>
        <v>0</v>
      </c>
      <c r="CP32" s="88">
        <f t="shared" ref="CP32:CP41" si="179">CM32+CN32+CO32</f>
        <v>0</v>
      </c>
      <c r="CQ32" s="85">
        <f>-SUMIFS('БДР_Себестоимость и Расходы'!$I:$I,'БДР_Себестоимость и Расходы'!$D:$D,$A32,'БДР_Себестоимость и Расходы'!$C:$C,CQ$3)</f>
        <v>0</v>
      </c>
      <c r="CR32" s="85">
        <f>-SUMIFS('БДР_Себестоимость и Расходы'!$I:$I,'БДР_Себестоимость и Расходы'!$D:$D,$A32,'БДР_Себестоимость и Расходы'!$C:$C,CR$3)</f>
        <v>0</v>
      </c>
      <c r="CS32" s="86">
        <f>-SUMIFS('БДР_Себестоимость и Расходы'!$I:$I,'БДР_Себестоимость и Расходы'!$D:$D,$A32,'БДР_Себестоимость и Расходы'!$C:$C,CS$3)</f>
        <v>0</v>
      </c>
      <c r="CT32" s="88">
        <f t="shared" ref="CT32:CT41" si="180">CQ32+CR32+CS32</f>
        <v>0</v>
      </c>
      <c r="CU32" s="88">
        <f t="shared" si="160"/>
        <v>0</v>
      </c>
      <c r="CV32" s="85">
        <f>-SUMIFS('БДР_Себестоимость и Расходы'!$I:$I,'БДР_Себестоимость и Расходы'!$D:$D,$A32,'БДР_Себестоимость и Расходы'!$C:$C,CV$3)</f>
        <v>0</v>
      </c>
      <c r="CW32" s="85">
        <f>-SUMIFS('БДР_Себестоимость и Расходы'!$I:$I,'БДР_Себестоимость и Расходы'!$D:$D,$A32,'БДР_Себестоимость и Расходы'!$C:$C,CW$3)</f>
        <v>0</v>
      </c>
      <c r="CX32" s="86">
        <f>-SUMIFS('БДР_Себестоимость и Расходы'!$I:$I,'БДР_Себестоимость и Расходы'!$D:$D,$A32,'БДР_Себестоимость и Расходы'!$C:$C,CX$3)</f>
        <v>0</v>
      </c>
      <c r="CY32" s="88">
        <f t="shared" ref="CY32:CY41" si="181">CV32+CW32+CX32</f>
        <v>0</v>
      </c>
      <c r="CZ32" s="88">
        <f t="shared" si="161"/>
        <v>0</v>
      </c>
      <c r="DA32" s="85">
        <f>-SUMIFS('БДР_Себестоимость и Расходы'!$I:$I,'БДР_Себестоимость и Расходы'!$D:$D,$A32,'БДР_Себестоимость и Расходы'!$C:$C,DA$3)</f>
        <v>0</v>
      </c>
      <c r="DB32" s="85">
        <f>-SUMIFS('БДР_Себестоимость и Расходы'!$I:$I,'БДР_Себестоимость и Расходы'!$D:$D,$A32,'БДР_Себестоимость и Расходы'!$C:$C,DB$3)</f>
        <v>0</v>
      </c>
      <c r="DC32" s="86">
        <f>-SUMIFS('БДР_Себестоимость и Расходы'!$I:$I,'БДР_Себестоимость и Расходы'!$D:$D,$A32,'БДР_Себестоимость и Расходы'!$C:$C,DC$3)</f>
        <v>0</v>
      </c>
      <c r="DD32" s="88">
        <f t="shared" ref="DD32:DD41" si="182">DA32+DB32+DC32</f>
        <v>0</v>
      </c>
      <c r="DE32" s="88">
        <f t="shared" si="162"/>
        <v>0</v>
      </c>
    </row>
    <row r="33" spans="1:109" s="12" customFormat="1" ht="10.199999999999999" x14ac:dyDescent="0.2">
      <c r="A33" s="11"/>
      <c r="E33" s="107"/>
      <c r="F33" s="101" t="s">
        <v>278</v>
      </c>
      <c r="G33" s="101"/>
      <c r="I33" s="109">
        <f t="shared" si="41"/>
        <v>9673496.8380482402</v>
      </c>
      <c r="K33" s="105">
        <f t="shared" ref="K33" si="183">K8+K31+K32</f>
        <v>0</v>
      </c>
      <c r="L33" s="105">
        <f t="shared" ref="L33" si="184">L8+L31+L32</f>
        <v>0</v>
      </c>
      <c r="M33" s="106">
        <f t="shared" ref="M33" si="185">M8+M31+M32</f>
        <v>0</v>
      </c>
      <c r="N33" s="110">
        <f t="shared" si="163"/>
        <v>0</v>
      </c>
      <c r="O33" s="105">
        <f t="shared" ref="O33" si="186">O8+O31+O32</f>
        <v>0</v>
      </c>
      <c r="P33" s="105">
        <f t="shared" ref="P33" si="187">P8+P31+P32</f>
        <v>0</v>
      </c>
      <c r="Q33" s="106">
        <f t="shared" ref="Q33" si="188">Q8+Q31+Q32</f>
        <v>0</v>
      </c>
      <c r="R33" s="110">
        <f t="shared" si="164"/>
        <v>0</v>
      </c>
      <c r="S33" s="110">
        <f t="shared" si="149"/>
        <v>0</v>
      </c>
      <c r="T33" s="105">
        <f t="shared" ref="T33" si="189">T8+T31+T32</f>
        <v>0</v>
      </c>
      <c r="U33" s="105">
        <f t="shared" ref="U33" si="190">U8+U31+U32</f>
        <v>0</v>
      </c>
      <c r="V33" s="106">
        <f t="shared" ref="V33" si="191">V8+V31+V32</f>
        <v>-64464.989452125505</v>
      </c>
      <c r="W33" s="110">
        <f t="shared" si="165"/>
        <v>-64464.989452125505</v>
      </c>
      <c r="X33" s="110">
        <f t="shared" si="150"/>
        <v>-64464.989452125505</v>
      </c>
      <c r="Y33" s="105">
        <f t="shared" ref="Y33" si="192">Y8+Y31+Y32</f>
        <v>3566065.0105478745</v>
      </c>
      <c r="Z33" s="105">
        <f t="shared" ref="Z33" si="193">Z8+Z31+Z32</f>
        <v>3486163.4444823917</v>
      </c>
      <c r="AA33" s="106">
        <f t="shared" ref="AA33" si="194">AA8+AA31+AA32</f>
        <v>2685733.3724701004</v>
      </c>
      <c r="AB33" s="110">
        <f t="shared" si="166"/>
        <v>9737961.8275003657</v>
      </c>
      <c r="AC33" s="110">
        <f t="shared" si="151"/>
        <v>9673496.8380482402</v>
      </c>
      <c r="AE33" s="105">
        <f t="shared" ref="AE33:AG33" si="195">AE8+AE31+AE32</f>
        <v>0</v>
      </c>
      <c r="AF33" s="105">
        <f t="shared" si="195"/>
        <v>0</v>
      </c>
      <c r="AG33" s="106">
        <f t="shared" si="195"/>
        <v>0</v>
      </c>
      <c r="AH33" s="110">
        <f t="shared" si="167"/>
        <v>0</v>
      </c>
      <c r="AI33" s="105">
        <f t="shared" ref="AI33" si="196">AI8+AI31+AI32</f>
        <v>0</v>
      </c>
      <c r="AJ33" s="105">
        <f t="shared" ref="AJ33" si="197">AJ8+AJ31+AJ32</f>
        <v>0</v>
      </c>
      <c r="AK33" s="106">
        <f t="shared" ref="AK33" si="198">AK8+AK31+AK32</f>
        <v>0</v>
      </c>
      <c r="AL33" s="110">
        <f t="shared" si="168"/>
        <v>0</v>
      </c>
      <c r="AM33" s="110">
        <f t="shared" si="152"/>
        <v>0</v>
      </c>
      <c r="AN33" s="105">
        <f t="shared" ref="AN33" si="199">AN8+AN31+AN32</f>
        <v>0</v>
      </c>
      <c r="AO33" s="105">
        <f t="shared" ref="AO33" si="200">AO8+AO31+AO32</f>
        <v>0</v>
      </c>
      <c r="AP33" s="106">
        <f t="shared" ref="AP33" si="201">AP8+AP31+AP32</f>
        <v>0</v>
      </c>
      <c r="AQ33" s="110">
        <f t="shared" si="169"/>
        <v>0</v>
      </c>
      <c r="AR33" s="110">
        <f t="shared" si="53"/>
        <v>0</v>
      </c>
      <c r="AS33" s="105">
        <f t="shared" ref="AS33" si="202">AS8+AS31+AS32</f>
        <v>0</v>
      </c>
      <c r="AT33" s="105">
        <f t="shared" ref="AT33" si="203">AT8+AT31+AT32</f>
        <v>0</v>
      </c>
      <c r="AU33" s="106">
        <f t="shared" ref="AU33" si="204">AU8+AU31+AU32</f>
        <v>0</v>
      </c>
      <c r="AV33" s="110">
        <f t="shared" si="170"/>
        <v>0</v>
      </c>
      <c r="AW33" s="110">
        <f t="shared" si="153"/>
        <v>0</v>
      </c>
      <c r="AY33" s="105">
        <f t="shared" ref="AY33" si="205">AY8+AY31+AY32</f>
        <v>0</v>
      </c>
      <c r="AZ33" s="105">
        <f t="shared" ref="AZ33" si="206">AZ8+AZ31+AZ32</f>
        <v>0</v>
      </c>
      <c r="BA33" s="106">
        <f t="shared" ref="BA33" si="207">BA8+BA31+BA32</f>
        <v>0</v>
      </c>
      <c r="BB33" s="110">
        <f t="shared" si="171"/>
        <v>0</v>
      </c>
      <c r="BC33" s="105">
        <f t="shared" ref="BC33" si="208">BC8+BC31+BC32</f>
        <v>0</v>
      </c>
      <c r="BD33" s="105">
        <f t="shared" ref="BD33" si="209">BD8+BD31+BD32</f>
        <v>0</v>
      </c>
      <c r="BE33" s="106">
        <f t="shared" ref="BE33" si="210">BE8+BE31+BE32</f>
        <v>0</v>
      </c>
      <c r="BF33" s="110">
        <f t="shared" si="172"/>
        <v>0</v>
      </c>
      <c r="BG33" s="110">
        <f t="shared" si="154"/>
        <v>0</v>
      </c>
      <c r="BH33" s="105">
        <f t="shared" ref="BH33" si="211">BH8+BH31+BH32</f>
        <v>0</v>
      </c>
      <c r="BI33" s="105">
        <f t="shared" ref="BI33" si="212">BI8+BI31+BI32</f>
        <v>0</v>
      </c>
      <c r="BJ33" s="106">
        <f t="shared" ref="BJ33" si="213">BJ8+BJ31+BJ32</f>
        <v>0</v>
      </c>
      <c r="BK33" s="110">
        <f t="shared" si="173"/>
        <v>0</v>
      </c>
      <c r="BL33" s="110">
        <f t="shared" si="155"/>
        <v>0</v>
      </c>
      <c r="BM33" s="105">
        <f t="shared" ref="BM33" si="214">BM8+BM31+BM32</f>
        <v>0</v>
      </c>
      <c r="BN33" s="105">
        <f t="shared" ref="BN33" si="215">BN8+BN31+BN32</f>
        <v>0</v>
      </c>
      <c r="BO33" s="106">
        <f t="shared" ref="BO33" si="216">BO8+BO31+BO32</f>
        <v>0</v>
      </c>
      <c r="BP33" s="110">
        <f t="shared" si="174"/>
        <v>0</v>
      </c>
      <c r="BQ33" s="110">
        <f t="shared" si="156"/>
        <v>0</v>
      </c>
      <c r="BS33" s="105">
        <f t="shared" ref="BS33" si="217">BS8+BS31+BS32</f>
        <v>0</v>
      </c>
      <c r="BT33" s="105">
        <f t="shared" ref="BT33" si="218">BT8+BT31+BT32</f>
        <v>0</v>
      </c>
      <c r="BU33" s="106">
        <f t="shared" ref="BU33" si="219">BU8+BU31+BU32</f>
        <v>0</v>
      </c>
      <c r="BV33" s="110">
        <f t="shared" si="175"/>
        <v>0</v>
      </c>
      <c r="BW33" s="105">
        <f t="shared" ref="BW33" si="220">BW8+BW31+BW32</f>
        <v>0</v>
      </c>
      <c r="BX33" s="105">
        <f t="shared" ref="BX33" si="221">BX8+BX31+BX32</f>
        <v>0</v>
      </c>
      <c r="BY33" s="106">
        <f t="shared" ref="BY33" si="222">BY8+BY31+BY32</f>
        <v>0</v>
      </c>
      <c r="BZ33" s="110">
        <f t="shared" si="176"/>
        <v>0</v>
      </c>
      <c r="CA33" s="110">
        <f t="shared" si="157"/>
        <v>0</v>
      </c>
      <c r="CB33" s="105">
        <f t="shared" ref="CB33" si="223">CB8+CB31+CB32</f>
        <v>0</v>
      </c>
      <c r="CC33" s="105">
        <f t="shared" ref="CC33" si="224">CC8+CC31+CC32</f>
        <v>0</v>
      </c>
      <c r="CD33" s="106">
        <f t="shared" ref="CD33" si="225">CD8+CD31+CD32</f>
        <v>0</v>
      </c>
      <c r="CE33" s="110">
        <f t="shared" si="177"/>
        <v>0</v>
      </c>
      <c r="CF33" s="110">
        <f t="shared" si="158"/>
        <v>0</v>
      </c>
      <c r="CG33" s="105">
        <f t="shared" ref="CG33" si="226">CG8+CG31+CG32</f>
        <v>0</v>
      </c>
      <c r="CH33" s="105">
        <f t="shared" ref="CH33" si="227">CH8+CH31+CH32</f>
        <v>0</v>
      </c>
      <c r="CI33" s="106">
        <f t="shared" ref="CI33" si="228">CI8+CI31+CI32</f>
        <v>0</v>
      </c>
      <c r="CJ33" s="110">
        <f t="shared" si="178"/>
        <v>0</v>
      </c>
      <c r="CK33" s="110">
        <f t="shared" si="159"/>
        <v>0</v>
      </c>
      <c r="CM33" s="105">
        <f t="shared" ref="CM33" si="229">CM8+CM31+CM32</f>
        <v>0</v>
      </c>
      <c r="CN33" s="105">
        <f t="shared" ref="CN33" si="230">CN8+CN31+CN32</f>
        <v>0</v>
      </c>
      <c r="CO33" s="106">
        <f t="shared" ref="CO33" si="231">CO8+CO31+CO32</f>
        <v>0</v>
      </c>
      <c r="CP33" s="110">
        <f t="shared" si="179"/>
        <v>0</v>
      </c>
      <c r="CQ33" s="105">
        <f t="shared" ref="CQ33" si="232">CQ8+CQ31+CQ32</f>
        <v>0</v>
      </c>
      <c r="CR33" s="105">
        <f t="shared" ref="CR33" si="233">CR8+CR31+CR32</f>
        <v>0</v>
      </c>
      <c r="CS33" s="106">
        <f t="shared" ref="CS33" si="234">CS8+CS31+CS32</f>
        <v>0</v>
      </c>
      <c r="CT33" s="110">
        <f t="shared" si="180"/>
        <v>0</v>
      </c>
      <c r="CU33" s="110">
        <f t="shared" si="160"/>
        <v>0</v>
      </c>
      <c r="CV33" s="105">
        <f t="shared" ref="CV33" si="235">CV8+CV31+CV32</f>
        <v>0</v>
      </c>
      <c r="CW33" s="105">
        <f t="shared" ref="CW33" si="236">CW8+CW31+CW32</f>
        <v>0</v>
      </c>
      <c r="CX33" s="106">
        <f t="shared" ref="CX33" si="237">CX8+CX31+CX32</f>
        <v>0</v>
      </c>
      <c r="CY33" s="110">
        <f t="shared" si="181"/>
        <v>0</v>
      </c>
      <c r="CZ33" s="110">
        <f t="shared" si="161"/>
        <v>0</v>
      </c>
      <c r="DA33" s="105">
        <f t="shared" ref="DA33" si="238">DA8+DA31+DA32</f>
        <v>0</v>
      </c>
      <c r="DB33" s="105">
        <f t="shared" ref="DB33" si="239">DB8+DB31+DB32</f>
        <v>0</v>
      </c>
      <c r="DC33" s="106">
        <f t="shared" ref="DC33" si="240">DC8+DC31+DC32</f>
        <v>0</v>
      </c>
      <c r="DD33" s="110">
        <f t="shared" si="182"/>
        <v>0</v>
      </c>
      <c r="DE33" s="110">
        <f t="shared" si="162"/>
        <v>0</v>
      </c>
    </row>
    <row r="34" spans="1:109" s="12" customFormat="1" ht="10.199999999999999" x14ac:dyDescent="0.2">
      <c r="A34" s="11" t="s">
        <v>263</v>
      </c>
      <c r="E34" s="94">
        <v>802232</v>
      </c>
      <c r="F34" s="79" t="s">
        <v>262</v>
      </c>
      <c r="G34" s="79"/>
      <c r="I34" s="88">
        <f t="shared" si="41"/>
        <v>0</v>
      </c>
      <c r="K34" s="85">
        <f>-SUMIFS('БДР_Себестоимость и Расходы'!$I:$I,'БДР_Себестоимость и Расходы'!$D:$D,$A34,'БДР_Себестоимость и Расходы'!$C:$C,K$3)</f>
        <v>0</v>
      </c>
      <c r="L34" s="85">
        <f>-SUMIFS('БДР_Себестоимость и Расходы'!$I:$I,'БДР_Себестоимость и Расходы'!$D:$D,$A34,'БДР_Себестоимость и Расходы'!$C:$C,L$3)</f>
        <v>0</v>
      </c>
      <c r="M34" s="86">
        <f>-SUMIFS('БДР_Себестоимость и Расходы'!$I:$I,'БДР_Себестоимость и Расходы'!$D:$D,$A34,'БДР_Себестоимость и Расходы'!$C:$C,M$3)</f>
        <v>0</v>
      </c>
      <c r="N34" s="88">
        <f t="shared" si="163"/>
        <v>0</v>
      </c>
      <c r="O34" s="85">
        <f>-SUMIFS('БДР_Себестоимость и Расходы'!$I:$I,'БДР_Себестоимость и Расходы'!$D:$D,$A34,'БДР_Себестоимость и Расходы'!$C:$C,O$3)</f>
        <v>0</v>
      </c>
      <c r="P34" s="85">
        <f>-SUMIFS('БДР_Себестоимость и Расходы'!$I:$I,'БДР_Себестоимость и Расходы'!$D:$D,$A34,'БДР_Себестоимость и Расходы'!$C:$C,P$3)</f>
        <v>0</v>
      </c>
      <c r="Q34" s="86">
        <f>-SUMIFS('БДР_Себестоимость и Расходы'!$I:$I,'БДР_Себестоимость и Расходы'!$D:$D,$A34,'БДР_Себестоимость и Расходы'!$C:$C,Q$3)</f>
        <v>0</v>
      </c>
      <c r="R34" s="88">
        <f t="shared" si="164"/>
        <v>0</v>
      </c>
      <c r="S34" s="88">
        <f t="shared" si="149"/>
        <v>0</v>
      </c>
      <c r="T34" s="85">
        <f>-SUMIFS('БДР_Себестоимость и Расходы'!$I:$I,'БДР_Себестоимость и Расходы'!$D:$D,$A34,'БДР_Себестоимость и Расходы'!$C:$C,T$3)</f>
        <v>0</v>
      </c>
      <c r="U34" s="85">
        <f>-SUMIFS('БДР_Себестоимость и Расходы'!$I:$I,'БДР_Себестоимость и Расходы'!$D:$D,$A34,'БДР_Себестоимость и Расходы'!$C:$C,U$3)</f>
        <v>0</v>
      </c>
      <c r="V34" s="86">
        <f>-SUMIFS('БДР_Себестоимость и Расходы'!$I:$I,'БДР_Себестоимость и Расходы'!$D:$D,$A34,'БДР_Себестоимость и Расходы'!$C:$C,V$3)</f>
        <v>0</v>
      </c>
      <c r="W34" s="88">
        <f t="shared" si="165"/>
        <v>0</v>
      </c>
      <c r="X34" s="88">
        <f t="shared" si="150"/>
        <v>0</v>
      </c>
      <c r="Y34" s="85">
        <f>-SUMIFS('БДР_Себестоимость и Расходы'!$I:$I,'БДР_Себестоимость и Расходы'!$D:$D,$A34,'БДР_Себестоимость и Расходы'!$C:$C,Y$3)</f>
        <v>0</v>
      </c>
      <c r="Z34" s="85">
        <f>-SUMIFS('БДР_Себестоимость и Расходы'!$I:$I,'БДР_Себестоимость и Расходы'!$D:$D,$A34,'БДР_Себестоимость и Расходы'!$C:$C,Z$3)</f>
        <v>0</v>
      </c>
      <c r="AA34" s="86">
        <f>-SUMIFS('БДР_Себестоимость и Расходы'!$I:$I,'БДР_Себестоимость и Расходы'!$D:$D,$A34,'БДР_Себестоимость и Расходы'!$C:$C,AA$3)</f>
        <v>0</v>
      </c>
      <c r="AB34" s="88">
        <f t="shared" si="166"/>
        <v>0</v>
      </c>
      <c r="AC34" s="88">
        <f t="shared" si="151"/>
        <v>0</v>
      </c>
      <c r="AE34" s="85">
        <f>-SUMIFS('БДР_Себестоимость и Расходы'!$I:$I,'БДР_Себестоимость и Расходы'!$D:$D,$A34,'БДР_Себестоимость и Расходы'!$C:$C,AE$3)</f>
        <v>0</v>
      </c>
      <c r="AF34" s="85">
        <f>-SUMIFS('БДР_Себестоимость и Расходы'!$I:$I,'БДР_Себестоимость и Расходы'!$D:$D,$A34,'БДР_Себестоимость и Расходы'!$C:$C,AF$3)</f>
        <v>0</v>
      </c>
      <c r="AG34" s="86">
        <f>-SUMIFS('БДР_Себестоимость и Расходы'!$I:$I,'БДР_Себестоимость и Расходы'!$D:$D,$A34,'БДР_Себестоимость и Расходы'!$C:$C,AG$3)</f>
        <v>0</v>
      </c>
      <c r="AH34" s="88">
        <f t="shared" si="167"/>
        <v>0</v>
      </c>
      <c r="AI34" s="85">
        <f>-SUMIFS('БДР_Себестоимость и Расходы'!$I:$I,'БДР_Себестоимость и Расходы'!$D:$D,$A34,'БДР_Себестоимость и Расходы'!$C:$C,AI$3)</f>
        <v>0</v>
      </c>
      <c r="AJ34" s="85">
        <f>-SUMIFS('БДР_Себестоимость и Расходы'!$I:$I,'БДР_Себестоимость и Расходы'!$D:$D,$A34,'БДР_Себестоимость и Расходы'!$C:$C,AJ$3)</f>
        <v>0</v>
      </c>
      <c r="AK34" s="86">
        <f>-SUMIFS('БДР_Себестоимость и Расходы'!$I:$I,'БДР_Себестоимость и Расходы'!$D:$D,$A34,'БДР_Себестоимость и Расходы'!$C:$C,AK$3)</f>
        <v>0</v>
      </c>
      <c r="AL34" s="88">
        <f t="shared" si="168"/>
        <v>0</v>
      </c>
      <c r="AM34" s="88">
        <f t="shared" si="152"/>
        <v>0</v>
      </c>
      <c r="AN34" s="85">
        <f>-SUMIFS('БДР_Себестоимость и Расходы'!$I:$I,'БДР_Себестоимость и Расходы'!$D:$D,$A34,'БДР_Себестоимость и Расходы'!$C:$C,AN$3)</f>
        <v>0</v>
      </c>
      <c r="AO34" s="85">
        <f>-SUMIFS('БДР_Себестоимость и Расходы'!$I:$I,'БДР_Себестоимость и Расходы'!$D:$D,$A34,'БДР_Себестоимость и Расходы'!$C:$C,AO$3)</f>
        <v>0</v>
      </c>
      <c r="AP34" s="86">
        <f>-SUMIFS('БДР_Себестоимость и Расходы'!$I:$I,'БДР_Себестоимость и Расходы'!$D:$D,$A34,'БДР_Себестоимость и Расходы'!$C:$C,AP$3)</f>
        <v>0</v>
      </c>
      <c r="AQ34" s="88">
        <f t="shared" si="169"/>
        <v>0</v>
      </c>
      <c r="AR34" s="88">
        <f t="shared" si="53"/>
        <v>0</v>
      </c>
      <c r="AS34" s="85">
        <f>-SUMIFS('БДР_Себестоимость и Расходы'!$I:$I,'БДР_Себестоимость и Расходы'!$D:$D,$A34,'БДР_Себестоимость и Расходы'!$C:$C,AS$3)</f>
        <v>0</v>
      </c>
      <c r="AT34" s="85">
        <f>-SUMIFS('БДР_Себестоимость и Расходы'!$I:$I,'БДР_Себестоимость и Расходы'!$D:$D,$A34,'БДР_Себестоимость и Расходы'!$C:$C,AT$3)</f>
        <v>0</v>
      </c>
      <c r="AU34" s="86">
        <f>-SUMIFS('БДР_Себестоимость и Расходы'!$I:$I,'БДР_Себестоимость и Расходы'!$D:$D,$A34,'БДР_Себестоимость и Расходы'!$C:$C,AU$3)</f>
        <v>0</v>
      </c>
      <c r="AV34" s="88">
        <f t="shared" si="170"/>
        <v>0</v>
      </c>
      <c r="AW34" s="88">
        <f t="shared" si="153"/>
        <v>0</v>
      </c>
      <c r="AY34" s="85">
        <f>-SUMIFS('БДР_Себестоимость и Расходы'!$I:$I,'БДР_Себестоимость и Расходы'!$D:$D,$A34,'БДР_Себестоимость и Расходы'!$C:$C,AY$3)</f>
        <v>0</v>
      </c>
      <c r="AZ34" s="85">
        <f>-SUMIFS('БДР_Себестоимость и Расходы'!$I:$I,'БДР_Себестоимость и Расходы'!$D:$D,$A34,'БДР_Себестоимость и Расходы'!$C:$C,AZ$3)</f>
        <v>0</v>
      </c>
      <c r="BA34" s="86">
        <f>-SUMIFS('БДР_Себестоимость и Расходы'!$I:$I,'БДР_Себестоимость и Расходы'!$D:$D,$A34,'БДР_Себестоимость и Расходы'!$C:$C,BA$3)</f>
        <v>0</v>
      </c>
      <c r="BB34" s="88">
        <f t="shared" si="171"/>
        <v>0</v>
      </c>
      <c r="BC34" s="85">
        <f>-SUMIFS('БДР_Себестоимость и Расходы'!$I:$I,'БДР_Себестоимость и Расходы'!$D:$D,$A34,'БДР_Себестоимость и Расходы'!$C:$C,BC$3)</f>
        <v>0</v>
      </c>
      <c r="BD34" s="85">
        <f>-SUMIFS('БДР_Себестоимость и Расходы'!$I:$I,'БДР_Себестоимость и Расходы'!$D:$D,$A34,'БДР_Себестоимость и Расходы'!$C:$C,BD$3)</f>
        <v>0</v>
      </c>
      <c r="BE34" s="86">
        <f>-SUMIFS('БДР_Себестоимость и Расходы'!$I:$I,'БДР_Себестоимость и Расходы'!$D:$D,$A34,'БДР_Себестоимость и Расходы'!$C:$C,BE$3)</f>
        <v>0</v>
      </c>
      <c r="BF34" s="88">
        <f t="shared" si="172"/>
        <v>0</v>
      </c>
      <c r="BG34" s="88">
        <f t="shared" si="154"/>
        <v>0</v>
      </c>
      <c r="BH34" s="85">
        <f>-SUMIFS('БДР_Себестоимость и Расходы'!$I:$I,'БДР_Себестоимость и Расходы'!$D:$D,$A34,'БДР_Себестоимость и Расходы'!$C:$C,BH$3)</f>
        <v>0</v>
      </c>
      <c r="BI34" s="85">
        <f>-SUMIFS('БДР_Себестоимость и Расходы'!$I:$I,'БДР_Себестоимость и Расходы'!$D:$D,$A34,'БДР_Себестоимость и Расходы'!$C:$C,BI$3)</f>
        <v>0</v>
      </c>
      <c r="BJ34" s="86">
        <f>-SUMIFS('БДР_Себестоимость и Расходы'!$I:$I,'БДР_Себестоимость и Расходы'!$D:$D,$A34,'БДР_Себестоимость и Расходы'!$C:$C,BJ$3)</f>
        <v>0</v>
      </c>
      <c r="BK34" s="88">
        <f t="shared" si="173"/>
        <v>0</v>
      </c>
      <c r="BL34" s="88">
        <f t="shared" si="155"/>
        <v>0</v>
      </c>
      <c r="BM34" s="85">
        <f>-SUMIFS('БДР_Себестоимость и Расходы'!$I:$I,'БДР_Себестоимость и Расходы'!$D:$D,$A34,'БДР_Себестоимость и Расходы'!$C:$C,BM$3)</f>
        <v>0</v>
      </c>
      <c r="BN34" s="85">
        <f>-SUMIFS('БДР_Себестоимость и Расходы'!$I:$I,'БДР_Себестоимость и Расходы'!$D:$D,$A34,'БДР_Себестоимость и Расходы'!$C:$C,BN$3)</f>
        <v>0</v>
      </c>
      <c r="BO34" s="86">
        <f>-SUMIFS('БДР_Себестоимость и Расходы'!$I:$I,'БДР_Себестоимость и Расходы'!$D:$D,$A34,'БДР_Себестоимость и Расходы'!$C:$C,BO$3)</f>
        <v>0</v>
      </c>
      <c r="BP34" s="88">
        <f t="shared" si="174"/>
        <v>0</v>
      </c>
      <c r="BQ34" s="88">
        <f t="shared" si="156"/>
        <v>0</v>
      </c>
      <c r="BS34" s="85">
        <f>-SUMIFS('БДР_Себестоимость и Расходы'!$I:$I,'БДР_Себестоимость и Расходы'!$D:$D,$A34,'БДР_Себестоимость и Расходы'!$C:$C,BS$3)</f>
        <v>0</v>
      </c>
      <c r="BT34" s="85">
        <f>-SUMIFS('БДР_Себестоимость и Расходы'!$I:$I,'БДР_Себестоимость и Расходы'!$D:$D,$A34,'БДР_Себестоимость и Расходы'!$C:$C,BT$3)</f>
        <v>0</v>
      </c>
      <c r="BU34" s="86">
        <f>-SUMIFS('БДР_Себестоимость и Расходы'!$I:$I,'БДР_Себестоимость и Расходы'!$D:$D,$A34,'БДР_Себестоимость и Расходы'!$C:$C,BU$3)</f>
        <v>0</v>
      </c>
      <c r="BV34" s="88">
        <f t="shared" si="175"/>
        <v>0</v>
      </c>
      <c r="BW34" s="85">
        <f>-SUMIFS('БДР_Себестоимость и Расходы'!$I:$I,'БДР_Себестоимость и Расходы'!$D:$D,$A34,'БДР_Себестоимость и Расходы'!$C:$C,BW$3)</f>
        <v>0</v>
      </c>
      <c r="BX34" s="85">
        <f>-SUMIFS('БДР_Себестоимость и Расходы'!$I:$I,'БДР_Себестоимость и Расходы'!$D:$D,$A34,'БДР_Себестоимость и Расходы'!$C:$C,BX$3)</f>
        <v>0</v>
      </c>
      <c r="BY34" s="86">
        <f>-SUMIFS('БДР_Себестоимость и Расходы'!$I:$I,'БДР_Себестоимость и Расходы'!$D:$D,$A34,'БДР_Себестоимость и Расходы'!$C:$C,BY$3)</f>
        <v>0</v>
      </c>
      <c r="BZ34" s="88">
        <f t="shared" si="176"/>
        <v>0</v>
      </c>
      <c r="CA34" s="88">
        <f t="shared" si="157"/>
        <v>0</v>
      </c>
      <c r="CB34" s="85">
        <f>-SUMIFS('БДР_Себестоимость и Расходы'!$I:$I,'БДР_Себестоимость и Расходы'!$D:$D,$A34,'БДР_Себестоимость и Расходы'!$C:$C,CB$3)</f>
        <v>0</v>
      </c>
      <c r="CC34" s="85">
        <f>-SUMIFS('БДР_Себестоимость и Расходы'!$I:$I,'БДР_Себестоимость и Расходы'!$D:$D,$A34,'БДР_Себестоимость и Расходы'!$C:$C,CC$3)</f>
        <v>0</v>
      </c>
      <c r="CD34" s="86">
        <f>-SUMIFS('БДР_Себестоимость и Расходы'!$I:$I,'БДР_Себестоимость и Расходы'!$D:$D,$A34,'БДР_Себестоимость и Расходы'!$C:$C,CD$3)</f>
        <v>0</v>
      </c>
      <c r="CE34" s="88">
        <f t="shared" si="177"/>
        <v>0</v>
      </c>
      <c r="CF34" s="88">
        <f t="shared" si="158"/>
        <v>0</v>
      </c>
      <c r="CG34" s="85">
        <f>-SUMIFS('БДР_Себестоимость и Расходы'!$I:$I,'БДР_Себестоимость и Расходы'!$D:$D,$A34,'БДР_Себестоимость и Расходы'!$C:$C,CG$3)</f>
        <v>0</v>
      </c>
      <c r="CH34" s="85">
        <f>-SUMIFS('БДР_Себестоимость и Расходы'!$I:$I,'БДР_Себестоимость и Расходы'!$D:$D,$A34,'БДР_Себестоимость и Расходы'!$C:$C,CH$3)</f>
        <v>0</v>
      </c>
      <c r="CI34" s="86">
        <f>-SUMIFS('БДР_Себестоимость и Расходы'!$I:$I,'БДР_Себестоимость и Расходы'!$D:$D,$A34,'БДР_Себестоимость и Расходы'!$C:$C,CI$3)</f>
        <v>0</v>
      </c>
      <c r="CJ34" s="88">
        <f t="shared" si="178"/>
        <v>0</v>
      </c>
      <c r="CK34" s="88">
        <f t="shared" si="159"/>
        <v>0</v>
      </c>
      <c r="CM34" s="85">
        <f>-SUMIFS('БДР_Себестоимость и Расходы'!$I:$I,'БДР_Себестоимость и Расходы'!$D:$D,$A34,'БДР_Себестоимость и Расходы'!$C:$C,CM$3)</f>
        <v>0</v>
      </c>
      <c r="CN34" s="85">
        <f>-SUMIFS('БДР_Себестоимость и Расходы'!$I:$I,'БДР_Себестоимость и Расходы'!$D:$D,$A34,'БДР_Себестоимость и Расходы'!$C:$C,CN$3)</f>
        <v>0</v>
      </c>
      <c r="CO34" s="86">
        <f>-SUMIFS('БДР_Себестоимость и Расходы'!$I:$I,'БДР_Себестоимость и Расходы'!$D:$D,$A34,'БДР_Себестоимость и Расходы'!$C:$C,CO$3)</f>
        <v>0</v>
      </c>
      <c r="CP34" s="88">
        <f t="shared" si="179"/>
        <v>0</v>
      </c>
      <c r="CQ34" s="85">
        <f>-SUMIFS('БДР_Себестоимость и Расходы'!$I:$I,'БДР_Себестоимость и Расходы'!$D:$D,$A34,'БДР_Себестоимость и Расходы'!$C:$C,CQ$3)</f>
        <v>0</v>
      </c>
      <c r="CR34" s="85">
        <f>-SUMIFS('БДР_Себестоимость и Расходы'!$I:$I,'БДР_Себестоимость и Расходы'!$D:$D,$A34,'БДР_Себестоимость и Расходы'!$C:$C,CR$3)</f>
        <v>0</v>
      </c>
      <c r="CS34" s="86">
        <f>-SUMIFS('БДР_Себестоимость и Расходы'!$I:$I,'БДР_Себестоимость и Расходы'!$D:$D,$A34,'БДР_Себестоимость и Расходы'!$C:$C,CS$3)</f>
        <v>0</v>
      </c>
      <c r="CT34" s="88">
        <f t="shared" si="180"/>
        <v>0</v>
      </c>
      <c r="CU34" s="88">
        <f t="shared" si="160"/>
        <v>0</v>
      </c>
      <c r="CV34" s="85">
        <f>-SUMIFS('БДР_Себестоимость и Расходы'!$I:$I,'БДР_Себестоимость и Расходы'!$D:$D,$A34,'БДР_Себестоимость и Расходы'!$C:$C,CV$3)</f>
        <v>0</v>
      </c>
      <c r="CW34" s="85">
        <f>-SUMIFS('БДР_Себестоимость и Расходы'!$I:$I,'БДР_Себестоимость и Расходы'!$D:$D,$A34,'БДР_Себестоимость и Расходы'!$C:$C,CW$3)</f>
        <v>0</v>
      </c>
      <c r="CX34" s="86">
        <f>-SUMIFS('БДР_Себестоимость и Расходы'!$I:$I,'БДР_Себестоимость и Расходы'!$D:$D,$A34,'БДР_Себестоимость и Расходы'!$C:$C,CX$3)</f>
        <v>0</v>
      </c>
      <c r="CY34" s="88">
        <f t="shared" si="181"/>
        <v>0</v>
      </c>
      <c r="CZ34" s="88">
        <f t="shared" si="161"/>
        <v>0</v>
      </c>
      <c r="DA34" s="85">
        <f>-SUMIFS('БДР_Себестоимость и Расходы'!$I:$I,'БДР_Себестоимость и Расходы'!$D:$D,$A34,'БДР_Себестоимость и Расходы'!$C:$C,DA$3)</f>
        <v>0</v>
      </c>
      <c r="DB34" s="85">
        <f>-SUMIFS('БДР_Себестоимость и Расходы'!$I:$I,'БДР_Себестоимость и Расходы'!$D:$D,$A34,'БДР_Себестоимость и Расходы'!$C:$C,DB$3)</f>
        <v>0</v>
      </c>
      <c r="DC34" s="86">
        <f>-SUMIFS('БДР_Себестоимость и Расходы'!$I:$I,'БДР_Себестоимость и Расходы'!$D:$D,$A34,'БДР_Себестоимость и Расходы'!$C:$C,DC$3)</f>
        <v>0</v>
      </c>
      <c r="DD34" s="88">
        <f t="shared" si="182"/>
        <v>0</v>
      </c>
      <c r="DE34" s="88">
        <f t="shared" si="162"/>
        <v>0</v>
      </c>
    </row>
    <row r="35" spans="1:109" s="12" customFormat="1" ht="10.199999999999999" x14ac:dyDescent="0.2">
      <c r="A35" s="11"/>
      <c r="E35" s="107"/>
      <c r="F35" s="101" t="s">
        <v>340</v>
      </c>
      <c r="G35" s="101"/>
      <c r="I35" s="109">
        <f t="shared" si="41"/>
        <v>9673496.8380482402</v>
      </c>
      <c r="K35" s="105">
        <f t="shared" ref="K35" si="241">K33+K34</f>
        <v>0</v>
      </c>
      <c r="L35" s="105">
        <f t="shared" ref="L35" si="242">L33+L34</f>
        <v>0</v>
      </c>
      <c r="M35" s="106">
        <f t="shared" ref="M35" si="243">M33+M34</f>
        <v>0</v>
      </c>
      <c r="N35" s="110">
        <f t="shared" si="163"/>
        <v>0</v>
      </c>
      <c r="O35" s="105">
        <f t="shared" ref="O35" si="244">O33+O34</f>
        <v>0</v>
      </c>
      <c r="P35" s="105">
        <f t="shared" ref="P35" si="245">P33+P34</f>
        <v>0</v>
      </c>
      <c r="Q35" s="106">
        <f t="shared" ref="Q35" si="246">Q33+Q34</f>
        <v>0</v>
      </c>
      <c r="R35" s="110">
        <f t="shared" si="164"/>
        <v>0</v>
      </c>
      <c r="S35" s="110">
        <f t="shared" si="149"/>
        <v>0</v>
      </c>
      <c r="T35" s="105">
        <f t="shared" ref="T35" si="247">T33+T34</f>
        <v>0</v>
      </c>
      <c r="U35" s="105">
        <f t="shared" ref="U35" si="248">U33+U34</f>
        <v>0</v>
      </c>
      <c r="V35" s="106">
        <f t="shared" ref="V35" si="249">V33+V34</f>
        <v>-64464.989452125505</v>
      </c>
      <c r="W35" s="110">
        <f t="shared" si="165"/>
        <v>-64464.989452125505</v>
      </c>
      <c r="X35" s="110">
        <f t="shared" si="150"/>
        <v>-64464.989452125505</v>
      </c>
      <c r="Y35" s="105">
        <f t="shared" ref="Y35" si="250">Y33+Y34</f>
        <v>3566065.0105478745</v>
      </c>
      <c r="Z35" s="105">
        <f t="shared" ref="Z35" si="251">Z33+Z34</f>
        <v>3486163.4444823917</v>
      </c>
      <c r="AA35" s="106">
        <f t="shared" ref="AA35" si="252">AA33+AA34</f>
        <v>2685733.3724701004</v>
      </c>
      <c r="AB35" s="110">
        <f t="shared" si="166"/>
        <v>9737961.8275003657</v>
      </c>
      <c r="AC35" s="110">
        <f t="shared" si="151"/>
        <v>9673496.8380482402</v>
      </c>
      <c r="AE35" s="105">
        <f t="shared" ref="AE35:AG35" si="253">AE33+AE34</f>
        <v>0</v>
      </c>
      <c r="AF35" s="105">
        <f t="shared" si="253"/>
        <v>0</v>
      </c>
      <c r="AG35" s="106">
        <f t="shared" si="253"/>
        <v>0</v>
      </c>
      <c r="AH35" s="110">
        <f t="shared" si="167"/>
        <v>0</v>
      </c>
      <c r="AI35" s="105">
        <f t="shared" ref="AI35" si="254">AI33+AI34</f>
        <v>0</v>
      </c>
      <c r="AJ35" s="105">
        <f t="shared" ref="AJ35" si="255">AJ33+AJ34</f>
        <v>0</v>
      </c>
      <c r="AK35" s="106">
        <f t="shared" ref="AK35" si="256">AK33+AK34</f>
        <v>0</v>
      </c>
      <c r="AL35" s="110">
        <f t="shared" si="168"/>
        <v>0</v>
      </c>
      <c r="AM35" s="110">
        <f t="shared" si="152"/>
        <v>0</v>
      </c>
      <c r="AN35" s="105">
        <f t="shared" ref="AN35" si="257">AN33+AN34</f>
        <v>0</v>
      </c>
      <c r="AO35" s="105">
        <f t="shared" ref="AO35" si="258">AO33+AO34</f>
        <v>0</v>
      </c>
      <c r="AP35" s="106">
        <f t="shared" ref="AP35" si="259">AP33+AP34</f>
        <v>0</v>
      </c>
      <c r="AQ35" s="110">
        <f t="shared" si="169"/>
        <v>0</v>
      </c>
      <c r="AR35" s="110">
        <f t="shared" si="53"/>
        <v>0</v>
      </c>
      <c r="AS35" s="105">
        <f t="shared" ref="AS35" si="260">AS33+AS34</f>
        <v>0</v>
      </c>
      <c r="AT35" s="105">
        <f t="shared" ref="AT35" si="261">AT33+AT34</f>
        <v>0</v>
      </c>
      <c r="AU35" s="106">
        <f t="shared" ref="AU35" si="262">AU33+AU34</f>
        <v>0</v>
      </c>
      <c r="AV35" s="110">
        <f t="shared" si="170"/>
        <v>0</v>
      </c>
      <c r="AW35" s="110">
        <f t="shared" si="153"/>
        <v>0</v>
      </c>
      <c r="AY35" s="105">
        <f t="shared" ref="AY35" si="263">AY33+AY34</f>
        <v>0</v>
      </c>
      <c r="AZ35" s="105">
        <f t="shared" ref="AZ35" si="264">AZ33+AZ34</f>
        <v>0</v>
      </c>
      <c r="BA35" s="106">
        <f t="shared" ref="BA35" si="265">BA33+BA34</f>
        <v>0</v>
      </c>
      <c r="BB35" s="110">
        <f t="shared" si="171"/>
        <v>0</v>
      </c>
      <c r="BC35" s="105">
        <f t="shared" ref="BC35" si="266">BC33+BC34</f>
        <v>0</v>
      </c>
      <c r="BD35" s="105">
        <f t="shared" ref="BD35" si="267">BD33+BD34</f>
        <v>0</v>
      </c>
      <c r="BE35" s="106">
        <f t="shared" ref="BE35" si="268">BE33+BE34</f>
        <v>0</v>
      </c>
      <c r="BF35" s="110">
        <f t="shared" si="172"/>
        <v>0</v>
      </c>
      <c r="BG35" s="110">
        <f t="shared" si="154"/>
        <v>0</v>
      </c>
      <c r="BH35" s="105">
        <f t="shared" ref="BH35" si="269">BH33+BH34</f>
        <v>0</v>
      </c>
      <c r="BI35" s="105">
        <f t="shared" ref="BI35" si="270">BI33+BI34</f>
        <v>0</v>
      </c>
      <c r="BJ35" s="106">
        <f t="shared" ref="BJ35" si="271">BJ33+BJ34</f>
        <v>0</v>
      </c>
      <c r="BK35" s="110">
        <f t="shared" si="173"/>
        <v>0</v>
      </c>
      <c r="BL35" s="110">
        <f t="shared" si="155"/>
        <v>0</v>
      </c>
      <c r="BM35" s="105">
        <f t="shared" ref="BM35" si="272">BM33+BM34</f>
        <v>0</v>
      </c>
      <c r="BN35" s="105">
        <f t="shared" ref="BN35" si="273">BN33+BN34</f>
        <v>0</v>
      </c>
      <c r="BO35" s="106">
        <f t="shared" ref="BO35" si="274">BO33+BO34</f>
        <v>0</v>
      </c>
      <c r="BP35" s="110">
        <f t="shared" si="174"/>
        <v>0</v>
      </c>
      <c r="BQ35" s="110">
        <f t="shared" si="156"/>
        <v>0</v>
      </c>
      <c r="BS35" s="105">
        <f t="shared" ref="BS35" si="275">BS33+BS34</f>
        <v>0</v>
      </c>
      <c r="BT35" s="105">
        <f t="shared" ref="BT35" si="276">BT33+BT34</f>
        <v>0</v>
      </c>
      <c r="BU35" s="106">
        <f t="shared" ref="BU35" si="277">BU33+BU34</f>
        <v>0</v>
      </c>
      <c r="BV35" s="110">
        <f t="shared" si="175"/>
        <v>0</v>
      </c>
      <c r="BW35" s="105">
        <f t="shared" ref="BW35" si="278">BW33+BW34</f>
        <v>0</v>
      </c>
      <c r="BX35" s="105">
        <f t="shared" ref="BX35" si="279">BX33+BX34</f>
        <v>0</v>
      </c>
      <c r="BY35" s="106">
        <f t="shared" ref="BY35" si="280">BY33+BY34</f>
        <v>0</v>
      </c>
      <c r="BZ35" s="110">
        <f t="shared" si="176"/>
        <v>0</v>
      </c>
      <c r="CA35" s="110">
        <f t="shared" si="157"/>
        <v>0</v>
      </c>
      <c r="CB35" s="105">
        <f t="shared" ref="CB35" si="281">CB33+CB34</f>
        <v>0</v>
      </c>
      <c r="CC35" s="105">
        <f t="shared" ref="CC35" si="282">CC33+CC34</f>
        <v>0</v>
      </c>
      <c r="CD35" s="106">
        <f t="shared" ref="CD35" si="283">CD33+CD34</f>
        <v>0</v>
      </c>
      <c r="CE35" s="110">
        <f t="shared" si="177"/>
        <v>0</v>
      </c>
      <c r="CF35" s="110">
        <f t="shared" si="158"/>
        <v>0</v>
      </c>
      <c r="CG35" s="105">
        <f t="shared" ref="CG35" si="284">CG33+CG34</f>
        <v>0</v>
      </c>
      <c r="CH35" s="105">
        <f t="shared" ref="CH35" si="285">CH33+CH34</f>
        <v>0</v>
      </c>
      <c r="CI35" s="106">
        <f t="shared" ref="CI35" si="286">CI33+CI34</f>
        <v>0</v>
      </c>
      <c r="CJ35" s="110">
        <f t="shared" si="178"/>
        <v>0</v>
      </c>
      <c r="CK35" s="110">
        <f t="shared" si="159"/>
        <v>0</v>
      </c>
      <c r="CM35" s="105">
        <f t="shared" ref="CM35" si="287">CM33+CM34</f>
        <v>0</v>
      </c>
      <c r="CN35" s="105">
        <f t="shared" ref="CN35" si="288">CN33+CN34</f>
        <v>0</v>
      </c>
      <c r="CO35" s="106">
        <f t="shared" ref="CO35" si="289">CO33+CO34</f>
        <v>0</v>
      </c>
      <c r="CP35" s="110">
        <f t="shared" si="179"/>
        <v>0</v>
      </c>
      <c r="CQ35" s="105">
        <f t="shared" ref="CQ35" si="290">CQ33+CQ34</f>
        <v>0</v>
      </c>
      <c r="CR35" s="105">
        <f t="shared" ref="CR35" si="291">CR33+CR34</f>
        <v>0</v>
      </c>
      <c r="CS35" s="106">
        <f t="shared" ref="CS35" si="292">CS33+CS34</f>
        <v>0</v>
      </c>
      <c r="CT35" s="110">
        <f t="shared" si="180"/>
        <v>0</v>
      </c>
      <c r="CU35" s="110">
        <f t="shared" si="160"/>
        <v>0</v>
      </c>
      <c r="CV35" s="105">
        <f t="shared" ref="CV35" si="293">CV33+CV34</f>
        <v>0</v>
      </c>
      <c r="CW35" s="105">
        <f t="shared" ref="CW35" si="294">CW33+CW34</f>
        <v>0</v>
      </c>
      <c r="CX35" s="106">
        <f t="shared" ref="CX35" si="295">CX33+CX34</f>
        <v>0</v>
      </c>
      <c r="CY35" s="110">
        <f t="shared" si="181"/>
        <v>0</v>
      </c>
      <c r="CZ35" s="110">
        <f t="shared" si="161"/>
        <v>0</v>
      </c>
      <c r="DA35" s="105">
        <f t="shared" ref="DA35" si="296">DA33+DA34</f>
        <v>0</v>
      </c>
      <c r="DB35" s="105">
        <f t="shared" ref="DB35" si="297">DB33+DB34</f>
        <v>0</v>
      </c>
      <c r="DC35" s="106">
        <f t="shared" ref="DC35" si="298">DC33+DC34</f>
        <v>0</v>
      </c>
      <c r="DD35" s="110">
        <f t="shared" si="182"/>
        <v>0</v>
      </c>
      <c r="DE35" s="110">
        <f t="shared" si="162"/>
        <v>0</v>
      </c>
    </row>
    <row r="36" spans="1:109" s="12" customFormat="1" ht="10.199999999999999" x14ac:dyDescent="0.2">
      <c r="A36" s="11"/>
      <c r="E36" s="107"/>
      <c r="F36" s="101" t="s">
        <v>274</v>
      </c>
      <c r="G36" s="101"/>
      <c r="I36" s="109">
        <f t="shared" si="41"/>
        <v>-3387653.307003588</v>
      </c>
      <c r="K36" s="105">
        <f t="shared" ref="K36" si="299">K37+K41</f>
        <v>0</v>
      </c>
      <c r="L36" s="105">
        <f t="shared" ref="L36" si="300">L37+L41</f>
        <v>0</v>
      </c>
      <c r="M36" s="106">
        <f t="shared" ref="M36" si="301">M37+M41</f>
        <v>0</v>
      </c>
      <c r="N36" s="110">
        <f t="shared" si="163"/>
        <v>0</v>
      </c>
      <c r="O36" s="105">
        <f t="shared" ref="O36" si="302">O37+O41</f>
        <v>0</v>
      </c>
      <c r="P36" s="105">
        <f t="shared" ref="P36" si="303">P37+P41</f>
        <v>0</v>
      </c>
      <c r="Q36" s="106">
        <f t="shared" ref="Q36" si="304">Q37+Q41</f>
        <v>0</v>
      </c>
      <c r="R36" s="110">
        <f t="shared" si="164"/>
        <v>0</v>
      </c>
      <c r="S36" s="110">
        <f t="shared" si="149"/>
        <v>0</v>
      </c>
      <c r="T36" s="105">
        <f t="shared" ref="T36" si="305">T37+T41</f>
        <v>0</v>
      </c>
      <c r="U36" s="105">
        <f t="shared" ref="U36" si="306">U37+U41</f>
        <v>0</v>
      </c>
      <c r="V36" s="106">
        <f t="shared" ref="V36" si="307">V37+V41</f>
        <v>314226.33122375835</v>
      </c>
      <c r="W36" s="110">
        <f t="shared" si="165"/>
        <v>314226.33122375835</v>
      </c>
      <c r="X36" s="110">
        <f t="shared" si="150"/>
        <v>314226.33122375835</v>
      </c>
      <c r="Y36" s="105">
        <f t="shared" ref="Y36" si="308">Y37+Y41</f>
        <v>-1353213.0021095751</v>
      </c>
      <c r="Z36" s="105">
        <f t="shared" ref="Z36" si="309">Z37+Z41</f>
        <v>-1243899.3555631451</v>
      </c>
      <c r="AA36" s="106">
        <f t="shared" ref="AA36" si="310">AA37+AA41</f>
        <v>-1104767.2805546261</v>
      </c>
      <c r="AB36" s="110">
        <f t="shared" si="166"/>
        <v>-3701879.6382273464</v>
      </c>
      <c r="AC36" s="110">
        <f t="shared" si="151"/>
        <v>-3387653.307003588</v>
      </c>
      <c r="AE36" s="105">
        <f t="shared" ref="AE36:AG36" si="311">AE37+AE41</f>
        <v>0</v>
      </c>
      <c r="AF36" s="105">
        <f t="shared" si="311"/>
        <v>0</v>
      </c>
      <c r="AG36" s="106">
        <f t="shared" si="311"/>
        <v>0</v>
      </c>
      <c r="AH36" s="110">
        <f t="shared" si="167"/>
        <v>0</v>
      </c>
      <c r="AI36" s="105">
        <f t="shared" ref="AI36" si="312">AI37+AI41</f>
        <v>0</v>
      </c>
      <c r="AJ36" s="105">
        <f t="shared" ref="AJ36" si="313">AJ37+AJ41</f>
        <v>0</v>
      </c>
      <c r="AK36" s="106">
        <f t="shared" ref="AK36" si="314">AK37+AK41</f>
        <v>0</v>
      </c>
      <c r="AL36" s="110">
        <f t="shared" si="168"/>
        <v>0</v>
      </c>
      <c r="AM36" s="110">
        <f t="shared" si="152"/>
        <v>0</v>
      </c>
      <c r="AN36" s="105">
        <f t="shared" ref="AN36" si="315">AN37+AN41</f>
        <v>0</v>
      </c>
      <c r="AO36" s="105">
        <f t="shared" ref="AO36" si="316">AO37+AO41</f>
        <v>0</v>
      </c>
      <c r="AP36" s="106">
        <f t="shared" ref="AP36" si="317">AP37+AP41</f>
        <v>0</v>
      </c>
      <c r="AQ36" s="110">
        <f t="shared" si="169"/>
        <v>0</v>
      </c>
      <c r="AR36" s="110">
        <f t="shared" si="53"/>
        <v>0</v>
      </c>
      <c r="AS36" s="105">
        <f t="shared" ref="AS36" si="318">AS37+AS41</f>
        <v>0</v>
      </c>
      <c r="AT36" s="105">
        <f t="shared" ref="AT36" si="319">AT37+AT41</f>
        <v>0</v>
      </c>
      <c r="AU36" s="106">
        <f t="shared" ref="AU36" si="320">AU37+AU41</f>
        <v>0</v>
      </c>
      <c r="AV36" s="110">
        <f t="shared" si="170"/>
        <v>0</v>
      </c>
      <c r="AW36" s="110">
        <f t="shared" si="153"/>
        <v>0</v>
      </c>
      <c r="AY36" s="105">
        <f t="shared" ref="AY36" si="321">AY37+AY41</f>
        <v>0</v>
      </c>
      <c r="AZ36" s="105">
        <f t="shared" ref="AZ36" si="322">AZ37+AZ41</f>
        <v>0</v>
      </c>
      <c r="BA36" s="106">
        <f t="shared" ref="BA36" si="323">BA37+BA41</f>
        <v>0</v>
      </c>
      <c r="BB36" s="110">
        <f t="shared" si="171"/>
        <v>0</v>
      </c>
      <c r="BC36" s="105">
        <f t="shared" ref="BC36" si="324">BC37+BC41</f>
        <v>0</v>
      </c>
      <c r="BD36" s="105">
        <f t="shared" ref="BD36" si="325">BD37+BD41</f>
        <v>0</v>
      </c>
      <c r="BE36" s="106">
        <f t="shared" ref="BE36" si="326">BE37+BE41</f>
        <v>0</v>
      </c>
      <c r="BF36" s="110">
        <f t="shared" si="172"/>
        <v>0</v>
      </c>
      <c r="BG36" s="110">
        <f t="shared" si="154"/>
        <v>0</v>
      </c>
      <c r="BH36" s="105">
        <f t="shared" ref="BH36" si="327">BH37+BH41</f>
        <v>0</v>
      </c>
      <c r="BI36" s="105">
        <f t="shared" ref="BI36" si="328">BI37+BI41</f>
        <v>0</v>
      </c>
      <c r="BJ36" s="106">
        <f t="shared" ref="BJ36" si="329">BJ37+BJ41</f>
        <v>0</v>
      </c>
      <c r="BK36" s="110">
        <f t="shared" si="173"/>
        <v>0</v>
      </c>
      <c r="BL36" s="110">
        <f t="shared" si="155"/>
        <v>0</v>
      </c>
      <c r="BM36" s="105">
        <f t="shared" ref="BM36" si="330">BM37+BM41</f>
        <v>0</v>
      </c>
      <c r="BN36" s="105">
        <f t="shared" ref="BN36" si="331">BN37+BN41</f>
        <v>0</v>
      </c>
      <c r="BO36" s="106">
        <f t="shared" ref="BO36" si="332">BO37+BO41</f>
        <v>0</v>
      </c>
      <c r="BP36" s="110">
        <f t="shared" si="174"/>
        <v>0</v>
      </c>
      <c r="BQ36" s="110">
        <f t="shared" si="156"/>
        <v>0</v>
      </c>
      <c r="BS36" s="105">
        <f t="shared" ref="BS36" si="333">BS37+BS41</f>
        <v>0</v>
      </c>
      <c r="BT36" s="105">
        <f t="shared" ref="BT36" si="334">BT37+BT41</f>
        <v>0</v>
      </c>
      <c r="BU36" s="106">
        <f t="shared" ref="BU36" si="335">BU37+BU41</f>
        <v>0</v>
      </c>
      <c r="BV36" s="110">
        <f t="shared" si="175"/>
        <v>0</v>
      </c>
      <c r="BW36" s="105">
        <f t="shared" ref="BW36" si="336">BW37+BW41</f>
        <v>0</v>
      </c>
      <c r="BX36" s="105">
        <f t="shared" ref="BX36" si="337">BX37+BX41</f>
        <v>0</v>
      </c>
      <c r="BY36" s="106">
        <f t="shared" ref="BY36" si="338">BY37+BY41</f>
        <v>0</v>
      </c>
      <c r="BZ36" s="110">
        <f t="shared" si="176"/>
        <v>0</v>
      </c>
      <c r="CA36" s="110">
        <f t="shared" si="157"/>
        <v>0</v>
      </c>
      <c r="CB36" s="105">
        <f t="shared" ref="CB36" si="339">CB37+CB41</f>
        <v>0</v>
      </c>
      <c r="CC36" s="105">
        <f t="shared" ref="CC36" si="340">CC37+CC41</f>
        <v>0</v>
      </c>
      <c r="CD36" s="106">
        <f t="shared" ref="CD36" si="341">CD37+CD41</f>
        <v>0</v>
      </c>
      <c r="CE36" s="110">
        <f t="shared" si="177"/>
        <v>0</v>
      </c>
      <c r="CF36" s="110">
        <f t="shared" si="158"/>
        <v>0</v>
      </c>
      <c r="CG36" s="105">
        <f t="shared" ref="CG36" si="342">CG37+CG41</f>
        <v>0</v>
      </c>
      <c r="CH36" s="105">
        <f t="shared" ref="CH36" si="343">CH37+CH41</f>
        <v>0</v>
      </c>
      <c r="CI36" s="106">
        <f t="shared" ref="CI36" si="344">CI37+CI41</f>
        <v>0</v>
      </c>
      <c r="CJ36" s="110">
        <f t="shared" si="178"/>
        <v>0</v>
      </c>
      <c r="CK36" s="110">
        <f t="shared" si="159"/>
        <v>0</v>
      </c>
      <c r="CM36" s="105">
        <f t="shared" ref="CM36" si="345">CM37+CM41</f>
        <v>0</v>
      </c>
      <c r="CN36" s="105">
        <f t="shared" ref="CN36" si="346">CN37+CN41</f>
        <v>0</v>
      </c>
      <c r="CO36" s="106">
        <f t="shared" ref="CO36" si="347">CO37+CO41</f>
        <v>0</v>
      </c>
      <c r="CP36" s="110">
        <f t="shared" si="179"/>
        <v>0</v>
      </c>
      <c r="CQ36" s="105">
        <f t="shared" ref="CQ36" si="348">CQ37+CQ41</f>
        <v>0</v>
      </c>
      <c r="CR36" s="105">
        <f t="shared" ref="CR36" si="349">CR37+CR41</f>
        <v>0</v>
      </c>
      <c r="CS36" s="106">
        <f t="shared" ref="CS36" si="350">CS37+CS41</f>
        <v>0</v>
      </c>
      <c r="CT36" s="110">
        <f t="shared" si="180"/>
        <v>0</v>
      </c>
      <c r="CU36" s="110">
        <f t="shared" si="160"/>
        <v>0</v>
      </c>
      <c r="CV36" s="105">
        <f t="shared" ref="CV36" si="351">CV37+CV41</f>
        <v>0</v>
      </c>
      <c r="CW36" s="105">
        <f t="shared" ref="CW36" si="352">CW37+CW41</f>
        <v>0</v>
      </c>
      <c r="CX36" s="106">
        <f t="shared" ref="CX36" si="353">CX37+CX41</f>
        <v>0</v>
      </c>
      <c r="CY36" s="110">
        <f t="shared" si="181"/>
        <v>0</v>
      </c>
      <c r="CZ36" s="110">
        <f t="shared" si="161"/>
        <v>0</v>
      </c>
      <c r="DA36" s="105">
        <f t="shared" ref="DA36" si="354">DA37+DA41</f>
        <v>0</v>
      </c>
      <c r="DB36" s="105">
        <f t="shared" ref="DB36" si="355">DB37+DB41</f>
        <v>0</v>
      </c>
      <c r="DC36" s="106">
        <f t="shared" ref="DC36" si="356">DC37+DC41</f>
        <v>0</v>
      </c>
      <c r="DD36" s="110">
        <f t="shared" si="182"/>
        <v>0</v>
      </c>
      <c r="DE36" s="110">
        <f t="shared" si="162"/>
        <v>0</v>
      </c>
    </row>
    <row r="37" spans="1:109" s="12" customFormat="1" ht="10.199999999999999" x14ac:dyDescent="0.2">
      <c r="E37" s="79"/>
      <c r="F37" s="79"/>
      <c r="G37" s="79" t="s">
        <v>264</v>
      </c>
      <c r="I37" s="88">
        <f t="shared" si="41"/>
        <v>-1816192.4242424243</v>
      </c>
      <c r="K37" s="85">
        <f t="shared" ref="K37" si="357">SUM(K38:K40)</f>
        <v>0</v>
      </c>
      <c r="L37" s="85">
        <f t="shared" ref="L37" si="358">SUM(L38:L40)</f>
        <v>0</v>
      </c>
      <c r="M37" s="86">
        <f t="shared" ref="M37" si="359">SUM(M38:M40)</f>
        <v>0</v>
      </c>
      <c r="N37" s="88">
        <f t="shared" si="163"/>
        <v>0</v>
      </c>
      <c r="O37" s="85">
        <f t="shared" ref="O37" si="360">SUM(O38:O40)</f>
        <v>0</v>
      </c>
      <c r="P37" s="85">
        <f t="shared" ref="P37" si="361">SUM(P38:P40)</f>
        <v>0</v>
      </c>
      <c r="Q37" s="86">
        <f t="shared" ref="Q37" si="362">SUM(Q38:Q40)</f>
        <v>0</v>
      </c>
      <c r="R37" s="88">
        <f t="shared" si="164"/>
        <v>0</v>
      </c>
      <c r="S37" s="88">
        <f t="shared" si="149"/>
        <v>0</v>
      </c>
      <c r="T37" s="85">
        <f t="shared" ref="T37" si="363">SUM(T38:T40)</f>
        <v>0</v>
      </c>
      <c r="U37" s="85">
        <f t="shared" ref="U37" si="364">SUM(U38:U40)</f>
        <v>0</v>
      </c>
      <c r="V37" s="86">
        <f t="shared" ref="V37" si="365">SUM(V38:V40)</f>
        <v>376666.66666666657</v>
      </c>
      <c r="W37" s="88">
        <f t="shared" si="165"/>
        <v>376666.66666666657</v>
      </c>
      <c r="X37" s="88">
        <f t="shared" si="150"/>
        <v>376666.66666666657</v>
      </c>
      <c r="Y37" s="85">
        <f t="shared" ref="Y37" si="366">SUM(Y38:Y40)</f>
        <v>-800000</v>
      </c>
      <c r="Z37" s="85">
        <f t="shared" ref="Z37" si="367">SUM(Z38:Z40)</f>
        <v>-683333.33333333337</v>
      </c>
      <c r="AA37" s="86">
        <f t="shared" ref="AA37" si="368">SUM(AA38:AA40)</f>
        <v>-709525.75757575757</v>
      </c>
      <c r="AB37" s="88">
        <f t="shared" si="166"/>
        <v>-2192859.0909090908</v>
      </c>
      <c r="AC37" s="88">
        <f t="shared" si="151"/>
        <v>-1816192.4242424243</v>
      </c>
      <c r="AE37" s="85">
        <f t="shared" ref="AE37:AG37" si="369">SUM(AE38:AE40)</f>
        <v>0</v>
      </c>
      <c r="AF37" s="85">
        <f t="shared" si="369"/>
        <v>0</v>
      </c>
      <c r="AG37" s="86">
        <f t="shared" si="369"/>
        <v>0</v>
      </c>
      <c r="AH37" s="88">
        <f t="shared" si="167"/>
        <v>0</v>
      </c>
      <c r="AI37" s="85">
        <f t="shared" ref="AI37" si="370">SUM(AI38:AI40)</f>
        <v>0</v>
      </c>
      <c r="AJ37" s="85">
        <f t="shared" ref="AJ37" si="371">SUM(AJ38:AJ40)</f>
        <v>0</v>
      </c>
      <c r="AK37" s="86">
        <f t="shared" ref="AK37" si="372">SUM(AK38:AK40)</f>
        <v>0</v>
      </c>
      <c r="AL37" s="88">
        <f t="shared" si="168"/>
        <v>0</v>
      </c>
      <c r="AM37" s="88">
        <f t="shared" si="152"/>
        <v>0</v>
      </c>
      <c r="AN37" s="85">
        <f t="shared" ref="AN37" si="373">SUM(AN38:AN40)</f>
        <v>0</v>
      </c>
      <c r="AO37" s="85">
        <f t="shared" ref="AO37" si="374">SUM(AO38:AO40)</f>
        <v>0</v>
      </c>
      <c r="AP37" s="86">
        <f t="shared" ref="AP37" si="375">SUM(AP38:AP40)</f>
        <v>0</v>
      </c>
      <c r="AQ37" s="88">
        <f t="shared" si="169"/>
        <v>0</v>
      </c>
      <c r="AR37" s="88">
        <f t="shared" si="53"/>
        <v>0</v>
      </c>
      <c r="AS37" s="85">
        <f t="shared" ref="AS37" si="376">SUM(AS38:AS40)</f>
        <v>0</v>
      </c>
      <c r="AT37" s="85">
        <f t="shared" ref="AT37" si="377">SUM(AT38:AT40)</f>
        <v>0</v>
      </c>
      <c r="AU37" s="86">
        <f t="shared" ref="AU37" si="378">SUM(AU38:AU40)</f>
        <v>0</v>
      </c>
      <c r="AV37" s="88">
        <f t="shared" si="170"/>
        <v>0</v>
      </c>
      <c r="AW37" s="88">
        <f t="shared" si="153"/>
        <v>0</v>
      </c>
      <c r="AY37" s="85">
        <f t="shared" ref="AY37" si="379">SUM(AY38:AY40)</f>
        <v>0</v>
      </c>
      <c r="AZ37" s="85">
        <f t="shared" ref="AZ37" si="380">SUM(AZ38:AZ40)</f>
        <v>0</v>
      </c>
      <c r="BA37" s="86">
        <f t="shared" ref="BA37" si="381">SUM(BA38:BA40)</f>
        <v>0</v>
      </c>
      <c r="BB37" s="88">
        <f t="shared" si="171"/>
        <v>0</v>
      </c>
      <c r="BC37" s="85">
        <f t="shared" ref="BC37" si="382">SUM(BC38:BC40)</f>
        <v>0</v>
      </c>
      <c r="BD37" s="85">
        <f t="shared" ref="BD37" si="383">SUM(BD38:BD40)</f>
        <v>0</v>
      </c>
      <c r="BE37" s="86">
        <f t="shared" ref="BE37" si="384">SUM(BE38:BE40)</f>
        <v>0</v>
      </c>
      <c r="BF37" s="88">
        <f t="shared" si="172"/>
        <v>0</v>
      </c>
      <c r="BG37" s="88">
        <f t="shared" si="154"/>
        <v>0</v>
      </c>
      <c r="BH37" s="85">
        <f t="shared" ref="BH37" si="385">SUM(BH38:BH40)</f>
        <v>0</v>
      </c>
      <c r="BI37" s="85">
        <f t="shared" ref="BI37" si="386">SUM(BI38:BI40)</f>
        <v>0</v>
      </c>
      <c r="BJ37" s="86">
        <f t="shared" ref="BJ37" si="387">SUM(BJ38:BJ40)</f>
        <v>0</v>
      </c>
      <c r="BK37" s="88">
        <f t="shared" si="173"/>
        <v>0</v>
      </c>
      <c r="BL37" s="88">
        <f t="shared" si="155"/>
        <v>0</v>
      </c>
      <c r="BM37" s="85">
        <f t="shared" ref="BM37" si="388">SUM(BM38:BM40)</f>
        <v>0</v>
      </c>
      <c r="BN37" s="85">
        <f t="shared" ref="BN37" si="389">SUM(BN38:BN40)</f>
        <v>0</v>
      </c>
      <c r="BO37" s="86">
        <f t="shared" ref="BO37" si="390">SUM(BO38:BO40)</f>
        <v>0</v>
      </c>
      <c r="BP37" s="88">
        <f t="shared" si="174"/>
        <v>0</v>
      </c>
      <c r="BQ37" s="88">
        <f t="shared" si="156"/>
        <v>0</v>
      </c>
      <c r="BS37" s="85">
        <f t="shared" ref="BS37" si="391">SUM(BS38:BS40)</f>
        <v>0</v>
      </c>
      <c r="BT37" s="85">
        <f t="shared" ref="BT37" si="392">SUM(BT38:BT40)</f>
        <v>0</v>
      </c>
      <c r="BU37" s="86">
        <f t="shared" ref="BU37" si="393">SUM(BU38:BU40)</f>
        <v>0</v>
      </c>
      <c r="BV37" s="88">
        <f t="shared" si="175"/>
        <v>0</v>
      </c>
      <c r="BW37" s="85">
        <f t="shared" ref="BW37" si="394">SUM(BW38:BW40)</f>
        <v>0</v>
      </c>
      <c r="BX37" s="85">
        <f t="shared" ref="BX37" si="395">SUM(BX38:BX40)</f>
        <v>0</v>
      </c>
      <c r="BY37" s="86">
        <f t="shared" ref="BY37" si="396">SUM(BY38:BY40)</f>
        <v>0</v>
      </c>
      <c r="BZ37" s="88">
        <f t="shared" si="176"/>
        <v>0</v>
      </c>
      <c r="CA37" s="88">
        <f t="shared" si="157"/>
        <v>0</v>
      </c>
      <c r="CB37" s="85">
        <f t="shared" ref="CB37" si="397">SUM(CB38:CB40)</f>
        <v>0</v>
      </c>
      <c r="CC37" s="85">
        <f t="shared" ref="CC37" si="398">SUM(CC38:CC40)</f>
        <v>0</v>
      </c>
      <c r="CD37" s="86">
        <f t="shared" ref="CD37" si="399">SUM(CD38:CD40)</f>
        <v>0</v>
      </c>
      <c r="CE37" s="88">
        <f t="shared" si="177"/>
        <v>0</v>
      </c>
      <c r="CF37" s="88">
        <f t="shared" si="158"/>
        <v>0</v>
      </c>
      <c r="CG37" s="85">
        <f t="shared" ref="CG37" si="400">SUM(CG38:CG40)</f>
        <v>0</v>
      </c>
      <c r="CH37" s="85">
        <f t="shared" ref="CH37" si="401">SUM(CH38:CH40)</f>
        <v>0</v>
      </c>
      <c r="CI37" s="86">
        <f t="shared" ref="CI37" si="402">SUM(CI38:CI40)</f>
        <v>0</v>
      </c>
      <c r="CJ37" s="88">
        <f t="shared" si="178"/>
        <v>0</v>
      </c>
      <c r="CK37" s="88">
        <f t="shared" si="159"/>
        <v>0</v>
      </c>
      <c r="CM37" s="85">
        <f t="shared" ref="CM37" si="403">SUM(CM38:CM40)</f>
        <v>0</v>
      </c>
      <c r="CN37" s="85">
        <f t="shared" ref="CN37" si="404">SUM(CN38:CN40)</f>
        <v>0</v>
      </c>
      <c r="CO37" s="86">
        <f t="shared" ref="CO37" si="405">SUM(CO38:CO40)</f>
        <v>0</v>
      </c>
      <c r="CP37" s="88">
        <f t="shared" si="179"/>
        <v>0</v>
      </c>
      <c r="CQ37" s="85">
        <f t="shared" ref="CQ37" si="406">SUM(CQ38:CQ40)</f>
        <v>0</v>
      </c>
      <c r="CR37" s="85">
        <f t="shared" ref="CR37" si="407">SUM(CR38:CR40)</f>
        <v>0</v>
      </c>
      <c r="CS37" s="86">
        <f t="shared" ref="CS37" si="408">SUM(CS38:CS40)</f>
        <v>0</v>
      </c>
      <c r="CT37" s="88">
        <f t="shared" si="180"/>
        <v>0</v>
      </c>
      <c r="CU37" s="88">
        <f t="shared" si="160"/>
        <v>0</v>
      </c>
      <c r="CV37" s="85">
        <f t="shared" ref="CV37" si="409">SUM(CV38:CV40)</f>
        <v>0</v>
      </c>
      <c r="CW37" s="85">
        <f t="shared" ref="CW37" si="410">SUM(CW38:CW40)</f>
        <v>0</v>
      </c>
      <c r="CX37" s="86">
        <f t="shared" ref="CX37" si="411">SUM(CX38:CX40)</f>
        <v>0</v>
      </c>
      <c r="CY37" s="88">
        <f t="shared" si="181"/>
        <v>0</v>
      </c>
      <c r="CZ37" s="88">
        <f t="shared" si="161"/>
        <v>0</v>
      </c>
      <c r="DA37" s="85">
        <f t="shared" ref="DA37" si="412">SUM(DA38:DA40)</f>
        <v>0</v>
      </c>
      <c r="DB37" s="85">
        <f t="shared" ref="DB37" si="413">SUM(DB38:DB40)</f>
        <v>0</v>
      </c>
      <c r="DC37" s="86">
        <f t="shared" ref="DC37" si="414">SUM(DC38:DC40)</f>
        <v>0</v>
      </c>
      <c r="DD37" s="88">
        <f t="shared" si="182"/>
        <v>0</v>
      </c>
      <c r="DE37" s="88">
        <f t="shared" si="162"/>
        <v>0</v>
      </c>
    </row>
    <row r="38" spans="1:109" s="12" customFormat="1" ht="10.199999999999999" x14ac:dyDescent="0.2">
      <c r="A38" s="11"/>
      <c r="B38" s="11"/>
      <c r="E38" s="20"/>
      <c r="F38" s="21"/>
      <c r="G38" s="147" t="s">
        <v>271</v>
      </c>
      <c r="I38" s="87">
        <f t="shared" si="41"/>
        <v>-3000000</v>
      </c>
      <c r="K38" s="23">
        <f>-SUMIFS(БДР_Выручка!$G:$G,БДР_Выручка!$C:$C,K$3)</f>
        <v>0</v>
      </c>
      <c r="L38" s="23">
        <f>-SUMIFS(БДР_Выручка!$G:$G,БДР_Выручка!$C:$C,L$3)</f>
        <v>0</v>
      </c>
      <c r="M38" s="33">
        <f>-SUMIFS(БДР_Выручка!$G:$G,БДР_Выручка!$C:$C,M$3)</f>
        <v>0</v>
      </c>
      <c r="N38" s="41">
        <f t="shared" si="163"/>
        <v>0</v>
      </c>
      <c r="O38" s="23">
        <f>-SUMIFS(БДР_Выручка!$G:$G,БДР_Выручка!$C:$C,O$3)</f>
        <v>0</v>
      </c>
      <c r="P38" s="23">
        <f>-SUMIFS(БДР_Выручка!$G:$G,БДР_Выручка!$C:$C,P$3)</f>
        <v>0</v>
      </c>
      <c r="Q38" s="33">
        <f>-SUMIFS(БДР_Выручка!$G:$G,БДР_Выручка!$C:$C,Q$3)</f>
        <v>0</v>
      </c>
      <c r="R38" s="41">
        <f t="shared" si="164"/>
        <v>0</v>
      </c>
      <c r="S38" s="41">
        <f t="shared" si="149"/>
        <v>0</v>
      </c>
      <c r="T38" s="23">
        <f>-SUMIFS(БДР_Выручка!$G:$G,БДР_Выручка!$C:$C,T$3)</f>
        <v>0</v>
      </c>
      <c r="U38" s="23">
        <f>-SUMIFS(БДР_Выручка!$G:$G,БДР_Выручка!$C:$C,U$3)</f>
        <v>0</v>
      </c>
      <c r="V38" s="33">
        <f>-SUMIFS(БДР_Выручка!$G:$G,БДР_Выручка!$C:$C,V$3)</f>
        <v>0</v>
      </c>
      <c r="W38" s="41">
        <f t="shared" si="165"/>
        <v>0</v>
      </c>
      <c r="X38" s="41">
        <f t="shared" si="150"/>
        <v>0</v>
      </c>
      <c r="Y38" s="23">
        <f>-SUMIFS(БДР_Выручка!$G:$G,БДР_Выручка!$C:$C,Y$3)</f>
        <v>-1000000</v>
      </c>
      <c r="Z38" s="23">
        <f>-SUMIFS(БДР_Выручка!$G:$G,БДР_Выручка!$C:$C,Z$3)</f>
        <v>-1000000</v>
      </c>
      <c r="AA38" s="33">
        <f>-SUMIFS(БДР_Выручка!$G:$G,БДР_Выручка!$C:$C,AA$3)</f>
        <v>-1000000</v>
      </c>
      <c r="AB38" s="41">
        <f t="shared" si="166"/>
        <v>-3000000</v>
      </c>
      <c r="AC38" s="41">
        <f t="shared" si="151"/>
        <v>-3000000</v>
      </c>
      <c r="AE38" s="23">
        <f>-SUMIFS(БДР_Выручка!$G:$G,БДР_Выручка!$C:$C,AE$3)</f>
        <v>0</v>
      </c>
      <c r="AF38" s="23">
        <f>-SUMIFS(БДР_Выручка!$G:$G,БДР_Выручка!$C:$C,AF$3)</f>
        <v>0</v>
      </c>
      <c r="AG38" s="33">
        <f>-SUMIFS(БДР_Выручка!$G:$G,БДР_Выручка!$C:$C,AG$3)</f>
        <v>0</v>
      </c>
      <c r="AH38" s="41">
        <f t="shared" si="167"/>
        <v>0</v>
      </c>
      <c r="AI38" s="23">
        <f>-SUMIFS(БДР_Выручка!$G:$G,БДР_Выручка!$C:$C,AI$3)</f>
        <v>0</v>
      </c>
      <c r="AJ38" s="23">
        <f>-SUMIFS(БДР_Выручка!$G:$G,БДР_Выручка!$C:$C,AJ$3)</f>
        <v>0</v>
      </c>
      <c r="AK38" s="33">
        <f>-SUMIFS(БДР_Выручка!$G:$G,БДР_Выручка!$C:$C,AK$3)</f>
        <v>0</v>
      </c>
      <c r="AL38" s="41">
        <f t="shared" si="168"/>
        <v>0</v>
      </c>
      <c r="AM38" s="41">
        <f t="shared" ref="AM38:AM41" si="415">AH38+AL38</f>
        <v>0</v>
      </c>
      <c r="AN38" s="23">
        <f>-SUMIFS(БДР_Выручка!$G:$G,БДР_Выручка!$C:$C,AN$3)</f>
        <v>0</v>
      </c>
      <c r="AO38" s="23">
        <f>-SUMIFS(БДР_Выручка!$G:$G,БДР_Выручка!$C:$C,AO$3)</f>
        <v>0</v>
      </c>
      <c r="AP38" s="33">
        <f>-SUMIFS(БДР_Выручка!$G:$G,БДР_Выручка!$C:$C,AP$3)</f>
        <v>0</v>
      </c>
      <c r="AQ38" s="41">
        <f t="shared" si="169"/>
        <v>0</v>
      </c>
      <c r="AR38" s="41">
        <f t="shared" si="53"/>
        <v>0</v>
      </c>
      <c r="AS38" s="23">
        <f>-SUMIFS(БДР_Выручка!$G:$G,БДР_Выручка!$C:$C,AS$3)</f>
        <v>0</v>
      </c>
      <c r="AT38" s="23">
        <f>-SUMIFS(БДР_Выручка!$G:$G,БДР_Выручка!$C:$C,AT$3)</f>
        <v>0</v>
      </c>
      <c r="AU38" s="33">
        <f>-SUMIFS(БДР_Выручка!$G:$G,БДР_Выручка!$C:$C,AU$3)</f>
        <v>0</v>
      </c>
      <c r="AV38" s="41">
        <f t="shared" si="170"/>
        <v>0</v>
      </c>
      <c r="AW38" s="41">
        <f t="shared" ref="AW38:AW41" si="416">AR38+AV38</f>
        <v>0</v>
      </c>
      <c r="AY38" s="23">
        <f>-SUMIFS(БДР_Выручка!$G:$G,БДР_Выручка!$C:$C,AY$3)</f>
        <v>0</v>
      </c>
      <c r="AZ38" s="23">
        <f>-SUMIFS(БДР_Выручка!$G:$G,БДР_Выручка!$C:$C,AZ$3)</f>
        <v>0</v>
      </c>
      <c r="BA38" s="33">
        <f>-SUMIFS(БДР_Выручка!$G:$G,БДР_Выручка!$C:$C,BA$3)</f>
        <v>0</v>
      </c>
      <c r="BB38" s="41">
        <f t="shared" si="171"/>
        <v>0</v>
      </c>
      <c r="BC38" s="23">
        <f>-SUMIFS(БДР_Выручка!$G:$G,БДР_Выручка!$C:$C,BC$3)</f>
        <v>0</v>
      </c>
      <c r="BD38" s="23">
        <f>-SUMIFS(БДР_Выручка!$G:$G,БДР_Выручка!$C:$C,BD$3)</f>
        <v>0</v>
      </c>
      <c r="BE38" s="33">
        <f>-SUMIFS(БДР_Выручка!$G:$G,БДР_Выручка!$C:$C,BE$3)</f>
        <v>0</v>
      </c>
      <c r="BF38" s="41">
        <f t="shared" si="172"/>
        <v>0</v>
      </c>
      <c r="BG38" s="41">
        <f t="shared" si="154"/>
        <v>0</v>
      </c>
      <c r="BH38" s="23">
        <f>-SUMIFS(БДР_Выручка!$G:$G,БДР_Выручка!$C:$C,BH$3)</f>
        <v>0</v>
      </c>
      <c r="BI38" s="23">
        <f>-SUMIFS(БДР_Выручка!$G:$G,БДР_Выручка!$C:$C,BI$3)</f>
        <v>0</v>
      </c>
      <c r="BJ38" s="33">
        <f>-SUMIFS(БДР_Выручка!$G:$G,БДР_Выручка!$C:$C,BJ$3)</f>
        <v>0</v>
      </c>
      <c r="BK38" s="41">
        <f t="shared" si="173"/>
        <v>0</v>
      </c>
      <c r="BL38" s="41">
        <f t="shared" si="155"/>
        <v>0</v>
      </c>
      <c r="BM38" s="23">
        <f>-SUMIFS(БДР_Выручка!$G:$G,БДР_Выручка!$C:$C,BM$3)</f>
        <v>0</v>
      </c>
      <c r="BN38" s="23">
        <f>-SUMIFS(БДР_Выручка!$G:$G,БДР_Выручка!$C:$C,BN$3)</f>
        <v>0</v>
      </c>
      <c r="BO38" s="33">
        <f>-SUMIFS(БДР_Выручка!$G:$G,БДР_Выручка!$C:$C,BO$3)</f>
        <v>0</v>
      </c>
      <c r="BP38" s="41">
        <f t="shared" si="174"/>
        <v>0</v>
      </c>
      <c r="BQ38" s="41">
        <f t="shared" si="156"/>
        <v>0</v>
      </c>
      <c r="BS38" s="23">
        <f>-SUMIFS(БДР_Выручка!$G:$G,БДР_Выручка!$C:$C,BS$3)</f>
        <v>0</v>
      </c>
      <c r="BT38" s="23">
        <f>-SUMIFS(БДР_Выручка!$G:$G,БДР_Выручка!$C:$C,BT$3)</f>
        <v>0</v>
      </c>
      <c r="BU38" s="33">
        <f>-SUMIFS(БДР_Выручка!$G:$G,БДР_Выручка!$C:$C,BU$3)</f>
        <v>0</v>
      </c>
      <c r="BV38" s="41">
        <f t="shared" si="175"/>
        <v>0</v>
      </c>
      <c r="BW38" s="23">
        <f>-SUMIFS(БДР_Выручка!$G:$G,БДР_Выручка!$C:$C,BW$3)</f>
        <v>0</v>
      </c>
      <c r="BX38" s="23">
        <f>-SUMIFS(БДР_Выручка!$G:$G,БДР_Выручка!$C:$C,BX$3)</f>
        <v>0</v>
      </c>
      <c r="BY38" s="33">
        <f>-SUMIFS(БДР_Выручка!$G:$G,БДР_Выручка!$C:$C,BY$3)</f>
        <v>0</v>
      </c>
      <c r="BZ38" s="41">
        <f t="shared" si="176"/>
        <v>0</v>
      </c>
      <c r="CA38" s="41">
        <f t="shared" si="157"/>
        <v>0</v>
      </c>
      <c r="CB38" s="23">
        <f>-SUMIFS(БДР_Выручка!$G:$G,БДР_Выручка!$C:$C,CB$3)</f>
        <v>0</v>
      </c>
      <c r="CC38" s="23">
        <f>-SUMIFS(БДР_Выручка!$G:$G,БДР_Выручка!$C:$C,CC$3)</f>
        <v>0</v>
      </c>
      <c r="CD38" s="33">
        <f>-SUMIFS(БДР_Выручка!$G:$G,БДР_Выручка!$C:$C,CD$3)</f>
        <v>0</v>
      </c>
      <c r="CE38" s="41">
        <f t="shared" si="177"/>
        <v>0</v>
      </c>
      <c r="CF38" s="41">
        <f t="shared" si="158"/>
        <v>0</v>
      </c>
      <c r="CG38" s="23">
        <f>-SUMIFS(БДР_Выручка!$G:$G,БДР_Выручка!$C:$C,CG$3)</f>
        <v>0</v>
      </c>
      <c r="CH38" s="23">
        <f>-SUMIFS(БДР_Выручка!$G:$G,БДР_Выручка!$C:$C,CH$3)</f>
        <v>0</v>
      </c>
      <c r="CI38" s="33">
        <f>-SUMIFS(БДР_Выручка!$G:$G,БДР_Выручка!$C:$C,CI$3)</f>
        <v>0</v>
      </c>
      <c r="CJ38" s="41">
        <f t="shared" si="178"/>
        <v>0</v>
      </c>
      <c r="CK38" s="41">
        <f t="shared" si="159"/>
        <v>0</v>
      </c>
      <c r="CM38" s="23">
        <f>-SUMIFS(БДР_Выручка!$G:$G,БДР_Выручка!$C:$C,CM$3)</f>
        <v>0</v>
      </c>
      <c r="CN38" s="23">
        <f>-SUMIFS(БДР_Выручка!$G:$G,БДР_Выручка!$C:$C,CN$3)</f>
        <v>0</v>
      </c>
      <c r="CO38" s="33">
        <f>-SUMIFS(БДР_Выручка!$G:$G,БДР_Выручка!$C:$C,CO$3)</f>
        <v>0</v>
      </c>
      <c r="CP38" s="41">
        <f t="shared" si="179"/>
        <v>0</v>
      </c>
      <c r="CQ38" s="23">
        <f>-SUMIFS(БДР_Выручка!$G:$G,БДР_Выручка!$C:$C,CQ$3)</f>
        <v>0</v>
      </c>
      <c r="CR38" s="23">
        <f>-SUMIFS(БДР_Выручка!$G:$G,БДР_Выручка!$C:$C,CR$3)</f>
        <v>0</v>
      </c>
      <c r="CS38" s="33">
        <f>-SUMIFS(БДР_Выручка!$G:$G,БДР_Выручка!$C:$C,CS$3)</f>
        <v>0</v>
      </c>
      <c r="CT38" s="41">
        <f t="shared" si="180"/>
        <v>0</v>
      </c>
      <c r="CU38" s="41">
        <f t="shared" si="160"/>
        <v>0</v>
      </c>
      <c r="CV38" s="23">
        <f>-SUMIFS(БДР_Выручка!$G:$G,БДР_Выручка!$C:$C,CV$3)</f>
        <v>0</v>
      </c>
      <c r="CW38" s="23">
        <f>-SUMIFS(БДР_Выручка!$G:$G,БДР_Выручка!$C:$C,CW$3)</f>
        <v>0</v>
      </c>
      <c r="CX38" s="33">
        <f>-SUMIFS(БДР_Выручка!$G:$G,БДР_Выручка!$C:$C,CX$3)</f>
        <v>0</v>
      </c>
      <c r="CY38" s="41">
        <f t="shared" si="181"/>
        <v>0</v>
      </c>
      <c r="CZ38" s="41">
        <f t="shared" si="161"/>
        <v>0</v>
      </c>
      <c r="DA38" s="23">
        <f>-SUMIFS(БДР_Выручка!$G:$G,БДР_Выручка!$C:$C,DA$3)</f>
        <v>0</v>
      </c>
      <c r="DB38" s="23">
        <f>-SUMIFS(БДР_Выручка!$G:$G,БДР_Выручка!$C:$C,DB$3)</f>
        <v>0</v>
      </c>
      <c r="DC38" s="33">
        <f>-SUMIFS(БДР_Выручка!$G:$G,БДР_Выручка!$C:$C,DC$3)</f>
        <v>0</v>
      </c>
      <c r="DD38" s="41">
        <f t="shared" si="182"/>
        <v>0</v>
      </c>
      <c r="DE38" s="41">
        <f t="shared" si="162"/>
        <v>0</v>
      </c>
    </row>
    <row r="39" spans="1:109" s="12" customFormat="1" ht="10.199999999999999" x14ac:dyDescent="0.2">
      <c r="A39" s="11"/>
      <c r="B39" s="11"/>
      <c r="E39" s="20"/>
      <c r="F39" s="21"/>
      <c r="G39" s="147" t="s">
        <v>272</v>
      </c>
      <c r="I39" s="41">
        <f t="shared" si="41"/>
        <v>658807.57575757557</v>
      </c>
      <c r="K39" s="23">
        <f>SUMIFS('БДР_Себестоимость и Расходы'!$G:$G,'БДР_Себестоимость и Расходы'!$C:$C,K$3)</f>
        <v>0</v>
      </c>
      <c r="L39" s="23">
        <f>SUMIFS('БДР_Себестоимость и Расходы'!$G:$G,'БДР_Себестоимость и Расходы'!$C:$C,L$3)</f>
        <v>0</v>
      </c>
      <c r="M39" s="33">
        <f>SUMIFS('БДР_Себестоимость и Расходы'!$G:$G,'БДР_Себестоимость и Расходы'!$C:$C,M$3)</f>
        <v>0</v>
      </c>
      <c r="N39" s="41">
        <f t="shared" si="163"/>
        <v>0</v>
      </c>
      <c r="O39" s="23">
        <f>SUMIFS('БДР_Себестоимость и Расходы'!$G:$G,'БДР_Себестоимость и Расходы'!$C:$C,O$3)</f>
        <v>0</v>
      </c>
      <c r="P39" s="23">
        <f>SUMIFS('БДР_Себестоимость и Расходы'!$G:$G,'БДР_Себестоимость и Расходы'!$C:$C,P$3)</f>
        <v>0</v>
      </c>
      <c r="Q39" s="33">
        <f>SUMIFS('БДР_Себестоимость и Расходы'!$G:$G,'БДР_Себестоимость и Расходы'!$C:$C,Q$3)</f>
        <v>0</v>
      </c>
      <c r="R39" s="41">
        <f t="shared" si="164"/>
        <v>0</v>
      </c>
      <c r="S39" s="41">
        <f t="shared" si="149"/>
        <v>0</v>
      </c>
      <c r="T39" s="23">
        <f>SUMIFS('БДР_Себестоимость и Расходы'!$G:$G,'БДР_Себестоимость и Расходы'!$C:$C,T$3)</f>
        <v>0</v>
      </c>
      <c r="U39" s="23">
        <f>SUMIFS('БДР_Себестоимость и Расходы'!$G:$G,'БДР_Себестоимость и Расходы'!$C:$C,U$3)</f>
        <v>0</v>
      </c>
      <c r="V39" s="33">
        <f>SUMIFS('БДР_Себестоимость и Расходы'!$G:$G,'БДР_Себестоимость и Расходы'!$C:$C,V$3)</f>
        <v>301666.66666666657</v>
      </c>
      <c r="W39" s="41">
        <f t="shared" si="165"/>
        <v>301666.66666666657</v>
      </c>
      <c r="X39" s="41">
        <f t="shared" si="150"/>
        <v>301666.66666666657</v>
      </c>
      <c r="Y39" s="23">
        <f>SUMIFS('БДР_Себестоимость и Расходы'!$G:$G,'БДР_Себестоимость и Расходы'!$C:$C,Y$3)</f>
        <v>50000</v>
      </c>
      <c r="Z39" s="23">
        <f>SUMIFS('БДР_Себестоимость и Расходы'!$G:$G,'БДР_Себестоимость и Расходы'!$C:$C,Z$3)</f>
        <v>166666.66666666663</v>
      </c>
      <c r="AA39" s="33">
        <f>SUMIFS('БДР_Себестоимость и Расходы'!$G:$G,'БДР_Себестоимость и Расходы'!$C:$C,AA$3)</f>
        <v>140474.24242424237</v>
      </c>
      <c r="AB39" s="41">
        <f t="shared" si="166"/>
        <v>357140.909090909</v>
      </c>
      <c r="AC39" s="41">
        <f t="shared" si="151"/>
        <v>658807.57575757557</v>
      </c>
      <c r="AE39" s="23">
        <f>SUMIFS('БДР_Себестоимость и Расходы'!$G:$G,'БДР_Себестоимость и Расходы'!$C:$C,AE$3)</f>
        <v>0</v>
      </c>
      <c r="AF39" s="23">
        <f>SUMIFS('БДР_Себестоимость и Расходы'!$G:$G,'БДР_Себестоимость и Расходы'!$C:$C,AF$3)</f>
        <v>0</v>
      </c>
      <c r="AG39" s="33">
        <f>SUMIFS('БДР_Себестоимость и Расходы'!$G:$G,'БДР_Себестоимость и Расходы'!$C:$C,AG$3)</f>
        <v>0</v>
      </c>
      <c r="AH39" s="41">
        <f t="shared" si="167"/>
        <v>0</v>
      </c>
      <c r="AI39" s="23">
        <f>SUMIFS('БДР_Себестоимость и Расходы'!$G:$G,'БДР_Себестоимость и Расходы'!$C:$C,AI$3)</f>
        <v>0</v>
      </c>
      <c r="AJ39" s="23">
        <f>SUMIFS('БДР_Себестоимость и Расходы'!$G:$G,'БДР_Себестоимость и Расходы'!$C:$C,AJ$3)</f>
        <v>0</v>
      </c>
      <c r="AK39" s="33">
        <f>SUMIFS('БДР_Себестоимость и Расходы'!$G:$G,'БДР_Себестоимость и Расходы'!$C:$C,AK$3)</f>
        <v>0</v>
      </c>
      <c r="AL39" s="41">
        <f t="shared" si="168"/>
        <v>0</v>
      </c>
      <c r="AM39" s="41">
        <f t="shared" si="415"/>
        <v>0</v>
      </c>
      <c r="AN39" s="23">
        <f>SUMIFS('БДР_Себестоимость и Расходы'!$G:$G,'БДР_Себестоимость и Расходы'!$C:$C,AN$3)</f>
        <v>0</v>
      </c>
      <c r="AO39" s="23">
        <f>SUMIFS('БДР_Себестоимость и Расходы'!$G:$G,'БДР_Себестоимость и Расходы'!$C:$C,AO$3)</f>
        <v>0</v>
      </c>
      <c r="AP39" s="33">
        <f>SUMIFS('БДР_Себестоимость и Расходы'!$G:$G,'БДР_Себестоимость и Расходы'!$C:$C,AP$3)</f>
        <v>0</v>
      </c>
      <c r="AQ39" s="41">
        <f t="shared" si="169"/>
        <v>0</v>
      </c>
      <c r="AR39" s="41">
        <f t="shared" si="53"/>
        <v>0</v>
      </c>
      <c r="AS39" s="23">
        <f>SUMIFS('БДР_Себестоимость и Расходы'!$G:$G,'БДР_Себестоимость и Расходы'!$C:$C,AS$3)</f>
        <v>0</v>
      </c>
      <c r="AT39" s="23">
        <f>SUMIFS('БДР_Себестоимость и Расходы'!$G:$G,'БДР_Себестоимость и Расходы'!$C:$C,AT$3)</f>
        <v>0</v>
      </c>
      <c r="AU39" s="33">
        <f>SUMIFS('БДР_Себестоимость и Расходы'!$G:$G,'БДР_Себестоимость и Расходы'!$C:$C,AU$3)</f>
        <v>0</v>
      </c>
      <c r="AV39" s="41">
        <f t="shared" si="170"/>
        <v>0</v>
      </c>
      <c r="AW39" s="41">
        <f t="shared" si="416"/>
        <v>0</v>
      </c>
      <c r="AY39" s="23">
        <f>SUMIFS('БДР_Себестоимость и Расходы'!$G:$G,'БДР_Себестоимость и Расходы'!$C:$C,AY$3)</f>
        <v>0</v>
      </c>
      <c r="AZ39" s="23">
        <f>SUMIFS('БДР_Себестоимость и Расходы'!$G:$G,'БДР_Себестоимость и Расходы'!$C:$C,AZ$3)</f>
        <v>0</v>
      </c>
      <c r="BA39" s="33">
        <f>SUMIFS('БДР_Себестоимость и Расходы'!$G:$G,'БДР_Себестоимость и Расходы'!$C:$C,BA$3)</f>
        <v>0</v>
      </c>
      <c r="BB39" s="41">
        <f t="shared" si="171"/>
        <v>0</v>
      </c>
      <c r="BC39" s="23">
        <f>SUMIFS('БДР_Себестоимость и Расходы'!$G:$G,'БДР_Себестоимость и Расходы'!$C:$C,BC$3)</f>
        <v>0</v>
      </c>
      <c r="BD39" s="23">
        <f>SUMIFS('БДР_Себестоимость и Расходы'!$G:$G,'БДР_Себестоимость и Расходы'!$C:$C,BD$3)</f>
        <v>0</v>
      </c>
      <c r="BE39" s="33">
        <f>SUMIFS('БДР_Себестоимость и Расходы'!$G:$G,'БДР_Себестоимость и Расходы'!$C:$C,BE$3)</f>
        <v>0</v>
      </c>
      <c r="BF39" s="41">
        <f t="shared" si="172"/>
        <v>0</v>
      </c>
      <c r="BG39" s="41">
        <f t="shared" si="154"/>
        <v>0</v>
      </c>
      <c r="BH39" s="23">
        <f>SUMIFS('БДР_Себестоимость и Расходы'!$G:$G,'БДР_Себестоимость и Расходы'!$C:$C,BH$3)</f>
        <v>0</v>
      </c>
      <c r="BI39" s="23">
        <f>SUMIFS('БДР_Себестоимость и Расходы'!$G:$G,'БДР_Себестоимость и Расходы'!$C:$C,BI$3)</f>
        <v>0</v>
      </c>
      <c r="BJ39" s="33">
        <f>SUMIFS('БДР_Себестоимость и Расходы'!$G:$G,'БДР_Себестоимость и Расходы'!$C:$C,BJ$3)</f>
        <v>0</v>
      </c>
      <c r="BK39" s="41">
        <f t="shared" si="173"/>
        <v>0</v>
      </c>
      <c r="BL39" s="41">
        <f t="shared" si="155"/>
        <v>0</v>
      </c>
      <c r="BM39" s="23">
        <f>SUMIFS('БДР_Себестоимость и Расходы'!$G:$G,'БДР_Себестоимость и Расходы'!$C:$C,BM$3)</f>
        <v>0</v>
      </c>
      <c r="BN39" s="23">
        <f>SUMIFS('БДР_Себестоимость и Расходы'!$G:$G,'БДР_Себестоимость и Расходы'!$C:$C,BN$3)</f>
        <v>0</v>
      </c>
      <c r="BO39" s="33">
        <f>SUMIFS('БДР_Себестоимость и Расходы'!$G:$G,'БДР_Себестоимость и Расходы'!$C:$C,BO$3)</f>
        <v>0</v>
      </c>
      <c r="BP39" s="41">
        <f t="shared" si="174"/>
        <v>0</v>
      </c>
      <c r="BQ39" s="41">
        <f t="shared" si="156"/>
        <v>0</v>
      </c>
      <c r="BS39" s="23">
        <f>SUMIFS('БДР_Себестоимость и Расходы'!$G:$G,'БДР_Себестоимость и Расходы'!$C:$C,BS$3)</f>
        <v>0</v>
      </c>
      <c r="BT39" s="23">
        <f>SUMIFS('БДР_Себестоимость и Расходы'!$G:$G,'БДР_Себестоимость и Расходы'!$C:$C,BT$3)</f>
        <v>0</v>
      </c>
      <c r="BU39" s="33">
        <f>SUMIFS('БДР_Себестоимость и Расходы'!$G:$G,'БДР_Себестоимость и Расходы'!$C:$C,BU$3)</f>
        <v>0</v>
      </c>
      <c r="BV39" s="41">
        <f t="shared" si="175"/>
        <v>0</v>
      </c>
      <c r="BW39" s="23">
        <f>SUMIFS('БДР_Себестоимость и Расходы'!$G:$G,'БДР_Себестоимость и Расходы'!$C:$C,BW$3)</f>
        <v>0</v>
      </c>
      <c r="BX39" s="23">
        <f>SUMIFS('БДР_Себестоимость и Расходы'!$G:$G,'БДР_Себестоимость и Расходы'!$C:$C,BX$3)</f>
        <v>0</v>
      </c>
      <c r="BY39" s="33">
        <f>SUMIFS('БДР_Себестоимость и Расходы'!$G:$G,'БДР_Себестоимость и Расходы'!$C:$C,BY$3)</f>
        <v>0</v>
      </c>
      <c r="BZ39" s="41">
        <f t="shared" si="176"/>
        <v>0</v>
      </c>
      <c r="CA39" s="41">
        <f t="shared" si="157"/>
        <v>0</v>
      </c>
      <c r="CB39" s="23">
        <f>SUMIFS('БДР_Себестоимость и Расходы'!$G:$G,'БДР_Себестоимость и Расходы'!$C:$C,CB$3)</f>
        <v>0</v>
      </c>
      <c r="CC39" s="23">
        <f>SUMIFS('БДР_Себестоимость и Расходы'!$G:$G,'БДР_Себестоимость и Расходы'!$C:$C,CC$3)</f>
        <v>0</v>
      </c>
      <c r="CD39" s="33">
        <f>SUMIFS('БДР_Себестоимость и Расходы'!$G:$G,'БДР_Себестоимость и Расходы'!$C:$C,CD$3)</f>
        <v>0</v>
      </c>
      <c r="CE39" s="41">
        <f t="shared" si="177"/>
        <v>0</v>
      </c>
      <c r="CF39" s="41">
        <f t="shared" si="158"/>
        <v>0</v>
      </c>
      <c r="CG39" s="23">
        <f>SUMIFS('БДР_Себестоимость и Расходы'!$G:$G,'БДР_Себестоимость и Расходы'!$C:$C,CG$3)</f>
        <v>0</v>
      </c>
      <c r="CH39" s="23">
        <f>SUMIFS('БДР_Себестоимость и Расходы'!$G:$G,'БДР_Себестоимость и Расходы'!$C:$C,CH$3)</f>
        <v>0</v>
      </c>
      <c r="CI39" s="33">
        <f>SUMIFS('БДР_Себестоимость и Расходы'!$G:$G,'БДР_Себестоимость и Расходы'!$C:$C,CI$3)</f>
        <v>0</v>
      </c>
      <c r="CJ39" s="41">
        <f t="shared" si="178"/>
        <v>0</v>
      </c>
      <c r="CK39" s="41">
        <f t="shared" si="159"/>
        <v>0</v>
      </c>
      <c r="CM39" s="23">
        <f>SUMIFS('БДР_Себестоимость и Расходы'!$G:$G,'БДР_Себестоимость и Расходы'!$C:$C,CM$3)</f>
        <v>0</v>
      </c>
      <c r="CN39" s="23">
        <f>SUMIFS('БДР_Себестоимость и Расходы'!$G:$G,'БДР_Себестоимость и Расходы'!$C:$C,CN$3)</f>
        <v>0</v>
      </c>
      <c r="CO39" s="33">
        <f>SUMIFS('БДР_Себестоимость и Расходы'!$G:$G,'БДР_Себестоимость и Расходы'!$C:$C,CO$3)</f>
        <v>0</v>
      </c>
      <c r="CP39" s="41">
        <f t="shared" si="179"/>
        <v>0</v>
      </c>
      <c r="CQ39" s="23">
        <f>SUMIFS('БДР_Себестоимость и Расходы'!$G:$G,'БДР_Себестоимость и Расходы'!$C:$C,CQ$3)</f>
        <v>0</v>
      </c>
      <c r="CR39" s="23">
        <f>SUMIFS('БДР_Себестоимость и Расходы'!$G:$G,'БДР_Себестоимость и Расходы'!$C:$C,CR$3)</f>
        <v>0</v>
      </c>
      <c r="CS39" s="33">
        <f>SUMIFS('БДР_Себестоимость и Расходы'!$G:$G,'БДР_Себестоимость и Расходы'!$C:$C,CS$3)</f>
        <v>0</v>
      </c>
      <c r="CT39" s="41">
        <f t="shared" si="180"/>
        <v>0</v>
      </c>
      <c r="CU39" s="41">
        <f t="shared" si="160"/>
        <v>0</v>
      </c>
      <c r="CV39" s="23">
        <f>SUMIFS('БДР_Себестоимость и Расходы'!$G:$G,'БДР_Себестоимость и Расходы'!$C:$C,CV$3)</f>
        <v>0</v>
      </c>
      <c r="CW39" s="23">
        <f>SUMIFS('БДР_Себестоимость и Расходы'!$G:$G,'БДР_Себестоимость и Расходы'!$C:$C,CW$3)</f>
        <v>0</v>
      </c>
      <c r="CX39" s="33">
        <f>SUMIFS('БДР_Себестоимость и Расходы'!$G:$G,'БДР_Себестоимость и Расходы'!$C:$C,CX$3)</f>
        <v>0</v>
      </c>
      <c r="CY39" s="41">
        <f t="shared" si="181"/>
        <v>0</v>
      </c>
      <c r="CZ39" s="41">
        <f t="shared" si="161"/>
        <v>0</v>
      </c>
      <c r="DA39" s="23">
        <f>SUMIFS('БДР_Себестоимость и Расходы'!$G:$G,'БДР_Себестоимость и Расходы'!$C:$C,DA$3)</f>
        <v>0</v>
      </c>
      <c r="DB39" s="23">
        <f>SUMIFS('БДР_Себестоимость и Расходы'!$G:$G,'БДР_Себестоимость и Расходы'!$C:$C,DB$3)</f>
        <v>0</v>
      </c>
      <c r="DC39" s="33">
        <f>SUMIFS('БДР_Себестоимость и Расходы'!$G:$G,'БДР_Себестоимость и Расходы'!$C:$C,DC$3)</f>
        <v>0</v>
      </c>
      <c r="DD39" s="41">
        <f t="shared" si="182"/>
        <v>0</v>
      </c>
      <c r="DE39" s="41">
        <f t="shared" si="162"/>
        <v>0</v>
      </c>
    </row>
    <row r="40" spans="1:109" s="12" customFormat="1" ht="10.199999999999999" x14ac:dyDescent="0.2">
      <c r="A40" s="11"/>
      <c r="B40" s="11"/>
      <c r="E40" s="20"/>
      <c r="F40" s="21"/>
      <c r="G40" s="147" t="s">
        <v>275</v>
      </c>
      <c r="I40" s="41">
        <f t="shared" si="41"/>
        <v>525000</v>
      </c>
      <c r="K40" s="227">
        <f>-K31/1.2*0.2</f>
        <v>0</v>
      </c>
      <c r="L40" s="227">
        <f t="shared" ref="L40:M40" si="417">-L31/1.2*0.2</f>
        <v>0</v>
      </c>
      <c r="M40" s="227">
        <f t="shared" si="417"/>
        <v>0</v>
      </c>
      <c r="N40" s="41">
        <f t="shared" si="163"/>
        <v>0</v>
      </c>
      <c r="O40" s="227">
        <f>-O31/1.2*0.2</f>
        <v>0</v>
      </c>
      <c r="P40" s="227">
        <f t="shared" ref="P40:Q40" si="418">-P31/1.2*0.2</f>
        <v>0</v>
      </c>
      <c r="Q40" s="227">
        <f t="shared" si="418"/>
        <v>0</v>
      </c>
      <c r="R40" s="41">
        <f t="shared" si="164"/>
        <v>0</v>
      </c>
      <c r="S40" s="41">
        <f t="shared" si="149"/>
        <v>0</v>
      </c>
      <c r="T40" s="227">
        <f>-T31/1.2*0.2</f>
        <v>0</v>
      </c>
      <c r="U40" s="227">
        <f t="shared" ref="U40:V40" si="419">-U31/1.2*0.2</f>
        <v>0</v>
      </c>
      <c r="V40" s="227">
        <f t="shared" si="419"/>
        <v>75000</v>
      </c>
      <c r="W40" s="41">
        <f t="shared" si="165"/>
        <v>75000</v>
      </c>
      <c r="X40" s="41">
        <f t="shared" si="150"/>
        <v>75000</v>
      </c>
      <c r="Y40" s="227">
        <f>-Y31/1.2*0.2</f>
        <v>150000</v>
      </c>
      <c r="Z40" s="227">
        <f t="shared" ref="Z40:AA40" si="420">-Z31/1.2*0.2</f>
        <v>150000</v>
      </c>
      <c r="AA40" s="227">
        <f t="shared" si="420"/>
        <v>150000</v>
      </c>
      <c r="AB40" s="41">
        <f t="shared" si="166"/>
        <v>450000</v>
      </c>
      <c r="AC40" s="41">
        <f t="shared" si="151"/>
        <v>525000</v>
      </c>
      <c r="AE40" s="227">
        <f>-AE31/1.2*0.2</f>
        <v>0</v>
      </c>
      <c r="AF40" s="227">
        <f t="shared" ref="AF40:AG40" si="421">-AF31/1.2*0.2</f>
        <v>0</v>
      </c>
      <c r="AG40" s="227">
        <f t="shared" si="421"/>
        <v>0</v>
      </c>
      <c r="AH40" s="41">
        <f t="shared" si="167"/>
        <v>0</v>
      </c>
      <c r="AI40" s="227">
        <f>-AI31/1.2*0.2</f>
        <v>0</v>
      </c>
      <c r="AJ40" s="227">
        <f t="shared" ref="AJ40:AK40" si="422">-AJ31/1.2*0.2</f>
        <v>0</v>
      </c>
      <c r="AK40" s="227">
        <f t="shared" si="422"/>
        <v>0</v>
      </c>
      <c r="AL40" s="41">
        <f t="shared" si="168"/>
        <v>0</v>
      </c>
      <c r="AM40" s="41">
        <f t="shared" si="415"/>
        <v>0</v>
      </c>
      <c r="AN40" s="227">
        <f>-AN31/1.2*0.2</f>
        <v>0</v>
      </c>
      <c r="AO40" s="227">
        <f t="shared" ref="AO40:AP40" si="423">-AO31/1.2*0.2</f>
        <v>0</v>
      </c>
      <c r="AP40" s="227">
        <f t="shared" si="423"/>
        <v>0</v>
      </c>
      <c r="AQ40" s="41">
        <f t="shared" si="169"/>
        <v>0</v>
      </c>
      <c r="AR40" s="41">
        <f t="shared" si="53"/>
        <v>0</v>
      </c>
      <c r="AS40" s="227">
        <f>-AS31/1.2*0.2</f>
        <v>0</v>
      </c>
      <c r="AT40" s="227">
        <f t="shared" ref="AT40:AU40" si="424">-AT31/1.2*0.2</f>
        <v>0</v>
      </c>
      <c r="AU40" s="227">
        <f t="shared" si="424"/>
        <v>0</v>
      </c>
      <c r="AV40" s="41">
        <f t="shared" si="170"/>
        <v>0</v>
      </c>
      <c r="AW40" s="41">
        <f t="shared" si="416"/>
        <v>0</v>
      </c>
      <c r="AY40" s="227">
        <f>-AY31/1.2*0.2</f>
        <v>0</v>
      </c>
      <c r="AZ40" s="227">
        <f t="shared" ref="AZ40:BA40" si="425">-AZ31/1.2*0.2</f>
        <v>0</v>
      </c>
      <c r="BA40" s="227">
        <f t="shared" si="425"/>
        <v>0</v>
      </c>
      <c r="BB40" s="41">
        <f t="shared" si="171"/>
        <v>0</v>
      </c>
      <c r="BC40" s="227">
        <f>-BC31/1.2*0.2</f>
        <v>0</v>
      </c>
      <c r="BD40" s="227">
        <f t="shared" ref="BD40:BE40" si="426">-BD31/1.2*0.2</f>
        <v>0</v>
      </c>
      <c r="BE40" s="227">
        <f t="shared" si="426"/>
        <v>0</v>
      </c>
      <c r="BF40" s="41">
        <f t="shared" si="172"/>
        <v>0</v>
      </c>
      <c r="BG40" s="41">
        <f t="shared" si="154"/>
        <v>0</v>
      </c>
      <c r="BH40" s="227">
        <f>-BH31/1.2*0.2</f>
        <v>0</v>
      </c>
      <c r="BI40" s="227">
        <f t="shared" ref="BI40:BJ40" si="427">-BI31/1.2*0.2</f>
        <v>0</v>
      </c>
      <c r="BJ40" s="227">
        <f t="shared" si="427"/>
        <v>0</v>
      </c>
      <c r="BK40" s="41">
        <f t="shared" si="173"/>
        <v>0</v>
      </c>
      <c r="BL40" s="41">
        <f t="shared" si="155"/>
        <v>0</v>
      </c>
      <c r="BM40" s="227">
        <f>-BM31/1.2*0.2</f>
        <v>0</v>
      </c>
      <c r="BN40" s="227">
        <f t="shared" ref="BN40:BO40" si="428">-BN31/1.2*0.2</f>
        <v>0</v>
      </c>
      <c r="BO40" s="227">
        <f t="shared" si="428"/>
        <v>0</v>
      </c>
      <c r="BP40" s="41">
        <f t="shared" si="174"/>
        <v>0</v>
      </c>
      <c r="BQ40" s="41">
        <f t="shared" si="156"/>
        <v>0</v>
      </c>
      <c r="BS40" s="227"/>
      <c r="BT40" s="227"/>
      <c r="BU40" s="228"/>
      <c r="BV40" s="41">
        <f t="shared" si="175"/>
        <v>0</v>
      </c>
      <c r="BW40" s="227"/>
      <c r="BX40" s="227"/>
      <c r="BY40" s="228"/>
      <c r="BZ40" s="41">
        <f t="shared" si="176"/>
        <v>0</v>
      </c>
      <c r="CA40" s="41">
        <f t="shared" si="157"/>
        <v>0</v>
      </c>
      <c r="CB40" s="227"/>
      <c r="CC40" s="227"/>
      <c r="CD40" s="228"/>
      <c r="CE40" s="41">
        <f t="shared" si="177"/>
        <v>0</v>
      </c>
      <c r="CF40" s="41">
        <f t="shared" si="158"/>
        <v>0</v>
      </c>
      <c r="CG40" s="227"/>
      <c r="CH40" s="227"/>
      <c r="CI40" s="228"/>
      <c r="CJ40" s="41">
        <f t="shared" si="178"/>
        <v>0</v>
      </c>
      <c r="CK40" s="41">
        <f t="shared" si="159"/>
        <v>0</v>
      </c>
      <c r="CM40" s="227"/>
      <c r="CN40" s="227"/>
      <c r="CO40" s="228"/>
      <c r="CP40" s="41">
        <f t="shared" si="179"/>
        <v>0</v>
      </c>
      <c r="CQ40" s="227"/>
      <c r="CR40" s="227"/>
      <c r="CS40" s="228"/>
      <c r="CT40" s="41">
        <f t="shared" si="180"/>
        <v>0</v>
      </c>
      <c r="CU40" s="41">
        <f t="shared" si="160"/>
        <v>0</v>
      </c>
      <c r="CV40" s="227"/>
      <c r="CW40" s="227"/>
      <c r="CX40" s="228"/>
      <c r="CY40" s="41">
        <f t="shared" si="181"/>
        <v>0</v>
      </c>
      <c r="CZ40" s="41">
        <f t="shared" si="161"/>
        <v>0</v>
      </c>
      <c r="DA40" s="227"/>
      <c r="DB40" s="227"/>
      <c r="DC40" s="228"/>
      <c r="DD40" s="41">
        <f t="shared" si="182"/>
        <v>0</v>
      </c>
      <c r="DE40" s="41">
        <f t="shared" si="162"/>
        <v>0</v>
      </c>
    </row>
    <row r="41" spans="1:109" s="12" customFormat="1" ht="10.199999999999999" x14ac:dyDescent="0.2">
      <c r="E41" s="79"/>
      <c r="F41" s="79"/>
      <c r="G41" s="79" t="s">
        <v>265</v>
      </c>
      <c r="I41" s="88">
        <f t="shared" si="41"/>
        <v>-1571460.8827611634</v>
      </c>
      <c r="K41" s="85">
        <f t="shared" ref="K41:M41" si="429">-(K35+K37)*0.2</f>
        <v>0</v>
      </c>
      <c r="L41" s="85">
        <f t="shared" si="429"/>
        <v>0</v>
      </c>
      <c r="M41" s="86">
        <f t="shared" si="429"/>
        <v>0</v>
      </c>
      <c r="N41" s="88">
        <f t="shared" si="163"/>
        <v>0</v>
      </c>
      <c r="O41" s="85">
        <f t="shared" ref="O41:Q41" si="430">-(O35+O37)*0.2</f>
        <v>0</v>
      </c>
      <c r="P41" s="85">
        <f t="shared" si="430"/>
        <v>0</v>
      </c>
      <c r="Q41" s="86">
        <f t="shared" si="430"/>
        <v>0</v>
      </c>
      <c r="R41" s="88">
        <f t="shared" si="164"/>
        <v>0</v>
      </c>
      <c r="S41" s="88">
        <f t="shared" si="149"/>
        <v>0</v>
      </c>
      <c r="T41" s="85">
        <f t="shared" ref="T41:V41" si="431">-(T35+T37)*0.2</f>
        <v>0</v>
      </c>
      <c r="U41" s="85">
        <f t="shared" si="431"/>
        <v>0</v>
      </c>
      <c r="V41" s="86">
        <f t="shared" si="431"/>
        <v>-62440.335442908217</v>
      </c>
      <c r="W41" s="88">
        <f t="shared" si="165"/>
        <v>-62440.335442908217</v>
      </c>
      <c r="X41" s="88">
        <f t="shared" si="150"/>
        <v>-62440.335442908217</v>
      </c>
      <c r="Y41" s="85">
        <f t="shared" ref="Y41:AA41" si="432">-(Y35+Y37)*0.2</f>
        <v>-553213.00210957497</v>
      </c>
      <c r="Z41" s="85">
        <f t="shared" si="432"/>
        <v>-560566.02222981164</v>
      </c>
      <c r="AA41" s="86">
        <f t="shared" si="432"/>
        <v>-395241.52297886857</v>
      </c>
      <c r="AB41" s="88">
        <f t="shared" si="166"/>
        <v>-1509020.5473182553</v>
      </c>
      <c r="AC41" s="88">
        <f t="shared" si="151"/>
        <v>-1571460.8827611634</v>
      </c>
      <c r="AE41" s="85">
        <f t="shared" ref="AE41:AG41" si="433">-(AE35+AE37)*0.2</f>
        <v>0</v>
      </c>
      <c r="AF41" s="85">
        <f t="shared" si="433"/>
        <v>0</v>
      </c>
      <c r="AG41" s="86">
        <f t="shared" si="433"/>
        <v>0</v>
      </c>
      <c r="AH41" s="88">
        <f t="shared" si="167"/>
        <v>0</v>
      </c>
      <c r="AI41" s="85">
        <f t="shared" ref="AI41:AK41" si="434">-(AI35+AI37)*0.2</f>
        <v>0</v>
      </c>
      <c r="AJ41" s="85">
        <f t="shared" si="434"/>
        <v>0</v>
      </c>
      <c r="AK41" s="86">
        <f t="shared" si="434"/>
        <v>0</v>
      </c>
      <c r="AL41" s="88">
        <f t="shared" si="168"/>
        <v>0</v>
      </c>
      <c r="AM41" s="88">
        <f t="shared" si="415"/>
        <v>0</v>
      </c>
      <c r="AN41" s="85">
        <f t="shared" ref="AN41:AP41" si="435">-(AN35+AN37)*0.2</f>
        <v>0</v>
      </c>
      <c r="AO41" s="85">
        <f t="shared" si="435"/>
        <v>0</v>
      </c>
      <c r="AP41" s="86">
        <f t="shared" si="435"/>
        <v>0</v>
      </c>
      <c r="AQ41" s="88">
        <f t="shared" si="169"/>
        <v>0</v>
      </c>
      <c r="AR41" s="88">
        <f t="shared" si="53"/>
        <v>0</v>
      </c>
      <c r="AS41" s="85">
        <f t="shared" ref="AS41:AU41" si="436">-(AS35+AS37)*0.2</f>
        <v>0</v>
      </c>
      <c r="AT41" s="85">
        <f t="shared" si="436"/>
        <v>0</v>
      </c>
      <c r="AU41" s="86">
        <f t="shared" si="436"/>
        <v>0</v>
      </c>
      <c r="AV41" s="88">
        <f t="shared" si="170"/>
        <v>0</v>
      </c>
      <c r="AW41" s="88">
        <f t="shared" si="416"/>
        <v>0</v>
      </c>
      <c r="AY41" s="85">
        <f t="shared" ref="AY41:BA41" si="437">-(AY35+AY37)*0.2</f>
        <v>0</v>
      </c>
      <c r="AZ41" s="85">
        <f t="shared" si="437"/>
        <v>0</v>
      </c>
      <c r="BA41" s="86">
        <f t="shared" si="437"/>
        <v>0</v>
      </c>
      <c r="BB41" s="88">
        <f t="shared" si="171"/>
        <v>0</v>
      </c>
      <c r="BC41" s="85">
        <f t="shared" ref="BC41:BE41" si="438">-(BC35+BC37)*0.2</f>
        <v>0</v>
      </c>
      <c r="BD41" s="85">
        <f t="shared" si="438"/>
        <v>0</v>
      </c>
      <c r="BE41" s="86">
        <f t="shared" si="438"/>
        <v>0</v>
      </c>
      <c r="BF41" s="88">
        <f t="shared" si="172"/>
        <v>0</v>
      </c>
      <c r="BG41" s="88">
        <f t="shared" si="154"/>
        <v>0</v>
      </c>
      <c r="BH41" s="85">
        <f t="shared" ref="BH41:BJ41" si="439">-(BH35+BH37)*0.2</f>
        <v>0</v>
      </c>
      <c r="BI41" s="85">
        <f t="shared" si="439"/>
        <v>0</v>
      </c>
      <c r="BJ41" s="86">
        <f t="shared" si="439"/>
        <v>0</v>
      </c>
      <c r="BK41" s="88">
        <f t="shared" si="173"/>
        <v>0</v>
      </c>
      <c r="BL41" s="88">
        <f t="shared" si="155"/>
        <v>0</v>
      </c>
      <c r="BM41" s="85">
        <f t="shared" ref="BM41:BO41" si="440">-(BM35+BM37)*0.2</f>
        <v>0</v>
      </c>
      <c r="BN41" s="85">
        <f t="shared" si="440"/>
        <v>0</v>
      </c>
      <c r="BO41" s="86">
        <f t="shared" si="440"/>
        <v>0</v>
      </c>
      <c r="BP41" s="88">
        <f t="shared" si="174"/>
        <v>0</v>
      </c>
      <c r="BQ41" s="88">
        <f t="shared" si="156"/>
        <v>0</v>
      </c>
      <c r="BS41" s="85">
        <f t="shared" ref="BS41:BU41" si="441">-(BS35+BS37)*0.2</f>
        <v>0</v>
      </c>
      <c r="BT41" s="85">
        <f t="shared" si="441"/>
        <v>0</v>
      </c>
      <c r="BU41" s="86">
        <f t="shared" si="441"/>
        <v>0</v>
      </c>
      <c r="BV41" s="88">
        <f t="shared" si="175"/>
        <v>0</v>
      </c>
      <c r="BW41" s="85">
        <f t="shared" ref="BW41:BY41" si="442">-(BW35+BW37)*0.2</f>
        <v>0</v>
      </c>
      <c r="BX41" s="85">
        <f t="shared" si="442"/>
        <v>0</v>
      </c>
      <c r="BY41" s="86">
        <f t="shared" si="442"/>
        <v>0</v>
      </c>
      <c r="BZ41" s="88">
        <f t="shared" si="176"/>
        <v>0</v>
      </c>
      <c r="CA41" s="88">
        <f t="shared" si="157"/>
        <v>0</v>
      </c>
      <c r="CB41" s="85">
        <f t="shared" ref="CB41:CD41" si="443">-(CB35+CB37)*0.2</f>
        <v>0</v>
      </c>
      <c r="CC41" s="85">
        <f t="shared" si="443"/>
        <v>0</v>
      </c>
      <c r="CD41" s="86">
        <f t="shared" si="443"/>
        <v>0</v>
      </c>
      <c r="CE41" s="88">
        <f t="shared" si="177"/>
        <v>0</v>
      </c>
      <c r="CF41" s="88">
        <f t="shared" si="158"/>
        <v>0</v>
      </c>
      <c r="CG41" s="85">
        <f t="shared" ref="CG41:CI41" si="444">-(CG35+CG37)*0.2</f>
        <v>0</v>
      </c>
      <c r="CH41" s="85">
        <f t="shared" si="444"/>
        <v>0</v>
      </c>
      <c r="CI41" s="86">
        <f t="shared" si="444"/>
        <v>0</v>
      </c>
      <c r="CJ41" s="88">
        <f t="shared" si="178"/>
        <v>0</v>
      </c>
      <c r="CK41" s="88">
        <f t="shared" si="159"/>
        <v>0</v>
      </c>
      <c r="CM41" s="85">
        <f t="shared" ref="CM41:CO41" si="445">-(CM35+CM37)*0.2</f>
        <v>0</v>
      </c>
      <c r="CN41" s="85">
        <f t="shared" si="445"/>
        <v>0</v>
      </c>
      <c r="CO41" s="86">
        <f t="shared" si="445"/>
        <v>0</v>
      </c>
      <c r="CP41" s="88">
        <f t="shared" si="179"/>
        <v>0</v>
      </c>
      <c r="CQ41" s="85">
        <f t="shared" ref="CQ41:CS41" si="446">-(CQ35+CQ37)*0.2</f>
        <v>0</v>
      </c>
      <c r="CR41" s="85">
        <f t="shared" si="446"/>
        <v>0</v>
      </c>
      <c r="CS41" s="86">
        <f t="shared" si="446"/>
        <v>0</v>
      </c>
      <c r="CT41" s="88">
        <f t="shared" si="180"/>
        <v>0</v>
      </c>
      <c r="CU41" s="88">
        <f t="shared" si="160"/>
        <v>0</v>
      </c>
      <c r="CV41" s="85">
        <f t="shared" ref="CV41:CX41" si="447">-(CV35+CV37)*0.2</f>
        <v>0</v>
      </c>
      <c r="CW41" s="85">
        <f t="shared" si="447"/>
        <v>0</v>
      </c>
      <c r="CX41" s="86">
        <f t="shared" si="447"/>
        <v>0</v>
      </c>
      <c r="CY41" s="88">
        <f t="shared" si="181"/>
        <v>0</v>
      </c>
      <c r="CZ41" s="88">
        <f t="shared" si="161"/>
        <v>0</v>
      </c>
      <c r="DA41" s="85">
        <f t="shared" ref="DA41:DC41" si="448">-(DA35+DA37)*0.2</f>
        <v>0</v>
      </c>
      <c r="DB41" s="85">
        <f t="shared" si="448"/>
        <v>0</v>
      </c>
      <c r="DC41" s="86">
        <f t="shared" si="448"/>
        <v>0</v>
      </c>
      <c r="DD41" s="88">
        <f t="shared" si="182"/>
        <v>0</v>
      </c>
      <c r="DE41" s="88">
        <f t="shared" si="162"/>
        <v>0</v>
      </c>
    </row>
    <row r="42" spans="1:109" s="16" customFormat="1" ht="10.199999999999999" x14ac:dyDescent="0.2">
      <c r="E42" s="80"/>
      <c r="F42" s="80" t="s">
        <v>341</v>
      </c>
      <c r="G42" s="80"/>
      <c r="I42" s="82">
        <f t="shared" si="41"/>
        <v>6285843.5310446527</v>
      </c>
      <c r="J42" s="12"/>
      <c r="K42" s="81">
        <f t="shared" ref="K42:AC42" si="449">K35+K36</f>
        <v>0</v>
      </c>
      <c r="L42" s="81">
        <f t="shared" si="449"/>
        <v>0</v>
      </c>
      <c r="M42" s="83">
        <f t="shared" si="449"/>
        <v>0</v>
      </c>
      <c r="N42" s="82">
        <f t="shared" si="449"/>
        <v>0</v>
      </c>
      <c r="O42" s="81">
        <f t="shared" si="449"/>
        <v>0</v>
      </c>
      <c r="P42" s="81">
        <f t="shared" si="449"/>
        <v>0</v>
      </c>
      <c r="Q42" s="83">
        <f t="shared" si="449"/>
        <v>0</v>
      </c>
      <c r="R42" s="82">
        <f t="shared" si="449"/>
        <v>0</v>
      </c>
      <c r="S42" s="82">
        <f t="shared" si="449"/>
        <v>0</v>
      </c>
      <c r="T42" s="81">
        <f t="shared" si="449"/>
        <v>0</v>
      </c>
      <c r="U42" s="81">
        <f t="shared" si="449"/>
        <v>0</v>
      </c>
      <c r="V42" s="83">
        <f t="shared" si="449"/>
        <v>249761.34177163284</v>
      </c>
      <c r="W42" s="82">
        <f t="shared" si="449"/>
        <v>249761.34177163284</v>
      </c>
      <c r="X42" s="82">
        <f t="shared" si="449"/>
        <v>249761.34177163284</v>
      </c>
      <c r="Y42" s="81">
        <f t="shared" si="449"/>
        <v>2212852.0084382994</v>
      </c>
      <c r="Z42" s="81">
        <f t="shared" si="449"/>
        <v>2242264.0889192466</v>
      </c>
      <c r="AA42" s="83">
        <f t="shared" si="449"/>
        <v>1580966.0919154743</v>
      </c>
      <c r="AB42" s="82">
        <f t="shared" si="449"/>
        <v>6036082.1892730193</v>
      </c>
      <c r="AC42" s="82">
        <f t="shared" si="449"/>
        <v>6285843.5310446527</v>
      </c>
      <c r="AD42" s="12"/>
      <c r="AE42" s="81">
        <f t="shared" ref="AE42:AW42" si="450">AE35+AE36</f>
        <v>0</v>
      </c>
      <c r="AF42" s="81">
        <f t="shared" si="450"/>
        <v>0</v>
      </c>
      <c r="AG42" s="83">
        <f t="shared" si="450"/>
        <v>0</v>
      </c>
      <c r="AH42" s="82">
        <f t="shared" si="450"/>
        <v>0</v>
      </c>
      <c r="AI42" s="81">
        <f t="shared" si="450"/>
        <v>0</v>
      </c>
      <c r="AJ42" s="81">
        <f t="shared" si="450"/>
        <v>0</v>
      </c>
      <c r="AK42" s="83">
        <f t="shared" si="450"/>
        <v>0</v>
      </c>
      <c r="AL42" s="82">
        <f t="shared" si="450"/>
        <v>0</v>
      </c>
      <c r="AM42" s="82">
        <f t="shared" si="450"/>
        <v>0</v>
      </c>
      <c r="AN42" s="81">
        <f t="shared" si="450"/>
        <v>0</v>
      </c>
      <c r="AO42" s="81">
        <f t="shared" si="450"/>
        <v>0</v>
      </c>
      <c r="AP42" s="83">
        <f t="shared" si="450"/>
        <v>0</v>
      </c>
      <c r="AQ42" s="82">
        <f t="shared" si="450"/>
        <v>0</v>
      </c>
      <c r="AR42" s="82">
        <f t="shared" si="450"/>
        <v>0</v>
      </c>
      <c r="AS42" s="81">
        <f t="shared" si="450"/>
        <v>0</v>
      </c>
      <c r="AT42" s="81">
        <f t="shared" si="450"/>
        <v>0</v>
      </c>
      <c r="AU42" s="83">
        <f t="shared" ref="AU42" si="451">AU35+AU36</f>
        <v>0</v>
      </c>
      <c r="AV42" s="82">
        <f t="shared" si="450"/>
        <v>0</v>
      </c>
      <c r="AW42" s="82">
        <f t="shared" si="450"/>
        <v>0</v>
      </c>
      <c r="AX42" s="12"/>
      <c r="AY42" s="81">
        <f t="shared" ref="AY42:BQ42" si="452">AY35+AY36</f>
        <v>0</v>
      </c>
      <c r="AZ42" s="81">
        <f t="shared" si="452"/>
        <v>0</v>
      </c>
      <c r="BA42" s="83">
        <f t="shared" si="452"/>
        <v>0</v>
      </c>
      <c r="BB42" s="82">
        <f t="shared" si="452"/>
        <v>0</v>
      </c>
      <c r="BC42" s="81">
        <f t="shared" si="452"/>
        <v>0</v>
      </c>
      <c r="BD42" s="81">
        <f t="shared" si="452"/>
        <v>0</v>
      </c>
      <c r="BE42" s="83">
        <f t="shared" si="452"/>
        <v>0</v>
      </c>
      <c r="BF42" s="82">
        <f t="shared" si="452"/>
        <v>0</v>
      </c>
      <c r="BG42" s="82">
        <f t="shared" si="452"/>
        <v>0</v>
      </c>
      <c r="BH42" s="81">
        <f t="shared" si="452"/>
        <v>0</v>
      </c>
      <c r="BI42" s="81">
        <f t="shared" si="452"/>
        <v>0</v>
      </c>
      <c r="BJ42" s="83">
        <f t="shared" si="452"/>
        <v>0</v>
      </c>
      <c r="BK42" s="82">
        <f t="shared" si="452"/>
        <v>0</v>
      </c>
      <c r="BL42" s="82">
        <f t="shared" si="452"/>
        <v>0</v>
      </c>
      <c r="BM42" s="81">
        <f t="shared" si="452"/>
        <v>0</v>
      </c>
      <c r="BN42" s="81">
        <f t="shared" si="452"/>
        <v>0</v>
      </c>
      <c r="BO42" s="83">
        <f t="shared" si="452"/>
        <v>0</v>
      </c>
      <c r="BP42" s="82">
        <f t="shared" si="452"/>
        <v>0</v>
      </c>
      <c r="BQ42" s="82">
        <f t="shared" si="452"/>
        <v>0</v>
      </c>
      <c r="BR42" s="12"/>
      <c r="BS42" s="81">
        <f t="shared" ref="BS42:CK42" si="453">BS35+BS36</f>
        <v>0</v>
      </c>
      <c r="BT42" s="81">
        <f t="shared" si="453"/>
        <v>0</v>
      </c>
      <c r="BU42" s="83">
        <f t="shared" si="453"/>
        <v>0</v>
      </c>
      <c r="BV42" s="82">
        <f t="shared" si="453"/>
        <v>0</v>
      </c>
      <c r="BW42" s="81">
        <f t="shared" si="453"/>
        <v>0</v>
      </c>
      <c r="BX42" s="81">
        <f t="shared" si="453"/>
        <v>0</v>
      </c>
      <c r="BY42" s="83">
        <f t="shared" si="453"/>
        <v>0</v>
      </c>
      <c r="BZ42" s="82">
        <f t="shared" si="453"/>
        <v>0</v>
      </c>
      <c r="CA42" s="82">
        <f t="shared" si="453"/>
        <v>0</v>
      </c>
      <c r="CB42" s="81">
        <f t="shared" si="453"/>
        <v>0</v>
      </c>
      <c r="CC42" s="81">
        <f t="shared" si="453"/>
        <v>0</v>
      </c>
      <c r="CD42" s="83">
        <f t="shared" si="453"/>
        <v>0</v>
      </c>
      <c r="CE42" s="82">
        <f t="shared" si="453"/>
        <v>0</v>
      </c>
      <c r="CF42" s="82">
        <f t="shared" si="453"/>
        <v>0</v>
      </c>
      <c r="CG42" s="81">
        <f t="shared" si="453"/>
        <v>0</v>
      </c>
      <c r="CH42" s="81">
        <f t="shared" si="453"/>
        <v>0</v>
      </c>
      <c r="CI42" s="83">
        <f t="shared" si="453"/>
        <v>0</v>
      </c>
      <c r="CJ42" s="82">
        <f t="shared" si="453"/>
        <v>0</v>
      </c>
      <c r="CK42" s="82">
        <f t="shared" si="453"/>
        <v>0</v>
      </c>
      <c r="CL42" s="12"/>
      <c r="CM42" s="81">
        <f t="shared" ref="CM42:DE42" si="454">CM35+CM36</f>
        <v>0</v>
      </c>
      <c r="CN42" s="81">
        <f t="shared" si="454"/>
        <v>0</v>
      </c>
      <c r="CO42" s="83">
        <f t="shared" si="454"/>
        <v>0</v>
      </c>
      <c r="CP42" s="82">
        <f t="shared" si="454"/>
        <v>0</v>
      </c>
      <c r="CQ42" s="81">
        <f t="shared" si="454"/>
        <v>0</v>
      </c>
      <c r="CR42" s="81">
        <f t="shared" si="454"/>
        <v>0</v>
      </c>
      <c r="CS42" s="83">
        <f t="shared" si="454"/>
        <v>0</v>
      </c>
      <c r="CT42" s="82">
        <f t="shared" si="454"/>
        <v>0</v>
      </c>
      <c r="CU42" s="82">
        <f t="shared" si="454"/>
        <v>0</v>
      </c>
      <c r="CV42" s="81">
        <f t="shared" si="454"/>
        <v>0</v>
      </c>
      <c r="CW42" s="81">
        <f t="shared" si="454"/>
        <v>0</v>
      </c>
      <c r="CX42" s="83">
        <f t="shared" si="454"/>
        <v>0</v>
      </c>
      <c r="CY42" s="82">
        <f t="shared" si="454"/>
        <v>0</v>
      </c>
      <c r="CZ42" s="82">
        <f t="shared" si="454"/>
        <v>0</v>
      </c>
      <c r="DA42" s="81">
        <f t="shared" si="454"/>
        <v>0</v>
      </c>
      <c r="DB42" s="81">
        <f t="shared" si="454"/>
        <v>0</v>
      </c>
      <c r="DC42" s="83">
        <f t="shared" si="454"/>
        <v>0</v>
      </c>
      <c r="DD42" s="82">
        <f t="shared" si="454"/>
        <v>0</v>
      </c>
      <c r="DE42" s="82">
        <f t="shared" si="454"/>
        <v>0</v>
      </c>
    </row>
  </sheetData>
  <sheetProtection algorithmName="SHA-512" hashValue="XUVIsoCO725KryP7nUx96nyaau3nFOm2kbRo4722/8CjK9b3WikAtSU2CtqZPK8HlNnROd6EQs8hbv9HzT0lFw==" saltValue="cFy0f4KjvJ/P5W9veclagA==" spinCount="100000" sheet="1" objects="1" scenarios="1" formatCells="0" formatColumns="0" formatRows="0" autoFilter="0"/>
  <autoFilter ref="I6:BQ29" xr:uid="{00000000-0009-0000-0000-000006000000}"/>
  <pageMargins left="0.70866141732283472" right="0.70866141732283472" top="0.15748031496062992" bottom="0.15748031496062992" header="0.31496062992125984" footer="0.31496062992125984"/>
  <pageSetup paperSize="9" scale="9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>
    <tabColor theme="6" tint="0.79998168889431442"/>
    <pageSetUpPr fitToPage="1"/>
  </sheetPr>
  <dimension ref="A1:K139"/>
  <sheetViews>
    <sheetView showGridLines="0" workbookViewId="0">
      <pane ySplit="4" topLeftCell="A5" activePane="bottomLeft" state="frozen"/>
      <selection activeCell="D9" sqref="D9"/>
      <selection pane="bottomLeft" activeCell="E151" sqref="E151"/>
    </sheetView>
  </sheetViews>
  <sheetFormatPr defaultColWidth="9.109375" defaultRowHeight="10.199999999999999" x14ac:dyDescent="0.2"/>
  <cols>
    <col min="1" max="1" width="13.33203125" style="137" bestFit="1" customWidth="1"/>
    <col min="2" max="2" width="10.88671875" style="139" customWidth="1"/>
    <col min="3" max="3" width="13.5546875" style="139" customWidth="1"/>
    <col min="4" max="4" width="41.6640625" style="139" customWidth="1"/>
    <col min="5" max="5" width="33.6640625" style="139" customWidth="1"/>
    <col min="6" max="6" width="12.109375" style="139" customWidth="1"/>
    <col min="7" max="7" width="12.109375" style="222" customWidth="1"/>
    <col min="8" max="8" width="17.88671875" style="222" customWidth="1"/>
    <col min="9" max="9" width="14.44140625" style="222" customWidth="1"/>
    <col min="10" max="10" width="15.44140625" style="139" customWidth="1"/>
    <col min="11" max="11" width="36.88671875" style="139" customWidth="1"/>
    <col min="12" max="16384" width="9.109375" style="139"/>
  </cols>
  <sheetData>
    <row r="1" spans="1:11" x14ac:dyDescent="0.2">
      <c r="B1" s="138" t="s">
        <v>194</v>
      </c>
      <c r="C1" s="138"/>
    </row>
    <row r="2" spans="1:11" x14ac:dyDescent="0.2">
      <c r="B2" s="140"/>
    </row>
    <row r="4" spans="1:11" x14ac:dyDescent="0.2">
      <c r="A4" s="137" t="s">
        <v>228</v>
      </c>
      <c r="B4" s="141" t="s">
        <v>173</v>
      </c>
      <c r="C4" s="141" t="s">
        <v>229</v>
      </c>
      <c r="D4" s="142" t="s">
        <v>199</v>
      </c>
      <c r="E4" s="142" t="s">
        <v>174</v>
      </c>
      <c r="F4" s="142" t="s">
        <v>230</v>
      </c>
      <c r="G4" s="223" t="s">
        <v>270</v>
      </c>
      <c r="H4" s="223" t="s">
        <v>231</v>
      </c>
      <c r="I4" s="223" t="s">
        <v>232</v>
      </c>
      <c r="J4" s="142" t="s">
        <v>175</v>
      </c>
      <c r="K4" s="142" t="s">
        <v>22</v>
      </c>
    </row>
    <row r="5" spans="1:11" x14ac:dyDescent="0.2">
      <c r="A5" s="137" t="str">
        <f>IF(ISERROR(VLOOKUP(D5,БДР!A:A,1,0))=TRUE,"не попало в БДР","ok")</f>
        <v>ok</v>
      </c>
      <c r="B5" s="36">
        <v>45230</v>
      </c>
      <c r="C5" s="143" t="str">
        <f>IF(B5="","",VLOOKUP(MONTH(B5),Справочники!$X$4:$Y$15,2,0)&amp;"_"&amp;YEAR(B5))</f>
        <v>Октябрь_2023</v>
      </c>
      <c r="D5" s="37" t="s">
        <v>178</v>
      </c>
      <c r="E5" s="37" t="s">
        <v>467</v>
      </c>
      <c r="F5" s="38">
        <v>0.2</v>
      </c>
      <c r="G5" s="220">
        <f>IF(ISERROR(I5-H5)=TRUE,"",I5-H5)</f>
        <v>1000000</v>
      </c>
      <c r="H5" s="220">
        <f>IF(I5="","",I5/(1+F5))</f>
        <v>5000000</v>
      </c>
      <c r="I5" s="221">
        <v>6000000</v>
      </c>
      <c r="J5" s="37" t="s">
        <v>473</v>
      </c>
      <c r="K5" s="37"/>
    </row>
    <row r="6" spans="1:11" x14ac:dyDescent="0.2">
      <c r="A6" s="137" t="str">
        <f>IF(ISERROR(VLOOKUP(D6,БДР!A:A,1,0))=TRUE,"не попало в БДР","ok")</f>
        <v>ok</v>
      </c>
      <c r="B6" s="36">
        <v>45291</v>
      </c>
      <c r="C6" s="143" t="str">
        <f>IF(B6="","",VLOOKUP(MONTH(B6),Справочники!$X$4:$Y$15,2,0)&amp;"_"&amp;YEAR(B6))</f>
        <v>Декабрь_2023</v>
      </c>
      <c r="D6" s="37" t="s">
        <v>178</v>
      </c>
      <c r="E6" s="37" t="s">
        <v>467</v>
      </c>
      <c r="F6" s="38">
        <v>0.2</v>
      </c>
      <c r="G6" s="220">
        <f>IF(ISERROR(I6-H6)=TRUE,"",I6-H6)</f>
        <v>1000000</v>
      </c>
      <c r="H6" s="220">
        <f>IF(I6="","",I6/(1+F6))</f>
        <v>5000000</v>
      </c>
      <c r="I6" s="221">
        <v>6000000</v>
      </c>
      <c r="J6" s="37" t="s">
        <v>473</v>
      </c>
      <c r="K6" s="37"/>
    </row>
    <row r="7" spans="1:11" x14ac:dyDescent="0.2">
      <c r="A7" s="137" t="str">
        <f>IF(ISERROR(VLOOKUP(D7,БДР!A:A,1,0))=TRUE,"не попало в БДР","ok")</f>
        <v>ok</v>
      </c>
      <c r="B7" s="36">
        <v>45170</v>
      </c>
      <c r="C7" s="143" t="str">
        <f>IF(B7="","",VLOOKUP(MONTH(B7),Справочники!$X$4:$Y$15,2,0)&amp;"_"&amp;YEAR(B7))</f>
        <v>Сентябрь_2023</v>
      </c>
      <c r="D7" s="37" t="s">
        <v>192</v>
      </c>
      <c r="E7" s="37" t="s">
        <v>467</v>
      </c>
      <c r="F7" s="38">
        <v>0</v>
      </c>
      <c r="G7" s="220">
        <f t="shared" ref="G7:G139" si="0">IF(ISERROR(I7-H7)=TRUE,"",I7-H7)</f>
        <v>0</v>
      </c>
      <c r="H7" s="220">
        <f t="shared" ref="H7:H139" si="1">IF(I7="","",I7/(1+F7))</f>
        <v>3000000</v>
      </c>
      <c r="I7" s="221">
        <v>3000000</v>
      </c>
      <c r="J7" s="37" t="s">
        <v>473</v>
      </c>
      <c r="K7" s="37"/>
    </row>
    <row r="8" spans="1:11" x14ac:dyDescent="0.2">
      <c r="A8" s="137" t="str">
        <f>IF(ISERROR(VLOOKUP(D8,БДР!A:A,1,0))=TRUE,"не попало в БДР","ok")</f>
        <v>ok</v>
      </c>
      <c r="B8" s="36">
        <v>45260</v>
      </c>
      <c r="C8" s="143" t="str">
        <f>IF(B8="","",VLOOKUP(MONTH(B8),Справочники!$X$4:$Y$15,2,0)&amp;"_"&amp;YEAR(B8))</f>
        <v>Ноябрь_2023</v>
      </c>
      <c r="D8" s="37" t="s">
        <v>178</v>
      </c>
      <c r="E8" s="37" t="s">
        <v>533</v>
      </c>
      <c r="F8" s="38">
        <v>0.2</v>
      </c>
      <c r="G8" s="220">
        <f t="shared" si="0"/>
        <v>1000000</v>
      </c>
      <c r="H8" s="220">
        <f t="shared" si="1"/>
        <v>5000000</v>
      </c>
      <c r="I8" s="221">
        <v>6000000</v>
      </c>
      <c r="J8" s="37" t="s">
        <v>473</v>
      </c>
      <c r="K8" s="37"/>
    </row>
    <row r="9" spans="1:11" x14ac:dyDescent="0.2">
      <c r="A9" s="137" t="str">
        <f>IF(ISERROR(VLOOKUP(D9,БДР!A:A,1,0))=TRUE,"не попало в БДР","ok")</f>
        <v>не попало в БДР</v>
      </c>
      <c r="B9" s="36"/>
      <c r="C9" s="143" t="str">
        <f>IF(B9="","",VLOOKUP(MONTH(B9),Справочники!$X$4:$Y$15,2,0)&amp;"_"&amp;YEAR(B9))</f>
        <v/>
      </c>
      <c r="D9" s="37"/>
      <c r="E9" s="37"/>
      <c r="F9" s="38"/>
      <c r="G9" s="220" t="str">
        <f t="shared" si="0"/>
        <v/>
      </c>
      <c r="H9" s="220" t="str">
        <f t="shared" si="1"/>
        <v/>
      </c>
      <c r="I9" s="221"/>
      <c r="J9" s="37"/>
      <c r="K9" s="37"/>
    </row>
    <row r="10" spans="1:11" x14ac:dyDescent="0.2">
      <c r="A10" s="137" t="str">
        <f>IF(ISERROR(VLOOKUP(D10,БДР!A:A,1,0))=TRUE,"не попало в БДР","ok")</f>
        <v>не попало в БДР</v>
      </c>
      <c r="B10" s="36"/>
      <c r="C10" s="143" t="str">
        <f>IF(B10="","",VLOOKUP(MONTH(B10),Справочники!$X$4:$Y$15,2,0)&amp;"_"&amp;YEAR(B10))</f>
        <v/>
      </c>
      <c r="D10" s="37"/>
      <c r="E10" s="37"/>
      <c r="F10" s="38"/>
      <c r="G10" s="220" t="str">
        <f t="shared" si="0"/>
        <v/>
      </c>
      <c r="H10" s="220" t="str">
        <f t="shared" si="1"/>
        <v/>
      </c>
      <c r="I10" s="221"/>
      <c r="J10" s="37"/>
      <c r="K10" s="37"/>
    </row>
    <row r="11" spans="1:11" x14ac:dyDescent="0.2">
      <c r="A11" s="137" t="str">
        <f>IF(ISERROR(VLOOKUP(D11,БДР!A:A,1,0))=TRUE,"не попало в БДР","ok")</f>
        <v>не попало в БДР</v>
      </c>
      <c r="B11" s="36"/>
      <c r="C11" s="143" t="str">
        <f>IF(B11="","",VLOOKUP(MONTH(B11),Справочники!$X$4:$Y$15,2,0)&amp;"_"&amp;YEAR(B11))</f>
        <v/>
      </c>
      <c r="D11" s="37"/>
      <c r="E11" s="37"/>
      <c r="F11" s="38"/>
      <c r="G11" s="220" t="str">
        <f t="shared" si="0"/>
        <v/>
      </c>
      <c r="H11" s="220" t="str">
        <f t="shared" si="1"/>
        <v/>
      </c>
      <c r="I11" s="221"/>
      <c r="J11" s="37"/>
      <c r="K11" s="37"/>
    </row>
    <row r="12" spans="1:11" x14ac:dyDescent="0.2">
      <c r="A12" s="137" t="str">
        <f>IF(ISERROR(VLOOKUP(D12,БДР!A:A,1,0))=TRUE,"не попало в БДР","ok")</f>
        <v>не попало в БДР</v>
      </c>
      <c r="B12" s="36"/>
      <c r="C12" s="143" t="str">
        <f>IF(B12="","",VLOOKUP(MONTH(B12),Справочники!$X$4:$Y$15,2,0)&amp;"_"&amp;YEAR(B12))</f>
        <v/>
      </c>
      <c r="D12" s="37"/>
      <c r="E12" s="37"/>
      <c r="F12" s="38"/>
      <c r="G12" s="220" t="str">
        <f t="shared" si="0"/>
        <v/>
      </c>
      <c r="H12" s="220" t="str">
        <f t="shared" si="1"/>
        <v/>
      </c>
      <c r="I12" s="221"/>
      <c r="J12" s="37"/>
      <c r="K12" s="37"/>
    </row>
    <row r="13" spans="1:11" x14ac:dyDescent="0.2">
      <c r="A13" s="137" t="str">
        <f>IF(ISERROR(VLOOKUP(D13,БДР!A:A,1,0))=TRUE,"не попало в БДР","ok")</f>
        <v>не попало в БДР</v>
      </c>
      <c r="B13" s="36"/>
      <c r="C13" s="143" t="str">
        <f>IF(B13="","",VLOOKUP(MONTH(B13),Справочники!$X$4:$Y$15,2,0)&amp;"_"&amp;YEAR(B13))</f>
        <v/>
      </c>
      <c r="D13" s="37"/>
      <c r="E13" s="37"/>
      <c r="F13" s="38"/>
      <c r="G13" s="220" t="str">
        <f t="shared" si="0"/>
        <v/>
      </c>
      <c r="H13" s="220" t="str">
        <f t="shared" si="1"/>
        <v/>
      </c>
      <c r="I13" s="221"/>
      <c r="J13" s="37"/>
      <c r="K13" s="37"/>
    </row>
    <row r="14" spans="1:11" x14ac:dyDescent="0.2">
      <c r="A14" s="137" t="str">
        <f>IF(ISERROR(VLOOKUP(D14,БДР!A:A,1,0))=TRUE,"не попало в БДР","ok")</f>
        <v>не попало в БДР</v>
      </c>
      <c r="B14" s="36"/>
      <c r="C14" s="143" t="str">
        <f>IF(B14="","",VLOOKUP(MONTH(B14),Справочники!$X$4:$Y$15,2,0)&amp;"_"&amp;YEAR(B14))</f>
        <v/>
      </c>
      <c r="D14" s="37"/>
      <c r="E14" s="37"/>
      <c r="F14" s="38"/>
      <c r="G14" s="220" t="str">
        <f t="shared" si="0"/>
        <v/>
      </c>
      <c r="H14" s="220" t="str">
        <f t="shared" si="1"/>
        <v/>
      </c>
      <c r="I14" s="221"/>
      <c r="J14" s="37"/>
      <c r="K14" s="37"/>
    </row>
    <row r="15" spans="1:11" x14ac:dyDescent="0.2">
      <c r="A15" s="137" t="str">
        <f>IF(ISERROR(VLOOKUP(D15,БДР!A:A,1,0))=TRUE,"не попало в БДР","ok")</f>
        <v>не попало в БДР</v>
      </c>
      <c r="B15" s="36"/>
      <c r="C15" s="143" t="str">
        <f>IF(B15="","",VLOOKUP(MONTH(B15),Справочники!$X$4:$Y$15,2,0)&amp;"_"&amp;YEAR(B15))</f>
        <v/>
      </c>
      <c r="D15" s="37"/>
      <c r="E15" s="37"/>
      <c r="F15" s="38"/>
      <c r="G15" s="220" t="str">
        <f t="shared" si="0"/>
        <v/>
      </c>
      <c r="H15" s="220" t="str">
        <f t="shared" si="1"/>
        <v/>
      </c>
      <c r="I15" s="221"/>
      <c r="J15" s="37"/>
      <c r="K15" s="37"/>
    </row>
    <row r="16" spans="1:11" x14ac:dyDescent="0.2">
      <c r="A16" s="137" t="str">
        <f>IF(ISERROR(VLOOKUP(D16,БДР!A:A,1,0))=TRUE,"не попало в БДР","ok")</f>
        <v>не попало в БДР</v>
      </c>
      <c r="B16" s="36"/>
      <c r="C16" s="143" t="str">
        <f>IF(B16="","",VLOOKUP(MONTH(B16),Справочники!$X$4:$Y$15,2,0)&amp;"_"&amp;YEAR(B16))</f>
        <v/>
      </c>
      <c r="D16" s="37"/>
      <c r="E16" s="37"/>
      <c r="F16" s="38"/>
      <c r="G16" s="220" t="str">
        <f t="shared" si="0"/>
        <v/>
      </c>
      <c r="H16" s="220" t="str">
        <f t="shared" si="1"/>
        <v/>
      </c>
      <c r="I16" s="221"/>
      <c r="J16" s="37"/>
      <c r="K16" s="37"/>
    </row>
    <row r="17" spans="1:11" x14ac:dyDescent="0.2">
      <c r="A17" s="137" t="str">
        <f>IF(ISERROR(VLOOKUP(D17,БДР!A:A,1,0))=TRUE,"не попало в БДР","ok")</f>
        <v>не попало в БДР</v>
      </c>
      <c r="B17" s="36"/>
      <c r="C17" s="143" t="str">
        <f>IF(B17="","",VLOOKUP(MONTH(B17),Справочники!$X$4:$Y$15,2,0)&amp;"_"&amp;YEAR(B17))</f>
        <v/>
      </c>
      <c r="D17" s="37"/>
      <c r="E17" s="37"/>
      <c r="F17" s="38"/>
      <c r="G17" s="220" t="str">
        <f t="shared" si="0"/>
        <v/>
      </c>
      <c r="H17" s="220" t="str">
        <f t="shared" si="1"/>
        <v/>
      </c>
      <c r="I17" s="221"/>
      <c r="J17" s="37"/>
      <c r="K17" s="37"/>
    </row>
    <row r="18" spans="1:11" x14ac:dyDescent="0.2">
      <c r="A18" s="137" t="str">
        <f>IF(ISERROR(VLOOKUP(D18,БДР!A:A,1,0))=TRUE,"не попало в БДР","ok")</f>
        <v>не попало в БДР</v>
      </c>
      <c r="B18" s="36"/>
      <c r="C18" s="143" t="str">
        <f>IF(B18="","",VLOOKUP(MONTH(B18),Справочники!$X$4:$Y$15,2,0)&amp;"_"&amp;YEAR(B18))</f>
        <v/>
      </c>
      <c r="D18" s="37"/>
      <c r="E18" s="37"/>
      <c r="F18" s="38"/>
      <c r="G18" s="220" t="str">
        <f t="shared" si="0"/>
        <v/>
      </c>
      <c r="H18" s="220" t="str">
        <f t="shared" si="1"/>
        <v/>
      </c>
      <c r="I18" s="221"/>
      <c r="J18" s="37"/>
      <c r="K18" s="37"/>
    </row>
    <row r="19" spans="1:11" x14ac:dyDescent="0.2">
      <c r="A19" s="137" t="str">
        <f>IF(ISERROR(VLOOKUP(D19,БДР!A:A,1,0))=TRUE,"не попало в БДР","ok")</f>
        <v>не попало в БДР</v>
      </c>
      <c r="B19" s="36"/>
      <c r="C19" s="143" t="str">
        <f>IF(B19="","",VLOOKUP(MONTH(B19),Справочники!$X$4:$Y$15,2,0)&amp;"_"&amp;YEAR(B19))</f>
        <v/>
      </c>
      <c r="D19" s="37"/>
      <c r="E19" s="37"/>
      <c r="F19" s="38"/>
      <c r="G19" s="220" t="str">
        <f t="shared" si="0"/>
        <v/>
      </c>
      <c r="H19" s="220" t="str">
        <f t="shared" si="1"/>
        <v/>
      </c>
      <c r="I19" s="221"/>
      <c r="J19" s="37"/>
      <c r="K19" s="37"/>
    </row>
    <row r="20" spans="1:11" x14ac:dyDescent="0.2">
      <c r="A20" s="137" t="str">
        <f>IF(ISERROR(VLOOKUP(D20,БДР!A:A,1,0))=TRUE,"не попало в БДР","ok")</f>
        <v>не попало в БДР</v>
      </c>
      <c r="B20" s="36"/>
      <c r="C20" s="143" t="str">
        <f>IF(B20="","",VLOOKUP(MONTH(B20),Справочники!$X$4:$Y$15,2,0)&amp;"_"&amp;YEAR(B20))</f>
        <v/>
      </c>
      <c r="D20" s="37"/>
      <c r="E20" s="37"/>
      <c r="F20" s="38"/>
      <c r="G20" s="220" t="str">
        <f t="shared" si="0"/>
        <v/>
      </c>
      <c r="H20" s="220" t="str">
        <f t="shared" si="1"/>
        <v/>
      </c>
      <c r="I20" s="221"/>
      <c r="J20" s="37"/>
      <c r="K20" s="37"/>
    </row>
    <row r="21" spans="1:11" x14ac:dyDescent="0.2">
      <c r="A21" s="137" t="str">
        <f>IF(ISERROR(VLOOKUP(D21,БДР!A:A,1,0))=TRUE,"не попало в БДР","ok")</f>
        <v>не попало в БДР</v>
      </c>
      <c r="B21" s="36"/>
      <c r="C21" s="143" t="str">
        <f>IF(B21="","",VLOOKUP(MONTH(B21),Справочники!$X$4:$Y$15,2,0)&amp;"_"&amp;YEAR(B21))</f>
        <v/>
      </c>
      <c r="D21" s="37"/>
      <c r="E21" s="37"/>
      <c r="F21" s="38"/>
      <c r="G21" s="220" t="str">
        <f t="shared" si="0"/>
        <v/>
      </c>
      <c r="H21" s="220" t="str">
        <f t="shared" si="1"/>
        <v/>
      </c>
      <c r="I21" s="221"/>
      <c r="J21" s="37"/>
      <c r="K21" s="37"/>
    </row>
    <row r="22" spans="1:11" x14ac:dyDescent="0.2">
      <c r="A22" s="137" t="str">
        <f>IF(ISERROR(VLOOKUP(D22,БДР!A:A,1,0))=TRUE,"не попало в БДР","ok")</f>
        <v>не попало в БДР</v>
      </c>
      <c r="B22" s="36"/>
      <c r="C22" s="143" t="str">
        <f>IF(B22="","",VLOOKUP(MONTH(B22),Справочники!$X$4:$Y$15,2,0)&amp;"_"&amp;YEAR(B22))</f>
        <v/>
      </c>
      <c r="D22" s="37"/>
      <c r="E22" s="37"/>
      <c r="F22" s="38"/>
      <c r="G22" s="220" t="str">
        <f t="shared" si="0"/>
        <v/>
      </c>
      <c r="H22" s="220" t="str">
        <f t="shared" si="1"/>
        <v/>
      </c>
      <c r="I22" s="221"/>
      <c r="J22" s="37"/>
      <c r="K22" s="37"/>
    </row>
    <row r="23" spans="1:11" x14ac:dyDescent="0.2">
      <c r="A23" s="137" t="str">
        <f>IF(ISERROR(VLOOKUP(D23,БДР!A:A,1,0))=TRUE,"не попало в БДР","ok")</f>
        <v>не попало в БДР</v>
      </c>
      <c r="B23" s="36"/>
      <c r="C23" s="143" t="str">
        <f>IF(B23="","",VLOOKUP(MONTH(B23),Справочники!$X$4:$Y$15,2,0)&amp;"_"&amp;YEAR(B23))</f>
        <v/>
      </c>
      <c r="D23" s="37"/>
      <c r="E23" s="37"/>
      <c r="F23" s="38"/>
      <c r="G23" s="220" t="str">
        <f t="shared" si="0"/>
        <v/>
      </c>
      <c r="H23" s="220" t="str">
        <f t="shared" si="1"/>
        <v/>
      </c>
      <c r="I23" s="221"/>
      <c r="J23" s="37"/>
      <c r="K23" s="37"/>
    </row>
    <row r="24" spans="1:11" x14ac:dyDescent="0.2">
      <c r="A24" s="137" t="str">
        <f>IF(ISERROR(VLOOKUP(D24,БДР!A:A,1,0))=TRUE,"не попало в БДР","ok")</f>
        <v>не попало в БДР</v>
      </c>
      <c r="B24" s="36"/>
      <c r="C24" s="143" t="str">
        <f>IF(B24="","",VLOOKUP(MONTH(B24),Справочники!$X$4:$Y$15,2,0)&amp;"_"&amp;YEAR(B24))</f>
        <v/>
      </c>
      <c r="D24" s="37"/>
      <c r="E24" s="37"/>
      <c r="F24" s="38"/>
      <c r="G24" s="220" t="str">
        <f t="shared" si="0"/>
        <v/>
      </c>
      <c r="H24" s="220" t="str">
        <f t="shared" si="1"/>
        <v/>
      </c>
      <c r="I24" s="221"/>
      <c r="J24" s="37"/>
      <c r="K24" s="37"/>
    </row>
    <row r="25" spans="1:11" x14ac:dyDescent="0.2">
      <c r="A25" s="137" t="str">
        <f>IF(ISERROR(VLOOKUP(D25,БДР!A:A,1,0))=TRUE,"не попало в БДР","ok")</f>
        <v>не попало в БДР</v>
      </c>
      <c r="B25" s="36"/>
      <c r="C25" s="143" t="str">
        <f>IF(B25="","",VLOOKUP(MONTH(B25),Справочники!$X$4:$Y$15,2,0)&amp;"_"&amp;YEAR(B25))</f>
        <v/>
      </c>
      <c r="D25" s="37"/>
      <c r="E25" s="37"/>
      <c r="F25" s="38"/>
      <c r="G25" s="220" t="str">
        <f t="shared" si="0"/>
        <v/>
      </c>
      <c r="H25" s="220" t="str">
        <f t="shared" si="1"/>
        <v/>
      </c>
      <c r="I25" s="221"/>
      <c r="J25" s="37"/>
      <c r="K25" s="37"/>
    </row>
    <row r="26" spans="1:11" x14ac:dyDescent="0.2">
      <c r="A26" s="137" t="str">
        <f>IF(ISERROR(VLOOKUP(D26,БДР!A:A,1,0))=TRUE,"не попало в БДР","ok")</f>
        <v>не попало в БДР</v>
      </c>
      <c r="B26" s="36"/>
      <c r="C26" s="143" t="str">
        <f>IF(B26="","",VLOOKUP(MONTH(B26),Справочники!$X$4:$Y$15,2,0)&amp;"_"&amp;YEAR(B26))</f>
        <v/>
      </c>
      <c r="D26" s="37"/>
      <c r="E26" s="37"/>
      <c r="F26" s="38"/>
      <c r="G26" s="220" t="str">
        <f t="shared" si="0"/>
        <v/>
      </c>
      <c r="H26" s="220" t="str">
        <f t="shared" si="1"/>
        <v/>
      </c>
      <c r="I26" s="221"/>
      <c r="J26" s="37"/>
      <c r="K26" s="37"/>
    </row>
    <row r="27" spans="1:11" x14ac:dyDescent="0.2">
      <c r="A27" s="137" t="str">
        <f>IF(ISERROR(VLOOKUP(D27,БДР!A:A,1,0))=TRUE,"не попало в БДР","ok")</f>
        <v>не попало в БДР</v>
      </c>
      <c r="B27" s="36"/>
      <c r="C27" s="143" t="str">
        <f>IF(B27="","",VLOOKUP(MONTH(B27),Справочники!$X$4:$Y$15,2,0)&amp;"_"&amp;YEAR(B27))</f>
        <v/>
      </c>
      <c r="D27" s="37"/>
      <c r="E27" s="37"/>
      <c r="F27" s="38"/>
      <c r="G27" s="220" t="str">
        <f t="shared" si="0"/>
        <v/>
      </c>
      <c r="H27" s="220" t="str">
        <f t="shared" si="1"/>
        <v/>
      </c>
      <c r="I27" s="221"/>
      <c r="J27" s="37"/>
      <c r="K27" s="37"/>
    </row>
    <row r="28" spans="1:11" x14ac:dyDescent="0.2">
      <c r="A28" s="137" t="str">
        <f>IF(ISERROR(VLOOKUP(D28,БДР!A:A,1,0))=TRUE,"не попало в БДР","ok")</f>
        <v>не попало в БДР</v>
      </c>
      <c r="B28" s="36"/>
      <c r="C28" s="143" t="str">
        <f>IF(B28="","",VLOOKUP(MONTH(B28),Справочники!$X$4:$Y$15,2,0)&amp;"_"&amp;YEAR(B28))</f>
        <v/>
      </c>
      <c r="D28" s="37"/>
      <c r="E28" s="37"/>
      <c r="F28" s="38"/>
      <c r="G28" s="220" t="str">
        <f t="shared" si="0"/>
        <v/>
      </c>
      <c r="H28" s="220" t="str">
        <f t="shared" si="1"/>
        <v/>
      </c>
      <c r="I28" s="221"/>
      <c r="J28" s="37"/>
      <c r="K28" s="37"/>
    </row>
    <row r="29" spans="1:11" x14ac:dyDescent="0.2">
      <c r="A29" s="137" t="str">
        <f>IF(ISERROR(VLOOKUP(D29,БДР!A:A,1,0))=TRUE,"не попало в БДР","ok")</f>
        <v>не попало в БДР</v>
      </c>
      <c r="B29" s="36"/>
      <c r="C29" s="143" t="str">
        <f>IF(B29="","",VLOOKUP(MONTH(B29),Справочники!$X$4:$Y$15,2,0)&amp;"_"&amp;YEAR(B29))</f>
        <v/>
      </c>
      <c r="D29" s="37"/>
      <c r="E29" s="37"/>
      <c r="F29" s="38"/>
      <c r="G29" s="220" t="str">
        <f t="shared" ref="G29:G102" si="2">IF(ISERROR(I29-H29)=TRUE,"",I29-H29)</f>
        <v/>
      </c>
      <c r="H29" s="220" t="str">
        <f t="shared" ref="H29:H102" si="3">IF(I29="","",I29/(1+F29))</f>
        <v/>
      </c>
      <c r="I29" s="221"/>
      <c r="J29" s="37"/>
      <c r="K29" s="37"/>
    </row>
    <row r="30" spans="1:11" x14ac:dyDescent="0.2">
      <c r="A30" s="137" t="str">
        <f>IF(ISERROR(VLOOKUP(D30,БДР!A:A,1,0))=TRUE,"не попало в БДР","ok")</f>
        <v>не попало в БДР</v>
      </c>
      <c r="B30" s="36"/>
      <c r="C30" s="143" t="str">
        <f>IF(B30="","",VLOOKUP(MONTH(B30),Справочники!$X$4:$Y$15,2,0)&amp;"_"&amp;YEAR(B30))</f>
        <v/>
      </c>
      <c r="D30" s="37"/>
      <c r="E30" s="37"/>
      <c r="F30" s="38"/>
      <c r="G30" s="220" t="str">
        <f t="shared" si="2"/>
        <v/>
      </c>
      <c r="H30" s="220" t="str">
        <f t="shared" si="3"/>
        <v/>
      </c>
      <c r="I30" s="221"/>
      <c r="J30" s="37"/>
      <c r="K30" s="37"/>
    </row>
    <row r="31" spans="1:11" x14ac:dyDescent="0.2">
      <c r="A31" s="137" t="str">
        <f>IF(ISERROR(VLOOKUP(D31,БДР!A:A,1,0))=TRUE,"не попало в БДР","ok")</f>
        <v>не попало в БДР</v>
      </c>
      <c r="B31" s="36"/>
      <c r="C31" s="143" t="str">
        <f>IF(B31="","",VLOOKUP(MONTH(B31),Справочники!$X$4:$Y$15,2,0)&amp;"_"&amp;YEAR(B31))</f>
        <v/>
      </c>
      <c r="D31" s="37"/>
      <c r="E31" s="37"/>
      <c r="F31" s="38"/>
      <c r="G31" s="220" t="str">
        <f t="shared" si="2"/>
        <v/>
      </c>
      <c r="H31" s="220" t="str">
        <f t="shared" si="3"/>
        <v/>
      </c>
      <c r="I31" s="221"/>
      <c r="J31" s="37"/>
      <c r="K31" s="37"/>
    </row>
    <row r="32" spans="1:11" x14ac:dyDescent="0.2">
      <c r="A32" s="137" t="str">
        <f>IF(ISERROR(VLOOKUP(D32,БДР!A:A,1,0))=TRUE,"не попало в БДР","ok")</f>
        <v>не попало в БДР</v>
      </c>
      <c r="B32" s="36"/>
      <c r="C32" s="143" t="str">
        <f>IF(B32="","",VLOOKUP(MONTH(B32),Справочники!$X$4:$Y$15,2,0)&amp;"_"&amp;YEAR(B32))</f>
        <v/>
      </c>
      <c r="D32" s="37"/>
      <c r="E32" s="37"/>
      <c r="F32" s="38"/>
      <c r="G32" s="220" t="str">
        <f t="shared" si="2"/>
        <v/>
      </c>
      <c r="H32" s="220" t="str">
        <f t="shared" si="3"/>
        <v/>
      </c>
      <c r="I32" s="221"/>
      <c r="J32" s="37"/>
      <c r="K32" s="37"/>
    </row>
    <row r="33" spans="1:11" hidden="1" x14ac:dyDescent="0.2">
      <c r="A33" s="137" t="str">
        <f>IF(ISERROR(VLOOKUP(D33,БДР!A:A,1,0))=TRUE,"не попало в БДР","ok")</f>
        <v>не попало в БДР</v>
      </c>
      <c r="B33" s="36"/>
      <c r="C33" s="143" t="str">
        <f>IF(B33="","",VLOOKUP(MONTH(B33),Справочники!$X$4:$Y$15,2,0)&amp;"_"&amp;YEAR(B33))</f>
        <v/>
      </c>
      <c r="D33" s="37"/>
      <c r="E33" s="37"/>
      <c r="F33" s="38"/>
      <c r="G33" s="220" t="str">
        <f t="shared" ref="G33:G42" si="4">IF(ISERROR(I33-H33)=TRUE,"",I33-H33)</f>
        <v/>
      </c>
      <c r="H33" s="220" t="str">
        <f t="shared" ref="H33:H42" si="5">IF(I33="","",I33/(1+F33))</f>
        <v/>
      </c>
      <c r="I33" s="221"/>
      <c r="J33" s="37"/>
      <c r="K33" s="37"/>
    </row>
    <row r="34" spans="1:11" hidden="1" x14ac:dyDescent="0.2">
      <c r="A34" s="137" t="str">
        <f>IF(ISERROR(VLOOKUP(D34,БДР!A:A,1,0))=TRUE,"не попало в БДР","ok")</f>
        <v>не попало в БДР</v>
      </c>
      <c r="B34" s="36"/>
      <c r="C34" s="143" t="str">
        <f>IF(B34="","",VLOOKUP(MONTH(B34),Справочники!$X$4:$Y$15,2,0)&amp;"_"&amp;YEAR(B34))</f>
        <v/>
      </c>
      <c r="D34" s="37"/>
      <c r="E34" s="37"/>
      <c r="F34" s="38"/>
      <c r="G34" s="220" t="str">
        <f t="shared" si="4"/>
        <v/>
      </c>
      <c r="H34" s="220" t="str">
        <f t="shared" si="5"/>
        <v/>
      </c>
      <c r="I34" s="221"/>
      <c r="J34" s="37"/>
      <c r="K34" s="37"/>
    </row>
    <row r="35" spans="1:11" hidden="1" x14ac:dyDescent="0.2">
      <c r="A35" s="137" t="str">
        <f>IF(ISERROR(VLOOKUP(D35,БДР!A:A,1,0))=TRUE,"не попало в БДР","ok")</f>
        <v>не попало в БДР</v>
      </c>
      <c r="B35" s="36"/>
      <c r="C35" s="143" t="str">
        <f>IF(B35="","",VLOOKUP(MONTH(B35),Справочники!$X$4:$Y$15,2,0)&amp;"_"&amp;YEAR(B35))</f>
        <v/>
      </c>
      <c r="D35" s="37"/>
      <c r="E35" s="37"/>
      <c r="F35" s="38"/>
      <c r="G35" s="220" t="str">
        <f t="shared" si="4"/>
        <v/>
      </c>
      <c r="H35" s="220" t="str">
        <f t="shared" si="5"/>
        <v/>
      </c>
      <c r="I35" s="221"/>
      <c r="J35" s="37"/>
      <c r="K35" s="37"/>
    </row>
    <row r="36" spans="1:11" hidden="1" x14ac:dyDescent="0.2">
      <c r="A36" s="137" t="str">
        <f>IF(ISERROR(VLOOKUP(D36,БДР!A:A,1,0))=TRUE,"не попало в БДР","ok")</f>
        <v>не попало в БДР</v>
      </c>
      <c r="B36" s="36"/>
      <c r="C36" s="143" t="str">
        <f>IF(B36="","",VLOOKUP(MONTH(B36),Справочники!$X$4:$Y$15,2,0)&amp;"_"&amp;YEAR(B36))</f>
        <v/>
      </c>
      <c r="D36" s="37"/>
      <c r="E36" s="37"/>
      <c r="F36" s="38"/>
      <c r="G36" s="220" t="str">
        <f t="shared" si="4"/>
        <v/>
      </c>
      <c r="H36" s="220" t="str">
        <f t="shared" si="5"/>
        <v/>
      </c>
      <c r="I36" s="221"/>
      <c r="J36" s="37"/>
      <c r="K36" s="37"/>
    </row>
    <row r="37" spans="1:11" hidden="1" x14ac:dyDescent="0.2">
      <c r="A37" s="137" t="str">
        <f>IF(ISERROR(VLOOKUP(D37,БДР!A:A,1,0))=TRUE,"не попало в БДР","ok")</f>
        <v>не попало в БДР</v>
      </c>
      <c r="B37" s="36"/>
      <c r="C37" s="143" t="str">
        <f>IF(B37="","",VLOOKUP(MONTH(B37),Справочники!$X$4:$Y$15,2,0)&amp;"_"&amp;YEAR(B37))</f>
        <v/>
      </c>
      <c r="D37" s="37"/>
      <c r="E37" s="37"/>
      <c r="F37" s="38"/>
      <c r="G37" s="220" t="str">
        <f t="shared" si="4"/>
        <v/>
      </c>
      <c r="H37" s="220" t="str">
        <f t="shared" si="5"/>
        <v/>
      </c>
      <c r="I37" s="221"/>
      <c r="J37" s="37"/>
      <c r="K37" s="37"/>
    </row>
    <row r="38" spans="1:11" hidden="1" x14ac:dyDescent="0.2">
      <c r="A38" s="137" t="str">
        <f>IF(ISERROR(VLOOKUP(D38,БДР!A:A,1,0))=TRUE,"не попало в БДР","ok")</f>
        <v>не попало в БДР</v>
      </c>
      <c r="B38" s="36"/>
      <c r="C38" s="143" t="str">
        <f>IF(B38="","",VLOOKUP(MONTH(B38),Справочники!$X$4:$Y$15,2,0)&amp;"_"&amp;YEAR(B38))</f>
        <v/>
      </c>
      <c r="D38" s="37"/>
      <c r="E38" s="37"/>
      <c r="F38" s="38"/>
      <c r="G38" s="220" t="str">
        <f t="shared" si="4"/>
        <v/>
      </c>
      <c r="H38" s="220" t="str">
        <f t="shared" si="5"/>
        <v/>
      </c>
      <c r="I38" s="221"/>
      <c r="J38" s="37"/>
      <c r="K38" s="37"/>
    </row>
    <row r="39" spans="1:11" hidden="1" x14ac:dyDescent="0.2">
      <c r="A39" s="137" t="str">
        <f>IF(ISERROR(VLOOKUP(D39,БДР!A:A,1,0))=TRUE,"не попало в БДР","ok")</f>
        <v>не попало в БДР</v>
      </c>
      <c r="B39" s="36"/>
      <c r="C39" s="143" t="str">
        <f>IF(B39="","",VLOOKUP(MONTH(B39),Справочники!$X$4:$Y$15,2,0)&amp;"_"&amp;YEAR(B39))</f>
        <v/>
      </c>
      <c r="D39" s="37"/>
      <c r="E39" s="37"/>
      <c r="F39" s="38"/>
      <c r="G39" s="220" t="str">
        <f t="shared" si="4"/>
        <v/>
      </c>
      <c r="H39" s="220" t="str">
        <f t="shared" si="5"/>
        <v/>
      </c>
      <c r="I39" s="221"/>
      <c r="J39" s="37"/>
      <c r="K39" s="37"/>
    </row>
    <row r="40" spans="1:11" hidden="1" x14ac:dyDescent="0.2">
      <c r="A40" s="137" t="str">
        <f>IF(ISERROR(VLOOKUP(D40,БДР!A:A,1,0))=TRUE,"не попало в БДР","ok")</f>
        <v>не попало в БДР</v>
      </c>
      <c r="B40" s="36"/>
      <c r="C40" s="143" t="str">
        <f>IF(B40="","",VLOOKUP(MONTH(B40),Справочники!$X$4:$Y$15,2,0)&amp;"_"&amp;YEAR(B40))</f>
        <v/>
      </c>
      <c r="D40" s="37"/>
      <c r="E40" s="37"/>
      <c r="F40" s="38"/>
      <c r="G40" s="220" t="str">
        <f t="shared" si="4"/>
        <v/>
      </c>
      <c r="H40" s="220" t="str">
        <f t="shared" si="5"/>
        <v/>
      </c>
      <c r="I40" s="221"/>
      <c r="J40" s="37"/>
      <c r="K40" s="37"/>
    </row>
    <row r="41" spans="1:11" hidden="1" x14ac:dyDescent="0.2">
      <c r="A41" s="137" t="str">
        <f>IF(ISERROR(VLOOKUP(D41,БДР!A:A,1,0))=TRUE,"не попало в БДР","ok")</f>
        <v>не попало в БДР</v>
      </c>
      <c r="B41" s="36"/>
      <c r="C41" s="143" t="str">
        <f>IF(B41="","",VLOOKUP(MONTH(B41),Справочники!$X$4:$Y$15,2,0)&amp;"_"&amp;YEAR(B41))</f>
        <v/>
      </c>
      <c r="D41" s="37"/>
      <c r="E41" s="37"/>
      <c r="F41" s="38"/>
      <c r="G41" s="220" t="str">
        <f t="shared" si="4"/>
        <v/>
      </c>
      <c r="H41" s="220" t="str">
        <f t="shared" si="5"/>
        <v/>
      </c>
      <c r="I41" s="221"/>
      <c r="J41" s="37"/>
      <c r="K41" s="37"/>
    </row>
    <row r="42" spans="1:11" hidden="1" x14ac:dyDescent="0.2">
      <c r="A42" s="137" t="str">
        <f>IF(ISERROR(VLOOKUP(D42,БДР!A:A,1,0))=TRUE,"не попало в БДР","ok")</f>
        <v>не попало в БДР</v>
      </c>
      <c r="B42" s="36"/>
      <c r="C42" s="143" t="str">
        <f>IF(B42="","",VLOOKUP(MONTH(B42),Справочники!$X$4:$Y$15,2,0)&amp;"_"&amp;YEAR(B42))</f>
        <v/>
      </c>
      <c r="D42" s="37"/>
      <c r="E42" s="37"/>
      <c r="F42" s="38"/>
      <c r="G42" s="220" t="str">
        <f t="shared" si="4"/>
        <v/>
      </c>
      <c r="H42" s="220" t="str">
        <f t="shared" si="5"/>
        <v/>
      </c>
      <c r="I42" s="221"/>
      <c r="J42" s="37"/>
      <c r="K42" s="37"/>
    </row>
    <row r="43" spans="1:11" hidden="1" x14ac:dyDescent="0.2">
      <c r="A43" s="137" t="str">
        <f>IF(ISERROR(VLOOKUP(D43,БДР!A:A,1,0))=TRUE,"не попало в БДР","ok")</f>
        <v>не попало в БДР</v>
      </c>
      <c r="B43" s="36"/>
      <c r="C43" s="143" t="str">
        <f>IF(B43="","",VLOOKUP(MONTH(B43),Справочники!$X$4:$Y$15,2,0)&amp;"_"&amp;YEAR(B43))</f>
        <v/>
      </c>
      <c r="D43" s="37"/>
      <c r="E43" s="37"/>
      <c r="F43" s="38"/>
      <c r="G43" s="220" t="str">
        <f t="shared" si="2"/>
        <v/>
      </c>
      <c r="H43" s="220" t="str">
        <f t="shared" si="3"/>
        <v/>
      </c>
      <c r="I43" s="221"/>
      <c r="J43" s="37"/>
      <c r="K43" s="37"/>
    </row>
    <row r="44" spans="1:11" hidden="1" x14ac:dyDescent="0.2">
      <c r="A44" s="137" t="str">
        <f>IF(ISERROR(VLOOKUP(D44,БДР!A:A,1,0))=TRUE,"не попало в БДР","ok")</f>
        <v>не попало в БДР</v>
      </c>
      <c r="B44" s="36"/>
      <c r="C44" s="143" t="str">
        <f>IF(B44="","",VLOOKUP(MONTH(B44),Справочники!$X$4:$Y$15,2,0)&amp;"_"&amp;YEAR(B44))</f>
        <v/>
      </c>
      <c r="D44" s="37"/>
      <c r="E44" s="37"/>
      <c r="F44" s="38"/>
      <c r="G44" s="220" t="str">
        <f t="shared" si="2"/>
        <v/>
      </c>
      <c r="H44" s="220" t="str">
        <f t="shared" si="3"/>
        <v/>
      </c>
      <c r="I44" s="221"/>
      <c r="J44" s="37"/>
      <c r="K44" s="37"/>
    </row>
    <row r="45" spans="1:11" hidden="1" x14ac:dyDescent="0.2">
      <c r="A45" s="137" t="str">
        <f>IF(ISERROR(VLOOKUP(D45,БДР!A:A,1,0))=TRUE,"не попало в БДР","ok")</f>
        <v>не попало в БДР</v>
      </c>
      <c r="B45" s="36"/>
      <c r="C45" s="143" t="str">
        <f>IF(B45="","",VLOOKUP(MONTH(B45),Справочники!$X$4:$Y$15,2,0)&amp;"_"&amp;YEAR(B45))</f>
        <v/>
      </c>
      <c r="D45" s="37"/>
      <c r="E45" s="37"/>
      <c r="F45" s="38"/>
      <c r="G45" s="220" t="str">
        <f t="shared" si="2"/>
        <v/>
      </c>
      <c r="H45" s="220" t="str">
        <f t="shared" si="3"/>
        <v/>
      </c>
      <c r="I45" s="221"/>
      <c r="J45" s="37"/>
      <c r="K45" s="37"/>
    </row>
    <row r="46" spans="1:11" hidden="1" x14ac:dyDescent="0.2">
      <c r="A46" s="137" t="str">
        <f>IF(ISERROR(VLOOKUP(D46,БДР!A:A,1,0))=TRUE,"не попало в БДР","ok")</f>
        <v>не попало в БДР</v>
      </c>
      <c r="B46" s="36"/>
      <c r="C46" s="143" t="str">
        <f>IF(B46="","",VLOOKUP(MONTH(B46),Справочники!$X$4:$Y$15,2,0)&amp;"_"&amp;YEAR(B46))</f>
        <v/>
      </c>
      <c r="D46" s="37"/>
      <c r="E46" s="37"/>
      <c r="F46" s="38"/>
      <c r="G46" s="220" t="str">
        <f t="shared" si="2"/>
        <v/>
      </c>
      <c r="H46" s="220" t="str">
        <f t="shared" si="3"/>
        <v/>
      </c>
      <c r="I46" s="221"/>
      <c r="J46" s="37"/>
      <c r="K46" s="37"/>
    </row>
    <row r="47" spans="1:11" hidden="1" x14ac:dyDescent="0.2">
      <c r="A47" s="137" t="str">
        <f>IF(ISERROR(VLOOKUP(D47,БДР!A:A,1,0))=TRUE,"не попало в БДР","ok")</f>
        <v>не попало в БДР</v>
      </c>
      <c r="B47" s="36"/>
      <c r="C47" s="143" t="str">
        <f>IF(B47="","",VLOOKUP(MONTH(B47),Справочники!$X$4:$Y$15,2,0)&amp;"_"&amp;YEAR(B47))</f>
        <v/>
      </c>
      <c r="D47" s="37"/>
      <c r="E47" s="37"/>
      <c r="F47" s="38"/>
      <c r="G47" s="220" t="str">
        <f t="shared" si="2"/>
        <v/>
      </c>
      <c r="H47" s="220" t="str">
        <f t="shared" si="3"/>
        <v/>
      </c>
      <c r="I47" s="221"/>
      <c r="J47" s="37"/>
      <c r="K47" s="37"/>
    </row>
    <row r="48" spans="1:11" hidden="1" x14ac:dyDescent="0.2">
      <c r="A48" s="137" t="str">
        <f>IF(ISERROR(VLOOKUP(D48,БДР!A:A,1,0))=TRUE,"не попало в БДР","ok")</f>
        <v>не попало в БДР</v>
      </c>
      <c r="B48" s="36"/>
      <c r="C48" s="143" t="str">
        <f>IF(B48="","",VLOOKUP(MONTH(B48),Справочники!$X$4:$Y$15,2,0)&amp;"_"&amp;YEAR(B48))</f>
        <v/>
      </c>
      <c r="D48" s="37"/>
      <c r="E48" s="37"/>
      <c r="F48" s="38"/>
      <c r="G48" s="220" t="str">
        <f t="shared" si="2"/>
        <v/>
      </c>
      <c r="H48" s="220" t="str">
        <f t="shared" si="3"/>
        <v/>
      </c>
      <c r="I48" s="221"/>
      <c r="J48" s="37"/>
      <c r="K48" s="37"/>
    </row>
    <row r="49" spans="1:11" hidden="1" x14ac:dyDescent="0.2">
      <c r="A49" s="137" t="str">
        <f>IF(ISERROR(VLOOKUP(D49,БДР!A:A,1,0))=TRUE,"не попало в БДР","ok")</f>
        <v>не попало в БДР</v>
      </c>
      <c r="B49" s="36"/>
      <c r="C49" s="143" t="str">
        <f>IF(B49="","",VLOOKUP(MONTH(B49),Справочники!$X$4:$Y$15,2,0)&amp;"_"&amp;YEAR(B49))</f>
        <v/>
      </c>
      <c r="D49" s="37"/>
      <c r="E49" s="37"/>
      <c r="F49" s="38"/>
      <c r="G49" s="220" t="str">
        <f t="shared" si="2"/>
        <v/>
      </c>
      <c r="H49" s="220" t="str">
        <f t="shared" si="3"/>
        <v/>
      </c>
      <c r="I49" s="221"/>
      <c r="J49" s="37"/>
      <c r="K49" s="37"/>
    </row>
    <row r="50" spans="1:11" hidden="1" x14ac:dyDescent="0.2">
      <c r="A50" s="137" t="str">
        <f>IF(ISERROR(VLOOKUP(D50,БДР!A:A,1,0))=TRUE,"не попало в БДР","ok")</f>
        <v>не попало в БДР</v>
      </c>
      <c r="B50" s="36"/>
      <c r="C50" s="143" t="str">
        <f>IF(B50="","",VLOOKUP(MONTH(B50),Справочники!$X$4:$Y$15,2,0)&amp;"_"&amp;YEAR(B50))</f>
        <v/>
      </c>
      <c r="D50" s="37"/>
      <c r="E50" s="37"/>
      <c r="F50" s="38"/>
      <c r="G50" s="220" t="str">
        <f t="shared" si="2"/>
        <v/>
      </c>
      <c r="H50" s="220" t="str">
        <f t="shared" si="3"/>
        <v/>
      </c>
      <c r="I50" s="221"/>
      <c r="J50" s="37"/>
      <c r="K50" s="37"/>
    </row>
    <row r="51" spans="1:11" hidden="1" x14ac:dyDescent="0.2">
      <c r="A51" s="137" t="str">
        <f>IF(ISERROR(VLOOKUP(D51,БДР!A:A,1,0))=TRUE,"не попало в БДР","ok")</f>
        <v>не попало в БДР</v>
      </c>
      <c r="B51" s="36"/>
      <c r="C51" s="143" t="str">
        <f>IF(B51="","",VLOOKUP(MONTH(B51),Справочники!$X$4:$Y$15,2,0)&amp;"_"&amp;YEAR(B51))</f>
        <v/>
      </c>
      <c r="D51" s="37"/>
      <c r="E51" s="37"/>
      <c r="F51" s="38"/>
      <c r="G51" s="220" t="str">
        <f t="shared" si="2"/>
        <v/>
      </c>
      <c r="H51" s="220" t="str">
        <f t="shared" si="3"/>
        <v/>
      </c>
      <c r="I51" s="221"/>
      <c r="J51" s="37"/>
      <c r="K51" s="37"/>
    </row>
    <row r="52" spans="1:11" hidden="1" x14ac:dyDescent="0.2">
      <c r="A52" s="137" t="str">
        <f>IF(ISERROR(VLOOKUP(D52,БДР!A:A,1,0))=TRUE,"не попало в БДР","ok")</f>
        <v>не попало в БДР</v>
      </c>
      <c r="B52" s="36"/>
      <c r="C52" s="143" t="str">
        <f>IF(B52="","",VLOOKUP(MONTH(B52),Справочники!$X$4:$Y$15,2,0)&amp;"_"&amp;YEAR(B52))</f>
        <v/>
      </c>
      <c r="D52" s="37"/>
      <c r="E52" s="37"/>
      <c r="F52" s="38"/>
      <c r="G52" s="220" t="str">
        <f t="shared" si="2"/>
        <v/>
      </c>
      <c r="H52" s="220" t="str">
        <f t="shared" si="3"/>
        <v/>
      </c>
      <c r="I52" s="221"/>
      <c r="J52" s="37"/>
      <c r="K52" s="37"/>
    </row>
    <row r="53" spans="1:11" hidden="1" x14ac:dyDescent="0.2">
      <c r="A53" s="137" t="str">
        <f>IF(ISERROR(VLOOKUP(D53,БДР!A:A,1,0))=TRUE,"не попало в БДР","ok")</f>
        <v>не попало в БДР</v>
      </c>
      <c r="B53" s="36"/>
      <c r="C53" s="143" t="str">
        <f>IF(B53="","",VLOOKUP(MONTH(B53),Справочники!$X$4:$Y$15,2,0)&amp;"_"&amp;YEAR(B53))</f>
        <v/>
      </c>
      <c r="D53" s="37"/>
      <c r="E53" s="37"/>
      <c r="F53" s="38"/>
      <c r="G53" s="220" t="str">
        <f t="shared" si="2"/>
        <v/>
      </c>
      <c r="H53" s="220" t="str">
        <f t="shared" si="3"/>
        <v/>
      </c>
      <c r="I53" s="221"/>
      <c r="J53" s="37"/>
      <c r="K53" s="37"/>
    </row>
    <row r="54" spans="1:11" hidden="1" x14ac:dyDescent="0.2">
      <c r="A54" s="137" t="str">
        <f>IF(ISERROR(VLOOKUP(D54,БДР!A:A,1,0))=TRUE,"не попало в БДР","ok")</f>
        <v>не попало в БДР</v>
      </c>
      <c r="B54" s="36"/>
      <c r="C54" s="143" t="str">
        <f>IF(B54="","",VLOOKUP(MONTH(B54),Справочники!$X$4:$Y$15,2,0)&amp;"_"&amp;YEAR(B54))</f>
        <v/>
      </c>
      <c r="D54" s="37"/>
      <c r="E54" s="37"/>
      <c r="F54" s="38"/>
      <c r="G54" s="220" t="str">
        <f t="shared" si="2"/>
        <v/>
      </c>
      <c r="H54" s="220" t="str">
        <f t="shared" si="3"/>
        <v/>
      </c>
      <c r="I54" s="221"/>
      <c r="J54" s="37"/>
      <c r="K54" s="37"/>
    </row>
    <row r="55" spans="1:11" hidden="1" x14ac:dyDescent="0.2">
      <c r="A55" s="137" t="str">
        <f>IF(ISERROR(VLOOKUP(D55,БДР!A:A,1,0))=TRUE,"не попало в БДР","ok")</f>
        <v>не попало в БДР</v>
      </c>
      <c r="B55" s="36"/>
      <c r="C55" s="143" t="str">
        <f>IF(B55="","",VLOOKUP(MONTH(B55),Справочники!$X$4:$Y$15,2,0)&amp;"_"&amp;YEAR(B55))</f>
        <v/>
      </c>
      <c r="D55" s="37"/>
      <c r="E55" s="37"/>
      <c r="F55" s="38"/>
      <c r="G55" s="220" t="str">
        <f t="shared" si="2"/>
        <v/>
      </c>
      <c r="H55" s="220" t="str">
        <f t="shared" si="3"/>
        <v/>
      </c>
      <c r="I55" s="221"/>
      <c r="J55" s="37"/>
      <c r="K55" s="37"/>
    </row>
    <row r="56" spans="1:11" hidden="1" x14ac:dyDescent="0.2">
      <c r="A56" s="137" t="str">
        <f>IF(ISERROR(VLOOKUP(D56,БДР!A:A,1,0))=TRUE,"не попало в БДР","ok")</f>
        <v>не попало в БДР</v>
      </c>
      <c r="B56" s="36"/>
      <c r="C56" s="143" t="str">
        <f>IF(B56="","",VLOOKUP(MONTH(B56),Справочники!$X$4:$Y$15,2,0)&amp;"_"&amp;YEAR(B56))</f>
        <v/>
      </c>
      <c r="D56" s="37"/>
      <c r="E56" s="37"/>
      <c r="F56" s="38"/>
      <c r="G56" s="220" t="str">
        <f t="shared" si="2"/>
        <v/>
      </c>
      <c r="H56" s="220" t="str">
        <f t="shared" si="3"/>
        <v/>
      </c>
      <c r="I56" s="221"/>
      <c r="J56" s="37"/>
      <c r="K56" s="37"/>
    </row>
    <row r="57" spans="1:11" hidden="1" x14ac:dyDescent="0.2">
      <c r="A57" s="137" t="str">
        <f>IF(ISERROR(VLOOKUP(D57,БДР!A:A,1,0))=TRUE,"не попало в БДР","ok")</f>
        <v>не попало в БДР</v>
      </c>
      <c r="B57" s="36"/>
      <c r="C57" s="143" t="str">
        <f>IF(B57="","",VLOOKUP(MONTH(B57),Справочники!$X$4:$Y$15,2,0)&amp;"_"&amp;YEAR(B57))</f>
        <v/>
      </c>
      <c r="D57" s="37"/>
      <c r="E57" s="37"/>
      <c r="F57" s="38"/>
      <c r="G57" s="220" t="str">
        <f t="shared" si="2"/>
        <v/>
      </c>
      <c r="H57" s="220" t="str">
        <f t="shared" si="3"/>
        <v/>
      </c>
      <c r="I57" s="221"/>
      <c r="J57" s="37"/>
      <c r="K57" s="37"/>
    </row>
    <row r="58" spans="1:11" hidden="1" x14ac:dyDescent="0.2">
      <c r="A58" s="137" t="str">
        <f>IF(ISERROR(VLOOKUP(D58,БДР!A:A,1,0))=TRUE,"не попало в БДР","ok")</f>
        <v>не попало в БДР</v>
      </c>
      <c r="B58" s="36"/>
      <c r="C58" s="143" t="str">
        <f>IF(B58="","",VLOOKUP(MONTH(B58),Справочники!$X$4:$Y$15,2,0)&amp;"_"&amp;YEAR(B58))</f>
        <v/>
      </c>
      <c r="D58" s="37"/>
      <c r="E58" s="37"/>
      <c r="F58" s="38"/>
      <c r="G58" s="220" t="str">
        <f t="shared" si="2"/>
        <v/>
      </c>
      <c r="H58" s="220" t="str">
        <f t="shared" si="3"/>
        <v/>
      </c>
      <c r="I58" s="221"/>
      <c r="J58" s="37"/>
      <c r="K58" s="37"/>
    </row>
    <row r="59" spans="1:11" hidden="1" x14ac:dyDescent="0.2">
      <c r="A59" s="137" t="str">
        <f>IF(ISERROR(VLOOKUP(D59,БДР!A:A,1,0))=TRUE,"не попало в БДР","ok")</f>
        <v>не попало в БДР</v>
      </c>
      <c r="B59" s="36"/>
      <c r="C59" s="143" t="str">
        <f>IF(B59="","",VLOOKUP(MONTH(B59),Справочники!$X$4:$Y$15,2,0)&amp;"_"&amp;YEAR(B59))</f>
        <v/>
      </c>
      <c r="D59" s="37"/>
      <c r="E59" s="37"/>
      <c r="F59" s="38"/>
      <c r="G59" s="220" t="str">
        <f t="shared" si="2"/>
        <v/>
      </c>
      <c r="H59" s="220" t="str">
        <f t="shared" si="3"/>
        <v/>
      </c>
      <c r="I59" s="221"/>
      <c r="J59" s="37"/>
      <c r="K59" s="37"/>
    </row>
    <row r="60" spans="1:11" hidden="1" x14ac:dyDescent="0.2">
      <c r="A60" s="137" t="str">
        <f>IF(ISERROR(VLOOKUP(D60,БДР!A:A,1,0))=TRUE,"не попало в БДР","ok")</f>
        <v>не попало в БДР</v>
      </c>
      <c r="B60" s="36"/>
      <c r="C60" s="143" t="str">
        <f>IF(B60="","",VLOOKUP(MONTH(B60),Справочники!$X$4:$Y$15,2,0)&amp;"_"&amp;YEAR(B60))</f>
        <v/>
      </c>
      <c r="D60" s="37"/>
      <c r="E60" s="37"/>
      <c r="F60" s="38"/>
      <c r="G60" s="220" t="str">
        <f t="shared" si="2"/>
        <v/>
      </c>
      <c r="H60" s="220" t="str">
        <f t="shared" si="3"/>
        <v/>
      </c>
      <c r="I60" s="221"/>
      <c r="J60" s="37"/>
      <c r="K60" s="37"/>
    </row>
    <row r="61" spans="1:11" hidden="1" x14ac:dyDescent="0.2">
      <c r="A61" s="137" t="str">
        <f>IF(ISERROR(VLOOKUP(D61,БДР!A:A,1,0))=TRUE,"не попало в БДР","ok")</f>
        <v>не попало в БДР</v>
      </c>
      <c r="B61" s="36"/>
      <c r="C61" s="143" t="str">
        <f>IF(B61="","",VLOOKUP(MONTH(B61),Справочники!$X$4:$Y$15,2,0)&amp;"_"&amp;YEAR(B61))</f>
        <v/>
      </c>
      <c r="D61" s="37"/>
      <c r="E61" s="37"/>
      <c r="F61" s="38"/>
      <c r="G61" s="220" t="str">
        <f t="shared" si="2"/>
        <v/>
      </c>
      <c r="H61" s="220" t="str">
        <f t="shared" si="3"/>
        <v/>
      </c>
      <c r="I61" s="221"/>
      <c r="J61" s="37"/>
      <c r="K61" s="37"/>
    </row>
    <row r="62" spans="1:11" hidden="1" x14ac:dyDescent="0.2">
      <c r="A62" s="137" t="str">
        <f>IF(ISERROR(VLOOKUP(D62,БДР!A:A,1,0))=TRUE,"не попало в БДР","ok")</f>
        <v>не попало в БДР</v>
      </c>
      <c r="B62" s="36"/>
      <c r="C62" s="143" t="str">
        <f>IF(B62="","",VLOOKUP(MONTH(B62),Справочники!$X$4:$Y$15,2,0)&amp;"_"&amp;YEAR(B62))</f>
        <v/>
      </c>
      <c r="D62" s="37"/>
      <c r="E62" s="37"/>
      <c r="F62" s="38"/>
      <c r="G62" s="220" t="str">
        <f t="shared" si="2"/>
        <v/>
      </c>
      <c r="H62" s="220" t="str">
        <f t="shared" si="3"/>
        <v/>
      </c>
      <c r="I62" s="221"/>
      <c r="J62" s="37"/>
      <c r="K62" s="37"/>
    </row>
    <row r="63" spans="1:11" hidden="1" x14ac:dyDescent="0.2">
      <c r="A63" s="137" t="str">
        <f>IF(ISERROR(VLOOKUP(D63,БДР!A:A,1,0))=TRUE,"не попало в БДР","ok")</f>
        <v>не попало в БДР</v>
      </c>
      <c r="B63" s="36"/>
      <c r="C63" s="143" t="str">
        <f>IF(B63="","",VLOOKUP(MONTH(B63),Справочники!$X$4:$Y$15,2,0)&amp;"_"&amp;YEAR(B63))</f>
        <v/>
      </c>
      <c r="D63" s="37"/>
      <c r="E63" s="37"/>
      <c r="F63" s="38"/>
      <c r="G63" s="220" t="str">
        <f t="shared" si="2"/>
        <v/>
      </c>
      <c r="H63" s="220" t="str">
        <f t="shared" si="3"/>
        <v/>
      </c>
      <c r="I63" s="221"/>
      <c r="J63" s="37"/>
      <c r="K63" s="37"/>
    </row>
    <row r="64" spans="1:11" hidden="1" x14ac:dyDescent="0.2">
      <c r="A64" s="137" t="str">
        <f>IF(ISERROR(VLOOKUP(D64,БДР!A:A,1,0))=TRUE,"не попало в БДР","ok")</f>
        <v>не попало в БДР</v>
      </c>
      <c r="B64" s="36"/>
      <c r="C64" s="143" t="str">
        <f>IF(B64="","",VLOOKUP(MONTH(B64),Справочники!$X$4:$Y$15,2,0)&amp;"_"&amp;YEAR(B64))</f>
        <v/>
      </c>
      <c r="D64" s="37"/>
      <c r="E64" s="37"/>
      <c r="F64" s="38"/>
      <c r="G64" s="220" t="str">
        <f t="shared" si="2"/>
        <v/>
      </c>
      <c r="H64" s="220" t="str">
        <f t="shared" si="3"/>
        <v/>
      </c>
      <c r="I64" s="221"/>
      <c r="J64" s="37"/>
      <c r="K64" s="37"/>
    </row>
    <row r="65" spans="1:11" hidden="1" x14ac:dyDescent="0.2">
      <c r="A65" s="137" t="str">
        <f>IF(ISERROR(VLOOKUP(D65,БДР!A:A,1,0))=TRUE,"не попало в БДР","ok")</f>
        <v>не попало в БДР</v>
      </c>
      <c r="B65" s="36"/>
      <c r="C65" s="143" t="str">
        <f>IF(B65="","",VLOOKUP(MONTH(B65),Справочники!$X$4:$Y$15,2,0)&amp;"_"&amp;YEAR(B65))</f>
        <v/>
      </c>
      <c r="D65" s="37"/>
      <c r="E65" s="37"/>
      <c r="F65" s="38"/>
      <c r="G65" s="220" t="str">
        <f t="shared" si="2"/>
        <v/>
      </c>
      <c r="H65" s="220" t="str">
        <f t="shared" si="3"/>
        <v/>
      </c>
      <c r="I65" s="221"/>
      <c r="J65" s="37"/>
      <c r="K65" s="37"/>
    </row>
    <row r="66" spans="1:11" hidden="1" x14ac:dyDescent="0.2">
      <c r="A66" s="137" t="str">
        <f>IF(ISERROR(VLOOKUP(D66,БДР!A:A,1,0))=TRUE,"не попало в БДР","ok")</f>
        <v>не попало в БДР</v>
      </c>
      <c r="B66" s="36"/>
      <c r="C66" s="143" t="str">
        <f>IF(B66="","",VLOOKUP(MONTH(B66),Справочники!$X$4:$Y$15,2,0)&amp;"_"&amp;YEAR(B66))</f>
        <v/>
      </c>
      <c r="D66" s="37"/>
      <c r="E66" s="37"/>
      <c r="F66" s="38"/>
      <c r="G66" s="220" t="str">
        <f t="shared" si="2"/>
        <v/>
      </c>
      <c r="H66" s="220" t="str">
        <f t="shared" si="3"/>
        <v/>
      </c>
      <c r="I66" s="221"/>
      <c r="J66" s="37"/>
      <c r="K66" s="37"/>
    </row>
    <row r="67" spans="1:11" hidden="1" x14ac:dyDescent="0.2">
      <c r="A67" s="137" t="str">
        <f>IF(ISERROR(VLOOKUP(D67,БДР!A:A,1,0))=TRUE,"не попало в БДР","ok")</f>
        <v>не попало в БДР</v>
      </c>
      <c r="B67" s="36"/>
      <c r="C67" s="143" t="str">
        <f>IF(B67="","",VLOOKUP(MONTH(B67),Справочники!$X$4:$Y$15,2,0)&amp;"_"&amp;YEAR(B67))</f>
        <v/>
      </c>
      <c r="D67" s="37"/>
      <c r="E67" s="37"/>
      <c r="F67" s="38"/>
      <c r="G67" s="220" t="str">
        <f t="shared" si="2"/>
        <v/>
      </c>
      <c r="H67" s="220" t="str">
        <f t="shared" si="3"/>
        <v/>
      </c>
      <c r="I67" s="221"/>
      <c r="J67" s="37"/>
      <c r="K67" s="37"/>
    </row>
    <row r="68" spans="1:11" hidden="1" x14ac:dyDescent="0.2">
      <c r="A68" s="137" t="str">
        <f>IF(ISERROR(VLOOKUP(D68,БДР!A:A,1,0))=TRUE,"не попало в БДР","ok")</f>
        <v>не попало в БДР</v>
      </c>
      <c r="B68" s="36"/>
      <c r="C68" s="143" t="str">
        <f>IF(B68="","",VLOOKUP(MONTH(B68),Справочники!$X$4:$Y$15,2,0)&amp;"_"&amp;YEAR(B68))</f>
        <v/>
      </c>
      <c r="D68" s="37"/>
      <c r="E68" s="37"/>
      <c r="F68" s="38"/>
      <c r="G68" s="220" t="str">
        <f t="shared" si="2"/>
        <v/>
      </c>
      <c r="H68" s="220" t="str">
        <f t="shared" si="3"/>
        <v/>
      </c>
      <c r="I68" s="221"/>
      <c r="J68" s="37"/>
      <c r="K68" s="37"/>
    </row>
    <row r="69" spans="1:11" hidden="1" x14ac:dyDescent="0.2">
      <c r="A69" s="137" t="str">
        <f>IF(ISERROR(VLOOKUP(D69,БДР!A:A,1,0))=TRUE,"не попало в БДР","ok")</f>
        <v>не попало в БДР</v>
      </c>
      <c r="B69" s="36"/>
      <c r="C69" s="143" t="str">
        <f>IF(B69="","",VLOOKUP(MONTH(B69),Справочники!$X$4:$Y$15,2,0)&amp;"_"&amp;YEAR(B69))</f>
        <v/>
      </c>
      <c r="D69" s="37"/>
      <c r="E69" s="37"/>
      <c r="F69" s="38"/>
      <c r="G69" s="220" t="str">
        <f t="shared" si="2"/>
        <v/>
      </c>
      <c r="H69" s="220" t="str">
        <f t="shared" si="3"/>
        <v/>
      </c>
      <c r="I69" s="221"/>
      <c r="J69" s="37"/>
      <c r="K69" s="37"/>
    </row>
    <row r="70" spans="1:11" hidden="1" x14ac:dyDescent="0.2">
      <c r="A70" s="137" t="str">
        <f>IF(ISERROR(VLOOKUP(D70,БДР!A:A,1,0))=TRUE,"не попало в БДР","ok")</f>
        <v>не попало в БДР</v>
      </c>
      <c r="B70" s="36"/>
      <c r="C70" s="143" t="str">
        <f>IF(B70="","",VLOOKUP(MONTH(B70),Справочники!$X$4:$Y$15,2,0)&amp;"_"&amp;YEAR(B70))</f>
        <v/>
      </c>
      <c r="D70" s="37"/>
      <c r="E70" s="37"/>
      <c r="F70" s="38"/>
      <c r="G70" s="220" t="str">
        <f t="shared" si="2"/>
        <v/>
      </c>
      <c r="H70" s="220" t="str">
        <f t="shared" si="3"/>
        <v/>
      </c>
      <c r="I70" s="221"/>
      <c r="J70" s="37"/>
      <c r="K70" s="37"/>
    </row>
    <row r="71" spans="1:11" hidden="1" x14ac:dyDescent="0.2">
      <c r="A71" s="137" t="str">
        <f>IF(ISERROR(VLOOKUP(D71,БДР!A:A,1,0))=TRUE,"не попало в БДР","ok")</f>
        <v>не попало в БДР</v>
      </c>
      <c r="B71" s="36"/>
      <c r="C71" s="143" t="str">
        <f>IF(B71="","",VLOOKUP(MONTH(B71),Справочники!$X$4:$Y$15,2,0)&amp;"_"&amp;YEAR(B71))</f>
        <v/>
      </c>
      <c r="D71" s="37"/>
      <c r="E71" s="37"/>
      <c r="F71" s="38"/>
      <c r="G71" s="220" t="str">
        <f t="shared" si="2"/>
        <v/>
      </c>
      <c r="H71" s="220" t="str">
        <f t="shared" si="3"/>
        <v/>
      </c>
      <c r="I71" s="221"/>
      <c r="J71" s="37"/>
      <c r="K71" s="37"/>
    </row>
    <row r="72" spans="1:11" hidden="1" x14ac:dyDescent="0.2">
      <c r="A72" s="137" t="str">
        <f>IF(ISERROR(VLOOKUP(D72,БДР!A:A,1,0))=TRUE,"не попало в БДР","ok")</f>
        <v>не попало в БДР</v>
      </c>
      <c r="B72" s="36"/>
      <c r="C72" s="143" t="str">
        <f>IF(B72="","",VLOOKUP(MONTH(B72),Справочники!$X$4:$Y$15,2,0)&amp;"_"&amp;YEAR(B72))</f>
        <v/>
      </c>
      <c r="D72" s="37"/>
      <c r="E72" s="37"/>
      <c r="F72" s="38"/>
      <c r="G72" s="220" t="str">
        <f t="shared" si="2"/>
        <v/>
      </c>
      <c r="H72" s="220" t="str">
        <f t="shared" si="3"/>
        <v/>
      </c>
      <c r="I72" s="221"/>
      <c r="J72" s="37"/>
      <c r="K72" s="37"/>
    </row>
    <row r="73" spans="1:11" hidden="1" x14ac:dyDescent="0.2">
      <c r="A73" s="137" t="str">
        <f>IF(ISERROR(VLOOKUP(D73,БДР!A:A,1,0))=TRUE,"не попало в БДР","ok")</f>
        <v>не попало в БДР</v>
      </c>
      <c r="B73" s="36"/>
      <c r="C73" s="143" t="str">
        <f>IF(B73="","",VLOOKUP(MONTH(B73),Справочники!$X$4:$Y$15,2,0)&amp;"_"&amp;YEAR(B73))</f>
        <v/>
      </c>
      <c r="D73" s="37"/>
      <c r="E73" s="37"/>
      <c r="F73" s="38"/>
      <c r="G73" s="220" t="str">
        <f t="shared" si="2"/>
        <v/>
      </c>
      <c r="H73" s="220" t="str">
        <f t="shared" si="3"/>
        <v/>
      </c>
      <c r="I73" s="221"/>
      <c r="J73" s="37"/>
      <c r="K73" s="37"/>
    </row>
    <row r="74" spans="1:11" hidden="1" x14ac:dyDescent="0.2">
      <c r="A74" s="137" t="str">
        <f>IF(ISERROR(VLOOKUP(D74,БДР!A:A,1,0))=TRUE,"не попало в БДР","ok")</f>
        <v>не попало в БДР</v>
      </c>
      <c r="B74" s="36"/>
      <c r="C74" s="143" t="str">
        <f>IF(B74="","",VLOOKUP(MONTH(B74),Справочники!$X$4:$Y$15,2,0)&amp;"_"&amp;YEAR(B74))</f>
        <v/>
      </c>
      <c r="D74" s="37"/>
      <c r="E74" s="37"/>
      <c r="F74" s="38"/>
      <c r="G74" s="220" t="str">
        <f t="shared" si="2"/>
        <v/>
      </c>
      <c r="H74" s="220" t="str">
        <f t="shared" si="3"/>
        <v/>
      </c>
      <c r="I74" s="221"/>
      <c r="J74" s="37"/>
      <c r="K74" s="37"/>
    </row>
    <row r="75" spans="1:11" hidden="1" x14ac:dyDescent="0.2">
      <c r="A75" s="137" t="str">
        <f>IF(ISERROR(VLOOKUP(D75,БДР!A:A,1,0))=TRUE,"не попало в БДР","ok")</f>
        <v>не попало в БДР</v>
      </c>
      <c r="B75" s="36"/>
      <c r="C75" s="143" t="str">
        <f>IF(B75="","",VLOOKUP(MONTH(B75),Справочники!$X$4:$Y$15,2,0)&amp;"_"&amp;YEAR(B75))</f>
        <v/>
      </c>
      <c r="D75" s="37"/>
      <c r="E75" s="37"/>
      <c r="F75" s="38"/>
      <c r="G75" s="220" t="str">
        <f t="shared" si="2"/>
        <v/>
      </c>
      <c r="H75" s="220" t="str">
        <f t="shared" si="3"/>
        <v/>
      </c>
      <c r="I75" s="221"/>
      <c r="J75" s="37"/>
      <c r="K75" s="37"/>
    </row>
    <row r="76" spans="1:11" hidden="1" x14ac:dyDescent="0.2">
      <c r="A76" s="137" t="str">
        <f>IF(ISERROR(VLOOKUP(D76,БДР!A:A,1,0))=TRUE,"не попало в БДР","ok")</f>
        <v>не попало в БДР</v>
      </c>
      <c r="B76" s="36"/>
      <c r="C76" s="143" t="str">
        <f>IF(B76="","",VLOOKUP(MONTH(B76),Справочники!$X$4:$Y$15,2,0)&amp;"_"&amp;YEAR(B76))</f>
        <v/>
      </c>
      <c r="D76" s="37"/>
      <c r="E76" s="37"/>
      <c r="F76" s="38"/>
      <c r="G76" s="220" t="str">
        <f t="shared" si="2"/>
        <v/>
      </c>
      <c r="H76" s="220" t="str">
        <f t="shared" si="3"/>
        <v/>
      </c>
      <c r="I76" s="221"/>
      <c r="J76" s="37"/>
      <c r="K76" s="37"/>
    </row>
    <row r="77" spans="1:11" hidden="1" x14ac:dyDescent="0.2">
      <c r="A77" s="137" t="str">
        <f>IF(ISERROR(VLOOKUP(D77,БДР!A:A,1,0))=TRUE,"не попало в БДР","ok")</f>
        <v>не попало в БДР</v>
      </c>
      <c r="B77" s="36"/>
      <c r="C77" s="143" t="str">
        <f>IF(B77="","",VLOOKUP(MONTH(B77),Справочники!$X$4:$Y$15,2,0)&amp;"_"&amp;YEAR(B77))</f>
        <v/>
      </c>
      <c r="D77" s="37"/>
      <c r="E77" s="37"/>
      <c r="F77" s="38"/>
      <c r="G77" s="220" t="str">
        <f t="shared" si="2"/>
        <v/>
      </c>
      <c r="H77" s="220" t="str">
        <f t="shared" si="3"/>
        <v/>
      </c>
      <c r="I77" s="221"/>
      <c r="J77" s="37"/>
      <c r="K77" s="37"/>
    </row>
    <row r="78" spans="1:11" hidden="1" x14ac:dyDescent="0.2">
      <c r="A78" s="137" t="str">
        <f>IF(ISERROR(VLOOKUP(D78,БДР!A:A,1,0))=TRUE,"не попало в БДР","ok")</f>
        <v>не попало в БДР</v>
      </c>
      <c r="B78" s="36"/>
      <c r="C78" s="143" t="str">
        <f>IF(B78="","",VLOOKUP(MONTH(B78),Справочники!$X$4:$Y$15,2,0)&amp;"_"&amp;YEAR(B78))</f>
        <v/>
      </c>
      <c r="D78" s="37"/>
      <c r="E78" s="37"/>
      <c r="F78" s="38"/>
      <c r="G78" s="220" t="str">
        <f t="shared" si="2"/>
        <v/>
      </c>
      <c r="H78" s="220" t="str">
        <f t="shared" si="3"/>
        <v/>
      </c>
      <c r="I78" s="221"/>
      <c r="J78" s="37"/>
      <c r="K78" s="37"/>
    </row>
    <row r="79" spans="1:11" hidden="1" x14ac:dyDescent="0.2">
      <c r="A79" s="137" t="str">
        <f>IF(ISERROR(VLOOKUP(D79,БДР!A:A,1,0))=TRUE,"не попало в БДР","ok")</f>
        <v>не попало в БДР</v>
      </c>
      <c r="B79" s="36"/>
      <c r="C79" s="143" t="str">
        <f>IF(B79="","",VLOOKUP(MONTH(B79),Справочники!$X$4:$Y$15,2,0)&amp;"_"&amp;YEAR(B79))</f>
        <v/>
      </c>
      <c r="D79" s="37"/>
      <c r="E79" s="37"/>
      <c r="F79" s="38"/>
      <c r="G79" s="220" t="str">
        <f t="shared" si="2"/>
        <v/>
      </c>
      <c r="H79" s="220" t="str">
        <f t="shared" si="3"/>
        <v/>
      </c>
      <c r="I79" s="221"/>
      <c r="J79" s="37"/>
      <c r="K79" s="37"/>
    </row>
    <row r="80" spans="1:11" hidden="1" x14ac:dyDescent="0.2">
      <c r="A80" s="137" t="str">
        <f>IF(ISERROR(VLOOKUP(D80,БДР!A:A,1,0))=TRUE,"не попало в БДР","ok")</f>
        <v>не попало в БДР</v>
      </c>
      <c r="B80" s="36"/>
      <c r="C80" s="143" t="str">
        <f>IF(B80="","",VLOOKUP(MONTH(B80),Справочники!$X$4:$Y$15,2,0)&amp;"_"&amp;YEAR(B80))</f>
        <v/>
      </c>
      <c r="D80" s="37"/>
      <c r="E80" s="37"/>
      <c r="F80" s="38"/>
      <c r="G80" s="220" t="str">
        <f t="shared" si="2"/>
        <v/>
      </c>
      <c r="H80" s="220" t="str">
        <f t="shared" si="3"/>
        <v/>
      </c>
      <c r="I80" s="221"/>
      <c r="J80" s="37"/>
      <c r="K80" s="37"/>
    </row>
    <row r="81" spans="1:11" hidden="1" x14ac:dyDescent="0.2">
      <c r="A81" s="137" t="str">
        <f>IF(ISERROR(VLOOKUP(D81,БДР!A:A,1,0))=TRUE,"не попало в БДР","ok")</f>
        <v>не попало в БДР</v>
      </c>
      <c r="B81" s="36"/>
      <c r="C81" s="143" t="str">
        <f>IF(B81="","",VLOOKUP(MONTH(B81),Справочники!$X$4:$Y$15,2,0)&amp;"_"&amp;YEAR(B81))</f>
        <v/>
      </c>
      <c r="D81" s="37"/>
      <c r="E81" s="37"/>
      <c r="F81" s="38"/>
      <c r="G81" s="220" t="str">
        <f t="shared" si="2"/>
        <v/>
      </c>
      <c r="H81" s="220" t="str">
        <f t="shared" si="3"/>
        <v/>
      </c>
      <c r="I81" s="221"/>
      <c r="J81" s="37"/>
      <c r="K81" s="37"/>
    </row>
    <row r="82" spans="1:11" hidden="1" x14ac:dyDescent="0.2">
      <c r="A82" s="137" t="str">
        <f>IF(ISERROR(VLOOKUP(D82,БДР!A:A,1,0))=TRUE,"не попало в БДР","ok")</f>
        <v>не попало в БДР</v>
      </c>
      <c r="B82" s="36"/>
      <c r="C82" s="143" t="str">
        <f>IF(B82="","",VLOOKUP(MONTH(B82),Справочники!$X$4:$Y$15,2,0)&amp;"_"&amp;YEAR(B82))</f>
        <v/>
      </c>
      <c r="D82" s="37"/>
      <c r="E82" s="37"/>
      <c r="F82" s="38"/>
      <c r="G82" s="220" t="str">
        <f t="shared" si="2"/>
        <v/>
      </c>
      <c r="H82" s="220" t="str">
        <f t="shared" si="3"/>
        <v/>
      </c>
      <c r="I82" s="221"/>
      <c r="J82" s="37"/>
      <c r="K82" s="37"/>
    </row>
    <row r="83" spans="1:11" hidden="1" x14ac:dyDescent="0.2">
      <c r="A83" s="137" t="str">
        <f>IF(ISERROR(VLOOKUP(D83,БДР!A:A,1,0))=TRUE,"не попало в БДР","ok")</f>
        <v>не попало в БДР</v>
      </c>
      <c r="B83" s="36"/>
      <c r="C83" s="143" t="str">
        <f>IF(B83="","",VLOOKUP(MONTH(B83),Справочники!$X$4:$Y$15,2,0)&amp;"_"&amp;YEAR(B83))</f>
        <v/>
      </c>
      <c r="D83" s="37"/>
      <c r="E83" s="37"/>
      <c r="F83" s="38"/>
      <c r="G83" s="220" t="str">
        <f t="shared" si="2"/>
        <v/>
      </c>
      <c r="H83" s="220" t="str">
        <f t="shared" si="3"/>
        <v/>
      </c>
      <c r="I83" s="221"/>
      <c r="J83" s="37"/>
      <c r="K83" s="37"/>
    </row>
    <row r="84" spans="1:11" hidden="1" x14ac:dyDescent="0.2">
      <c r="A84" s="137" t="str">
        <f>IF(ISERROR(VLOOKUP(D84,БДР!A:A,1,0))=TRUE,"не попало в БДР","ok")</f>
        <v>не попало в БДР</v>
      </c>
      <c r="B84" s="36"/>
      <c r="C84" s="143" t="str">
        <f>IF(B84="","",VLOOKUP(MONTH(B84),Справочники!$X$4:$Y$15,2,0)&amp;"_"&amp;YEAR(B84))</f>
        <v/>
      </c>
      <c r="D84" s="37"/>
      <c r="E84" s="37"/>
      <c r="F84" s="38"/>
      <c r="G84" s="220" t="str">
        <f t="shared" si="2"/>
        <v/>
      </c>
      <c r="H84" s="220" t="str">
        <f t="shared" si="3"/>
        <v/>
      </c>
      <c r="I84" s="221"/>
      <c r="J84" s="37"/>
      <c r="K84" s="37"/>
    </row>
    <row r="85" spans="1:11" hidden="1" x14ac:dyDescent="0.2">
      <c r="A85" s="137" t="str">
        <f>IF(ISERROR(VLOOKUP(D85,БДР!A:A,1,0))=TRUE,"не попало в БДР","ok")</f>
        <v>не попало в БДР</v>
      </c>
      <c r="B85" s="36"/>
      <c r="C85" s="143" t="str">
        <f>IF(B85="","",VLOOKUP(MONTH(B85),Справочники!$X$4:$Y$15,2,0)&amp;"_"&amp;YEAR(B85))</f>
        <v/>
      </c>
      <c r="D85" s="37"/>
      <c r="E85" s="37"/>
      <c r="F85" s="38"/>
      <c r="G85" s="220" t="str">
        <f t="shared" si="2"/>
        <v/>
      </c>
      <c r="H85" s="220" t="str">
        <f t="shared" si="3"/>
        <v/>
      </c>
      <c r="I85" s="221"/>
      <c r="J85" s="37"/>
      <c r="K85" s="37"/>
    </row>
    <row r="86" spans="1:11" hidden="1" x14ac:dyDescent="0.2">
      <c r="A86" s="137" t="str">
        <f>IF(ISERROR(VLOOKUP(D86,БДР!A:A,1,0))=TRUE,"не попало в БДР","ok")</f>
        <v>не попало в БДР</v>
      </c>
      <c r="B86" s="36"/>
      <c r="C86" s="143" t="str">
        <f>IF(B86="","",VLOOKUP(MONTH(B86),Справочники!$X$4:$Y$15,2,0)&amp;"_"&amp;YEAR(B86))</f>
        <v/>
      </c>
      <c r="D86" s="37"/>
      <c r="E86" s="37"/>
      <c r="F86" s="38"/>
      <c r="G86" s="220" t="str">
        <f t="shared" si="2"/>
        <v/>
      </c>
      <c r="H86" s="220" t="str">
        <f t="shared" si="3"/>
        <v/>
      </c>
      <c r="I86" s="221"/>
      <c r="J86" s="37"/>
      <c r="K86" s="37"/>
    </row>
    <row r="87" spans="1:11" hidden="1" x14ac:dyDescent="0.2">
      <c r="A87" s="137" t="str">
        <f>IF(ISERROR(VLOOKUP(D87,БДР!A:A,1,0))=TRUE,"не попало в БДР","ok")</f>
        <v>не попало в БДР</v>
      </c>
      <c r="B87" s="36"/>
      <c r="C87" s="143" t="str">
        <f>IF(B87="","",VLOOKUP(MONTH(B87),Справочники!$X$4:$Y$15,2,0)&amp;"_"&amp;YEAR(B87))</f>
        <v/>
      </c>
      <c r="D87" s="37"/>
      <c r="E87" s="37"/>
      <c r="F87" s="38"/>
      <c r="G87" s="220" t="str">
        <f t="shared" si="2"/>
        <v/>
      </c>
      <c r="H87" s="220" t="str">
        <f t="shared" si="3"/>
        <v/>
      </c>
      <c r="I87" s="221"/>
      <c r="J87" s="37"/>
      <c r="K87" s="37"/>
    </row>
    <row r="88" spans="1:11" hidden="1" x14ac:dyDescent="0.2">
      <c r="A88" s="137" t="str">
        <f>IF(ISERROR(VLOOKUP(D88,БДР!A:A,1,0))=TRUE,"не попало в БДР","ok")</f>
        <v>не попало в БДР</v>
      </c>
      <c r="B88" s="36"/>
      <c r="C88" s="143" t="str">
        <f>IF(B88="","",VLOOKUP(MONTH(B88),Справочники!$X$4:$Y$15,2,0)&amp;"_"&amp;YEAR(B88))</f>
        <v/>
      </c>
      <c r="D88" s="37"/>
      <c r="E88" s="37"/>
      <c r="F88" s="38"/>
      <c r="G88" s="220" t="str">
        <f t="shared" si="2"/>
        <v/>
      </c>
      <c r="H88" s="220" t="str">
        <f t="shared" si="3"/>
        <v/>
      </c>
      <c r="I88" s="221"/>
      <c r="J88" s="37"/>
      <c r="K88" s="37"/>
    </row>
    <row r="89" spans="1:11" hidden="1" x14ac:dyDescent="0.2">
      <c r="A89" s="137" t="str">
        <f>IF(ISERROR(VLOOKUP(D89,БДР!A:A,1,0))=TRUE,"не попало в БДР","ok")</f>
        <v>не попало в БДР</v>
      </c>
      <c r="B89" s="36"/>
      <c r="C89" s="143" t="str">
        <f>IF(B89="","",VLOOKUP(MONTH(B89),Справочники!$X$4:$Y$15,2,0)&amp;"_"&amp;YEAR(B89))</f>
        <v/>
      </c>
      <c r="D89" s="37"/>
      <c r="E89" s="37"/>
      <c r="F89" s="38"/>
      <c r="G89" s="220" t="str">
        <f t="shared" si="2"/>
        <v/>
      </c>
      <c r="H89" s="220" t="str">
        <f t="shared" si="3"/>
        <v/>
      </c>
      <c r="I89" s="221"/>
      <c r="J89" s="37"/>
      <c r="K89" s="37"/>
    </row>
    <row r="90" spans="1:11" hidden="1" x14ac:dyDescent="0.2">
      <c r="A90" s="137" t="str">
        <f>IF(ISERROR(VLOOKUP(D90,БДР!A:A,1,0))=TRUE,"не попало в БДР","ok")</f>
        <v>не попало в БДР</v>
      </c>
      <c r="B90" s="36"/>
      <c r="C90" s="143" t="str">
        <f>IF(B90="","",VLOOKUP(MONTH(B90),Справочники!$X$4:$Y$15,2,0)&amp;"_"&amp;YEAR(B90))</f>
        <v/>
      </c>
      <c r="D90" s="37"/>
      <c r="E90" s="37"/>
      <c r="F90" s="38"/>
      <c r="G90" s="220" t="str">
        <f t="shared" si="2"/>
        <v/>
      </c>
      <c r="H90" s="220" t="str">
        <f t="shared" si="3"/>
        <v/>
      </c>
      <c r="I90" s="221"/>
      <c r="J90" s="37"/>
      <c r="K90" s="37"/>
    </row>
    <row r="91" spans="1:11" hidden="1" x14ac:dyDescent="0.2">
      <c r="A91" s="137" t="str">
        <f>IF(ISERROR(VLOOKUP(D91,БДР!A:A,1,0))=TRUE,"не попало в БДР","ok")</f>
        <v>не попало в БДР</v>
      </c>
      <c r="B91" s="36"/>
      <c r="C91" s="143" t="str">
        <f>IF(B91="","",VLOOKUP(MONTH(B91),Справочники!$X$4:$Y$15,2,0)&amp;"_"&amp;YEAR(B91))</f>
        <v/>
      </c>
      <c r="D91" s="37"/>
      <c r="E91" s="37"/>
      <c r="F91" s="38"/>
      <c r="G91" s="220" t="str">
        <f t="shared" si="2"/>
        <v/>
      </c>
      <c r="H91" s="220" t="str">
        <f t="shared" si="3"/>
        <v/>
      </c>
      <c r="I91" s="221"/>
      <c r="J91" s="37"/>
      <c r="K91" s="37"/>
    </row>
    <row r="92" spans="1:11" hidden="1" x14ac:dyDescent="0.2">
      <c r="A92" s="137" t="str">
        <f>IF(ISERROR(VLOOKUP(D92,БДР!A:A,1,0))=TRUE,"не попало в БДР","ok")</f>
        <v>не попало в БДР</v>
      </c>
      <c r="B92" s="36"/>
      <c r="C92" s="143" t="str">
        <f>IF(B92="","",VLOOKUP(MONTH(B92),Справочники!$X$4:$Y$15,2,0)&amp;"_"&amp;YEAR(B92))</f>
        <v/>
      </c>
      <c r="D92" s="37"/>
      <c r="E92" s="37"/>
      <c r="F92" s="38"/>
      <c r="G92" s="220" t="str">
        <f t="shared" si="2"/>
        <v/>
      </c>
      <c r="H92" s="220" t="str">
        <f t="shared" si="3"/>
        <v/>
      </c>
      <c r="I92" s="221"/>
      <c r="J92" s="37"/>
      <c r="K92" s="37"/>
    </row>
    <row r="93" spans="1:11" hidden="1" x14ac:dyDescent="0.2">
      <c r="A93" s="137" t="str">
        <f>IF(ISERROR(VLOOKUP(D93,БДР!A:A,1,0))=TRUE,"не попало в БДР","ok")</f>
        <v>не попало в БДР</v>
      </c>
      <c r="B93" s="36"/>
      <c r="C93" s="143" t="str">
        <f>IF(B93="","",VLOOKUP(MONTH(B93),Справочники!$X$4:$Y$15,2,0)&amp;"_"&amp;YEAR(B93))</f>
        <v/>
      </c>
      <c r="D93" s="37"/>
      <c r="E93" s="37"/>
      <c r="F93" s="38"/>
      <c r="G93" s="220" t="str">
        <f t="shared" si="2"/>
        <v/>
      </c>
      <c r="H93" s="220" t="str">
        <f t="shared" si="3"/>
        <v/>
      </c>
      <c r="I93" s="221"/>
      <c r="J93" s="37"/>
      <c r="K93" s="37"/>
    </row>
    <row r="94" spans="1:11" hidden="1" x14ac:dyDescent="0.2">
      <c r="A94" s="137" t="str">
        <f>IF(ISERROR(VLOOKUP(D94,БДР!A:A,1,0))=TRUE,"не попало в БДР","ok")</f>
        <v>не попало в БДР</v>
      </c>
      <c r="B94" s="36"/>
      <c r="C94" s="143" t="str">
        <f>IF(B94="","",VLOOKUP(MONTH(B94),Справочники!$X$4:$Y$15,2,0)&amp;"_"&amp;YEAR(B94))</f>
        <v/>
      </c>
      <c r="D94" s="37"/>
      <c r="E94" s="37"/>
      <c r="F94" s="38"/>
      <c r="G94" s="220" t="str">
        <f t="shared" si="2"/>
        <v/>
      </c>
      <c r="H94" s="220" t="str">
        <f t="shared" si="3"/>
        <v/>
      </c>
      <c r="I94" s="221"/>
      <c r="J94" s="37"/>
      <c r="K94" s="37"/>
    </row>
    <row r="95" spans="1:11" hidden="1" x14ac:dyDescent="0.2">
      <c r="A95" s="137" t="str">
        <f>IF(ISERROR(VLOOKUP(D95,БДР!A:A,1,0))=TRUE,"не попало в БДР","ok")</f>
        <v>не попало в БДР</v>
      </c>
      <c r="B95" s="36"/>
      <c r="C95" s="143" t="str">
        <f>IF(B95="","",VLOOKUP(MONTH(B95),Справочники!$X$4:$Y$15,2,0)&amp;"_"&amp;YEAR(B95))</f>
        <v/>
      </c>
      <c r="D95" s="37"/>
      <c r="E95" s="37"/>
      <c r="F95" s="38"/>
      <c r="G95" s="220" t="str">
        <f t="shared" si="2"/>
        <v/>
      </c>
      <c r="H95" s="220" t="str">
        <f t="shared" si="3"/>
        <v/>
      </c>
      <c r="I95" s="221"/>
      <c r="J95" s="37"/>
      <c r="K95" s="37"/>
    </row>
    <row r="96" spans="1:11" hidden="1" x14ac:dyDescent="0.2">
      <c r="A96" s="137" t="str">
        <f>IF(ISERROR(VLOOKUP(D96,БДР!A:A,1,0))=TRUE,"не попало в БДР","ok")</f>
        <v>не попало в БДР</v>
      </c>
      <c r="B96" s="36"/>
      <c r="C96" s="143" t="str">
        <f>IF(B96="","",VLOOKUP(MONTH(B96),Справочники!$X$4:$Y$15,2,0)&amp;"_"&amp;YEAR(B96))</f>
        <v/>
      </c>
      <c r="D96" s="37"/>
      <c r="E96" s="37"/>
      <c r="F96" s="38"/>
      <c r="G96" s="220" t="str">
        <f t="shared" si="2"/>
        <v/>
      </c>
      <c r="H96" s="220" t="str">
        <f t="shared" si="3"/>
        <v/>
      </c>
      <c r="I96" s="221"/>
      <c r="J96" s="37"/>
      <c r="K96" s="37"/>
    </row>
    <row r="97" spans="1:11" hidden="1" x14ac:dyDescent="0.2">
      <c r="A97" s="137" t="str">
        <f>IF(ISERROR(VLOOKUP(D97,БДР!A:A,1,0))=TRUE,"не попало в БДР","ok")</f>
        <v>не попало в БДР</v>
      </c>
      <c r="B97" s="36"/>
      <c r="C97" s="143" t="str">
        <f>IF(B97="","",VLOOKUP(MONTH(B97),Справочники!$X$4:$Y$15,2,0)&amp;"_"&amp;YEAR(B97))</f>
        <v/>
      </c>
      <c r="D97" s="37"/>
      <c r="E97" s="37"/>
      <c r="F97" s="38"/>
      <c r="G97" s="220" t="str">
        <f t="shared" si="2"/>
        <v/>
      </c>
      <c r="H97" s="220" t="str">
        <f t="shared" si="3"/>
        <v/>
      </c>
      <c r="I97" s="221"/>
      <c r="J97" s="37"/>
      <c r="K97" s="37"/>
    </row>
    <row r="98" spans="1:11" hidden="1" x14ac:dyDescent="0.2">
      <c r="A98" s="137" t="str">
        <f>IF(ISERROR(VLOOKUP(D98,БДР!A:A,1,0))=TRUE,"не попало в БДР","ok")</f>
        <v>не попало в БДР</v>
      </c>
      <c r="B98" s="36"/>
      <c r="C98" s="143" t="str">
        <f>IF(B98="","",VLOOKUP(MONTH(B98),Справочники!$X$4:$Y$15,2,0)&amp;"_"&amp;YEAR(B98))</f>
        <v/>
      </c>
      <c r="D98" s="37"/>
      <c r="E98" s="37"/>
      <c r="F98" s="38"/>
      <c r="G98" s="220" t="str">
        <f t="shared" si="2"/>
        <v/>
      </c>
      <c r="H98" s="220" t="str">
        <f t="shared" si="3"/>
        <v/>
      </c>
      <c r="I98" s="221"/>
      <c r="J98" s="37"/>
      <c r="K98" s="37"/>
    </row>
    <row r="99" spans="1:11" hidden="1" x14ac:dyDescent="0.2">
      <c r="A99" s="137" t="str">
        <f>IF(ISERROR(VLOOKUP(D99,БДР!A:A,1,0))=TRUE,"не попало в БДР","ok")</f>
        <v>не попало в БДР</v>
      </c>
      <c r="B99" s="36"/>
      <c r="C99" s="143" t="str">
        <f>IF(B99="","",VLOOKUP(MONTH(B99),Справочники!$X$4:$Y$15,2,0)&amp;"_"&amp;YEAR(B99))</f>
        <v/>
      </c>
      <c r="D99" s="37"/>
      <c r="E99" s="37"/>
      <c r="F99" s="38"/>
      <c r="G99" s="220" t="str">
        <f t="shared" si="2"/>
        <v/>
      </c>
      <c r="H99" s="220" t="str">
        <f t="shared" si="3"/>
        <v/>
      </c>
      <c r="I99" s="221"/>
      <c r="J99" s="37"/>
      <c r="K99" s="37"/>
    </row>
    <row r="100" spans="1:11" hidden="1" x14ac:dyDescent="0.2">
      <c r="A100" s="137" t="str">
        <f>IF(ISERROR(VLOOKUP(D100,БДР!A:A,1,0))=TRUE,"не попало в БДР","ok")</f>
        <v>не попало в БДР</v>
      </c>
      <c r="B100" s="36"/>
      <c r="C100" s="143" t="str">
        <f>IF(B100="","",VLOOKUP(MONTH(B100),Справочники!$X$4:$Y$15,2,0)&amp;"_"&amp;YEAR(B100))</f>
        <v/>
      </c>
      <c r="D100" s="37"/>
      <c r="E100" s="37"/>
      <c r="F100" s="38"/>
      <c r="G100" s="220" t="str">
        <f t="shared" si="2"/>
        <v/>
      </c>
      <c r="H100" s="220" t="str">
        <f t="shared" si="3"/>
        <v/>
      </c>
      <c r="I100" s="221"/>
      <c r="J100" s="37"/>
      <c r="K100" s="37"/>
    </row>
    <row r="101" spans="1:11" hidden="1" x14ac:dyDescent="0.2">
      <c r="A101" s="137" t="str">
        <f>IF(ISERROR(VLOOKUP(D101,БДР!A:A,1,0))=TRUE,"не попало в БДР","ok")</f>
        <v>не попало в БДР</v>
      </c>
      <c r="B101" s="36"/>
      <c r="C101" s="143" t="str">
        <f>IF(B101="","",VLOOKUP(MONTH(B101),Справочники!$X$4:$Y$15,2,0)&amp;"_"&amp;YEAR(B101))</f>
        <v/>
      </c>
      <c r="D101" s="37"/>
      <c r="E101" s="37"/>
      <c r="F101" s="38"/>
      <c r="G101" s="220" t="str">
        <f t="shared" si="2"/>
        <v/>
      </c>
      <c r="H101" s="220" t="str">
        <f t="shared" si="3"/>
        <v/>
      </c>
      <c r="I101" s="221"/>
      <c r="J101" s="37"/>
      <c r="K101" s="37"/>
    </row>
    <row r="102" spans="1:11" hidden="1" x14ac:dyDescent="0.2">
      <c r="A102" s="137" t="str">
        <f>IF(ISERROR(VLOOKUP(D102,БДР!A:A,1,0))=TRUE,"не попало в БДР","ok")</f>
        <v>не попало в БДР</v>
      </c>
      <c r="B102" s="36"/>
      <c r="C102" s="143" t="str">
        <f>IF(B102="","",VLOOKUP(MONTH(B102),Справочники!$X$4:$Y$15,2,0)&amp;"_"&amp;YEAR(B102))</f>
        <v/>
      </c>
      <c r="D102" s="37"/>
      <c r="E102" s="37"/>
      <c r="F102" s="38"/>
      <c r="G102" s="220" t="str">
        <f t="shared" si="2"/>
        <v/>
      </c>
      <c r="H102" s="220" t="str">
        <f t="shared" si="3"/>
        <v/>
      </c>
      <c r="I102" s="221"/>
      <c r="J102" s="37"/>
      <c r="K102" s="37"/>
    </row>
    <row r="103" spans="1:11" hidden="1" x14ac:dyDescent="0.2">
      <c r="A103" s="137" t="str">
        <f>IF(ISERROR(VLOOKUP(D103,БДР!A:A,1,0))=TRUE,"не попало в БДР","ok")</f>
        <v>не попало в БДР</v>
      </c>
      <c r="B103" s="36"/>
      <c r="C103" s="143" t="str">
        <f>IF(B103="","",VLOOKUP(MONTH(B103),Справочники!$X$4:$Y$15,2,0)&amp;"_"&amp;YEAR(B103))</f>
        <v/>
      </c>
      <c r="D103" s="37"/>
      <c r="E103" s="37"/>
      <c r="F103" s="38"/>
      <c r="G103" s="220" t="str">
        <f t="shared" ref="G103:G138" si="6">IF(ISERROR(I103-H103)=TRUE,"",I103-H103)</f>
        <v/>
      </c>
      <c r="H103" s="220" t="str">
        <f t="shared" ref="H103:H138" si="7">IF(I103="","",I103/(1+F103))</f>
        <v/>
      </c>
      <c r="I103" s="221"/>
      <c r="J103" s="37"/>
      <c r="K103" s="37"/>
    </row>
    <row r="104" spans="1:11" hidden="1" x14ac:dyDescent="0.2">
      <c r="A104" s="137" t="str">
        <f>IF(ISERROR(VLOOKUP(D104,БДР!A:A,1,0))=TRUE,"не попало в БДР","ok")</f>
        <v>не попало в БДР</v>
      </c>
      <c r="B104" s="36"/>
      <c r="C104" s="143" t="str">
        <f>IF(B104="","",VLOOKUP(MONTH(B104),Справочники!$X$4:$Y$15,2,0)&amp;"_"&amp;YEAR(B104))</f>
        <v/>
      </c>
      <c r="D104" s="37"/>
      <c r="E104" s="37"/>
      <c r="F104" s="38"/>
      <c r="G104" s="220" t="str">
        <f t="shared" si="6"/>
        <v/>
      </c>
      <c r="H104" s="220" t="str">
        <f t="shared" si="7"/>
        <v/>
      </c>
      <c r="I104" s="221"/>
      <c r="J104" s="37"/>
      <c r="K104" s="37"/>
    </row>
    <row r="105" spans="1:11" hidden="1" x14ac:dyDescent="0.2">
      <c r="A105" s="137" t="str">
        <f>IF(ISERROR(VLOOKUP(D105,БДР!A:A,1,0))=TRUE,"не попало в БДР","ok")</f>
        <v>не попало в БДР</v>
      </c>
      <c r="B105" s="36"/>
      <c r="C105" s="143" t="str">
        <f>IF(B105="","",VLOOKUP(MONTH(B105),Справочники!$X$4:$Y$15,2,0)&amp;"_"&amp;YEAR(B105))</f>
        <v/>
      </c>
      <c r="D105" s="37"/>
      <c r="E105" s="37"/>
      <c r="F105" s="38"/>
      <c r="G105" s="220" t="str">
        <f t="shared" si="6"/>
        <v/>
      </c>
      <c r="H105" s="220" t="str">
        <f t="shared" si="7"/>
        <v/>
      </c>
      <c r="I105" s="221"/>
      <c r="J105" s="37"/>
      <c r="K105" s="37"/>
    </row>
    <row r="106" spans="1:11" hidden="1" x14ac:dyDescent="0.2">
      <c r="A106" s="137" t="str">
        <f>IF(ISERROR(VLOOKUP(D106,БДР!A:A,1,0))=TRUE,"не попало в БДР","ok")</f>
        <v>не попало в БДР</v>
      </c>
      <c r="B106" s="36"/>
      <c r="C106" s="143" t="str">
        <f>IF(B106="","",VLOOKUP(MONTH(B106),Справочники!$X$4:$Y$15,2,0)&amp;"_"&amp;YEAR(B106))</f>
        <v/>
      </c>
      <c r="D106" s="37"/>
      <c r="E106" s="37"/>
      <c r="F106" s="38"/>
      <c r="G106" s="220" t="str">
        <f t="shared" si="6"/>
        <v/>
      </c>
      <c r="H106" s="220" t="str">
        <f t="shared" si="7"/>
        <v/>
      </c>
      <c r="I106" s="221"/>
      <c r="J106" s="37"/>
      <c r="K106" s="37"/>
    </row>
    <row r="107" spans="1:11" hidden="1" x14ac:dyDescent="0.2">
      <c r="A107" s="137" t="str">
        <f>IF(ISERROR(VLOOKUP(D107,БДР!A:A,1,0))=TRUE,"не попало в БДР","ok")</f>
        <v>не попало в БДР</v>
      </c>
      <c r="B107" s="36"/>
      <c r="C107" s="143" t="str">
        <f>IF(B107="","",VLOOKUP(MONTH(B107),Справочники!$X$4:$Y$15,2,0)&amp;"_"&amp;YEAR(B107))</f>
        <v/>
      </c>
      <c r="D107" s="37"/>
      <c r="E107" s="37"/>
      <c r="F107" s="38"/>
      <c r="G107" s="220" t="str">
        <f t="shared" si="6"/>
        <v/>
      </c>
      <c r="H107" s="220" t="str">
        <f t="shared" si="7"/>
        <v/>
      </c>
      <c r="I107" s="221"/>
      <c r="J107" s="37"/>
      <c r="K107" s="37"/>
    </row>
    <row r="108" spans="1:11" hidden="1" x14ac:dyDescent="0.2">
      <c r="A108" s="137" t="str">
        <f>IF(ISERROR(VLOOKUP(D108,БДР!A:A,1,0))=TRUE,"не попало в БДР","ok")</f>
        <v>не попало в БДР</v>
      </c>
      <c r="B108" s="36"/>
      <c r="C108" s="143" t="str">
        <f>IF(B108="","",VLOOKUP(MONTH(B108),Справочники!$X$4:$Y$15,2,0)&amp;"_"&amp;YEAR(B108))</f>
        <v/>
      </c>
      <c r="D108" s="37"/>
      <c r="E108" s="37"/>
      <c r="F108" s="38"/>
      <c r="G108" s="220" t="str">
        <f t="shared" si="6"/>
        <v/>
      </c>
      <c r="H108" s="220" t="str">
        <f t="shared" si="7"/>
        <v/>
      </c>
      <c r="I108" s="221"/>
      <c r="J108" s="37"/>
      <c r="K108" s="37"/>
    </row>
    <row r="109" spans="1:11" hidden="1" x14ac:dyDescent="0.2">
      <c r="A109" s="137" t="str">
        <f>IF(ISERROR(VLOOKUP(D109,БДР!A:A,1,0))=TRUE,"не попало в БДР","ok")</f>
        <v>не попало в БДР</v>
      </c>
      <c r="B109" s="36"/>
      <c r="C109" s="143" t="str">
        <f>IF(B109="","",VLOOKUP(MONTH(B109),Справочники!$X$4:$Y$15,2,0)&amp;"_"&amp;YEAR(B109))</f>
        <v/>
      </c>
      <c r="D109" s="37"/>
      <c r="E109" s="37"/>
      <c r="F109" s="38"/>
      <c r="G109" s="220" t="str">
        <f t="shared" si="6"/>
        <v/>
      </c>
      <c r="H109" s="220" t="str">
        <f t="shared" si="7"/>
        <v/>
      </c>
      <c r="I109" s="221"/>
      <c r="J109" s="37"/>
      <c r="K109" s="37"/>
    </row>
    <row r="110" spans="1:11" hidden="1" x14ac:dyDescent="0.2">
      <c r="A110" s="137" t="str">
        <f>IF(ISERROR(VLOOKUP(D110,БДР!A:A,1,0))=TRUE,"не попало в БДР","ok")</f>
        <v>не попало в БДР</v>
      </c>
      <c r="B110" s="36"/>
      <c r="C110" s="143" t="str">
        <f>IF(B110="","",VLOOKUP(MONTH(B110),Справочники!$X$4:$Y$15,2,0)&amp;"_"&amp;YEAR(B110))</f>
        <v/>
      </c>
      <c r="D110" s="37"/>
      <c r="E110" s="37"/>
      <c r="F110" s="38"/>
      <c r="G110" s="220" t="str">
        <f t="shared" si="6"/>
        <v/>
      </c>
      <c r="H110" s="220" t="str">
        <f t="shared" si="7"/>
        <v/>
      </c>
      <c r="I110" s="221"/>
      <c r="J110" s="37"/>
      <c r="K110" s="37"/>
    </row>
    <row r="111" spans="1:11" hidden="1" x14ac:dyDescent="0.2">
      <c r="A111" s="137" t="str">
        <f>IF(ISERROR(VLOOKUP(D111,БДР!A:A,1,0))=TRUE,"не попало в БДР","ok")</f>
        <v>не попало в БДР</v>
      </c>
      <c r="B111" s="36"/>
      <c r="C111" s="143" t="str">
        <f>IF(B111="","",VLOOKUP(MONTH(B111),Справочники!$X$4:$Y$15,2,0)&amp;"_"&amp;YEAR(B111))</f>
        <v/>
      </c>
      <c r="D111" s="37"/>
      <c r="E111" s="37"/>
      <c r="F111" s="38"/>
      <c r="G111" s="220" t="str">
        <f t="shared" si="6"/>
        <v/>
      </c>
      <c r="H111" s="220" t="str">
        <f t="shared" si="7"/>
        <v/>
      </c>
      <c r="I111" s="221"/>
      <c r="J111" s="37"/>
      <c r="K111" s="37"/>
    </row>
    <row r="112" spans="1:11" hidden="1" x14ac:dyDescent="0.2">
      <c r="A112" s="137" t="str">
        <f>IF(ISERROR(VLOOKUP(D112,БДР!A:A,1,0))=TRUE,"не попало в БДР","ok")</f>
        <v>не попало в БДР</v>
      </c>
      <c r="B112" s="36"/>
      <c r="C112" s="143" t="str">
        <f>IF(B112="","",VLOOKUP(MONTH(B112),Справочники!$X$4:$Y$15,2,0)&amp;"_"&amp;YEAR(B112))</f>
        <v/>
      </c>
      <c r="D112" s="37"/>
      <c r="E112" s="37"/>
      <c r="F112" s="38"/>
      <c r="G112" s="220" t="str">
        <f t="shared" si="6"/>
        <v/>
      </c>
      <c r="H112" s="220" t="str">
        <f t="shared" si="7"/>
        <v/>
      </c>
      <c r="I112" s="221"/>
      <c r="J112" s="37"/>
      <c r="K112" s="37"/>
    </row>
    <row r="113" spans="1:11" hidden="1" x14ac:dyDescent="0.2">
      <c r="A113" s="137" t="str">
        <f>IF(ISERROR(VLOOKUP(D113,БДР!A:A,1,0))=TRUE,"не попало в БДР","ok")</f>
        <v>не попало в БДР</v>
      </c>
      <c r="B113" s="36"/>
      <c r="C113" s="143" t="str">
        <f>IF(B113="","",VLOOKUP(MONTH(B113),Справочники!$X$4:$Y$15,2,0)&amp;"_"&amp;YEAR(B113))</f>
        <v/>
      </c>
      <c r="D113" s="37"/>
      <c r="E113" s="37"/>
      <c r="F113" s="38"/>
      <c r="G113" s="220" t="str">
        <f t="shared" si="6"/>
        <v/>
      </c>
      <c r="H113" s="220" t="str">
        <f t="shared" si="7"/>
        <v/>
      </c>
      <c r="I113" s="221"/>
      <c r="J113" s="37"/>
      <c r="K113" s="37"/>
    </row>
    <row r="114" spans="1:11" hidden="1" x14ac:dyDescent="0.2">
      <c r="A114" s="137" t="str">
        <f>IF(ISERROR(VLOOKUP(D114,БДР!A:A,1,0))=TRUE,"не попало в БДР","ok")</f>
        <v>не попало в БДР</v>
      </c>
      <c r="B114" s="36"/>
      <c r="C114" s="143" t="str">
        <f>IF(B114="","",VLOOKUP(MONTH(B114),Справочники!$X$4:$Y$15,2,0)&amp;"_"&amp;YEAR(B114))</f>
        <v/>
      </c>
      <c r="D114" s="37"/>
      <c r="E114" s="37"/>
      <c r="F114" s="38"/>
      <c r="G114" s="220" t="str">
        <f t="shared" si="6"/>
        <v/>
      </c>
      <c r="H114" s="220" t="str">
        <f t="shared" si="7"/>
        <v/>
      </c>
      <c r="I114" s="221"/>
      <c r="J114" s="37"/>
      <c r="K114" s="37"/>
    </row>
    <row r="115" spans="1:11" hidden="1" x14ac:dyDescent="0.2">
      <c r="A115" s="137" t="str">
        <f>IF(ISERROR(VLOOKUP(D115,БДР!A:A,1,0))=TRUE,"не попало в БДР","ok")</f>
        <v>не попало в БДР</v>
      </c>
      <c r="B115" s="36"/>
      <c r="C115" s="143" t="str">
        <f>IF(B115="","",VLOOKUP(MONTH(B115),Справочники!$X$4:$Y$15,2,0)&amp;"_"&amp;YEAR(B115))</f>
        <v/>
      </c>
      <c r="D115" s="37"/>
      <c r="E115" s="37"/>
      <c r="F115" s="38"/>
      <c r="G115" s="220" t="str">
        <f t="shared" si="6"/>
        <v/>
      </c>
      <c r="H115" s="220" t="str">
        <f t="shared" si="7"/>
        <v/>
      </c>
      <c r="I115" s="221"/>
      <c r="J115" s="37"/>
      <c r="K115" s="37"/>
    </row>
    <row r="116" spans="1:11" hidden="1" x14ac:dyDescent="0.2">
      <c r="A116" s="137" t="str">
        <f>IF(ISERROR(VLOOKUP(D116,БДР!A:A,1,0))=TRUE,"не попало в БДР","ok")</f>
        <v>не попало в БДР</v>
      </c>
      <c r="B116" s="36"/>
      <c r="C116" s="143" t="str">
        <f>IF(B116="","",VLOOKUP(MONTH(B116),Справочники!$X$4:$Y$15,2,0)&amp;"_"&amp;YEAR(B116))</f>
        <v/>
      </c>
      <c r="D116" s="37"/>
      <c r="E116" s="37"/>
      <c r="F116" s="38"/>
      <c r="G116" s="220" t="str">
        <f t="shared" si="6"/>
        <v/>
      </c>
      <c r="H116" s="220" t="str">
        <f t="shared" si="7"/>
        <v/>
      </c>
      <c r="I116" s="221"/>
      <c r="J116" s="37"/>
      <c r="K116" s="37"/>
    </row>
    <row r="117" spans="1:11" hidden="1" x14ac:dyDescent="0.2">
      <c r="A117" s="137" t="str">
        <f>IF(ISERROR(VLOOKUP(D117,БДР!A:A,1,0))=TRUE,"не попало в БДР","ok")</f>
        <v>не попало в БДР</v>
      </c>
      <c r="B117" s="36"/>
      <c r="C117" s="143" t="str">
        <f>IF(B117="","",VLOOKUP(MONTH(B117),Справочники!$X$4:$Y$15,2,0)&amp;"_"&amp;YEAR(B117))</f>
        <v/>
      </c>
      <c r="D117" s="37"/>
      <c r="E117" s="37"/>
      <c r="F117" s="38"/>
      <c r="G117" s="220" t="str">
        <f t="shared" si="6"/>
        <v/>
      </c>
      <c r="H117" s="220" t="str">
        <f t="shared" si="7"/>
        <v/>
      </c>
      <c r="I117" s="221"/>
      <c r="J117" s="37"/>
      <c r="K117" s="37"/>
    </row>
    <row r="118" spans="1:11" hidden="1" x14ac:dyDescent="0.2">
      <c r="A118" s="137" t="str">
        <f>IF(ISERROR(VLOOKUP(D118,БДР!A:A,1,0))=TRUE,"не попало в БДР","ok")</f>
        <v>не попало в БДР</v>
      </c>
      <c r="B118" s="36"/>
      <c r="C118" s="143" t="str">
        <f>IF(B118="","",VLOOKUP(MONTH(B118),Справочники!$X$4:$Y$15,2,0)&amp;"_"&amp;YEAR(B118))</f>
        <v/>
      </c>
      <c r="D118" s="37"/>
      <c r="E118" s="37"/>
      <c r="F118" s="38"/>
      <c r="G118" s="220" t="str">
        <f t="shared" si="6"/>
        <v/>
      </c>
      <c r="H118" s="220" t="str">
        <f t="shared" si="7"/>
        <v/>
      </c>
      <c r="I118" s="221"/>
      <c r="J118" s="37"/>
      <c r="K118" s="37"/>
    </row>
    <row r="119" spans="1:11" hidden="1" x14ac:dyDescent="0.2">
      <c r="A119" s="137" t="str">
        <f>IF(ISERROR(VLOOKUP(D119,БДР!A:A,1,0))=TRUE,"не попало в БДР","ok")</f>
        <v>не попало в БДР</v>
      </c>
      <c r="B119" s="36"/>
      <c r="C119" s="143" t="str">
        <f>IF(B119="","",VLOOKUP(MONTH(B119),Справочники!$X$4:$Y$15,2,0)&amp;"_"&amp;YEAR(B119))</f>
        <v/>
      </c>
      <c r="D119" s="37"/>
      <c r="E119" s="37"/>
      <c r="F119" s="38"/>
      <c r="G119" s="220" t="str">
        <f t="shared" si="6"/>
        <v/>
      </c>
      <c r="H119" s="220" t="str">
        <f t="shared" si="7"/>
        <v/>
      </c>
      <c r="I119" s="221"/>
      <c r="J119" s="37"/>
      <c r="K119" s="37"/>
    </row>
    <row r="120" spans="1:11" hidden="1" x14ac:dyDescent="0.2">
      <c r="A120" s="137" t="str">
        <f>IF(ISERROR(VLOOKUP(D120,БДР!A:A,1,0))=TRUE,"не попало в БДР","ok")</f>
        <v>не попало в БДР</v>
      </c>
      <c r="B120" s="36"/>
      <c r="C120" s="143" t="str">
        <f>IF(B120="","",VLOOKUP(MONTH(B120),Справочники!$X$4:$Y$15,2,0)&amp;"_"&amp;YEAR(B120))</f>
        <v/>
      </c>
      <c r="D120" s="37"/>
      <c r="E120" s="37"/>
      <c r="F120" s="38"/>
      <c r="G120" s="220" t="str">
        <f t="shared" si="6"/>
        <v/>
      </c>
      <c r="H120" s="220" t="str">
        <f t="shared" si="7"/>
        <v/>
      </c>
      <c r="I120" s="221"/>
      <c r="J120" s="37"/>
      <c r="K120" s="37"/>
    </row>
    <row r="121" spans="1:11" hidden="1" x14ac:dyDescent="0.2">
      <c r="A121" s="137" t="str">
        <f>IF(ISERROR(VLOOKUP(D121,БДР!A:A,1,0))=TRUE,"не попало в БДР","ok")</f>
        <v>не попало в БДР</v>
      </c>
      <c r="B121" s="36"/>
      <c r="C121" s="143" t="str">
        <f>IF(B121="","",VLOOKUP(MONTH(B121),Справочники!$X$4:$Y$15,2,0)&amp;"_"&amp;YEAR(B121))</f>
        <v/>
      </c>
      <c r="D121" s="37"/>
      <c r="E121" s="37"/>
      <c r="F121" s="38"/>
      <c r="G121" s="220" t="str">
        <f t="shared" si="6"/>
        <v/>
      </c>
      <c r="H121" s="220" t="str">
        <f t="shared" si="7"/>
        <v/>
      </c>
      <c r="I121" s="221"/>
      <c r="J121" s="37"/>
      <c r="K121" s="37"/>
    </row>
    <row r="122" spans="1:11" hidden="1" x14ac:dyDescent="0.2">
      <c r="A122" s="137" t="str">
        <f>IF(ISERROR(VLOOKUP(D122,БДР!A:A,1,0))=TRUE,"не попало в БДР","ok")</f>
        <v>не попало в БДР</v>
      </c>
      <c r="B122" s="36"/>
      <c r="C122" s="143" t="str">
        <f>IF(B122="","",VLOOKUP(MONTH(B122),Справочники!$X$4:$Y$15,2,0)&amp;"_"&amp;YEAR(B122))</f>
        <v/>
      </c>
      <c r="D122" s="37"/>
      <c r="E122" s="37"/>
      <c r="F122" s="38"/>
      <c r="G122" s="220" t="str">
        <f t="shared" si="6"/>
        <v/>
      </c>
      <c r="H122" s="220" t="str">
        <f t="shared" si="7"/>
        <v/>
      </c>
      <c r="I122" s="221"/>
      <c r="J122" s="37"/>
      <c r="K122" s="37"/>
    </row>
    <row r="123" spans="1:11" hidden="1" x14ac:dyDescent="0.2">
      <c r="A123" s="137" t="str">
        <f>IF(ISERROR(VLOOKUP(D123,БДР!A:A,1,0))=TRUE,"не попало в БДР","ok")</f>
        <v>не попало в БДР</v>
      </c>
      <c r="B123" s="36"/>
      <c r="C123" s="143" t="str">
        <f>IF(B123="","",VLOOKUP(MONTH(B123),Справочники!$X$4:$Y$15,2,0)&amp;"_"&amp;YEAR(B123))</f>
        <v/>
      </c>
      <c r="D123" s="37"/>
      <c r="E123" s="37"/>
      <c r="F123" s="38"/>
      <c r="G123" s="220" t="str">
        <f t="shared" si="6"/>
        <v/>
      </c>
      <c r="H123" s="220" t="str">
        <f t="shared" si="7"/>
        <v/>
      </c>
      <c r="I123" s="221"/>
      <c r="J123" s="37"/>
      <c r="K123" s="37"/>
    </row>
    <row r="124" spans="1:11" hidden="1" x14ac:dyDescent="0.2">
      <c r="A124" s="137" t="str">
        <f>IF(ISERROR(VLOOKUP(D124,БДР!A:A,1,0))=TRUE,"не попало в БДР","ok")</f>
        <v>не попало в БДР</v>
      </c>
      <c r="B124" s="36"/>
      <c r="C124" s="143" t="str">
        <f>IF(B124="","",VLOOKUP(MONTH(B124),Справочники!$X$4:$Y$15,2,0)&amp;"_"&amp;YEAR(B124))</f>
        <v/>
      </c>
      <c r="D124" s="37"/>
      <c r="E124" s="37"/>
      <c r="F124" s="38"/>
      <c r="G124" s="220" t="str">
        <f t="shared" si="6"/>
        <v/>
      </c>
      <c r="H124" s="220" t="str">
        <f t="shared" si="7"/>
        <v/>
      </c>
      <c r="I124" s="221"/>
      <c r="J124" s="37"/>
      <c r="K124" s="37"/>
    </row>
    <row r="125" spans="1:11" hidden="1" x14ac:dyDescent="0.2">
      <c r="A125" s="137" t="str">
        <f>IF(ISERROR(VLOOKUP(D125,БДР!A:A,1,0))=TRUE,"не попало в БДР","ok")</f>
        <v>не попало в БДР</v>
      </c>
      <c r="B125" s="36"/>
      <c r="C125" s="143" t="str">
        <f>IF(B125="","",VLOOKUP(MONTH(B125),Справочники!$X$4:$Y$15,2,0)&amp;"_"&amp;YEAR(B125))</f>
        <v/>
      </c>
      <c r="D125" s="37"/>
      <c r="E125" s="37"/>
      <c r="F125" s="38"/>
      <c r="G125" s="220" t="str">
        <f t="shared" si="6"/>
        <v/>
      </c>
      <c r="H125" s="220" t="str">
        <f t="shared" si="7"/>
        <v/>
      </c>
      <c r="I125" s="221"/>
      <c r="J125" s="37"/>
      <c r="K125" s="37"/>
    </row>
    <row r="126" spans="1:11" hidden="1" x14ac:dyDescent="0.2">
      <c r="A126" s="137" t="str">
        <f>IF(ISERROR(VLOOKUP(D126,БДР!A:A,1,0))=TRUE,"не попало в БДР","ok")</f>
        <v>не попало в БДР</v>
      </c>
      <c r="B126" s="36"/>
      <c r="C126" s="143" t="str">
        <f>IF(B126="","",VLOOKUP(MONTH(B126),Справочники!$X$4:$Y$15,2,0)&amp;"_"&amp;YEAR(B126))</f>
        <v/>
      </c>
      <c r="D126" s="37"/>
      <c r="E126" s="37"/>
      <c r="F126" s="38"/>
      <c r="G126" s="220" t="str">
        <f t="shared" si="6"/>
        <v/>
      </c>
      <c r="H126" s="220" t="str">
        <f t="shared" si="7"/>
        <v/>
      </c>
      <c r="I126" s="221"/>
      <c r="J126" s="37"/>
      <c r="K126" s="37"/>
    </row>
    <row r="127" spans="1:11" hidden="1" x14ac:dyDescent="0.2">
      <c r="A127" s="137" t="str">
        <f>IF(ISERROR(VLOOKUP(D127,БДР!A:A,1,0))=TRUE,"не попало в БДР","ok")</f>
        <v>не попало в БДР</v>
      </c>
      <c r="B127" s="36"/>
      <c r="C127" s="143" t="str">
        <f>IF(B127="","",VLOOKUP(MONTH(B127),Справочники!$X$4:$Y$15,2,0)&amp;"_"&amp;YEAR(B127))</f>
        <v/>
      </c>
      <c r="D127" s="37"/>
      <c r="E127" s="37"/>
      <c r="F127" s="38"/>
      <c r="G127" s="220" t="str">
        <f t="shared" si="6"/>
        <v/>
      </c>
      <c r="H127" s="220" t="str">
        <f t="shared" si="7"/>
        <v/>
      </c>
      <c r="I127" s="221"/>
      <c r="J127" s="37"/>
      <c r="K127" s="37"/>
    </row>
    <row r="128" spans="1:11" hidden="1" x14ac:dyDescent="0.2">
      <c r="A128" s="137" t="str">
        <f>IF(ISERROR(VLOOKUP(D128,БДР!A:A,1,0))=TRUE,"не попало в БДР","ok")</f>
        <v>не попало в БДР</v>
      </c>
      <c r="B128" s="36"/>
      <c r="C128" s="143" t="str">
        <f>IF(B128="","",VLOOKUP(MONTH(B128),Справочники!$X$4:$Y$15,2,0)&amp;"_"&amp;YEAR(B128))</f>
        <v/>
      </c>
      <c r="D128" s="37"/>
      <c r="E128" s="37"/>
      <c r="F128" s="38"/>
      <c r="G128" s="220" t="str">
        <f t="shared" si="6"/>
        <v/>
      </c>
      <c r="H128" s="220" t="str">
        <f t="shared" si="7"/>
        <v/>
      </c>
      <c r="I128" s="221"/>
      <c r="J128" s="37"/>
      <c r="K128" s="37"/>
    </row>
    <row r="129" spans="1:11" hidden="1" x14ac:dyDescent="0.2">
      <c r="A129" s="137" t="str">
        <f>IF(ISERROR(VLOOKUP(D129,БДР!A:A,1,0))=TRUE,"не попало в БДР","ok")</f>
        <v>не попало в БДР</v>
      </c>
      <c r="B129" s="36"/>
      <c r="C129" s="143" t="str">
        <f>IF(B129="","",VLOOKUP(MONTH(B129),Справочники!$X$4:$Y$15,2,0)&amp;"_"&amp;YEAR(B129))</f>
        <v/>
      </c>
      <c r="D129" s="37"/>
      <c r="E129" s="37"/>
      <c r="F129" s="38"/>
      <c r="G129" s="220" t="str">
        <f t="shared" si="6"/>
        <v/>
      </c>
      <c r="H129" s="220" t="str">
        <f t="shared" si="7"/>
        <v/>
      </c>
      <c r="I129" s="221"/>
      <c r="J129" s="37"/>
      <c r="K129" s="37"/>
    </row>
    <row r="130" spans="1:11" hidden="1" x14ac:dyDescent="0.2">
      <c r="A130" s="137" t="str">
        <f>IF(ISERROR(VLOOKUP(D130,БДР!A:A,1,0))=TRUE,"не попало в БДР","ok")</f>
        <v>не попало в БДР</v>
      </c>
      <c r="B130" s="36"/>
      <c r="C130" s="143" t="str">
        <f>IF(B130="","",VLOOKUP(MONTH(B130),Справочники!$X$4:$Y$15,2,0)&amp;"_"&amp;YEAR(B130))</f>
        <v/>
      </c>
      <c r="D130" s="37"/>
      <c r="E130" s="37"/>
      <c r="F130" s="38"/>
      <c r="G130" s="220" t="str">
        <f t="shared" si="6"/>
        <v/>
      </c>
      <c r="H130" s="220" t="str">
        <f t="shared" si="7"/>
        <v/>
      </c>
      <c r="I130" s="221"/>
      <c r="J130" s="37"/>
      <c r="K130" s="37"/>
    </row>
    <row r="131" spans="1:11" hidden="1" x14ac:dyDescent="0.2">
      <c r="A131" s="137" t="str">
        <f>IF(ISERROR(VLOOKUP(D131,БДР!A:A,1,0))=TRUE,"не попало в БДР","ok")</f>
        <v>не попало в БДР</v>
      </c>
      <c r="B131" s="36"/>
      <c r="C131" s="143" t="str">
        <f>IF(B131="","",VLOOKUP(MONTH(B131),Справочники!$X$4:$Y$15,2,0)&amp;"_"&amp;YEAR(B131))</f>
        <v/>
      </c>
      <c r="D131" s="37"/>
      <c r="E131" s="37"/>
      <c r="F131" s="38"/>
      <c r="G131" s="220" t="str">
        <f t="shared" si="6"/>
        <v/>
      </c>
      <c r="H131" s="220" t="str">
        <f t="shared" si="7"/>
        <v/>
      </c>
      <c r="I131" s="221"/>
      <c r="J131" s="37"/>
      <c r="K131" s="37"/>
    </row>
    <row r="132" spans="1:11" hidden="1" x14ac:dyDescent="0.2">
      <c r="A132" s="137" t="str">
        <f>IF(ISERROR(VLOOKUP(D132,БДР!A:A,1,0))=TRUE,"не попало в БДР","ok")</f>
        <v>не попало в БДР</v>
      </c>
      <c r="B132" s="36"/>
      <c r="C132" s="143" t="str">
        <f>IF(B132="","",VLOOKUP(MONTH(B132),Справочники!$X$4:$Y$15,2,0)&amp;"_"&amp;YEAR(B132))</f>
        <v/>
      </c>
      <c r="D132" s="37"/>
      <c r="E132" s="37"/>
      <c r="F132" s="38"/>
      <c r="G132" s="220" t="str">
        <f t="shared" si="6"/>
        <v/>
      </c>
      <c r="H132" s="220" t="str">
        <f t="shared" si="7"/>
        <v/>
      </c>
      <c r="I132" s="221"/>
      <c r="J132" s="37"/>
      <c r="K132" s="37"/>
    </row>
    <row r="133" spans="1:11" hidden="1" x14ac:dyDescent="0.2">
      <c r="A133" s="137" t="str">
        <f>IF(ISERROR(VLOOKUP(D133,БДР!A:A,1,0))=TRUE,"не попало в БДР","ok")</f>
        <v>не попало в БДР</v>
      </c>
      <c r="B133" s="36"/>
      <c r="C133" s="143" t="str">
        <f>IF(B133="","",VLOOKUP(MONTH(B133),Справочники!$X$4:$Y$15,2,0)&amp;"_"&amp;YEAR(B133))</f>
        <v/>
      </c>
      <c r="D133" s="37"/>
      <c r="E133" s="37"/>
      <c r="F133" s="38"/>
      <c r="G133" s="220" t="str">
        <f t="shared" si="6"/>
        <v/>
      </c>
      <c r="H133" s="220" t="str">
        <f t="shared" si="7"/>
        <v/>
      </c>
      <c r="I133" s="221"/>
      <c r="J133" s="37"/>
      <c r="K133" s="37"/>
    </row>
    <row r="134" spans="1:11" hidden="1" x14ac:dyDescent="0.2">
      <c r="A134" s="137" t="str">
        <f>IF(ISERROR(VLOOKUP(D134,БДР!A:A,1,0))=TRUE,"не попало в БДР","ok")</f>
        <v>не попало в БДР</v>
      </c>
      <c r="B134" s="36"/>
      <c r="C134" s="143" t="str">
        <f>IF(B134="","",VLOOKUP(MONTH(B134),Справочники!$X$4:$Y$15,2,0)&amp;"_"&amp;YEAR(B134))</f>
        <v/>
      </c>
      <c r="D134" s="37"/>
      <c r="E134" s="37"/>
      <c r="F134" s="38"/>
      <c r="G134" s="220" t="str">
        <f t="shared" si="6"/>
        <v/>
      </c>
      <c r="H134" s="220" t="str">
        <f t="shared" si="7"/>
        <v/>
      </c>
      <c r="I134" s="221"/>
      <c r="J134" s="37"/>
      <c r="K134" s="37"/>
    </row>
    <row r="135" spans="1:11" hidden="1" x14ac:dyDescent="0.2">
      <c r="A135" s="137" t="str">
        <f>IF(ISERROR(VLOOKUP(D135,БДР!A:A,1,0))=TRUE,"не попало в БДР","ok")</f>
        <v>не попало в БДР</v>
      </c>
      <c r="B135" s="36"/>
      <c r="C135" s="143" t="str">
        <f>IF(B135="","",VLOOKUP(MONTH(B135),Справочники!$X$4:$Y$15,2,0)&amp;"_"&amp;YEAR(B135))</f>
        <v/>
      </c>
      <c r="D135" s="37"/>
      <c r="E135" s="37"/>
      <c r="F135" s="38"/>
      <c r="G135" s="220" t="str">
        <f t="shared" si="6"/>
        <v/>
      </c>
      <c r="H135" s="220" t="str">
        <f t="shared" si="7"/>
        <v/>
      </c>
      <c r="I135" s="221"/>
      <c r="J135" s="37"/>
      <c r="K135" s="37"/>
    </row>
    <row r="136" spans="1:11" hidden="1" x14ac:dyDescent="0.2">
      <c r="A136" s="137" t="str">
        <f>IF(ISERROR(VLOOKUP(D136,БДР!A:A,1,0))=TRUE,"не попало в БДР","ok")</f>
        <v>не попало в БДР</v>
      </c>
      <c r="B136" s="36"/>
      <c r="C136" s="143" t="str">
        <f>IF(B136="","",VLOOKUP(MONTH(B136),Справочники!$X$4:$Y$15,2,0)&amp;"_"&amp;YEAR(B136))</f>
        <v/>
      </c>
      <c r="D136" s="37"/>
      <c r="E136" s="37"/>
      <c r="F136" s="38"/>
      <c r="G136" s="220" t="str">
        <f t="shared" si="6"/>
        <v/>
      </c>
      <c r="H136" s="220" t="str">
        <f t="shared" si="7"/>
        <v/>
      </c>
      <c r="I136" s="221"/>
      <c r="J136" s="37"/>
      <c r="K136" s="37"/>
    </row>
    <row r="137" spans="1:11" hidden="1" x14ac:dyDescent="0.2">
      <c r="A137" s="137" t="str">
        <f>IF(ISERROR(VLOOKUP(D137,БДР!A:A,1,0))=TRUE,"не попало в БДР","ok")</f>
        <v>не попало в БДР</v>
      </c>
      <c r="B137" s="36"/>
      <c r="C137" s="143" t="str">
        <f>IF(B137="","",VLOOKUP(MONTH(B137),Справочники!$X$4:$Y$15,2,0)&amp;"_"&amp;YEAR(B137))</f>
        <v/>
      </c>
      <c r="D137" s="37"/>
      <c r="E137" s="37"/>
      <c r="F137" s="38"/>
      <c r="G137" s="220" t="str">
        <f t="shared" si="6"/>
        <v/>
      </c>
      <c r="H137" s="220" t="str">
        <f t="shared" si="7"/>
        <v/>
      </c>
      <c r="I137" s="221"/>
      <c r="J137" s="37"/>
      <c r="K137" s="37"/>
    </row>
    <row r="138" spans="1:11" hidden="1" x14ac:dyDescent="0.2">
      <c r="A138" s="137" t="str">
        <f>IF(ISERROR(VLOOKUP(D138,БДР!A:A,1,0))=TRUE,"не попало в БДР","ok")</f>
        <v>не попало в БДР</v>
      </c>
      <c r="B138" s="36"/>
      <c r="C138" s="143" t="str">
        <f>IF(B138="","",VLOOKUP(MONTH(B138),Справочники!$X$4:$Y$15,2,0)&amp;"_"&amp;YEAR(B138))</f>
        <v/>
      </c>
      <c r="D138" s="37"/>
      <c r="E138" s="37"/>
      <c r="F138" s="38"/>
      <c r="G138" s="220" t="str">
        <f t="shared" si="6"/>
        <v/>
      </c>
      <c r="H138" s="220" t="str">
        <f t="shared" si="7"/>
        <v/>
      </c>
      <c r="I138" s="221"/>
      <c r="J138" s="37"/>
      <c r="K138" s="37"/>
    </row>
    <row r="139" spans="1:11" hidden="1" x14ac:dyDescent="0.2">
      <c r="A139" s="137" t="str">
        <f>IF(ISERROR(VLOOKUP(D139,БДР!A:A,1,0))=TRUE,"не попало в БДР","ok")</f>
        <v>не попало в БДР</v>
      </c>
      <c r="B139" s="36"/>
      <c r="C139" s="143" t="str">
        <f>IF(B139="","",VLOOKUP(MONTH(B139),Справочники!$X$4:$Y$15,2,0)&amp;"_"&amp;YEAR(B139))</f>
        <v/>
      </c>
      <c r="D139" s="37"/>
      <c r="E139" s="37"/>
      <c r="F139" s="38"/>
      <c r="G139" s="220" t="str">
        <f t="shared" si="0"/>
        <v/>
      </c>
      <c r="H139" s="220" t="str">
        <f t="shared" si="1"/>
        <v/>
      </c>
      <c r="I139" s="221"/>
      <c r="J139" s="37"/>
      <c r="K139" s="37"/>
    </row>
  </sheetData>
  <sheetProtection formatCells="0" formatColumns="0" formatRows="0" autoFilter="0" pivotTables="0"/>
  <autoFilter ref="B4:K139" xr:uid="{00000000-0009-0000-0000-000007000000}"/>
  <dataValidations count="3">
    <dataValidation type="list" allowBlank="1" showInputMessage="1" showErrorMessage="1" prompt="Выбрать из списка" sqref="F139" xr:uid="{00000000-0002-0000-0700-000000000000}">
      <formula1>"0%,10%,18%"</formula1>
    </dataValidation>
    <dataValidation type="date" allowBlank="1" showInputMessage="1" showErrorMessage="1" sqref="B5:B139" xr:uid="{00000000-0002-0000-0700-000001000000}">
      <formula1>41640</formula1>
      <formula2>55153</formula2>
    </dataValidation>
    <dataValidation type="list" allowBlank="1" showInputMessage="1" showErrorMessage="1" prompt="Выбрать из списка" sqref="F5:F138" xr:uid="{00000000-0002-0000-0700-000002000000}">
      <formula1>"0%,10%,18%,20%"</formula1>
    </dataValidation>
  </dataValidations>
  <pageMargins left="0.70866141732283472" right="0.70866141732283472" top="0.15748031496062992" bottom="0.15748031496062992" header="0.31496062992125984" footer="0.31496062992125984"/>
  <pageSetup paperSize="9" scale="6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99060</xdr:rowOff>
                  </from>
                  <to>
                    <xdr:col>4</xdr:col>
                    <xdr:colOff>845820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3000000}">
          <x14:formula1>
            <xm:f>'Справочник статей'!$D$2:$D$6</xm:f>
          </x14:formula1>
          <xm:sqref>D5:D139</xm:sqref>
        </x14:dataValidation>
        <x14:dataValidation type="list" allowBlank="1" showInputMessage="1" showErrorMessage="1" prompt="Выбрать из списка" xr:uid="{00000000-0002-0000-0700-000004000000}">
          <x14:formula1>
            <xm:f>Справочники!$Q$3:$Q$8</xm:f>
          </x14:formula1>
          <xm:sqref>J5:J139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>
    <tabColor theme="6" tint="0.79998168889431442"/>
    <pageSetUpPr fitToPage="1"/>
  </sheetPr>
  <dimension ref="A1:K259"/>
  <sheetViews>
    <sheetView showGridLines="0" workbookViewId="0">
      <pane ySplit="4" topLeftCell="A5" activePane="bottomLeft" state="frozen"/>
      <selection activeCell="D9" sqref="D9"/>
      <selection pane="bottomLeft" activeCell="I13" sqref="I13"/>
    </sheetView>
  </sheetViews>
  <sheetFormatPr defaultColWidth="9.109375" defaultRowHeight="10.199999999999999" x14ac:dyDescent="0.2"/>
  <cols>
    <col min="1" max="1" width="13.33203125" style="137" bestFit="1" customWidth="1"/>
    <col min="2" max="2" width="10.88671875" style="139" customWidth="1"/>
    <col min="3" max="3" width="13.5546875" style="139" customWidth="1"/>
    <col min="4" max="4" width="41.6640625" style="139" customWidth="1"/>
    <col min="5" max="5" width="33.6640625" style="139" customWidth="1"/>
    <col min="6" max="6" width="11.88671875" style="139" customWidth="1"/>
    <col min="7" max="7" width="17.5546875" style="222" customWidth="1"/>
    <col min="8" max="8" width="13" style="222" customWidth="1"/>
    <col min="9" max="9" width="14.44140625" style="222" customWidth="1"/>
    <col min="10" max="10" width="15.44140625" style="139" customWidth="1"/>
    <col min="11" max="11" width="40.44140625" style="139" customWidth="1"/>
    <col min="12" max="16384" width="9.109375" style="139"/>
  </cols>
  <sheetData>
    <row r="1" spans="1:11" x14ac:dyDescent="0.2">
      <c r="B1" s="138" t="s">
        <v>382</v>
      </c>
      <c r="C1" s="138"/>
    </row>
    <row r="2" spans="1:11" x14ac:dyDescent="0.2">
      <c r="B2" s="140"/>
    </row>
    <row r="4" spans="1:11" x14ac:dyDescent="0.2">
      <c r="A4" s="137" t="s">
        <v>228</v>
      </c>
      <c r="B4" s="141" t="s">
        <v>173</v>
      </c>
      <c r="C4" s="141" t="s">
        <v>229</v>
      </c>
      <c r="D4" s="142" t="s">
        <v>199</v>
      </c>
      <c r="E4" s="142" t="s">
        <v>174</v>
      </c>
      <c r="F4" s="142" t="s">
        <v>230</v>
      </c>
      <c r="G4" s="223" t="s">
        <v>270</v>
      </c>
      <c r="H4" s="223" t="s">
        <v>231</v>
      </c>
      <c r="I4" s="223" t="s">
        <v>232</v>
      </c>
      <c r="J4" s="142" t="s">
        <v>175</v>
      </c>
      <c r="K4" s="142" t="s">
        <v>22</v>
      </c>
    </row>
    <row r="5" spans="1:11" x14ac:dyDescent="0.2">
      <c r="A5" s="137" t="str">
        <f>IF(ISERROR(VLOOKUP(D5,БДР!A:A,1,0))=TRUE,"не попало в БДР","ok")</f>
        <v>ok</v>
      </c>
      <c r="B5" s="36">
        <v>45170</v>
      </c>
      <c r="C5" s="143" t="str">
        <f>IF(B5="","",VLOOKUP(MONTH(B5),Справочники!$X$4:$Y$15,2,0)&amp;"_"&amp;YEAR(B5))</f>
        <v>Сентябрь_2023</v>
      </c>
      <c r="D5" s="37" t="s">
        <v>224</v>
      </c>
      <c r="E5" s="37" t="s">
        <v>469</v>
      </c>
      <c r="F5" s="38">
        <v>0.2</v>
      </c>
      <c r="G5" s="220">
        <f>IF(ISERROR(I5-H5)=TRUE,"",I5-H5)</f>
        <v>100000</v>
      </c>
      <c r="H5" s="220">
        <f>IF(I5="","",I5/(1+F5))</f>
        <v>500000</v>
      </c>
      <c r="I5" s="221">
        <v>600000</v>
      </c>
      <c r="J5" s="37" t="s">
        <v>473</v>
      </c>
      <c r="K5" s="37"/>
    </row>
    <row r="6" spans="1:11" x14ac:dyDescent="0.2">
      <c r="A6" s="137" t="str">
        <f>IF(ISERROR(VLOOKUP(D6,БДР!A:A,1,0))=TRUE,"не попало в БДР","ok")</f>
        <v>ok</v>
      </c>
      <c r="B6" s="36">
        <v>45170</v>
      </c>
      <c r="C6" s="143" t="str">
        <f>IF(B6="","",VLOOKUP(MONTH(B6),Справочники!$X$4:$Y$15,2,0)&amp;"_"&amp;YEAR(B6))</f>
        <v>Сентябрь_2023</v>
      </c>
      <c r="D6" s="37" t="s">
        <v>418</v>
      </c>
      <c r="E6" s="37" t="s">
        <v>470</v>
      </c>
      <c r="F6" s="38">
        <v>0.2</v>
      </c>
      <c r="G6" s="220">
        <f t="shared" ref="G6:G141" si="0">IF(ISERROR(I6-H6)=TRUE,"",I6-H6)</f>
        <v>133333.33333333326</v>
      </c>
      <c r="H6" s="220">
        <f>IF(I6="","",I6/(1+F6))</f>
        <v>666666.66666666674</v>
      </c>
      <c r="I6" s="221">
        <v>800000</v>
      </c>
      <c r="J6" s="37" t="s">
        <v>473</v>
      </c>
      <c r="K6" s="37"/>
    </row>
    <row r="7" spans="1:11" x14ac:dyDescent="0.2">
      <c r="A7" s="137" t="str">
        <f>IF(ISERROR(VLOOKUP(D7,БДР!A:A,1,0))=TRUE,"не попало в БДР","ok")</f>
        <v>ok</v>
      </c>
      <c r="B7" s="36">
        <v>45291</v>
      </c>
      <c r="C7" s="143" t="str">
        <f>IF(B7="","",VLOOKUP(MONTH(B7),Справочники!$X$4:$Y$15,2,0)&amp;"_"&amp;YEAR(B7))</f>
        <v>Декабрь_2023</v>
      </c>
      <c r="D7" s="37" t="s">
        <v>212</v>
      </c>
      <c r="E7" s="37"/>
      <c r="F7" s="38">
        <v>0</v>
      </c>
      <c r="G7" s="220">
        <f t="shared" si="0"/>
        <v>0</v>
      </c>
      <c r="H7" s="220">
        <f t="shared" ref="H7:H141" si="1">IF(I7="","",I7/(1+F7))</f>
        <v>700000</v>
      </c>
      <c r="I7" s="221">
        <v>700000</v>
      </c>
      <c r="J7" s="37" t="s">
        <v>473</v>
      </c>
      <c r="K7" s="37"/>
    </row>
    <row r="8" spans="1:11" x14ac:dyDescent="0.2">
      <c r="A8" s="137" t="str">
        <f>IF(ISERROR(VLOOKUP(D8,БДР!A:A,1,0))=TRUE,"не попало в БДР","ok")</f>
        <v>ok</v>
      </c>
      <c r="B8" s="36">
        <v>45189</v>
      </c>
      <c r="C8" s="143" t="str">
        <f>IF(B8="","",VLOOKUP(MONTH(B8),Справочники!$X$4:$Y$15,2,0)&amp;"_"&amp;YEAR(B8))</f>
        <v>Сентябрь_2023</v>
      </c>
      <c r="D8" s="37" t="s">
        <v>177</v>
      </c>
      <c r="E8" s="37" t="s">
        <v>530</v>
      </c>
      <c r="F8" s="38">
        <v>0.2</v>
      </c>
      <c r="G8" s="220">
        <f t="shared" si="0"/>
        <v>68333.333333333314</v>
      </c>
      <c r="H8" s="220">
        <f t="shared" si="1"/>
        <v>341666.66666666669</v>
      </c>
      <c r="I8" s="221">
        <v>410000</v>
      </c>
      <c r="J8" s="37" t="s">
        <v>473</v>
      </c>
      <c r="K8" s="37"/>
    </row>
    <row r="9" spans="1:11" x14ac:dyDescent="0.2">
      <c r="A9" s="137" t="str">
        <f>IF(ISERROR(VLOOKUP(D9,БДР!A:A,1,0))=TRUE,"не попало в БДР","ok")</f>
        <v>ok</v>
      </c>
      <c r="B9" s="36">
        <v>45291</v>
      </c>
      <c r="C9" s="143" t="str">
        <f>IF(B9="","",VLOOKUP(MONTH(B9),Справочники!$X$4:$Y$15,2,0)&amp;"_"&amp;YEAR(B9))</f>
        <v>Декабрь_2023</v>
      </c>
      <c r="D9" s="37" t="s">
        <v>279</v>
      </c>
      <c r="E9" s="37" t="s">
        <v>531</v>
      </c>
      <c r="F9" s="38">
        <v>0.1</v>
      </c>
      <c r="G9" s="220">
        <f t="shared" si="0"/>
        <v>9090.9090909091028</v>
      </c>
      <c r="H9" s="220">
        <f t="shared" si="1"/>
        <v>90909.090909090897</v>
      </c>
      <c r="I9" s="221">
        <v>100000</v>
      </c>
      <c r="J9" s="37" t="s">
        <v>473</v>
      </c>
      <c r="K9" s="37"/>
    </row>
    <row r="10" spans="1:11" x14ac:dyDescent="0.2">
      <c r="A10" s="137" t="str">
        <f>IF(ISERROR(VLOOKUP(D10,БДР!A:A,1,0))=TRUE,"не попало в БДР","ok")</f>
        <v>ok</v>
      </c>
      <c r="B10" s="36">
        <v>45202</v>
      </c>
      <c r="C10" s="143" t="str">
        <f>IF(B10="","",VLOOKUP(MONTH(B10),Справочники!$X$4:$Y$15,2,0)&amp;"_"&amp;YEAR(B10))</f>
        <v>Октябрь_2023</v>
      </c>
      <c r="D10" s="37" t="s">
        <v>226</v>
      </c>
      <c r="E10" s="37" t="s">
        <v>470</v>
      </c>
      <c r="F10" s="38">
        <v>0.2</v>
      </c>
      <c r="G10" s="220">
        <f t="shared" si="0"/>
        <v>50000</v>
      </c>
      <c r="H10" s="220">
        <f t="shared" si="1"/>
        <v>250000</v>
      </c>
      <c r="I10" s="221">
        <v>300000</v>
      </c>
      <c r="J10" s="37" t="s">
        <v>473</v>
      </c>
      <c r="K10" s="37"/>
    </row>
    <row r="11" spans="1:11" x14ac:dyDescent="0.2">
      <c r="A11" s="137" t="str">
        <f>IF(ISERROR(VLOOKUP(D11,БДР!A:A,1,0))=TRUE,"не попало в БДР","ok")</f>
        <v>ok</v>
      </c>
      <c r="B11" s="36">
        <v>45259</v>
      </c>
      <c r="C11" s="143" t="str">
        <f>IF(B11="","",VLOOKUP(MONTH(B11),Справочники!$X$4:$Y$15,2,0)&amp;"_"&amp;YEAR(B11))</f>
        <v>Ноябрь_2023</v>
      </c>
      <c r="D11" s="37" t="s">
        <v>179</v>
      </c>
      <c r="E11" s="37" t="s">
        <v>532</v>
      </c>
      <c r="F11" s="38">
        <v>0.2</v>
      </c>
      <c r="G11" s="220">
        <f t="shared" si="0"/>
        <v>166666.66666666663</v>
      </c>
      <c r="H11" s="220">
        <f t="shared" si="1"/>
        <v>833333.33333333337</v>
      </c>
      <c r="I11" s="221">
        <v>1000000</v>
      </c>
      <c r="J11" s="37" t="s">
        <v>473</v>
      </c>
      <c r="K11" s="37"/>
    </row>
    <row r="12" spans="1:11" x14ac:dyDescent="0.2">
      <c r="A12" s="137" t="str">
        <f>IF(ISERROR(VLOOKUP(D12,БДР!A:A,1,0))=TRUE,"не попало в БДР","ok")</f>
        <v>ok</v>
      </c>
      <c r="B12" s="36">
        <v>45291</v>
      </c>
      <c r="C12" s="143" t="str">
        <f>IF(B12="","",VLOOKUP(MONTH(B12),Справочники!$X$4:$Y$15,2,0)&amp;"_"&amp;YEAR(B12))</f>
        <v>Декабрь_2023</v>
      </c>
      <c r="D12" s="37" t="s">
        <v>181</v>
      </c>
      <c r="E12" s="37" t="s">
        <v>532</v>
      </c>
      <c r="F12" s="38">
        <v>0.2</v>
      </c>
      <c r="G12" s="220">
        <f t="shared" si="0"/>
        <v>131383.33333333326</v>
      </c>
      <c r="H12" s="220">
        <f t="shared" si="1"/>
        <v>656916.66666666674</v>
      </c>
      <c r="I12" s="221">
        <v>788300</v>
      </c>
      <c r="J12" s="37" t="s">
        <v>473</v>
      </c>
      <c r="K12" s="37"/>
    </row>
    <row r="13" spans="1:11" x14ac:dyDescent="0.2">
      <c r="A13" s="137" t="str">
        <f>IF(ISERROR(VLOOKUP(D13,БДР!A:A,1,0))=TRUE,"не попало в БДР","ok")</f>
        <v>не попало в БДР</v>
      </c>
      <c r="B13" s="36"/>
      <c r="C13" s="143"/>
      <c r="D13" s="37"/>
      <c r="E13" s="37"/>
      <c r="F13" s="38"/>
      <c r="G13" s="220"/>
      <c r="H13" s="220"/>
      <c r="I13" s="221"/>
      <c r="J13" s="37"/>
      <c r="K13" s="37"/>
    </row>
    <row r="14" spans="1:11" x14ac:dyDescent="0.2">
      <c r="A14" s="137" t="str">
        <f>IF(ISERROR(VLOOKUP(D14,БДР!A:A,1,0))=TRUE,"не попало в БДР","ok")</f>
        <v>не попало в БДР</v>
      </c>
      <c r="B14" s="36"/>
      <c r="C14" s="143" t="str">
        <f>IF(B14="","",VLOOKUP(MONTH(B14),Справочники!$X$4:$Y$15,2,0)&amp;"_"&amp;YEAR(B14))</f>
        <v/>
      </c>
      <c r="D14" s="37"/>
      <c r="E14" s="37"/>
      <c r="F14" s="38"/>
      <c r="G14" s="220" t="str">
        <f t="shared" si="0"/>
        <v/>
      </c>
      <c r="H14" s="220" t="str">
        <f t="shared" si="1"/>
        <v/>
      </c>
      <c r="I14" s="221"/>
      <c r="J14" s="37"/>
      <c r="K14" s="37"/>
    </row>
    <row r="15" spans="1:11" x14ac:dyDescent="0.2">
      <c r="A15" s="137" t="str">
        <f>IF(ISERROR(VLOOKUP(D15,БДР!A:A,1,0))=TRUE,"не попало в БДР","ok")</f>
        <v>не попало в БДР</v>
      </c>
      <c r="B15" s="36"/>
      <c r="C15" s="143" t="str">
        <f>IF(B15="","",VLOOKUP(MONTH(B15),Справочники!$X$4:$Y$15,2,0)&amp;"_"&amp;YEAR(B15))</f>
        <v/>
      </c>
      <c r="D15" s="37"/>
      <c r="E15" s="37"/>
      <c r="F15" s="38"/>
      <c r="G15" s="220" t="str">
        <f t="shared" si="0"/>
        <v/>
      </c>
      <c r="H15" s="220" t="str">
        <f t="shared" si="1"/>
        <v/>
      </c>
      <c r="I15" s="221"/>
      <c r="J15" s="37"/>
      <c r="K15" s="37"/>
    </row>
    <row r="16" spans="1:11" x14ac:dyDescent="0.2">
      <c r="A16" s="137" t="str">
        <f>IF(ISERROR(VLOOKUP(D16,БДР!A:A,1,0))=TRUE,"не попало в БДР","ok")</f>
        <v>не попало в БДР</v>
      </c>
      <c r="B16" s="36"/>
      <c r="C16" s="143" t="str">
        <f>IF(B16="","",VLOOKUP(MONTH(B16),Справочники!$X$4:$Y$15,2,0)&amp;"_"&amp;YEAR(B16))</f>
        <v/>
      </c>
      <c r="D16" s="37"/>
      <c r="E16" s="37"/>
      <c r="F16" s="38"/>
      <c r="G16" s="220" t="str">
        <f t="shared" si="0"/>
        <v/>
      </c>
      <c r="H16" s="220" t="str">
        <f t="shared" si="1"/>
        <v/>
      </c>
      <c r="I16" s="221"/>
      <c r="J16" s="37"/>
      <c r="K16" s="37"/>
    </row>
    <row r="17" spans="1:11" x14ac:dyDescent="0.2">
      <c r="A17" s="137" t="str">
        <f>IF(ISERROR(VLOOKUP(D17,БДР!A:A,1,0))=TRUE,"не попало в БДР","ok")</f>
        <v>не попало в БДР</v>
      </c>
      <c r="B17" s="36"/>
      <c r="C17" s="143" t="str">
        <f>IF(B17="","",VLOOKUP(MONTH(B17),Справочники!$X$4:$Y$15,2,0)&amp;"_"&amp;YEAR(B17))</f>
        <v/>
      </c>
      <c r="D17" s="37"/>
      <c r="E17" s="37"/>
      <c r="F17" s="38"/>
      <c r="G17" s="220" t="str">
        <f t="shared" si="0"/>
        <v/>
      </c>
      <c r="H17" s="220" t="str">
        <f t="shared" si="1"/>
        <v/>
      </c>
      <c r="I17" s="221"/>
      <c r="J17" s="37"/>
      <c r="K17" s="37"/>
    </row>
    <row r="18" spans="1:11" x14ac:dyDescent="0.2">
      <c r="A18" s="137" t="str">
        <f>IF(ISERROR(VLOOKUP(D18,БДР!A:A,1,0))=TRUE,"не попало в БДР","ok")</f>
        <v>не попало в БДР</v>
      </c>
      <c r="B18" s="36"/>
      <c r="C18" s="143" t="str">
        <f>IF(B18="","",VLOOKUP(MONTH(B18),Справочники!$X$4:$Y$15,2,0)&amp;"_"&amp;YEAR(B18))</f>
        <v/>
      </c>
      <c r="D18" s="37"/>
      <c r="E18" s="37"/>
      <c r="F18" s="38"/>
      <c r="G18" s="220" t="str">
        <f t="shared" si="0"/>
        <v/>
      </c>
      <c r="H18" s="220" t="str">
        <f t="shared" si="1"/>
        <v/>
      </c>
      <c r="I18" s="221"/>
      <c r="J18" s="37"/>
      <c r="K18" s="37"/>
    </row>
    <row r="19" spans="1:11" x14ac:dyDescent="0.2">
      <c r="A19" s="137" t="str">
        <f>IF(ISERROR(VLOOKUP(D19,БДР!A:A,1,0))=TRUE,"не попало в БДР","ok")</f>
        <v>не попало в БДР</v>
      </c>
      <c r="B19" s="36"/>
      <c r="C19" s="143" t="str">
        <f>IF(B19="","",VLOOKUP(MONTH(B19),Справочники!$X$4:$Y$15,2,0)&amp;"_"&amp;YEAR(B19))</f>
        <v/>
      </c>
      <c r="D19" s="37"/>
      <c r="E19" s="37"/>
      <c r="F19" s="38"/>
      <c r="G19" s="220" t="str">
        <f t="shared" si="0"/>
        <v/>
      </c>
      <c r="H19" s="220" t="str">
        <f t="shared" si="1"/>
        <v/>
      </c>
      <c r="I19" s="221"/>
      <c r="J19" s="37"/>
      <c r="K19" s="37"/>
    </row>
    <row r="20" spans="1:11" x14ac:dyDescent="0.2">
      <c r="A20" s="137" t="str">
        <f>IF(ISERROR(VLOOKUP(D20,БДР!A:A,1,0))=TRUE,"не попало в БДР","ok")</f>
        <v>не попало в БДР</v>
      </c>
      <c r="B20" s="36"/>
      <c r="C20" s="143" t="str">
        <f>IF(B20="","",VLOOKUP(MONTH(B20),Справочники!$X$4:$Y$15,2,0)&amp;"_"&amp;YEAR(B20))</f>
        <v/>
      </c>
      <c r="D20" s="37"/>
      <c r="E20" s="37"/>
      <c r="F20" s="38"/>
      <c r="G20" s="220" t="str">
        <f t="shared" si="0"/>
        <v/>
      </c>
      <c r="H20" s="220" t="str">
        <f t="shared" si="1"/>
        <v/>
      </c>
      <c r="I20" s="221"/>
      <c r="J20" s="37"/>
      <c r="K20" s="37"/>
    </row>
    <row r="21" spans="1:11" x14ac:dyDescent="0.2">
      <c r="A21" s="137" t="str">
        <f>IF(ISERROR(VLOOKUP(D21,БДР!A:A,1,0))=TRUE,"не попало в БДР","ok")</f>
        <v>не попало в БДР</v>
      </c>
      <c r="B21" s="36"/>
      <c r="C21" s="143" t="str">
        <f>IF(B21="","",VLOOKUP(MONTH(B21),Справочники!$X$4:$Y$15,2,0)&amp;"_"&amp;YEAR(B21))</f>
        <v/>
      </c>
      <c r="D21" s="37"/>
      <c r="E21" s="37"/>
      <c r="F21" s="38"/>
      <c r="G21" s="220" t="str">
        <f t="shared" si="0"/>
        <v/>
      </c>
      <c r="H21" s="220" t="str">
        <f t="shared" si="1"/>
        <v/>
      </c>
      <c r="I21" s="221"/>
      <c r="J21" s="37"/>
      <c r="K21" s="37"/>
    </row>
    <row r="22" spans="1:11" x14ac:dyDescent="0.2">
      <c r="A22" s="137" t="str">
        <f>IF(ISERROR(VLOOKUP(D22,БДР!A:A,1,0))=TRUE,"не попало в БДР","ok")</f>
        <v>не попало в БДР</v>
      </c>
      <c r="B22" s="36"/>
      <c r="C22" s="143" t="str">
        <f>IF(B22="","",VLOOKUP(MONTH(B22),Справочники!$X$4:$Y$15,2,0)&amp;"_"&amp;YEAR(B22))</f>
        <v/>
      </c>
      <c r="D22" s="37"/>
      <c r="E22" s="37"/>
      <c r="F22" s="38"/>
      <c r="G22" s="220" t="str">
        <f t="shared" si="0"/>
        <v/>
      </c>
      <c r="H22" s="220" t="str">
        <f t="shared" si="1"/>
        <v/>
      </c>
      <c r="I22" s="221"/>
      <c r="J22" s="37"/>
      <c r="K22" s="37"/>
    </row>
    <row r="23" spans="1:11" x14ac:dyDescent="0.2">
      <c r="A23" s="137" t="str">
        <f>IF(ISERROR(VLOOKUP(D23,БДР!A:A,1,0))=TRUE,"не попало в БДР","ok")</f>
        <v>не попало в БДР</v>
      </c>
      <c r="B23" s="36"/>
      <c r="C23" s="143" t="str">
        <f>IF(B23="","",VLOOKUP(MONTH(B23),Справочники!$X$4:$Y$15,2,0)&amp;"_"&amp;YEAR(B23))</f>
        <v/>
      </c>
      <c r="D23" s="37"/>
      <c r="E23" s="37"/>
      <c r="F23" s="38"/>
      <c r="G23" s="220" t="str">
        <f t="shared" si="0"/>
        <v/>
      </c>
      <c r="H23" s="220" t="str">
        <f t="shared" si="1"/>
        <v/>
      </c>
      <c r="I23" s="221"/>
      <c r="J23" s="37"/>
      <c r="K23" s="37"/>
    </row>
    <row r="24" spans="1:11" x14ac:dyDescent="0.2">
      <c r="A24" s="137" t="str">
        <f>IF(ISERROR(VLOOKUP(D24,БДР!A:A,1,0))=TRUE,"не попало в БДР","ok")</f>
        <v>не попало в БДР</v>
      </c>
      <c r="B24" s="36"/>
      <c r="C24" s="143" t="str">
        <f>IF(B24="","",VLOOKUP(MONTH(B24),Справочники!$X$4:$Y$15,2,0)&amp;"_"&amp;YEAR(B24))</f>
        <v/>
      </c>
      <c r="D24" s="37"/>
      <c r="E24" s="37"/>
      <c r="F24" s="38"/>
      <c r="G24" s="220" t="str">
        <f t="shared" si="0"/>
        <v/>
      </c>
      <c r="H24" s="220" t="str">
        <f t="shared" si="1"/>
        <v/>
      </c>
      <c r="I24" s="221"/>
      <c r="J24" s="37"/>
      <c r="K24" s="37"/>
    </row>
    <row r="25" spans="1:11" x14ac:dyDescent="0.2">
      <c r="A25" s="137" t="str">
        <f>IF(ISERROR(VLOOKUP(D25,БДР!A:A,1,0))=TRUE,"не попало в БДР","ok")</f>
        <v>не попало в БДР</v>
      </c>
      <c r="B25" s="36"/>
      <c r="C25" s="143" t="str">
        <f>IF(B25="","",VLOOKUP(MONTH(B25),Справочники!$X$4:$Y$15,2,0)&amp;"_"&amp;YEAR(B25))</f>
        <v/>
      </c>
      <c r="D25" s="37"/>
      <c r="E25" s="37"/>
      <c r="F25" s="38"/>
      <c r="G25" s="220" t="str">
        <f t="shared" si="0"/>
        <v/>
      </c>
      <c r="H25" s="220" t="str">
        <f t="shared" si="1"/>
        <v/>
      </c>
      <c r="I25" s="221"/>
      <c r="J25" s="37"/>
      <c r="K25" s="37"/>
    </row>
    <row r="26" spans="1:11" x14ac:dyDescent="0.2">
      <c r="A26" s="137" t="str">
        <f>IF(ISERROR(VLOOKUP(D26,БДР!A:A,1,0))=TRUE,"не попало в БДР","ok")</f>
        <v>не попало в БДР</v>
      </c>
      <c r="B26" s="36"/>
      <c r="C26" s="143" t="str">
        <f>IF(B26="","",VLOOKUP(MONTH(B26),Справочники!$X$4:$Y$15,2,0)&amp;"_"&amp;YEAR(B26))</f>
        <v/>
      </c>
      <c r="D26" s="37"/>
      <c r="E26" s="37"/>
      <c r="F26" s="38"/>
      <c r="G26" s="220" t="str">
        <f t="shared" si="0"/>
        <v/>
      </c>
      <c r="H26" s="220" t="str">
        <f t="shared" si="1"/>
        <v/>
      </c>
      <c r="I26" s="221"/>
      <c r="J26" s="37"/>
      <c r="K26" s="37"/>
    </row>
    <row r="27" spans="1:11" x14ac:dyDescent="0.2">
      <c r="A27" s="137" t="str">
        <f>IF(ISERROR(VLOOKUP(D27,БДР!A:A,1,0))=TRUE,"не попало в БДР","ok")</f>
        <v>не попало в БДР</v>
      </c>
      <c r="B27" s="36"/>
      <c r="C27" s="143" t="str">
        <f>IF(B27="","",VLOOKUP(MONTH(B27),Справочники!$X$4:$Y$15,2,0)&amp;"_"&amp;YEAR(B27))</f>
        <v/>
      </c>
      <c r="D27" s="37"/>
      <c r="E27" s="37"/>
      <c r="F27" s="38"/>
      <c r="G27" s="220" t="str">
        <f t="shared" ref="G27:G90" si="2">IF(ISERROR(I27-H27)=TRUE,"",I27-H27)</f>
        <v/>
      </c>
      <c r="H27" s="220" t="str">
        <f t="shared" ref="H27:H90" si="3">IF(I27="","",I27/(1+F27))</f>
        <v/>
      </c>
      <c r="I27" s="221"/>
      <c r="J27" s="37"/>
      <c r="K27" s="37"/>
    </row>
    <row r="28" spans="1:11" x14ac:dyDescent="0.2">
      <c r="A28" s="137" t="str">
        <f>IF(ISERROR(VLOOKUP(D28,БДР!A:A,1,0))=TRUE,"не попало в БДР","ok")</f>
        <v>не попало в БДР</v>
      </c>
      <c r="B28" s="36"/>
      <c r="C28" s="143" t="str">
        <f>IF(B28="","",VLOOKUP(MONTH(B28),Справочники!$X$4:$Y$15,2,0)&amp;"_"&amp;YEAR(B28))</f>
        <v/>
      </c>
      <c r="D28" s="37"/>
      <c r="E28" s="37"/>
      <c r="F28" s="38"/>
      <c r="G28" s="220" t="str">
        <f t="shared" si="2"/>
        <v/>
      </c>
      <c r="H28" s="220" t="str">
        <f t="shared" si="3"/>
        <v/>
      </c>
      <c r="I28" s="221"/>
      <c r="J28" s="37"/>
      <c r="K28" s="37"/>
    </row>
    <row r="29" spans="1:11" x14ac:dyDescent="0.2">
      <c r="A29" s="137" t="str">
        <f>IF(ISERROR(VLOOKUP(D29,БДР!A:A,1,0))=TRUE,"не попало в БДР","ok")</f>
        <v>не попало в БДР</v>
      </c>
      <c r="B29" s="36"/>
      <c r="C29" s="143" t="str">
        <f>IF(B29="","",VLOOKUP(MONTH(B29),Справочники!$X$4:$Y$15,2,0)&amp;"_"&amp;YEAR(B29))</f>
        <v/>
      </c>
      <c r="D29" s="37"/>
      <c r="E29" s="37"/>
      <c r="F29" s="38"/>
      <c r="G29" s="220" t="str">
        <f t="shared" si="2"/>
        <v/>
      </c>
      <c r="H29" s="220" t="str">
        <f t="shared" si="3"/>
        <v/>
      </c>
      <c r="I29" s="221"/>
      <c r="J29" s="37"/>
      <c r="K29" s="37"/>
    </row>
    <row r="30" spans="1:11" x14ac:dyDescent="0.2">
      <c r="A30" s="137" t="str">
        <f>IF(ISERROR(VLOOKUP(D30,БДР!A:A,1,0))=TRUE,"не попало в БДР","ok")</f>
        <v>не попало в БДР</v>
      </c>
      <c r="B30" s="36"/>
      <c r="C30" s="143" t="str">
        <f>IF(B30="","",VLOOKUP(MONTH(B30),Справочники!$X$4:$Y$15,2,0)&amp;"_"&amp;YEAR(B30))</f>
        <v/>
      </c>
      <c r="D30" s="37"/>
      <c r="E30" s="37"/>
      <c r="F30" s="38"/>
      <c r="G30" s="220" t="str">
        <f t="shared" si="2"/>
        <v/>
      </c>
      <c r="H30" s="220" t="str">
        <f t="shared" si="3"/>
        <v/>
      </c>
      <c r="I30" s="221"/>
      <c r="J30" s="37"/>
      <c r="K30" s="37"/>
    </row>
    <row r="31" spans="1:11" x14ac:dyDescent="0.2">
      <c r="A31" s="137" t="str">
        <f>IF(ISERROR(VLOOKUP(D31,БДР!A:A,1,0))=TRUE,"не попало в БДР","ok")</f>
        <v>не попало в БДР</v>
      </c>
      <c r="B31" s="36"/>
      <c r="C31" s="143" t="str">
        <f>IF(B31="","",VLOOKUP(MONTH(B31),Справочники!$X$4:$Y$15,2,0)&amp;"_"&amp;YEAR(B31))</f>
        <v/>
      </c>
      <c r="D31" s="37"/>
      <c r="E31" s="37"/>
      <c r="F31" s="38"/>
      <c r="G31" s="220" t="str">
        <f t="shared" si="2"/>
        <v/>
      </c>
      <c r="H31" s="220" t="str">
        <f t="shared" si="3"/>
        <v/>
      </c>
      <c r="I31" s="221"/>
      <c r="J31" s="37"/>
      <c r="K31" s="37"/>
    </row>
    <row r="32" spans="1:11" hidden="1" x14ac:dyDescent="0.2">
      <c r="A32" s="137" t="str">
        <f>IF(ISERROR(VLOOKUP(D32,БДР!A:A,1,0))=TRUE,"не попало в БДР","ok")</f>
        <v>не попало в БДР</v>
      </c>
      <c r="B32" s="36"/>
      <c r="C32" s="143" t="str">
        <f>IF(B32="","",VLOOKUP(MONTH(B32),Справочники!$X$4:$Y$15,2,0)&amp;"_"&amp;YEAR(B32))</f>
        <v/>
      </c>
      <c r="D32" s="37"/>
      <c r="E32" s="37"/>
      <c r="F32" s="38"/>
      <c r="G32" s="220" t="str">
        <f t="shared" si="2"/>
        <v/>
      </c>
      <c r="H32" s="220" t="str">
        <f t="shared" si="3"/>
        <v/>
      </c>
      <c r="I32" s="221"/>
      <c r="J32" s="37"/>
      <c r="K32" s="37"/>
    </row>
    <row r="33" spans="1:11" hidden="1" x14ac:dyDescent="0.2">
      <c r="A33" s="137" t="str">
        <f>IF(ISERROR(VLOOKUP(D33,БДР!A:A,1,0))=TRUE,"не попало в БДР","ok")</f>
        <v>не попало в БДР</v>
      </c>
      <c r="B33" s="36"/>
      <c r="C33" s="143" t="str">
        <f>IF(B33="","",VLOOKUP(MONTH(B33),Справочники!$X$4:$Y$15,2,0)&amp;"_"&amp;YEAR(B33))</f>
        <v/>
      </c>
      <c r="D33" s="37"/>
      <c r="E33" s="37"/>
      <c r="F33" s="38"/>
      <c r="G33" s="220" t="str">
        <f t="shared" si="2"/>
        <v/>
      </c>
      <c r="H33" s="220" t="str">
        <f t="shared" si="3"/>
        <v/>
      </c>
      <c r="I33" s="221"/>
      <c r="J33" s="37"/>
      <c r="K33" s="37"/>
    </row>
    <row r="34" spans="1:11" hidden="1" x14ac:dyDescent="0.2">
      <c r="A34" s="137" t="str">
        <f>IF(ISERROR(VLOOKUP(D34,БДР!A:A,1,0))=TRUE,"не попало в БДР","ok")</f>
        <v>не попало в БДР</v>
      </c>
      <c r="B34" s="36"/>
      <c r="C34" s="143" t="str">
        <f>IF(B34="","",VLOOKUP(MONTH(B34),Справочники!$X$4:$Y$15,2,0)&amp;"_"&amp;YEAR(B34))</f>
        <v/>
      </c>
      <c r="D34" s="37"/>
      <c r="E34" s="37"/>
      <c r="F34" s="38"/>
      <c r="G34" s="220" t="str">
        <f t="shared" si="2"/>
        <v/>
      </c>
      <c r="H34" s="220" t="str">
        <f t="shared" si="3"/>
        <v/>
      </c>
      <c r="I34" s="221"/>
      <c r="J34" s="37"/>
      <c r="K34" s="37"/>
    </row>
    <row r="35" spans="1:11" hidden="1" x14ac:dyDescent="0.2">
      <c r="A35" s="137" t="str">
        <f>IF(ISERROR(VLOOKUP(D35,БДР!A:A,1,0))=TRUE,"не попало в БДР","ok")</f>
        <v>не попало в БДР</v>
      </c>
      <c r="B35" s="36"/>
      <c r="C35" s="143" t="str">
        <f>IF(B35="","",VLOOKUP(MONTH(B35),Справочники!$X$4:$Y$15,2,0)&amp;"_"&amp;YEAR(B35))</f>
        <v/>
      </c>
      <c r="D35" s="37"/>
      <c r="E35" s="37"/>
      <c r="F35" s="38"/>
      <c r="G35" s="220" t="str">
        <f t="shared" si="2"/>
        <v/>
      </c>
      <c r="H35" s="220" t="str">
        <f t="shared" si="3"/>
        <v/>
      </c>
      <c r="I35" s="221"/>
      <c r="J35" s="37"/>
      <c r="K35" s="37"/>
    </row>
    <row r="36" spans="1:11" hidden="1" x14ac:dyDescent="0.2">
      <c r="A36" s="137" t="str">
        <f>IF(ISERROR(VLOOKUP(D36,БДР!A:A,1,0))=TRUE,"не попало в БДР","ok")</f>
        <v>не попало в БДР</v>
      </c>
      <c r="B36" s="36"/>
      <c r="C36" s="143" t="str">
        <f>IF(B36="","",VLOOKUP(MONTH(B36),Справочники!$X$4:$Y$15,2,0)&amp;"_"&amp;YEAR(B36))</f>
        <v/>
      </c>
      <c r="D36" s="37"/>
      <c r="E36" s="37"/>
      <c r="F36" s="38"/>
      <c r="G36" s="220" t="str">
        <f t="shared" si="2"/>
        <v/>
      </c>
      <c r="H36" s="220" t="str">
        <f t="shared" si="3"/>
        <v/>
      </c>
      <c r="I36" s="221"/>
      <c r="J36" s="37"/>
      <c r="K36" s="37"/>
    </row>
    <row r="37" spans="1:11" hidden="1" x14ac:dyDescent="0.2">
      <c r="A37" s="137" t="str">
        <f>IF(ISERROR(VLOOKUP(D37,БДР!A:A,1,0))=TRUE,"не попало в БДР","ok")</f>
        <v>не попало в БДР</v>
      </c>
      <c r="B37" s="36"/>
      <c r="C37" s="143" t="str">
        <f>IF(B37="","",VLOOKUP(MONTH(B37),Справочники!$X$4:$Y$15,2,0)&amp;"_"&amp;YEAR(B37))</f>
        <v/>
      </c>
      <c r="D37" s="37"/>
      <c r="E37" s="37"/>
      <c r="F37" s="38"/>
      <c r="G37" s="220" t="str">
        <f t="shared" si="2"/>
        <v/>
      </c>
      <c r="H37" s="220" t="str">
        <f t="shared" si="3"/>
        <v/>
      </c>
      <c r="I37" s="221"/>
      <c r="J37" s="37"/>
      <c r="K37" s="37"/>
    </row>
    <row r="38" spans="1:11" hidden="1" x14ac:dyDescent="0.2">
      <c r="A38" s="137" t="str">
        <f>IF(ISERROR(VLOOKUP(D38,БДР!A:A,1,0))=TRUE,"не попало в БДР","ok")</f>
        <v>не попало в БДР</v>
      </c>
      <c r="B38" s="36"/>
      <c r="C38" s="143" t="str">
        <f>IF(B38="","",VLOOKUP(MONTH(B38),Справочники!$X$4:$Y$15,2,0)&amp;"_"&amp;YEAR(B38))</f>
        <v/>
      </c>
      <c r="D38" s="37"/>
      <c r="E38" s="37"/>
      <c r="F38" s="38"/>
      <c r="G38" s="220" t="str">
        <f t="shared" si="2"/>
        <v/>
      </c>
      <c r="H38" s="220" t="str">
        <f t="shared" si="3"/>
        <v/>
      </c>
      <c r="I38" s="221"/>
      <c r="J38" s="37"/>
      <c r="K38" s="37"/>
    </row>
    <row r="39" spans="1:11" hidden="1" x14ac:dyDescent="0.2">
      <c r="A39" s="137" t="str">
        <f>IF(ISERROR(VLOOKUP(D39,БДР!A:A,1,0))=TRUE,"не попало в БДР","ok")</f>
        <v>не попало в БДР</v>
      </c>
      <c r="B39" s="36"/>
      <c r="C39" s="143" t="str">
        <f>IF(B39="","",VLOOKUP(MONTH(B39),Справочники!$X$4:$Y$15,2,0)&amp;"_"&amp;YEAR(B39))</f>
        <v/>
      </c>
      <c r="D39" s="37"/>
      <c r="E39" s="37"/>
      <c r="F39" s="38"/>
      <c r="G39" s="220" t="str">
        <f t="shared" si="2"/>
        <v/>
      </c>
      <c r="H39" s="220" t="str">
        <f t="shared" si="3"/>
        <v/>
      </c>
      <c r="I39" s="221"/>
      <c r="J39" s="37"/>
      <c r="K39" s="37"/>
    </row>
    <row r="40" spans="1:11" hidden="1" x14ac:dyDescent="0.2">
      <c r="A40" s="137" t="str">
        <f>IF(ISERROR(VLOOKUP(D40,БДР!A:A,1,0))=TRUE,"не попало в БДР","ok")</f>
        <v>не попало в БДР</v>
      </c>
      <c r="B40" s="36"/>
      <c r="C40" s="143" t="str">
        <f>IF(B40="","",VLOOKUP(MONTH(B40),Справочники!$X$4:$Y$15,2,0)&amp;"_"&amp;YEAR(B40))</f>
        <v/>
      </c>
      <c r="D40" s="37"/>
      <c r="E40" s="37"/>
      <c r="F40" s="38"/>
      <c r="G40" s="220" t="str">
        <f t="shared" si="2"/>
        <v/>
      </c>
      <c r="H40" s="220" t="str">
        <f t="shared" si="3"/>
        <v/>
      </c>
      <c r="I40" s="221"/>
      <c r="J40" s="37"/>
      <c r="K40" s="37"/>
    </row>
    <row r="41" spans="1:11" hidden="1" x14ac:dyDescent="0.2">
      <c r="A41" s="137" t="str">
        <f>IF(ISERROR(VLOOKUP(D41,БДР!A:A,1,0))=TRUE,"не попало в БДР","ok")</f>
        <v>не попало в БДР</v>
      </c>
      <c r="B41" s="36"/>
      <c r="C41" s="143" t="str">
        <f>IF(B41="","",VLOOKUP(MONTH(B41),Справочники!$X$4:$Y$15,2,0)&amp;"_"&amp;YEAR(B41))</f>
        <v/>
      </c>
      <c r="D41" s="37"/>
      <c r="E41" s="37"/>
      <c r="F41" s="38"/>
      <c r="G41" s="220" t="str">
        <f t="shared" si="2"/>
        <v/>
      </c>
      <c r="H41" s="220" t="str">
        <f t="shared" si="3"/>
        <v/>
      </c>
      <c r="I41" s="221"/>
      <c r="J41" s="37"/>
      <c r="K41" s="37"/>
    </row>
    <row r="42" spans="1:11" hidden="1" x14ac:dyDescent="0.2">
      <c r="A42" s="137" t="str">
        <f>IF(ISERROR(VLOOKUP(D42,БДР!A:A,1,0))=TRUE,"не попало в БДР","ok")</f>
        <v>не попало в БДР</v>
      </c>
      <c r="B42" s="36"/>
      <c r="C42" s="143" t="str">
        <f>IF(B42="","",VLOOKUP(MONTH(B42),Справочники!$X$4:$Y$15,2,0)&amp;"_"&amp;YEAR(B42))</f>
        <v/>
      </c>
      <c r="D42" s="37"/>
      <c r="E42" s="37"/>
      <c r="F42" s="38"/>
      <c r="G42" s="220" t="str">
        <f t="shared" si="2"/>
        <v/>
      </c>
      <c r="H42" s="220" t="str">
        <f t="shared" si="3"/>
        <v/>
      </c>
      <c r="I42" s="221"/>
      <c r="J42" s="37"/>
      <c r="K42" s="37"/>
    </row>
    <row r="43" spans="1:11" hidden="1" x14ac:dyDescent="0.2">
      <c r="A43" s="137" t="str">
        <f>IF(ISERROR(VLOOKUP(D43,БДР!A:A,1,0))=TRUE,"не попало в БДР","ok")</f>
        <v>не попало в БДР</v>
      </c>
      <c r="B43" s="36"/>
      <c r="C43" s="143" t="str">
        <f>IF(B43="","",VLOOKUP(MONTH(B43),Справочники!$X$4:$Y$15,2,0)&amp;"_"&amp;YEAR(B43))</f>
        <v/>
      </c>
      <c r="D43" s="37"/>
      <c r="E43" s="37"/>
      <c r="F43" s="38"/>
      <c r="G43" s="220" t="str">
        <f t="shared" si="2"/>
        <v/>
      </c>
      <c r="H43" s="220" t="str">
        <f t="shared" si="3"/>
        <v/>
      </c>
      <c r="I43" s="221"/>
      <c r="J43" s="37"/>
      <c r="K43" s="37"/>
    </row>
    <row r="44" spans="1:11" hidden="1" x14ac:dyDescent="0.2">
      <c r="A44" s="137" t="str">
        <f>IF(ISERROR(VLOOKUP(D44,БДР!A:A,1,0))=TRUE,"не попало в БДР","ok")</f>
        <v>не попало в БДР</v>
      </c>
      <c r="B44" s="36"/>
      <c r="C44" s="143" t="str">
        <f>IF(B44="","",VLOOKUP(MONTH(B44),Справочники!$X$4:$Y$15,2,0)&amp;"_"&amp;YEAR(B44))</f>
        <v/>
      </c>
      <c r="D44" s="37"/>
      <c r="E44" s="37"/>
      <c r="F44" s="38"/>
      <c r="G44" s="220" t="str">
        <f t="shared" si="2"/>
        <v/>
      </c>
      <c r="H44" s="220" t="str">
        <f t="shared" si="3"/>
        <v/>
      </c>
      <c r="I44" s="221"/>
      <c r="J44" s="37"/>
      <c r="K44" s="37"/>
    </row>
    <row r="45" spans="1:11" hidden="1" x14ac:dyDescent="0.2">
      <c r="A45" s="137" t="str">
        <f>IF(ISERROR(VLOOKUP(D45,БДР!A:A,1,0))=TRUE,"не попало в БДР","ok")</f>
        <v>не попало в БДР</v>
      </c>
      <c r="B45" s="36"/>
      <c r="C45" s="143" t="str">
        <f>IF(B45="","",VLOOKUP(MONTH(B45),Справочники!$X$4:$Y$15,2,0)&amp;"_"&amp;YEAR(B45))</f>
        <v/>
      </c>
      <c r="D45" s="37"/>
      <c r="E45" s="37"/>
      <c r="F45" s="38"/>
      <c r="G45" s="220" t="str">
        <f t="shared" si="2"/>
        <v/>
      </c>
      <c r="H45" s="220" t="str">
        <f t="shared" si="3"/>
        <v/>
      </c>
      <c r="I45" s="221"/>
      <c r="J45" s="37"/>
      <c r="K45" s="37"/>
    </row>
    <row r="46" spans="1:11" hidden="1" x14ac:dyDescent="0.2">
      <c r="A46" s="137" t="str">
        <f>IF(ISERROR(VLOOKUP(D46,БДР!A:A,1,0))=TRUE,"не попало в БДР","ok")</f>
        <v>не попало в БДР</v>
      </c>
      <c r="B46" s="36"/>
      <c r="C46" s="143" t="str">
        <f>IF(B46="","",VLOOKUP(MONTH(B46),Справочники!$X$4:$Y$15,2,0)&amp;"_"&amp;YEAR(B46))</f>
        <v/>
      </c>
      <c r="D46" s="37"/>
      <c r="E46" s="37"/>
      <c r="F46" s="38"/>
      <c r="G46" s="220" t="str">
        <f t="shared" si="2"/>
        <v/>
      </c>
      <c r="H46" s="220" t="str">
        <f t="shared" si="3"/>
        <v/>
      </c>
      <c r="I46" s="221"/>
      <c r="J46" s="37"/>
      <c r="K46" s="37"/>
    </row>
    <row r="47" spans="1:11" hidden="1" x14ac:dyDescent="0.2">
      <c r="A47" s="137" t="str">
        <f>IF(ISERROR(VLOOKUP(D47,БДР!A:A,1,0))=TRUE,"не попало в БДР","ok")</f>
        <v>не попало в БДР</v>
      </c>
      <c r="B47" s="36"/>
      <c r="C47" s="143" t="str">
        <f>IF(B47="","",VLOOKUP(MONTH(B47),Справочники!$X$4:$Y$15,2,0)&amp;"_"&amp;YEAR(B47))</f>
        <v/>
      </c>
      <c r="D47" s="37"/>
      <c r="E47" s="37"/>
      <c r="F47" s="38"/>
      <c r="G47" s="220" t="str">
        <f t="shared" si="2"/>
        <v/>
      </c>
      <c r="H47" s="220" t="str">
        <f t="shared" si="3"/>
        <v/>
      </c>
      <c r="I47" s="221"/>
      <c r="J47" s="37"/>
      <c r="K47" s="37"/>
    </row>
    <row r="48" spans="1:11" hidden="1" x14ac:dyDescent="0.2">
      <c r="A48" s="137" t="str">
        <f>IF(ISERROR(VLOOKUP(D48,БДР!A:A,1,0))=TRUE,"не попало в БДР","ok")</f>
        <v>не попало в БДР</v>
      </c>
      <c r="B48" s="36"/>
      <c r="C48" s="143" t="str">
        <f>IF(B48="","",VLOOKUP(MONTH(B48),Справочники!$X$4:$Y$15,2,0)&amp;"_"&amp;YEAR(B48))</f>
        <v/>
      </c>
      <c r="D48" s="37"/>
      <c r="E48" s="37"/>
      <c r="F48" s="38"/>
      <c r="G48" s="220" t="str">
        <f t="shared" si="2"/>
        <v/>
      </c>
      <c r="H48" s="220" t="str">
        <f t="shared" si="3"/>
        <v/>
      </c>
      <c r="I48" s="221"/>
      <c r="J48" s="37"/>
      <c r="K48" s="37"/>
    </row>
    <row r="49" spans="1:11" hidden="1" x14ac:dyDescent="0.2">
      <c r="A49" s="137" t="str">
        <f>IF(ISERROR(VLOOKUP(D49,БДР!A:A,1,0))=TRUE,"не попало в БДР","ok")</f>
        <v>не попало в БДР</v>
      </c>
      <c r="B49" s="36"/>
      <c r="C49" s="143" t="str">
        <f>IF(B49="","",VLOOKUP(MONTH(B49),Справочники!$X$4:$Y$15,2,0)&amp;"_"&amp;YEAR(B49))</f>
        <v/>
      </c>
      <c r="D49" s="37"/>
      <c r="E49" s="37"/>
      <c r="F49" s="38"/>
      <c r="G49" s="220" t="str">
        <f t="shared" si="2"/>
        <v/>
      </c>
      <c r="H49" s="220" t="str">
        <f t="shared" si="3"/>
        <v/>
      </c>
      <c r="I49" s="221"/>
      <c r="J49" s="37"/>
      <c r="K49" s="37"/>
    </row>
    <row r="50" spans="1:11" hidden="1" x14ac:dyDescent="0.2">
      <c r="A50" s="137" t="str">
        <f>IF(ISERROR(VLOOKUP(D50,БДР!A:A,1,0))=TRUE,"не попало в БДР","ok")</f>
        <v>не попало в БДР</v>
      </c>
      <c r="B50" s="36"/>
      <c r="C50" s="143" t="str">
        <f>IF(B50="","",VLOOKUP(MONTH(B50),Справочники!$X$4:$Y$15,2,0)&amp;"_"&amp;YEAR(B50))</f>
        <v/>
      </c>
      <c r="D50" s="37"/>
      <c r="E50" s="37"/>
      <c r="F50" s="38"/>
      <c r="G50" s="220" t="str">
        <f t="shared" si="2"/>
        <v/>
      </c>
      <c r="H50" s="220" t="str">
        <f t="shared" si="3"/>
        <v/>
      </c>
      <c r="I50" s="221"/>
      <c r="J50" s="37"/>
      <c r="K50" s="37"/>
    </row>
    <row r="51" spans="1:11" hidden="1" x14ac:dyDescent="0.2">
      <c r="A51" s="137" t="str">
        <f>IF(ISERROR(VLOOKUP(D51,БДР!A:A,1,0))=TRUE,"не попало в БДР","ok")</f>
        <v>не попало в БДР</v>
      </c>
      <c r="B51" s="36"/>
      <c r="C51" s="143" t="str">
        <f>IF(B51="","",VLOOKUP(MONTH(B51),Справочники!$X$4:$Y$15,2,0)&amp;"_"&amp;YEAR(B51))</f>
        <v/>
      </c>
      <c r="D51" s="37"/>
      <c r="E51" s="37"/>
      <c r="F51" s="38"/>
      <c r="G51" s="220" t="str">
        <f t="shared" si="2"/>
        <v/>
      </c>
      <c r="H51" s="220" t="str">
        <f t="shared" si="3"/>
        <v/>
      </c>
      <c r="I51" s="221"/>
      <c r="J51" s="37"/>
      <c r="K51" s="37"/>
    </row>
    <row r="52" spans="1:11" hidden="1" x14ac:dyDescent="0.2">
      <c r="A52" s="137" t="str">
        <f>IF(ISERROR(VLOOKUP(D52,БДР!A:A,1,0))=TRUE,"не попало в БДР","ok")</f>
        <v>не попало в БДР</v>
      </c>
      <c r="B52" s="36"/>
      <c r="C52" s="143" t="str">
        <f>IF(B52="","",VLOOKUP(MONTH(B52),Справочники!$X$4:$Y$15,2,0)&amp;"_"&amp;YEAR(B52))</f>
        <v/>
      </c>
      <c r="D52" s="37"/>
      <c r="E52" s="37"/>
      <c r="F52" s="38"/>
      <c r="G52" s="220" t="str">
        <f t="shared" si="2"/>
        <v/>
      </c>
      <c r="H52" s="220" t="str">
        <f t="shared" si="3"/>
        <v/>
      </c>
      <c r="I52" s="221"/>
      <c r="J52" s="37"/>
      <c r="K52" s="37"/>
    </row>
    <row r="53" spans="1:11" hidden="1" x14ac:dyDescent="0.2">
      <c r="A53" s="137" t="str">
        <f>IF(ISERROR(VLOOKUP(D53,БДР!A:A,1,0))=TRUE,"не попало в БДР","ok")</f>
        <v>не попало в БДР</v>
      </c>
      <c r="B53" s="36"/>
      <c r="C53" s="143" t="str">
        <f>IF(B53="","",VLOOKUP(MONTH(B53),Справочники!$X$4:$Y$15,2,0)&amp;"_"&amp;YEAR(B53))</f>
        <v/>
      </c>
      <c r="D53" s="37"/>
      <c r="E53" s="37"/>
      <c r="F53" s="38"/>
      <c r="G53" s="220" t="str">
        <f t="shared" si="2"/>
        <v/>
      </c>
      <c r="H53" s="220" t="str">
        <f t="shared" si="3"/>
        <v/>
      </c>
      <c r="I53" s="221"/>
      <c r="J53" s="37"/>
      <c r="K53" s="37"/>
    </row>
    <row r="54" spans="1:11" hidden="1" x14ac:dyDescent="0.2">
      <c r="A54" s="137" t="str">
        <f>IF(ISERROR(VLOOKUP(D54,БДР!A:A,1,0))=TRUE,"не попало в БДР","ok")</f>
        <v>не попало в БДР</v>
      </c>
      <c r="B54" s="36"/>
      <c r="C54" s="143" t="str">
        <f>IF(B54="","",VLOOKUP(MONTH(B54),Справочники!$X$4:$Y$15,2,0)&amp;"_"&amp;YEAR(B54))</f>
        <v/>
      </c>
      <c r="D54" s="37"/>
      <c r="E54" s="37"/>
      <c r="F54" s="38"/>
      <c r="G54" s="220" t="str">
        <f t="shared" si="2"/>
        <v/>
      </c>
      <c r="H54" s="220" t="str">
        <f t="shared" si="3"/>
        <v/>
      </c>
      <c r="I54" s="221"/>
      <c r="J54" s="37"/>
      <c r="K54" s="37"/>
    </row>
    <row r="55" spans="1:11" hidden="1" x14ac:dyDescent="0.2">
      <c r="A55" s="137" t="str">
        <f>IF(ISERROR(VLOOKUP(D55,БДР!A:A,1,0))=TRUE,"не попало в БДР","ok")</f>
        <v>не попало в БДР</v>
      </c>
      <c r="B55" s="36"/>
      <c r="C55" s="143" t="str">
        <f>IF(B55="","",VLOOKUP(MONTH(B55),Справочники!$X$4:$Y$15,2,0)&amp;"_"&amp;YEAR(B55))</f>
        <v/>
      </c>
      <c r="D55" s="37"/>
      <c r="E55" s="37"/>
      <c r="F55" s="38"/>
      <c r="G55" s="220" t="str">
        <f t="shared" si="2"/>
        <v/>
      </c>
      <c r="H55" s="220" t="str">
        <f t="shared" si="3"/>
        <v/>
      </c>
      <c r="I55" s="221"/>
      <c r="J55" s="37"/>
      <c r="K55" s="37"/>
    </row>
    <row r="56" spans="1:11" hidden="1" x14ac:dyDescent="0.2">
      <c r="A56" s="137" t="str">
        <f>IF(ISERROR(VLOOKUP(D56,БДР!A:A,1,0))=TRUE,"не попало в БДР","ok")</f>
        <v>не попало в БДР</v>
      </c>
      <c r="B56" s="36"/>
      <c r="C56" s="143" t="str">
        <f>IF(B56="","",VLOOKUP(MONTH(B56),Справочники!$X$4:$Y$15,2,0)&amp;"_"&amp;YEAR(B56))</f>
        <v/>
      </c>
      <c r="D56" s="37"/>
      <c r="E56" s="37"/>
      <c r="F56" s="38"/>
      <c r="G56" s="220" t="str">
        <f t="shared" si="2"/>
        <v/>
      </c>
      <c r="H56" s="220" t="str">
        <f t="shared" si="3"/>
        <v/>
      </c>
      <c r="I56" s="221"/>
      <c r="J56" s="37"/>
      <c r="K56" s="37"/>
    </row>
    <row r="57" spans="1:11" hidden="1" x14ac:dyDescent="0.2">
      <c r="A57" s="137" t="str">
        <f>IF(ISERROR(VLOOKUP(D57,БДР!A:A,1,0))=TRUE,"не попало в БДР","ok")</f>
        <v>не попало в БДР</v>
      </c>
      <c r="B57" s="36"/>
      <c r="C57" s="143" t="str">
        <f>IF(B57="","",VLOOKUP(MONTH(B57),Справочники!$X$4:$Y$15,2,0)&amp;"_"&amp;YEAR(B57))</f>
        <v/>
      </c>
      <c r="D57" s="37"/>
      <c r="E57" s="37"/>
      <c r="F57" s="38"/>
      <c r="G57" s="220" t="str">
        <f t="shared" si="2"/>
        <v/>
      </c>
      <c r="H57" s="220" t="str">
        <f t="shared" si="3"/>
        <v/>
      </c>
      <c r="I57" s="221"/>
      <c r="J57" s="37"/>
      <c r="K57" s="37"/>
    </row>
    <row r="58" spans="1:11" hidden="1" x14ac:dyDescent="0.2">
      <c r="A58" s="137" t="str">
        <f>IF(ISERROR(VLOOKUP(D58,БДР!A:A,1,0))=TRUE,"не попало в БДР","ok")</f>
        <v>не попало в БДР</v>
      </c>
      <c r="B58" s="36"/>
      <c r="C58" s="143" t="str">
        <f>IF(B58="","",VLOOKUP(MONTH(B58),Справочники!$X$4:$Y$15,2,0)&amp;"_"&amp;YEAR(B58))</f>
        <v/>
      </c>
      <c r="D58" s="37"/>
      <c r="E58" s="37"/>
      <c r="F58" s="38"/>
      <c r="G58" s="220" t="str">
        <f t="shared" si="2"/>
        <v/>
      </c>
      <c r="H58" s="220" t="str">
        <f t="shared" si="3"/>
        <v/>
      </c>
      <c r="I58" s="221"/>
      <c r="J58" s="37"/>
      <c r="K58" s="37"/>
    </row>
    <row r="59" spans="1:11" hidden="1" x14ac:dyDescent="0.2">
      <c r="A59" s="137" t="str">
        <f>IF(ISERROR(VLOOKUP(D59,БДР!A:A,1,0))=TRUE,"не попало в БДР","ok")</f>
        <v>не попало в БДР</v>
      </c>
      <c r="B59" s="36"/>
      <c r="C59" s="143" t="str">
        <f>IF(B59="","",VLOOKUP(MONTH(B59),Справочники!$X$4:$Y$15,2,0)&amp;"_"&amp;YEAR(B59))</f>
        <v/>
      </c>
      <c r="D59" s="37"/>
      <c r="E59" s="37"/>
      <c r="F59" s="38"/>
      <c r="G59" s="220" t="str">
        <f t="shared" si="2"/>
        <v/>
      </c>
      <c r="H59" s="220" t="str">
        <f t="shared" si="3"/>
        <v/>
      </c>
      <c r="I59" s="221"/>
      <c r="J59" s="37"/>
      <c r="K59" s="37"/>
    </row>
    <row r="60" spans="1:11" hidden="1" x14ac:dyDescent="0.2">
      <c r="A60" s="137" t="str">
        <f>IF(ISERROR(VLOOKUP(D60,БДР!A:A,1,0))=TRUE,"не попало в БДР","ok")</f>
        <v>не попало в БДР</v>
      </c>
      <c r="B60" s="36"/>
      <c r="C60" s="143" t="str">
        <f>IF(B60="","",VLOOKUP(MONTH(B60),Справочники!$X$4:$Y$15,2,0)&amp;"_"&amp;YEAR(B60))</f>
        <v/>
      </c>
      <c r="D60" s="37"/>
      <c r="E60" s="37"/>
      <c r="F60" s="38"/>
      <c r="G60" s="220" t="str">
        <f t="shared" si="2"/>
        <v/>
      </c>
      <c r="H60" s="220" t="str">
        <f t="shared" si="3"/>
        <v/>
      </c>
      <c r="I60" s="221"/>
      <c r="J60" s="37"/>
      <c r="K60" s="37"/>
    </row>
    <row r="61" spans="1:11" hidden="1" x14ac:dyDescent="0.2">
      <c r="A61" s="137" t="str">
        <f>IF(ISERROR(VLOOKUP(D61,БДР!A:A,1,0))=TRUE,"не попало в БДР","ok")</f>
        <v>не попало в БДР</v>
      </c>
      <c r="B61" s="36"/>
      <c r="C61" s="143" t="str">
        <f>IF(B61="","",VLOOKUP(MONTH(B61),Справочники!$X$4:$Y$15,2,0)&amp;"_"&amp;YEAR(B61))</f>
        <v/>
      </c>
      <c r="D61" s="37"/>
      <c r="E61" s="37"/>
      <c r="F61" s="38"/>
      <c r="G61" s="220" t="str">
        <f t="shared" si="2"/>
        <v/>
      </c>
      <c r="H61" s="220" t="str">
        <f t="shared" si="3"/>
        <v/>
      </c>
      <c r="I61" s="221"/>
      <c r="J61" s="37"/>
      <c r="K61" s="37"/>
    </row>
    <row r="62" spans="1:11" hidden="1" x14ac:dyDescent="0.2">
      <c r="A62" s="137" t="str">
        <f>IF(ISERROR(VLOOKUP(D62,БДР!A:A,1,0))=TRUE,"не попало в БДР","ok")</f>
        <v>не попало в БДР</v>
      </c>
      <c r="B62" s="36"/>
      <c r="C62" s="143" t="str">
        <f>IF(B62="","",VLOOKUP(MONTH(B62),Справочники!$X$4:$Y$15,2,0)&amp;"_"&amp;YEAR(B62))</f>
        <v/>
      </c>
      <c r="D62" s="37"/>
      <c r="E62" s="37"/>
      <c r="F62" s="38"/>
      <c r="G62" s="220" t="str">
        <f t="shared" si="2"/>
        <v/>
      </c>
      <c r="H62" s="220" t="str">
        <f t="shared" si="3"/>
        <v/>
      </c>
      <c r="I62" s="221"/>
      <c r="J62" s="37"/>
      <c r="K62" s="37"/>
    </row>
    <row r="63" spans="1:11" hidden="1" x14ac:dyDescent="0.2">
      <c r="A63" s="137" t="str">
        <f>IF(ISERROR(VLOOKUP(D63,БДР!A:A,1,0))=TRUE,"не попало в БДР","ok")</f>
        <v>не попало в БДР</v>
      </c>
      <c r="B63" s="36"/>
      <c r="C63" s="143" t="str">
        <f>IF(B63="","",VLOOKUP(MONTH(B63),Справочники!$X$4:$Y$15,2,0)&amp;"_"&amp;YEAR(B63))</f>
        <v/>
      </c>
      <c r="D63" s="37"/>
      <c r="E63" s="37"/>
      <c r="F63" s="38"/>
      <c r="G63" s="220" t="str">
        <f t="shared" si="2"/>
        <v/>
      </c>
      <c r="H63" s="220" t="str">
        <f t="shared" si="3"/>
        <v/>
      </c>
      <c r="I63" s="221"/>
      <c r="J63" s="37"/>
      <c r="K63" s="37"/>
    </row>
    <row r="64" spans="1:11" hidden="1" x14ac:dyDescent="0.2">
      <c r="A64" s="137" t="str">
        <f>IF(ISERROR(VLOOKUP(D64,БДР!A:A,1,0))=TRUE,"не попало в БДР","ok")</f>
        <v>не попало в БДР</v>
      </c>
      <c r="B64" s="36"/>
      <c r="C64" s="143" t="str">
        <f>IF(B64="","",VLOOKUP(MONTH(B64),Справочники!$X$4:$Y$15,2,0)&amp;"_"&amp;YEAR(B64))</f>
        <v/>
      </c>
      <c r="D64" s="37"/>
      <c r="E64" s="37"/>
      <c r="F64" s="38"/>
      <c r="G64" s="220" t="str">
        <f t="shared" si="2"/>
        <v/>
      </c>
      <c r="H64" s="220" t="str">
        <f t="shared" si="3"/>
        <v/>
      </c>
      <c r="I64" s="221"/>
      <c r="J64" s="37"/>
      <c r="K64" s="37"/>
    </row>
    <row r="65" spans="1:11" hidden="1" x14ac:dyDescent="0.2">
      <c r="A65" s="137" t="str">
        <f>IF(ISERROR(VLOOKUP(D65,БДР!A:A,1,0))=TRUE,"не попало в БДР","ok")</f>
        <v>не попало в БДР</v>
      </c>
      <c r="B65" s="36"/>
      <c r="C65" s="143" t="str">
        <f>IF(B65="","",VLOOKUP(MONTH(B65),Справочники!$X$4:$Y$15,2,0)&amp;"_"&amp;YEAR(B65))</f>
        <v/>
      </c>
      <c r="D65" s="37"/>
      <c r="E65" s="37"/>
      <c r="F65" s="38"/>
      <c r="G65" s="220" t="str">
        <f t="shared" si="2"/>
        <v/>
      </c>
      <c r="H65" s="220" t="str">
        <f t="shared" si="3"/>
        <v/>
      </c>
      <c r="I65" s="221"/>
      <c r="J65" s="37"/>
      <c r="K65" s="37"/>
    </row>
    <row r="66" spans="1:11" hidden="1" x14ac:dyDescent="0.2">
      <c r="A66" s="137" t="str">
        <f>IF(ISERROR(VLOOKUP(D66,БДР!A:A,1,0))=TRUE,"не попало в БДР","ok")</f>
        <v>не попало в БДР</v>
      </c>
      <c r="B66" s="36"/>
      <c r="C66" s="143" t="str">
        <f>IF(B66="","",VLOOKUP(MONTH(B66),Справочники!$X$4:$Y$15,2,0)&amp;"_"&amp;YEAR(B66))</f>
        <v/>
      </c>
      <c r="D66" s="37"/>
      <c r="E66" s="37"/>
      <c r="F66" s="38"/>
      <c r="G66" s="220" t="str">
        <f t="shared" si="2"/>
        <v/>
      </c>
      <c r="H66" s="220" t="str">
        <f t="shared" si="3"/>
        <v/>
      </c>
      <c r="I66" s="221"/>
      <c r="J66" s="37"/>
      <c r="K66" s="37"/>
    </row>
    <row r="67" spans="1:11" hidden="1" x14ac:dyDescent="0.2">
      <c r="A67" s="137" t="str">
        <f>IF(ISERROR(VLOOKUP(D67,БДР!A:A,1,0))=TRUE,"не попало в БДР","ok")</f>
        <v>не попало в БДР</v>
      </c>
      <c r="B67" s="36"/>
      <c r="C67" s="143" t="str">
        <f>IF(B67="","",VLOOKUP(MONTH(B67),Справочники!$X$4:$Y$15,2,0)&amp;"_"&amp;YEAR(B67))</f>
        <v/>
      </c>
      <c r="D67" s="37"/>
      <c r="E67" s="37"/>
      <c r="F67" s="38"/>
      <c r="G67" s="220" t="str">
        <f t="shared" si="2"/>
        <v/>
      </c>
      <c r="H67" s="220" t="str">
        <f t="shared" si="3"/>
        <v/>
      </c>
      <c r="I67" s="221"/>
      <c r="J67" s="37"/>
      <c r="K67" s="37"/>
    </row>
    <row r="68" spans="1:11" hidden="1" x14ac:dyDescent="0.2">
      <c r="A68" s="137" t="str">
        <f>IF(ISERROR(VLOOKUP(D68,БДР!A:A,1,0))=TRUE,"не попало в БДР","ok")</f>
        <v>не попало в БДР</v>
      </c>
      <c r="B68" s="36"/>
      <c r="C68" s="143" t="str">
        <f>IF(B68="","",VLOOKUP(MONTH(B68),Справочники!$X$4:$Y$15,2,0)&amp;"_"&amp;YEAR(B68))</f>
        <v/>
      </c>
      <c r="D68" s="37"/>
      <c r="E68" s="37"/>
      <c r="F68" s="38"/>
      <c r="G68" s="220" t="str">
        <f t="shared" si="2"/>
        <v/>
      </c>
      <c r="H68" s="220" t="str">
        <f t="shared" si="3"/>
        <v/>
      </c>
      <c r="I68" s="221"/>
      <c r="J68" s="37"/>
      <c r="K68" s="37"/>
    </row>
    <row r="69" spans="1:11" hidden="1" x14ac:dyDescent="0.2">
      <c r="A69" s="137" t="str">
        <f>IF(ISERROR(VLOOKUP(D69,БДР!A:A,1,0))=TRUE,"не попало в БДР","ok")</f>
        <v>не попало в БДР</v>
      </c>
      <c r="B69" s="36"/>
      <c r="C69" s="143" t="str">
        <f>IF(B69="","",VLOOKUP(MONTH(B69),Справочники!$X$4:$Y$15,2,0)&amp;"_"&amp;YEAR(B69))</f>
        <v/>
      </c>
      <c r="D69" s="37"/>
      <c r="E69" s="37"/>
      <c r="F69" s="38"/>
      <c r="G69" s="220" t="str">
        <f t="shared" si="2"/>
        <v/>
      </c>
      <c r="H69" s="220" t="str">
        <f t="shared" si="3"/>
        <v/>
      </c>
      <c r="I69" s="221"/>
      <c r="J69" s="37"/>
      <c r="K69" s="37"/>
    </row>
    <row r="70" spans="1:11" hidden="1" x14ac:dyDescent="0.2">
      <c r="A70" s="137" t="str">
        <f>IF(ISERROR(VLOOKUP(D70,БДР!A:A,1,0))=TRUE,"не попало в БДР","ok")</f>
        <v>не попало в БДР</v>
      </c>
      <c r="B70" s="36"/>
      <c r="C70" s="143" t="str">
        <f>IF(B70="","",VLOOKUP(MONTH(B70),Справочники!$X$4:$Y$15,2,0)&amp;"_"&amp;YEAR(B70))</f>
        <v/>
      </c>
      <c r="D70" s="37"/>
      <c r="E70" s="37"/>
      <c r="F70" s="38"/>
      <c r="G70" s="220" t="str">
        <f t="shared" si="2"/>
        <v/>
      </c>
      <c r="H70" s="220" t="str">
        <f t="shared" si="3"/>
        <v/>
      </c>
      <c r="I70" s="221"/>
      <c r="J70" s="37"/>
      <c r="K70" s="37"/>
    </row>
    <row r="71" spans="1:11" hidden="1" x14ac:dyDescent="0.2">
      <c r="A71" s="137" t="str">
        <f>IF(ISERROR(VLOOKUP(D71,БДР!A:A,1,0))=TRUE,"не попало в БДР","ok")</f>
        <v>не попало в БДР</v>
      </c>
      <c r="B71" s="36"/>
      <c r="C71" s="143" t="str">
        <f>IF(B71="","",VLOOKUP(MONTH(B71),Справочники!$X$4:$Y$15,2,0)&amp;"_"&amp;YEAR(B71))</f>
        <v/>
      </c>
      <c r="D71" s="37"/>
      <c r="E71" s="37"/>
      <c r="F71" s="38"/>
      <c r="G71" s="220" t="str">
        <f t="shared" si="2"/>
        <v/>
      </c>
      <c r="H71" s="220" t="str">
        <f t="shared" si="3"/>
        <v/>
      </c>
      <c r="I71" s="221"/>
      <c r="J71" s="37"/>
      <c r="K71" s="37"/>
    </row>
    <row r="72" spans="1:11" hidden="1" x14ac:dyDescent="0.2">
      <c r="A72" s="137" t="str">
        <f>IF(ISERROR(VLOOKUP(D72,БДР!A:A,1,0))=TRUE,"не попало в БДР","ok")</f>
        <v>не попало в БДР</v>
      </c>
      <c r="B72" s="36"/>
      <c r="C72" s="143" t="str">
        <f>IF(B72="","",VLOOKUP(MONTH(B72),Справочники!$X$4:$Y$15,2,0)&amp;"_"&amp;YEAR(B72))</f>
        <v/>
      </c>
      <c r="D72" s="37"/>
      <c r="E72" s="37"/>
      <c r="F72" s="38"/>
      <c r="G72" s="220" t="str">
        <f t="shared" si="2"/>
        <v/>
      </c>
      <c r="H72" s="220" t="str">
        <f t="shared" si="3"/>
        <v/>
      </c>
      <c r="I72" s="221"/>
      <c r="J72" s="37"/>
      <c r="K72" s="37"/>
    </row>
    <row r="73" spans="1:11" hidden="1" x14ac:dyDescent="0.2">
      <c r="A73" s="137" t="str">
        <f>IF(ISERROR(VLOOKUP(D73,БДР!A:A,1,0))=TRUE,"не попало в БДР","ok")</f>
        <v>не попало в БДР</v>
      </c>
      <c r="B73" s="36"/>
      <c r="C73" s="143" t="str">
        <f>IF(B73="","",VLOOKUP(MONTH(B73),Справочники!$X$4:$Y$15,2,0)&amp;"_"&amp;YEAR(B73))</f>
        <v/>
      </c>
      <c r="D73" s="37"/>
      <c r="E73" s="37"/>
      <c r="F73" s="38"/>
      <c r="G73" s="220" t="str">
        <f t="shared" si="2"/>
        <v/>
      </c>
      <c r="H73" s="220" t="str">
        <f t="shared" si="3"/>
        <v/>
      </c>
      <c r="I73" s="221"/>
      <c r="J73" s="37"/>
      <c r="K73" s="37"/>
    </row>
    <row r="74" spans="1:11" hidden="1" x14ac:dyDescent="0.2">
      <c r="A74" s="137" t="str">
        <f>IF(ISERROR(VLOOKUP(D74,БДР!A:A,1,0))=TRUE,"не попало в БДР","ok")</f>
        <v>не попало в БДР</v>
      </c>
      <c r="B74" s="36"/>
      <c r="C74" s="143" t="str">
        <f>IF(B74="","",VLOOKUP(MONTH(B74),Справочники!$X$4:$Y$15,2,0)&amp;"_"&amp;YEAR(B74))</f>
        <v/>
      </c>
      <c r="D74" s="37"/>
      <c r="E74" s="37"/>
      <c r="F74" s="38"/>
      <c r="G74" s="220" t="str">
        <f t="shared" si="2"/>
        <v/>
      </c>
      <c r="H74" s="220" t="str">
        <f t="shared" si="3"/>
        <v/>
      </c>
      <c r="I74" s="221"/>
      <c r="J74" s="37"/>
      <c r="K74" s="37"/>
    </row>
    <row r="75" spans="1:11" hidden="1" x14ac:dyDescent="0.2">
      <c r="A75" s="137" t="str">
        <f>IF(ISERROR(VLOOKUP(D75,БДР!A:A,1,0))=TRUE,"не попало в БДР","ok")</f>
        <v>не попало в БДР</v>
      </c>
      <c r="B75" s="36"/>
      <c r="C75" s="143" t="str">
        <f>IF(B75="","",VLOOKUP(MONTH(B75),Справочники!$X$4:$Y$15,2,0)&amp;"_"&amp;YEAR(B75))</f>
        <v/>
      </c>
      <c r="D75" s="37"/>
      <c r="E75" s="37"/>
      <c r="F75" s="38"/>
      <c r="G75" s="220" t="str">
        <f t="shared" si="2"/>
        <v/>
      </c>
      <c r="H75" s="220" t="str">
        <f t="shared" si="3"/>
        <v/>
      </c>
      <c r="I75" s="221"/>
      <c r="J75" s="37"/>
      <c r="K75" s="37"/>
    </row>
    <row r="76" spans="1:11" hidden="1" x14ac:dyDescent="0.2">
      <c r="A76" s="137" t="str">
        <f>IF(ISERROR(VLOOKUP(D76,БДР!A:A,1,0))=TRUE,"не попало в БДР","ok")</f>
        <v>не попало в БДР</v>
      </c>
      <c r="B76" s="36"/>
      <c r="C76" s="143" t="str">
        <f>IF(B76="","",VLOOKUP(MONTH(B76),Справочники!$X$4:$Y$15,2,0)&amp;"_"&amp;YEAR(B76))</f>
        <v/>
      </c>
      <c r="D76" s="37"/>
      <c r="E76" s="37"/>
      <c r="F76" s="38"/>
      <c r="G76" s="220" t="str">
        <f t="shared" si="2"/>
        <v/>
      </c>
      <c r="H76" s="220" t="str">
        <f t="shared" si="3"/>
        <v/>
      </c>
      <c r="I76" s="221"/>
      <c r="J76" s="37"/>
      <c r="K76" s="37"/>
    </row>
    <row r="77" spans="1:11" hidden="1" x14ac:dyDescent="0.2">
      <c r="A77" s="137" t="str">
        <f>IF(ISERROR(VLOOKUP(D77,БДР!A:A,1,0))=TRUE,"не попало в БДР","ok")</f>
        <v>не попало в БДР</v>
      </c>
      <c r="B77" s="36"/>
      <c r="C77" s="143" t="str">
        <f>IF(B77="","",VLOOKUP(MONTH(B77),Справочники!$X$4:$Y$15,2,0)&amp;"_"&amp;YEAR(B77))</f>
        <v/>
      </c>
      <c r="D77" s="37"/>
      <c r="E77" s="37"/>
      <c r="F77" s="38"/>
      <c r="G77" s="220" t="str">
        <f t="shared" si="2"/>
        <v/>
      </c>
      <c r="H77" s="220" t="str">
        <f t="shared" si="3"/>
        <v/>
      </c>
      <c r="I77" s="221"/>
      <c r="J77" s="37"/>
      <c r="K77" s="37"/>
    </row>
    <row r="78" spans="1:11" hidden="1" x14ac:dyDescent="0.2">
      <c r="A78" s="137" t="str">
        <f>IF(ISERROR(VLOOKUP(D78,БДР!A:A,1,0))=TRUE,"не попало в БДР","ok")</f>
        <v>не попало в БДР</v>
      </c>
      <c r="B78" s="36"/>
      <c r="C78" s="143" t="str">
        <f>IF(B78="","",VLOOKUP(MONTH(B78),Справочники!$X$4:$Y$15,2,0)&amp;"_"&amp;YEAR(B78))</f>
        <v/>
      </c>
      <c r="D78" s="37"/>
      <c r="E78" s="37"/>
      <c r="F78" s="38"/>
      <c r="G78" s="220" t="str">
        <f t="shared" si="2"/>
        <v/>
      </c>
      <c r="H78" s="220" t="str">
        <f t="shared" si="3"/>
        <v/>
      </c>
      <c r="I78" s="221"/>
      <c r="J78" s="37"/>
      <c r="K78" s="37"/>
    </row>
    <row r="79" spans="1:11" hidden="1" x14ac:dyDescent="0.2">
      <c r="A79" s="137" t="str">
        <f>IF(ISERROR(VLOOKUP(D79,БДР!A:A,1,0))=TRUE,"не попало в БДР","ok")</f>
        <v>не попало в БДР</v>
      </c>
      <c r="B79" s="36"/>
      <c r="C79" s="143" t="str">
        <f>IF(B79="","",VLOOKUP(MONTH(B79),Справочники!$X$4:$Y$15,2,0)&amp;"_"&amp;YEAR(B79))</f>
        <v/>
      </c>
      <c r="D79" s="37"/>
      <c r="E79" s="37"/>
      <c r="F79" s="38"/>
      <c r="G79" s="220" t="str">
        <f t="shared" si="2"/>
        <v/>
      </c>
      <c r="H79" s="220" t="str">
        <f t="shared" si="3"/>
        <v/>
      </c>
      <c r="I79" s="221"/>
      <c r="J79" s="37"/>
      <c r="K79" s="37"/>
    </row>
    <row r="80" spans="1:11" hidden="1" x14ac:dyDescent="0.2">
      <c r="A80" s="137" t="str">
        <f>IF(ISERROR(VLOOKUP(D80,БДР!A:A,1,0))=TRUE,"не попало в БДР","ok")</f>
        <v>не попало в БДР</v>
      </c>
      <c r="B80" s="36"/>
      <c r="C80" s="143" t="str">
        <f>IF(B80="","",VLOOKUP(MONTH(B80),Справочники!$X$4:$Y$15,2,0)&amp;"_"&amp;YEAR(B80))</f>
        <v/>
      </c>
      <c r="D80" s="37"/>
      <c r="E80" s="37"/>
      <c r="F80" s="38"/>
      <c r="G80" s="220" t="str">
        <f t="shared" si="2"/>
        <v/>
      </c>
      <c r="H80" s="220" t="str">
        <f t="shared" si="3"/>
        <v/>
      </c>
      <c r="I80" s="221"/>
      <c r="J80" s="37"/>
      <c r="K80" s="37"/>
    </row>
    <row r="81" spans="1:11" hidden="1" x14ac:dyDescent="0.2">
      <c r="A81" s="137" t="str">
        <f>IF(ISERROR(VLOOKUP(D81,БДР!A:A,1,0))=TRUE,"не попало в БДР","ok")</f>
        <v>не попало в БДР</v>
      </c>
      <c r="B81" s="36"/>
      <c r="C81" s="143" t="str">
        <f>IF(B81="","",VLOOKUP(MONTH(B81),Справочники!$X$4:$Y$15,2,0)&amp;"_"&amp;YEAR(B81))</f>
        <v/>
      </c>
      <c r="D81" s="37"/>
      <c r="E81" s="37"/>
      <c r="F81" s="38"/>
      <c r="G81" s="220" t="str">
        <f t="shared" si="2"/>
        <v/>
      </c>
      <c r="H81" s="220" t="str">
        <f t="shared" si="3"/>
        <v/>
      </c>
      <c r="I81" s="221"/>
      <c r="J81" s="37"/>
      <c r="K81" s="37"/>
    </row>
    <row r="82" spans="1:11" hidden="1" x14ac:dyDescent="0.2">
      <c r="A82" s="137" t="str">
        <f>IF(ISERROR(VLOOKUP(D82,БДР!A:A,1,0))=TRUE,"не попало в БДР","ok")</f>
        <v>не попало в БДР</v>
      </c>
      <c r="B82" s="36"/>
      <c r="C82" s="143" t="str">
        <f>IF(B82="","",VLOOKUP(MONTH(B82),Справочники!$X$4:$Y$15,2,0)&amp;"_"&amp;YEAR(B82))</f>
        <v/>
      </c>
      <c r="D82" s="37"/>
      <c r="E82" s="37"/>
      <c r="F82" s="38"/>
      <c r="G82" s="220" t="str">
        <f t="shared" si="2"/>
        <v/>
      </c>
      <c r="H82" s="220" t="str">
        <f t="shared" si="3"/>
        <v/>
      </c>
      <c r="I82" s="221"/>
      <c r="J82" s="37"/>
      <c r="K82" s="37"/>
    </row>
    <row r="83" spans="1:11" hidden="1" x14ac:dyDescent="0.2">
      <c r="A83" s="137" t="str">
        <f>IF(ISERROR(VLOOKUP(D83,БДР!A:A,1,0))=TRUE,"не попало в БДР","ok")</f>
        <v>не попало в БДР</v>
      </c>
      <c r="B83" s="36"/>
      <c r="C83" s="143" t="str">
        <f>IF(B83="","",VLOOKUP(MONTH(B83),Справочники!$X$4:$Y$15,2,0)&amp;"_"&amp;YEAR(B83))</f>
        <v/>
      </c>
      <c r="D83" s="37"/>
      <c r="E83" s="37"/>
      <c r="F83" s="38"/>
      <c r="G83" s="220" t="str">
        <f t="shared" si="2"/>
        <v/>
      </c>
      <c r="H83" s="220" t="str">
        <f t="shared" si="3"/>
        <v/>
      </c>
      <c r="I83" s="221"/>
      <c r="J83" s="37"/>
      <c r="K83" s="37"/>
    </row>
    <row r="84" spans="1:11" hidden="1" x14ac:dyDescent="0.2">
      <c r="A84" s="137" t="str">
        <f>IF(ISERROR(VLOOKUP(D84,БДР!A:A,1,0))=TRUE,"не попало в БДР","ok")</f>
        <v>не попало в БДР</v>
      </c>
      <c r="B84" s="36"/>
      <c r="C84" s="143" t="str">
        <f>IF(B84="","",VLOOKUP(MONTH(B84),Справочники!$X$4:$Y$15,2,0)&amp;"_"&amp;YEAR(B84))</f>
        <v/>
      </c>
      <c r="D84" s="37"/>
      <c r="E84" s="37"/>
      <c r="F84" s="38"/>
      <c r="G84" s="220" t="str">
        <f t="shared" si="2"/>
        <v/>
      </c>
      <c r="H84" s="220" t="str">
        <f t="shared" si="3"/>
        <v/>
      </c>
      <c r="I84" s="221"/>
      <c r="J84" s="37"/>
      <c r="K84" s="37"/>
    </row>
    <row r="85" spans="1:11" hidden="1" x14ac:dyDescent="0.2">
      <c r="A85" s="137" t="str">
        <f>IF(ISERROR(VLOOKUP(D85,БДР!A:A,1,0))=TRUE,"не попало в БДР","ok")</f>
        <v>не попало в БДР</v>
      </c>
      <c r="B85" s="36"/>
      <c r="C85" s="143" t="str">
        <f>IF(B85="","",VLOOKUP(MONTH(B85),Справочники!$X$4:$Y$15,2,0)&amp;"_"&amp;YEAR(B85))</f>
        <v/>
      </c>
      <c r="D85" s="37"/>
      <c r="E85" s="37"/>
      <c r="F85" s="38"/>
      <c r="G85" s="220" t="str">
        <f t="shared" si="2"/>
        <v/>
      </c>
      <c r="H85" s="220" t="str">
        <f t="shared" si="3"/>
        <v/>
      </c>
      <c r="I85" s="221"/>
      <c r="J85" s="37"/>
      <c r="K85" s="37"/>
    </row>
    <row r="86" spans="1:11" hidden="1" x14ac:dyDescent="0.2">
      <c r="A86" s="137" t="str">
        <f>IF(ISERROR(VLOOKUP(D86,БДР!A:A,1,0))=TRUE,"не попало в БДР","ok")</f>
        <v>не попало в БДР</v>
      </c>
      <c r="B86" s="36"/>
      <c r="C86" s="143" t="str">
        <f>IF(B86="","",VLOOKUP(MONTH(B86),Справочники!$X$4:$Y$15,2,0)&amp;"_"&amp;YEAR(B86))</f>
        <v/>
      </c>
      <c r="D86" s="37"/>
      <c r="E86" s="37"/>
      <c r="F86" s="38"/>
      <c r="G86" s="220" t="str">
        <f t="shared" si="2"/>
        <v/>
      </c>
      <c r="H86" s="220" t="str">
        <f t="shared" si="3"/>
        <v/>
      </c>
      <c r="I86" s="221"/>
      <c r="J86" s="37"/>
      <c r="K86" s="37"/>
    </row>
    <row r="87" spans="1:11" hidden="1" x14ac:dyDescent="0.2">
      <c r="A87" s="137" t="str">
        <f>IF(ISERROR(VLOOKUP(D87,БДР!A:A,1,0))=TRUE,"не попало в БДР","ok")</f>
        <v>не попало в БДР</v>
      </c>
      <c r="B87" s="36"/>
      <c r="C87" s="143" t="str">
        <f>IF(B87="","",VLOOKUP(MONTH(B87),Справочники!$X$4:$Y$15,2,0)&amp;"_"&amp;YEAR(B87))</f>
        <v/>
      </c>
      <c r="D87" s="37"/>
      <c r="E87" s="37"/>
      <c r="F87" s="38"/>
      <c r="G87" s="220" t="str">
        <f t="shared" si="2"/>
        <v/>
      </c>
      <c r="H87" s="220" t="str">
        <f t="shared" si="3"/>
        <v/>
      </c>
      <c r="I87" s="221"/>
      <c r="J87" s="37"/>
      <c r="K87" s="37"/>
    </row>
    <row r="88" spans="1:11" hidden="1" x14ac:dyDescent="0.2">
      <c r="A88" s="137" t="str">
        <f>IF(ISERROR(VLOOKUP(D88,БДР!A:A,1,0))=TRUE,"не попало в БДР","ok")</f>
        <v>не попало в БДР</v>
      </c>
      <c r="B88" s="36"/>
      <c r="C88" s="143" t="str">
        <f>IF(B88="","",VLOOKUP(MONTH(B88),Справочники!$X$4:$Y$15,2,0)&amp;"_"&amp;YEAR(B88))</f>
        <v/>
      </c>
      <c r="D88" s="37"/>
      <c r="E88" s="37"/>
      <c r="F88" s="38"/>
      <c r="G88" s="220" t="str">
        <f t="shared" si="2"/>
        <v/>
      </c>
      <c r="H88" s="220" t="str">
        <f t="shared" si="3"/>
        <v/>
      </c>
      <c r="I88" s="221"/>
      <c r="J88" s="37"/>
      <c r="K88" s="37"/>
    </row>
    <row r="89" spans="1:11" hidden="1" x14ac:dyDescent="0.2">
      <c r="A89" s="137" t="str">
        <f>IF(ISERROR(VLOOKUP(D89,БДР!A:A,1,0))=TRUE,"не попало в БДР","ok")</f>
        <v>не попало в БДР</v>
      </c>
      <c r="B89" s="36"/>
      <c r="C89" s="143" t="str">
        <f>IF(B89="","",VLOOKUP(MONTH(B89),Справочники!$X$4:$Y$15,2,0)&amp;"_"&amp;YEAR(B89))</f>
        <v/>
      </c>
      <c r="D89" s="37"/>
      <c r="E89" s="37"/>
      <c r="F89" s="38"/>
      <c r="G89" s="220" t="str">
        <f t="shared" si="2"/>
        <v/>
      </c>
      <c r="H89" s="220" t="str">
        <f t="shared" si="3"/>
        <v/>
      </c>
      <c r="I89" s="221"/>
      <c r="J89" s="37"/>
      <c r="K89" s="37"/>
    </row>
    <row r="90" spans="1:11" hidden="1" x14ac:dyDescent="0.2">
      <c r="A90" s="137" t="str">
        <f>IF(ISERROR(VLOOKUP(D90,БДР!A:A,1,0))=TRUE,"не попало в БДР","ok")</f>
        <v>не попало в БДР</v>
      </c>
      <c r="B90" s="36"/>
      <c r="C90" s="143" t="str">
        <f>IF(B90="","",VLOOKUP(MONTH(B90),Справочники!$X$4:$Y$15,2,0)&amp;"_"&amp;YEAR(B90))</f>
        <v/>
      </c>
      <c r="D90" s="37"/>
      <c r="E90" s="37"/>
      <c r="F90" s="38"/>
      <c r="G90" s="220" t="str">
        <f t="shared" si="2"/>
        <v/>
      </c>
      <c r="H90" s="220" t="str">
        <f t="shared" si="3"/>
        <v/>
      </c>
      <c r="I90" s="221"/>
      <c r="J90" s="37"/>
      <c r="K90" s="37"/>
    </row>
    <row r="91" spans="1:11" hidden="1" x14ac:dyDescent="0.2">
      <c r="A91" s="137" t="str">
        <f>IF(ISERROR(VLOOKUP(D91,БДР!A:A,1,0))=TRUE,"не попало в БДР","ok")</f>
        <v>не попало в БДР</v>
      </c>
      <c r="B91" s="36"/>
      <c r="C91" s="143" t="str">
        <f>IF(B91="","",VLOOKUP(MONTH(B91),Справочники!$X$4:$Y$15,2,0)&amp;"_"&amp;YEAR(B91))</f>
        <v/>
      </c>
      <c r="D91" s="37"/>
      <c r="E91" s="37"/>
      <c r="F91" s="38"/>
      <c r="G91" s="220" t="str">
        <f t="shared" ref="G91:G140" si="4">IF(ISERROR(I91-H91)=TRUE,"",I91-H91)</f>
        <v/>
      </c>
      <c r="H91" s="220" t="str">
        <f t="shared" ref="H91:H140" si="5">IF(I91="","",I91/(1+F91))</f>
        <v/>
      </c>
      <c r="I91" s="221"/>
      <c r="J91" s="37"/>
      <c r="K91" s="37"/>
    </row>
    <row r="92" spans="1:11" hidden="1" x14ac:dyDescent="0.2">
      <c r="A92" s="137" t="str">
        <f>IF(ISERROR(VLOOKUP(D92,БДР!A:A,1,0))=TRUE,"не попало в БДР","ok")</f>
        <v>не попало в БДР</v>
      </c>
      <c r="B92" s="36"/>
      <c r="C92" s="143" t="str">
        <f>IF(B92="","",VLOOKUP(MONTH(B92),Справочники!$X$4:$Y$15,2,0)&amp;"_"&amp;YEAR(B92))</f>
        <v/>
      </c>
      <c r="D92" s="37"/>
      <c r="E92" s="37"/>
      <c r="F92" s="38"/>
      <c r="G92" s="220" t="str">
        <f t="shared" si="4"/>
        <v/>
      </c>
      <c r="H92" s="220" t="str">
        <f t="shared" si="5"/>
        <v/>
      </c>
      <c r="I92" s="221"/>
      <c r="J92" s="37"/>
      <c r="K92" s="37"/>
    </row>
    <row r="93" spans="1:11" hidden="1" x14ac:dyDescent="0.2">
      <c r="A93" s="137" t="str">
        <f>IF(ISERROR(VLOOKUP(D93,БДР!A:A,1,0))=TRUE,"не попало в БДР","ok")</f>
        <v>не попало в БДР</v>
      </c>
      <c r="B93" s="36"/>
      <c r="C93" s="143" t="str">
        <f>IF(B93="","",VLOOKUP(MONTH(B93),Справочники!$X$4:$Y$15,2,0)&amp;"_"&amp;YEAR(B93))</f>
        <v/>
      </c>
      <c r="D93" s="37"/>
      <c r="E93" s="37"/>
      <c r="F93" s="38"/>
      <c r="G93" s="220" t="str">
        <f t="shared" si="4"/>
        <v/>
      </c>
      <c r="H93" s="220" t="str">
        <f t="shared" si="5"/>
        <v/>
      </c>
      <c r="I93" s="221"/>
      <c r="J93" s="37"/>
      <c r="K93" s="37"/>
    </row>
    <row r="94" spans="1:11" hidden="1" x14ac:dyDescent="0.2">
      <c r="A94" s="137" t="str">
        <f>IF(ISERROR(VLOOKUP(D94,БДР!A:A,1,0))=TRUE,"не попало в БДР","ok")</f>
        <v>не попало в БДР</v>
      </c>
      <c r="B94" s="36"/>
      <c r="C94" s="143" t="str">
        <f>IF(B94="","",VLOOKUP(MONTH(B94),Справочники!$X$4:$Y$15,2,0)&amp;"_"&amp;YEAR(B94))</f>
        <v/>
      </c>
      <c r="D94" s="37"/>
      <c r="E94" s="37"/>
      <c r="F94" s="38"/>
      <c r="G94" s="220" t="str">
        <f t="shared" si="4"/>
        <v/>
      </c>
      <c r="H94" s="220" t="str">
        <f t="shared" si="5"/>
        <v/>
      </c>
      <c r="I94" s="221"/>
      <c r="J94" s="37"/>
      <c r="K94" s="37"/>
    </row>
    <row r="95" spans="1:11" hidden="1" x14ac:dyDescent="0.2">
      <c r="A95" s="137" t="str">
        <f>IF(ISERROR(VLOOKUP(D95,БДР!A:A,1,0))=TRUE,"не попало в БДР","ok")</f>
        <v>не попало в БДР</v>
      </c>
      <c r="B95" s="36"/>
      <c r="C95" s="143" t="str">
        <f>IF(B95="","",VLOOKUP(MONTH(B95),Справочники!$X$4:$Y$15,2,0)&amp;"_"&amp;YEAR(B95))</f>
        <v/>
      </c>
      <c r="D95" s="37"/>
      <c r="E95" s="37"/>
      <c r="F95" s="38"/>
      <c r="G95" s="220" t="str">
        <f t="shared" si="4"/>
        <v/>
      </c>
      <c r="H95" s="220" t="str">
        <f t="shared" si="5"/>
        <v/>
      </c>
      <c r="I95" s="221"/>
      <c r="J95" s="37"/>
      <c r="K95" s="37"/>
    </row>
    <row r="96" spans="1:11" hidden="1" x14ac:dyDescent="0.2">
      <c r="A96" s="137" t="str">
        <f>IF(ISERROR(VLOOKUP(D96,БДР!A:A,1,0))=TRUE,"не попало в БДР","ok")</f>
        <v>не попало в БДР</v>
      </c>
      <c r="B96" s="36"/>
      <c r="C96" s="143" t="str">
        <f>IF(B96="","",VLOOKUP(MONTH(B96),Справочники!$X$4:$Y$15,2,0)&amp;"_"&amp;YEAR(B96))</f>
        <v/>
      </c>
      <c r="D96" s="37"/>
      <c r="E96" s="37"/>
      <c r="F96" s="38"/>
      <c r="G96" s="220" t="str">
        <f t="shared" si="4"/>
        <v/>
      </c>
      <c r="H96" s="220" t="str">
        <f t="shared" si="5"/>
        <v/>
      </c>
      <c r="I96" s="221"/>
      <c r="J96" s="37"/>
      <c r="K96" s="37"/>
    </row>
    <row r="97" spans="1:11" hidden="1" x14ac:dyDescent="0.2">
      <c r="A97" s="137" t="str">
        <f>IF(ISERROR(VLOOKUP(D97,БДР!A:A,1,0))=TRUE,"не попало в БДР","ok")</f>
        <v>не попало в БДР</v>
      </c>
      <c r="B97" s="36"/>
      <c r="C97" s="143" t="str">
        <f>IF(B97="","",VLOOKUP(MONTH(B97),Справочники!$X$4:$Y$15,2,0)&amp;"_"&amp;YEAR(B97))</f>
        <v/>
      </c>
      <c r="D97" s="37"/>
      <c r="E97" s="37"/>
      <c r="F97" s="38"/>
      <c r="G97" s="220" t="str">
        <f t="shared" si="4"/>
        <v/>
      </c>
      <c r="H97" s="220" t="str">
        <f t="shared" si="5"/>
        <v/>
      </c>
      <c r="I97" s="221"/>
      <c r="J97" s="37"/>
      <c r="K97" s="37"/>
    </row>
    <row r="98" spans="1:11" hidden="1" x14ac:dyDescent="0.2">
      <c r="A98" s="137" t="str">
        <f>IF(ISERROR(VLOOKUP(D98,БДР!A:A,1,0))=TRUE,"не попало в БДР","ok")</f>
        <v>не попало в БДР</v>
      </c>
      <c r="B98" s="36"/>
      <c r="C98" s="143" t="str">
        <f>IF(B98="","",VLOOKUP(MONTH(B98),Справочники!$X$4:$Y$15,2,0)&amp;"_"&amp;YEAR(B98))</f>
        <v/>
      </c>
      <c r="D98" s="37"/>
      <c r="E98" s="37"/>
      <c r="F98" s="38"/>
      <c r="G98" s="220" t="str">
        <f t="shared" si="4"/>
        <v/>
      </c>
      <c r="H98" s="220" t="str">
        <f t="shared" si="5"/>
        <v/>
      </c>
      <c r="I98" s="221"/>
      <c r="J98" s="37"/>
      <c r="K98" s="37"/>
    </row>
    <row r="99" spans="1:11" hidden="1" x14ac:dyDescent="0.2">
      <c r="A99" s="137" t="str">
        <f>IF(ISERROR(VLOOKUP(D99,БДР!A:A,1,0))=TRUE,"не попало в БДР","ok")</f>
        <v>не попало в БДР</v>
      </c>
      <c r="B99" s="36"/>
      <c r="C99" s="143" t="str">
        <f>IF(B99="","",VLOOKUP(MONTH(B99),Справочники!$X$4:$Y$15,2,0)&amp;"_"&amp;YEAR(B99))</f>
        <v/>
      </c>
      <c r="D99" s="37"/>
      <c r="E99" s="37"/>
      <c r="F99" s="38"/>
      <c r="G99" s="220" t="str">
        <f t="shared" si="4"/>
        <v/>
      </c>
      <c r="H99" s="220" t="str">
        <f t="shared" si="5"/>
        <v/>
      </c>
      <c r="I99" s="221"/>
      <c r="J99" s="37"/>
      <c r="K99" s="37"/>
    </row>
    <row r="100" spans="1:11" hidden="1" x14ac:dyDescent="0.2">
      <c r="A100" s="137" t="str">
        <f>IF(ISERROR(VLOOKUP(D100,БДР!A:A,1,0))=TRUE,"не попало в БДР","ok")</f>
        <v>не попало в БДР</v>
      </c>
      <c r="B100" s="36"/>
      <c r="C100" s="143" t="str">
        <f>IF(B100="","",VLOOKUP(MONTH(B100),Справочники!$X$4:$Y$15,2,0)&amp;"_"&amp;YEAR(B100))</f>
        <v/>
      </c>
      <c r="D100" s="37"/>
      <c r="E100" s="37"/>
      <c r="F100" s="38"/>
      <c r="G100" s="220" t="str">
        <f t="shared" si="4"/>
        <v/>
      </c>
      <c r="H100" s="220" t="str">
        <f t="shared" si="5"/>
        <v/>
      </c>
      <c r="I100" s="221"/>
      <c r="J100" s="37"/>
      <c r="K100" s="37"/>
    </row>
    <row r="101" spans="1:11" hidden="1" x14ac:dyDescent="0.2">
      <c r="A101" s="137" t="str">
        <f>IF(ISERROR(VLOOKUP(D101,БДР!A:A,1,0))=TRUE,"не попало в БДР","ok")</f>
        <v>не попало в БДР</v>
      </c>
      <c r="B101" s="36"/>
      <c r="C101" s="143" t="str">
        <f>IF(B101="","",VLOOKUP(MONTH(B101),Справочники!$X$4:$Y$15,2,0)&amp;"_"&amp;YEAR(B101))</f>
        <v/>
      </c>
      <c r="D101" s="37"/>
      <c r="E101" s="37"/>
      <c r="F101" s="38"/>
      <c r="G101" s="220" t="str">
        <f t="shared" si="4"/>
        <v/>
      </c>
      <c r="H101" s="220" t="str">
        <f t="shared" si="5"/>
        <v/>
      </c>
      <c r="I101" s="221"/>
      <c r="J101" s="37"/>
      <c r="K101" s="37"/>
    </row>
    <row r="102" spans="1:11" hidden="1" x14ac:dyDescent="0.2">
      <c r="A102" s="137" t="str">
        <f>IF(ISERROR(VLOOKUP(D102,БДР!A:A,1,0))=TRUE,"не попало в БДР","ok")</f>
        <v>не попало в БДР</v>
      </c>
      <c r="B102" s="36"/>
      <c r="C102" s="143" t="str">
        <f>IF(B102="","",VLOOKUP(MONTH(B102),Справочники!$X$4:$Y$15,2,0)&amp;"_"&amp;YEAR(B102))</f>
        <v/>
      </c>
      <c r="D102" s="37"/>
      <c r="E102" s="37"/>
      <c r="F102" s="38"/>
      <c r="G102" s="220" t="str">
        <f t="shared" si="4"/>
        <v/>
      </c>
      <c r="H102" s="220" t="str">
        <f t="shared" si="5"/>
        <v/>
      </c>
      <c r="I102" s="221"/>
      <c r="J102" s="37"/>
      <c r="K102" s="37"/>
    </row>
    <row r="103" spans="1:11" hidden="1" x14ac:dyDescent="0.2">
      <c r="A103" s="137" t="str">
        <f>IF(ISERROR(VLOOKUP(D103,БДР!A:A,1,0))=TRUE,"не попало в БДР","ok")</f>
        <v>не попало в БДР</v>
      </c>
      <c r="B103" s="36"/>
      <c r="C103" s="143" t="str">
        <f>IF(B103="","",VLOOKUP(MONTH(B103),Справочники!$X$4:$Y$15,2,0)&amp;"_"&amp;YEAR(B103))</f>
        <v/>
      </c>
      <c r="D103" s="37"/>
      <c r="E103" s="37"/>
      <c r="F103" s="38"/>
      <c r="G103" s="220" t="str">
        <f t="shared" si="4"/>
        <v/>
      </c>
      <c r="H103" s="220" t="str">
        <f t="shared" si="5"/>
        <v/>
      </c>
      <c r="I103" s="221"/>
      <c r="J103" s="37"/>
      <c r="K103" s="37"/>
    </row>
    <row r="104" spans="1:11" hidden="1" x14ac:dyDescent="0.2">
      <c r="A104" s="137" t="str">
        <f>IF(ISERROR(VLOOKUP(D104,БДР!A:A,1,0))=TRUE,"не попало в БДР","ok")</f>
        <v>не попало в БДР</v>
      </c>
      <c r="B104" s="36"/>
      <c r="C104" s="143" t="str">
        <f>IF(B104="","",VLOOKUP(MONTH(B104),Справочники!$X$4:$Y$15,2,0)&amp;"_"&amp;YEAR(B104))</f>
        <v/>
      </c>
      <c r="D104" s="37"/>
      <c r="E104" s="37"/>
      <c r="F104" s="38"/>
      <c r="G104" s="220" t="str">
        <f t="shared" si="4"/>
        <v/>
      </c>
      <c r="H104" s="220" t="str">
        <f t="shared" si="5"/>
        <v/>
      </c>
      <c r="I104" s="221"/>
      <c r="J104" s="37"/>
      <c r="K104" s="37"/>
    </row>
    <row r="105" spans="1:11" hidden="1" x14ac:dyDescent="0.2">
      <c r="A105" s="137" t="str">
        <f>IF(ISERROR(VLOOKUP(D105,БДР!A:A,1,0))=TRUE,"не попало в БДР","ok")</f>
        <v>не попало в БДР</v>
      </c>
      <c r="B105" s="36"/>
      <c r="C105" s="143" t="str">
        <f>IF(B105="","",VLOOKUP(MONTH(B105),Справочники!$X$4:$Y$15,2,0)&amp;"_"&amp;YEAR(B105))</f>
        <v/>
      </c>
      <c r="D105" s="37"/>
      <c r="E105" s="37"/>
      <c r="F105" s="38"/>
      <c r="G105" s="220" t="str">
        <f t="shared" si="4"/>
        <v/>
      </c>
      <c r="H105" s="220" t="str">
        <f t="shared" si="5"/>
        <v/>
      </c>
      <c r="I105" s="221"/>
      <c r="J105" s="37"/>
      <c r="K105" s="37"/>
    </row>
    <row r="106" spans="1:11" hidden="1" x14ac:dyDescent="0.2">
      <c r="A106" s="137" t="str">
        <f>IF(ISERROR(VLOOKUP(D106,БДР!A:A,1,0))=TRUE,"не попало в БДР","ok")</f>
        <v>не попало в БДР</v>
      </c>
      <c r="B106" s="36"/>
      <c r="C106" s="143" t="str">
        <f>IF(B106="","",VLOOKUP(MONTH(B106),Справочники!$X$4:$Y$15,2,0)&amp;"_"&amp;YEAR(B106))</f>
        <v/>
      </c>
      <c r="D106" s="37"/>
      <c r="E106" s="37"/>
      <c r="F106" s="38"/>
      <c r="G106" s="220" t="str">
        <f t="shared" si="4"/>
        <v/>
      </c>
      <c r="H106" s="220" t="str">
        <f t="shared" si="5"/>
        <v/>
      </c>
      <c r="I106" s="221"/>
      <c r="J106" s="37"/>
      <c r="K106" s="37"/>
    </row>
    <row r="107" spans="1:11" hidden="1" x14ac:dyDescent="0.2">
      <c r="A107" s="137" t="str">
        <f>IF(ISERROR(VLOOKUP(D107,БДР!A:A,1,0))=TRUE,"не попало в БДР","ok")</f>
        <v>не попало в БДР</v>
      </c>
      <c r="B107" s="36"/>
      <c r="C107" s="143" t="str">
        <f>IF(B107="","",VLOOKUP(MONTH(B107),Справочники!$X$4:$Y$15,2,0)&amp;"_"&amp;YEAR(B107))</f>
        <v/>
      </c>
      <c r="D107" s="37"/>
      <c r="E107" s="37"/>
      <c r="F107" s="38"/>
      <c r="G107" s="220" t="str">
        <f t="shared" si="4"/>
        <v/>
      </c>
      <c r="H107" s="220" t="str">
        <f t="shared" si="5"/>
        <v/>
      </c>
      <c r="I107" s="221"/>
      <c r="J107" s="37"/>
      <c r="K107" s="37"/>
    </row>
    <row r="108" spans="1:11" hidden="1" x14ac:dyDescent="0.2">
      <c r="A108" s="137" t="str">
        <f>IF(ISERROR(VLOOKUP(D108,БДР!A:A,1,0))=TRUE,"не попало в БДР","ok")</f>
        <v>не попало в БДР</v>
      </c>
      <c r="B108" s="36"/>
      <c r="C108" s="143" t="str">
        <f>IF(B108="","",VLOOKUP(MONTH(B108),Справочники!$X$4:$Y$15,2,0)&amp;"_"&amp;YEAR(B108))</f>
        <v/>
      </c>
      <c r="D108" s="37"/>
      <c r="E108" s="37"/>
      <c r="F108" s="38"/>
      <c r="G108" s="220" t="str">
        <f t="shared" si="4"/>
        <v/>
      </c>
      <c r="H108" s="220" t="str">
        <f t="shared" si="5"/>
        <v/>
      </c>
      <c r="I108" s="221"/>
      <c r="J108" s="37"/>
      <c r="K108" s="37"/>
    </row>
    <row r="109" spans="1:11" hidden="1" x14ac:dyDescent="0.2">
      <c r="A109" s="137" t="str">
        <f>IF(ISERROR(VLOOKUP(D109,БДР!A:A,1,0))=TRUE,"не попало в БДР","ok")</f>
        <v>не попало в БДР</v>
      </c>
      <c r="B109" s="36"/>
      <c r="C109" s="143" t="str">
        <f>IF(B109="","",VLOOKUP(MONTH(B109),Справочники!$X$4:$Y$15,2,0)&amp;"_"&amp;YEAR(B109))</f>
        <v/>
      </c>
      <c r="D109" s="37"/>
      <c r="E109" s="37"/>
      <c r="F109" s="38"/>
      <c r="G109" s="220" t="str">
        <f t="shared" si="4"/>
        <v/>
      </c>
      <c r="H109" s="220" t="str">
        <f t="shared" si="5"/>
        <v/>
      </c>
      <c r="I109" s="221"/>
      <c r="J109" s="37"/>
      <c r="K109" s="37"/>
    </row>
    <row r="110" spans="1:11" hidden="1" x14ac:dyDescent="0.2">
      <c r="A110" s="137" t="str">
        <f>IF(ISERROR(VLOOKUP(D110,БДР!A:A,1,0))=TRUE,"не попало в БДР","ok")</f>
        <v>не попало в БДР</v>
      </c>
      <c r="B110" s="36"/>
      <c r="C110" s="143" t="str">
        <f>IF(B110="","",VLOOKUP(MONTH(B110),Справочники!$X$4:$Y$15,2,0)&amp;"_"&amp;YEAR(B110))</f>
        <v/>
      </c>
      <c r="D110" s="37"/>
      <c r="E110" s="37"/>
      <c r="F110" s="38"/>
      <c r="G110" s="220" t="str">
        <f t="shared" si="4"/>
        <v/>
      </c>
      <c r="H110" s="220" t="str">
        <f t="shared" si="5"/>
        <v/>
      </c>
      <c r="I110" s="221"/>
      <c r="J110" s="37"/>
      <c r="K110" s="37"/>
    </row>
    <row r="111" spans="1:11" hidden="1" x14ac:dyDescent="0.2">
      <c r="A111" s="137" t="str">
        <f>IF(ISERROR(VLOOKUP(D111,БДР!A:A,1,0))=TRUE,"не попало в БДР","ok")</f>
        <v>не попало в БДР</v>
      </c>
      <c r="B111" s="36"/>
      <c r="C111" s="143" t="str">
        <f>IF(B111="","",VLOOKUP(MONTH(B111),Справочники!$X$4:$Y$15,2,0)&amp;"_"&amp;YEAR(B111))</f>
        <v/>
      </c>
      <c r="D111" s="37"/>
      <c r="E111" s="37"/>
      <c r="F111" s="38"/>
      <c r="G111" s="220" t="str">
        <f t="shared" si="4"/>
        <v/>
      </c>
      <c r="H111" s="220" t="str">
        <f t="shared" si="5"/>
        <v/>
      </c>
      <c r="I111" s="221"/>
      <c r="J111" s="37"/>
      <c r="K111" s="37"/>
    </row>
    <row r="112" spans="1:11" hidden="1" x14ac:dyDescent="0.2">
      <c r="A112" s="137" t="str">
        <f>IF(ISERROR(VLOOKUP(D112,БДР!A:A,1,0))=TRUE,"не попало в БДР","ok")</f>
        <v>не попало в БДР</v>
      </c>
      <c r="B112" s="36"/>
      <c r="C112" s="143" t="str">
        <f>IF(B112="","",VLOOKUP(MONTH(B112),Справочники!$X$4:$Y$15,2,0)&amp;"_"&amp;YEAR(B112))</f>
        <v/>
      </c>
      <c r="D112" s="37"/>
      <c r="E112" s="37"/>
      <c r="F112" s="38"/>
      <c r="G112" s="220" t="str">
        <f t="shared" si="4"/>
        <v/>
      </c>
      <c r="H112" s="220" t="str">
        <f t="shared" si="5"/>
        <v/>
      </c>
      <c r="I112" s="221"/>
      <c r="J112" s="37"/>
      <c r="K112" s="37"/>
    </row>
    <row r="113" spans="1:11" hidden="1" x14ac:dyDescent="0.2">
      <c r="A113" s="137" t="str">
        <f>IF(ISERROR(VLOOKUP(D113,БДР!A:A,1,0))=TRUE,"не попало в БДР","ok")</f>
        <v>не попало в БДР</v>
      </c>
      <c r="B113" s="36"/>
      <c r="C113" s="143" t="str">
        <f>IF(B113="","",VLOOKUP(MONTH(B113),Справочники!$X$4:$Y$15,2,0)&amp;"_"&amp;YEAR(B113))</f>
        <v/>
      </c>
      <c r="D113" s="37"/>
      <c r="E113" s="37"/>
      <c r="F113" s="38"/>
      <c r="G113" s="220" t="str">
        <f t="shared" si="4"/>
        <v/>
      </c>
      <c r="H113" s="220" t="str">
        <f t="shared" si="5"/>
        <v/>
      </c>
      <c r="I113" s="221"/>
      <c r="J113" s="37"/>
      <c r="K113" s="37"/>
    </row>
    <row r="114" spans="1:11" hidden="1" x14ac:dyDescent="0.2">
      <c r="A114" s="137" t="str">
        <f>IF(ISERROR(VLOOKUP(D114,БДР!A:A,1,0))=TRUE,"не попало в БДР","ok")</f>
        <v>не попало в БДР</v>
      </c>
      <c r="B114" s="36"/>
      <c r="C114" s="143" t="str">
        <f>IF(B114="","",VLOOKUP(MONTH(B114),Справочники!$X$4:$Y$15,2,0)&amp;"_"&amp;YEAR(B114))</f>
        <v/>
      </c>
      <c r="D114" s="37"/>
      <c r="E114" s="37"/>
      <c r="F114" s="38"/>
      <c r="G114" s="220" t="str">
        <f t="shared" si="4"/>
        <v/>
      </c>
      <c r="H114" s="220" t="str">
        <f t="shared" si="5"/>
        <v/>
      </c>
      <c r="I114" s="221"/>
      <c r="J114" s="37"/>
      <c r="K114" s="37"/>
    </row>
    <row r="115" spans="1:11" hidden="1" x14ac:dyDescent="0.2">
      <c r="A115" s="137" t="str">
        <f>IF(ISERROR(VLOOKUP(D115,БДР!A:A,1,0))=TRUE,"не попало в БДР","ok")</f>
        <v>не попало в БДР</v>
      </c>
      <c r="B115" s="36"/>
      <c r="C115" s="143" t="str">
        <f>IF(B115="","",VLOOKUP(MONTH(B115),Справочники!$X$4:$Y$15,2,0)&amp;"_"&amp;YEAR(B115))</f>
        <v/>
      </c>
      <c r="D115" s="37"/>
      <c r="E115" s="37"/>
      <c r="F115" s="38"/>
      <c r="G115" s="220" t="str">
        <f t="shared" si="4"/>
        <v/>
      </c>
      <c r="H115" s="220" t="str">
        <f t="shared" si="5"/>
        <v/>
      </c>
      <c r="I115" s="221"/>
      <c r="J115" s="37"/>
      <c r="K115" s="37"/>
    </row>
    <row r="116" spans="1:11" hidden="1" x14ac:dyDescent="0.2">
      <c r="A116" s="137" t="str">
        <f>IF(ISERROR(VLOOKUP(D116,БДР!A:A,1,0))=TRUE,"не попало в БДР","ok")</f>
        <v>не попало в БДР</v>
      </c>
      <c r="B116" s="36"/>
      <c r="C116" s="143" t="str">
        <f>IF(B116="","",VLOOKUP(MONTH(B116),Справочники!$X$4:$Y$15,2,0)&amp;"_"&amp;YEAR(B116))</f>
        <v/>
      </c>
      <c r="D116" s="37"/>
      <c r="E116" s="37"/>
      <c r="F116" s="38"/>
      <c r="G116" s="220" t="str">
        <f t="shared" si="4"/>
        <v/>
      </c>
      <c r="H116" s="220" t="str">
        <f t="shared" si="5"/>
        <v/>
      </c>
      <c r="I116" s="221"/>
      <c r="J116" s="37"/>
      <c r="K116" s="37"/>
    </row>
    <row r="117" spans="1:11" hidden="1" x14ac:dyDescent="0.2">
      <c r="A117" s="137" t="str">
        <f>IF(ISERROR(VLOOKUP(D117,БДР!A:A,1,0))=TRUE,"не попало в БДР","ok")</f>
        <v>не попало в БДР</v>
      </c>
      <c r="B117" s="36"/>
      <c r="C117" s="143" t="str">
        <f>IF(B117="","",VLOOKUP(MONTH(B117),Справочники!$X$4:$Y$15,2,0)&amp;"_"&amp;YEAR(B117))</f>
        <v/>
      </c>
      <c r="D117" s="37"/>
      <c r="E117" s="37"/>
      <c r="F117" s="38"/>
      <c r="G117" s="220" t="str">
        <f t="shared" si="4"/>
        <v/>
      </c>
      <c r="H117" s="220" t="str">
        <f t="shared" si="5"/>
        <v/>
      </c>
      <c r="I117" s="221"/>
      <c r="J117" s="37"/>
      <c r="K117" s="37"/>
    </row>
    <row r="118" spans="1:11" hidden="1" x14ac:dyDescent="0.2">
      <c r="A118" s="137" t="str">
        <f>IF(ISERROR(VLOOKUP(D118,БДР!A:A,1,0))=TRUE,"не попало в БДР","ok")</f>
        <v>не попало в БДР</v>
      </c>
      <c r="B118" s="36"/>
      <c r="C118" s="143" t="str">
        <f>IF(B118="","",VLOOKUP(MONTH(B118),Справочники!$X$4:$Y$15,2,0)&amp;"_"&amp;YEAR(B118))</f>
        <v/>
      </c>
      <c r="D118" s="37"/>
      <c r="E118" s="37"/>
      <c r="F118" s="38"/>
      <c r="G118" s="220" t="str">
        <f t="shared" si="4"/>
        <v/>
      </c>
      <c r="H118" s="220" t="str">
        <f t="shared" si="5"/>
        <v/>
      </c>
      <c r="I118" s="221"/>
      <c r="J118" s="37"/>
      <c r="K118" s="37"/>
    </row>
    <row r="119" spans="1:11" hidden="1" x14ac:dyDescent="0.2">
      <c r="A119" s="137" t="str">
        <f>IF(ISERROR(VLOOKUP(D119,БДР!A:A,1,0))=TRUE,"не попало в БДР","ok")</f>
        <v>не попало в БДР</v>
      </c>
      <c r="B119" s="36"/>
      <c r="C119" s="143" t="str">
        <f>IF(B119="","",VLOOKUP(MONTH(B119),Справочники!$X$4:$Y$15,2,0)&amp;"_"&amp;YEAR(B119))</f>
        <v/>
      </c>
      <c r="D119" s="37"/>
      <c r="E119" s="37"/>
      <c r="F119" s="38"/>
      <c r="G119" s="220" t="str">
        <f t="shared" si="4"/>
        <v/>
      </c>
      <c r="H119" s="220" t="str">
        <f t="shared" si="5"/>
        <v/>
      </c>
      <c r="I119" s="221"/>
      <c r="J119" s="37"/>
      <c r="K119" s="37"/>
    </row>
    <row r="120" spans="1:11" hidden="1" x14ac:dyDescent="0.2">
      <c r="A120" s="137" t="str">
        <f>IF(ISERROR(VLOOKUP(D120,БДР!A:A,1,0))=TRUE,"не попало в БДР","ok")</f>
        <v>не попало в БДР</v>
      </c>
      <c r="B120" s="36"/>
      <c r="C120" s="143" t="str">
        <f>IF(B120="","",VLOOKUP(MONTH(B120),Справочники!$X$4:$Y$15,2,0)&amp;"_"&amp;YEAR(B120))</f>
        <v/>
      </c>
      <c r="D120" s="37"/>
      <c r="E120" s="37"/>
      <c r="F120" s="38"/>
      <c r="G120" s="220" t="str">
        <f t="shared" si="4"/>
        <v/>
      </c>
      <c r="H120" s="220" t="str">
        <f t="shared" si="5"/>
        <v/>
      </c>
      <c r="I120" s="221"/>
      <c r="J120" s="37"/>
      <c r="K120" s="37"/>
    </row>
    <row r="121" spans="1:11" hidden="1" x14ac:dyDescent="0.2">
      <c r="A121" s="137" t="str">
        <f>IF(ISERROR(VLOOKUP(D121,БДР!A:A,1,0))=TRUE,"не попало в БДР","ok")</f>
        <v>не попало в БДР</v>
      </c>
      <c r="B121" s="36"/>
      <c r="C121" s="143" t="str">
        <f>IF(B121="","",VLOOKUP(MONTH(B121),Справочники!$X$4:$Y$15,2,0)&amp;"_"&amp;YEAR(B121))</f>
        <v/>
      </c>
      <c r="D121" s="37"/>
      <c r="E121" s="37"/>
      <c r="F121" s="38"/>
      <c r="G121" s="220" t="str">
        <f t="shared" si="4"/>
        <v/>
      </c>
      <c r="H121" s="220" t="str">
        <f t="shared" si="5"/>
        <v/>
      </c>
      <c r="I121" s="221"/>
      <c r="J121" s="37"/>
      <c r="K121" s="37"/>
    </row>
    <row r="122" spans="1:11" hidden="1" x14ac:dyDescent="0.2">
      <c r="A122" s="137" t="str">
        <f>IF(ISERROR(VLOOKUP(D122,БДР!A:A,1,0))=TRUE,"не попало в БДР","ok")</f>
        <v>не попало в БДР</v>
      </c>
      <c r="B122" s="36"/>
      <c r="C122" s="143" t="str">
        <f>IF(B122="","",VLOOKUP(MONTH(B122),Справочники!$X$4:$Y$15,2,0)&amp;"_"&amp;YEAR(B122))</f>
        <v/>
      </c>
      <c r="D122" s="37"/>
      <c r="E122" s="37"/>
      <c r="F122" s="38"/>
      <c r="G122" s="220" t="str">
        <f t="shared" si="4"/>
        <v/>
      </c>
      <c r="H122" s="220" t="str">
        <f t="shared" si="5"/>
        <v/>
      </c>
      <c r="I122" s="221"/>
      <c r="J122" s="37"/>
      <c r="K122" s="37"/>
    </row>
    <row r="123" spans="1:11" hidden="1" x14ac:dyDescent="0.2">
      <c r="A123" s="137" t="str">
        <f>IF(ISERROR(VLOOKUP(D123,БДР!A:A,1,0))=TRUE,"не попало в БДР","ok")</f>
        <v>не попало в БДР</v>
      </c>
      <c r="B123" s="36"/>
      <c r="C123" s="143" t="str">
        <f>IF(B123="","",VLOOKUP(MONTH(B123),Справочники!$X$4:$Y$15,2,0)&amp;"_"&amp;YEAR(B123))</f>
        <v/>
      </c>
      <c r="D123" s="37"/>
      <c r="E123" s="37"/>
      <c r="F123" s="38"/>
      <c r="G123" s="220" t="str">
        <f t="shared" si="4"/>
        <v/>
      </c>
      <c r="H123" s="220" t="str">
        <f t="shared" si="5"/>
        <v/>
      </c>
      <c r="I123" s="221"/>
      <c r="J123" s="37"/>
      <c r="K123" s="37"/>
    </row>
    <row r="124" spans="1:11" hidden="1" x14ac:dyDescent="0.2">
      <c r="A124" s="137" t="str">
        <f>IF(ISERROR(VLOOKUP(D124,БДР!A:A,1,0))=TRUE,"не попало в БДР","ok")</f>
        <v>не попало в БДР</v>
      </c>
      <c r="B124" s="36"/>
      <c r="C124" s="143" t="str">
        <f>IF(B124="","",VLOOKUP(MONTH(B124),Справочники!$X$4:$Y$15,2,0)&amp;"_"&amp;YEAR(B124))</f>
        <v/>
      </c>
      <c r="D124" s="37"/>
      <c r="E124" s="37"/>
      <c r="F124" s="38"/>
      <c r="G124" s="220" t="str">
        <f t="shared" si="4"/>
        <v/>
      </c>
      <c r="H124" s="220" t="str">
        <f t="shared" si="5"/>
        <v/>
      </c>
      <c r="I124" s="221"/>
      <c r="J124" s="37"/>
      <c r="K124" s="37"/>
    </row>
    <row r="125" spans="1:11" hidden="1" x14ac:dyDescent="0.2">
      <c r="A125" s="137" t="str">
        <f>IF(ISERROR(VLOOKUP(D125,БДР!A:A,1,0))=TRUE,"не попало в БДР","ok")</f>
        <v>не попало в БДР</v>
      </c>
      <c r="B125" s="36"/>
      <c r="C125" s="143" t="str">
        <f>IF(B125="","",VLOOKUP(MONTH(B125),Справочники!$X$4:$Y$15,2,0)&amp;"_"&amp;YEAR(B125))</f>
        <v/>
      </c>
      <c r="D125" s="37"/>
      <c r="E125" s="37"/>
      <c r="F125" s="38"/>
      <c r="G125" s="220" t="str">
        <f t="shared" si="4"/>
        <v/>
      </c>
      <c r="H125" s="220" t="str">
        <f t="shared" si="5"/>
        <v/>
      </c>
      <c r="I125" s="221"/>
      <c r="J125" s="37"/>
      <c r="K125" s="37"/>
    </row>
    <row r="126" spans="1:11" hidden="1" x14ac:dyDescent="0.2">
      <c r="A126" s="137" t="str">
        <f>IF(ISERROR(VLOOKUP(D126,БДР!A:A,1,0))=TRUE,"не попало в БДР","ok")</f>
        <v>не попало в БДР</v>
      </c>
      <c r="B126" s="36"/>
      <c r="C126" s="143" t="str">
        <f>IF(B126="","",VLOOKUP(MONTH(B126),Справочники!$X$4:$Y$15,2,0)&amp;"_"&amp;YEAR(B126))</f>
        <v/>
      </c>
      <c r="D126" s="37"/>
      <c r="E126" s="37"/>
      <c r="F126" s="38"/>
      <c r="G126" s="220" t="str">
        <f t="shared" si="4"/>
        <v/>
      </c>
      <c r="H126" s="220" t="str">
        <f t="shared" si="5"/>
        <v/>
      </c>
      <c r="I126" s="221"/>
      <c r="J126" s="37"/>
      <c r="K126" s="37"/>
    </row>
    <row r="127" spans="1:11" hidden="1" x14ac:dyDescent="0.2">
      <c r="A127" s="137" t="str">
        <f>IF(ISERROR(VLOOKUP(D127,БДР!A:A,1,0))=TRUE,"не попало в БДР","ok")</f>
        <v>не попало в БДР</v>
      </c>
      <c r="B127" s="36"/>
      <c r="C127" s="143" t="str">
        <f>IF(B127="","",VLOOKUP(MONTH(B127),Справочники!$X$4:$Y$15,2,0)&amp;"_"&amp;YEAR(B127))</f>
        <v/>
      </c>
      <c r="D127" s="37"/>
      <c r="E127" s="37"/>
      <c r="F127" s="38"/>
      <c r="G127" s="220" t="str">
        <f t="shared" si="4"/>
        <v/>
      </c>
      <c r="H127" s="220" t="str">
        <f t="shared" si="5"/>
        <v/>
      </c>
      <c r="I127" s="221"/>
      <c r="J127" s="37"/>
      <c r="K127" s="37"/>
    </row>
    <row r="128" spans="1:11" hidden="1" x14ac:dyDescent="0.2">
      <c r="A128" s="137" t="str">
        <f>IF(ISERROR(VLOOKUP(D128,БДР!A:A,1,0))=TRUE,"не попало в БДР","ok")</f>
        <v>не попало в БДР</v>
      </c>
      <c r="B128" s="36"/>
      <c r="C128" s="143" t="str">
        <f>IF(B128="","",VLOOKUP(MONTH(B128),Справочники!$X$4:$Y$15,2,0)&amp;"_"&amp;YEAR(B128))</f>
        <v/>
      </c>
      <c r="D128" s="37"/>
      <c r="E128" s="37"/>
      <c r="F128" s="38"/>
      <c r="G128" s="220" t="str">
        <f t="shared" si="4"/>
        <v/>
      </c>
      <c r="H128" s="220" t="str">
        <f t="shared" si="5"/>
        <v/>
      </c>
      <c r="I128" s="221"/>
      <c r="J128" s="37"/>
      <c r="K128" s="37"/>
    </row>
    <row r="129" spans="1:11" hidden="1" x14ac:dyDescent="0.2">
      <c r="A129" s="137" t="str">
        <f>IF(ISERROR(VLOOKUP(D129,БДР!A:A,1,0))=TRUE,"не попало в БДР","ok")</f>
        <v>не попало в БДР</v>
      </c>
      <c r="B129" s="36"/>
      <c r="C129" s="143" t="str">
        <f>IF(B129="","",VLOOKUP(MONTH(B129),Справочники!$X$4:$Y$15,2,0)&amp;"_"&amp;YEAR(B129))</f>
        <v/>
      </c>
      <c r="D129" s="37"/>
      <c r="E129" s="37"/>
      <c r="F129" s="38"/>
      <c r="G129" s="220" t="str">
        <f t="shared" si="4"/>
        <v/>
      </c>
      <c r="H129" s="220" t="str">
        <f t="shared" si="5"/>
        <v/>
      </c>
      <c r="I129" s="221"/>
      <c r="J129" s="37"/>
      <c r="K129" s="37"/>
    </row>
    <row r="130" spans="1:11" hidden="1" x14ac:dyDescent="0.2">
      <c r="A130" s="137" t="str">
        <f>IF(ISERROR(VLOOKUP(D130,БДР!A:A,1,0))=TRUE,"не попало в БДР","ok")</f>
        <v>не попало в БДР</v>
      </c>
      <c r="B130" s="36"/>
      <c r="C130" s="143" t="str">
        <f>IF(B130="","",VLOOKUP(MONTH(B130),Справочники!$X$4:$Y$15,2,0)&amp;"_"&amp;YEAR(B130))</f>
        <v/>
      </c>
      <c r="D130" s="37"/>
      <c r="E130" s="37"/>
      <c r="F130" s="38"/>
      <c r="G130" s="220" t="str">
        <f t="shared" si="4"/>
        <v/>
      </c>
      <c r="H130" s="220" t="str">
        <f t="shared" si="5"/>
        <v/>
      </c>
      <c r="I130" s="221"/>
      <c r="J130" s="37"/>
      <c r="K130" s="37"/>
    </row>
    <row r="131" spans="1:11" hidden="1" x14ac:dyDescent="0.2">
      <c r="A131" s="137" t="str">
        <f>IF(ISERROR(VLOOKUP(D131,БДР!A:A,1,0))=TRUE,"не попало в БДР","ok")</f>
        <v>не попало в БДР</v>
      </c>
      <c r="B131" s="36"/>
      <c r="C131" s="143" t="str">
        <f>IF(B131="","",VLOOKUP(MONTH(B131),Справочники!$X$4:$Y$15,2,0)&amp;"_"&amp;YEAR(B131))</f>
        <v/>
      </c>
      <c r="D131" s="37"/>
      <c r="E131" s="37"/>
      <c r="F131" s="38"/>
      <c r="G131" s="220" t="str">
        <f t="shared" si="4"/>
        <v/>
      </c>
      <c r="H131" s="220" t="str">
        <f t="shared" si="5"/>
        <v/>
      </c>
      <c r="I131" s="221"/>
      <c r="J131" s="37"/>
      <c r="K131" s="37"/>
    </row>
    <row r="132" spans="1:11" hidden="1" x14ac:dyDescent="0.2">
      <c r="A132" s="137" t="str">
        <f>IF(ISERROR(VLOOKUP(D132,БДР!A:A,1,0))=TRUE,"не попало в БДР","ok")</f>
        <v>не попало в БДР</v>
      </c>
      <c r="B132" s="36"/>
      <c r="C132" s="143" t="str">
        <f>IF(B132="","",VLOOKUP(MONTH(B132),Справочники!$X$4:$Y$15,2,0)&amp;"_"&amp;YEAR(B132))</f>
        <v/>
      </c>
      <c r="D132" s="37"/>
      <c r="E132" s="37"/>
      <c r="F132" s="38"/>
      <c r="G132" s="220" t="str">
        <f t="shared" si="4"/>
        <v/>
      </c>
      <c r="H132" s="220" t="str">
        <f t="shared" si="5"/>
        <v/>
      </c>
      <c r="I132" s="221"/>
      <c r="J132" s="37"/>
      <c r="K132" s="37"/>
    </row>
    <row r="133" spans="1:11" hidden="1" x14ac:dyDescent="0.2">
      <c r="A133" s="137" t="str">
        <f>IF(ISERROR(VLOOKUP(D133,БДР!A:A,1,0))=TRUE,"не попало в БДР","ok")</f>
        <v>не попало в БДР</v>
      </c>
      <c r="B133" s="36"/>
      <c r="C133" s="143" t="str">
        <f>IF(B133="","",VLOOKUP(MONTH(B133),Справочники!$X$4:$Y$15,2,0)&amp;"_"&amp;YEAR(B133))</f>
        <v/>
      </c>
      <c r="D133" s="37"/>
      <c r="E133" s="37"/>
      <c r="F133" s="38"/>
      <c r="G133" s="220" t="str">
        <f t="shared" si="4"/>
        <v/>
      </c>
      <c r="H133" s="220" t="str">
        <f t="shared" si="5"/>
        <v/>
      </c>
      <c r="I133" s="221"/>
      <c r="J133" s="37"/>
      <c r="K133" s="37"/>
    </row>
    <row r="134" spans="1:11" hidden="1" x14ac:dyDescent="0.2">
      <c r="A134" s="137" t="str">
        <f>IF(ISERROR(VLOOKUP(D134,БДР!A:A,1,0))=TRUE,"не попало в БДР","ok")</f>
        <v>не попало в БДР</v>
      </c>
      <c r="B134" s="36"/>
      <c r="C134" s="143" t="str">
        <f>IF(B134="","",VLOOKUP(MONTH(B134),Справочники!$X$4:$Y$15,2,0)&amp;"_"&amp;YEAR(B134))</f>
        <v/>
      </c>
      <c r="D134" s="37"/>
      <c r="E134" s="37"/>
      <c r="F134" s="38"/>
      <c r="G134" s="220" t="str">
        <f t="shared" si="4"/>
        <v/>
      </c>
      <c r="H134" s="220" t="str">
        <f t="shared" si="5"/>
        <v/>
      </c>
      <c r="I134" s="221"/>
      <c r="J134" s="37"/>
      <c r="K134" s="37"/>
    </row>
    <row r="135" spans="1:11" hidden="1" x14ac:dyDescent="0.2">
      <c r="A135" s="137" t="str">
        <f>IF(ISERROR(VLOOKUP(D135,БДР!A:A,1,0))=TRUE,"не попало в БДР","ok")</f>
        <v>не попало в БДР</v>
      </c>
      <c r="B135" s="36"/>
      <c r="C135" s="143" t="str">
        <f>IF(B135="","",VLOOKUP(MONTH(B135),Справочники!$X$4:$Y$15,2,0)&amp;"_"&amp;YEAR(B135))</f>
        <v/>
      </c>
      <c r="D135" s="37"/>
      <c r="E135" s="37"/>
      <c r="F135" s="38"/>
      <c r="G135" s="220" t="str">
        <f t="shared" si="4"/>
        <v/>
      </c>
      <c r="H135" s="220" t="str">
        <f t="shared" si="5"/>
        <v/>
      </c>
      <c r="I135" s="221"/>
      <c r="J135" s="37"/>
      <c r="K135" s="37"/>
    </row>
    <row r="136" spans="1:11" hidden="1" x14ac:dyDescent="0.2">
      <c r="A136" s="137" t="str">
        <f>IF(ISERROR(VLOOKUP(D136,БДР!A:A,1,0))=TRUE,"не попало в БДР","ok")</f>
        <v>не попало в БДР</v>
      </c>
      <c r="B136" s="36"/>
      <c r="C136" s="143" t="str">
        <f>IF(B136="","",VLOOKUP(MONTH(B136),Справочники!$X$4:$Y$15,2,0)&amp;"_"&amp;YEAR(B136))</f>
        <v/>
      </c>
      <c r="D136" s="37"/>
      <c r="E136" s="37"/>
      <c r="F136" s="38"/>
      <c r="G136" s="220" t="str">
        <f t="shared" si="4"/>
        <v/>
      </c>
      <c r="H136" s="220" t="str">
        <f t="shared" si="5"/>
        <v/>
      </c>
      <c r="I136" s="221"/>
      <c r="J136" s="37"/>
      <c r="K136" s="37"/>
    </row>
    <row r="137" spans="1:11" hidden="1" x14ac:dyDescent="0.2">
      <c r="A137" s="137" t="str">
        <f>IF(ISERROR(VLOOKUP(D137,БДР!A:A,1,0))=TRUE,"не попало в БДР","ok")</f>
        <v>не попало в БДР</v>
      </c>
      <c r="B137" s="36"/>
      <c r="C137" s="143" t="str">
        <f>IF(B137="","",VLOOKUP(MONTH(B137),Справочники!$X$4:$Y$15,2,0)&amp;"_"&amp;YEAR(B137))</f>
        <v/>
      </c>
      <c r="D137" s="37"/>
      <c r="E137" s="37"/>
      <c r="F137" s="38"/>
      <c r="G137" s="220" t="str">
        <f t="shared" si="4"/>
        <v/>
      </c>
      <c r="H137" s="220" t="str">
        <f t="shared" si="5"/>
        <v/>
      </c>
      <c r="I137" s="221"/>
      <c r="J137" s="37"/>
      <c r="K137" s="37"/>
    </row>
    <row r="138" spans="1:11" hidden="1" x14ac:dyDescent="0.2">
      <c r="A138" s="137" t="str">
        <f>IF(ISERROR(VLOOKUP(D138,БДР!A:A,1,0))=TRUE,"не попало в БДР","ok")</f>
        <v>не попало в БДР</v>
      </c>
      <c r="B138" s="36"/>
      <c r="C138" s="143" t="str">
        <f>IF(B138="","",VLOOKUP(MONTH(B138),Справочники!$X$4:$Y$15,2,0)&amp;"_"&amp;YEAR(B138))</f>
        <v/>
      </c>
      <c r="D138" s="37"/>
      <c r="E138" s="37"/>
      <c r="F138" s="38"/>
      <c r="G138" s="220" t="str">
        <f t="shared" si="4"/>
        <v/>
      </c>
      <c r="H138" s="220" t="str">
        <f t="shared" si="5"/>
        <v/>
      </c>
      <c r="I138" s="221"/>
      <c r="J138" s="37"/>
      <c r="K138" s="37"/>
    </row>
    <row r="139" spans="1:11" hidden="1" x14ac:dyDescent="0.2">
      <c r="A139" s="137" t="str">
        <f>IF(ISERROR(VLOOKUP(D139,БДР!A:A,1,0))=TRUE,"не попало в БДР","ok")</f>
        <v>не попало в БДР</v>
      </c>
      <c r="B139" s="36"/>
      <c r="C139" s="143" t="str">
        <f>IF(B139="","",VLOOKUP(MONTH(B139),Справочники!$X$4:$Y$15,2,0)&amp;"_"&amp;YEAR(B139))</f>
        <v/>
      </c>
      <c r="D139" s="37"/>
      <c r="E139" s="37"/>
      <c r="F139" s="38"/>
      <c r="G139" s="220" t="str">
        <f t="shared" si="4"/>
        <v/>
      </c>
      <c r="H139" s="220" t="str">
        <f t="shared" si="5"/>
        <v/>
      </c>
      <c r="I139" s="221"/>
      <c r="J139" s="37"/>
      <c r="K139" s="37"/>
    </row>
    <row r="140" spans="1:11" hidden="1" x14ac:dyDescent="0.2">
      <c r="A140" s="137" t="str">
        <f>IF(ISERROR(VLOOKUP(D140,БДР!A:A,1,0))=TRUE,"не попало в БДР","ok")</f>
        <v>не попало в БДР</v>
      </c>
      <c r="B140" s="36"/>
      <c r="C140" s="143" t="str">
        <f>IF(B140="","",VLOOKUP(MONTH(B140),Справочники!$X$4:$Y$15,2,0)&amp;"_"&amp;YEAR(B140))</f>
        <v/>
      </c>
      <c r="D140" s="37"/>
      <c r="E140" s="37"/>
      <c r="F140" s="38"/>
      <c r="G140" s="220" t="str">
        <f t="shared" si="4"/>
        <v/>
      </c>
      <c r="H140" s="220" t="str">
        <f t="shared" si="5"/>
        <v/>
      </c>
      <c r="I140" s="221"/>
      <c r="J140" s="37"/>
      <c r="K140" s="37"/>
    </row>
    <row r="141" spans="1:11" hidden="1" x14ac:dyDescent="0.2">
      <c r="A141" s="137" t="str">
        <f>IF(ISERROR(VLOOKUP(D141,БДР!A:A,1,0))=TRUE,"не попало в БДР","ok")</f>
        <v>не попало в БДР</v>
      </c>
      <c r="B141" s="36"/>
      <c r="C141" s="143" t="str">
        <f>IF(B141="","",VLOOKUP(MONTH(B141),Справочники!$X$4:$Y$15,2,0)&amp;"_"&amp;YEAR(B141))</f>
        <v/>
      </c>
      <c r="D141" s="37"/>
      <c r="E141" s="37"/>
      <c r="F141" s="38"/>
      <c r="G141" s="220" t="str">
        <f t="shared" si="0"/>
        <v/>
      </c>
      <c r="H141" s="220" t="str">
        <f t="shared" si="1"/>
        <v/>
      </c>
      <c r="I141" s="221"/>
      <c r="J141" s="37"/>
      <c r="K141" s="37"/>
    </row>
    <row r="256" spans="4:4" x14ac:dyDescent="0.2">
      <c r="D256" s="144"/>
    </row>
    <row r="257" spans="4:4" x14ac:dyDescent="0.2">
      <c r="D257" s="145"/>
    </row>
    <row r="258" spans="4:4" x14ac:dyDescent="0.2">
      <c r="D258" s="145"/>
    </row>
    <row r="259" spans="4:4" x14ac:dyDescent="0.2">
      <c r="D259" s="145"/>
    </row>
  </sheetData>
  <sheetProtection formatCells="0" formatColumns="0" formatRows="0" autoFilter="0" pivotTables="0"/>
  <autoFilter ref="B4:K141" xr:uid="{00000000-0009-0000-0000-000008000000}"/>
  <dataValidations count="3">
    <dataValidation type="list" allowBlank="1" showInputMessage="1" showErrorMessage="1" prompt="Выбрать из списка" sqref="F141" xr:uid="{00000000-0002-0000-0800-000001000000}">
      <formula1>"0%,10%,18%"</formula1>
    </dataValidation>
    <dataValidation type="date" allowBlank="1" showInputMessage="1" showErrorMessage="1" sqref="B5:B141" xr:uid="{00000000-0002-0000-0800-000000000000}">
      <formula1>41640</formula1>
      <formula2>55153</formula2>
    </dataValidation>
    <dataValidation type="list" allowBlank="1" showInputMessage="1" showErrorMessage="1" prompt="Выбрать из списка" sqref="F5:F140" xr:uid="{00000000-0002-0000-0800-000002000000}">
      <formula1>"0%,10%,18%,20%"</formula1>
    </dataValidation>
  </dataValidations>
  <pageMargins left="0" right="0.11811023622047245" top="0.15748031496062992" bottom="0.15748031496062992" header="0.31496062992125984" footer="0.31496062992125984"/>
  <pageSetup paperSize="9" scale="6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83820</xdr:rowOff>
                  </from>
                  <to>
                    <xdr:col>4</xdr:col>
                    <xdr:colOff>845820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Выбрать из списка" xr:uid="{00000000-0002-0000-0800-000003000000}">
          <x14:formula1>
            <xm:f>'Справочник статей'!$D$8:$D$17</xm:f>
          </x14:formula1>
          <xm:sqref>D5:D141</xm:sqref>
        </x14:dataValidation>
        <x14:dataValidation type="list" allowBlank="1" showInputMessage="1" showErrorMessage="1" prompt="Выбрать из списка" xr:uid="{00000000-0002-0000-0800-000004000000}">
          <x14:formula1>
            <xm:f>Справочники!$Q$3:$Q$8</xm:f>
          </x14:formula1>
          <xm:sqref>J5:J141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8">
    <tabColor theme="4" tint="0.79998168889431442"/>
    <pageSetUpPr fitToPage="1"/>
  </sheetPr>
  <dimension ref="A1:DE48"/>
  <sheetViews>
    <sheetView showGridLines="0" workbookViewId="0">
      <pane xSplit="8" ySplit="7" topLeftCell="I11" activePane="bottomRight" state="frozen"/>
      <selection activeCell="D1" sqref="D1"/>
      <selection pane="topRight" activeCell="I1" sqref="I1"/>
      <selection pane="bottomLeft" activeCell="D8" sqref="D8"/>
      <selection pane="bottomRight" activeCell="I29" sqref="I29"/>
    </sheetView>
  </sheetViews>
  <sheetFormatPr defaultColWidth="9.109375" defaultRowHeight="14.4" x14ac:dyDescent="0.3"/>
  <cols>
    <col min="1" max="3" width="9.109375" style="96" hidden="1" customWidth="1"/>
    <col min="4" max="4" width="2.88671875" style="96" customWidth="1"/>
    <col min="5" max="5" width="9.109375" style="96"/>
    <col min="6" max="6" width="36.109375" style="96" customWidth="1"/>
    <col min="7" max="7" width="40.6640625" style="96" customWidth="1"/>
    <col min="8" max="8" width="0.44140625" style="96" customWidth="1"/>
    <col min="9" max="9" width="12.6640625" style="96" customWidth="1"/>
    <col min="10" max="10" width="0.44140625" style="96" hidden="1" customWidth="1"/>
    <col min="11" max="11" width="11.33203125" style="96" hidden="1" customWidth="1"/>
    <col min="12" max="12" width="11.88671875" style="96" hidden="1" customWidth="1"/>
    <col min="13" max="13" width="10.88671875" style="96" hidden="1" customWidth="1"/>
    <col min="14" max="15" width="10.6640625" style="96" hidden="1" customWidth="1"/>
    <col min="16" max="16" width="1.77734375" style="96" hidden="1" customWidth="1"/>
    <col min="17" max="18" width="9.44140625" style="96" hidden="1" customWidth="1"/>
    <col min="19" max="19" width="11.109375" style="96" hidden="1" customWidth="1"/>
    <col min="20" max="20" width="9.44140625" style="96" hidden="1" customWidth="1"/>
    <col min="21" max="21" width="10.5546875" style="96" hidden="1" customWidth="1"/>
    <col min="22" max="22" width="12.33203125" style="96" bestFit="1" customWidth="1"/>
    <col min="23" max="25" width="11.88671875" style="96" bestFit="1" customWidth="1"/>
    <col min="26" max="26" width="12.6640625" style="96" bestFit="1" customWidth="1"/>
    <col min="27" max="27" width="11.88671875" style="96" bestFit="1" customWidth="1"/>
    <col min="28" max="29" width="12.6640625" style="96" bestFit="1" customWidth="1"/>
    <col min="30" max="30" width="0.109375" style="96" customWidth="1"/>
    <col min="31" max="31" width="12" style="96" bestFit="1" customWidth="1"/>
    <col min="32" max="49" width="9.33203125" style="96" customWidth="1"/>
    <col min="50" max="50" width="0.44140625" style="96" customWidth="1"/>
    <col min="51" max="69" width="9.33203125" style="96" customWidth="1"/>
    <col min="70" max="70" width="0.44140625" style="96" customWidth="1"/>
    <col min="71" max="89" width="9.33203125" style="96" customWidth="1"/>
    <col min="90" max="90" width="0.44140625" style="96" customWidth="1"/>
    <col min="91" max="109" width="9.33203125" style="96" customWidth="1"/>
    <col min="110" max="16384" width="9.109375" style="96"/>
  </cols>
  <sheetData>
    <row r="1" spans="1:109" s="12" customFormat="1" ht="13.2" x14ac:dyDescent="0.25">
      <c r="A1" s="11"/>
      <c r="B1" s="11"/>
      <c r="E1" s="13" t="s">
        <v>281</v>
      </c>
      <c r="G1" s="1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</row>
    <row r="2" spans="1:109" s="12" customFormat="1" ht="10.199999999999999" x14ac:dyDescent="0.2">
      <c r="A2" s="11"/>
      <c r="B2" s="11"/>
      <c r="E2" s="17"/>
      <c r="G2" s="14"/>
      <c r="I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</row>
    <row r="3" spans="1:109" s="95" customFormat="1" ht="10.199999999999999" hidden="1" x14ac:dyDescent="0.2">
      <c r="K3" s="95" t="str">
        <f>"Январь_"&amp;YEAR('Карточка проекта'!$D$9)</f>
        <v>Январь_2023</v>
      </c>
      <c r="L3" s="95" t="str">
        <f>"Февраль_"&amp;YEAR('Карточка проекта'!$D$9)</f>
        <v>Февраль_2023</v>
      </c>
      <c r="M3" s="95" t="str">
        <f>"Март_"&amp;YEAR('Карточка проекта'!$D$9)</f>
        <v>Март_2023</v>
      </c>
      <c r="O3" s="95" t="str">
        <f>"Апрель_"&amp;YEAR('Карточка проекта'!$D$9)</f>
        <v>Апрель_2023</v>
      </c>
      <c r="P3" s="95" t="str">
        <f>"Май_"&amp;YEAR('Карточка проекта'!$D$9)</f>
        <v>Май_2023</v>
      </c>
      <c r="Q3" s="95" t="str">
        <f>"Июнь_"&amp;YEAR('Карточка проекта'!$D$9)</f>
        <v>Июнь_2023</v>
      </c>
      <c r="T3" s="95" t="str">
        <f>"Июль_"&amp;YEAR('Карточка проекта'!$D$9)</f>
        <v>Июль_2023</v>
      </c>
      <c r="U3" s="95" t="str">
        <f>"Август_"&amp;YEAR('Карточка проекта'!$D$9)</f>
        <v>Август_2023</v>
      </c>
      <c r="V3" s="95" t="str">
        <f>"Сентябрь_"&amp;YEAR('Карточка проекта'!$D$9)</f>
        <v>Сентябрь_2023</v>
      </c>
      <c r="Y3" s="95" t="str">
        <f>"Октябрь_"&amp;YEAR('Карточка проекта'!$D$9)</f>
        <v>Октябрь_2023</v>
      </c>
      <c r="Z3" s="95" t="str">
        <f>"Ноябрь_"&amp;YEAR('Карточка проекта'!$D$9)</f>
        <v>Ноябрь_2023</v>
      </c>
      <c r="AA3" s="95" t="str">
        <f>"Декабрь_"&amp;YEAR('Карточка проекта'!$D$9)</f>
        <v>Декабрь_2023</v>
      </c>
      <c r="AE3" s="95" t="str">
        <f>"Январь_"&amp;YEAR('Карточка проекта'!$D$9)+1</f>
        <v>Январь_2024</v>
      </c>
      <c r="AF3" s="95" t="str">
        <f>"Февраль_"&amp;YEAR('Карточка проекта'!$D$9)+1</f>
        <v>Февраль_2024</v>
      </c>
      <c r="AG3" s="95" t="str">
        <f>"Март_"&amp;YEAR('Карточка проекта'!$D$9)+1</f>
        <v>Март_2024</v>
      </c>
      <c r="AI3" s="95" t="str">
        <f>"Апрель_"&amp;YEAR('Карточка проекта'!$D$9)+1</f>
        <v>Апрель_2024</v>
      </c>
      <c r="AJ3" s="95" t="str">
        <f>"Май_"&amp;YEAR('Карточка проекта'!$D$9)+1</f>
        <v>Май_2024</v>
      </c>
      <c r="AK3" s="95" t="str">
        <f>"Июнь_"&amp;YEAR('Карточка проекта'!$D$9)+1</f>
        <v>Июнь_2024</v>
      </c>
      <c r="AN3" s="95" t="str">
        <f>"Июль_"&amp;YEAR('Карточка проекта'!$D$9)+1</f>
        <v>Июль_2024</v>
      </c>
      <c r="AO3" s="95" t="str">
        <f>"Август_"&amp;YEAR('Карточка проекта'!$D$9)+1</f>
        <v>Август_2024</v>
      </c>
      <c r="AP3" s="95" t="str">
        <f>"Сентябрь_"&amp;YEAR('Карточка проекта'!$D$9)+1</f>
        <v>Сентябрь_2024</v>
      </c>
      <c r="AS3" s="95" t="str">
        <f>"Октябрь_"&amp;YEAR('Карточка проекта'!$D$9)+1</f>
        <v>Октябрь_2024</v>
      </c>
      <c r="AT3" s="95" t="str">
        <f>"Ноябрь_"&amp;YEAR('Карточка проекта'!$D$9)+1</f>
        <v>Ноябрь_2024</v>
      </c>
      <c r="AU3" s="95" t="str">
        <f>"Декабрь_"&amp;YEAR('Карточка проекта'!$D$9)+1</f>
        <v>Декабрь_2024</v>
      </c>
      <c r="AY3" s="95" t="str">
        <f>"Январь_"&amp;YEAR('Карточка проекта'!$D$9)+2</f>
        <v>Январь_2025</v>
      </c>
      <c r="AZ3" s="95" t="str">
        <f>"Февраль_"&amp;YEAR('Карточка проекта'!$D$9)+2</f>
        <v>Февраль_2025</v>
      </c>
      <c r="BA3" s="95" t="str">
        <f>"Март_"&amp;YEAR('Карточка проекта'!$D$9)+2</f>
        <v>Март_2025</v>
      </c>
      <c r="BC3" s="95" t="str">
        <f>"Апрель_"&amp;YEAR('Карточка проекта'!$D$9)+2</f>
        <v>Апрель_2025</v>
      </c>
      <c r="BD3" s="95" t="str">
        <f>"Май_"&amp;YEAR('Карточка проекта'!$D$9)+2</f>
        <v>Май_2025</v>
      </c>
      <c r="BE3" s="95" t="str">
        <f>"Июнь_"&amp;YEAR('Карточка проекта'!$D$9)+2</f>
        <v>Июнь_2025</v>
      </c>
      <c r="BH3" s="95" t="str">
        <f>"Июль_"&amp;YEAR('Карточка проекта'!$D$9)+2</f>
        <v>Июль_2025</v>
      </c>
      <c r="BI3" s="95" t="str">
        <f>"Август_"&amp;YEAR('Карточка проекта'!$D$9)+2</f>
        <v>Август_2025</v>
      </c>
      <c r="BJ3" s="95" t="str">
        <f>"Сентябрь_"&amp;YEAR('Карточка проекта'!$D$9)+2</f>
        <v>Сентябрь_2025</v>
      </c>
      <c r="BM3" s="95" t="str">
        <f>"Октябрь_"&amp;YEAR('Карточка проекта'!$D$9)+2</f>
        <v>Октябрь_2025</v>
      </c>
      <c r="BN3" s="95" t="str">
        <f>"Ноябрь_"&amp;YEAR('Карточка проекта'!$D$9)+2</f>
        <v>Ноябрь_2025</v>
      </c>
      <c r="BO3" s="95" t="str">
        <f>"Декабрь_"&amp;YEAR('Карточка проекта'!$D$9)+2</f>
        <v>Декабрь_2025</v>
      </c>
      <c r="BS3" s="95" t="str">
        <f>"Январь_"&amp;YEAR('Карточка проекта'!$D$9)+3</f>
        <v>Январь_2026</v>
      </c>
      <c r="BT3" s="95" t="str">
        <f>"Февраль_"&amp;YEAR('Карточка проекта'!$D$9)+3</f>
        <v>Февраль_2026</v>
      </c>
      <c r="BU3" s="95" t="str">
        <f>"Март_"&amp;YEAR('Карточка проекта'!$D$9)+3</f>
        <v>Март_2026</v>
      </c>
      <c r="BW3" s="95" t="str">
        <f>"Апрель_"&amp;YEAR('Карточка проекта'!$D$9)+3</f>
        <v>Апрель_2026</v>
      </c>
      <c r="BX3" s="95" t="str">
        <f>"Май_"&amp;YEAR('Карточка проекта'!$D$9)+3</f>
        <v>Май_2026</v>
      </c>
      <c r="BY3" s="95" t="str">
        <f>"Июнь_"&amp;YEAR('Карточка проекта'!$D$9)+3</f>
        <v>Июнь_2026</v>
      </c>
      <c r="CB3" s="95" t="str">
        <f>"Июль_"&amp;YEAR('Карточка проекта'!$D$9)+3</f>
        <v>Июль_2026</v>
      </c>
      <c r="CC3" s="95" t="str">
        <f>"Август_"&amp;YEAR('Карточка проекта'!$D$9)+3</f>
        <v>Август_2026</v>
      </c>
      <c r="CD3" s="95" t="str">
        <f>"Сентябрь_"&amp;YEAR('Карточка проекта'!$D$9)+3</f>
        <v>Сентябрь_2026</v>
      </c>
      <c r="CG3" s="95" t="str">
        <f>"Октябрь_"&amp;YEAR('Карточка проекта'!$D$9)+3</f>
        <v>Октябрь_2026</v>
      </c>
      <c r="CH3" s="95" t="str">
        <f>"Ноябрь_"&amp;YEAR('Карточка проекта'!$D$9)+3</f>
        <v>Ноябрь_2026</v>
      </c>
      <c r="CI3" s="95" t="str">
        <f>"Декабрь_"&amp;YEAR('Карточка проекта'!$D$9)+3</f>
        <v>Декабрь_2026</v>
      </c>
      <c r="CM3" s="95" t="str">
        <f>"Январь_"&amp;YEAR('Карточка проекта'!$D$9)+4</f>
        <v>Январь_2027</v>
      </c>
      <c r="CN3" s="95" t="str">
        <f>"Февраль_"&amp;YEAR('Карточка проекта'!$D$9)+4</f>
        <v>Февраль_2027</v>
      </c>
      <c r="CO3" s="95" t="str">
        <f>"Март_"&amp;YEAR('Карточка проекта'!$D$9)+4</f>
        <v>Март_2027</v>
      </c>
      <c r="CQ3" s="95" t="str">
        <f>"Апрель_"&amp;YEAR('Карточка проекта'!$D$9)+4</f>
        <v>Апрель_2027</v>
      </c>
      <c r="CR3" s="95" t="str">
        <f>"Май_"&amp;YEAR('Карточка проекта'!$D$9)+4</f>
        <v>Май_2027</v>
      </c>
      <c r="CS3" s="95" t="str">
        <f>"Июнь_"&amp;YEAR('Карточка проекта'!$D$9)+4</f>
        <v>Июнь_2027</v>
      </c>
      <c r="CV3" s="95" t="str">
        <f>"Июль_"&amp;YEAR('Карточка проекта'!$D$9)+4</f>
        <v>Июль_2027</v>
      </c>
      <c r="CW3" s="95" t="str">
        <f>"Август_"&amp;YEAR('Карточка проекта'!$D$9)+4</f>
        <v>Август_2027</v>
      </c>
      <c r="CX3" s="95" t="str">
        <f>"Сентябрь_"&amp;YEAR('Карточка проекта'!$D$9)+4</f>
        <v>Сентябрь_2027</v>
      </c>
      <c r="DA3" s="95" t="str">
        <f>"Октябрь_"&amp;YEAR('Карточка проекта'!$D$9)+4</f>
        <v>Октябрь_2027</v>
      </c>
      <c r="DB3" s="95" t="str">
        <f>"Ноябрь_"&amp;YEAR('Карточка проекта'!$D$9)+4</f>
        <v>Ноябрь_2027</v>
      </c>
      <c r="DC3" s="95" t="str">
        <f>"Декабрь_"&amp;YEAR('Карточка проекта'!$D$9)+4</f>
        <v>Декабрь_2027</v>
      </c>
    </row>
    <row r="4" spans="1:109" s="95" customFormat="1" ht="10.199999999999999" hidden="1" x14ac:dyDescent="0.2">
      <c r="K4" s="95" t="s">
        <v>239</v>
      </c>
      <c r="L4" s="95" t="s">
        <v>240</v>
      </c>
      <c r="M4" s="95" t="s">
        <v>241</v>
      </c>
      <c r="N4" s="95" t="s">
        <v>233</v>
      </c>
      <c r="O4" s="95" t="s">
        <v>242</v>
      </c>
      <c r="P4" s="95" t="s">
        <v>243</v>
      </c>
      <c r="Q4" s="95" t="s">
        <v>244</v>
      </c>
      <c r="R4" s="95" t="s">
        <v>234</v>
      </c>
      <c r="S4" s="95" t="s">
        <v>235</v>
      </c>
      <c r="T4" s="95" t="s">
        <v>245</v>
      </c>
      <c r="U4" s="95" t="s">
        <v>246</v>
      </c>
      <c r="V4" s="95" t="s">
        <v>247</v>
      </c>
      <c r="W4" s="95" t="s">
        <v>236</v>
      </c>
      <c r="X4" s="95" t="s">
        <v>237</v>
      </c>
      <c r="Y4" s="95" t="s">
        <v>248</v>
      </c>
      <c r="Z4" s="95" t="s">
        <v>249</v>
      </c>
      <c r="AA4" s="95" t="s">
        <v>250</v>
      </c>
      <c r="AB4" s="95" t="s">
        <v>238</v>
      </c>
      <c r="AC4" s="95" t="s">
        <v>251</v>
      </c>
      <c r="AE4" s="95" t="s">
        <v>239</v>
      </c>
      <c r="AF4" s="95" t="s">
        <v>240</v>
      </c>
      <c r="AG4" s="95" t="s">
        <v>241</v>
      </c>
      <c r="AH4" s="95" t="s">
        <v>233</v>
      </c>
      <c r="AI4" s="95" t="s">
        <v>242</v>
      </c>
      <c r="AJ4" s="95" t="s">
        <v>243</v>
      </c>
      <c r="AK4" s="95" t="s">
        <v>244</v>
      </c>
      <c r="AL4" s="95" t="s">
        <v>234</v>
      </c>
      <c r="AM4" s="95" t="s">
        <v>235</v>
      </c>
      <c r="AN4" s="95" t="s">
        <v>245</v>
      </c>
      <c r="AO4" s="95" t="s">
        <v>246</v>
      </c>
      <c r="AP4" s="95" t="s">
        <v>247</v>
      </c>
      <c r="AQ4" s="95" t="s">
        <v>236</v>
      </c>
      <c r="AR4" s="95" t="s">
        <v>237</v>
      </c>
      <c r="AS4" s="95" t="s">
        <v>248</v>
      </c>
      <c r="AT4" s="95" t="s">
        <v>249</v>
      </c>
      <c r="AU4" s="95" t="s">
        <v>250</v>
      </c>
      <c r="AV4" s="95" t="s">
        <v>238</v>
      </c>
      <c r="AW4" s="95" t="s">
        <v>251</v>
      </c>
      <c r="AY4" s="95" t="s">
        <v>239</v>
      </c>
      <c r="AZ4" s="95" t="s">
        <v>240</v>
      </c>
      <c r="BA4" s="95" t="s">
        <v>241</v>
      </c>
      <c r="BB4" s="95" t="s">
        <v>233</v>
      </c>
      <c r="BC4" s="95" t="s">
        <v>242</v>
      </c>
      <c r="BD4" s="95" t="s">
        <v>243</v>
      </c>
      <c r="BE4" s="95" t="s">
        <v>244</v>
      </c>
      <c r="BF4" s="95" t="s">
        <v>234</v>
      </c>
      <c r="BG4" s="95" t="s">
        <v>235</v>
      </c>
      <c r="BH4" s="95" t="s">
        <v>245</v>
      </c>
      <c r="BI4" s="95" t="s">
        <v>246</v>
      </c>
      <c r="BJ4" s="95" t="s">
        <v>247</v>
      </c>
      <c r="BK4" s="95" t="s">
        <v>236</v>
      </c>
      <c r="BL4" s="95" t="s">
        <v>237</v>
      </c>
      <c r="BM4" s="95" t="s">
        <v>248</v>
      </c>
      <c r="BN4" s="95" t="s">
        <v>249</v>
      </c>
      <c r="BO4" s="95" t="s">
        <v>250</v>
      </c>
      <c r="BP4" s="95" t="s">
        <v>238</v>
      </c>
      <c r="BQ4" s="95" t="s">
        <v>251</v>
      </c>
      <c r="BS4" s="95" t="s">
        <v>239</v>
      </c>
      <c r="BT4" s="95" t="s">
        <v>240</v>
      </c>
      <c r="BU4" s="95" t="s">
        <v>241</v>
      </c>
      <c r="BV4" s="95" t="s">
        <v>233</v>
      </c>
      <c r="BW4" s="95" t="s">
        <v>242</v>
      </c>
      <c r="BX4" s="95" t="s">
        <v>243</v>
      </c>
      <c r="BY4" s="95" t="s">
        <v>244</v>
      </c>
      <c r="BZ4" s="95" t="s">
        <v>234</v>
      </c>
      <c r="CA4" s="95" t="s">
        <v>235</v>
      </c>
      <c r="CB4" s="95" t="s">
        <v>245</v>
      </c>
      <c r="CC4" s="95" t="s">
        <v>246</v>
      </c>
      <c r="CD4" s="95" t="s">
        <v>247</v>
      </c>
      <c r="CE4" s="95" t="s">
        <v>236</v>
      </c>
      <c r="CF4" s="95" t="s">
        <v>237</v>
      </c>
      <c r="CG4" s="95" t="s">
        <v>248</v>
      </c>
      <c r="CH4" s="95" t="s">
        <v>249</v>
      </c>
      <c r="CI4" s="95" t="s">
        <v>250</v>
      </c>
      <c r="CJ4" s="95" t="s">
        <v>238</v>
      </c>
      <c r="CK4" s="95" t="s">
        <v>251</v>
      </c>
      <c r="CM4" s="95" t="s">
        <v>239</v>
      </c>
      <c r="CN4" s="95" t="s">
        <v>240</v>
      </c>
      <c r="CO4" s="95" t="s">
        <v>241</v>
      </c>
      <c r="CP4" s="95" t="s">
        <v>233</v>
      </c>
      <c r="CQ4" s="95" t="s">
        <v>242</v>
      </c>
      <c r="CR4" s="95" t="s">
        <v>243</v>
      </c>
      <c r="CS4" s="95" t="s">
        <v>244</v>
      </c>
      <c r="CT4" s="95" t="s">
        <v>234</v>
      </c>
      <c r="CU4" s="95" t="s">
        <v>235</v>
      </c>
      <c r="CV4" s="95" t="s">
        <v>245</v>
      </c>
      <c r="CW4" s="95" t="s">
        <v>246</v>
      </c>
      <c r="CX4" s="95" t="s">
        <v>247</v>
      </c>
      <c r="CY4" s="95" t="s">
        <v>236</v>
      </c>
      <c r="CZ4" s="95" t="s">
        <v>237</v>
      </c>
      <c r="DA4" s="95" t="s">
        <v>248</v>
      </c>
      <c r="DB4" s="95" t="s">
        <v>249</v>
      </c>
      <c r="DC4" s="95" t="s">
        <v>250</v>
      </c>
      <c r="DD4" s="95" t="s">
        <v>238</v>
      </c>
      <c r="DE4" s="95" t="s">
        <v>251</v>
      </c>
    </row>
    <row r="5" spans="1:109" s="12" customFormat="1" ht="10.199999999999999" x14ac:dyDescent="0.2">
      <c r="A5" s="11" t="s">
        <v>176</v>
      </c>
      <c r="B5" s="11" t="s">
        <v>196</v>
      </c>
      <c r="E5" s="25" t="s">
        <v>197</v>
      </c>
      <c r="F5" s="25" t="s">
        <v>198</v>
      </c>
      <c r="G5" s="25" t="s">
        <v>199</v>
      </c>
      <c r="I5" s="26" t="s">
        <v>200</v>
      </c>
      <c r="K5" s="26" t="str">
        <f>K4&amp;YEAR('Карточка проекта'!$D$9)</f>
        <v>янв.2023</v>
      </c>
      <c r="L5" s="26" t="str">
        <f>L4&amp;YEAR('Карточка проекта'!$D$9)</f>
        <v>фев.2023</v>
      </c>
      <c r="M5" s="26" t="str">
        <f>M4&amp;YEAR('Карточка проекта'!$D$9)</f>
        <v>мар.2023</v>
      </c>
      <c r="N5" s="26" t="str">
        <f>N4&amp;YEAR('Карточка проекта'!$D$9)</f>
        <v>1 кв. 2023</v>
      </c>
      <c r="O5" s="26" t="str">
        <f>O4&amp;YEAR('Карточка проекта'!$D$9)</f>
        <v>апр.2023</v>
      </c>
      <c r="P5" s="26" t="str">
        <f>P4&amp;YEAR('Карточка проекта'!$D$9)</f>
        <v>май.2023</v>
      </c>
      <c r="Q5" s="26" t="str">
        <f>Q4&amp;YEAR('Карточка проекта'!$D$9)</f>
        <v>июн.2023</v>
      </c>
      <c r="R5" s="26" t="str">
        <f>R4&amp;YEAR('Карточка проекта'!$D$9)</f>
        <v>2 кв. 2023</v>
      </c>
      <c r="S5" s="26" t="str">
        <f>S4&amp;YEAR('Карточка проекта'!$D$9)</f>
        <v>6 мес. 2023</v>
      </c>
      <c r="T5" s="26" t="str">
        <f>T4&amp;YEAR('Карточка проекта'!$D$9)</f>
        <v>июл.2023</v>
      </c>
      <c r="U5" s="26" t="str">
        <f>U4&amp;YEAR('Карточка проекта'!$D$9)</f>
        <v>авг.2023</v>
      </c>
      <c r="V5" s="26" t="str">
        <f>V4&amp;YEAR('Карточка проекта'!$D$9)</f>
        <v>сен.2023</v>
      </c>
      <c r="W5" s="26" t="str">
        <f>W4&amp;YEAR('Карточка проекта'!$D$9)</f>
        <v>3 кв. 2023</v>
      </c>
      <c r="X5" s="26" t="str">
        <f>X4&amp;YEAR('Карточка проекта'!$D$9)</f>
        <v>9 мес. 2023</v>
      </c>
      <c r="Y5" s="26" t="str">
        <f>Y4&amp;YEAR('Карточка проекта'!$D$9)</f>
        <v>окт.2023</v>
      </c>
      <c r="Z5" s="26" t="str">
        <f>Z4&amp;YEAR('Карточка проекта'!$D$9)</f>
        <v>ноя.2023</v>
      </c>
      <c r="AA5" s="26" t="str">
        <f>AA4&amp;YEAR('Карточка проекта'!$D$9)</f>
        <v>дек.2023</v>
      </c>
      <c r="AB5" s="26" t="str">
        <f>AB4&amp;YEAR('Карточка проекта'!$D$9)</f>
        <v>4 кв. 2023</v>
      </c>
      <c r="AC5" s="26" t="str">
        <f>YEAR('Карточка проекта'!$D$9)&amp;AC4</f>
        <v>2023 год</v>
      </c>
      <c r="AE5" s="26" t="str">
        <f>AE4&amp;YEAR('Карточка проекта'!$D$9)+1</f>
        <v>янв.2024</v>
      </c>
      <c r="AF5" s="26" t="str">
        <f>AF4&amp;YEAR('Карточка проекта'!$D$9)+1</f>
        <v>фев.2024</v>
      </c>
      <c r="AG5" s="26" t="str">
        <f>AG4&amp;YEAR('Карточка проекта'!$D$9)+1</f>
        <v>мар.2024</v>
      </c>
      <c r="AH5" s="26" t="str">
        <f>AH4&amp;YEAR('Карточка проекта'!$D$9)+1</f>
        <v>1 кв. 2024</v>
      </c>
      <c r="AI5" s="26" t="str">
        <f>AI4&amp;YEAR('Карточка проекта'!$D$9)+1</f>
        <v>апр.2024</v>
      </c>
      <c r="AJ5" s="26" t="str">
        <f>AJ4&amp;YEAR('Карточка проекта'!$D$9)+1</f>
        <v>май.2024</v>
      </c>
      <c r="AK5" s="26" t="str">
        <f>AK4&amp;YEAR('Карточка проекта'!$D$9)+1</f>
        <v>июн.2024</v>
      </c>
      <c r="AL5" s="26" t="str">
        <f>AL4&amp;YEAR('Карточка проекта'!$D$9)+1</f>
        <v>2 кв. 2024</v>
      </c>
      <c r="AM5" s="26" t="str">
        <f>AM4&amp;YEAR('Карточка проекта'!$D$9)+1</f>
        <v>6 мес. 2024</v>
      </c>
      <c r="AN5" s="26" t="str">
        <f>AN4&amp;YEAR('Карточка проекта'!$D$9)+1</f>
        <v>июл.2024</v>
      </c>
      <c r="AO5" s="26" t="str">
        <f>AO4&amp;YEAR('Карточка проекта'!$D$9)+1</f>
        <v>авг.2024</v>
      </c>
      <c r="AP5" s="26" t="str">
        <f>AP4&amp;YEAR('Карточка проекта'!$D$9)+1</f>
        <v>сен.2024</v>
      </c>
      <c r="AQ5" s="26" t="str">
        <f>AQ4&amp;YEAR('Карточка проекта'!$D$9)+1</f>
        <v>3 кв. 2024</v>
      </c>
      <c r="AR5" s="26" t="str">
        <f>AR4&amp;YEAR('Карточка проекта'!$D$9)+1</f>
        <v>9 мес. 2024</v>
      </c>
      <c r="AS5" s="26" t="str">
        <f>AS4&amp;YEAR('Карточка проекта'!$D$9)+1</f>
        <v>окт.2024</v>
      </c>
      <c r="AT5" s="26" t="str">
        <f>AT4&amp;YEAR('Карточка проекта'!$D$9)+1</f>
        <v>ноя.2024</v>
      </c>
      <c r="AU5" s="26" t="str">
        <f>AU4&amp;YEAR('Карточка проекта'!$D$9)+1</f>
        <v>дек.2024</v>
      </c>
      <c r="AV5" s="26" t="str">
        <f>AV4&amp;YEAR('Карточка проекта'!$D$9)+1</f>
        <v>4 кв. 2024</v>
      </c>
      <c r="AW5" s="26" t="str">
        <f>YEAR('Карточка проекта'!$D$9)+1&amp;AW4</f>
        <v>2024 год</v>
      </c>
      <c r="AY5" s="26" t="str">
        <f>AY4&amp;YEAR('Карточка проекта'!$D$9)+2</f>
        <v>янв.2025</v>
      </c>
      <c r="AZ5" s="26" t="str">
        <f>AZ4&amp;YEAR('Карточка проекта'!$D$9)+2</f>
        <v>фев.2025</v>
      </c>
      <c r="BA5" s="26" t="str">
        <f>BA4&amp;YEAR('Карточка проекта'!$D$9)+2</f>
        <v>мар.2025</v>
      </c>
      <c r="BB5" s="26" t="str">
        <f>BB4&amp;YEAR('Карточка проекта'!$D$9)+2</f>
        <v>1 кв. 2025</v>
      </c>
      <c r="BC5" s="26" t="str">
        <f>BC4&amp;YEAR('Карточка проекта'!$D$9)+2</f>
        <v>апр.2025</v>
      </c>
      <c r="BD5" s="26" t="str">
        <f>BD4&amp;YEAR('Карточка проекта'!$D$9)+2</f>
        <v>май.2025</v>
      </c>
      <c r="BE5" s="26" t="str">
        <f>BE4&amp;YEAR('Карточка проекта'!$D$9)+2</f>
        <v>июн.2025</v>
      </c>
      <c r="BF5" s="26" t="str">
        <f>BF4&amp;YEAR('Карточка проекта'!$D$9)+2</f>
        <v>2 кв. 2025</v>
      </c>
      <c r="BG5" s="26" t="str">
        <f>BG4&amp;YEAR('Карточка проекта'!$D$9)+2</f>
        <v>6 мес. 2025</v>
      </c>
      <c r="BH5" s="26" t="str">
        <f>BH4&amp;YEAR('Карточка проекта'!$D$9)+2</f>
        <v>июл.2025</v>
      </c>
      <c r="BI5" s="26" t="str">
        <f>BI4&amp;YEAR('Карточка проекта'!$D$9)+2</f>
        <v>авг.2025</v>
      </c>
      <c r="BJ5" s="26" t="str">
        <f>BJ4&amp;YEAR('Карточка проекта'!$D$9)+2</f>
        <v>сен.2025</v>
      </c>
      <c r="BK5" s="26" t="str">
        <f>BK4&amp;YEAR('Карточка проекта'!$D$9)+2</f>
        <v>3 кв. 2025</v>
      </c>
      <c r="BL5" s="26" t="str">
        <f>BL4&amp;YEAR('Карточка проекта'!$D$9)+2</f>
        <v>9 мес. 2025</v>
      </c>
      <c r="BM5" s="26" t="str">
        <f>BM4&amp;YEAR('Карточка проекта'!$D$9)+2</f>
        <v>окт.2025</v>
      </c>
      <c r="BN5" s="26" t="str">
        <f>BN4&amp;YEAR('Карточка проекта'!$D$9)+2</f>
        <v>ноя.2025</v>
      </c>
      <c r="BO5" s="26" t="str">
        <f>BO4&amp;YEAR('Карточка проекта'!$D$9)+2</f>
        <v>дек.2025</v>
      </c>
      <c r="BP5" s="26" t="str">
        <f>BP4&amp;YEAR('Карточка проекта'!$D$9)+2</f>
        <v>4 кв. 2025</v>
      </c>
      <c r="BQ5" s="26" t="str">
        <f>YEAR('Карточка проекта'!$D$9)+2&amp;BQ4</f>
        <v>2025 год</v>
      </c>
      <c r="BS5" s="26" t="str">
        <f>BS4&amp;YEAR('Карточка проекта'!$D$9)+3</f>
        <v>янв.2026</v>
      </c>
      <c r="BT5" s="26" t="str">
        <f>BT4&amp;YEAR('Карточка проекта'!$D$9)+3</f>
        <v>фев.2026</v>
      </c>
      <c r="BU5" s="26" t="str">
        <f>BU4&amp;YEAR('Карточка проекта'!$D$9)+3</f>
        <v>мар.2026</v>
      </c>
      <c r="BV5" s="26" t="str">
        <f>BV4&amp;YEAR('Карточка проекта'!$D$9)+3</f>
        <v>1 кв. 2026</v>
      </c>
      <c r="BW5" s="26" t="str">
        <f>BW4&amp;YEAR('Карточка проекта'!$D$9)+3</f>
        <v>апр.2026</v>
      </c>
      <c r="BX5" s="26" t="str">
        <f>BX4&amp;YEAR('Карточка проекта'!$D$9)+3</f>
        <v>май.2026</v>
      </c>
      <c r="BY5" s="26" t="str">
        <f>BY4&amp;YEAR('Карточка проекта'!$D$9)+3</f>
        <v>июн.2026</v>
      </c>
      <c r="BZ5" s="26" t="str">
        <f>BZ4&amp;YEAR('Карточка проекта'!$D$9)+3</f>
        <v>2 кв. 2026</v>
      </c>
      <c r="CA5" s="26" t="str">
        <f>CA4&amp;YEAR('Карточка проекта'!$D$9)+3</f>
        <v>6 мес. 2026</v>
      </c>
      <c r="CB5" s="26" t="str">
        <f>CB4&amp;YEAR('Карточка проекта'!$D$9)+3</f>
        <v>июл.2026</v>
      </c>
      <c r="CC5" s="26" t="str">
        <f>CC4&amp;YEAR('Карточка проекта'!$D$9)+3</f>
        <v>авг.2026</v>
      </c>
      <c r="CD5" s="26" t="str">
        <f>CD4&amp;YEAR('Карточка проекта'!$D$9)+3</f>
        <v>сен.2026</v>
      </c>
      <c r="CE5" s="26" t="str">
        <f>CE4&amp;YEAR('Карточка проекта'!$D$9)+3</f>
        <v>3 кв. 2026</v>
      </c>
      <c r="CF5" s="26" t="str">
        <f>CF4&amp;YEAR('Карточка проекта'!$D$9)+3</f>
        <v>9 мес. 2026</v>
      </c>
      <c r="CG5" s="26" t="str">
        <f>CG4&amp;YEAR('Карточка проекта'!$D$9)+3</f>
        <v>окт.2026</v>
      </c>
      <c r="CH5" s="26" t="str">
        <f>CH4&amp;YEAR('Карточка проекта'!$D$9)+3</f>
        <v>ноя.2026</v>
      </c>
      <c r="CI5" s="26" t="str">
        <f>CI4&amp;YEAR('Карточка проекта'!$D$9)+3</f>
        <v>дек.2026</v>
      </c>
      <c r="CJ5" s="26" t="str">
        <f>CJ4&amp;YEAR('Карточка проекта'!$D$9)+3</f>
        <v>4 кв. 2026</v>
      </c>
      <c r="CK5" s="26" t="str">
        <f>YEAR('Карточка проекта'!$D$9)+3&amp;CK4</f>
        <v>2026 год</v>
      </c>
      <c r="CM5" s="26" t="str">
        <f>CM4&amp;YEAR('Карточка проекта'!$D$9)+4</f>
        <v>янв.2027</v>
      </c>
      <c r="CN5" s="26" t="str">
        <f>CN4&amp;YEAR('Карточка проекта'!$D$9)+4</f>
        <v>фев.2027</v>
      </c>
      <c r="CO5" s="26" t="str">
        <f>CO4&amp;YEAR('Карточка проекта'!$D$9)+4</f>
        <v>мар.2027</v>
      </c>
      <c r="CP5" s="26" t="str">
        <f>CP4&amp;YEAR('Карточка проекта'!$D$9)+4</f>
        <v>1 кв. 2027</v>
      </c>
      <c r="CQ5" s="26" t="str">
        <f>CQ4&amp;YEAR('Карточка проекта'!$D$9)+4</f>
        <v>апр.2027</v>
      </c>
      <c r="CR5" s="26" t="str">
        <f>CR4&amp;YEAR('Карточка проекта'!$D$9)+4</f>
        <v>май.2027</v>
      </c>
      <c r="CS5" s="26" t="str">
        <f>CS4&amp;YEAR('Карточка проекта'!$D$9)+4</f>
        <v>июн.2027</v>
      </c>
      <c r="CT5" s="26" t="str">
        <f>CT4&amp;YEAR('Карточка проекта'!$D$9)+4</f>
        <v>2 кв. 2027</v>
      </c>
      <c r="CU5" s="26" t="str">
        <f>CU4&amp;YEAR('Карточка проекта'!$D$9)+4</f>
        <v>6 мес. 2027</v>
      </c>
      <c r="CV5" s="26" t="str">
        <f>CV4&amp;YEAR('Карточка проекта'!$D$9)+4</f>
        <v>июл.2027</v>
      </c>
      <c r="CW5" s="26" t="str">
        <f>CW4&amp;YEAR('Карточка проекта'!$D$9)+4</f>
        <v>авг.2027</v>
      </c>
      <c r="CX5" s="26" t="str">
        <f>CX4&amp;YEAR('Карточка проекта'!$D$9)+4</f>
        <v>сен.2027</v>
      </c>
      <c r="CY5" s="26" t="str">
        <f>CY4&amp;YEAR('Карточка проекта'!$D$9)+4</f>
        <v>3 кв. 2027</v>
      </c>
      <c r="CZ5" s="26" t="str">
        <f>CZ4&amp;YEAR('Карточка проекта'!$D$9)+4</f>
        <v>9 мес. 2027</v>
      </c>
      <c r="DA5" s="26" t="str">
        <f>DA4&amp;YEAR('Карточка проекта'!$D$9)+4</f>
        <v>окт.2027</v>
      </c>
      <c r="DB5" s="26" t="str">
        <f>DB4&amp;YEAR('Карточка проекта'!$D$9)+4</f>
        <v>ноя.2027</v>
      </c>
      <c r="DC5" s="26" t="str">
        <f>DC4&amp;YEAR('Карточка проекта'!$D$9)+4</f>
        <v>дек.2027</v>
      </c>
      <c r="DD5" s="26" t="str">
        <f>DD4&amp;YEAR('Карточка проекта'!$D$9)+4</f>
        <v>4 кв. 2027</v>
      </c>
      <c r="DE5" s="26" t="str">
        <f>YEAR('Карточка проекта'!$D$9)+4&amp;DE4</f>
        <v>2027 год</v>
      </c>
    </row>
    <row r="6" spans="1:109" s="12" customFormat="1" ht="10.199999999999999" x14ac:dyDescent="0.2">
      <c r="A6" s="11"/>
      <c r="B6" s="11"/>
      <c r="E6" s="26"/>
      <c r="F6" s="26"/>
      <c r="G6" s="26"/>
      <c r="I6" s="26" t="s">
        <v>201</v>
      </c>
      <c r="K6" s="26" t="s">
        <v>201</v>
      </c>
      <c r="L6" s="26" t="s">
        <v>201</v>
      </c>
      <c r="M6" s="26" t="s">
        <v>201</v>
      </c>
      <c r="N6" s="26" t="s">
        <v>201</v>
      </c>
      <c r="O6" s="26" t="s">
        <v>201</v>
      </c>
      <c r="P6" s="26" t="s">
        <v>201</v>
      </c>
      <c r="Q6" s="26" t="s">
        <v>201</v>
      </c>
      <c r="R6" s="26" t="s">
        <v>201</v>
      </c>
      <c r="S6" s="26" t="s">
        <v>201</v>
      </c>
      <c r="T6" s="26" t="s">
        <v>201</v>
      </c>
      <c r="U6" s="26" t="s">
        <v>201</v>
      </c>
      <c r="V6" s="26" t="s">
        <v>201</v>
      </c>
      <c r="W6" s="26" t="s">
        <v>201</v>
      </c>
      <c r="X6" s="26" t="s">
        <v>201</v>
      </c>
      <c r="Y6" s="26" t="s">
        <v>201</v>
      </c>
      <c r="Z6" s="26" t="s">
        <v>201</v>
      </c>
      <c r="AA6" s="26" t="s">
        <v>201</v>
      </c>
      <c r="AB6" s="26" t="s">
        <v>201</v>
      </c>
      <c r="AC6" s="26" t="s">
        <v>201</v>
      </c>
      <c r="AE6" s="26" t="s">
        <v>201</v>
      </c>
      <c r="AF6" s="26" t="s">
        <v>201</v>
      </c>
      <c r="AG6" s="26" t="s">
        <v>201</v>
      </c>
      <c r="AH6" s="26" t="s">
        <v>201</v>
      </c>
      <c r="AI6" s="26" t="s">
        <v>201</v>
      </c>
      <c r="AJ6" s="26" t="s">
        <v>201</v>
      </c>
      <c r="AK6" s="26" t="s">
        <v>201</v>
      </c>
      <c r="AL6" s="26" t="s">
        <v>201</v>
      </c>
      <c r="AM6" s="26" t="s">
        <v>201</v>
      </c>
      <c r="AN6" s="26" t="s">
        <v>201</v>
      </c>
      <c r="AO6" s="26" t="s">
        <v>201</v>
      </c>
      <c r="AP6" s="26" t="s">
        <v>201</v>
      </c>
      <c r="AQ6" s="26" t="s">
        <v>201</v>
      </c>
      <c r="AR6" s="26" t="s">
        <v>201</v>
      </c>
      <c r="AS6" s="26" t="s">
        <v>201</v>
      </c>
      <c r="AT6" s="26" t="s">
        <v>201</v>
      </c>
      <c r="AU6" s="26" t="s">
        <v>201</v>
      </c>
      <c r="AV6" s="26" t="s">
        <v>201</v>
      </c>
      <c r="AW6" s="26" t="s">
        <v>201</v>
      </c>
      <c r="AY6" s="26" t="s">
        <v>201</v>
      </c>
      <c r="AZ6" s="26" t="s">
        <v>201</v>
      </c>
      <c r="BA6" s="26" t="s">
        <v>201</v>
      </c>
      <c r="BB6" s="26" t="s">
        <v>201</v>
      </c>
      <c r="BC6" s="26" t="s">
        <v>201</v>
      </c>
      <c r="BD6" s="26" t="s">
        <v>201</v>
      </c>
      <c r="BE6" s="26" t="s">
        <v>201</v>
      </c>
      <c r="BF6" s="26" t="s">
        <v>201</v>
      </c>
      <c r="BG6" s="26" t="s">
        <v>201</v>
      </c>
      <c r="BH6" s="26" t="s">
        <v>201</v>
      </c>
      <c r="BI6" s="26" t="s">
        <v>201</v>
      </c>
      <c r="BJ6" s="26" t="s">
        <v>201</v>
      </c>
      <c r="BK6" s="26" t="s">
        <v>201</v>
      </c>
      <c r="BL6" s="26" t="s">
        <v>201</v>
      </c>
      <c r="BM6" s="26" t="s">
        <v>201</v>
      </c>
      <c r="BN6" s="26" t="s">
        <v>201</v>
      </c>
      <c r="BO6" s="26" t="s">
        <v>201</v>
      </c>
      <c r="BP6" s="26" t="s">
        <v>201</v>
      </c>
      <c r="BQ6" s="26" t="s">
        <v>201</v>
      </c>
      <c r="BS6" s="26" t="s">
        <v>201</v>
      </c>
      <c r="BT6" s="26" t="s">
        <v>201</v>
      </c>
      <c r="BU6" s="26" t="s">
        <v>201</v>
      </c>
      <c r="BV6" s="26" t="s">
        <v>201</v>
      </c>
      <c r="BW6" s="26" t="s">
        <v>201</v>
      </c>
      <c r="BX6" s="26" t="s">
        <v>201</v>
      </c>
      <c r="BY6" s="26" t="s">
        <v>201</v>
      </c>
      <c r="BZ6" s="26" t="s">
        <v>201</v>
      </c>
      <c r="CA6" s="26" t="s">
        <v>201</v>
      </c>
      <c r="CB6" s="26" t="s">
        <v>201</v>
      </c>
      <c r="CC6" s="26" t="s">
        <v>201</v>
      </c>
      <c r="CD6" s="26" t="s">
        <v>201</v>
      </c>
      <c r="CE6" s="26" t="s">
        <v>201</v>
      </c>
      <c r="CF6" s="26" t="s">
        <v>201</v>
      </c>
      <c r="CG6" s="26" t="s">
        <v>201</v>
      </c>
      <c r="CH6" s="26" t="s">
        <v>201</v>
      </c>
      <c r="CI6" s="26" t="s">
        <v>201</v>
      </c>
      <c r="CJ6" s="26" t="s">
        <v>201</v>
      </c>
      <c r="CK6" s="26" t="s">
        <v>201</v>
      </c>
      <c r="CM6" s="26" t="s">
        <v>201</v>
      </c>
      <c r="CN6" s="26" t="s">
        <v>201</v>
      </c>
      <c r="CO6" s="26" t="s">
        <v>201</v>
      </c>
      <c r="CP6" s="26" t="s">
        <v>201</v>
      </c>
      <c r="CQ6" s="26" t="s">
        <v>201</v>
      </c>
      <c r="CR6" s="26" t="s">
        <v>201</v>
      </c>
      <c r="CS6" s="26" t="s">
        <v>201</v>
      </c>
      <c r="CT6" s="26" t="s">
        <v>201</v>
      </c>
      <c r="CU6" s="26" t="s">
        <v>201</v>
      </c>
      <c r="CV6" s="26" t="s">
        <v>201</v>
      </c>
      <c r="CW6" s="26" t="s">
        <v>201</v>
      </c>
      <c r="CX6" s="26" t="s">
        <v>201</v>
      </c>
      <c r="CY6" s="26" t="s">
        <v>201</v>
      </c>
      <c r="CZ6" s="26" t="s">
        <v>201</v>
      </c>
      <c r="DA6" s="26" t="s">
        <v>201</v>
      </c>
      <c r="DB6" s="26" t="s">
        <v>201</v>
      </c>
      <c r="DC6" s="26" t="s">
        <v>201</v>
      </c>
      <c r="DD6" s="26" t="s">
        <v>201</v>
      </c>
      <c r="DE6" s="26" t="s">
        <v>201</v>
      </c>
    </row>
    <row r="7" spans="1:109" s="12" customFormat="1" ht="2.25" customHeight="1" x14ac:dyDescent="0.2">
      <c r="A7" s="11"/>
      <c r="B7" s="11"/>
      <c r="I7" s="19"/>
      <c r="N7" s="19"/>
      <c r="R7" s="19"/>
      <c r="S7" s="19"/>
      <c r="W7" s="19"/>
      <c r="X7" s="19"/>
      <c r="AB7" s="19"/>
      <c r="AC7" s="19"/>
      <c r="AH7" s="19"/>
      <c r="AL7" s="19"/>
      <c r="AM7" s="19"/>
      <c r="AQ7" s="19"/>
      <c r="AR7" s="19"/>
      <c r="AV7" s="19"/>
      <c r="AW7" s="19"/>
      <c r="BB7" s="19"/>
      <c r="BF7" s="19"/>
      <c r="BG7" s="19"/>
      <c r="BK7" s="19"/>
      <c r="BL7" s="19"/>
      <c r="BP7" s="19"/>
      <c r="BQ7" s="19"/>
      <c r="BV7" s="19"/>
      <c r="BZ7" s="19"/>
      <c r="CA7" s="19"/>
      <c r="CE7" s="19"/>
      <c r="CF7" s="19"/>
      <c r="CJ7" s="19"/>
      <c r="CK7" s="19"/>
      <c r="CP7" s="19"/>
      <c r="CT7" s="19"/>
      <c r="CU7" s="19"/>
      <c r="CY7" s="19"/>
      <c r="CZ7" s="19"/>
      <c r="DD7" s="19"/>
      <c r="DE7" s="19"/>
    </row>
    <row r="8" spans="1:109" s="12" customFormat="1" ht="10.199999999999999" x14ac:dyDescent="0.2">
      <c r="A8" s="11"/>
      <c r="B8" s="11"/>
      <c r="E8" s="24"/>
      <c r="F8" s="24" t="str">
        <f>'Карточка проекта'!$B$1</f>
        <v xml:space="preserve">Облачное хранилище для строительной компании с функцией архивации </v>
      </c>
      <c r="G8" s="24" t="s">
        <v>420</v>
      </c>
      <c r="I8" s="39">
        <f>I10+I16</f>
        <v>12811796.838048242</v>
      </c>
      <c r="K8" s="28">
        <f t="shared" ref="K8:AC8" si="0">K10+K16</f>
        <v>0</v>
      </c>
      <c r="L8" s="28">
        <f t="shared" si="0"/>
        <v>0</v>
      </c>
      <c r="M8" s="28">
        <f t="shared" si="0"/>
        <v>0</v>
      </c>
      <c r="N8" s="39">
        <f t="shared" si="0"/>
        <v>0</v>
      </c>
      <c r="O8" s="28">
        <f t="shared" si="0"/>
        <v>0</v>
      </c>
      <c r="P8" s="28">
        <f t="shared" si="0"/>
        <v>0</v>
      </c>
      <c r="Q8" s="28">
        <f t="shared" si="0"/>
        <v>0</v>
      </c>
      <c r="R8" s="39">
        <f t="shared" si="0"/>
        <v>0</v>
      </c>
      <c r="S8" s="39">
        <f t="shared" si="0"/>
        <v>0</v>
      </c>
      <c r="T8" s="28">
        <f t="shared" si="0"/>
        <v>0</v>
      </c>
      <c r="U8" s="28">
        <f t="shared" si="0"/>
        <v>0</v>
      </c>
      <c r="V8" s="28">
        <f t="shared" si="0"/>
        <v>381635.0105478745</v>
      </c>
      <c r="W8" s="39">
        <f t="shared" si="0"/>
        <v>381635.0105478745</v>
      </c>
      <c r="X8" s="39">
        <f t="shared" si="0"/>
        <v>381635.0105478745</v>
      </c>
      <c r="Y8" s="28">
        <f t="shared" si="0"/>
        <v>-1533934.9894521257</v>
      </c>
      <c r="Z8" s="28">
        <f t="shared" si="0"/>
        <v>10381613.444482392</v>
      </c>
      <c r="AA8" s="28">
        <f t="shared" si="0"/>
        <v>-2417516.6275298996</v>
      </c>
      <c r="AB8" s="39">
        <f t="shared" si="0"/>
        <v>6430161.8275003666</v>
      </c>
      <c r="AC8" s="39">
        <f t="shared" si="0"/>
        <v>6811796.8380482411</v>
      </c>
      <c r="AE8" s="28">
        <f t="shared" ref="AE8:AW8" si="1">AE10+AE16</f>
        <v>6000000</v>
      </c>
      <c r="AF8" s="28">
        <f t="shared" si="1"/>
        <v>0</v>
      </c>
      <c r="AG8" s="28">
        <f t="shared" si="1"/>
        <v>0</v>
      </c>
      <c r="AH8" s="39">
        <f t="shared" si="1"/>
        <v>6000000</v>
      </c>
      <c r="AI8" s="28">
        <f t="shared" si="1"/>
        <v>0</v>
      </c>
      <c r="AJ8" s="28">
        <f t="shared" si="1"/>
        <v>0</v>
      </c>
      <c r="AK8" s="28">
        <f t="shared" si="1"/>
        <v>0</v>
      </c>
      <c r="AL8" s="39">
        <f t="shared" si="1"/>
        <v>0</v>
      </c>
      <c r="AM8" s="39">
        <f t="shared" si="1"/>
        <v>6000000</v>
      </c>
      <c r="AN8" s="28">
        <f t="shared" si="1"/>
        <v>0</v>
      </c>
      <c r="AO8" s="28">
        <f t="shared" si="1"/>
        <v>0</v>
      </c>
      <c r="AP8" s="28">
        <f t="shared" si="1"/>
        <v>0</v>
      </c>
      <c r="AQ8" s="39">
        <f t="shared" si="1"/>
        <v>0</v>
      </c>
      <c r="AR8" s="39">
        <f t="shared" si="1"/>
        <v>6000000</v>
      </c>
      <c r="AS8" s="28">
        <f t="shared" si="1"/>
        <v>0</v>
      </c>
      <c r="AT8" s="28">
        <f t="shared" si="1"/>
        <v>0</v>
      </c>
      <c r="AU8" s="28">
        <f t="shared" si="1"/>
        <v>0</v>
      </c>
      <c r="AV8" s="39">
        <f t="shared" si="1"/>
        <v>0</v>
      </c>
      <c r="AW8" s="39">
        <f t="shared" si="1"/>
        <v>6000000</v>
      </c>
      <c r="AY8" s="28">
        <f t="shared" ref="AY8:BQ8" si="2">AY10+AY16</f>
        <v>0</v>
      </c>
      <c r="AZ8" s="28">
        <f t="shared" si="2"/>
        <v>0</v>
      </c>
      <c r="BA8" s="28">
        <f t="shared" si="2"/>
        <v>0</v>
      </c>
      <c r="BB8" s="39">
        <f t="shared" si="2"/>
        <v>0</v>
      </c>
      <c r="BC8" s="28">
        <f t="shared" si="2"/>
        <v>0</v>
      </c>
      <c r="BD8" s="28">
        <f t="shared" si="2"/>
        <v>0</v>
      </c>
      <c r="BE8" s="28">
        <f t="shared" si="2"/>
        <v>0</v>
      </c>
      <c r="BF8" s="39">
        <f t="shared" si="2"/>
        <v>0</v>
      </c>
      <c r="BG8" s="39">
        <f t="shared" si="2"/>
        <v>0</v>
      </c>
      <c r="BH8" s="28">
        <f t="shared" si="2"/>
        <v>0</v>
      </c>
      <c r="BI8" s="28">
        <f t="shared" si="2"/>
        <v>0</v>
      </c>
      <c r="BJ8" s="28">
        <f t="shared" si="2"/>
        <v>0</v>
      </c>
      <c r="BK8" s="39">
        <f t="shared" si="2"/>
        <v>0</v>
      </c>
      <c r="BL8" s="39">
        <f t="shared" si="2"/>
        <v>0</v>
      </c>
      <c r="BM8" s="28">
        <f t="shared" si="2"/>
        <v>0</v>
      </c>
      <c r="BN8" s="28">
        <f t="shared" si="2"/>
        <v>0</v>
      </c>
      <c r="BO8" s="28">
        <f t="shared" si="2"/>
        <v>0</v>
      </c>
      <c r="BP8" s="39">
        <f t="shared" si="2"/>
        <v>0</v>
      </c>
      <c r="BQ8" s="39">
        <f t="shared" si="2"/>
        <v>0</v>
      </c>
      <c r="BS8" s="28">
        <f t="shared" ref="BS8:CK8" si="3">BS10+BS16</f>
        <v>0</v>
      </c>
      <c r="BT8" s="28">
        <f t="shared" si="3"/>
        <v>0</v>
      </c>
      <c r="BU8" s="28">
        <f t="shared" si="3"/>
        <v>0</v>
      </c>
      <c r="BV8" s="39">
        <f t="shared" si="3"/>
        <v>0</v>
      </c>
      <c r="BW8" s="28">
        <f t="shared" si="3"/>
        <v>0</v>
      </c>
      <c r="BX8" s="28">
        <f t="shared" si="3"/>
        <v>0</v>
      </c>
      <c r="BY8" s="28">
        <f t="shared" si="3"/>
        <v>0</v>
      </c>
      <c r="BZ8" s="39">
        <f t="shared" si="3"/>
        <v>0</v>
      </c>
      <c r="CA8" s="39">
        <f t="shared" si="3"/>
        <v>0</v>
      </c>
      <c r="CB8" s="28">
        <f t="shared" si="3"/>
        <v>0</v>
      </c>
      <c r="CC8" s="28">
        <f t="shared" si="3"/>
        <v>0</v>
      </c>
      <c r="CD8" s="28">
        <f t="shared" si="3"/>
        <v>0</v>
      </c>
      <c r="CE8" s="39">
        <f t="shared" si="3"/>
        <v>0</v>
      </c>
      <c r="CF8" s="39">
        <f t="shared" si="3"/>
        <v>0</v>
      </c>
      <c r="CG8" s="28">
        <f t="shared" si="3"/>
        <v>0</v>
      </c>
      <c r="CH8" s="28">
        <f t="shared" si="3"/>
        <v>0</v>
      </c>
      <c r="CI8" s="28">
        <f t="shared" si="3"/>
        <v>0</v>
      </c>
      <c r="CJ8" s="39">
        <f t="shared" si="3"/>
        <v>0</v>
      </c>
      <c r="CK8" s="39">
        <f t="shared" si="3"/>
        <v>0</v>
      </c>
      <c r="CM8" s="28">
        <f t="shared" ref="CM8:DE8" si="4">CM10+CM16</f>
        <v>0</v>
      </c>
      <c r="CN8" s="28">
        <f t="shared" si="4"/>
        <v>0</v>
      </c>
      <c r="CO8" s="28">
        <f t="shared" si="4"/>
        <v>0</v>
      </c>
      <c r="CP8" s="39">
        <f t="shared" si="4"/>
        <v>0</v>
      </c>
      <c r="CQ8" s="28">
        <f t="shared" si="4"/>
        <v>0</v>
      </c>
      <c r="CR8" s="28">
        <f t="shared" si="4"/>
        <v>0</v>
      </c>
      <c r="CS8" s="28">
        <f t="shared" si="4"/>
        <v>0</v>
      </c>
      <c r="CT8" s="39">
        <f t="shared" si="4"/>
        <v>0</v>
      </c>
      <c r="CU8" s="39">
        <f t="shared" si="4"/>
        <v>0</v>
      </c>
      <c r="CV8" s="28">
        <f t="shared" si="4"/>
        <v>0</v>
      </c>
      <c r="CW8" s="28">
        <f t="shared" si="4"/>
        <v>0</v>
      </c>
      <c r="CX8" s="28">
        <f t="shared" si="4"/>
        <v>0</v>
      </c>
      <c r="CY8" s="39">
        <f t="shared" si="4"/>
        <v>0</v>
      </c>
      <c r="CZ8" s="39">
        <f t="shared" si="4"/>
        <v>0</v>
      </c>
      <c r="DA8" s="28">
        <f t="shared" si="4"/>
        <v>0</v>
      </c>
      <c r="DB8" s="28">
        <f t="shared" si="4"/>
        <v>0</v>
      </c>
      <c r="DC8" s="28">
        <f t="shared" si="4"/>
        <v>0</v>
      </c>
      <c r="DD8" s="39">
        <f t="shared" si="4"/>
        <v>0</v>
      </c>
      <c r="DE8" s="39">
        <f t="shared" si="4"/>
        <v>0</v>
      </c>
    </row>
    <row r="9" spans="1:109" s="12" customFormat="1" ht="10.199999999999999" x14ac:dyDescent="0.2">
      <c r="A9" s="11"/>
      <c r="B9" s="11"/>
      <c r="E9" s="24"/>
      <c r="F9" s="24" t="str">
        <f>'Карточка проекта'!$B$1</f>
        <v xml:space="preserve">Облачное хранилище для строительной компании с функцией архивации </v>
      </c>
      <c r="G9" s="24" t="s">
        <v>421</v>
      </c>
      <c r="I9" s="39">
        <f>I8</f>
        <v>12811796.838048242</v>
      </c>
      <c r="K9" s="28">
        <f>K8</f>
        <v>0</v>
      </c>
      <c r="L9" s="28">
        <f>L8+K9</f>
        <v>0</v>
      </c>
      <c r="M9" s="28">
        <f>M8+L9</f>
        <v>0</v>
      </c>
      <c r="N9" s="39">
        <f>N8</f>
        <v>0</v>
      </c>
      <c r="O9" s="28">
        <f>M9+O8</f>
        <v>0</v>
      </c>
      <c r="P9" s="28">
        <f>O9+P8</f>
        <v>0</v>
      </c>
      <c r="Q9" s="28">
        <f>P9+Q8</f>
        <v>0</v>
      </c>
      <c r="R9" s="39">
        <f>N9+R8</f>
        <v>0</v>
      </c>
      <c r="S9" s="39">
        <f>S8</f>
        <v>0</v>
      </c>
      <c r="T9" s="28">
        <f>Q9+T8</f>
        <v>0</v>
      </c>
      <c r="U9" s="28">
        <f>T9+U8</f>
        <v>0</v>
      </c>
      <c r="V9" s="28">
        <f>U9+V8</f>
        <v>381635.0105478745</v>
      </c>
      <c r="W9" s="39">
        <f>R9+W8</f>
        <v>381635.0105478745</v>
      </c>
      <c r="X9" s="39">
        <f>X8</f>
        <v>381635.0105478745</v>
      </c>
      <c r="Y9" s="28">
        <f>V9+Y8</f>
        <v>-1152299.9789042512</v>
      </c>
      <c r="Z9" s="28">
        <f>Y9+Z8</f>
        <v>9229313.4655781407</v>
      </c>
      <c r="AA9" s="28">
        <f>Z9+AA8</f>
        <v>6811796.8380482411</v>
      </c>
      <c r="AB9" s="39">
        <f>W9+AB8</f>
        <v>6811796.8380482411</v>
      </c>
      <c r="AC9" s="39">
        <f>AC8</f>
        <v>6811796.8380482411</v>
      </c>
      <c r="AE9" s="28">
        <f>AC9+AE8</f>
        <v>12811796.838048242</v>
      </c>
      <c r="AF9" s="28">
        <f>AF8+AE9</f>
        <v>12811796.838048242</v>
      </c>
      <c r="AG9" s="28">
        <f>AG8+AF9</f>
        <v>12811796.838048242</v>
      </c>
      <c r="AH9" s="39">
        <f>AC9+AH8</f>
        <v>12811796.838048242</v>
      </c>
      <c r="AI9" s="28">
        <f>AG9+AI8</f>
        <v>12811796.838048242</v>
      </c>
      <c r="AJ9" s="28">
        <f>AI9+AJ8</f>
        <v>12811796.838048242</v>
      </c>
      <c r="AK9" s="28">
        <f>AJ9+AK8</f>
        <v>12811796.838048242</v>
      </c>
      <c r="AL9" s="39">
        <f>AH9+AL8</f>
        <v>12811796.838048242</v>
      </c>
      <c r="AM9" s="39">
        <f>AC9+AM8</f>
        <v>12811796.838048242</v>
      </c>
      <c r="AN9" s="28">
        <f>AK9+AN8</f>
        <v>12811796.838048242</v>
      </c>
      <c r="AO9" s="28">
        <f>AN9+AO8</f>
        <v>12811796.838048242</v>
      </c>
      <c r="AP9" s="28">
        <f>AO9+AP8</f>
        <v>12811796.838048242</v>
      </c>
      <c r="AQ9" s="39">
        <f>AL9+AQ8</f>
        <v>12811796.838048242</v>
      </c>
      <c r="AR9" s="39">
        <f>AC9+AR8</f>
        <v>12811796.838048242</v>
      </c>
      <c r="AS9" s="28">
        <f>AP9+AS8</f>
        <v>12811796.838048242</v>
      </c>
      <c r="AT9" s="28">
        <f>AS9+AT8</f>
        <v>12811796.838048242</v>
      </c>
      <c r="AU9" s="28">
        <f>AT9+AU8</f>
        <v>12811796.838048242</v>
      </c>
      <c r="AV9" s="39">
        <f>AQ9+AV8</f>
        <v>12811796.838048242</v>
      </c>
      <c r="AW9" s="39">
        <f>AC9+AW8</f>
        <v>12811796.838048242</v>
      </c>
      <c r="AY9" s="28">
        <f>AW9+AY8</f>
        <v>12811796.838048242</v>
      </c>
      <c r="AZ9" s="28">
        <f>AZ8+AY9</f>
        <v>12811796.838048242</v>
      </c>
      <c r="BA9" s="28">
        <f>BA8+AZ9</f>
        <v>12811796.838048242</v>
      </c>
      <c r="BB9" s="39">
        <f>AW9+BB8</f>
        <v>12811796.838048242</v>
      </c>
      <c r="BC9" s="28">
        <f>BA9+BC8</f>
        <v>12811796.838048242</v>
      </c>
      <c r="BD9" s="28">
        <f>BC9+BD8</f>
        <v>12811796.838048242</v>
      </c>
      <c r="BE9" s="28">
        <f>BD9+BE8</f>
        <v>12811796.838048242</v>
      </c>
      <c r="BF9" s="39">
        <f>BB9+BF8</f>
        <v>12811796.838048242</v>
      </c>
      <c r="BG9" s="39">
        <f>AW9+BG8</f>
        <v>12811796.838048242</v>
      </c>
      <c r="BH9" s="28">
        <f>BE9+BH8</f>
        <v>12811796.838048242</v>
      </c>
      <c r="BI9" s="28">
        <f>BH9+BI8</f>
        <v>12811796.838048242</v>
      </c>
      <c r="BJ9" s="28">
        <f>BI9+BJ8</f>
        <v>12811796.838048242</v>
      </c>
      <c r="BK9" s="39">
        <f>BF9+BK8</f>
        <v>12811796.838048242</v>
      </c>
      <c r="BL9" s="39">
        <f>AW9+BL8</f>
        <v>12811796.838048242</v>
      </c>
      <c r="BM9" s="28">
        <f>BJ9+BM8</f>
        <v>12811796.838048242</v>
      </c>
      <c r="BN9" s="28">
        <f>BM9+BN8</f>
        <v>12811796.838048242</v>
      </c>
      <c r="BO9" s="28">
        <f>BN9+BO8</f>
        <v>12811796.838048242</v>
      </c>
      <c r="BP9" s="39">
        <f>BK9+BP8</f>
        <v>12811796.838048242</v>
      </c>
      <c r="BQ9" s="39">
        <f>AW9+BQ8</f>
        <v>12811796.838048242</v>
      </c>
      <c r="BS9" s="28">
        <f>BQ9+BS8</f>
        <v>12811796.838048242</v>
      </c>
      <c r="BT9" s="28">
        <f>BT8+BS9</f>
        <v>12811796.838048242</v>
      </c>
      <c r="BU9" s="28">
        <f>BU8+BT9</f>
        <v>12811796.838048242</v>
      </c>
      <c r="BV9" s="39">
        <f>BQ9+BV8</f>
        <v>12811796.838048242</v>
      </c>
      <c r="BW9" s="28">
        <f>BU9+BW8</f>
        <v>12811796.838048242</v>
      </c>
      <c r="BX9" s="28">
        <f>BW9+BX8</f>
        <v>12811796.838048242</v>
      </c>
      <c r="BY9" s="28">
        <f>BX9+BY8</f>
        <v>12811796.838048242</v>
      </c>
      <c r="BZ9" s="39">
        <f>BV9+BZ8</f>
        <v>12811796.838048242</v>
      </c>
      <c r="CA9" s="39">
        <f>BQ9+CA8</f>
        <v>12811796.838048242</v>
      </c>
      <c r="CB9" s="28">
        <f>BY9+CB8</f>
        <v>12811796.838048242</v>
      </c>
      <c r="CC9" s="28">
        <f>CB9+CC8</f>
        <v>12811796.838048242</v>
      </c>
      <c r="CD9" s="28">
        <f>CC9+CD8</f>
        <v>12811796.838048242</v>
      </c>
      <c r="CE9" s="39">
        <f>BZ9+CE8</f>
        <v>12811796.838048242</v>
      </c>
      <c r="CF9" s="39">
        <f>BQ9+CF8</f>
        <v>12811796.838048242</v>
      </c>
      <c r="CG9" s="28">
        <f>CD9+CG8</f>
        <v>12811796.838048242</v>
      </c>
      <c r="CH9" s="28">
        <f>CG9+CH8</f>
        <v>12811796.838048242</v>
      </c>
      <c r="CI9" s="28">
        <f>CH9+CI8</f>
        <v>12811796.838048242</v>
      </c>
      <c r="CJ9" s="39">
        <f>CE9+CJ8</f>
        <v>12811796.838048242</v>
      </c>
      <c r="CK9" s="39">
        <f>BQ9+CK8</f>
        <v>12811796.838048242</v>
      </c>
      <c r="CM9" s="28">
        <f>CK9+CM8</f>
        <v>12811796.838048242</v>
      </c>
      <c r="CN9" s="28">
        <f>CN8+CM9</f>
        <v>12811796.838048242</v>
      </c>
      <c r="CO9" s="28">
        <f>CO8+CN9</f>
        <v>12811796.838048242</v>
      </c>
      <c r="CP9" s="39">
        <f>CK9+CP8</f>
        <v>12811796.838048242</v>
      </c>
      <c r="CQ9" s="28">
        <f>CO9+CQ8</f>
        <v>12811796.838048242</v>
      </c>
      <c r="CR9" s="28">
        <f>CQ9+CR8</f>
        <v>12811796.838048242</v>
      </c>
      <c r="CS9" s="28">
        <f>CR9+CS8</f>
        <v>12811796.838048242</v>
      </c>
      <c r="CT9" s="39">
        <f>CP9+CT8</f>
        <v>12811796.838048242</v>
      </c>
      <c r="CU9" s="39">
        <f>CK9+CU8</f>
        <v>12811796.838048242</v>
      </c>
      <c r="CV9" s="28">
        <f>CS9+CV8</f>
        <v>12811796.838048242</v>
      </c>
      <c r="CW9" s="28">
        <f>CV9+CW8</f>
        <v>12811796.838048242</v>
      </c>
      <c r="CX9" s="28">
        <f>CW9+CX8</f>
        <v>12811796.838048242</v>
      </c>
      <c r="CY9" s="39">
        <f>CT9+CY8</f>
        <v>12811796.838048242</v>
      </c>
      <c r="CZ9" s="39">
        <f>CK9+CZ8</f>
        <v>12811796.838048242</v>
      </c>
      <c r="DA9" s="28">
        <f>CX9+DA8</f>
        <v>12811796.838048242</v>
      </c>
      <c r="DB9" s="28">
        <f>DA9+DB8</f>
        <v>12811796.838048242</v>
      </c>
      <c r="DC9" s="28">
        <f>DB9+DC8</f>
        <v>12811796.838048242</v>
      </c>
      <c r="DD9" s="39">
        <f>CY9+DD8</f>
        <v>12811796.838048242</v>
      </c>
      <c r="DE9" s="39">
        <f>CK9+DE8</f>
        <v>12811796.838048242</v>
      </c>
    </row>
    <row r="10" spans="1:109" s="12" customFormat="1" ht="10.199999999999999" x14ac:dyDescent="0.2">
      <c r="A10" s="11"/>
      <c r="B10" s="11"/>
      <c r="E10" s="27"/>
      <c r="F10" s="27" t="s">
        <v>293</v>
      </c>
      <c r="G10" s="27"/>
      <c r="I10" s="40">
        <f>SUM(I11:I15)</f>
        <v>21000000</v>
      </c>
      <c r="K10" s="29">
        <f t="shared" ref="K10:AC10" si="5">SUM(K11:K15)</f>
        <v>0</v>
      </c>
      <c r="L10" s="29">
        <f t="shared" ref="L10:M10" si="6">SUM(L11:L15)</f>
        <v>0</v>
      </c>
      <c r="M10" s="29">
        <f t="shared" si="6"/>
        <v>0</v>
      </c>
      <c r="N10" s="40">
        <f t="shared" si="5"/>
        <v>0</v>
      </c>
      <c r="O10" s="29">
        <f t="shared" ref="O10:R10" si="7">SUM(O11:O15)</f>
        <v>0</v>
      </c>
      <c r="P10" s="29">
        <f t="shared" si="7"/>
        <v>0</v>
      </c>
      <c r="Q10" s="29">
        <f t="shared" si="7"/>
        <v>0</v>
      </c>
      <c r="R10" s="40">
        <f t="shared" si="7"/>
        <v>0</v>
      </c>
      <c r="S10" s="40">
        <f t="shared" si="5"/>
        <v>0</v>
      </c>
      <c r="T10" s="29">
        <f t="shared" si="5"/>
        <v>0</v>
      </c>
      <c r="U10" s="29">
        <f t="shared" si="5"/>
        <v>0</v>
      </c>
      <c r="V10" s="29">
        <f t="shared" si="5"/>
        <v>3000000</v>
      </c>
      <c r="W10" s="40">
        <f t="shared" si="5"/>
        <v>3000000</v>
      </c>
      <c r="X10" s="40">
        <f t="shared" si="5"/>
        <v>3000000</v>
      </c>
      <c r="Y10" s="29">
        <f t="shared" si="5"/>
        <v>0</v>
      </c>
      <c r="Z10" s="29">
        <f t="shared" si="5"/>
        <v>12000000</v>
      </c>
      <c r="AA10" s="29">
        <f t="shared" si="5"/>
        <v>0</v>
      </c>
      <c r="AB10" s="40">
        <f t="shared" si="5"/>
        <v>12000000</v>
      </c>
      <c r="AC10" s="40">
        <f t="shared" si="5"/>
        <v>15000000</v>
      </c>
      <c r="AE10" s="29">
        <f t="shared" ref="AE10:AW10" si="8">SUM(AE11:AE15)</f>
        <v>6000000</v>
      </c>
      <c r="AF10" s="29">
        <f t="shared" si="8"/>
        <v>0</v>
      </c>
      <c r="AG10" s="29">
        <f t="shared" si="8"/>
        <v>0</v>
      </c>
      <c r="AH10" s="40">
        <f t="shared" si="8"/>
        <v>6000000</v>
      </c>
      <c r="AI10" s="29">
        <f t="shared" si="8"/>
        <v>0</v>
      </c>
      <c r="AJ10" s="29">
        <f t="shared" si="8"/>
        <v>0</v>
      </c>
      <c r="AK10" s="29">
        <f t="shared" si="8"/>
        <v>0</v>
      </c>
      <c r="AL10" s="40">
        <f t="shared" si="8"/>
        <v>0</v>
      </c>
      <c r="AM10" s="40">
        <f t="shared" si="8"/>
        <v>6000000</v>
      </c>
      <c r="AN10" s="29">
        <f t="shared" si="8"/>
        <v>0</v>
      </c>
      <c r="AO10" s="29">
        <f t="shared" si="8"/>
        <v>0</v>
      </c>
      <c r="AP10" s="29">
        <f t="shared" si="8"/>
        <v>0</v>
      </c>
      <c r="AQ10" s="40">
        <f t="shared" si="8"/>
        <v>0</v>
      </c>
      <c r="AR10" s="40">
        <f t="shared" si="8"/>
        <v>6000000</v>
      </c>
      <c r="AS10" s="29">
        <f t="shared" si="8"/>
        <v>0</v>
      </c>
      <c r="AT10" s="29">
        <f t="shared" si="8"/>
        <v>0</v>
      </c>
      <c r="AU10" s="29">
        <f t="shared" si="8"/>
        <v>0</v>
      </c>
      <c r="AV10" s="40">
        <f t="shared" si="8"/>
        <v>0</v>
      </c>
      <c r="AW10" s="40">
        <f t="shared" si="8"/>
        <v>6000000</v>
      </c>
      <c r="AY10" s="29">
        <f t="shared" ref="AY10:BQ10" si="9">SUM(AY11:AY15)</f>
        <v>0</v>
      </c>
      <c r="AZ10" s="29">
        <f t="shared" si="9"/>
        <v>0</v>
      </c>
      <c r="BA10" s="29">
        <f t="shared" si="9"/>
        <v>0</v>
      </c>
      <c r="BB10" s="40">
        <f t="shared" si="9"/>
        <v>0</v>
      </c>
      <c r="BC10" s="29">
        <f t="shared" si="9"/>
        <v>0</v>
      </c>
      <c r="BD10" s="29">
        <f t="shared" si="9"/>
        <v>0</v>
      </c>
      <c r="BE10" s="29">
        <f t="shared" si="9"/>
        <v>0</v>
      </c>
      <c r="BF10" s="40">
        <f t="shared" si="9"/>
        <v>0</v>
      </c>
      <c r="BG10" s="40">
        <f t="shared" si="9"/>
        <v>0</v>
      </c>
      <c r="BH10" s="29">
        <f t="shared" si="9"/>
        <v>0</v>
      </c>
      <c r="BI10" s="29">
        <f t="shared" si="9"/>
        <v>0</v>
      </c>
      <c r="BJ10" s="29">
        <f t="shared" si="9"/>
        <v>0</v>
      </c>
      <c r="BK10" s="40">
        <f t="shared" si="9"/>
        <v>0</v>
      </c>
      <c r="BL10" s="40">
        <f t="shared" si="9"/>
        <v>0</v>
      </c>
      <c r="BM10" s="29">
        <f t="shared" si="9"/>
        <v>0</v>
      </c>
      <c r="BN10" s="29">
        <f t="shared" si="9"/>
        <v>0</v>
      </c>
      <c r="BO10" s="29">
        <f t="shared" si="9"/>
        <v>0</v>
      </c>
      <c r="BP10" s="40">
        <f t="shared" si="9"/>
        <v>0</v>
      </c>
      <c r="BQ10" s="40">
        <f t="shared" si="9"/>
        <v>0</v>
      </c>
      <c r="BS10" s="29">
        <f t="shared" ref="BS10:CK10" si="10">SUM(BS11:BS15)</f>
        <v>0</v>
      </c>
      <c r="BT10" s="29">
        <f t="shared" si="10"/>
        <v>0</v>
      </c>
      <c r="BU10" s="29">
        <f t="shared" si="10"/>
        <v>0</v>
      </c>
      <c r="BV10" s="40">
        <f t="shared" si="10"/>
        <v>0</v>
      </c>
      <c r="BW10" s="29">
        <f t="shared" si="10"/>
        <v>0</v>
      </c>
      <c r="BX10" s="29">
        <f t="shared" si="10"/>
        <v>0</v>
      </c>
      <c r="BY10" s="29">
        <f t="shared" si="10"/>
        <v>0</v>
      </c>
      <c r="BZ10" s="40">
        <f t="shared" si="10"/>
        <v>0</v>
      </c>
      <c r="CA10" s="40">
        <f t="shared" si="10"/>
        <v>0</v>
      </c>
      <c r="CB10" s="29">
        <f t="shared" si="10"/>
        <v>0</v>
      </c>
      <c r="CC10" s="29">
        <f t="shared" si="10"/>
        <v>0</v>
      </c>
      <c r="CD10" s="29">
        <f t="shared" si="10"/>
        <v>0</v>
      </c>
      <c r="CE10" s="40">
        <f t="shared" si="10"/>
        <v>0</v>
      </c>
      <c r="CF10" s="40">
        <f t="shared" si="10"/>
        <v>0</v>
      </c>
      <c r="CG10" s="29">
        <f t="shared" si="10"/>
        <v>0</v>
      </c>
      <c r="CH10" s="29">
        <f t="shared" si="10"/>
        <v>0</v>
      </c>
      <c r="CI10" s="29">
        <f t="shared" si="10"/>
        <v>0</v>
      </c>
      <c r="CJ10" s="40">
        <f t="shared" si="10"/>
        <v>0</v>
      </c>
      <c r="CK10" s="40">
        <f t="shared" si="10"/>
        <v>0</v>
      </c>
      <c r="CM10" s="29">
        <f t="shared" ref="CM10:DE10" si="11">SUM(CM11:CM15)</f>
        <v>0</v>
      </c>
      <c r="CN10" s="29">
        <f t="shared" si="11"/>
        <v>0</v>
      </c>
      <c r="CO10" s="29">
        <f t="shared" si="11"/>
        <v>0</v>
      </c>
      <c r="CP10" s="40">
        <f t="shared" si="11"/>
        <v>0</v>
      </c>
      <c r="CQ10" s="29">
        <f t="shared" si="11"/>
        <v>0</v>
      </c>
      <c r="CR10" s="29">
        <f t="shared" si="11"/>
        <v>0</v>
      </c>
      <c r="CS10" s="29">
        <f t="shared" si="11"/>
        <v>0</v>
      </c>
      <c r="CT10" s="40">
        <f t="shared" si="11"/>
        <v>0</v>
      </c>
      <c r="CU10" s="40">
        <f t="shared" si="11"/>
        <v>0</v>
      </c>
      <c r="CV10" s="29">
        <f t="shared" si="11"/>
        <v>0</v>
      </c>
      <c r="CW10" s="29">
        <f t="shared" si="11"/>
        <v>0</v>
      </c>
      <c r="CX10" s="29">
        <f t="shared" si="11"/>
        <v>0</v>
      </c>
      <c r="CY10" s="40">
        <f t="shared" si="11"/>
        <v>0</v>
      </c>
      <c r="CZ10" s="40">
        <f t="shared" si="11"/>
        <v>0</v>
      </c>
      <c r="DA10" s="29">
        <f t="shared" si="11"/>
        <v>0</v>
      </c>
      <c r="DB10" s="29">
        <f t="shared" si="11"/>
        <v>0</v>
      </c>
      <c r="DC10" s="29">
        <f t="shared" si="11"/>
        <v>0</v>
      </c>
      <c r="DD10" s="40">
        <f t="shared" si="11"/>
        <v>0</v>
      </c>
      <c r="DE10" s="40">
        <f t="shared" si="11"/>
        <v>0</v>
      </c>
    </row>
    <row r="11" spans="1:109" s="12" customFormat="1" ht="10.199999999999999" x14ac:dyDescent="0.2">
      <c r="A11" s="11" t="s">
        <v>202</v>
      </c>
      <c r="B11" s="11" t="str">
        <f>F11&amp;A11</f>
        <v>Облачное хранилище для строительной компании с функцией архивации 201051 Поставка оборудования</v>
      </c>
      <c r="E11" s="20">
        <v>201051</v>
      </c>
      <c r="F11" s="21" t="str">
        <f>'Карточка проекта'!$B$1</f>
        <v xml:space="preserve">Облачное хранилище для строительной компании с функцией архивации </v>
      </c>
      <c r="G11" s="43" t="s">
        <v>203</v>
      </c>
      <c r="I11" s="41">
        <f>AC11+AW11+BQ11+CK11+DE11</f>
        <v>0</v>
      </c>
      <c r="K11" s="23">
        <f>SUMIFS(ДДС_Поступление!$I:$I,ДДС_Поступление!$D:$D,$A11,ДДС_Поступление!$C:$C,K$3)</f>
        <v>0</v>
      </c>
      <c r="L11" s="23">
        <f>SUMIFS(ДДС_Поступление!$I:$I,ДДС_Поступление!$D:$D,$A11,ДДС_Поступление!$C:$C,L$3)</f>
        <v>0</v>
      </c>
      <c r="M11" s="23">
        <f>SUMIFS(ДДС_Поступление!$I:$I,ДДС_Поступление!$D:$D,$A11,ДДС_Поступление!$C:$C,M$3)</f>
        <v>0</v>
      </c>
      <c r="N11" s="41">
        <f>K11+L11+M11</f>
        <v>0</v>
      </c>
      <c r="O11" s="23">
        <f>SUMIFS(ДДС_Поступление!$I:$I,ДДС_Поступление!$D:$D,$A11,ДДС_Поступление!$C:$C,O$3)</f>
        <v>0</v>
      </c>
      <c r="P11" s="23">
        <f>SUMIFS(ДДС_Поступление!$I:$I,ДДС_Поступление!$D:$D,$A11,ДДС_Поступление!$C:$C,P$3)</f>
        <v>0</v>
      </c>
      <c r="Q11" s="23">
        <f>SUMIFS(ДДС_Поступление!$I:$I,ДДС_Поступление!$D:$D,$A11,ДДС_Поступление!$C:$C,Q$3)</f>
        <v>0</v>
      </c>
      <c r="R11" s="41">
        <f>O11+P11+Q11</f>
        <v>0</v>
      </c>
      <c r="S11" s="41">
        <f>N11+R11</f>
        <v>0</v>
      </c>
      <c r="T11" s="23">
        <f>SUMIFS(ДДС_Поступление!$I:$I,ДДС_Поступление!$D:$D,$A11,ДДС_Поступление!$C:$C,T$3)</f>
        <v>0</v>
      </c>
      <c r="U11" s="23">
        <f>SUMIFS(ДДС_Поступление!$I:$I,ДДС_Поступление!$D:$D,$A11,ДДС_Поступление!$C:$C,U$3)</f>
        <v>0</v>
      </c>
      <c r="V11" s="23">
        <f>SUMIFS(ДДС_Поступление!$I:$I,ДДС_Поступление!$D:$D,$A11,ДДС_Поступление!$C:$C,V$3)</f>
        <v>0</v>
      </c>
      <c r="W11" s="41">
        <f>T11+U11+V11</f>
        <v>0</v>
      </c>
      <c r="X11" s="41">
        <f>S11+W11</f>
        <v>0</v>
      </c>
      <c r="Y11" s="23">
        <f>SUMIFS(ДДС_Поступление!$I:$I,ДДС_Поступление!$D:$D,$A11,ДДС_Поступление!$C:$C,Y$3)</f>
        <v>0</v>
      </c>
      <c r="Z11" s="23">
        <f>SUMIFS(ДДС_Поступление!$I:$I,ДДС_Поступление!$D:$D,$A11,ДДС_Поступление!$C:$C,Z$3)</f>
        <v>0</v>
      </c>
      <c r="AA11" s="23">
        <f>SUMIFS(ДДС_Поступление!$I:$I,ДДС_Поступление!$D:$D,$A11,ДДС_Поступление!$C:$C,AA$3)</f>
        <v>0</v>
      </c>
      <c r="AB11" s="41">
        <f>Y11+Z11+AA11</f>
        <v>0</v>
      </c>
      <c r="AC11" s="41">
        <f>X11+AB11</f>
        <v>0</v>
      </c>
      <c r="AE11" s="23">
        <f>SUMIFS(ДДС_Поступление!$I:$I,ДДС_Поступление!$D:$D,$A11,ДДС_Поступление!$C:$C,AE$3)</f>
        <v>0</v>
      </c>
      <c r="AF11" s="23">
        <f>SUMIFS(ДДС_Поступление!$I:$I,ДДС_Поступление!$D:$D,$A11,ДДС_Поступление!$C:$C,AF$3)</f>
        <v>0</v>
      </c>
      <c r="AG11" s="23">
        <f>SUMIFS(ДДС_Поступление!$I:$I,ДДС_Поступление!$D:$D,$A11,ДДС_Поступление!$C:$C,AG$3)</f>
        <v>0</v>
      </c>
      <c r="AH11" s="41">
        <f>AE11+AF11+AG11</f>
        <v>0</v>
      </c>
      <c r="AI11" s="23">
        <f>SUMIFS(ДДС_Поступление!$I:$I,ДДС_Поступление!$D:$D,$A11,ДДС_Поступление!$C:$C,AI$3)</f>
        <v>0</v>
      </c>
      <c r="AJ11" s="23">
        <f>SUMIFS(ДДС_Поступление!$I:$I,ДДС_Поступление!$D:$D,$A11,ДДС_Поступление!$C:$C,AJ$3)</f>
        <v>0</v>
      </c>
      <c r="AK11" s="23">
        <f>SUMIFS(ДДС_Поступление!$I:$I,ДДС_Поступление!$D:$D,$A11,ДДС_Поступление!$C:$C,AK$3)</f>
        <v>0</v>
      </c>
      <c r="AL11" s="41">
        <f>AI11+AJ11+AK11</f>
        <v>0</v>
      </c>
      <c r="AM11" s="41">
        <f>AH11+AL11</f>
        <v>0</v>
      </c>
      <c r="AN11" s="23">
        <f>SUMIFS(ДДС_Поступление!$I:$I,ДДС_Поступление!$D:$D,$A11,ДДС_Поступление!$C:$C,AN$3)</f>
        <v>0</v>
      </c>
      <c r="AO11" s="23">
        <f>SUMIFS(ДДС_Поступление!$I:$I,ДДС_Поступление!$D:$D,$A11,ДДС_Поступление!$C:$C,AO$3)</f>
        <v>0</v>
      </c>
      <c r="AP11" s="23">
        <f>SUMIFS(ДДС_Поступление!$I:$I,ДДС_Поступление!$D:$D,$A11,ДДС_Поступление!$C:$C,AP$3)</f>
        <v>0</v>
      </c>
      <c r="AQ11" s="41">
        <f>AN11+AO11+AP11</f>
        <v>0</v>
      </c>
      <c r="AR11" s="41">
        <f>AM11+AQ11</f>
        <v>0</v>
      </c>
      <c r="AS11" s="23">
        <f>SUMIFS(ДДС_Поступление!$I:$I,ДДС_Поступление!$D:$D,$A11,ДДС_Поступление!$C:$C,AS$3)</f>
        <v>0</v>
      </c>
      <c r="AT11" s="23">
        <f>SUMIFS(ДДС_Поступление!$I:$I,ДДС_Поступление!$D:$D,$A11,ДДС_Поступление!$C:$C,AT$3)</f>
        <v>0</v>
      </c>
      <c r="AU11" s="23">
        <f>SUMIFS(ДДС_Поступление!$I:$I,ДДС_Поступление!$D:$D,$A11,ДДС_Поступление!$C:$C,AU$3)</f>
        <v>0</v>
      </c>
      <c r="AV11" s="41">
        <f>AS11+AT11+AU11</f>
        <v>0</v>
      </c>
      <c r="AW11" s="41">
        <f>AR11+AV11</f>
        <v>0</v>
      </c>
      <c r="AY11" s="23">
        <f>SUMIFS(ДДС_Поступление!$I:$I,ДДС_Поступление!$D:$D,$A11,ДДС_Поступление!$C:$C,AY$3)</f>
        <v>0</v>
      </c>
      <c r="AZ11" s="23">
        <f>SUMIFS(ДДС_Поступление!$I:$I,ДДС_Поступление!$D:$D,$A11,ДДС_Поступление!$C:$C,AZ$3)</f>
        <v>0</v>
      </c>
      <c r="BA11" s="23">
        <f>SUMIFS(ДДС_Поступление!$I:$I,ДДС_Поступление!$D:$D,$A11,ДДС_Поступление!$C:$C,BA$3)</f>
        <v>0</v>
      </c>
      <c r="BB11" s="41">
        <f>AY11+AZ11+BA11</f>
        <v>0</v>
      </c>
      <c r="BC11" s="23">
        <f>SUMIFS(ДДС_Поступление!$I:$I,ДДС_Поступление!$D:$D,$A11,ДДС_Поступление!$C:$C,BC$3)</f>
        <v>0</v>
      </c>
      <c r="BD11" s="23">
        <f>SUMIFS(ДДС_Поступление!$I:$I,ДДС_Поступление!$D:$D,$A11,ДДС_Поступление!$C:$C,BD$3)</f>
        <v>0</v>
      </c>
      <c r="BE11" s="23">
        <f>SUMIFS(ДДС_Поступление!$I:$I,ДДС_Поступление!$D:$D,$A11,ДДС_Поступление!$C:$C,BE$3)</f>
        <v>0</v>
      </c>
      <c r="BF11" s="41">
        <f>BC11+BD11+BE11</f>
        <v>0</v>
      </c>
      <c r="BG11" s="41">
        <f>BB11+BF11</f>
        <v>0</v>
      </c>
      <c r="BH11" s="23">
        <f>SUMIFS(ДДС_Поступление!$I:$I,ДДС_Поступление!$D:$D,$A11,ДДС_Поступление!$C:$C,BH$3)</f>
        <v>0</v>
      </c>
      <c r="BI11" s="23">
        <f>SUMIFS(ДДС_Поступление!$I:$I,ДДС_Поступление!$D:$D,$A11,ДДС_Поступление!$C:$C,BI$3)</f>
        <v>0</v>
      </c>
      <c r="BJ11" s="23">
        <f>SUMIFS(ДДС_Поступление!$I:$I,ДДС_Поступление!$D:$D,$A11,ДДС_Поступление!$C:$C,BJ$3)</f>
        <v>0</v>
      </c>
      <c r="BK11" s="41">
        <f>BH11+BI11+BJ11</f>
        <v>0</v>
      </c>
      <c r="BL11" s="41">
        <f>BG11+BK11</f>
        <v>0</v>
      </c>
      <c r="BM11" s="23">
        <f>SUMIFS(ДДС_Поступление!$I:$I,ДДС_Поступление!$D:$D,$A11,ДДС_Поступление!$C:$C,BM$3)</f>
        <v>0</v>
      </c>
      <c r="BN11" s="23">
        <f>SUMIFS(ДДС_Поступление!$I:$I,ДДС_Поступление!$D:$D,$A11,ДДС_Поступление!$C:$C,BN$3)</f>
        <v>0</v>
      </c>
      <c r="BO11" s="23">
        <f>SUMIFS(ДДС_Поступление!$I:$I,ДДС_Поступление!$D:$D,$A11,ДДС_Поступление!$C:$C,BO$3)</f>
        <v>0</v>
      </c>
      <c r="BP11" s="41">
        <f>BM11+BN11+BO11</f>
        <v>0</v>
      </c>
      <c r="BQ11" s="41">
        <f>BL11+BP11</f>
        <v>0</v>
      </c>
      <c r="BS11" s="23">
        <f>SUMIFS(ДДС_Поступление!$I:$I,ДДС_Поступление!$D:$D,$A11,ДДС_Поступление!$C:$C,BS$3)</f>
        <v>0</v>
      </c>
      <c r="BT11" s="23">
        <f>SUMIFS(ДДС_Поступление!$I:$I,ДДС_Поступление!$D:$D,$A11,ДДС_Поступление!$C:$C,BT$3)</f>
        <v>0</v>
      </c>
      <c r="BU11" s="23">
        <f>SUMIFS(ДДС_Поступление!$I:$I,ДДС_Поступление!$D:$D,$A11,ДДС_Поступление!$C:$C,BU$3)</f>
        <v>0</v>
      </c>
      <c r="BV11" s="41">
        <f>BS11+BT11+BU11</f>
        <v>0</v>
      </c>
      <c r="BW11" s="23">
        <f>SUMIFS(ДДС_Поступление!$I:$I,ДДС_Поступление!$D:$D,$A11,ДДС_Поступление!$C:$C,BW$3)</f>
        <v>0</v>
      </c>
      <c r="BX11" s="23">
        <f>SUMIFS(ДДС_Поступление!$I:$I,ДДС_Поступление!$D:$D,$A11,ДДС_Поступление!$C:$C,BX$3)</f>
        <v>0</v>
      </c>
      <c r="BY11" s="23">
        <f>SUMIFS(ДДС_Поступление!$I:$I,ДДС_Поступление!$D:$D,$A11,ДДС_Поступление!$C:$C,BY$3)</f>
        <v>0</v>
      </c>
      <c r="BZ11" s="41">
        <f>BW11+BX11+BY11</f>
        <v>0</v>
      </c>
      <c r="CA11" s="41">
        <f>BV11+BZ11</f>
        <v>0</v>
      </c>
      <c r="CB11" s="23">
        <f>SUMIFS(ДДС_Поступление!$I:$I,ДДС_Поступление!$D:$D,$A11,ДДС_Поступление!$C:$C,CB$3)</f>
        <v>0</v>
      </c>
      <c r="CC11" s="23">
        <f>SUMIFS(ДДС_Поступление!$I:$I,ДДС_Поступление!$D:$D,$A11,ДДС_Поступление!$C:$C,CC$3)</f>
        <v>0</v>
      </c>
      <c r="CD11" s="23">
        <f>SUMIFS(ДДС_Поступление!$I:$I,ДДС_Поступление!$D:$D,$A11,ДДС_Поступление!$C:$C,CD$3)</f>
        <v>0</v>
      </c>
      <c r="CE11" s="41">
        <f>CB11+CC11+CD11</f>
        <v>0</v>
      </c>
      <c r="CF11" s="41">
        <f>CA11+CE11</f>
        <v>0</v>
      </c>
      <c r="CG11" s="23">
        <f>SUMIFS(ДДС_Поступление!$I:$I,ДДС_Поступление!$D:$D,$A11,ДДС_Поступление!$C:$C,CG$3)</f>
        <v>0</v>
      </c>
      <c r="CH11" s="23">
        <f>SUMIFS(ДДС_Поступление!$I:$I,ДДС_Поступление!$D:$D,$A11,ДДС_Поступление!$C:$C,CH$3)</f>
        <v>0</v>
      </c>
      <c r="CI11" s="23">
        <f>SUMIFS(ДДС_Поступление!$I:$I,ДДС_Поступление!$D:$D,$A11,ДДС_Поступление!$C:$C,CI$3)</f>
        <v>0</v>
      </c>
      <c r="CJ11" s="41">
        <f>CG11+CH11+CI11</f>
        <v>0</v>
      </c>
      <c r="CK11" s="41">
        <f>CF11+CJ11</f>
        <v>0</v>
      </c>
      <c r="CM11" s="23">
        <f>SUMIFS(ДДС_Поступление!$I:$I,ДДС_Поступление!$D:$D,$A11,ДДС_Поступление!$C:$C,CM$3)</f>
        <v>0</v>
      </c>
      <c r="CN11" s="23">
        <f>SUMIFS(ДДС_Поступление!$I:$I,ДДС_Поступление!$D:$D,$A11,ДДС_Поступление!$C:$C,CN$3)</f>
        <v>0</v>
      </c>
      <c r="CO11" s="23">
        <f>SUMIFS(ДДС_Поступление!$I:$I,ДДС_Поступление!$D:$D,$A11,ДДС_Поступление!$C:$C,CO$3)</f>
        <v>0</v>
      </c>
      <c r="CP11" s="41">
        <f>CM11+CN11+CO11</f>
        <v>0</v>
      </c>
      <c r="CQ11" s="23">
        <f>SUMIFS(ДДС_Поступление!$I:$I,ДДС_Поступление!$D:$D,$A11,ДДС_Поступление!$C:$C,CQ$3)</f>
        <v>0</v>
      </c>
      <c r="CR11" s="23">
        <f>SUMIFS(ДДС_Поступление!$I:$I,ДДС_Поступление!$D:$D,$A11,ДДС_Поступление!$C:$C,CR$3)</f>
        <v>0</v>
      </c>
      <c r="CS11" s="23">
        <f>SUMIFS(ДДС_Поступление!$I:$I,ДДС_Поступление!$D:$D,$A11,ДДС_Поступление!$C:$C,CS$3)</f>
        <v>0</v>
      </c>
      <c r="CT11" s="41">
        <f>CQ11+CR11+CS11</f>
        <v>0</v>
      </c>
      <c r="CU11" s="41">
        <f>CP11+CT11</f>
        <v>0</v>
      </c>
      <c r="CV11" s="23">
        <f>SUMIFS(ДДС_Поступление!$I:$I,ДДС_Поступление!$D:$D,$A11,ДДС_Поступление!$C:$C,CV$3)</f>
        <v>0</v>
      </c>
      <c r="CW11" s="23">
        <f>SUMIFS(ДДС_Поступление!$I:$I,ДДС_Поступление!$D:$D,$A11,ДДС_Поступление!$C:$C,CW$3)</f>
        <v>0</v>
      </c>
      <c r="CX11" s="23">
        <f>SUMIFS(ДДС_Поступление!$I:$I,ДДС_Поступление!$D:$D,$A11,ДДС_Поступление!$C:$C,CX$3)</f>
        <v>0</v>
      </c>
      <c r="CY11" s="41">
        <f>CV11+CW11+CX11</f>
        <v>0</v>
      </c>
      <c r="CZ11" s="41">
        <f>CU11+CY11</f>
        <v>0</v>
      </c>
      <c r="DA11" s="23">
        <f>SUMIFS(ДДС_Поступление!$I:$I,ДДС_Поступление!$D:$D,$A11,ДДС_Поступление!$C:$C,DA$3)</f>
        <v>0</v>
      </c>
      <c r="DB11" s="23">
        <f>SUMIFS(ДДС_Поступление!$I:$I,ДДС_Поступление!$D:$D,$A11,ДДС_Поступление!$C:$C,DB$3)</f>
        <v>0</v>
      </c>
      <c r="DC11" s="23">
        <f>SUMIFS(ДДС_Поступление!$I:$I,ДДС_Поступление!$D:$D,$A11,ДДС_Поступление!$C:$C,DC$3)</f>
        <v>0</v>
      </c>
      <c r="DD11" s="41">
        <f>DA11+DB11+DC11</f>
        <v>0</v>
      </c>
      <c r="DE11" s="41">
        <f>CZ11+DD11</f>
        <v>0</v>
      </c>
    </row>
    <row r="12" spans="1:109" s="12" customFormat="1" ht="10.199999999999999" x14ac:dyDescent="0.2">
      <c r="A12" s="11" t="s">
        <v>180</v>
      </c>
      <c r="B12" s="11" t="str">
        <f>F12&amp;A12</f>
        <v>Облачное хранилище для строительной компании с функцией архивации 201077 Сопровождение ИТ-услуг</v>
      </c>
      <c r="E12" s="20">
        <v>201077</v>
      </c>
      <c r="F12" s="21" t="str">
        <f>'Карточка проекта'!$B$1</f>
        <v xml:space="preserve">Облачное хранилище для строительной компании с функцией архивации </v>
      </c>
      <c r="G12" s="43" t="s">
        <v>204</v>
      </c>
      <c r="I12" s="41">
        <f t="shared" ref="I12:I31" si="12">AC12+AW12+BQ12+CK12+DE12</f>
        <v>0</v>
      </c>
      <c r="K12" s="23">
        <f>SUMIFS(ДДС_Поступление!$I:$I,ДДС_Поступление!$D:$D,$A12,ДДС_Поступление!$C:$C,K$3)</f>
        <v>0</v>
      </c>
      <c r="L12" s="23">
        <f>SUMIFS(ДДС_Поступление!$I:$I,ДДС_Поступление!$D:$D,$A12,ДДС_Поступление!$C:$C,L$3)</f>
        <v>0</v>
      </c>
      <c r="M12" s="23">
        <f>SUMIFS(ДДС_Поступление!$I:$I,ДДС_Поступление!$D:$D,$A12,ДДС_Поступление!$C:$C,M$3)</f>
        <v>0</v>
      </c>
      <c r="N12" s="41">
        <f>K12+L12+M12</f>
        <v>0</v>
      </c>
      <c r="O12" s="23">
        <f>SUMIFS(ДДС_Поступление!$I:$I,ДДС_Поступление!$D:$D,$A12,ДДС_Поступление!$C:$C,O$3)</f>
        <v>0</v>
      </c>
      <c r="P12" s="23">
        <f>SUMIFS(ДДС_Поступление!$I:$I,ДДС_Поступление!$D:$D,$A12,ДДС_Поступление!$C:$C,P$3)</f>
        <v>0</v>
      </c>
      <c r="Q12" s="23">
        <f>SUMIFS(ДДС_Поступление!$I:$I,ДДС_Поступление!$D:$D,$A12,ДДС_Поступление!$C:$C,Q$3)</f>
        <v>0</v>
      </c>
      <c r="R12" s="41">
        <f>O12+P12+Q12</f>
        <v>0</v>
      </c>
      <c r="S12" s="41">
        <f>N12+R12</f>
        <v>0</v>
      </c>
      <c r="T12" s="23">
        <f>SUMIFS(ДДС_Поступление!$I:$I,ДДС_Поступление!$D:$D,$A12,ДДС_Поступление!$C:$C,T$3)</f>
        <v>0</v>
      </c>
      <c r="U12" s="23">
        <f>SUMIFS(ДДС_Поступление!$I:$I,ДДС_Поступление!$D:$D,$A12,ДДС_Поступление!$C:$C,U$3)</f>
        <v>0</v>
      </c>
      <c r="V12" s="23">
        <f>SUMIFS(ДДС_Поступление!$I:$I,ДДС_Поступление!$D:$D,$A12,ДДС_Поступление!$C:$C,V$3)</f>
        <v>0</v>
      </c>
      <c r="W12" s="41">
        <f>T12+U12+V12</f>
        <v>0</v>
      </c>
      <c r="X12" s="41">
        <f>S12+W12</f>
        <v>0</v>
      </c>
      <c r="Y12" s="23">
        <f>SUMIFS(ДДС_Поступление!$I:$I,ДДС_Поступление!$D:$D,$A12,ДДС_Поступление!$C:$C,Y$3)</f>
        <v>0</v>
      </c>
      <c r="Z12" s="23">
        <f>SUMIFS(ДДС_Поступление!$I:$I,ДДС_Поступление!$D:$D,$A12,ДДС_Поступление!$C:$C,Z$3)</f>
        <v>0</v>
      </c>
      <c r="AA12" s="23">
        <f>SUMIFS(ДДС_Поступление!$I:$I,ДДС_Поступление!$D:$D,$A12,ДДС_Поступление!$C:$C,AA$3)</f>
        <v>0</v>
      </c>
      <c r="AB12" s="41">
        <f>Y12+Z12+AA12</f>
        <v>0</v>
      </c>
      <c r="AC12" s="41">
        <f>X12+AB12</f>
        <v>0</v>
      </c>
      <c r="AE12" s="23">
        <f>SUMIFS(ДДС_Поступление!$I:$I,ДДС_Поступление!$D:$D,$A12,ДДС_Поступление!$C:$C,AE$3)</f>
        <v>0</v>
      </c>
      <c r="AF12" s="23">
        <f>SUMIFS(ДДС_Поступление!$I:$I,ДДС_Поступление!$D:$D,$A12,ДДС_Поступление!$C:$C,AF$3)</f>
        <v>0</v>
      </c>
      <c r="AG12" s="23">
        <f>SUMIFS(ДДС_Поступление!$I:$I,ДДС_Поступление!$D:$D,$A12,ДДС_Поступление!$C:$C,AG$3)</f>
        <v>0</v>
      </c>
      <c r="AH12" s="41">
        <f>AE12+AF12+AG12</f>
        <v>0</v>
      </c>
      <c r="AI12" s="23">
        <f>SUMIFS(ДДС_Поступление!$I:$I,ДДС_Поступление!$D:$D,$A12,ДДС_Поступление!$C:$C,AI$3)</f>
        <v>0</v>
      </c>
      <c r="AJ12" s="23">
        <f>SUMIFS(ДДС_Поступление!$I:$I,ДДС_Поступление!$D:$D,$A12,ДДС_Поступление!$C:$C,AJ$3)</f>
        <v>0</v>
      </c>
      <c r="AK12" s="23">
        <f>SUMIFS(ДДС_Поступление!$I:$I,ДДС_Поступление!$D:$D,$A12,ДДС_Поступление!$C:$C,AK$3)</f>
        <v>0</v>
      </c>
      <c r="AL12" s="41">
        <f>AI12+AJ12+AK12</f>
        <v>0</v>
      </c>
      <c r="AM12" s="41">
        <f>AH12+AL12</f>
        <v>0</v>
      </c>
      <c r="AN12" s="23">
        <f>SUMIFS(ДДС_Поступление!$I:$I,ДДС_Поступление!$D:$D,$A12,ДДС_Поступление!$C:$C,AN$3)</f>
        <v>0</v>
      </c>
      <c r="AO12" s="23">
        <f>SUMIFS(ДДС_Поступление!$I:$I,ДДС_Поступление!$D:$D,$A12,ДДС_Поступление!$C:$C,AO$3)</f>
        <v>0</v>
      </c>
      <c r="AP12" s="23">
        <f>SUMIFS(ДДС_Поступление!$I:$I,ДДС_Поступление!$D:$D,$A12,ДДС_Поступление!$C:$C,AP$3)</f>
        <v>0</v>
      </c>
      <c r="AQ12" s="41">
        <f>AN12+AO12+AP12</f>
        <v>0</v>
      </c>
      <c r="AR12" s="41">
        <f>AM12+AQ12</f>
        <v>0</v>
      </c>
      <c r="AS12" s="23">
        <f>SUMIFS(ДДС_Поступление!$I:$I,ДДС_Поступление!$D:$D,$A12,ДДС_Поступление!$C:$C,AS$3)</f>
        <v>0</v>
      </c>
      <c r="AT12" s="23">
        <f>SUMIFS(ДДС_Поступление!$I:$I,ДДС_Поступление!$D:$D,$A12,ДДС_Поступление!$C:$C,AT$3)</f>
        <v>0</v>
      </c>
      <c r="AU12" s="23">
        <f>SUMIFS(ДДС_Поступление!$I:$I,ДДС_Поступление!$D:$D,$A12,ДДС_Поступление!$C:$C,AU$3)</f>
        <v>0</v>
      </c>
      <c r="AV12" s="41">
        <f>AS12+AT12+AU12</f>
        <v>0</v>
      </c>
      <c r="AW12" s="41">
        <f>AR12+AV12</f>
        <v>0</v>
      </c>
      <c r="AY12" s="23">
        <f>SUMIFS(ДДС_Поступление!$I:$I,ДДС_Поступление!$D:$D,$A12,ДДС_Поступление!$C:$C,AY$3)</f>
        <v>0</v>
      </c>
      <c r="AZ12" s="23">
        <f>SUMIFS(ДДС_Поступление!$I:$I,ДДС_Поступление!$D:$D,$A12,ДДС_Поступление!$C:$C,AZ$3)</f>
        <v>0</v>
      </c>
      <c r="BA12" s="23">
        <f>SUMIFS(ДДС_Поступление!$I:$I,ДДС_Поступление!$D:$D,$A12,ДДС_Поступление!$C:$C,BA$3)</f>
        <v>0</v>
      </c>
      <c r="BB12" s="41">
        <f>AY12+AZ12+BA12</f>
        <v>0</v>
      </c>
      <c r="BC12" s="23">
        <f>SUMIFS(ДДС_Поступление!$I:$I,ДДС_Поступление!$D:$D,$A12,ДДС_Поступление!$C:$C,BC$3)</f>
        <v>0</v>
      </c>
      <c r="BD12" s="23">
        <f>SUMIFS(ДДС_Поступление!$I:$I,ДДС_Поступление!$D:$D,$A12,ДДС_Поступление!$C:$C,BD$3)</f>
        <v>0</v>
      </c>
      <c r="BE12" s="23">
        <f>SUMIFS(ДДС_Поступление!$I:$I,ДДС_Поступление!$D:$D,$A12,ДДС_Поступление!$C:$C,BE$3)</f>
        <v>0</v>
      </c>
      <c r="BF12" s="41">
        <f>BC12+BD12+BE12</f>
        <v>0</v>
      </c>
      <c r="BG12" s="41">
        <f>BB12+BF12</f>
        <v>0</v>
      </c>
      <c r="BH12" s="23">
        <f>SUMIFS(ДДС_Поступление!$I:$I,ДДС_Поступление!$D:$D,$A12,ДДС_Поступление!$C:$C,BH$3)</f>
        <v>0</v>
      </c>
      <c r="BI12" s="23">
        <f>SUMIFS(ДДС_Поступление!$I:$I,ДДС_Поступление!$D:$D,$A12,ДДС_Поступление!$C:$C,BI$3)</f>
        <v>0</v>
      </c>
      <c r="BJ12" s="23">
        <f>SUMIFS(ДДС_Поступление!$I:$I,ДДС_Поступление!$D:$D,$A12,ДДС_Поступление!$C:$C,BJ$3)</f>
        <v>0</v>
      </c>
      <c r="BK12" s="41">
        <f>BH12+BI12+BJ12</f>
        <v>0</v>
      </c>
      <c r="BL12" s="41">
        <f>BG12+BK12</f>
        <v>0</v>
      </c>
      <c r="BM12" s="23">
        <f>SUMIFS(ДДС_Поступление!$I:$I,ДДС_Поступление!$D:$D,$A12,ДДС_Поступление!$C:$C,BM$3)</f>
        <v>0</v>
      </c>
      <c r="BN12" s="23">
        <f>SUMIFS(ДДС_Поступление!$I:$I,ДДС_Поступление!$D:$D,$A12,ДДС_Поступление!$C:$C,BN$3)</f>
        <v>0</v>
      </c>
      <c r="BO12" s="23">
        <f>SUMIFS(ДДС_Поступление!$I:$I,ДДС_Поступление!$D:$D,$A12,ДДС_Поступление!$C:$C,BO$3)</f>
        <v>0</v>
      </c>
      <c r="BP12" s="41">
        <f>BM12+BN12+BO12</f>
        <v>0</v>
      </c>
      <c r="BQ12" s="41">
        <f>BL12+BP12</f>
        <v>0</v>
      </c>
      <c r="BS12" s="23">
        <f>SUMIFS(ДДС_Поступление!$I:$I,ДДС_Поступление!$D:$D,$A12,ДДС_Поступление!$C:$C,BS$3)</f>
        <v>0</v>
      </c>
      <c r="BT12" s="23">
        <f>SUMIFS(ДДС_Поступление!$I:$I,ДДС_Поступление!$D:$D,$A12,ДДС_Поступление!$C:$C,BT$3)</f>
        <v>0</v>
      </c>
      <c r="BU12" s="23">
        <f>SUMIFS(ДДС_Поступление!$I:$I,ДДС_Поступление!$D:$D,$A12,ДДС_Поступление!$C:$C,BU$3)</f>
        <v>0</v>
      </c>
      <c r="BV12" s="41">
        <f>BS12+BT12+BU12</f>
        <v>0</v>
      </c>
      <c r="BW12" s="23">
        <f>SUMIFS(ДДС_Поступление!$I:$I,ДДС_Поступление!$D:$D,$A12,ДДС_Поступление!$C:$C,BW$3)</f>
        <v>0</v>
      </c>
      <c r="BX12" s="23">
        <f>SUMIFS(ДДС_Поступление!$I:$I,ДДС_Поступление!$D:$D,$A12,ДДС_Поступление!$C:$C,BX$3)</f>
        <v>0</v>
      </c>
      <c r="BY12" s="23">
        <f>SUMIFS(ДДС_Поступление!$I:$I,ДДС_Поступление!$D:$D,$A12,ДДС_Поступление!$C:$C,BY$3)</f>
        <v>0</v>
      </c>
      <c r="BZ12" s="41">
        <f>BW12+BX12+BY12</f>
        <v>0</v>
      </c>
      <c r="CA12" s="41">
        <f>BV12+BZ12</f>
        <v>0</v>
      </c>
      <c r="CB12" s="23">
        <f>SUMIFS(ДДС_Поступление!$I:$I,ДДС_Поступление!$D:$D,$A12,ДДС_Поступление!$C:$C,CB$3)</f>
        <v>0</v>
      </c>
      <c r="CC12" s="23">
        <f>SUMIFS(ДДС_Поступление!$I:$I,ДДС_Поступление!$D:$D,$A12,ДДС_Поступление!$C:$C,CC$3)</f>
        <v>0</v>
      </c>
      <c r="CD12" s="23">
        <f>SUMIFS(ДДС_Поступление!$I:$I,ДДС_Поступление!$D:$D,$A12,ДДС_Поступление!$C:$C,CD$3)</f>
        <v>0</v>
      </c>
      <c r="CE12" s="41">
        <f>CB12+CC12+CD12</f>
        <v>0</v>
      </c>
      <c r="CF12" s="41">
        <f>CA12+CE12</f>
        <v>0</v>
      </c>
      <c r="CG12" s="23">
        <f>SUMIFS(ДДС_Поступление!$I:$I,ДДС_Поступление!$D:$D,$A12,ДДС_Поступление!$C:$C,CG$3)</f>
        <v>0</v>
      </c>
      <c r="CH12" s="23">
        <f>SUMIFS(ДДС_Поступление!$I:$I,ДДС_Поступление!$D:$D,$A12,ДДС_Поступление!$C:$C,CH$3)</f>
        <v>0</v>
      </c>
      <c r="CI12" s="23">
        <f>SUMIFS(ДДС_Поступление!$I:$I,ДДС_Поступление!$D:$D,$A12,ДДС_Поступление!$C:$C,CI$3)</f>
        <v>0</v>
      </c>
      <c r="CJ12" s="41">
        <f>CG12+CH12+CI12</f>
        <v>0</v>
      </c>
      <c r="CK12" s="41">
        <f>CF12+CJ12</f>
        <v>0</v>
      </c>
      <c r="CM12" s="23">
        <f>SUMIFS(ДДС_Поступление!$I:$I,ДДС_Поступление!$D:$D,$A12,ДДС_Поступление!$C:$C,CM$3)</f>
        <v>0</v>
      </c>
      <c r="CN12" s="23">
        <f>SUMIFS(ДДС_Поступление!$I:$I,ДДС_Поступление!$D:$D,$A12,ДДС_Поступление!$C:$C,CN$3)</f>
        <v>0</v>
      </c>
      <c r="CO12" s="23">
        <f>SUMIFS(ДДС_Поступление!$I:$I,ДДС_Поступление!$D:$D,$A12,ДДС_Поступление!$C:$C,CO$3)</f>
        <v>0</v>
      </c>
      <c r="CP12" s="41">
        <f>CM12+CN12+CO12</f>
        <v>0</v>
      </c>
      <c r="CQ12" s="23">
        <f>SUMIFS(ДДС_Поступление!$I:$I,ДДС_Поступление!$D:$D,$A12,ДДС_Поступление!$C:$C,CQ$3)</f>
        <v>0</v>
      </c>
      <c r="CR12" s="23">
        <f>SUMIFS(ДДС_Поступление!$I:$I,ДДС_Поступление!$D:$D,$A12,ДДС_Поступление!$C:$C,CR$3)</f>
        <v>0</v>
      </c>
      <c r="CS12" s="23">
        <f>SUMIFS(ДДС_Поступление!$I:$I,ДДС_Поступление!$D:$D,$A12,ДДС_Поступление!$C:$C,CS$3)</f>
        <v>0</v>
      </c>
      <c r="CT12" s="41">
        <f>CQ12+CR12+CS12</f>
        <v>0</v>
      </c>
      <c r="CU12" s="41">
        <f>CP12+CT12</f>
        <v>0</v>
      </c>
      <c r="CV12" s="23">
        <f>SUMIFS(ДДС_Поступление!$I:$I,ДДС_Поступление!$D:$D,$A12,ДДС_Поступление!$C:$C,CV$3)</f>
        <v>0</v>
      </c>
      <c r="CW12" s="23">
        <f>SUMIFS(ДДС_Поступление!$I:$I,ДДС_Поступление!$D:$D,$A12,ДДС_Поступление!$C:$C,CW$3)</f>
        <v>0</v>
      </c>
      <c r="CX12" s="23">
        <f>SUMIFS(ДДС_Поступление!$I:$I,ДДС_Поступление!$D:$D,$A12,ДДС_Поступление!$C:$C,CX$3)</f>
        <v>0</v>
      </c>
      <c r="CY12" s="41">
        <f>CV12+CW12+CX12</f>
        <v>0</v>
      </c>
      <c r="CZ12" s="41">
        <f>CU12+CY12</f>
        <v>0</v>
      </c>
      <c r="DA12" s="23">
        <f>SUMIFS(ДДС_Поступление!$I:$I,ДДС_Поступление!$D:$D,$A12,ДДС_Поступление!$C:$C,DA$3)</f>
        <v>0</v>
      </c>
      <c r="DB12" s="23">
        <f>SUMIFS(ДДС_Поступление!$I:$I,ДДС_Поступление!$D:$D,$A12,ДДС_Поступление!$C:$C,DB$3)</f>
        <v>0</v>
      </c>
      <c r="DC12" s="23">
        <f>SUMIFS(ДДС_Поступление!$I:$I,ДДС_Поступление!$D:$D,$A12,ДДС_Поступление!$C:$C,DC$3)</f>
        <v>0</v>
      </c>
      <c r="DD12" s="41">
        <f>DA12+DB12+DC12</f>
        <v>0</v>
      </c>
      <c r="DE12" s="41">
        <f>CZ12+DD12</f>
        <v>0</v>
      </c>
    </row>
    <row r="13" spans="1:109" s="12" customFormat="1" ht="10.199999999999999" x14ac:dyDescent="0.2">
      <c r="A13" s="11" t="s">
        <v>178</v>
      </c>
      <c r="B13" s="11" t="str">
        <f>F13&amp;A13</f>
        <v>Облачное хранилище для строительной компании с функцией архивации 201047 Внедрение ИТ-услуг</v>
      </c>
      <c r="E13" s="20">
        <v>201047</v>
      </c>
      <c r="F13" s="21" t="str">
        <f>'Карточка проекта'!$B$1</f>
        <v xml:space="preserve">Облачное хранилище для строительной компании с функцией архивации </v>
      </c>
      <c r="G13" s="43" t="s">
        <v>205</v>
      </c>
      <c r="I13" s="41">
        <f t="shared" si="12"/>
        <v>18000000</v>
      </c>
      <c r="K13" s="23">
        <f>SUMIFS(ДДС_Поступление!$I:$I,ДДС_Поступление!$D:$D,$A13,ДДС_Поступление!$C:$C,K$3)</f>
        <v>0</v>
      </c>
      <c r="L13" s="23">
        <f>SUMIFS(ДДС_Поступление!$I:$I,ДДС_Поступление!$D:$D,$A13,ДДС_Поступление!$C:$C,L$3)</f>
        <v>0</v>
      </c>
      <c r="M13" s="23">
        <f>SUMIFS(ДДС_Поступление!$I:$I,ДДС_Поступление!$D:$D,$A13,ДДС_Поступление!$C:$C,M$3)</f>
        <v>0</v>
      </c>
      <c r="N13" s="41">
        <f>K13+L13+M13</f>
        <v>0</v>
      </c>
      <c r="O13" s="23">
        <f>SUMIFS(ДДС_Поступление!$I:$I,ДДС_Поступление!$D:$D,$A13,ДДС_Поступление!$C:$C,O$3)</f>
        <v>0</v>
      </c>
      <c r="P13" s="23">
        <f>SUMIFS(ДДС_Поступление!$I:$I,ДДС_Поступление!$D:$D,$A13,ДДС_Поступление!$C:$C,P$3)</f>
        <v>0</v>
      </c>
      <c r="Q13" s="23">
        <f>SUMIFS(ДДС_Поступление!$I:$I,ДДС_Поступление!$D:$D,$A13,ДДС_Поступление!$C:$C,Q$3)</f>
        <v>0</v>
      </c>
      <c r="R13" s="41">
        <f>O13+P13+Q13</f>
        <v>0</v>
      </c>
      <c r="S13" s="41">
        <f>N13+R13</f>
        <v>0</v>
      </c>
      <c r="T13" s="23">
        <f>SUMIFS(ДДС_Поступление!$I:$I,ДДС_Поступление!$D:$D,$A13,ДДС_Поступление!$C:$C,T$3)</f>
        <v>0</v>
      </c>
      <c r="U13" s="23">
        <f>SUMIFS(ДДС_Поступление!$I:$I,ДДС_Поступление!$D:$D,$A13,ДДС_Поступление!$C:$C,U$3)</f>
        <v>0</v>
      </c>
      <c r="V13" s="23">
        <f>SUMIFS(ДДС_Поступление!$I:$I,ДДС_Поступление!$D:$D,$A13,ДДС_Поступление!$C:$C,V$3)</f>
        <v>0</v>
      </c>
      <c r="W13" s="41">
        <f>T13+U13+V13</f>
        <v>0</v>
      </c>
      <c r="X13" s="41">
        <f>S13+W13</f>
        <v>0</v>
      </c>
      <c r="Y13" s="23">
        <f>SUMIFS(ДДС_Поступление!$I:$I,ДДС_Поступление!$D:$D,$A13,ДДС_Поступление!$C:$C,Y$3)</f>
        <v>0</v>
      </c>
      <c r="Z13" s="23">
        <f>SUMIFS(ДДС_Поступление!$I:$I,ДДС_Поступление!$D:$D,$A13,ДДС_Поступление!$C:$C,Z$3)</f>
        <v>12000000</v>
      </c>
      <c r="AA13" s="23">
        <f>SUMIFS(ДДС_Поступление!$I:$I,ДДС_Поступление!$D:$D,$A13,ДДС_Поступление!$C:$C,AA$3)</f>
        <v>0</v>
      </c>
      <c r="AB13" s="41">
        <f>Y13+Z13+AA13</f>
        <v>12000000</v>
      </c>
      <c r="AC13" s="41">
        <f>X13+AB13</f>
        <v>12000000</v>
      </c>
      <c r="AE13" s="23">
        <f>SUMIFS(ДДС_Поступление!$I:$I,ДДС_Поступление!$D:$D,$A13,ДДС_Поступление!$C:$C,AE$3)</f>
        <v>6000000</v>
      </c>
      <c r="AF13" s="23">
        <f>SUMIFS(ДДС_Поступление!$I:$I,ДДС_Поступление!$D:$D,$A13,ДДС_Поступление!$C:$C,AF$3)</f>
        <v>0</v>
      </c>
      <c r="AG13" s="23">
        <f>SUMIFS(ДДС_Поступление!$I:$I,ДДС_Поступление!$D:$D,$A13,ДДС_Поступление!$C:$C,AG$3)</f>
        <v>0</v>
      </c>
      <c r="AH13" s="41">
        <f>AE13+AF13+AG13</f>
        <v>6000000</v>
      </c>
      <c r="AI13" s="23">
        <f>SUMIFS(ДДС_Поступление!$I:$I,ДДС_Поступление!$D:$D,$A13,ДДС_Поступление!$C:$C,AI$3)</f>
        <v>0</v>
      </c>
      <c r="AJ13" s="23">
        <f>SUMIFS(ДДС_Поступление!$I:$I,ДДС_Поступление!$D:$D,$A13,ДДС_Поступление!$C:$C,AJ$3)</f>
        <v>0</v>
      </c>
      <c r="AK13" s="23">
        <f>SUMIFS(ДДС_Поступление!$I:$I,ДДС_Поступление!$D:$D,$A13,ДДС_Поступление!$C:$C,AK$3)</f>
        <v>0</v>
      </c>
      <c r="AL13" s="41">
        <f>AI13+AJ13+AK13</f>
        <v>0</v>
      </c>
      <c r="AM13" s="41">
        <f>AH13+AL13</f>
        <v>6000000</v>
      </c>
      <c r="AN13" s="23">
        <f>SUMIFS(ДДС_Поступление!$I:$I,ДДС_Поступление!$D:$D,$A13,ДДС_Поступление!$C:$C,AN$3)</f>
        <v>0</v>
      </c>
      <c r="AO13" s="23">
        <f>SUMIFS(ДДС_Поступление!$I:$I,ДДС_Поступление!$D:$D,$A13,ДДС_Поступление!$C:$C,AO$3)</f>
        <v>0</v>
      </c>
      <c r="AP13" s="23">
        <f>SUMIFS(ДДС_Поступление!$I:$I,ДДС_Поступление!$D:$D,$A13,ДДС_Поступление!$C:$C,AP$3)</f>
        <v>0</v>
      </c>
      <c r="AQ13" s="41">
        <f>AN13+AO13+AP13</f>
        <v>0</v>
      </c>
      <c r="AR13" s="41">
        <f>AM13+AQ13</f>
        <v>6000000</v>
      </c>
      <c r="AS13" s="23">
        <f>SUMIFS(ДДС_Поступление!$I:$I,ДДС_Поступление!$D:$D,$A13,ДДС_Поступление!$C:$C,AS$3)</f>
        <v>0</v>
      </c>
      <c r="AT13" s="23">
        <f>SUMIFS(ДДС_Поступление!$I:$I,ДДС_Поступление!$D:$D,$A13,ДДС_Поступление!$C:$C,AT$3)</f>
        <v>0</v>
      </c>
      <c r="AU13" s="23">
        <f>SUMIFS(ДДС_Поступление!$I:$I,ДДС_Поступление!$D:$D,$A13,ДДС_Поступление!$C:$C,AU$3)</f>
        <v>0</v>
      </c>
      <c r="AV13" s="41">
        <f>AS13+AT13+AU13</f>
        <v>0</v>
      </c>
      <c r="AW13" s="41">
        <f>AR13+AV13</f>
        <v>6000000</v>
      </c>
      <c r="AY13" s="23">
        <f>SUMIFS(ДДС_Поступление!$I:$I,ДДС_Поступление!$D:$D,$A13,ДДС_Поступление!$C:$C,AY$3)</f>
        <v>0</v>
      </c>
      <c r="AZ13" s="23">
        <f>SUMIFS(ДДС_Поступление!$I:$I,ДДС_Поступление!$D:$D,$A13,ДДС_Поступление!$C:$C,AZ$3)</f>
        <v>0</v>
      </c>
      <c r="BA13" s="23">
        <f>SUMIFS(ДДС_Поступление!$I:$I,ДДС_Поступление!$D:$D,$A13,ДДС_Поступление!$C:$C,BA$3)</f>
        <v>0</v>
      </c>
      <c r="BB13" s="41">
        <f>AY13+AZ13+BA13</f>
        <v>0</v>
      </c>
      <c r="BC13" s="23">
        <f>SUMIFS(ДДС_Поступление!$I:$I,ДДС_Поступление!$D:$D,$A13,ДДС_Поступление!$C:$C,BC$3)</f>
        <v>0</v>
      </c>
      <c r="BD13" s="23">
        <f>SUMIFS(ДДС_Поступление!$I:$I,ДДС_Поступление!$D:$D,$A13,ДДС_Поступление!$C:$C,BD$3)</f>
        <v>0</v>
      </c>
      <c r="BE13" s="23">
        <f>SUMIFS(ДДС_Поступление!$I:$I,ДДС_Поступление!$D:$D,$A13,ДДС_Поступление!$C:$C,BE$3)</f>
        <v>0</v>
      </c>
      <c r="BF13" s="41">
        <f>BC13+BD13+BE13</f>
        <v>0</v>
      </c>
      <c r="BG13" s="41">
        <f>BB13+BF13</f>
        <v>0</v>
      </c>
      <c r="BH13" s="23">
        <f>SUMIFS(ДДС_Поступление!$I:$I,ДДС_Поступление!$D:$D,$A13,ДДС_Поступление!$C:$C,BH$3)</f>
        <v>0</v>
      </c>
      <c r="BI13" s="23">
        <f>SUMIFS(ДДС_Поступление!$I:$I,ДДС_Поступление!$D:$D,$A13,ДДС_Поступление!$C:$C,BI$3)</f>
        <v>0</v>
      </c>
      <c r="BJ13" s="23">
        <f>SUMIFS(ДДС_Поступление!$I:$I,ДДС_Поступление!$D:$D,$A13,ДДС_Поступление!$C:$C,BJ$3)</f>
        <v>0</v>
      </c>
      <c r="BK13" s="41">
        <f>BH13+BI13+BJ13</f>
        <v>0</v>
      </c>
      <c r="BL13" s="41">
        <f>BG13+BK13</f>
        <v>0</v>
      </c>
      <c r="BM13" s="23">
        <f>SUMIFS(ДДС_Поступление!$I:$I,ДДС_Поступление!$D:$D,$A13,ДДС_Поступление!$C:$C,BM$3)</f>
        <v>0</v>
      </c>
      <c r="BN13" s="23">
        <f>SUMIFS(ДДС_Поступление!$I:$I,ДДС_Поступление!$D:$D,$A13,ДДС_Поступление!$C:$C,BN$3)</f>
        <v>0</v>
      </c>
      <c r="BO13" s="23">
        <f>SUMIFS(ДДС_Поступление!$I:$I,ДДС_Поступление!$D:$D,$A13,ДДС_Поступление!$C:$C,BO$3)</f>
        <v>0</v>
      </c>
      <c r="BP13" s="41">
        <f>BM13+BN13+BO13</f>
        <v>0</v>
      </c>
      <c r="BQ13" s="41">
        <f>BL13+BP13</f>
        <v>0</v>
      </c>
      <c r="BS13" s="23">
        <f>SUMIFS(ДДС_Поступление!$I:$I,ДДС_Поступление!$D:$D,$A13,ДДС_Поступление!$C:$C,BS$3)</f>
        <v>0</v>
      </c>
      <c r="BT13" s="23">
        <f>SUMIFS(ДДС_Поступление!$I:$I,ДДС_Поступление!$D:$D,$A13,ДДС_Поступление!$C:$C,BT$3)</f>
        <v>0</v>
      </c>
      <c r="BU13" s="23">
        <f>SUMIFS(ДДС_Поступление!$I:$I,ДДС_Поступление!$D:$D,$A13,ДДС_Поступление!$C:$C,BU$3)</f>
        <v>0</v>
      </c>
      <c r="BV13" s="41">
        <f>BS13+BT13+BU13</f>
        <v>0</v>
      </c>
      <c r="BW13" s="23">
        <f>SUMIFS(ДДС_Поступление!$I:$I,ДДС_Поступление!$D:$D,$A13,ДДС_Поступление!$C:$C,BW$3)</f>
        <v>0</v>
      </c>
      <c r="BX13" s="23">
        <f>SUMIFS(ДДС_Поступление!$I:$I,ДДС_Поступление!$D:$D,$A13,ДДС_Поступление!$C:$C,BX$3)</f>
        <v>0</v>
      </c>
      <c r="BY13" s="23">
        <f>SUMIFS(ДДС_Поступление!$I:$I,ДДС_Поступление!$D:$D,$A13,ДДС_Поступление!$C:$C,BY$3)</f>
        <v>0</v>
      </c>
      <c r="BZ13" s="41">
        <f>BW13+BX13+BY13</f>
        <v>0</v>
      </c>
      <c r="CA13" s="41">
        <f>BV13+BZ13</f>
        <v>0</v>
      </c>
      <c r="CB13" s="23">
        <f>SUMIFS(ДДС_Поступление!$I:$I,ДДС_Поступление!$D:$D,$A13,ДДС_Поступление!$C:$C,CB$3)</f>
        <v>0</v>
      </c>
      <c r="CC13" s="23">
        <f>SUMIFS(ДДС_Поступление!$I:$I,ДДС_Поступление!$D:$D,$A13,ДДС_Поступление!$C:$C,CC$3)</f>
        <v>0</v>
      </c>
      <c r="CD13" s="23">
        <f>SUMIFS(ДДС_Поступление!$I:$I,ДДС_Поступление!$D:$D,$A13,ДДС_Поступление!$C:$C,CD$3)</f>
        <v>0</v>
      </c>
      <c r="CE13" s="41">
        <f>CB13+CC13+CD13</f>
        <v>0</v>
      </c>
      <c r="CF13" s="41">
        <f>CA13+CE13</f>
        <v>0</v>
      </c>
      <c r="CG13" s="23">
        <f>SUMIFS(ДДС_Поступление!$I:$I,ДДС_Поступление!$D:$D,$A13,ДДС_Поступление!$C:$C,CG$3)</f>
        <v>0</v>
      </c>
      <c r="CH13" s="23">
        <f>SUMIFS(ДДС_Поступление!$I:$I,ДДС_Поступление!$D:$D,$A13,ДДС_Поступление!$C:$C,CH$3)</f>
        <v>0</v>
      </c>
      <c r="CI13" s="23">
        <f>SUMIFS(ДДС_Поступление!$I:$I,ДДС_Поступление!$D:$D,$A13,ДДС_Поступление!$C:$C,CI$3)</f>
        <v>0</v>
      </c>
      <c r="CJ13" s="41">
        <f>CG13+CH13+CI13</f>
        <v>0</v>
      </c>
      <c r="CK13" s="41">
        <f>CF13+CJ13</f>
        <v>0</v>
      </c>
      <c r="CM13" s="23">
        <f>SUMIFS(ДДС_Поступление!$I:$I,ДДС_Поступление!$D:$D,$A13,ДДС_Поступление!$C:$C,CM$3)</f>
        <v>0</v>
      </c>
      <c r="CN13" s="23">
        <f>SUMIFS(ДДС_Поступление!$I:$I,ДДС_Поступление!$D:$D,$A13,ДДС_Поступление!$C:$C,CN$3)</f>
        <v>0</v>
      </c>
      <c r="CO13" s="23">
        <f>SUMIFS(ДДС_Поступление!$I:$I,ДДС_Поступление!$D:$D,$A13,ДДС_Поступление!$C:$C,CO$3)</f>
        <v>0</v>
      </c>
      <c r="CP13" s="41">
        <f>CM13+CN13+CO13</f>
        <v>0</v>
      </c>
      <c r="CQ13" s="23">
        <f>SUMIFS(ДДС_Поступление!$I:$I,ДДС_Поступление!$D:$D,$A13,ДДС_Поступление!$C:$C,CQ$3)</f>
        <v>0</v>
      </c>
      <c r="CR13" s="23">
        <f>SUMIFS(ДДС_Поступление!$I:$I,ДДС_Поступление!$D:$D,$A13,ДДС_Поступление!$C:$C,CR$3)</f>
        <v>0</v>
      </c>
      <c r="CS13" s="23">
        <f>SUMIFS(ДДС_Поступление!$I:$I,ДДС_Поступление!$D:$D,$A13,ДДС_Поступление!$C:$C,CS$3)</f>
        <v>0</v>
      </c>
      <c r="CT13" s="41">
        <f>CQ13+CR13+CS13</f>
        <v>0</v>
      </c>
      <c r="CU13" s="41">
        <f>CP13+CT13</f>
        <v>0</v>
      </c>
      <c r="CV13" s="23">
        <f>SUMIFS(ДДС_Поступление!$I:$I,ДДС_Поступление!$D:$D,$A13,ДДС_Поступление!$C:$C,CV$3)</f>
        <v>0</v>
      </c>
      <c r="CW13" s="23">
        <f>SUMIFS(ДДС_Поступление!$I:$I,ДДС_Поступление!$D:$D,$A13,ДДС_Поступление!$C:$C,CW$3)</f>
        <v>0</v>
      </c>
      <c r="CX13" s="23">
        <f>SUMIFS(ДДС_Поступление!$I:$I,ДДС_Поступление!$D:$D,$A13,ДДС_Поступление!$C:$C,CX$3)</f>
        <v>0</v>
      </c>
      <c r="CY13" s="41">
        <f>CV13+CW13+CX13</f>
        <v>0</v>
      </c>
      <c r="CZ13" s="41">
        <f>CU13+CY13</f>
        <v>0</v>
      </c>
      <c r="DA13" s="23">
        <f>SUMIFS(ДДС_Поступление!$I:$I,ДДС_Поступление!$D:$D,$A13,ДДС_Поступление!$C:$C,DA$3)</f>
        <v>0</v>
      </c>
      <c r="DB13" s="23">
        <f>SUMIFS(ДДС_Поступление!$I:$I,ДДС_Поступление!$D:$D,$A13,ДДС_Поступление!$C:$C,DB$3)</f>
        <v>0</v>
      </c>
      <c r="DC13" s="23">
        <f>SUMIFS(ДДС_Поступление!$I:$I,ДДС_Поступление!$D:$D,$A13,ДДС_Поступление!$C:$C,DC$3)</f>
        <v>0</v>
      </c>
      <c r="DD13" s="41">
        <f>DA13+DB13+DC13</f>
        <v>0</v>
      </c>
      <c r="DE13" s="41">
        <f>CZ13+DD13</f>
        <v>0</v>
      </c>
    </row>
    <row r="14" spans="1:109" s="12" customFormat="1" ht="10.199999999999999" x14ac:dyDescent="0.2">
      <c r="A14" s="11" t="s">
        <v>192</v>
      </c>
      <c r="B14" s="11" t="str">
        <f>F14&amp;A14</f>
        <v>Облачное хранилище для строительной компании с функцией архивации 201057 Поставка ПО</v>
      </c>
      <c r="E14" s="20">
        <v>201057</v>
      </c>
      <c r="F14" s="21" t="str">
        <f>'Карточка проекта'!$B$1</f>
        <v xml:space="preserve">Облачное хранилище для строительной компании с функцией архивации </v>
      </c>
      <c r="G14" s="43" t="s">
        <v>206</v>
      </c>
      <c r="I14" s="41">
        <f t="shared" si="12"/>
        <v>3000000</v>
      </c>
      <c r="K14" s="23">
        <f>SUMIFS(ДДС_Поступление!$I:$I,ДДС_Поступление!$D:$D,$A14,ДДС_Поступление!$C:$C,K$3)</f>
        <v>0</v>
      </c>
      <c r="L14" s="23">
        <f>SUMIFS(ДДС_Поступление!$I:$I,ДДС_Поступление!$D:$D,$A14,ДДС_Поступление!$C:$C,L$3)</f>
        <v>0</v>
      </c>
      <c r="M14" s="23">
        <f>SUMIFS(ДДС_Поступление!$I:$I,ДДС_Поступление!$D:$D,$A14,ДДС_Поступление!$C:$C,M$3)</f>
        <v>0</v>
      </c>
      <c r="N14" s="41">
        <f>K14+L14+M14</f>
        <v>0</v>
      </c>
      <c r="O14" s="23">
        <f>SUMIFS(ДДС_Поступление!$I:$I,ДДС_Поступление!$D:$D,$A14,ДДС_Поступление!$C:$C,O$3)</f>
        <v>0</v>
      </c>
      <c r="P14" s="23">
        <f>SUMIFS(ДДС_Поступление!$I:$I,ДДС_Поступление!$D:$D,$A14,ДДС_Поступление!$C:$C,P$3)</f>
        <v>0</v>
      </c>
      <c r="Q14" s="23">
        <f>SUMIFS(ДДС_Поступление!$I:$I,ДДС_Поступление!$D:$D,$A14,ДДС_Поступление!$C:$C,Q$3)</f>
        <v>0</v>
      </c>
      <c r="R14" s="41">
        <f>O14+P14+Q14</f>
        <v>0</v>
      </c>
      <c r="S14" s="41">
        <f>N14+R14</f>
        <v>0</v>
      </c>
      <c r="T14" s="23">
        <f>SUMIFS(ДДС_Поступление!$I:$I,ДДС_Поступление!$D:$D,$A14,ДДС_Поступление!$C:$C,T$3)</f>
        <v>0</v>
      </c>
      <c r="U14" s="23">
        <f>SUMIFS(ДДС_Поступление!$I:$I,ДДС_Поступление!$D:$D,$A14,ДДС_Поступление!$C:$C,U$3)</f>
        <v>0</v>
      </c>
      <c r="V14" s="23">
        <f>SUMIFS(ДДС_Поступление!$I:$I,ДДС_Поступление!$D:$D,$A14,ДДС_Поступление!$C:$C,V$3)</f>
        <v>3000000</v>
      </c>
      <c r="W14" s="41">
        <f>T14+U14+V14</f>
        <v>3000000</v>
      </c>
      <c r="X14" s="41">
        <f>S14+W14</f>
        <v>3000000</v>
      </c>
      <c r="Y14" s="23">
        <f>SUMIFS(ДДС_Поступление!$I:$I,ДДС_Поступление!$D:$D,$A14,ДДС_Поступление!$C:$C,Y$3)</f>
        <v>0</v>
      </c>
      <c r="Z14" s="23">
        <f>SUMIFS(ДДС_Поступление!$I:$I,ДДС_Поступление!$D:$D,$A14,ДДС_Поступление!$C:$C,Z$3)</f>
        <v>0</v>
      </c>
      <c r="AA14" s="23">
        <f>SUMIFS(ДДС_Поступление!$I:$I,ДДС_Поступление!$D:$D,$A14,ДДС_Поступление!$C:$C,AA$3)</f>
        <v>0</v>
      </c>
      <c r="AB14" s="41">
        <f>Y14+Z14+AA14</f>
        <v>0</v>
      </c>
      <c r="AC14" s="41">
        <f>X14+AB14</f>
        <v>3000000</v>
      </c>
      <c r="AE14" s="23">
        <f>SUMIFS(ДДС_Поступление!$I:$I,ДДС_Поступление!$D:$D,$A14,ДДС_Поступление!$C:$C,AE$3)</f>
        <v>0</v>
      </c>
      <c r="AF14" s="23">
        <f>SUMIFS(ДДС_Поступление!$I:$I,ДДС_Поступление!$D:$D,$A14,ДДС_Поступление!$C:$C,AF$3)</f>
        <v>0</v>
      </c>
      <c r="AG14" s="23">
        <f>SUMIFS(ДДС_Поступление!$I:$I,ДДС_Поступление!$D:$D,$A14,ДДС_Поступление!$C:$C,AG$3)</f>
        <v>0</v>
      </c>
      <c r="AH14" s="41">
        <f>AE14+AF14+AG14</f>
        <v>0</v>
      </c>
      <c r="AI14" s="23">
        <f>SUMIFS(ДДС_Поступление!$I:$I,ДДС_Поступление!$D:$D,$A14,ДДС_Поступление!$C:$C,AI$3)</f>
        <v>0</v>
      </c>
      <c r="AJ14" s="23">
        <f>SUMIFS(ДДС_Поступление!$I:$I,ДДС_Поступление!$D:$D,$A14,ДДС_Поступление!$C:$C,AJ$3)</f>
        <v>0</v>
      </c>
      <c r="AK14" s="23">
        <f>SUMIFS(ДДС_Поступление!$I:$I,ДДС_Поступление!$D:$D,$A14,ДДС_Поступление!$C:$C,AK$3)</f>
        <v>0</v>
      </c>
      <c r="AL14" s="41">
        <f>AI14+AJ14+AK14</f>
        <v>0</v>
      </c>
      <c r="AM14" s="41">
        <f>AH14+AL14</f>
        <v>0</v>
      </c>
      <c r="AN14" s="23">
        <f>SUMIFS(ДДС_Поступление!$I:$I,ДДС_Поступление!$D:$D,$A14,ДДС_Поступление!$C:$C,AN$3)</f>
        <v>0</v>
      </c>
      <c r="AO14" s="23">
        <f>SUMIFS(ДДС_Поступление!$I:$I,ДДС_Поступление!$D:$D,$A14,ДДС_Поступление!$C:$C,AO$3)</f>
        <v>0</v>
      </c>
      <c r="AP14" s="23">
        <f>SUMIFS(ДДС_Поступление!$I:$I,ДДС_Поступление!$D:$D,$A14,ДДС_Поступление!$C:$C,AP$3)</f>
        <v>0</v>
      </c>
      <c r="AQ14" s="41">
        <f>AN14+AO14+AP14</f>
        <v>0</v>
      </c>
      <c r="AR14" s="41">
        <f>AM14+AQ14</f>
        <v>0</v>
      </c>
      <c r="AS14" s="23">
        <f>SUMIFS(ДДС_Поступление!$I:$I,ДДС_Поступление!$D:$D,$A14,ДДС_Поступление!$C:$C,AS$3)</f>
        <v>0</v>
      </c>
      <c r="AT14" s="23">
        <f>SUMIFS(ДДС_Поступление!$I:$I,ДДС_Поступление!$D:$D,$A14,ДДС_Поступление!$C:$C,AT$3)</f>
        <v>0</v>
      </c>
      <c r="AU14" s="23">
        <f>SUMIFS(ДДС_Поступление!$I:$I,ДДС_Поступление!$D:$D,$A14,ДДС_Поступление!$C:$C,AU$3)</f>
        <v>0</v>
      </c>
      <c r="AV14" s="41">
        <f>AS14+AT14+AU14</f>
        <v>0</v>
      </c>
      <c r="AW14" s="41">
        <f>AR14+AV14</f>
        <v>0</v>
      </c>
      <c r="AY14" s="23">
        <f>SUMIFS(ДДС_Поступление!$I:$I,ДДС_Поступление!$D:$D,$A14,ДДС_Поступление!$C:$C,AY$3)</f>
        <v>0</v>
      </c>
      <c r="AZ14" s="23">
        <f>SUMIFS(ДДС_Поступление!$I:$I,ДДС_Поступление!$D:$D,$A14,ДДС_Поступление!$C:$C,AZ$3)</f>
        <v>0</v>
      </c>
      <c r="BA14" s="23">
        <f>SUMIFS(ДДС_Поступление!$I:$I,ДДС_Поступление!$D:$D,$A14,ДДС_Поступление!$C:$C,BA$3)</f>
        <v>0</v>
      </c>
      <c r="BB14" s="41">
        <f>AY14+AZ14+BA14</f>
        <v>0</v>
      </c>
      <c r="BC14" s="23">
        <f>SUMIFS(ДДС_Поступление!$I:$I,ДДС_Поступление!$D:$D,$A14,ДДС_Поступление!$C:$C,BC$3)</f>
        <v>0</v>
      </c>
      <c r="BD14" s="23">
        <f>SUMIFS(ДДС_Поступление!$I:$I,ДДС_Поступление!$D:$D,$A14,ДДС_Поступление!$C:$C,BD$3)</f>
        <v>0</v>
      </c>
      <c r="BE14" s="23">
        <f>SUMIFS(ДДС_Поступление!$I:$I,ДДС_Поступление!$D:$D,$A14,ДДС_Поступление!$C:$C,BE$3)</f>
        <v>0</v>
      </c>
      <c r="BF14" s="41">
        <f>BC14+BD14+BE14</f>
        <v>0</v>
      </c>
      <c r="BG14" s="41">
        <f>BB14+BF14</f>
        <v>0</v>
      </c>
      <c r="BH14" s="23">
        <f>SUMIFS(ДДС_Поступление!$I:$I,ДДС_Поступление!$D:$D,$A14,ДДС_Поступление!$C:$C,BH$3)</f>
        <v>0</v>
      </c>
      <c r="BI14" s="23">
        <f>SUMIFS(ДДС_Поступление!$I:$I,ДДС_Поступление!$D:$D,$A14,ДДС_Поступление!$C:$C,BI$3)</f>
        <v>0</v>
      </c>
      <c r="BJ14" s="23">
        <f>SUMIFS(ДДС_Поступление!$I:$I,ДДС_Поступление!$D:$D,$A14,ДДС_Поступление!$C:$C,BJ$3)</f>
        <v>0</v>
      </c>
      <c r="BK14" s="41">
        <f>BH14+BI14+BJ14</f>
        <v>0</v>
      </c>
      <c r="BL14" s="41">
        <f>BG14+BK14</f>
        <v>0</v>
      </c>
      <c r="BM14" s="23">
        <f>SUMIFS(ДДС_Поступление!$I:$I,ДДС_Поступление!$D:$D,$A14,ДДС_Поступление!$C:$C,BM$3)</f>
        <v>0</v>
      </c>
      <c r="BN14" s="23">
        <f>SUMIFS(ДДС_Поступление!$I:$I,ДДС_Поступление!$D:$D,$A14,ДДС_Поступление!$C:$C,BN$3)</f>
        <v>0</v>
      </c>
      <c r="BO14" s="23">
        <f>SUMIFS(ДДС_Поступление!$I:$I,ДДС_Поступление!$D:$D,$A14,ДДС_Поступление!$C:$C,BO$3)</f>
        <v>0</v>
      </c>
      <c r="BP14" s="41">
        <f>BM14+BN14+BO14</f>
        <v>0</v>
      </c>
      <c r="BQ14" s="41">
        <f>BL14+BP14</f>
        <v>0</v>
      </c>
      <c r="BS14" s="23">
        <f>SUMIFS(ДДС_Поступление!$I:$I,ДДС_Поступление!$D:$D,$A14,ДДС_Поступление!$C:$C,BS$3)</f>
        <v>0</v>
      </c>
      <c r="BT14" s="23">
        <f>SUMIFS(ДДС_Поступление!$I:$I,ДДС_Поступление!$D:$D,$A14,ДДС_Поступление!$C:$C,BT$3)</f>
        <v>0</v>
      </c>
      <c r="BU14" s="23">
        <f>SUMIFS(ДДС_Поступление!$I:$I,ДДС_Поступление!$D:$D,$A14,ДДС_Поступление!$C:$C,BU$3)</f>
        <v>0</v>
      </c>
      <c r="BV14" s="41">
        <f>BS14+BT14+BU14</f>
        <v>0</v>
      </c>
      <c r="BW14" s="23">
        <f>SUMIFS(ДДС_Поступление!$I:$I,ДДС_Поступление!$D:$D,$A14,ДДС_Поступление!$C:$C,BW$3)</f>
        <v>0</v>
      </c>
      <c r="BX14" s="23">
        <f>SUMIFS(ДДС_Поступление!$I:$I,ДДС_Поступление!$D:$D,$A14,ДДС_Поступление!$C:$C,BX$3)</f>
        <v>0</v>
      </c>
      <c r="BY14" s="23">
        <f>SUMIFS(ДДС_Поступление!$I:$I,ДДС_Поступление!$D:$D,$A14,ДДС_Поступление!$C:$C,BY$3)</f>
        <v>0</v>
      </c>
      <c r="BZ14" s="41">
        <f>BW14+BX14+BY14</f>
        <v>0</v>
      </c>
      <c r="CA14" s="41">
        <f>BV14+BZ14</f>
        <v>0</v>
      </c>
      <c r="CB14" s="23">
        <f>SUMIFS(ДДС_Поступление!$I:$I,ДДС_Поступление!$D:$D,$A14,ДДС_Поступление!$C:$C,CB$3)</f>
        <v>0</v>
      </c>
      <c r="CC14" s="23">
        <f>SUMIFS(ДДС_Поступление!$I:$I,ДДС_Поступление!$D:$D,$A14,ДДС_Поступление!$C:$C,CC$3)</f>
        <v>0</v>
      </c>
      <c r="CD14" s="23">
        <f>SUMIFS(ДДС_Поступление!$I:$I,ДДС_Поступление!$D:$D,$A14,ДДС_Поступление!$C:$C,CD$3)</f>
        <v>0</v>
      </c>
      <c r="CE14" s="41">
        <f>CB14+CC14+CD14</f>
        <v>0</v>
      </c>
      <c r="CF14" s="41">
        <f>CA14+CE14</f>
        <v>0</v>
      </c>
      <c r="CG14" s="23">
        <f>SUMIFS(ДДС_Поступление!$I:$I,ДДС_Поступление!$D:$D,$A14,ДДС_Поступление!$C:$C,CG$3)</f>
        <v>0</v>
      </c>
      <c r="CH14" s="23">
        <f>SUMIFS(ДДС_Поступление!$I:$I,ДДС_Поступление!$D:$D,$A14,ДДС_Поступление!$C:$C,CH$3)</f>
        <v>0</v>
      </c>
      <c r="CI14" s="23">
        <f>SUMIFS(ДДС_Поступление!$I:$I,ДДС_Поступление!$D:$D,$A14,ДДС_Поступление!$C:$C,CI$3)</f>
        <v>0</v>
      </c>
      <c r="CJ14" s="41">
        <f>CG14+CH14+CI14</f>
        <v>0</v>
      </c>
      <c r="CK14" s="41">
        <f>CF14+CJ14</f>
        <v>0</v>
      </c>
      <c r="CM14" s="23">
        <f>SUMIFS(ДДС_Поступление!$I:$I,ДДС_Поступление!$D:$D,$A14,ДДС_Поступление!$C:$C,CM$3)</f>
        <v>0</v>
      </c>
      <c r="CN14" s="23">
        <f>SUMIFS(ДДС_Поступление!$I:$I,ДДС_Поступление!$D:$D,$A14,ДДС_Поступление!$C:$C,CN$3)</f>
        <v>0</v>
      </c>
      <c r="CO14" s="23">
        <f>SUMIFS(ДДС_Поступление!$I:$I,ДДС_Поступление!$D:$D,$A14,ДДС_Поступление!$C:$C,CO$3)</f>
        <v>0</v>
      </c>
      <c r="CP14" s="41">
        <f>CM14+CN14+CO14</f>
        <v>0</v>
      </c>
      <c r="CQ14" s="23">
        <f>SUMIFS(ДДС_Поступление!$I:$I,ДДС_Поступление!$D:$D,$A14,ДДС_Поступление!$C:$C,CQ$3)</f>
        <v>0</v>
      </c>
      <c r="CR14" s="23">
        <f>SUMIFS(ДДС_Поступление!$I:$I,ДДС_Поступление!$D:$D,$A14,ДДС_Поступление!$C:$C,CR$3)</f>
        <v>0</v>
      </c>
      <c r="CS14" s="23">
        <f>SUMIFS(ДДС_Поступление!$I:$I,ДДС_Поступление!$D:$D,$A14,ДДС_Поступление!$C:$C,CS$3)</f>
        <v>0</v>
      </c>
      <c r="CT14" s="41">
        <f>CQ14+CR14+CS14</f>
        <v>0</v>
      </c>
      <c r="CU14" s="41">
        <f>CP14+CT14</f>
        <v>0</v>
      </c>
      <c r="CV14" s="23">
        <f>SUMIFS(ДДС_Поступление!$I:$I,ДДС_Поступление!$D:$D,$A14,ДДС_Поступление!$C:$C,CV$3)</f>
        <v>0</v>
      </c>
      <c r="CW14" s="23">
        <f>SUMIFS(ДДС_Поступление!$I:$I,ДДС_Поступление!$D:$D,$A14,ДДС_Поступление!$C:$C,CW$3)</f>
        <v>0</v>
      </c>
      <c r="CX14" s="23">
        <f>SUMIFS(ДДС_Поступление!$I:$I,ДДС_Поступление!$D:$D,$A14,ДДС_Поступление!$C:$C,CX$3)</f>
        <v>0</v>
      </c>
      <c r="CY14" s="41">
        <f>CV14+CW14+CX14</f>
        <v>0</v>
      </c>
      <c r="CZ14" s="41">
        <f>CU14+CY14</f>
        <v>0</v>
      </c>
      <c r="DA14" s="23">
        <f>SUMIFS(ДДС_Поступление!$I:$I,ДДС_Поступление!$D:$D,$A14,ДДС_Поступление!$C:$C,DA$3)</f>
        <v>0</v>
      </c>
      <c r="DB14" s="23">
        <f>SUMIFS(ДДС_Поступление!$I:$I,ДДС_Поступление!$D:$D,$A14,ДДС_Поступление!$C:$C,DB$3)</f>
        <v>0</v>
      </c>
      <c r="DC14" s="23">
        <f>SUMIFS(ДДС_Поступление!$I:$I,ДДС_Поступление!$D:$D,$A14,ДДС_Поступление!$C:$C,DC$3)</f>
        <v>0</v>
      </c>
      <c r="DD14" s="41">
        <f>DA14+DB14+DC14</f>
        <v>0</v>
      </c>
      <c r="DE14" s="41">
        <f>CZ14+DD14</f>
        <v>0</v>
      </c>
    </row>
    <row r="15" spans="1:109" s="12" customFormat="1" ht="10.199999999999999" x14ac:dyDescent="0.2">
      <c r="A15" s="11" t="s">
        <v>207</v>
      </c>
      <c r="B15" s="11" t="str">
        <f>F15&amp;A15</f>
        <v>Облачное хранилище для строительной компании с функцией архивации 201900 Прочее</v>
      </c>
      <c r="E15" s="20">
        <v>201900</v>
      </c>
      <c r="F15" s="21" t="str">
        <f>'Карточка проекта'!$B$1</f>
        <v xml:space="preserve">Облачное хранилище для строительной компании с функцией архивации </v>
      </c>
      <c r="G15" s="43" t="s">
        <v>208</v>
      </c>
      <c r="I15" s="41">
        <f t="shared" si="12"/>
        <v>0</v>
      </c>
      <c r="K15" s="23">
        <f>SUMIFS(ДДС_Поступление!$I:$I,ДДС_Поступление!$D:$D,$A15,ДДС_Поступление!$C:$C,K$3)</f>
        <v>0</v>
      </c>
      <c r="L15" s="23">
        <f>SUMIFS(ДДС_Поступление!$I:$I,ДДС_Поступление!$D:$D,$A15,ДДС_Поступление!$C:$C,L$3)</f>
        <v>0</v>
      </c>
      <c r="M15" s="23">
        <f>SUMIFS(ДДС_Поступление!$I:$I,ДДС_Поступление!$D:$D,$A15,ДДС_Поступление!$C:$C,M$3)</f>
        <v>0</v>
      </c>
      <c r="N15" s="41">
        <f>K15+L15+M15</f>
        <v>0</v>
      </c>
      <c r="O15" s="23">
        <f>SUMIFS(ДДС_Поступление!$I:$I,ДДС_Поступление!$D:$D,$A15,ДДС_Поступление!$C:$C,O$3)</f>
        <v>0</v>
      </c>
      <c r="P15" s="23">
        <f>SUMIFS(ДДС_Поступление!$I:$I,ДДС_Поступление!$D:$D,$A15,ДДС_Поступление!$C:$C,P$3)</f>
        <v>0</v>
      </c>
      <c r="Q15" s="23">
        <f>SUMIFS(ДДС_Поступление!$I:$I,ДДС_Поступление!$D:$D,$A15,ДДС_Поступление!$C:$C,Q$3)</f>
        <v>0</v>
      </c>
      <c r="R15" s="41">
        <f>O15+P15+Q15</f>
        <v>0</v>
      </c>
      <c r="S15" s="41">
        <f>N15+R15</f>
        <v>0</v>
      </c>
      <c r="T15" s="23">
        <f>SUMIFS(ДДС_Поступление!$I:$I,ДДС_Поступление!$D:$D,$A15,ДДС_Поступление!$C:$C,T$3)</f>
        <v>0</v>
      </c>
      <c r="U15" s="23">
        <f>SUMIFS(ДДС_Поступление!$I:$I,ДДС_Поступление!$D:$D,$A15,ДДС_Поступление!$C:$C,U$3)</f>
        <v>0</v>
      </c>
      <c r="V15" s="23">
        <f>SUMIFS(ДДС_Поступление!$I:$I,ДДС_Поступление!$D:$D,$A15,ДДС_Поступление!$C:$C,V$3)</f>
        <v>0</v>
      </c>
      <c r="W15" s="41">
        <f>T15+U15+V15</f>
        <v>0</v>
      </c>
      <c r="X15" s="41">
        <f>S15+W15</f>
        <v>0</v>
      </c>
      <c r="Y15" s="23">
        <f>SUMIFS(ДДС_Поступление!$I:$I,ДДС_Поступление!$D:$D,$A15,ДДС_Поступление!$C:$C,Y$3)</f>
        <v>0</v>
      </c>
      <c r="Z15" s="23">
        <f>SUMIFS(ДДС_Поступление!$I:$I,ДДС_Поступление!$D:$D,$A15,ДДС_Поступление!$C:$C,Z$3)</f>
        <v>0</v>
      </c>
      <c r="AA15" s="23">
        <f>SUMIFS(ДДС_Поступление!$I:$I,ДДС_Поступление!$D:$D,$A15,ДДС_Поступление!$C:$C,AA$3)</f>
        <v>0</v>
      </c>
      <c r="AB15" s="41">
        <f>Y15+Z15+AA15</f>
        <v>0</v>
      </c>
      <c r="AC15" s="41">
        <f>X15+AB15</f>
        <v>0</v>
      </c>
      <c r="AE15" s="23">
        <f>SUMIFS(ДДС_Поступление!$I:$I,ДДС_Поступление!$D:$D,$A15,ДДС_Поступление!$C:$C,AE$3)</f>
        <v>0</v>
      </c>
      <c r="AF15" s="23">
        <f>SUMIFS(ДДС_Поступление!$I:$I,ДДС_Поступление!$D:$D,$A15,ДДС_Поступление!$C:$C,AF$3)</f>
        <v>0</v>
      </c>
      <c r="AG15" s="23">
        <f>SUMIFS(ДДС_Поступление!$I:$I,ДДС_Поступление!$D:$D,$A15,ДДС_Поступление!$C:$C,AG$3)</f>
        <v>0</v>
      </c>
      <c r="AH15" s="41">
        <f>AE15+AF15+AG15</f>
        <v>0</v>
      </c>
      <c r="AI15" s="23">
        <f>SUMIFS(ДДС_Поступление!$I:$I,ДДС_Поступление!$D:$D,$A15,ДДС_Поступление!$C:$C,AI$3)</f>
        <v>0</v>
      </c>
      <c r="AJ15" s="23">
        <f>SUMIFS(ДДС_Поступление!$I:$I,ДДС_Поступление!$D:$D,$A15,ДДС_Поступление!$C:$C,AJ$3)</f>
        <v>0</v>
      </c>
      <c r="AK15" s="23">
        <f>SUMIFS(ДДС_Поступление!$I:$I,ДДС_Поступление!$D:$D,$A15,ДДС_Поступление!$C:$C,AK$3)</f>
        <v>0</v>
      </c>
      <c r="AL15" s="41">
        <f>AI15+AJ15+AK15</f>
        <v>0</v>
      </c>
      <c r="AM15" s="41">
        <f>AH15+AL15</f>
        <v>0</v>
      </c>
      <c r="AN15" s="23">
        <f>SUMIFS(ДДС_Поступление!$I:$I,ДДС_Поступление!$D:$D,$A15,ДДС_Поступление!$C:$C,AN$3)</f>
        <v>0</v>
      </c>
      <c r="AO15" s="23">
        <f>SUMIFS(ДДС_Поступление!$I:$I,ДДС_Поступление!$D:$D,$A15,ДДС_Поступление!$C:$C,AO$3)</f>
        <v>0</v>
      </c>
      <c r="AP15" s="23">
        <f>SUMIFS(ДДС_Поступление!$I:$I,ДДС_Поступление!$D:$D,$A15,ДДС_Поступление!$C:$C,AP$3)</f>
        <v>0</v>
      </c>
      <c r="AQ15" s="41">
        <f>AN15+AO15+AP15</f>
        <v>0</v>
      </c>
      <c r="AR15" s="41">
        <f>AM15+AQ15</f>
        <v>0</v>
      </c>
      <c r="AS15" s="23">
        <f>SUMIFS(ДДС_Поступление!$I:$I,ДДС_Поступление!$D:$D,$A15,ДДС_Поступление!$C:$C,AS$3)</f>
        <v>0</v>
      </c>
      <c r="AT15" s="23">
        <f>SUMIFS(ДДС_Поступление!$I:$I,ДДС_Поступление!$D:$D,$A15,ДДС_Поступление!$C:$C,AT$3)</f>
        <v>0</v>
      </c>
      <c r="AU15" s="23">
        <f>SUMIFS(ДДС_Поступление!$I:$I,ДДС_Поступление!$D:$D,$A15,ДДС_Поступление!$C:$C,AU$3)</f>
        <v>0</v>
      </c>
      <c r="AV15" s="41">
        <f>AS15+AT15+AU15</f>
        <v>0</v>
      </c>
      <c r="AW15" s="41">
        <f>AR15+AV15</f>
        <v>0</v>
      </c>
      <c r="AY15" s="23">
        <f>SUMIFS(ДДС_Поступление!$I:$I,ДДС_Поступление!$D:$D,$A15,ДДС_Поступление!$C:$C,AY$3)</f>
        <v>0</v>
      </c>
      <c r="AZ15" s="23">
        <f>SUMIFS(ДДС_Поступление!$I:$I,ДДС_Поступление!$D:$D,$A15,ДДС_Поступление!$C:$C,AZ$3)</f>
        <v>0</v>
      </c>
      <c r="BA15" s="23">
        <f>SUMIFS(ДДС_Поступление!$I:$I,ДДС_Поступление!$D:$D,$A15,ДДС_Поступление!$C:$C,BA$3)</f>
        <v>0</v>
      </c>
      <c r="BB15" s="41">
        <f>AY15+AZ15+BA15</f>
        <v>0</v>
      </c>
      <c r="BC15" s="23">
        <f>SUMIFS(ДДС_Поступление!$I:$I,ДДС_Поступление!$D:$D,$A15,ДДС_Поступление!$C:$C,BC$3)</f>
        <v>0</v>
      </c>
      <c r="BD15" s="23">
        <f>SUMIFS(ДДС_Поступление!$I:$I,ДДС_Поступление!$D:$D,$A15,ДДС_Поступление!$C:$C,BD$3)</f>
        <v>0</v>
      </c>
      <c r="BE15" s="23">
        <f>SUMIFS(ДДС_Поступление!$I:$I,ДДС_Поступление!$D:$D,$A15,ДДС_Поступление!$C:$C,BE$3)</f>
        <v>0</v>
      </c>
      <c r="BF15" s="41">
        <f>BC15+BD15+BE15</f>
        <v>0</v>
      </c>
      <c r="BG15" s="41">
        <f>BB15+BF15</f>
        <v>0</v>
      </c>
      <c r="BH15" s="23">
        <f>SUMIFS(ДДС_Поступление!$I:$I,ДДС_Поступление!$D:$D,$A15,ДДС_Поступление!$C:$C,BH$3)</f>
        <v>0</v>
      </c>
      <c r="BI15" s="23">
        <f>SUMIFS(ДДС_Поступление!$I:$I,ДДС_Поступление!$D:$D,$A15,ДДС_Поступление!$C:$C,BI$3)</f>
        <v>0</v>
      </c>
      <c r="BJ15" s="23">
        <f>SUMIFS(ДДС_Поступление!$I:$I,ДДС_Поступление!$D:$D,$A15,ДДС_Поступление!$C:$C,BJ$3)</f>
        <v>0</v>
      </c>
      <c r="BK15" s="41">
        <f>BH15+BI15+BJ15</f>
        <v>0</v>
      </c>
      <c r="BL15" s="41">
        <f>BG15+BK15</f>
        <v>0</v>
      </c>
      <c r="BM15" s="23">
        <f>SUMIFS(ДДС_Поступление!$I:$I,ДДС_Поступление!$D:$D,$A15,ДДС_Поступление!$C:$C,BM$3)</f>
        <v>0</v>
      </c>
      <c r="BN15" s="23">
        <f>SUMIFS(ДДС_Поступление!$I:$I,ДДС_Поступление!$D:$D,$A15,ДДС_Поступление!$C:$C,BN$3)</f>
        <v>0</v>
      </c>
      <c r="BO15" s="23">
        <f>SUMIFS(ДДС_Поступление!$I:$I,ДДС_Поступление!$D:$D,$A15,ДДС_Поступление!$C:$C,BO$3)</f>
        <v>0</v>
      </c>
      <c r="BP15" s="41">
        <f>BM15+BN15+BO15</f>
        <v>0</v>
      </c>
      <c r="BQ15" s="41">
        <f>BL15+BP15</f>
        <v>0</v>
      </c>
      <c r="BS15" s="23">
        <f>SUMIFS(ДДС_Поступление!$I:$I,ДДС_Поступление!$D:$D,$A15,ДДС_Поступление!$C:$C,BS$3)</f>
        <v>0</v>
      </c>
      <c r="BT15" s="23">
        <f>SUMIFS(ДДС_Поступление!$I:$I,ДДС_Поступление!$D:$D,$A15,ДДС_Поступление!$C:$C,BT$3)</f>
        <v>0</v>
      </c>
      <c r="BU15" s="23">
        <f>SUMIFS(ДДС_Поступление!$I:$I,ДДС_Поступление!$D:$D,$A15,ДДС_Поступление!$C:$C,BU$3)</f>
        <v>0</v>
      </c>
      <c r="BV15" s="41">
        <f>BS15+BT15+BU15</f>
        <v>0</v>
      </c>
      <c r="BW15" s="23">
        <f>SUMIFS(ДДС_Поступление!$I:$I,ДДС_Поступление!$D:$D,$A15,ДДС_Поступление!$C:$C,BW$3)</f>
        <v>0</v>
      </c>
      <c r="BX15" s="23">
        <f>SUMIFS(ДДС_Поступление!$I:$I,ДДС_Поступление!$D:$D,$A15,ДДС_Поступление!$C:$C,BX$3)</f>
        <v>0</v>
      </c>
      <c r="BY15" s="23">
        <f>SUMIFS(ДДС_Поступление!$I:$I,ДДС_Поступление!$D:$D,$A15,ДДС_Поступление!$C:$C,BY$3)</f>
        <v>0</v>
      </c>
      <c r="BZ15" s="41">
        <f>BW15+BX15+BY15</f>
        <v>0</v>
      </c>
      <c r="CA15" s="41">
        <f>BV15+BZ15</f>
        <v>0</v>
      </c>
      <c r="CB15" s="23">
        <f>SUMIFS(ДДС_Поступление!$I:$I,ДДС_Поступление!$D:$D,$A15,ДДС_Поступление!$C:$C,CB$3)</f>
        <v>0</v>
      </c>
      <c r="CC15" s="23">
        <f>SUMIFS(ДДС_Поступление!$I:$I,ДДС_Поступление!$D:$D,$A15,ДДС_Поступление!$C:$C,CC$3)</f>
        <v>0</v>
      </c>
      <c r="CD15" s="23">
        <f>SUMIFS(ДДС_Поступление!$I:$I,ДДС_Поступление!$D:$D,$A15,ДДС_Поступление!$C:$C,CD$3)</f>
        <v>0</v>
      </c>
      <c r="CE15" s="41">
        <f>CB15+CC15+CD15</f>
        <v>0</v>
      </c>
      <c r="CF15" s="41">
        <f>CA15+CE15</f>
        <v>0</v>
      </c>
      <c r="CG15" s="23">
        <f>SUMIFS(ДДС_Поступление!$I:$I,ДДС_Поступление!$D:$D,$A15,ДДС_Поступление!$C:$C,CG$3)</f>
        <v>0</v>
      </c>
      <c r="CH15" s="23">
        <f>SUMIFS(ДДС_Поступление!$I:$I,ДДС_Поступление!$D:$D,$A15,ДДС_Поступление!$C:$C,CH$3)</f>
        <v>0</v>
      </c>
      <c r="CI15" s="23">
        <f>SUMIFS(ДДС_Поступление!$I:$I,ДДС_Поступление!$D:$D,$A15,ДДС_Поступление!$C:$C,CI$3)</f>
        <v>0</v>
      </c>
      <c r="CJ15" s="41">
        <f>CG15+CH15+CI15</f>
        <v>0</v>
      </c>
      <c r="CK15" s="41">
        <f>CF15+CJ15</f>
        <v>0</v>
      </c>
      <c r="CM15" s="23">
        <f>SUMIFS(ДДС_Поступление!$I:$I,ДДС_Поступление!$D:$D,$A15,ДДС_Поступление!$C:$C,CM$3)</f>
        <v>0</v>
      </c>
      <c r="CN15" s="23">
        <f>SUMIFS(ДДС_Поступление!$I:$I,ДДС_Поступление!$D:$D,$A15,ДДС_Поступление!$C:$C,CN$3)</f>
        <v>0</v>
      </c>
      <c r="CO15" s="23">
        <f>SUMIFS(ДДС_Поступление!$I:$I,ДДС_Поступление!$D:$D,$A15,ДДС_Поступление!$C:$C,CO$3)</f>
        <v>0</v>
      </c>
      <c r="CP15" s="41">
        <f>CM15+CN15+CO15</f>
        <v>0</v>
      </c>
      <c r="CQ15" s="23">
        <f>SUMIFS(ДДС_Поступление!$I:$I,ДДС_Поступление!$D:$D,$A15,ДДС_Поступление!$C:$C,CQ$3)</f>
        <v>0</v>
      </c>
      <c r="CR15" s="23">
        <f>SUMIFS(ДДС_Поступление!$I:$I,ДДС_Поступление!$D:$D,$A15,ДДС_Поступление!$C:$C,CR$3)</f>
        <v>0</v>
      </c>
      <c r="CS15" s="23">
        <f>SUMIFS(ДДС_Поступление!$I:$I,ДДС_Поступление!$D:$D,$A15,ДДС_Поступление!$C:$C,CS$3)</f>
        <v>0</v>
      </c>
      <c r="CT15" s="41">
        <f>CQ15+CR15+CS15</f>
        <v>0</v>
      </c>
      <c r="CU15" s="41">
        <f>CP15+CT15</f>
        <v>0</v>
      </c>
      <c r="CV15" s="23">
        <f>SUMIFS(ДДС_Поступление!$I:$I,ДДС_Поступление!$D:$D,$A15,ДДС_Поступление!$C:$C,CV$3)</f>
        <v>0</v>
      </c>
      <c r="CW15" s="23">
        <f>SUMIFS(ДДС_Поступление!$I:$I,ДДС_Поступление!$D:$D,$A15,ДДС_Поступление!$C:$C,CW$3)</f>
        <v>0</v>
      </c>
      <c r="CX15" s="23">
        <f>SUMIFS(ДДС_Поступление!$I:$I,ДДС_Поступление!$D:$D,$A15,ДДС_Поступление!$C:$C,CX$3)</f>
        <v>0</v>
      </c>
      <c r="CY15" s="41">
        <f>CV15+CW15+CX15</f>
        <v>0</v>
      </c>
      <c r="CZ15" s="41">
        <f>CU15+CY15</f>
        <v>0</v>
      </c>
      <c r="DA15" s="23">
        <f>SUMIFS(ДДС_Поступление!$I:$I,ДДС_Поступление!$D:$D,$A15,ДДС_Поступление!$C:$C,DA$3)</f>
        <v>0</v>
      </c>
      <c r="DB15" s="23">
        <f>SUMIFS(ДДС_Поступление!$I:$I,ДДС_Поступление!$D:$D,$A15,ДДС_Поступление!$C:$C,DB$3)</f>
        <v>0</v>
      </c>
      <c r="DC15" s="23">
        <f>SUMIFS(ДДС_Поступление!$I:$I,ДДС_Поступление!$D:$D,$A15,ДДС_Поступление!$C:$C,DC$3)</f>
        <v>0</v>
      </c>
      <c r="DD15" s="41">
        <f>DA15+DB15+DC15</f>
        <v>0</v>
      </c>
      <c r="DE15" s="41">
        <f>CZ15+DD15</f>
        <v>0</v>
      </c>
    </row>
    <row r="16" spans="1:109" s="12" customFormat="1" ht="10.199999999999999" x14ac:dyDescent="0.2">
      <c r="A16" s="11"/>
      <c r="B16" s="11"/>
      <c r="E16" s="27"/>
      <c r="F16" s="27" t="s">
        <v>294</v>
      </c>
      <c r="G16" s="27"/>
      <c r="I16" s="40">
        <f t="shared" si="12"/>
        <v>-8188203.1619517589</v>
      </c>
      <c r="K16" s="29">
        <f t="shared" ref="K16:AC16" si="13">SUM(K17:K31)</f>
        <v>0</v>
      </c>
      <c r="L16" s="29">
        <f t="shared" ref="L16:M16" si="14">SUM(L17:L31)</f>
        <v>0</v>
      </c>
      <c r="M16" s="29">
        <f t="shared" si="14"/>
        <v>0</v>
      </c>
      <c r="N16" s="40">
        <f t="shared" si="13"/>
        <v>0</v>
      </c>
      <c r="O16" s="29">
        <f t="shared" ref="O16:R16" si="15">SUM(O17:O31)</f>
        <v>0</v>
      </c>
      <c r="P16" s="29">
        <f t="shared" si="15"/>
        <v>0</v>
      </c>
      <c r="Q16" s="29">
        <f t="shared" si="15"/>
        <v>0</v>
      </c>
      <c r="R16" s="40">
        <f t="shared" si="15"/>
        <v>0</v>
      </c>
      <c r="S16" s="40">
        <f t="shared" si="13"/>
        <v>0</v>
      </c>
      <c r="T16" s="29">
        <f t="shared" si="13"/>
        <v>0</v>
      </c>
      <c r="U16" s="29">
        <f t="shared" si="13"/>
        <v>0</v>
      </c>
      <c r="V16" s="29">
        <f t="shared" si="13"/>
        <v>-2618364.9894521255</v>
      </c>
      <c r="W16" s="40">
        <f t="shared" si="13"/>
        <v>-2618364.9894521255</v>
      </c>
      <c r="X16" s="40">
        <f t="shared" si="13"/>
        <v>-2618364.9894521255</v>
      </c>
      <c r="Y16" s="29">
        <f t="shared" si="13"/>
        <v>-1533934.9894521257</v>
      </c>
      <c r="Z16" s="29">
        <f t="shared" si="13"/>
        <v>-1618386.5555176083</v>
      </c>
      <c r="AA16" s="29">
        <f t="shared" si="13"/>
        <v>-2417516.6275298996</v>
      </c>
      <c r="AB16" s="40">
        <f t="shared" si="13"/>
        <v>-5569838.1724996334</v>
      </c>
      <c r="AC16" s="40">
        <f t="shared" si="13"/>
        <v>-8188203.1619517589</v>
      </c>
      <c r="AE16" s="29">
        <f t="shared" ref="AE16:AW16" si="16">SUM(AE17:AE31)</f>
        <v>0</v>
      </c>
      <c r="AF16" s="29">
        <f t="shared" si="16"/>
        <v>0</v>
      </c>
      <c r="AG16" s="29">
        <f t="shared" si="16"/>
        <v>0</v>
      </c>
      <c r="AH16" s="40">
        <f t="shared" si="16"/>
        <v>0</v>
      </c>
      <c r="AI16" s="29">
        <f t="shared" si="16"/>
        <v>0</v>
      </c>
      <c r="AJ16" s="29">
        <f t="shared" si="16"/>
        <v>0</v>
      </c>
      <c r="AK16" s="29">
        <f t="shared" si="16"/>
        <v>0</v>
      </c>
      <c r="AL16" s="40">
        <f t="shared" si="16"/>
        <v>0</v>
      </c>
      <c r="AM16" s="40">
        <f t="shared" si="16"/>
        <v>0</v>
      </c>
      <c r="AN16" s="29">
        <f t="shared" si="16"/>
        <v>0</v>
      </c>
      <c r="AO16" s="29">
        <f t="shared" si="16"/>
        <v>0</v>
      </c>
      <c r="AP16" s="29">
        <f t="shared" si="16"/>
        <v>0</v>
      </c>
      <c r="AQ16" s="40">
        <f t="shared" si="16"/>
        <v>0</v>
      </c>
      <c r="AR16" s="40">
        <f t="shared" si="16"/>
        <v>0</v>
      </c>
      <c r="AS16" s="29">
        <f t="shared" si="16"/>
        <v>0</v>
      </c>
      <c r="AT16" s="29">
        <f t="shared" si="16"/>
        <v>0</v>
      </c>
      <c r="AU16" s="29">
        <f t="shared" si="16"/>
        <v>0</v>
      </c>
      <c r="AV16" s="40">
        <f t="shared" si="16"/>
        <v>0</v>
      </c>
      <c r="AW16" s="40">
        <f t="shared" si="16"/>
        <v>0</v>
      </c>
      <c r="AY16" s="29">
        <f t="shared" ref="AY16:BQ16" si="17">SUM(AY17:AY31)</f>
        <v>0</v>
      </c>
      <c r="AZ16" s="29">
        <f t="shared" si="17"/>
        <v>0</v>
      </c>
      <c r="BA16" s="29">
        <f t="shared" si="17"/>
        <v>0</v>
      </c>
      <c r="BB16" s="40">
        <f t="shared" si="17"/>
        <v>0</v>
      </c>
      <c r="BC16" s="29">
        <f t="shared" si="17"/>
        <v>0</v>
      </c>
      <c r="BD16" s="29">
        <f t="shared" si="17"/>
        <v>0</v>
      </c>
      <c r="BE16" s="29">
        <f t="shared" si="17"/>
        <v>0</v>
      </c>
      <c r="BF16" s="40">
        <f t="shared" si="17"/>
        <v>0</v>
      </c>
      <c r="BG16" s="40">
        <f t="shared" si="17"/>
        <v>0</v>
      </c>
      <c r="BH16" s="29">
        <f t="shared" si="17"/>
        <v>0</v>
      </c>
      <c r="BI16" s="29">
        <f t="shared" si="17"/>
        <v>0</v>
      </c>
      <c r="BJ16" s="29">
        <f t="shared" si="17"/>
        <v>0</v>
      </c>
      <c r="BK16" s="40">
        <f t="shared" si="17"/>
        <v>0</v>
      </c>
      <c r="BL16" s="40">
        <f t="shared" si="17"/>
        <v>0</v>
      </c>
      <c r="BM16" s="29">
        <f t="shared" si="17"/>
        <v>0</v>
      </c>
      <c r="BN16" s="29">
        <f t="shared" si="17"/>
        <v>0</v>
      </c>
      <c r="BO16" s="29">
        <f t="shared" si="17"/>
        <v>0</v>
      </c>
      <c r="BP16" s="40">
        <f t="shared" si="17"/>
        <v>0</v>
      </c>
      <c r="BQ16" s="40">
        <f t="shared" si="17"/>
        <v>0</v>
      </c>
      <c r="BS16" s="29">
        <f t="shared" ref="BS16:CK16" si="18">SUM(BS17:BS31)</f>
        <v>0</v>
      </c>
      <c r="BT16" s="29">
        <f t="shared" si="18"/>
        <v>0</v>
      </c>
      <c r="BU16" s="29">
        <f t="shared" si="18"/>
        <v>0</v>
      </c>
      <c r="BV16" s="40">
        <f t="shared" si="18"/>
        <v>0</v>
      </c>
      <c r="BW16" s="29">
        <f t="shared" si="18"/>
        <v>0</v>
      </c>
      <c r="BX16" s="29">
        <f t="shared" si="18"/>
        <v>0</v>
      </c>
      <c r="BY16" s="29">
        <f t="shared" si="18"/>
        <v>0</v>
      </c>
      <c r="BZ16" s="40">
        <f t="shared" si="18"/>
        <v>0</v>
      </c>
      <c r="CA16" s="40">
        <f t="shared" si="18"/>
        <v>0</v>
      </c>
      <c r="CB16" s="29">
        <f t="shared" si="18"/>
        <v>0</v>
      </c>
      <c r="CC16" s="29">
        <f t="shared" si="18"/>
        <v>0</v>
      </c>
      <c r="CD16" s="29">
        <f t="shared" si="18"/>
        <v>0</v>
      </c>
      <c r="CE16" s="40">
        <f t="shared" si="18"/>
        <v>0</v>
      </c>
      <c r="CF16" s="40">
        <f t="shared" si="18"/>
        <v>0</v>
      </c>
      <c r="CG16" s="29">
        <f t="shared" si="18"/>
        <v>0</v>
      </c>
      <c r="CH16" s="29">
        <f t="shared" si="18"/>
        <v>0</v>
      </c>
      <c r="CI16" s="29">
        <f t="shared" si="18"/>
        <v>0</v>
      </c>
      <c r="CJ16" s="40">
        <f t="shared" si="18"/>
        <v>0</v>
      </c>
      <c r="CK16" s="40">
        <f t="shared" si="18"/>
        <v>0</v>
      </c>
      <c r="CM16" s="29">
        <f t="shared" ref="CM16:DE16" si="19">SUM(CM17:CM31)</f>
        <v>0</v>
      </c>
      <c r="CN16" s="29">
        <f t="shared" si="19"/>
        <v>0</v>
      </c>
      <c r="CO16" s="29">
        <f t="shared" si="19"/>
        <v>0</v>
      </c>
      <c r="CP16" s="40">
        <f t="shared" si="19"/>
        <v>0</v>
      </c>
      <c r="CQ16" s="29">
        <f t="shared" si="19"/>
        <v>0</v>
      </c>
      <c r="CR16" s="29">
        <f t="shared" si="19"/>
        <v>0</v>
      </c>
      <c r="CS16" s="29">
        <f t="shared" si="19"/>
        <v>0</v>
      </c>
      <c r="CT16" s="40">
        <f t="shared" si="19"/>
        <v>0</v>
      </c>
      <c r="CU16" s="40">
        <f t="shared" si="19"/>
        <v>0</v>
      </c>
      <c r="CV16" s="29">
        <f t="shared" si="19"/>
        <v>0</v>
      </c>
      <c r="CW16" s="29">
        <f t="shared" si="19"/>
        <v>0</v>
      </c>
      <c r="CX16" s="29">
        <f t="shared" si="19"/>
        <v>0</v>
      </c>
      <c r="CY16" s="40">
        <f t="shared" si="19"/>
        <v>0</v>
      </c>
      <c r="CZ16" s="40">
        <f t="shared" si="19"/>
        <v>0</v>
      </c>
      <c r="DA16" s="29">
        <f t="shared" si="19"/>
        <v>0</v>
      </c>
      <c r="DB16" s="29">
        <f t="shared" si="19"/>
        <v>0</v>
      </c>
      <c r="DC16" s="29">
        <f t="shared" si="19"/>
        <v>0</v>
      </c>
      <c r="DD16" s="40">
        <f t="shared" si="19"/>
        <v>0</v>
      </c>
      <c r="DE16" s="40">
        <f t="shared" si="19"/>
        <v>0</v>
      </c>
    </row>
    <row r="17" spans="1:109" s="12" customFormat="1" ht="10.199999999999999" x14ac:dyDescent="0.2">
      <c r="A17" s="11" t="s">
        <v>181</v>
      </c>
      <c r="B17" s="11" t="str">
        <f t="shared" ref="B17:B31" si="20">F17&amp;A17</f>
        <v>Облачное хранилище для строительной компании с функцией архивации 202077 Сопровождение ИТ-услуг</v>
      </c>
      <c r="E17" s="20">
        <v>202077</v>
      </c>
      <c r="F17" s="21" t="str">
        <f>'Карточка проекта'!$B$1</f>
        <v xml:space="preserve">Облачное хранилище для строительной компании с функцией архивации </v>
      </c>
      <c r="G17" s="43" t="s">
        <v>204</v>
      </c>
      <c r="I17" s="41">
        <f t="shared" si="12"/>
        <v>-788300</v>
      </c>
      <c r="K17" s="23">
        <f>-SUMIFS(ДДС_Расходование!$I:$I,ДДС_Расходование!$D:$D,$A17,ДДС_Расходование!$C:$C,K$3)-IF('Договоры ГПХ'!$C$12=$A17,'Договоры ГПХ'!H$9,0)</f>
        <v>0</v>
      </c>
      <c r="L17" s="23">
        <f>-SUMIFS(ДДС_Расходование!$I:$I,ДДС_Расходование!$D:$D,$A17,ДДС_Расходование!$C:$C,L$3)-IF('Договоры ГПХ'!$C$12=$A17,'Договоры ГПХ'!I$9,0)</f>
        <v>0</v>
      </c>
      <c r="M17" s="23">
        <f>-SUMIFS(ДДС_Расходование!$I:$I,ДДС_Расходование!$D:$D,$A17,ДДС_Расходование!$C:$C,M$3)-IF('Договоры ГПХ'!$C$12=$A17,'Договоры ГПХ'!J$9,0)</f>
        <v>0</v>
      </c>
      <c r="N17" s="41">
        <f t="shared" ref="N17" si="21">K17+L17+M17</f>
        <v>0</v>
      </c>
      <c r="O17" s="23">
        <f>-SUMIFS(ДДС_Расходование!$I:$I,ДДС_Расходование!$D:$D,$A17,ДДС_Расходование!$C:$C,O$3)-IF('Договоры ГПХ'!$C$12=$A17,'Договоры ГПХ'!K$9,0)</f>
        <v>0</v>
      </c>
      <c r="P17" s="23">
        <f>-SUMIFS(ДДС_Расходование!$I:$I,ДДС_Расходование!$D:$D,$A17,ДДС_Расходование!$C:$C,P$3)-IF('Договоры ГПХ'!$C$12=$A17,'Договоры ГПХ'!L$9,0)</f>
        <v>0</v>
      </c>
      <c r="Q17" s="23">
        <f>-SUMIFS(ДДС_Расходование!$I:$I,ДДС_Расходование!$D:$D,$A17,ДДС_Расходование!$C:$C,Q$3)-IF('Договоры ГПХ'!$C$12=$A17,'Договоры ГПХ'!M$9,0)</f>
        <v>0</v>
      </c>
      <c r="R17" s="22">
        <f t="shared" ref="R17" si="22">O17+P17+Q17</f>
        <v>0</v>
      </c>
      <c r="S17" s="41">
        <f t="shared" ref="S17" si="23">N17+R17</f>
        <v>0</v>
      </c>
      <c r="T17" s="23">
        <f>-SUMIFS(ДДС_Расходование!$I:$I,ДДС_Расходование!$D:$D,$A17,ДДС_Расходование!$C:$C,T$3)-IF('Договоры ГПХ'!$C$12=$A17,'Договоры ГПХ'!N$9,0)</f>
        <v>0</v>
      </c>
      <c r="U17" s="23">
        <f>-SUMIFS(ДДС_Расходование!$I:$I,ДДС_Расходование!$D:$D,$A17,ДДС_Расходование!$C:$C,U$3)-IF('Договоры ГПХ'!$C$12=$A17,'Договоры ГПХ'!O$9,0)</f>
        <v>0</v>
      </c>
      <c r="V17" s="23">
        <f>-SUMIFS(ДДС_Расходование!$I:$I,ДДС_Расходование!$D:$D,$A17,ДДС_Расходование!$C:$C,V$3)-IF('Договоры ГПХ'!$C$12=$A17,'Договоры ГПХ'!P$9,0)</f>
        <v>0</v>
      </c>
      <c r="W17" s="41">
        <f t="shared" ref="W17" si="24">T17+U17+V17</f>
        <v>0</v>
      </c>
      <c r="X17" s="41">
        <f t="shared" ref="X17" si="25">S17+W17</f>
        <v>0</v>
      </c>
      <c r="Y17" s="23">
        <f>-SUMIFS(ДДС_Расходование!$I:$I,ДДС_Расходование!$D:$D,$A17,ДДС_Расходование!$C:$C,Y$3)-IF('Договоры ГПХ'!$C$12=$A17,'Договоры ГПХ'!Q$9,0)</f>
        <v>0</v>
      </c>
      <c r="Z17" s="23">
        <f>-SUMIFS(ДДС_Расходование!$I:$I,ДДС_Расходование!$D:$D,$A17,ДДС_Расходование!$C:$C,Z$3)-IF('Договоры ГПХ'!$C$12=$A17,'Договоры ГПХ'!R$9,0)</f>
        <v>0</v>
      </c>
      <c r="AA17" s="23">
        <f>-SUMIFS(ДДС_Расходование!$I:$I,ДДС_Расходование!$D:$D,$A17,ДДС_Расходование!$C:$C,AA$3)-IF('Договоры ГПХ'!$C$12=$A17,'Договоры ГПХ'!S$9,0)</f>
        <v>-788300</v>
      </c>
      <c r="AB17" s="22">
        <f t="shared" ref="AB17" si="26">Y17+Z17+AA17</f>
        <v>-788300</v>
      </c>
      <c r="AC17" s="41">
        <f t="shared" ref="AC17" si="27">X17+AB17</f>
        <v>-788300</v>
      </c>
      <c r="AE17" s="23">
        <f>-SUMIFS(ДДС_Расходование!$I:$I,ДДС_Расходование!$D:$D,$A17,ДДС_Расходование!$C:$C,AE$3)-IF('Договоры ГПХ'!$C$12=$A17,'Договоры ГПХ'!V$9,0)</f>
        <v>0</v>
      </c>
      <c r="AF17" s="23">
        <f>-SUMIFS(ДДС_Расходование!$I:$I,ДДС_Расходование!$D:$D,$A17,ДДС_Расходование!$C:$C,AF$3)-IF('Договоры ГПХ'!$C$12=$A17,'Договоры ГПХ'!W$9,0)</f>
        <v>0</v>
      </c>
      <c r="AG17" s="23">
        <f>-SUMIFS(ДДС_Расходование!$I:$I,ДДС_Расходование!$D:$D,$A17,ДДС_Расходование!$C:$C,AG$3)-IF('Договоры ГПХ'!$C$12=$A17,'Договоры ГПХ'!X$9,0)</f>
        <v>0</v>
      </c>
      <c r="AH17" s="41">
        <f t="shared" ref="AH17" si="28">AE17+AF17+AG17</f>
        <v>0</v>
      </c>
      <c r="AI17" s="23">
        <f>-SUMIFS(ДДС_Расходование!$I:$I,ДДС_Расходование!$D:$D,$A17,ДДС_Расходование!$C:$C,AI$3)-IF('Договоры ГПХ'!$C$12=$A17,'Договоры ГПХ'!Y$9,0)</f>
        <v>0</v>
      </c>
      <c r="AJ17" s="23">
        <f>-SUMIFS(ДДС_Расходование!$I:$I,ДДС_Расходование!$D:$D,$A17,ДДС_Расходование!$C:$C,AJ$3)-IF('Договоры ГПХ'!$C$12=$A17,'Договоры ГПХ'!Z$9,0)</f>
        <v>0</v>
      </c>
      <c r="AK17" s="23">
        <f>-SUMIFS(ДДС_Расходование!$I:$I,ДДС_Расходование!$D:$D,$A17,ДДС_Расходование!$C:$C,AK$3)-IF('Договоры ГПХ'!$C$12=$A17,'Договоры ГПХ'!AA$9,0)</f>
        <v>0</v>
      </c>
      <c r="AL17" s="41">
        <f t="shared" ref="AL17" si="29">AI17+AJ17+AK17</f>
        <v>0</v>
      </c>
      <c r="AM17" s="41">
        <f t="shared" ref="AM17" si="30">AH17+AL17</f>
        <v>0</v>
      </c>
      <c r="AN17" s="23">
        <f>-SUMIFS(ДДС_Расходование!$I:$I,ДДС_Расходование!$D:$D,$A17,ДДС_Расходование!$C:$C,AN$3)-IF('Договоры ГПХ'!$C$12=$A17,'Договоры ГПХ'!AB$9,0)</f>
        <v>0</v>
      </c>
      <c r="AO17" s="23">
        <f>-SUMIFS(ДДС_Расходование!$I:$I,ДДС_Расходование!$D:$D,$A17,ДДС_Расходование!$C:$C,AO$3)-IF('Договоры ГПХ'!$C$12=$A17,'Договоры ГПХ'!AC$9,0)</f>
        <v>0</v>
      </c>
      <c r="AP17" s="23">
        <f>-SUMIFS(ДДС_Расходование!$I:$I,ДДС_Расходование!$D:$D,$A17,ДДС_Расходование!$C:$C,AP$3)-IF('Договоры ГПХ'!$C$12=$A17,'Договоры ГПХ'!AD$9,0)</f>
        <v>0</v>
      </c>
      <c r="AQ17" s="41">
        <f t="shared" ref="AQ17" si="31">AN17+AO17+AP17</f>
        <v>0</v>
      </c>
      <c r="AR17" s="41">
        <f t="shared" ref="AR17" si="32">AM17+AQ17</f>
        <v>0</v>
      </c>
      <c r="AS17" s="23">
        <f>-SUMIFS(ДДС_Расходование!$I:$I,ДДС_Расходование!$D:$D,$A17,ДДС_Расходование!$C:$C,AS$3)-IF('Договоры ГПХ'!$C$12=$A17,'Договоры ГПХ'!AE$9,0)</f>
        <v>0</v>
      </c>
      <c r="AT17" s="23">
        <f>-SUMIFS(ДДС_Расходование!$I:$I,ДДС_Расходование!$D:$D,$A17,ДДС_Расходование!$C:$C,AT$3)-IF('Договоры ГПХ'!$C$12=$A17,'Договоры ГПХ'!AF$9,0)</f>
        <v>0</v>
      </c>
      <c r="AU17" s="23">
        <f>-SUMIFS(ДДС_Расходование!$I:$I,ДДС_Расходование!$D:$D,$A17,ДДС_Расходование!$C:$C,AU$3)-IF('Договоры ГПХ'!$C$12=$A17,'Договоры ГПХ'!AG$9,0)</f>
        <v>0</v>
      </c>
      <c r="AV17" s="41">
        <f t="shared" ref="AV17" si="33">AS17+AT17+AU17</f>
        <v>0</v>
      </c>
      <c r="AW17" s="41">
        <f t="shared" ref="AW17" si="34">AR17+AV17</f>
        <v>0</v>
      </c>
      <c r="AY17" s="23">
        <f>-SUMIFS(ДДС_Расходование!$I:$I,ДДС_Расходование!$D:$D,$A17,ДДС_Расходование!$C:$C,AY$3)-IF('Договоры ГПХ'!$C$12=$A17,'Договоры ГПХ'!AJ$9,0)</f>
        <v>0</v>
      </c>
      <c r="AZ17" s="23">
        <f>-SUMIFS(ДДС_Расходование!$I:$I,ДДС_Расходование!$D:$D,$A17,ДДС_Расходование!$C:$C,AZ$3)-IF('Договоры ГПХ'!$C$12=$A17,'Договоры ГПХ'!AK$9,0)</f>
        <v>0</v>
      </c>
      <c r="BA17" s="23">
        <f>-SUMIFS(ДДС_Расходование!$I:$I,ДДС_Расходование!$D:$D,$A17,ДДС_Расходование!$C:$C,BA$3)-IF('Договоры ГПХ'!$C$12=$A17,'Договоры ГПХ'!AL$9,0)</f>
        <v>0</v>
      </c>
      <c r="BB17" s="41">
        <f t="shared" ref="BB17" si="35">AY17+AZ17+BA17</f>
        <v>0</v>
      </c>
      <c r="BC17" s="23">
        <f>-SUMIFS(ДДС_Расходование!$I:$I,ДДС_Расходование!$D:$D,$A17,ДДС_Расходование!$C:$C,BC$3)-IF('Договоры ГПХ'!$C$12=$A17,'Договоры ГПХ'!AM$9,0)</f>
        <v>0</v>
      </c>
      <c r="BD17" s="23">
        <f>-SUMIFS(ДДС_Расходование!$I:$I,ДДС_Расходование!$D:$D,$A17,ДДС_Расходование!$C:$C,BD$3)-IF('Договоры ГПХ'!$C$12=$A17,'Договоры ГПХ'!AN$9,0)</f>
        <v>0</v>
      </c>
      <c r="BE17" s="23">
        <f>-SUMIFS(ДДС_Расходование!$I:$I,ДДС_Расходование!$D:$D,$A17,ДДС_Расходование!$C:$C,BE$3)-IF('Договоры ГПХ'!$C$12=$A17,'Договоры ГПХ'!AO$9,0)</f>
        <v>0</v>
      </c>
      <c r="BF17" s="41">
        <f t="shared" ref="BF17" si="36">BC17+BD17+BE17</f>
        <v>0</v>
      </c>
      <c r="BG17" s="41">
        <f t="shared" ref="BG17" si="37">BB17+BF17</f>
        <v>0</v>
      </c>
      <c r="BH17" s="23">
        <f>-SUMIFS(ДДС_Расходование!$I:$I,ДДС_Расходование!$D:$D,$A17,ДДС_Расходование!$C:$C,BH$3)-IF('Договоры ГПХ'!$C$12=$A17,'Договоры ГПХ'!AP$9,0)</f>
        <v>0</v>
      </c>
      <c r="BI17" s="23">
        <f>-SUMIFS(ДДС_Расходование!$I:$I,ДДС_Расходование!$D:$D,$A17,ДДС_Расходование!$C:$C,BI$3)-IF('Договоры ГПХ'!$C$12=$A17,'Договоры ГПХ'!AQ$9,0)</f>
        <v>0</v>
      </c>
      <c r="BJ17" s="23">
        <f>-SUMIFS(ДДС_Расходование!$I:$I,ДДС_Расходование!$D:$D,$A17,ДДС_Расходование!$C:$C,BJ$3)-IF('Договоры ГПХ'!$C$12=$A17,'Договоры ГПХ'!AR$9,0)</f>
        <v>0</v>
      </c>
      <c r="BK17" s="41">
        <f t="shared" ref="BK17" si="38">BH17+BI17+BJ17</f>
        <v>0</v>
      </c>
      <c r="BL17" s="41">
        <f t="shared" ref="BL17" si="39">BG17+BK17</f>
        <v>0</v>
      </c>
      <c r="BM17" s="23">
        <f>-SUMIFS(ДДС_Расходование!$I:$I,ДДС_Расходование!$D:$D,$A17,ДДС_Расходование!$C:$C,BM$3)-IF('Договоры ГПХ'!$C$12=$A17,'Договоры ГПХ'!AS$9,0)</f>
        <v>0</v>
      </c>
      <c r="BN17" s="23">
        <f>-SUMIFS(ДДС_Расходование!$I:$I,ДДС_Расходование!$D:$D,$A17,ДДС_Расходование!$C:$C,BN$3)-IF('Договоры ГПХ'!$C$12=$A17,'Договоры ГПХ'!AT$9,0)</f>
        <v>0</v>
      </c>
      <c r="BO17" s="23">
        <f>-SUMIFS(ДДС_Расходование!$I:$I,ДДС_Расходование!$D:$D,$A17,ДДС_Расходование!$C:$C,BO$3)-IF('Договоры ГПХ'!$C$12=$A17,'Договоры ГПХ'!AU$9,0)</f>
        <v>0</v>
      </c>
      <c r="BP17" s="41">
        <f t="shared" ref="BP17" si="40">BM17+BN17+BO17</f>
        <v>0</v>
      </c>
      <c r="BQ17" s="41">
        <f t="shared" ref="BQ17" si="41">BL17+BP17</f>
        <v>0</v>
      </c>
      <c r="BS17" s="23">
        <f>-SUMIFS(ДДС_Расходование!$I:$I,ДДС_Расходование!$D:$D,$A17,ДДС_Расходование!$C:$C,BS$3)-IF('Договоры ГПХ'!$C$12=$A17,'Договоры ГПХ'!AX$9,0)</f>
        <v>0</v>
      </c>
      <c r="BT17" s="23">
        <f>-SUMIFS(ДДС_Расходование!$I:$I,ДДС_Расходование!$D:$D,$A17,ДДС_Расходование!$C:$C,BT$3)-IF('Договоры ГПХ'!$C$12=$A17,'Договоры ГПХ'!AY$9,0)</f>
        <v>0</v>
      </c>
      <c r="BU17" s="23">
        <f>-SUMIFS(ДДС_Расходование!$I:$I,ДДС_Расходование!$D:$D,$A17,ДДС_Расходование!$C:$C,BU$3)-IF('Договоры ГПХ'!$C$12=$A17,'Договоры ГПХ'!AZ$9,0)</f>
        <v>0</v>
      </c>
      <c r="BV17" s="41">
        <f t="shared" ref="BV17" si="42">BS17+BT17+BU17</f>
        <v>0</v>
      </c>
      <c r="BW17" s="23">
        <f>-SUMIFS(ДДС_Расходование!$I:$I,ДДС_Расходование!$D:$D,$A17,ДДС_Расходование!$C:$C,BW$3)-IF('Договоры ГПХ'!$C$12=$A17,'Договоры ГПХ'!BA$9,0)</f>
        <v>0</v>
      </c>
      <c r="BX17" s="23">
        <f>-SUMIFS(ДДС_Расходование!$I:$I,ДДС_Расходование!$D:$D,$A17,ДДС_Расходование!$C:$C,BX$3)-IF('Договоры ГПХ'!$C$12=$A17,'Договоры ГПХ'!BB$9,0)</f>
        <v>0</v>
      </c>
      <c r="BY17" s="23">
        <f>-SUMIFS(ДДС_Расходование!$I:$I,ДДС_Расходование!$D:$D,$A17,ДДС_Расходование!$C:$C,BY$3)-IF('Договоры ГПХ'!$C$12=$A17,'Договоры ГПХ'!BC$9,0)</f>
        <v>0</v>
      </c>
      <c r="BZ17" s="41">
        <f t="shared" ref="BZ17" si="43">BW17+BX17+BY17</f>
        <v>0</v>
      </c>
      <c r="CA17" s="41">
        <f t="shared" ref="CA17" si="44">BV17+BZ17</f>
        <v>0</v>
      </c>
      <c r="CB17" s="23">
        <f>-SUMIFS(ДДС_Расходование!$I:$I,ДДС_Расходование!$D:$D,$A17,ДДС_Расходование!$C:$C,CB$3)-IF('Договоры ГПХ'!$C$12=$A17,'Договоры ГПХ'!BD$9,0)</f>
        <v>0</v>
      </c>
      <c r="CC17" s="23">
        <f>-SUMIFS(ДДС_Расходование!$I:$I,ДДС_Расходование!$D:$D,$A17,ДДС_Расходование!$C:$C,CC$3)-IF('Договоры ГПХ'!$C$12=$A17,'Договоры ГПХ'!BE$9,0)</f>
        <v>0</v>
      </c>
      <c r="CD17" s="23">
        <f>-SUMIFS(ДДС_Расходование!$I:$I,ДДС_Расходование!$D:$D,$A17,ДДС_Расходование!$C:$C,CD$3)-IF('Договоры ГПХ'!$C$12=$A17,'Договоры ГПХ'!BF$9,0)</f>
        <v>0</v>
      </c>
      <c r="CE17" s="41">
        <f t="shared" ref="CE17" si="45">CB17+CC17+CD17</f>
        <v>0</v>
      </c>
      <c r="CF17" s="41">
        <f t="shared" ref="CF17" si="46">CA17+CE17</f>
        <v>0</v>
      </c>
      <c r="CG17" s="23">
        <f>-SUMIFS(ДДС_Расходование!$I:$I,ДДС_Расходование!$D:$D,$A17,ДДС_Расходование!$C:$C,CG$3)-IF('Договоры ГПХ'!$C$12=$A17,'Договоры ГПХ'!BG$9,0)</f>
        <v>0</v>
      </c>
      <c r="CH17" s="23">
        <f>-SUMIFS(ДДС_Расходование!$I:$I,ДДС_Расходование!$D:$D,$A17,ДДС_Расходование!$C:$C,CH$3)-IF('Договоры ГПХ'!$C$12=$A17,'Договоры ГПХ'!BH$9,0)</f>
        <v>0</v>
      </c>
      <c r="CI17" s="23">
        <f>-SUMIFS(ДДС_Расходование!$I:$I,ДДС_Расходование!$D:$D,$A17,ДДС_Расходование!$C:$C,CI$3)-IF('Договоры ГПХ'!$C$12=$A17,'Договоры ГПХ'!BI$9,0)</f>
        <v>0</v>
      </c>
      <c r="CJ17" s="41">
        <f t="shared" ref="CJ17" si="47">CG17+CH17+CI17</f>
        <v>0</v>
      </c>
      <c r="CK17" s="41">
        <f t="shared" ref="CK17" si="48">CF17+CJ17</f>
        <v>0</v>
      </c>
      <c r="CM17" s="23">
        <f>-SUMIFS(ДДС_Расходование!$I:$I,ДДС_Расходование!$D:$D,$A17,ДДС_Расходование!$C:$C,CM$3)-IF('Договоры ГПХ'!$C$12=$A17,'Договоры ГПХ'!BL$9,0)</f>
        <v>0</v>
      </c>
      <c r="CN17" s="23">
        <f>-SUMIFS(ДДС_Расходование!$I:$I,ДДС_Расходование!$D:$D,$A17,ДДС_Расходование!$C:$C,CN$3)-IF('Договоры ГПХ'!$C$12=$A17,'Договоры ГПХ'!BM$9,0)</f>
        <v>0</v>
      </c>
      <c r="CO17" s="23">
        <f>-SUMIFS(ДДС_Расходование!$I:$I,ДДС_Расходование!$D:$D,$A17,ДДС_Расходование!$C:$C,CO$3)-IF('Договоры ГПХ'!$C$12=$A17,'Договоры ГПХ'!BN$9,0)</f>
        <v>0</v>
      </c>
      <c r="CP17" s="41">
        <f t="shared" ref="CP17" si="49">CM17+CN17+CO17</f>
        <v>0</v>
      </c>
      <c r="CQ17" s="23">
        <f>-SUMIFS(ДДС_Расходование!$I:$I,ДДС_Расходование!$D:$D,$A17,ДДС_Расходование!$C:$C,CQ$3)-IF('Договоры ГПХ'!$C$12=$A17,'Договоры ГПХ'!BO$9,0)</f>
        <v>0</v>
      </c>
      <c r="CR17" s="23">
        <f>-SUMIFS(ДДС_Расходование!$I:$I,ДДС_Расходование!$D:$D,$A17,ДДС_Расходование!$C:$C,CR$3)-IF('Договоры ГПХ'!$C$12=$A17,'Договоры ГПХ'!BP$9,0)</f>
        <v>0</v>
      </c>
      <c r="CS17" s="23">
        <f>-SUMIFS(ДДС_Расходование!$I:$I,ДДС_Расходование!$D:$D,$A17,ДДС_Расходование!$C:$C,CS$3)-IF('Договоры ГПХ'!$C$12=$A17,'Договоры ГПХ'!BQ$9,0)</f>
        <v>0</v>
      </c>
      <c r="CT17" s="41">
        <f t="shared" ref="CT17" si="50">CQ17+CR17+CS17</f>
        <v>0</v>
      </c>
      <c r="CU17" s="41">
        <f t="shared" ref="CU17" si="51">CP17+CT17</f>
        <v>0</v>
      </c>
      <c r="CV17" s="23">
        <f>-SUMIFS(ДДС_Расходование!$I:$I,ДДС_Расходование!$D:$D,$A17,ДДС_Расходование!$C:$C,CV$3)-IF('Договоры ГПХ'!$C$12=$A17,'Договоры ГПХ'!BR$9,0)</f>
        <v>0</v>
      </c>
      <c r="CW17" s="23">
        <f>-SUMIFS(ДДС_Расходование!$I:$I,ДДС_Расходование!$D:$D,$A17,ДДС_Расходование!$C:$C,CW$3)-IF('Договоры ГПХ'!$C$12=$A17,'Договоры ГПХ'!BS$9,0)</f>
        <v>0</v>
      </c>
      <c r="CX17" s="23">
        <f>-SUMIFS(ДДС_Расходование!$I:$I,ДДС_Расходование!$D:$D,$A17,ДДС_Расходование!$C:$C,CX$3)-IF('Договоры ГПХ'!$C$12=$A17,'Договоры ГПХ'!BT$9,0)</f>
        <v>0</v>
      </c>
      <c r="CY17" s="41">
        <f t="shared" ref="CY17" si="52">CV17+CW17+CX17</f>
        <v>0</v>
      </c>
      <c r="CZ17" s="41">
        <f t="shared" ref="CZ17" si="53">CU17+CY17</f>
        <v>0</v>
      </c>
      <c r="DA17" s="23">
        <f>-SUMIFS(ДДС_Расходование!$I:$I,ДДС_Расходование!$D:$D,$A17,ДДС_Расходование!$C:$C,DA$3)-IF('Договоры ГПХ'!$C$12=$A17,'Договоры ГПХ'!BU$9,0)</f>
        <v>0</v>
      </c>
      <c r="DB17" s="23">
        <f>-SUMIFS(ДДС_Расходование!$I:$I,ДДС_Расходование!$D:$D,$A17,ДДС_Расходование!$C:$C,DB$3)-IF('Договоры ГПХ'!$C$12=$A17,'Договоры ГПХ'!BV$9,0)</f>
        <v>0</v>
      </c>
      <c r="DC17" s="23">
        <f>-SUMIFS(ДДС_Расходование!$I:$I,ДДС_Расходование!$D:$D,$A17,ДДС_Расходование!$C:$C,DC$3)-IF('Договоры ГПХ'!$C$12=$A17,'Договоры ГПХ'!BW$9,0)</f>
        <v>0</v>
      </c>
      <c r="DD17" s="41">
        <f t="shared" ref="DD17" si="54">DA17+DB17+DC17</f>
        <v>0</v>
      </c>
      <c r="DE17" s="41">
        <f t="shared" ref="DE17" si="55">CZ17+DD17</f>
        <v>0</v>
      </c>
    </row>
    <row r="18" spans="1:109" s="12" customFormat="1" ht="10.199999999999999" x14ac:dyDescent="0.2">
      <c r="A18" s="11" t="s">
        <v>179</v>
      </c>
      <c r="B18" s="11" t="str">
        <f t="shared" si="20"/>
        <v>Облачное хранилище для строительной компании с функцией архивации 202047 Внедрение ИТ-услуг</v>
      </c>
      <c r="E18" s="20">
        <v>202047</v>
      </c>
      <c r="F18" s="21" t="str">
        <f>'Карточка проекта'!$B$1</f>
        <v xml:space="preserve">Облачное хранилище для строительной компании с функцией архивации </v>
      </c>
      <c r="G18" s="43" t="s">
        <v>205</v>
      </c>
      <c r="I18" s="41">
        <f t="shared" ref="I18:I19" si="56">AC18+AW18+BQ18+CK18+DE18</f>
        <v>-1000000</v>
      </c>
      <c r="K18" s="23">
        <f>-SUMIFS(ДДС_Расходование!$I:$I,ДДС_Расходование!$D:$D,$A18,ДДС_Расходование!$C:$C,K$3)-IF('Договоры ГПХ'!$C$12=$A18,'Договоры ГПХ'!H$9,0)</f>
        <v>0</v>
      </c>
      <c r="L18" s="23">
        <f>-SUMIFS(ДДС_Расходование!$I:$I,ДДС_Расходование!$D:$D,$A18,ДДС_Расходование!$C:$C,L$3)-IF('Договоры ГПХ'!$C$12=$A18,'Договоры ГПХ'!I$9,0)</f>
        <v>0</v>
      </c>
      <c r="M18" s="23">
        <f>-SUMIFS(ДДС_Расходование!$I:$I,ДДС_Расходование!$D:$D,$A18,ДДС_Расходование!$C:$C,M$3)-IF('Договоры ГПХ'!$C$12=$A18,'Договоры ГПХ'!J$9,0)</f>
        <v>0</v>
      </c>
      <c r="N18" s="41">
        <f t="shared" ref="N18:N19" si="57">K18+L18+M18</f>
        <v>0</v>
      </c>
      <c r="O18" s="23">
        <f>-SUMIFS(ДДС_Расходование!$I:$I,ДДС_Расходование!$D:$D,$A18,ДДС_Расходование!$C:$C,O$3)-IF('Договоры ГПХ'!$C$12=$A18,'Договоры ГПХ'!K$9,0)</f>
        <v>0</v>
      </c>
      <c r="P18" s="23">
        <f>-SUMIFS(ДДС_Расходование!$I:$I,ДДС_Расходование!$D:$D,$A18,ДДС_Расходование!$C:$C,P$3)-IF('Договоры ГПХ'!$C$12=$A18,'Договоры ГПХ'!L$9,0)</f>
        <v>0</v>
      </c>
      <c r="Q18" s="23">
        <f>-SUMIFS(ДДС_Расходование!$I:$I,ДДС_Расходование!$D:$D,$A18,ДДС_Расходование!$C:$C,Q$3)-IF('Договоры ГПХ'!$C$12=$A18,'Договоры ГПХ'!M$9,0)</f>
        <v>0</v>
      </c>
      <c r="R18" s="22">
        <f t="shared" ref="R18:R19" si="58">O18+P18+Q18</f>
        <v>0</v>
      </c>
      <c r="S18" s="41">
        <f t="shared" ref="S18:S19" si="59">N18+R18</f>
        <v>0</v>
      </c>
      <c r="T18" s="23">
        <f>-SUMIFS(ДДС_Расходование!$I:$I,ДДС_Расходование!$D:$D,$A18,ДДС_Расходование!$C:$C,T$3)-IF('Договоры ГПХ'!$C$12=$A18,'Договоры ГПХ'!N$9,0)</f>
        <v>0</v>
      </c>
      <c r="U18" s="23">
        <f>-SUMIFS(ДДС_Расходование!$I:$I,ДДС_Расходование!$D:$D,$A18,ДДС_Расходование!$C:$C,U$3)-IF('Договоры ГПХ'!$C$12=$A18,'Договоры ГПХ'!O$9,0)</f>
        <v>0</v>
      </c>
      <c r="V18" s="23">
        <f>-SUMIFS(ДДС_Расходование!$I:$I,ДДС_Расходование!$D:$D,$A18,ДДС_Расходование!$C:$C,V$3)-IF('Договоры ГПХ'!$C$12=$A18,'Договоры ГПХ'!P$9,0)</f>
        <v>0</v>
      </c>
      <c r="W18" s="41">
        <f t="shared" ref="W18:W19" si="60">T18+U18+V18</f>
        <v>0</v>
      </c>
      <c r="X18" s="41">
        <f t="shared" ref="X18:X19" si="61">S18+W18</f>
        <v>0</v>
      </c>
      <c r="Y18" s="23">
        <f>-SUMIFS(ДДС_Расходование!$I:$I,ДДС_Расходование!$D:$D,$A18,ДДС_Расходование!$C:$C,Y$3)-IF('Договоры ГПХ'!$C$12=$A18,'Договоры ГПХ'!Q$9,0)</f>
        <v>0</v>
      </c>
      <c r="Z18" s="23">
        <f>-SUMIFS(ДДС_Расходование!$I:$I,ДДС_Расходование!$D:$D,$A18,ДДС_Расходование!$C:$C,Z$3)-IF('Договоры ГПХ'!$C$12=$A18,'Договоры ГПХ'!R$9,0)</f>
        <v>-1000000</v>
      </c>
      <c r="AA18" s="23">
        <f>-SUMIFS(ДДС_Расходование!$I:$I,ДДС_Расходование!$D:$D,$A18,ДДС_Расходование!$C:$C,AA$3)-IF('Договоры ГПХ'!$C$12=$A18,'Договоры ГПХ'!S$9,0)</f>
        <v>0</v>
      </c>
      <c r="AB18" s="22">
        <f t="shared" ref="AB18:AB19" si="62">Y18+Z18+AA18</f>
        <v>-1000000</v>
      </c>
      <c r="AC18" s="41">
        <f t="shared" ref="AC18:AC19" si="63">X18+AB18</f>
        <v>-1000000</v>
      </c>
      <c r="AE18" s="23">
        <f>-SUMIFS(ДДС_Расходование!$I:$I,ДДС_Расходование!$D:$D,$A18,ДДС_Расходование!$C:$C,AE$3)-IF('Договоры ГПХ'!$C$12=$A18,'Договоры ГПХ'!V$9,0)</f>
        <v>0</v>
      </c>
      <c r="AF18" s="23">
        <f>-SUMIFS(ДДС_Расходование!$I:$I,ДДС_Расходование!$D:$D,$A18,ДДС_Расходование!$C:$C,AF$3)-IF('Договоры ГПХ'!$C$12=$A18,'Договоры ГПХ'!W$9,0)</f>
        <v>0</v>
      </c>
      <c r="AG18" s="23">
        <f>-SUMIFS(ДДС_Расходование!$I:$I,ДДС_Расходование!$D:$D,$A18,ДДС_Расходование!$C:$C,AG$3)-IF('Договоры ГПХ'!$C$12=$A18,'Договоры ГПХ'!X$9,0)</f>
        <v>0</v>
      </c>
      <c r="AH18" s="41">
        <f t="shared" ref="AH18:AH19" si="64">AE18+AF18+AG18</f>
        <v>0</v>
      </c>
      <c r="AI18" s="23">
        <f>-SUMIFS(ДДС_Расходование!$I:$I,ДДС_Расходование!$D:$D,$A18,ДДС_Расходование!$C:$C,AI$3)-IF('Договоры ГПХ'!$C$12=$A18,'Договоры ГПХ'!Y$9,0)</f>
        <v>0</v>
      </c>
      <c r="AJ18" s="23">
        <f>-SUMIFS(ДДС_Расходование!$I:$I,ДДС_Расходование!$D:$D,$A18,ДДС_Расходование!$C:$C,AJ$3)-IF('Договоры ГПХ'!$C$12=$A18,'Договоры ГПХ'!Z$9,0)</f>
        <v>0</v>
      </c>
      <c r="AK18" s="23">
        <f>-SUMIFS(ДДС_Расходование!$I:$I,ДДС_Расходование!$D:$D,$A18,ДДС_Расходование!$C:$C,AK$3)-IF('Договоры ГПХ'!$C$12=$A18,'Договоры ГПХ'!AA$9,0)</f>
        <v>0</v>
      </c>
      <c r="AL18" s="41">
        <f t="shared" ref="AL18:AL19" si="65">AI18+AJ18+AK18</f>
        <v>0</v>
      </c>
      <c r="AM18" s="41">
        <f t="shared" ref="AM18:AM19" si="66">AH18+AL18</f>
        <v>0</v>
      </c>
      <c r="AN18" s="23">
        <f>-SUMIFS(ДДС_Расходование!$I:$I,ДДС_Расходование!$D:$D,$A18,ДДС_Расходование!$C:$C,AN$3)-IF('Договоры ГПХ'!$C$12=$A18,'Договоры ГПХ'!AB$9,0)</f>
        <v>0</v>
      </c>
      <c r="AO18" s="23">
        <f>-SUMIFS(ДДС_Расходование!$I:$I,ДДС_Расходование!$D:$D,$A18,ДДС_Расходование!$C:$C,AO$3)-IF('Договоры ГПХ'!$C$12=$A18,'Договоры ГПХ'!AC$9,0)</f>
        <v>0</v>
      </c>
      <c r="AP18" s="23">
        <f>-SUMIFS(ДДС_Расходование!$I:$I,ДДС_Расходование!$D:$D,$A18,ДДС_Расходование!$C:$C,AP$3)-IF('Договоры ГПХ'!$C$12=$A18,'Договоры ГПХ'!AD$9,0)</f>
        <v>0</v>
      </c>
      <c r="AQ18" s="41">
        <f t="shared" ref="AQ18:AQ19" si="67">AN18+AO18+AP18</f>
        <v>0</v>
      </c>
      <c r="AR18" s="41">
        <f t="shared" ref="AR18:AR19" si="68">AM18+AQ18</f>
        <v>0</v>
      </c>
      <c r="AS18" s="23">
        <f>-SUMIFS(ДДС_Расходование!$I:$I,ДДС_Расходование!$D:$D,$A18,ДДС_Расходование!$C:$C,AS$3)-IF('Договоры ГПХ'!$C$12=$A18,'Договоры ГПХ'!AE$9,0)</f>
        <v>0</v>
      </c>
      <c r="AT18" s="23">
        <f>-SUMIFS(ДДС_Расходование!$I:$I,ДДС_Расходование!$D:$D,$A18,ДДС_Расходование!$C:$C,AT$3)-IF('Договоры ГПХ'!$C$12=$A18,'Договоры ГПХ'!AF$9,0)</f>
        <v>0</v>
      </c>
      <c r="AU18" s="23">
        <f>-SUMIFS(ДДС_Расходование!$I:$I,ДДС_Расходование!$D:$D,$A18,ДДС_Расходование!$C:$C,AU$3)-IF('Договоры ГПХ'!$C$12=$A18,'Договоры ГПХ'!AG$9,0)</f>
        <v>0</v>
      </c>
      <c r="AV18" s="41">
        <f t="shared" ref="AV18:AV19" si="69">AS18+AT18+AU18</f>
        <v>0</v>
      </c>
      <c r="AW18" s="41">
        <f t="shared" ref="AW18:AW19" si="70">AR18+AV18</f>
        <v>0</v>
      </c>
      <c r="AY18" s="23">
        <f>-SUMIFS(ДДС_Расходование!$I:$I,ДДС_Расходование!$D:$D,$A18,ДДС_Расходование!$C:$C,AY$3)-IF('Договоры ГПХ'!$C$12=$A18,'Договоры ГПХ'!AJ$9,0)</f>
        <v>0</v>
      </c>
      <c r="AZ18" s="23">
        <f>-SUMIFS(ДДС_Расходование!$I:$I,ДДС_Расходование!$D:$D,$A18,ДДС_Расходование!$C:$C,AZ$3)-IF('Договоры ГПХ'!$C$12=$A18,'Договоры ГПХ'!AK$9,0)</f>
        <v>0</v>
      </c>
      <c r="BA18" s="23">
        <f>-SUMIFS(ДДС_Расходование!$I:$I,ДДС_Расходование!$D:$D,$A18,ДДС_Расходование!$C:$C,BA$3)-IF('Договоры ГПХ'!$C$12=$A18,'Договоры ГПХ'!AL$9,0)</f>
        <v>0</v>
      </c>
      <c r="BB18" s="41">
        <f t="shared" ref="BB18:BB19" si="71">AY18+AZ18+BA18</f>
        <v>0</v>
      </c>
      <c r="BC18" s="23">
        <f>-SUMIFS(ДДС_Расходование!$I:$I,ДДС_Расходование!$D:$D,$A18,ДДС_Расходование!$C:$C,BC$3)-IF('Договоры ГПХ'!$C$12=$A18,'Договоры ГПХ'!AM$9,0)</f>
        <v>0</v>
      </c>
      <c r="BD18" s="23">
        <f>-SUMIFS(ДДС_Расходование!$I:$I,ДДС_Расходование!$D:$D,$A18,ДДС_Расходование!$C:$C,BD$3)-IF('Договоры ГПХ'!$C$12=$A18,'Договоры ГПХ'!AN$9,0)</f>
        <v>0</v>
      </c>
      <c r="BE18" s="23">
        <f>-SUMIFS(ДДС_Расходование!$I:$I,ДДС_Расходование!$D:$D,$A18,ДДС_Расходование!$C:$C,BE$3)-IF('Договоры ГПХ'!$C$12=$A18,'Договоры ГПХ'!AO$9,0)</f>
        <v>0</v>
      </c>
      <c r="BF18" s="41">
        <f t="shared" ref="BF18:BF19" si="72">BC18+BD18+BE18</f>
        <v>0</v>
      </c>
      <c r="BG18" s="41">
        <f t="shared" ref="BG18:BG19" si="73">BB18+BF18</f>
        <v>0</v>
      </c>
      <c r="BH18" s="23">
        <f>-SUMIFS(ДДС_Расходование!$I:$I,ДДС_Расходование!$D:$D,$A18,ДДС_Расходование!$C:$C,BH$3)-IF('Договоры ГПХ'!$C$12=$A18,'Договоры ГПХ'!AP$9,0)</f>
        <v>0</v>
      </c>
      <c r="BI18" s="23">
        <f>-SUMIFS(ДДС_Расходование!$I:$I,ДДС_Расходование!$D:$D,$A18,ДДС_Расходование!$C:$C,BI$3)-IF('Договоры ГПХ'!$C$12=$A18,'Договоры ГПХ'!AQ$9,0)</f>
        <v>0</v>
      </c>
      <c r="BJ18" s="23">
        <f>-SUMIFS(ДДС_Расходование!$I:$I,ДДС_Расходование!$D:$D,$A18,ДДС_Расходование!$C:$C,BJ$3)-IF('Договоры ГПХ'!$C$12=$A18,'Договоры ГПХ'!AR$9,0)</f>
        <v>0</v>
      </c>
      <c r="BK18" s="41">
        <f t="shared" ref="BK18:BK19" si="74">BH18+BI18+BJ18</f>
        <v>0</v>
      </c>
      <c r="BL18" s="41">
        <f t="shared" ref="BL18:BL19" si="75">BG18+BK18</f>
        <v>0</v>
      </c>
      <c r="BM18" s="23">
        <f>-SUMIFS(ДДС_Расходование!$I:$I,ДДС_Расходование!$D:$D,$A18,ДДС_Расходование!$C:$C,BM$3)-IF('Договоры ГПХ'!$C$12=$A18,'Договоры ГПХ'!AS$9,0)</f>
        <v>0</v>
      </c>
      <c r="BN18" s="23">
        <f>-SUMIFS(ДДС_Расходование!$I:$I,ДДС_Расходование!$D:$D,$A18,ДДС_Расходование!$C:$C,BN$3)-IF('Договоры ГПХ'!$C$12=$A18,'Договоры ГПХ'!AT$9,0)</f>
        <v>0</v>
      </c>
      <c r="BO18" s="23">
        <f>-SUMIFS(ДДС_Расходование!$I:$I,ДДС_Расходование!$D:$D,$A18,ДДС_Расходование!$C:$C,BO$3)-IF('Договоры ГПХ'!$C$12=$A18,'Договоры ГПХ'!AU$9,0)</f>
        <v>0</v>
      </c>
      <c r="BP18" s="41">
        <f t="shared" ref="BP18:BP19" si="76">BM18+BN18+BO18</f>
        <v>0</v>
      </c>
      <c r="BQ18" s="41">
        <f t="shared" ref="BQ18:BQ19" si="77">BL18+BP18</f>
        <v>0</v>
      </c>
      <c r="BS18" s="23">
        <f>-SUMIFS(ДДС_Расходование!$I:$I,ДДС_Расходование!$D:$D,$A18,ДДС_Расходование!$C:$C,BS$3)-IF('Договоры ГПХ'!$C$12=$A18,'Договоры ГПХ'!AX$9,0)</f>
        <v>0</v>
      </c>
      <c r="BT18" s="23">
        <f>-SUMIFS(ДДС_Расходование!$I:$I,ДДС_Расходование!$D:$D,$A18,ДДС_Расходование!$C:$C,BT$3)-IF('Договоры ГПХ'!$C$12=$A18,'Договоры ГПХ'!AY$9,0)</f>
        <v>0</v>
      </c>
      <c r="BU18" s="23">
        <f>-SUMIFS(ДДС_Расходование!$I:$I,ДДС_Расходование!$D:$D,$A18,ДДС_Расходование!$C:$C,BU$3)-IF('Договоры ГПХ'!$C$12=$A18,'Договоры ГПХ'!AZ$9,0)</f>
        <v>0</v>
      </c>
      <c r="BV18" s="41">
        <f t="shared" ref="BV18:BV19" si="78">BS18+BT18+BU18</f>
        <v>0</v>
      </c>
      <c r="BW18" s="23">
        <f>-SUMIFS(ДДС_Расходование!$I:$I,ДДС_Расходование!$D:$D,$A18,ДДС_Расходование!$C:$C,BW$3)-IF('Договоры ГПХ'!$C$12=$A18,'Договоры ГПХ'!BA$9,0)</f>
        <v>0</v>
      </c>
      <c r="BX18" s="23">
        <f>-SUMIFS(ДДС_Расходование!$I:$I,ДДС_Расходование!$D:$D,$A18,ДДС_Расходование!$C:$C,BX$3)-IF('Договоры ГПХ'!$C$12=$A18,'Договоры ГПХ'!BB$9,0)</f>
        <v>0</v>
      </c>
      <c r="BY18" s="23">
        <f>-SUMIFS(ДДС_Расходование!$I:$I,ДДС_Расходование!$D:$D,$A18,ДДС_Расходование!$C:$C,BY$3)-IF('Договоры ГПХ'!$C$12=$A18,'Договоры ГПХ'!BC$9,0)</f>
        <v>0</v>
      </c>
      <c r="BZ18" s="41">
        <f t="shared" ref="BZ18:BZ19" si="79">BW18+BX18+BY18</f>
        <v>0</v>
      </c>
      <c r="CA18" s="41">
        <f t="shared" ref="CA18:CA19" si="80">BV18+BZ18</f>
        <v>0</v>
      </c>
      <c r="CB18" s="23">
        <f>-SUMIFS(ДДС_Расходование!$I:$I,ДДС_Расходование!$D:$D,$A18,ДДС_Расходование!$C:$C,CB$3)-IF('Договоры ГПХ'!$C$12=$A18,'Договоры ГПХ'!BD$9,0)</f>
        <v>0</v>
      </c>
      <c r="CC18" s="23">
        <f>-SUMIFS(ДДС_Расходование!$I:$I,ДДС_Расходование!$D:$D,$A18,ДДС_Расходование!$C:$C,CC$3)-IF('Договоры ГПХ'!$C$12=$A18,'Договоры ГПХ'!BE$9,0)</f>
        <v>0</v>
      </c>
      <c r="CD18" s="23">
        <f>-SUMIFS(ДДС_Расходование!$I:$I,ДДС_Расходование!$D:$D,$A18,ДДС_Расходование!$C:$C,CD$3)-IF('Договоры ГПХ'!$C$12=$A18,'Договоры ГПХ'!BF$9,0)</f>
        <v>0</v>
      </c>
      <c r="CE18" s="41">
        <f t="shared" ref="CE18:CE19" si="81">CB18+CC18+CD18</f>
        <v>0</v>
      </c>
      <c r="CF18" s="41">
        <f t="shared" ref="CF18:CF19" si="82">CA18+CE18</f>
        <v>0</v>
      </c>
      <c r="CG18" s="23">
        <f>-SUMIFS(ДДС_Расходование!$I:$I,ДДС_Расходование!$D:$D,$A18,ДДС_Расходование!$C:$C,CG$3)-IF('Договоры ГПХ'!$C$12=$A18,'Договоры ГПХ'!BG$9,0)</f>
        <v>0</v>
      </c>
      <c r="CH18" s="23">
        <f>-SUMIFS(ДДС_Расходование!$I:$I,ДДС_Расходование!$D:$D,$A18,ДДС_Расходование!$C:$C,CH$3)-IF('Договоры ГПХ'!$C$12=$A18,'Договоры ГПХ'!BH$9,0)</f>
        <v>0</v>
      </c>
      <c r="CI18" s="23">
        <f>-SUMIFS(ДДС_Расходование!$I:$I,ДДС_Расходование!$D:$D,$A18,ДДС_Расходование!$C:$C,CI$3)-IF('Договоры ГПХ'!$C$12=$A18,'Договоры ГПХ'!BI$9,0)</f>
        <v>0</v>
      </c>
      <c r="CJ18" s="41">
        <f t="shared" ref="CJ18:CJ19" si="83">CG18+CH18+CI18</f>
        <v>0</v>
      </c>
      <c r="CK18" s="41">
        <f t="shared" ref="CK18:CK19" si="84">CF18+CJ18</f>
        <v>0</v>
      </c>
      <c r="CM18" s="23">
        <f>-SUMIFS(ДДС_Расходование!$I:$I,ДДС_Расходование!$D:$D,$A18,ДДС_Расходование!$C:$C,CM$3)-IF('Договоры ГПХ'!$C$12=$A18,'Договоры ГПХ'!BL$9,0)</f>
        <v>0</v>
      </c>
      <c r="CN18" s="23">
        <f>-SUMIFS(ДДС_Расходование!$I:$I,ДДС_Расходование!$D:$D,$A18,ДДС_Расходование!$C:$C,CN$3)-IF('Договоры ГПХ'!$C$12=$A18,'Договоры ГПХ'!BM$9,0)</f>
        <v>0</v>
      </c>
      <c r="CO18" s="23">
        <f>-SUMIFS(ДДС_Расходование!$I:$I,ДДС_Расходование!$D:$D,$A18,ДДС_Расходование!$C:$C,CO$3)-IF('Договоры ГПХ'!$C$12=$A18,'Договоры ГПХ'!BN$9,0)</f>
        <v>0</v>
      </c>
      <c r="CP18" s="41">
        <f t="shared" ref="CP18:CP19" si="85">CM18+CN18+CO18</f>
        <v>0</v>
      </c>
      <c r="CQ18" s="23">
        <f>-SUMIFS(ДДС_Расходование!$I:$I,ДДС_Расходование!$D:$D,$A18,ДДС_Расходование!$C:$C,CQ$3)-IF('Договоры ГПХ'!$C$12=$A18,'Договоры ГПХ'!BO$9,0)</f>
        <v>0</v>
      </c>
      <c r="CR18" s="23">
        <f>-SUMIFS(ДДС_Расходование!$I:$I,ДДС_Расходование!$D:$D,$A18,ДДС_Расходование!$C:$C,CR$3)-IF('Договоры ГПХ'!$C$12=$A18,'Договоры ГПХ'!BP$9,0)</f>
        <v>0</v>
      </c>
      <c r="CS18" s="23">
        <f>-SUMIFS(ДДС_Расходование!$I:$I,ДДС_Расходование!$D:$D,$A18,ДДС_Расходование!$C:$C,CS$3)-IF('Договоры ГПХ'!$C$12=$A18,'Договоры ГПХ'!BQ$9,0)</f>
        <v>0</v>
      </c>
      <c r="CT18" s="41">
        <f t="shared" ref="CT18:CT19" si="86">CQ18+CR18+CS18</f>
        <v>0</v>
      </c>
      <c r="CU18" s="41">
        <f t="shared" ref="CU18:CU19" si="87">CP18+CT18</f>
        <v>0</v>
      </c>
      <c r="CV18" s="23">
        <f>-SUMIFS(ДДС_Расходование!$I:$I,ДДС_Расходование!$D:$D,$A18,ДДС_Расходование!$C:$C,CV$3)-IF('Договоры ГПХ'!$C$12=$A18,'Договоры ГПХ'!BR$9,0)</f>
        <v>0</v>
      </c>
      <c r="CW18" s="23">
        <f>-SUMIFS(ДДС_Расходование!$I:$I,ДДС_Расходование!$D:$D,$A18,ДДС_Расходование!$C:$C,CW$3)-IF('Договоры ГПХ'!$C$12=$A18,'Договоры ГПХ'!BS$9,0)</f>
        <v>0</v>
      </c>
      <c r="CX18" s="23">
        <f>-SUMIFS(ДДС_Расходование!$I:$I,ДДС_Расходование!$D:$D,$A18,ДДС_Расходование!$C:$C,CX$3)-IF('Договоры ГПХ'!$C$12=$A18,'Договоры ГПХ'!BT$9,0)</f>
        <v>0</v>
      </c>
      <c r="CY18" s="41">
        <f t="shared" ref="CY18:CY19" si="88">CV18+CW18+CX18</f>
        <v>0</v>
      </c>
      <c r="CZ18" s="41">
        <f t="shared" ref="CZ18:CZ19" si="89">CU18+CY18</f>
        <v>0</v>
      </c>
      <c r="DA18" s="23">
        <f>-SUMIFS(ДДС_Расходование!$I:$I,ДДС_Расходование!$D:$D,$A18,ДДС_Расходование!$C:$C,DA$3)-IF('Договоры ГПХ'!$C$12=$A18,'Договоры ГПХ'!BU$9,0)</f>
        <v>0</v>
      </c>
      <c r="DB18" s="23">
        <f>-SUMIFS(ДДС_Расходование!$I:$I,ДДС_Расходование!$D:$D,$A18,ДДС_Расходование!$C:$C,DB$3)-IF('Договоры ГПХ'!$C$12=$A18,'Договоры ГПХ'!BV$9,0)</f>
        <v>0</v>
      </c>
      <c r="DC18" s="23">
        <f>-SUMIFS(ДДС_Расходование!$I:$I,ДДС_Расходование!$D:$D,$A18,ДДС_Расходование!$C:$C,DC$3)-IF('Договоры ГПХ'!$C$12=$A18,'Договоры ГПХ'!BW$9,0)</f>
        <v>0</v>
      </c>
      <c r="DD18" s="41">
        <f t="shared" ref="DD18:DD19" si="90">DA18+DB18+DC18</f>
        <v>0</v>
      </c>
      <c r="DE18" s="41">
        <f t="shared" ref="DE18:DE19" si="91">CZ18+DD18</f>
        <v>0</v>
      </c>
    </row>
    <row r="19" spans="1:109" s="12" customFormat="1" ht="10.199999999999999" x14ac:dyDescent="0.2">
      <c r="A19" s="11" t="s">
        <v>177</v>
      </c>
      <c r="B19" s="11" t="str">
        <f t="shared" si="20"/>
        <v>Облачное хранилище для строительной компании с функцией архивации 202056 Закупка ПО</v>
      </c>
      <c r="E19" s="20">
        <v>202056</v>
      </c>
      <c r="F19" s="21" t="str">
        <f>'Карточка проекта'!$B$1</f>
        <v xml:space="preserve">Облачное хранилище для строительной компании с функцией архивации </v>
      </c>
      <c r="G19" s="43" t="s">
        <v>209</v>
      </c>
      <c r="I19" s="41">
        <f t="shared" si="56"/>
        <v>-410000</v>
      </c>
      <c r="K19" s="23">
        <f>-SUMIFS(ДДС_Расходование!$I:$I,ДДС_Расходование!$D:$D,$A19,ДДС_Расходование!$C:$C,K$3)-IF('Договоры ГПХ'!$C$12=$A19,'Договоры ГПХ'!H$9,0)</f>
        <v>0</v>
      </c>
      <c r="L19" s="23">
        <f>-SUMIFS(ДДС_Расходование!$I:$I,ДДС_Расходование!$D:$D,$A19,ДДС_Расходование!$C:$C,L$3)-IF('Договоры ГПХ'!$C$12=$A19,'Договоры ГПХ'!I$9,0)</f>
        <v>0</v>
      </c>
      <c r="M19" s="23">
        <f>-SUMIFS(ДДС_Расходование!$I:$I,ДДС_Расходование!$D:$D,$A19,ДДС_Расходование!$C:$C,M$3)-IF('Договоры ГПХ'!$C$12=$A19,'Договоры ГПХ'!J$9,0)</f>
        <v>0</v>
      </c>
      <c r="N19" s="41">
        <f t="shared" si="57"/>
        <v>0</v>
      </c>
      <c r="O19" s="23">
        <f>-SUMIFS(ДДС_Расходование!$I:$I,ДДС_Расходование!$D:$D,$A19,ДДС_Расходование!$C:$C,O$3)-IF('Договоры ГПХ'!$C$12=$A19,'Договоры ГПХ'!K$9,0)</f>
        <v>0</v>
      </c>
      <c r="P19" s="23">
        <f>-SUMIFS(ДДС_Расходование!$I:$I,ДДС_Расходование!$D:$D,$A19,ДДС_Расходование!$C:$C,P$3)-IF('Договоры ГПХ'!$C$12=$A19,'Договоры ГПХ'!L$9,0)</f>
        <v>0</v>
      </c>
      <c r="Q19" s="23">
        <f>-SUMIFS(ДДС_Расходование!$I:$I,ДДС_Расходование!$D:$D,$A19,ДДС_Расходование!$C:$C,Q$3)-IF('Договоры ГПХ'!$C$12=$A19,'Договоры ГПХ'!M$9,0)</f>
        <v>0</v>
      </c>
      <c r="R19" s="22">
        <f t="shared" si="58"/>
        <v>0</v>
      </c>
      <c r="S19" s="41">
        <f t="shared" si="59"/>
        <v>0</v>
      </c>
      <c r="T19" s="23">
        <f>-SUMIFS(ДДС_Расходование!$I:$I,ДДС_Расходование!$D:$D,$A19,ДДС_Расходование!$C:$C,T$3)-IF('Договоры ГПХ'!$C$12=$A19,'Договоры ГПХ'!N$9,0)</f>
        <v>0</v>
      </c>
      <c r="U19" s="23">
        <f>-SUMIFS(ДДС_Расходование!$I:$I,ДДС_Расходование!$D:$D,$A19,ДДС_Расходование!$C:$C,U$3)-IF('Договоры ГПХ'!$C$12=$A19,'Договоры ГПХ'!O$9,0)</f>
        <v>0</v>
      </c>
      <c r="V19" s="23">
        <f>-SUMIFS(ДДС_Расходование!$I:$I,ДДС_Расходование!$D:$D,$A19,ДДС_Расходование!$C:$C,V$3)-IF('Договоры ГПХ'!$C$12=$A19,'Договоры ГПХ'!P$9,0)</f>
        <v>-410000</v>
      </c>
      <c r="W19" s="41">
        <f t="shared" si="60"/>
        <v>-410000</v>
      </c>
      <c r="X19" s="41">
        <f t="shared" si="61"/>
        <v>-410000</v>
      </c>
      <c r="Y19" s="23">
        <f>-SUMIFS(ДДС_Расходование!$I:$I,ДДС_Расходование!$D:$D,$A19,ДДС_Расходование!$C:$C,Y$3)-IF('Договоры ГПХ'!$C$12=$A19,'Договоры ГПХ'!Q$9,0)</f>
        <v>0</v>
      </c>
      <c r="Z19" s="23">
        <f>-SUMIFS(ДДС_Расходование!$I:$I,ДДС_Расходование!$D:$D,$A19,ДДС_Расходование!$C:$C,Z$3)-IF('Договоры ГПХ'!$C$12=$A19,'Договоры ГПХ'!R$9,0)</f>
        <v>0</v>
      </c>
      <c r="AA19" s="23">
        <f>-SUMIFS(ДДС_Расходование!$I:$I,ДДС_Расходование!$D:$D,$A19,ДДС_Расходование!$C:$C,AA$3)-IF('Договоры ГПХ'!$C$12=$A19,'Договоры ГПХ'!S$9,0)</f>
        <v>0</v>
      </c>
      <c r="AB19" s="22">
        <f t="shared" si="62"/>
        <v>0</v>
      </c>
      <c r="AC19" s="41">
        <f t="shared" si="63"/>
        <v>-410000</v>
      </c>
      <c r="AE19" s="23">
        <f>-SUMIFS(ДДС_Расходование!$I:$I,ДДС_Расходование!$D:$D,$A19,ДДС_Расходование!$C:$C,AE$3)-IF('Договоры ГПХ'!$C$12=$A19,'Договоры ГПХ'!V$9,0)</f>
        <v>0</v>
      </c>
      <c r="AF19" s="23">
        <f>-SUMIFS(ДДС_Расходование!$I:$I,ДДС_Расходование!$D:$D,$A19,ДДС_Расходование!$C:$C,AF$3)-IF('Договоры ГПХ'!$C$12=$A19,'Договоры ГПХ'!W$9,0)</f>
        <v>0</v>
      </c>
      <c r="AG19" s="23">
        <f>-SUMIFS(ДДС_Расходование!$I:$I,ДДС_Расходование!$D:$D,$A19,ДДС_Расходование!$C:$C,AG$3)-IF('Договоры ГПХ'!$C$12=$A19,'Договоры ГПХ'!X$9,0)</f>
        <v>0</v>
      </c>
      <c r="AH19" s="41">
        <f t="shared" si="64"/>
        <v>0</v>
      </c>
      <c r="AI19" s="23">
        <f>-SUMIFS(ДДС_Расходование!$I:$I,ДДС_Расходование!$D:$D,$A19,ДДС_Расходование!$C:$C,AI$3)-IF('Договоры ГПХ'!$C$12=$A19,'Договоры ГПХ'!Y$9,0)</f>
        <v>0</v>
      </c>
      <c r="AJ19" s="23">
        <f>-SUMIFS(ДДС_Расходование!$I:$I,ДДС_Расходование!$D:$D,$A19,ДДС_Расходование!$C:$C,AJ$3)-IF('Договоры ГПХ'!$C$12=$A19,'Договоры ГПХ'!Z$9,0)</f>
        <v>0</v>
      </c>
      <c r="AK19" s="23">
        <f>-SUMIFS(ДДС_Расходование!$I:$I,ДДС_Расходование!$D:$D,$A19,ДДС_Расходование!$C:$C,AK$3)-IF('Договоры ГПХ'!$C$12=$A19,'Договоры ГПХ'!AA$9,0)</f>
        <v>0</v>
      </c>
      <c r="AL19" s="41">
        <f t="shared" si="65"/>
        <v>0</v>
      </c>
      <c r="AM19" s="41">
        <f t="shared" si="66"/>
        <v>0</v>
      </c>
      <c r="AN19" s="23">
        <f>-SUMIFS(ДДС_Расходование!$I:$I,ДДС_Расходование!$D:$D,$A19,ДДС_Расходование!$C:$C,AN$3)-IF('Договоры ГПХ'!$C$12=$A19,'Договоры ГПХ'!AB$9,0)</f>
        <v>0</v>
      </c>
      <c r="AO19" s="23">
        <f>-SUMIFS(ДДС_Расходование!$I:$I,ДДС_Расходование!$D:$D,$A19,ДДС_Расходование!$C:$C,AO$3)-IF('Договоры ГПХ'!$C$12=$A19,'Договоры ГПХ'!AC$9,0)</f>
        <v>0</v>
      </c>
      <c r="AP19" s="23">
        <f>-SUMIFS(ДДС_Расходование!$I:$I,ДДС_Расходование!$D:$D,$A19,ДДС_Расходование!$C:$C,AP$3)-IF('Договоры ГПХ'!$C$12=$A19,'Договоры ГПХ'!AD$9,0)</f>
        <v>0</v>
      </c>
      <c r="AQ19" s="41">
        <f t="shared" si="67"/>
        <v>0</v>
      </c>
      <c r="AR19" s="41">
        <f t="shared" si="68"/>
        <v>0</v>
      </c>
      <c r="AS19" s="23">
        <f>-SUMIFS(ДДС_Расходование!$I:$I,ДДС_Расходование!$D:$D,$A19,ДДС_Расходование!$C:$C,AS$3)-IF('Договоры ГПХ'!$C$12=$A19,'Договоры ГПХ'!AE$9,0)</f>
        <v>0</v>
      </c>
      <c r="AT19" s="23">
        <f>-SUMIFS(ДДС_Расходование!$I:$I,ДДС_Расходование!$D:$D,$A19,ДДС_Расходование!$C:$C,AT$3)-IF('Договоры ГПХ'!$C$12=$A19,'Договоры ГПХ'!AF$9,0)</f>
        <v>0</v>
      </c>
      <c r="AU19" s="23">
        <f>-SUMIFS(ДДС_Расходование!$I:$I,ДДС_Расходование!$D:$D,$A19,ДДС_Расходование!$C:$C,AU$3)-IF('Договоры ГПХ'!$C$12=$A19,'Договоры ГПХ'!AG$9,0)</f>
        <v>0</v>
      </c>
      <c r="AV19" s="41">
        <f t="shared" si="69"/>
        <v>0</v>
      </c>
      <c r="AW19" s="41">
        <f t="shared" si="70"/>
        <v>0</v>
      </c>
      <c r="AY19" s="23">
        <f>-SUMIFS(ДДС_Расходование!$I:$I,ДДС_Расходование!$D:$D,$A19,ДДС_Расходование!$C:$C,AY$3)-IF('Договоры ГПХ'!$C$12=$A19,'Договоры ГПХ'!AJ$9,0)</f>
        <v>0</v>
      </c>
      <c r="AZ19" s="23">
        <f>-SUMIFS(ДДС_Расходование!$I:$I,ДДС_Расходование!$D:$D,$A19,ДДС_Расходование!$C:$C,AZ$3)-IF('Договоры ГПХ'!$C$12=$A19,'Договоры ГПХ'!AK$9,0)</f>
        <v>0</v>
      </c>
      <c r="BA19" s="23">
        <f>-SUMIFS(ДДС_Расходование!$I:$I,ДДС_Расходование!$D:$D,$A19,ДДС_Расходование!$C:$C,BA$3)-IF('Договоры ГПХ'!$C$12=$A19,'Договоры ГПХ'!AL$9,0)</f>
        <v>0</v>
      </c>
      <c r="BB19" s="41">
        <f t="shared" si="71"/>
        <v>0</v>
      </c>
      <c r="BC19" s="23">
        <f>-SUMIFS(ДДС_Расходование!$I:$I,ДДС_Расходование!$D:$D,$A19,ДДС_Расходование!$C:$C,BC$3)-IF('Договоры ГПХ'!$C$12=$A19,'Договоры ГПХ'!AM$9,0)</f>
        <v>0</v>
      </c>
      <c r="BD19" s="23">
        <f>-SUMIFS(ДДС_Расходование!$I:$I,ДДС_Расходование!$D:$D,$A19,ДДС_Расходование!$C:$C,BD$3)-IF('Договоры ГПХ'!$C$12=$A19,'Договоры ГПХ'!AN$9,0)</f>
        <v>0</v>
      </c>
      <c r="BE19" s="23">
        <f>-SUMIFS(ДДС_Расходование!$I:$I,ДДС_Расходование!$D:$D,$A19,ДДС_Расходование!$C:$C,BE$3)-IF('Договоры ГПХ'!$C$12=$A19,'Договоры ГПХ'!AO$9,0)</f>
        <v>0</v>
      </c>
      <c r="BF19" s="41">
        <f t="shared" si="72"/>
        <v>0</v>
      </c>
      <c r="BG19" s="41">
        <f t="shared" si="73"/>
        <v>0</v>
      </c>
      <c r="BH19" s="23">
        <f>-SUMIFS(ДДС_Расходование!$I:$I,ДДС_Расходование!$D:$D,$A19,ДДС_Расходование!$C:$C,BH$3)-IF('Договоры ГПХ'!$C$12=$A19,'Договоры ГПХ'!AP$9,0)</f>
        <v>0</v>
      </c>
      <c r="BI19" s="23">
        <f>-SUMIFS(ДДС_Расходование!$I:$I,ДДС_Расходование!$D:$D,$A19,ДДС_Расходование!$C:$C,BI$3)-IF('Договоры ГПХ'!$C$12=$A19,'Договоры ГПХ'!AQ$9,0)</f>
        <v>0</v>
      </c>
      <c r="BJ19" s="23">
        <f>-SUMIFS(ДДС_Расходование!$I:$I,ДДС_Расходование!$D:$D,$A19,ДДС_Расходование!$C:$C,BJ$3)-IF('Договоры ГПХ'!$C$12=$A19,'Договоры ГПХ'!AR$9,0)</f>
        <v>0</v>
      </c>
      <c r="BK19" s="41">
        <f t="shared" si="74"/>
        <v>0</v>
      </c>
      <c r="BL19" s="41">
        <f t="shared" si="75"/>
        <v>0</v>
      </c>
      <c r="BM19" s="23">
        <f>-SUMIFS(ДДС_Расходование!$I:$I,ДДС_Расходование!$D:$D,$A19,ДДС_Расходование!$C:$C,BM$3)-IF('Договоры ГПХ'!$C$12=$A19,'Договоры ГПХ'!AS$9,0)</f>
        <v>0</v>
      </c>
      <c r="BN19" s="23">
        <f>-SUMIFS(ДДС_Расходование!$I:$I,ДДС_Расходование!$D:$D,$A19,ДДС_Расходование!$C:$C,BN$3)-IF('Договоры ГПХ'!$C$12=$A19,'Договоры ГПХ'!AT$9,0)</f>
        <v>0</v>
      </c>
      <c r="BO19" s="23">
        <f>-SUMIFS(ДДС_Расходование!$I:$I,ДДС_Расходование!$D:$D,$A19,ДДС_Расходование!$C:$C,BO$3)-IF('Договоры ГПХ'!$C$12=$A19,'Договоры ГПХ'!AU$9,0)</f>
        <v>0</v>
      </c>
      <c r="BP19" s="41">
        <f t="shared" si="76"/>
        <v>0</v>
      </c>
      <c r="BQ19" s="41">
        <f t="shared" si="77"/>
        <v>0</v>
      </c>
      <c r="BS19" s="23">
        <f>-SUMIFS(ДДС_Расходование!$I:$I,ДДС_Расходование!$D:$D,$A19,ДДС_Расходование!$C:$C,BS$3)-IF('Договоры ГПХ'!$C$12=$A19,'Договоры ГПХ'!AX$9,0)</f>
        <v>0</v>
      </c>
      <c r="BT19" s="23">
        <f>-SUMIFS(ДДС_Расходование!$I:$I,ДДС_Расходование!$D:$D,$A19,ДДС_Расходование!$C:$C,BT$3)-IF('Договоры ГПХ'!$C$12=$A19,'Договоры ГПХ'!AY$9,0)</f>
        <v>0</v>
      </c>
      <c r="BU19" s="23">
        <f>-SUMIFS(ДДС_Расходование!$I:$I,ДДС_Расходование!$D:$D,$A19,ДДС_Расходование!$C:$C,BU$3)-IF('Договоры ГПХ'!$C$12=$A19,'Договоры ГПХ'!AZ$9,0)</f>
        <v>0</v>
      </c>
      <c r="BV19" s="41">
        <f t="shared" si="78"/>
        <v>0</v>
      </c>
      <c r="BW19" s="23">
        <f>-SUMIFS(ДДС_Расходование!$I:$I,ДДС_Расходование!$D:$D,$A19,ДДС_Расходование!$C:$C,BW$3)-IF('Договоры ГПХ'!$C$12=$A19,'Договоры ГПХ'!BA$9,0)</f>
        <v>0</v>
      </c>
      <c r="BX19" s="23">
        <f>-SUMIFS(ДДС_Расходование!$I:$I,ДДС_Расходование!$D:$D,$A19,ДДС_Расходование!$C:$C,BX$3)-IF('Договоры ГПХ'!$C$12=$A19,'Договоры ГПХ'!BB$9,0)</f>
        <v>0</v>
      </c>
      <c r="BY19" s="23">
        <f>-SUMIFS(ДДС_Расходование!$I:$I,ДДС_Расходование!$D:$D,$A19,ДДС_Расходование!$C:$C,BY$3)-IF('Договоры ГПХ'!$C$12=$A19,'Договоры ГПХ'!BC$9,0)</f>
        <v>0</v>
      </c>
      <c r="BZ19" s="41">
        <f t="shared" si="79"/>
        <v>0</v>
      </c>
      <c r="CA19" s="41">
        <f t="shared" si="80"/>
        <v>0</v>
      </c>
      <c r="CB19" s="23">
        <f>-SUMIFS(ДДС_Расходование!$I:$I,ДДС_Расходование!$D:$D,$A19,ДДС_Расходование!$C:$C,CB$3)-IF('Договоры ГПХ'!$C$12=$A19,'Договоры ГПХ'!BD$9,0)</f>
        <v>0</v>
      </c>
      <c r="CC19" s="23">
        <f>-SUMIFS(ДДС_Расходование!$I:$I,ДДС_Расходование!$D:$D,$A19,ДДС_Расходование!$C:$C,CC$3)-IF('Договоры ГПХ'!$C$12=$A19,'Договоры ГПХ'!BE$9,0)</f>
        <v>0</v>
      </c>
      <c r="CD19" s="23">
        <f>-SUMIFS(ДДС_Расходование!$I:$I,ДДС_Расходование!$D:$D,$A19,ДДС_Расходование!$C:$C,CD$3)-IF('Договоры ГПХ'!$C$12=$A19,'Договоры ГПХ'!BF$9,0)</f>
        <v>0</v>
      </c>
      <c r="CE19" s="41">
        <f t="shared" si="81"/>
        <v>0</v>
      </c>
      <c r="CF19" s="41">
        <f t="shared" si="82"/>
        <v>0</v>
      </c>
      <c r="CG19" s="23">
        <f>-SUMIFS(ДДС_Расходование!$I:$I,ДДС_Расходование!$D:$D,$A19,ДДС_Расходование!$C:$C,CG$3)-IF('Договоры ГПХ'!$C$12=$A19,'Договоры ГПХ'!BG$9,0)</f>
        <v>0</v>
      </c>
      <c r="CH19" s="23">
        <f>-SUMIFS(ДДС_Расходование!$I:$I,ДДС_Расходование!$D:$D,$A19,ДДС_Расходование!$C:$C,CH$3)-IF('Договоры ГПХ'!$C$12=$A19,'Договоры ГПХ'!BH$9,0)</f>
        <v>0</v>
      </c>
      <c r="CI19" s="23">
        <f>-SUMIFS(ДДС_Расходование!$I:$I,ДДС_Расходование!$D:$D,$A19,ДДС_Расходование!$C:$C,CI$3)-IF('Договоры ГПХ'!$C$12=$A19,'Договоры ГПХ'!BI$9,0)</f>
        <v>0</v>
      </c>
      <c r="CJ19" s="41">
        <f t="shared" si="83"/>
        <v>0</v>
      </c>
      <c r="CK19" s="41">
        <f t="shared" si="84"/>
        <v>0</v>
      </c>
      <c r="CM19" s="23">
        <f>-SUMIFS(ДДС_Расходование!$I:$I,ДДС_Расходование!$D:$D,$A19,ДДС_Расходование!$C:$C,CM$3)-IF('Договоры ГПХ'!$C$12=$A19,'Договоры ГПХ'!BL$9,0)</f>
        <v>0</v>
      </c>
      <c r="CN19" s="23">
        <f>-SUMIFS(ДДС_Расходование!$I:$I,ДДС_Расходование!$D:$D,$A19,ДДС_Расходование!$C:$C,CN$3)-IF('Договоры ГПХ'!$C$12=$A19,'Договоры ГПХ'!BM$9,0)</f>
        <v>0</v>
      </c>
      <c r="CO19" s="23">
        <f>-SUMIFS(ДДС_Расходование!$I:$I,ДДС_Расходование!$D:$D,$A19,ДДС_Расходование!$C:$C,CO$3)-IF('Договоры ГПХ'!$C$12=$A19,'Договоры ГПХ'!BN$9,0)</f>
        <v>0</v>
      </c>
      <c r="CP19" s="41">
        <f t="shared" si="85"/>
        <v>0</v>
      </c>
      <c r="CQ19" s="23">
        <f>-SUMIFS(ДДС_Расходование!$I:$I,ДДС_Расходование!$D:$D,$A19,ДДС_Расходование!$C:$C,CQ$3)-IF('Договоры ГПХ'!$C$12=$A19,'Договоры ГПХ'!BO$9,0)</f>
        <v>0</v>
      </c>
      <c r="CR19" s="23">
        <f>-SUMIFS(ДДС_Расходование!$I:$I,ДДС_Расходование!$D:$D,$A19,ДДС_Расходование!$C:$C,CR$3)-IF('Договоры ГПХ'!$C$12=$A19,'Договоры ГПХ'!BP$9,0)</f>
        <v>0</v>
      </c>
      <c r="CS19" s="23">
        <f>-SUMIFS(ДДС_Расходование!$I:$I,ДДС_Расходование!$D:$D,$A19,ДДС_Расходование!$C:$C,CS$3)-IF('Договоры ГПХ'!$C$12=$A19,'Договоры ГПХ'!BQ$9,0)</f>
        <v>0</v>
      </c>
      <c r="CT19" s="41">
        <f t="shared" si="86"/>
        <v>0</v>
      </c>
      <c r="CU19" s="41">
        <f t="shared" si="87"/>
        <v>0</v>
      </c>
      <c r="CV19" s="23">
        <f>-SUMIFS(ДДС_Расходование!$I:$I,ДДС_Расходование!$D:$D,$A19,ДДС_Расходование!$C:$C,CV$3)-IF('Договоры ГПХ'!$C$12=$A19,'Договоры ГПХ'!BR$9,0)</f>
        <v>0</v>
      </c>
      <c r="CW19" s="23">
        <f>-SUMIFS(ДДС_Расходование!$I:$I,ДДС_Расходование!$D:$D,$A19,ДДС_Расходование!$C:$C,CW$3)-IF('Договоры ГПХ'!$C$12=$A19,'Договоры ГПХ'!BS$9,0)</f>
        <v>0</v>
      </c>
      <c r="CX19" s="23">
        <f>-SUMIFS(ДДС_Расходование!$I:$I,ДДС_Расходование!$D:$D,$A19,ДДС_Расходование!$C:$C,CX$3)-IF('Договоры ГПХ'!$C$12=$A19,'Договоры ГПХ'!BT$9,0)</f>
        <v>0</v>
      </c>
      <c r="CY19" s="41">
        <f t="shared" si="88"/>
        <v>0</v>
      </c>
      <c r="CZ19" s="41">
        <f t="shared" si="89"/>
        <v>0</v>
      </c>
      <c r="DA19" s="23">
        <f>-SUMIFS(ДДС_Расходование!$I:$I,ДДС_Расходование!$D:$D,$A19,ДДС_Расходование!$C:$C,DA$3)-IF('Договоры ГПХ'!$C$12=$A19,'Договоры ГПХ'!BU$9,0)</f>
        <v>0</v>
      </c>
      <c r="DB19" s="23">
        <f>-SUMIFS(ДДС_Расходование!$I:$I,ДДС_Расходование!$D:$D,$A19,ДДС_Расходование!$C:$C,DB$3)-IF('Договоры ГПХ'!$C$12=$A19,'Договоры ГПХ'!BV$9,0)</f>
        <v>0</v>
      </c>
      <c r="DC19" s="23">
        <f>-SUMIFS(ДДС_Расходование!$I:$I,ДДС_Расходование!$D:$D,$A19,ДДС_Расходование!$C:$C,DC$3)-IF('Договоры ГПХ'!$C$12=$A19,'Договоры ГПХ'!BW$9,0)</f>
        <v>0</v>
      </c>
      <c r="DD19" s="41">
        <f t="shared" si="90"/>
        <v>0</v>
      </c>
      <c r="DE19" s="41">
        <f t="shared" si="91"/>
        <v>0</v>
      </c>
    </row>
    <row r="20" spans="1:109" s="12" customFormat="1" ht="10.199999999999999" x14ac:dyDescent="0.2">
      <c r="A20" s="11" t="s">
        <v>210</v>
      </c>
      <c r="B20" s="11" t="str">
        <f t="shared" si="20"/>
        <v>Облачное хранилище для строительной компании с функцией архивации 203181 20 ФОТ - Оплата труда - Окладная часть</v>
      </c>
      <c r="E20" s="20">
        <v>203181</v>
      </c>
      <c r="F20" s="21" t="str">
        <f>'Карточка проекта'!$B$1</f>
        <v xml:space="preserve">Облачное хранилище для строительной компании с функцией архивации </v>
      </c>
      <c r="G20" s="43" t="s">
        <v>211</v>
      </c>
      <c r="I20" s="41">
        <f t="shared" si="12"/>
        <v>-1868294.9185399956</v>
      </c>
      <c r="K20" s="23">
        <f>-'Оценка трудоемкости'!CC9</f>
        <v>0</v>
      </c>
      <c r="L20" s="23">
        <f>-'Оценка трудоемкости'!CD9</f>
        <v>0</v>
      </c>
      <c r="M20" s="23">
        <f>-'Оценка трудоемкости'!CE9</f>
        <v>0</v>
      </c>
      <c r="N20" s="41">
        <f t="shared" ref="N20:N48" si="92">K20+L20+M20</f>
        <v>0</v>
      </c>
      <c r="O20" s="23">
        <f>-'Оценка трудоемкости'!CF9</f>
        <v>0</v>
      </c>
      <c r="P20" s="23">
        <f>-'Оценка трудоемкости'!CG9</f>
        <v>0</v>
      </c>
      <c r="Q20" s="23">
        <f>-'Оценка трудоемкости'!CH9</f>
        <v>0</v>
      </c>
      <c r="R20" s="22">
        <f t="shared" ref="R20:R31" si="93">O20+P20+Q20</f>
        <v>0</v>
      </c>
      <c r="S20" s="41">
        <f t="shared" ref="S20:S47" si="94">N20+R20</f>
        <v>0</v>
      </c>
      <c r="T20" s="23">
        <f>-'Оценка трудоемкости'!CI9</f>
        <v>0</v>
      </c>
      <c r="U20" s="23">
        <f>-'Оценка трудоемкости'!CJ9</f>
        <v>0</v>
      </c>
      <c r="V20" s="23">
        <f>-'Оценка трудоемкости'!CK9</f>
        <v>-501659.04006968997</v>
      </c>
      <c r="W20" s="41">
        <f t="shared" ref="W20:W31" si="95">T20+U20+V20</f>
        <v>-501659.04006968997</v>
      </c>
      <c r="X20" s="41">
        <f t="shared" ref="X20:X47" si="96">S20+W20</f>
        <v>-501659.04006968997</v>
      </c>
      <c r="Y20" s="23">
        <f>-'Оценка трудоемкости'!CL9</f>
        <v>-501659.04006968997</v>
      </c>
      <c r="Z20" s="23">
        <f>-'Оценка трудоемкости'!CM9</f>
        <v>-419487.67616109713</v>
      </c>
      <c r="AA20" s="23">
        <f>-'Оценка трудоемкости'!CN9</f>
        <v>-445489.16223951854</v>
      </c>
      <c r="AB20" s="22">
        <f t="shared" ref="AB20:AB31" si="97">Y20+Z20+AA20</f>
        <v>-1366635.8784703056</v>
      </c>
      <c r="AC20" s="41">
        <f t="shared" ref="AC20:AC47" si="98">X20+AB20</f>
        <v>-1868294.9185399956</v>
      </c>
      <c r="AE20" s="23">
        <f>-'Оценка трудоемкости'!CQ9</f>
        <v>0</v>
      </c>
      <c r="AF20" s="23">
        <f>-'Оценка трудоемкости'!CR9</f>
        <v>0</v>
      </c>
      <c r="AG20" s="23">
        <f>-'Оценка трудоемкости'!CS9</f>
        <v>0</v>
      </c>
      <c r="AH20" s="41">
        <f t="shared" ref="AH20:AH31" si="99">AE20+AF20+AG20</f>
        <v>0</v>
      </c>
      <c r="AI20" s="23">
        <f>-'Оценка трудоемкости'!CT9</f>
        <v>0</v>
      </c>
      <c r="AJ20" s="23">
        <f>-'Оценка трудоемкости'!CU9</f>
        <v>0</v>
      </c>
      <c r="AK20" s="23">
        <f>-'Оценка трудоемкости'!CV9</f>
        <v>0</v>
      </c>
      <c r="AL20" s="41">
        <f t="shared" ref="AL20:AL31" si="100">AI20+AJ20+AK20</f>
        <v>0</v>
      </c>
      <c r="AM20" s="41">
        <f t="shared" ref="AM20:AM31" si="101">AH20+AL20</f>
        <v>0</v>
      </c>
      <c r="AN20" s="23">
        <f>-'Оценка трудоемкости'!CW9</f>
        <v>0</v>
      </c>
      <c r="AO20" s="23">
        <f>-'Оценка трудоемкости'!CX9</f>
        <v>0</v>
      </c>
      <c r="AP20" s="23">
        <f>-'Оценка трудоемкости'!CY9</f>
        <v>0</v>
      </c>
      <c r="AQ20" s="41">
        <f t="shared" ref="AQ20:AQ31" si="102">AN20+AO20+AP20</f>
        <v>0</v>
      </c>
      <c r="AR20" s="41">
        <f t="shared" ref="AR20:AR31" si="103">AM20+AQ20</f>
        <v>0</v>
      </c>
      <c r="AS20" s="23">
        <f>-'Оценка трудоемкости'!CZ9</f>
        <v>0</v>
      </c>
      <c r="AT20" s="23">
        <f>-'Оценка трудоемкости'!DA9</f>
        <v>0</v>
      </c>
      <c r="AU20" s="23">
        <f>-'Оценка трудоемкости'!DB9</f>
        <v>0</v>
      </c>
      <c r="AV20" s="41">
        <f t="shared" ref="AV20:AV31" si="104">AS20+AT20+AU20</f>
        <v>0</v>
      </c>
      <c r="AW20" s="41">
        <f t="shared" ref="AW20:AW31" si="105">AR20+AV20</f>
        <v>0</v>
      </c>
      <c r="AY20" s="23">
        <f>-'Оценка трудоемкости'!DE9</f>
        <v>0</v>
      </c>
      <c r="AZ20" s="23">
        <f>-'Оценка трудоемкости'!DF9</f>
        <v>0</v>
      </c>
      <c r="BA20" s="23">
        <f>-'Оценка трудоемкости'!DG9</f>
        <v>0</v>
      </c>
      <c r="BB20" s="41">
        <f t="shared" ref="BB20:BB31" si="106">AY20+AZ20+BA20</f>
        <v>0</v>
      </c>
      <c r="BC20" s="23">
        <f>-'Оценка трудоемкости'!DH9</f>
        <v>0</v>
      </c>
      <c r="BD20" s="23">
        <f>-'Оценка трудоемкости'!DI9</f>
        <v>0</v>
      </c>
      <c r="BE20" s="23">
        <f>-'Оценка трудоемкости'!DJ9</f>
        <v>0</v>
      </c>
      <c r="BF20" s="41">
        <f t="shared" ref="BF20:BF31" si="107">BC20+BD20+BE20</f>
        <v>0</v>
      </c>
      <c r="BG20" s="41">
        <f t="shared" ref="BG20:BG31" si="108">BB20+BF20</f>
        <v>0</v>
      </c>
      <c r="BH20" s="23">
        <f>-'Оценка трудоемкости'!DK9</f>
        <v>0</v>
      </c>
      <c r="BI20" s="23">
        <f>-'Оценка трудоемкости'!DL9</f>
        <v>0</v>
      </c>
      <c r="BJ20" s="23">
        <f>-'Оценка трудоемкости'!DM9</f>
        <v>0</v>
      </c>
      <c r="BK20" s="41">
        <f t="shared" ref="BK20:BK31" si="109">BH20+BI20+BJ20</f>
        <v>0</v>
      </c>
      <c r="BL20" s="41">
        <f t="shared" ref="BL20:BL31" si="110">BG20+BK20</f>
        <v>0</v>
      </c>
      <c r="BM20" s="23">
        <f>-'Оценка трудоемкости'!DN9</f>
        <v>0</v>
      </c>
      <c r="BN20" s="23">
        <f>-'Оценка трудоемкости'!DO9</f>
        <v>0</v>
      </c>
      <c r="BO20" s="23">
        <f>-'Оценка трудоемкости'!DP9</f>
        <v>0</v>
      </c>
      <c r="BP20" s="41">
        <f t="shared" ref="BP20:BP31" si="111">BM20+BN20+BO20</f>
        <v>0</v>
      </c>
      <c r="BQ20" s="41">
        <f t="shared" ref="BQ20:BQ31" si="112">BL20+BP20</f>
        <v>0</v>
      </c>
      <c r="BS20" s="23">
        <f>-'Оценка трудоемкости'!DS9</f>
        <v>0</v>
      </c>
      <c r="BT20" s="23">
        <f>-'Оценка трудоемкости'!DT9</f>
        <v>0</v>
      </c>
      <c r="BU20" s="23">
        <f>-'Оценка трудоемкости'!DU9</f>
        <v>0</v>
      </c>
      <c r="BV20" s="41">
        <f t="shared" ref="BV20:BV31" si="113">BS20+BT20+BU20</f>
        <v>0</v>
      </c>
      <c r="BW20" s="23">
        <f>-'Оценка трудоемкости'!DV9</f>
        <v>0</v>
      </c>
      <c r="BX20" s="23">
        <f>-'Оценка трудоемкости'!DW9</f>
        <v>0</v>
      </c>
      <c r="BY20" s="23">
        <f>-'Оценка трудоемкости'!DX9</f>
        <v>0</v>
      </c>
      <c r="BZ20" s="41">
        <f t="shared" ref="BZ20:BZ31" si="114">BW20+BX20+BY20</f>
        <v>0</v>
      </c>
      <c r="CA20" s="41">
        <f t="shared" ref="CA20:CA31" si="115">BV20+BZ20</f>
        <v>0</v>
      </c>
      <c r="CB20" s="23">
        <f>-'Оценка трудоемкости'!DY9</f>
        <v>0</v>
      </c>
      <c r="CC20" s="23">
        <f>-'Оценка трудоемкости'!DZ9</f>
        <v>0</v>
      </c>
      <c r="CD20" s="23">
        <f>-'Оценка трудоемкости'!EA9</f>
        <v>0</v>
      </c>
      <c r="CE20" s="41">
        <f t="shared" ref="CE20:CE31" si="116">CB20+CC20+CD20</f>
        <v>0</v>
      </c>
      <c r="CF20" s="41">
        <f t="shared" ref="CF20:CF31" si="117">CA20+CE20</f>
        <v>0</v>
      </c>
      <c r="CG20" s="23">
        <f>-'Оценка трудоемкости'!EB9</f>
        <v>0</v>
      </c>
      <c r="CH20" s="23">
        <f>-'Оценка трудоемкости'!EC9</f>
        <v>0</v>
      </c>
      <c r="CI20" s="23">
        <f>-'Оценка трудоемкости'!ED9</f>
        <v>0</v>
      </c>
      <c r="CJ20" s="41">
        <f t="shared" ref="CJ20:CJ31" si="118">CG20+CH20+CI20</f>
        <v>0</v>
      </c>
      <c r="CK20" s="41">
        <f t="shared" ref="CK20:CK31" si="119">CF20+CJ20</f>
        <v>0</v>
      </c>
      <c r="CM20" s="23">
        <f>-'Оценка трудоемкости'!EG9</f>
        <v>0</v>
      </c>
      <c r="CN20" s="23">
        <f>-'Оценка трудоемкости'!EH9</f>
        <v>0</v>
      </c>
      <c r="CO20" s="23">
        <f>-'Оценка трудоемкости'!EI9</f>
        <v>0</v>
      </c>
      <c r="CP20" s="41">
        <f t="shared" ref="CP20:CP31" si="120">CM20+CN20+CO20</f>
        <v>0</v>
      </c>
      <c r="CQ20" s="23">
        <f>-'Оценка трудоемкости'!EJ9</f>
        <v>0</v>
      </c>
      <c r="CR20" s="23">
        <f>-'Оценка трудоемкости'!EK9</f>
        <v>0</v>
      </c>
      <c r="CS20" s="23">
        <f>-'Оценка трудоемкости'!EL9</f>
        <v>0</v>
      </c>
      <c r="CT20" s="41">
        <f t="shared" ref="CT20:CT31" si="121">CQ20+CR20+CS20</f>
        <v>0</v>
      </c>
      <c r="CU20" s="41">
        <f t="shared" ref="CU20:CU31" si="122">CP20+CT20</f>
        <v>0</v>
      </c>
      <c r="CV20" s="23">
        <f>-'Оценка трудоемкости'!EM9</f>
        <v>0</v>
      </c>
      <c r="CW20" s="23">
        <f>-'Оценка трудоемкости'!EN9</f>
        <v>0</v>
      </c>
      <c r="CX20" s="23">
        <f>-'Оценка трудоемкости'!EO9</f>
        <v>0</v>
      </c>
      <c r="CY20" s="41">
        <f t="shared" ref="CY20:CY31" si="123">CV20+CW20+CX20</f>
        <v>0</v>
      </c>
      <c r="CZ20" s="41">
        <f t="shared" ref="CZ20:CZ31" si="124">CU20+CY20</f>
        <v>0</v>
      </c>
      <c r="DA20" s="23">
        <f>-'Оценка трудоемкости'!EP9</f>
        <v>0</v>
      </c>
      <c r="DB20" s="23">
        <f>-'Оценка трудоемкости'!EQ9</f>
        <v>0</v>
      </c>
      <c r="DC20" s="23">
        <f>-'Оценка трудоемкости'!ER9</f>
        <v>0</v>
      </c>
      <c r="DD20" s="41">
        <f t="shared" ref="DD20:DD31" si="125">DA20+DB20+DC20</f>
        <v>0</v>
      </c>
      <c r="DE20" s="41">
        <f t="shared" ref="DE20:DE31" si="126">CZ20+DD20</f>
        <v>0</v>
      </c>
    </row>
    <row r="21" spans="1:109" s="12" customFormat="1" ht="10.199999999999999" x14ac:dyDescent="0.2">
      <c r="A21" s="11" t="s">
        <v>212</v>
      </c>
      <c r="B21" s="11" t="str">
        <f t="shared" si="20"/>
        <v>Облачное хранилище для строительной компании с функцией архивации 203182 20 ФОТ - Оплата труда - Премиальная часть</v>
      </c>
      <c r="E21" s="20">
        <v>203182</v>
      </c>
      <c r="F21" s="21" t="str">
        <f>'Карточка проекта'!$B$1</f>
        <v xml:space="preserve">Облачное хранилище для строительной компании с функцией архивации </v>
      </c>
      <c r="G21" s="43" t="s">
        <v>213</v>
      </c>
      <c r="I21" s="41">
        <f t="shared" si="12"/>
        <v>-700000</v>
      </c>
      <c r="K21" s="23">
        <f>-SUMIFS(ДДС_Расходование!$I:$I,ДДС_Расходование!$D:$D,$A21,ДДС_Расходование!$C:$C,K$3)</f>
        <v>0</v>
      </c>
      <c r="L21" s="23">
        <f>-SUMIFS(ДДС_Расходование!$I:$I,ДДС_Расходование!$D:$D,$A21,ДДС_Расходование!$C:$C,L$3)</f>
        <v>0</v>
      </c>
      <c r="M21" s="23">
        <f>-SUMIFS(ДДС_Расходование!$I:$I,ДДС_Расходование!$D:$D,$A21,ДДС_Расходование!$C:$C,M$3)</f>
        <v>0</v>
      </c>
      <c r="N21" s="41">
        <f t="shared" si="92"/>
        <v>0</v>
      </c>
      <c r="O21" s="23">
        <f>-SUMIFS(ДДС_Расходование!$I:$I,ДДС_Расходование!$D:$D,$A21,ДДС_Расходование!$C:$C,O$3)</f>
        <v>0</v>
      </c>
      <c r="P21" s="23">
        <f>-SUMIFS(ДДС_Расходование!$I:$I,ДДС_Расходование!$D:$D,$A21,ДДС_Расходование!$C:$C,P$3)</f>
        <v>0</v>
      </c>
      <c r="Q21" s="23">
        <f>-SUMIFS(ДДС_Расходование!$I:$I,ДДС_Расходование!$D:$D,$A21,ДДС_Расходование!$C:$C,Q$3)</f>
        <v>0</v>
      </c>
      <c r="R21" s="41">
        <f t="shared" si="93"/>
        <v>0</v>
      </c>
      <c r="S21" s="41">
        <f t="shared" si="94"/>
        <v>0</v>
      </c>
      <c r="T21" s="23">
        <f>-SUMIFS(ДДС_Расходование!$I:$I,ДДС_Расходование!$D:$D,$A21,ДДС_Расходование!$C:$C,T$3)</f>
        <v>0</v>
      </c>
      <c r="U21" s="23">
        <f>-SUMIFS(ДДС_Расходование!$I:$I,ДДС_Расходование!$D:$D,$A21,ДДС_Расходование!$C:$C,U$3)</f>
        <v>0</v>
      </c>
      <c r="V21" s="23">
        <f>-SUMIFS(ДДС_Расходование!$I:$I,ДДС_Расходование!$D:$D,$A21,ДДС_Расходование!$C:$C,V$3)</f>
        <v>0</v>
      </c>
      <c r="W21" s="41">
        <f t="shared" si="95"/>
        <v>0</v>
      </c>
      <c r="X21" s="41">
        <f t="shared" si="96"/>
        <v>0</v>
      </c>
      <c r="Y21" s="23">
        <f>-SUMIFS(ДДС_Расходование!$I:$I,ДДС_Расходование!$D:$D,$A21,ДДС_Расходование!$C:$C,Y$3)</f>
        <v>0</v>
      </c>
      <c r="Z21" s="23">
        <f>-SUMIFS(ДДС_Расходование!$I:$I,ДДС_Расходование!$D:$D,$A21,ДДС_Расходование!$C:$C,Z$3)</f>
        <v>0</v>
      </c>
      <c r="AA21" s="23">
        <f>-SUMIFS(ДДС_Расходование!$I:$I,ДДС_Расходование!$D:$D,$A21,ДДС_Расходование!$C:$C,AA$3)</f>
        <v>-700000</v>
      </c>
      <c r="AB21" s="41">
        <f t="shared" si="97"/>
        <v>-700000</v>
      </c>
      <c r="AC21" s="41">
        <f t="shared" si="98"/>
        <v>-700000</v>
      </c>
      <c r="AE21" s="23">
        <f>-SUMIFS(ДДС_Расходование!$I:$I,ДДС_Расходование!$D:$D,$A21,ДДС_Расходование!$C:$C,AE$3)</f>
        <v>0</v>
      </c>
      <c r="AF21" s="23">
        <f>-SUMIFS(ДДС_Расходование!$I:$I,ДДС_Расходование!$D:$D,$A21,ДДС_Расходование!$C:$C,AF$3)</f>
        <v>0</v>
      </c>
      <c r="AG21" s="23">
        <f>-SUMIFS(ДДС_Расходование!$I:$I,ДДС_Расходование!$D:$D,$A21,ДДС_Расходование!$C:$C,AG$3)</f>
        <v>0</v>
      </c>
      <c r="AH21" s="41">
        <f t="shared" si="99"/>
        <v>0</v>
      </c>
      <c r="AI21" s="23">
        <f>-SUMIFS(ДДС_Расходование!$I:$I,ДДС_Расходование!$D:$D,$A21,ДДС_Расходование!$C:$C,AI$3)</f>
        <v>0</v>
      </c>
      <c r="AJ21" s="23">
        <f>-SUMIFS(ДДС_Расходование!$I:$I,ДДС_Расходование!$D:$D,$A21,ДДС_Расходование!$C:$C,AJ$3)</f>
        <v>0</v>
      </c>
      <c r="AK21" s="23">
        <f>-SUMIFS(ДДС_Расходование!$I:$I,ДДС_Расходование!$D:$D,$A21,ДДС_Расходование!$C:$C,AK$3)</f>
        <v>0</v>
      </c>
      <c r="AL21" s="41">
        <f t="shared" si="100"/>
        <v>0</v>
      </c>
      <c r="AM21" s="41">
        <f t="shared" si="101"/>
        <v>0</v>
      </c>
      <c r="AN21" s="23">
        <f>-SUMIFS(ДДС_Расходование!$I:$I,ДДС_Расходование!$D:$D,$A21,ДДС_Расходование!$C:$C,AN$3)</f>
        <v>0</v>
      </c>
      <c r="AO21" s="23">
        <f>-SUMIFS(ДДС_Расходование!$I:$I,ДДС_Расходование!$D:$D,$A21,ДДС_Расходование!$C:$C,AO$3)</f>
        <v>0</v>
      </c>
      <c r="AP21" s="23">
        <f>-SUMIFS(ДДС_Расходование!$I:$I,ДДС_Расходование!$D:$D,$A21,ДДС_Расходование!$C:$C,AP$3)</f>
        <v>0</v>
      </c>
      <c r="AQ21" s="41">
        <f t="shared" si="102"/>
        <v>0</v>
      </c>
      <c r="AR21" s="41">
        <f t="shared" si="103"/>
        <v>0</v>
      </c>
      <c r="AS21" s="23">
        <f>-SUMIFS(ДДС_Расходование!$I:$I,ДДС_Расходование!$D:$D,$A21,ДДС_Расходование!$C:$C,AS$3)</f>
        <v>0</v>
      </c>
      <c r="AT21" s="23">
        <f>-SUMIFS(ДДС_Расходование!$I:$I,ДДС_Расходование!$D:$D,$A21,ДДС_Расходование!$C:$C,AT$3)</f>
        <v>0</v>
      </c>
      <c r="AU21" s="23">
        <f>-SUMIFS(ДДС_Расходование!$I:$I,ДДС_Расходование!$D:$D,$A21,ДДС_Расходование!$C:$C,AU$3)</f>
        <v>0</v>
      </c>
      <c r="AV21" s="41">
        <f t="shared" si="104"/>
        <v>0</v>
      </c>
      <c r="AW21" s="41">
        <f t="shared" si="105"/>
        <v>0</v>
      </c>
      <c r="AY21" s="23">
        <f>-SUMIFS(ДДС_Расходование!$I:$I,ДДС_Расходование!$D:$D,$A21,ДДС_Расходование!$C:$C,AY$3)</f>
        <v>0</v>
      </c>
      <c r="AZ21" s="23">
        <f>-SUMIFS(ДДС_Расходование!$I:$I,ДДС_Расходование!$D:$D,$A21,ДДС_Расходование!$C:$C,AZ$3)</f>
        <v>0</v>
      </c>
      <c r="BA21" s="23">
        <f>-SUMIFS(ДДС_Расходование!$I:$I,ДДС_Расходование!$D:$D,$A21,ДДС_Расходование!$C:$C,BA$3)</f>
        <v>0</v>
      </c>
      <c r="BB21" s="41">
        <f t="shared" si="106"/>
        <v>0</v>
      </c>
      <c r="BC21" s="23">
        <f>-SUMIFS(ДДС_Расходование!$I:$I,ДДС_Расходование!$D:$D,$A21,ДДС_Расходование!$C:$C,BC$3)</f>
        <v>0</v>
      </c>
      <c r="BD21" s="23">
        <f>-SUMIFS(ДДС_Расходование!$I:$I,ДДС_Расходование!$D:$D,$A21,ДДС_Расходование!$C:$C,BD$3)</f>
        <v>0</v>
      </c>
      <c r="BE21" s="23">
        <f>-SUMIFS(ДДС_Расходование!$I:$I,ДДС_Расходование!$D:$D,$A21,ДДС_Расходование!$C:$C,BE$3)</f>
        <v>0</v>
      </c>
      <c r="BF21" s="41">
        <f t="shared" si="107"/>
        <v>0</v>
      </c>
      <c r="BG21" s="41">
        <f t="shared" si="108"/>
        <v>0</v>
      </c>
      <c r="BH21" s="23">
        <f>-SUMIFS(ДДС_Расходование!$I:$I,ДДС_Расходование!$D:$D,$A21,ДДС_Расходование!$C:$C,BH$3)</f>
        <v>0</v>
      </c>
      <c r="BI21" s="23">
        <f>-SUMIFS(ДДС_Расходование!$I:$I,ДДС_Расходование!$D:$D,$A21,ДДС_Расходование!$C:$C,BI$3)</f>
        <v>0</v>
      </c>
      <c r="BJ21" s="23">
        <f>-SUMIFS(ДДС_Расходование!$I:$I,ДДС_Расходование!$D:$D,$A21,ДДС_Расходование!$C:$C,BJ$3)</f>
        <v>0</v>
      </c>
      <c r="BK21" s="41">
        <f t="shared" si="109"/>
        <v>0</v>
      </c>
      <c r="BL21" s="41">
        <f t="shared" si="110"/>
        <v>0</v>
      </c>
      <c r="BM21" s="23">
        <f>-SUMIFS(ДДС_Расходование!$I:$I,ДДС_Расходование!$D:$D,$A21,ДДС_Расходование!$C:$C,BM$3)</f>
        <v>0</v>
      </c>
      <c r="BN21" s="23">
        <f>-SUMIFS(ДДС_Расходование!$I:$I,ДДС_Расходование!$D:$D,$A21,ДДС_Расходование!$C:$C,BN$3)</f>
        <v>0</v>
      </c>
      <c r="BO21" s="23">
        <f>-SUMIFS(ДДС_Расходование!$I:$I,ДДС_Расходование!$D:$D,$A21,ДДС_Расходование!$C:$C,BO$3)</f>
        <v>0</v>
      </c>
      <c r="BP21" s="41">
        <f t="shared" si="111"/>
        <v>0</v>
      </c>
      <c r="BQ21" s="41">
        <f t="shared" si="112"/>
        <v>0</v>
      </c>
      <c r="BS21" s="23">
        <f>-SUMIFS(ДДС_Расходование!$I:$I,ДДС_Расходование!$D:$D,$A21,ДДС_Расходование!$C:$C,BS$3)</f>
        <v>0</v>
      </c>
      <c r="BT21" s="23">
        <f>-SUMIFS(ДДС_Расходование!$I:$I,ДДС_Расходование!$D:$D,$A21,ДДС_Расходование!$C:$C,BT$3)</f>
        <v>0</v>
      </c>
      <c r="BU21" s="23">
        <f>-SUMIFS(ДДС_Расходование!$I:$I,ДДС_Расходование!$D:$D,$A21,ДДС_Расходование!$C:$C,BU$3)</f>
        <v>0</v>
      </c>
      <c r="BV21" s="41">
        <f t="shared" si="113"/>
        <v>0</v>
      </c>
      <c r="BW21" s="23">
        <f>-SUMIFS(ДДС_Расходование!$I:$I,ДДС_Расходование!$D:$D,$A21,ДДС_Расходование!$C:$C,BW$3)</f>
        <v>0</v>
      </c>
      <c r="BX21" s="23">
        <f>-SUMIFS(ДДС_Расходование!$I:$I,ДДС_Расходование!$D:$D,$A21,ДДС_Расходование!$C:$C,BX$3)</f>
        <v>0</v>
      </c>
      <c r="BY21" s="23">
        <f>-SUMIFS(ДДС_Расходование!$I:$I,ДДС_Расходование!$D:$D,$A21,ДДС_Расходование!$C:$C,BY$3)</f>
        <v>0</v>
      </c>
      <c r="BZ21" s="41">
        <f t="shared" si="114"/>
        <v>0</v>
      </c>
      <c r="CA21" s="41">
        <f t="shared" si="115"/>
        <v>0</v>
      </c>
      <c r="CB21" s="23">
        <f>-SUMIFS(ДДС_Расходование!$I:$I,ДДС_Расходование!$D:$D,$A21,ДДС_Расходование!$C:$C,CB$3)</f>
        <v>0</v>
      </c>
      <c r="CC21" s="23">
        <f>-SUMIFS(ДДС_Расходование!$I:$I,ДДС_Расходование!$D:$D,$A21,ДДС_Расходование!$C:$C,CC$3)</f>
        <v>0</v>
      </c>
      <c r="CD21" s="23">
        <f>-SUMIFS(ДДС_Расходование!$I:$I,ДДС_Расходование!$D:$D,$A21,ДДС_Расходование!$C:$C,CD$3)</f>
        <v>0</v>
      </c>
      <c r="CE21" s="41">
        <f t="shared" si="116"/>
        <v>0</v>
      </c>
      <c r="CF21" s="41">
        <f t="shared" si="117"/>
        <v>0</v>
      </c>
      <c r="CG21" s="23">
        <f>-SUMIFS(ДДС_Расходование!$I:$I,ДДС_Расходование!$D:$D,$A21,ДДС_Расходование!$C:$C,CG$3)</f>
        <v>0</v>
      </c>
      <c r="CH21" s="23">
        <f>-SUMIFS(ДДС_Расходование!$I:$I,ДДС_Расходование!$D:$D,$A21,ДДС_Расходование!$C:$C,CH$3)</f>
        <v>0</v>
      </c>
      <c r="CI21" s="23">
        <f>-SUMIFS(ДДС_Расходование!$I:$I,ДДС_Расходование!$D:$D,$A21,ДДС_Расходование!$C:$C,CI$3)</f>
        <v>0</v>
      </c>
      <c r="CJ21" s="41">
        <f t="shared" si="118"/>
        <v>0</v>
      </c>
      <c r="CK21" s="41">
        <f t="shared" si="119"/>
        <v>0</v>
      </c>
      <c r="CM21" s="23">
        <f>-SUMIFS(ДДС_Расходование!$I:$I,ДДС_Расходование!$D:$D,$A21,ДДС_Расходование!$C:$C,CM$3)</f>
        <v>0</v>
      </c>
      <c r="CN21" s="23">
        <f>-SUMIFS(ДДС_Расходование!$I:$I,ДДС_Расходование!$D:$D,$A21,ДДС_Расходование!$C:$C,CN$3)</f>
        <v>0</v>
      </c>
      <c r="CO21" s="23">
        <f>-SUMIFS(ДДС_Расходование!$I:$I,ДДС_Расходование!$D:$D,$A21,ДДС_Расходование!$C:$C,CO$3)</f>
        <v>0</v>
      </c>
      <c r="CP21" s="41">
        <f t="shared" si="120"/>
        <v>0</v>
      </c>
      <c r="CQ21" s="23">
        <f>-SUMIFS(ДДС_Расходование!$I:$I,ДДС_Расходование!$D:$D,$A21,ДДС_Расходование!$C:$C,CQ$3)</f>
        <v>0</v>
      </c>
      <c r="CR21" s="23">
        <f>-SUMIFS(ДДС_Расходование!$I:$I,ДДС_Расходование!$D:$D,$A21,ДДС_Расходование!$C:$C,CR$3)</f>
        <v>0</v>
      </c>
      <c r="CS21" s="23">
        <f>-SUMIFS(ДДС_Расходование!$I:$I,ДДС_Расходование!$D:$D,$A21,ДДС_Расходование!$C:$C,CS$3)</f>
        <v>0</v>
      </c>
      <c r="CT21" s="41">
        <f t="shared" si="121"/>
        <v>0</v>
      </c>
      <c r="CU21" s="41">
        <f t="shared" si="122"/>
        <v>0</v>
      </c>
      <c r="CV21" s="23">
        <f>-SUMIFS(ДДС_Расходование!$I:$I,ДДС_Расходование!$D:$D,$A21,ДДС_Расходование!$C:$C,CV$3)</f>
        <v>0</v>
      </c>
      <c r="CW21" s="23">
        <f>-SUMIFS(ДДС_Расходование!$I:$I,ДДС_Расходование!$D:$D,$A21,ДДС_Расходование!$C:$C,CW$3)</f>
        <v>0</v>
      </c>
      <c r="CX21" s="23">
        <f>-SUMIFS(ДДС_Расходование!$I:$I,ДДС_Расходование!$D:$D,$A21,ДДС_Расходование!$C:$C,CX$3)</f>
        <v>0</v>
      </c>
      <c r="CY21" s="41">
        <f t="shared" si="123"/>
        <v>0</v>
      </c>
      <c r="CZ21" s="41">
        <f t="shared" si="124"/>
        <v>0</v>
      </c>
      <c r="DA21" s="23">
        <f>-SUMIFS(ДДС_Расходование!$I:$I,ДДС_Расходование!$D:$D,$A21,ДДС_Расходование!$C:$C,DA$3)</f>
        <v>0</v>
      </c>
      <c r="DB21" s="23">
        <f>-SUMIFS(ДДС_Расходование!$I:$I,ДДС_Расходование!$D:$D,$A21,ДДС_Расходование!$C:$C,DB$3)</f>
        <v>0</v>
      </c>
      <c r="DC21" s="23">
        <f>-SUMIFS(ДДС_Расходование!$I:$I,ДДС_Расходование!$D:$D,$A21,ДДС_Расходование!$C:$C,DC$3)</f>
        <v>0</v>
      </c>
      <c r="DD21" s="41">
        <f t="shared" si="125"/>
        <v>0</v>
      </c>
      <c r="DE21" s="41">
        <f t="shared" si="126"/>
        <v>0</v>
      </c>
    </row>
    <row r="22" spans="1:109" s="12" customFormat="1" ht="10.199999999999999" x14ac:dyDescent="0.2">
      <c r="A22" s="11" t="s">
        <v>413</v>
      </c>
      <c r="B22" s="11" t="str">
        <f t="shared" si="20"/>
        <v>Облачное хранилище для строительной компании с функцией архивации 203140 20 ФОТ - НДФЛ</v>
      </c>
      <c r="E22" s="20" t="s">
        <v>412</v>
      </c>
      <c r="F22" s="21" t="str">
        <f>'Карточка проекта'!$B$1</f>
        <v xml:space="preserve">Облачное хранилище для строительной компании с функцией архивации </v>
      </c>
      <c r="G22" s="43" t="s">
        <v>411</v>
      </c>
      <c r="I22" s="41">
        <f t="shared" si="12"/>
        <v>-290870.50506919477</v>
      </c>
      <c r="K22" s="23">
        <f>-'Оценка трудоемкости'!CC10-'Договоры ГПХ'!H10</f>
        <v>0</v>
      </c>
      <c r="L22" s="23">
        <f>-'Оценка трудоемкости'!CD10-'Договоры ГПХ'!I10</f>
        <v>0</v>
      </c>
      <c r="M22" s="23">
        <f>-'Оценка трудоемкости'!CE10-'Договоры ГПХ'!J10</f>
        <v>0</v>
      </c>
      <c r="N22" s="41">
        <f t="shared" si="92"/>
        <v>0</v>
      </c>
      <c r="O22" s="23">
        <f>-'Оценка трудоемкости'!CF10-'Договоры ГПХ'!K10</f>
        <v>0</v>
      </c>
      <c r="P22" s="23">
        <f>-'Оценка трудоемкости'!CG10-'Договоры ГПХ'!L10</f>
        <v>0</v>
      </c>
      <c r="Q22" s="23">
        <f>-'Оценка трудоемкости'!CH10-'Договоры ГПХ'!M10</f>
        <v>0</v>
      </c>
      <c r="R22" s="41">
        <f t="shared" ref="R22" si="127">O22+P22+Q22</f>
        <v>0</v>
      </c>
      <c r="S22" s="41">
        <f t="shared" ref="S22" si="128">N22+R22</f>
        <v>0</v>
      </c>
      <c r="T22" s="23">
        <f>-'Оценка трудоемкости'!CI10-'Договоры ГПХ'!N10</f>
        <v>0</v>
      </c>
      <c r="U22" s="23">
        <f>-'Оценка трудоемкости'!CJ10-'Договоры ГПХ'!O10</f>
        <v>0</v>
      </c>
      <c r="V22" s="23">
        <f>-'Оценка трудоемкости'!CK10-'Договоры ГПХ'!P10</f>
        <v>-78860.546217309995</v>
      </c>
      <c r="W22" s="41">
        <f t="shared" ref="W22" si="129">T22+U22+V22</f>
        <v>-78860.546217309995</v>
      </c>
      <c r="X22" s="41">
        <f t="shared" ref="X22" si="130">S22+W22</f>
        <v>-78860.546217309995</v>
      </c>
      <c r="Y22" s="23">
        <f>-'Оценка трудоемкости'!CL10-'Договоры ГПХ'!Q10</f>
        <v>-74960.546217309995</v>
      </c>
      <c r="Z22" s="23">
        <f>-'Оценка трудоемкости'!CM10-'Договоры ГПХ'!R10</f>
        <v>-67232.066552807621</v>
      </c>
      <c r="AA22" s="23">
        <f>-'Оценка трудоемкости'!CN10-'Договоры ГПХ'!S10</f>
        <v>-69817.346081767144</v>
      </c>
      <c r="AB22" s="41">
        <f t="shared" ref="AB22" si="131">Y22+Z22+AA22</f>
        <v>-212009.95885188476</v>
      </c>
      <c r="AC22" s="41">
        <f t="shared" ref="AC22" si="132">X22+AB22</f>
        <v>-290870.50506919477</v>
      </c>
      <c r="AE22" s="23">
        <f>-'Оценка трудоемкости'!CQ10-'Договоры ГПХ'!V10</f>
        <v>0</v>
      </c>
      <c r="AF22" s="23">
        <f>-'Оценка трудоемкости'!CR10-'Договоры ГПХ'!W10</f>
        <v>0</v>
      </c>
      <c r="AG22" s="23">
        <f>-'Оценка трудоемкости'!CS10-'Договоры ГПХ'!X10</f>
        <v>0</v>
      </c>
      <c r="AH22" s="41">
        <f t="shared" ref="AH22" si="133">AE22+AF22+AG22</f>
        <v>0</v>
      </c>
      <c r="AI22" s="23">
        <f>-'Оценка трудоемкости'!CT10-'Договоры ГПХ'!Y10</f>
        <v>0</v>
      </c>
      <c r="AJ22" s="23">
        <f>-'Оценка трудоемкости'!CU10-'Договоры ГПХ'!Z10</f>
        <v>0</v>
      </c>
      <c r="AK22" s="23">
        <f>-'Оценка трудоемкости'!CV10-'Договоры ГПХ'!AA10</f>
        <v>0</v>
      </c>
      <c r="AL22" s="41">
        <f t="shared" ref="AL22" si="134">AI22+AJ22+AK22</f>
        <v>0</v>
      </c>
      <c r="AM22" s="41">
        <f t="shared" ref="AM22" si="135">AH22+AL22</f>
        <v>0</v>
      </c>
      <c r="AN22" s="23">
        <f>-'Оценка трудоемкости'!CW10-'Договоры ГПХ'!AB10</f>
        <v>0</v>
      </c>
      <c r="AO22" s="23">
        <f>-'Оценка трудоемкости'!CX10-'Договоры ГПХ'!AC10</f>
        <v>0</v>
      </c>
      <c r="AP22" s="23">
        <f>-'Оценка трудоемкости'!CY10-'Договоры ГПХ'!AD10</f>
        <v>0</v>
      </c>
      <c r="AQ22" s="41">
        <f t="shared" ref="AQ22" si="136">AN22+AO22+AP22</f>
        <v>0</v>
      </c>
      <c r="AR22" s="41">
        <f t="shared" ref="AR22" si="137">AM22+AQ22</f>
        <v>0</v>
      </c>
      <c r="AS22" s="23">
        <f>-'Оценка трудоемкости'!CZ10-'Договоры ГПХ'!AE10</f>
        <v>0</v>
      </c>
      <c r="AT22" s="23">
        <f>-'Оценка трудоемкости'!DA10-'Договоры ГПХ'!AF10</f>
        <v>0</v>
      </c>
      <c r="AU22" s="23">
        <f>-'Оценка трудоемкости'!DB10-'Договоры ГПХ'!AG10</f>
        <v>0</v>
      </c>
      <c r="AV22" s="41">
        <f t="shared" ref="AV22" si="138">AS22+AT22+AU22</f>
        <v>0</v>
      </c>
      <c r="AW22" s="41">
        <f t="shared" ref="AW22" si="139">AR22+AV22</f>
        <v>0</v>
      </c>
      <c r="AY22" s="23">
        <f>-'Оценка трудоемкости'!DE10-'Договоры ГПХ'!AJ10</f>
        <v>0</v>
      </c>
      <c r="AZ22" s="23">
        <f>-'Оценка трудоемкости'!DF10-'Договоры ГПХ'!AK10</f>
        <v>0</v>
      </c>
      <c r="BA22" s="23">
        <f>-'Оценка трудоемкости'!DG10-'Договоры ГПХ'!AL10</f>
        <v>0</v>
      </c>
      <c r="BB22" s="41">
        <f t="shared" ref="BB22" si="140">AY22+AZ22+BA22</f>
        <v>0</v>
      </c>
      <c r="BC22" s="23">
        <f>-'Оценка трудоемкости'!DH10-'Договоры ГПХ'!AM10</f>
        <v>0</v>
      </c>
      <c r="BD22" s="23">
        <f>-'Оценка трудоемкости'!DI10-'Договоры ГПХ'!AN10</f>
        <v>0</v>
      </c>
      <c r="BE22" s="23">
        <f>-'Оценка трудоемкости'!DJ10-'Договоры ГПХ'!AO10</f>
        <v>0</v>
      </c>
      <c r="BF22" s="41">
        <f t="shared" ref="BF22" si="141">BC22+BD22+BE22</f>
        <v>0</v>
      </c>
      <c r="BG22" s="41">
        <f t="shared" ref="BG22" si="142">BB22+BF22</f>
        <v>0</v>
      </c>
      <c r="BH22" s="23">
        <f>-'Оценка трудоемкости'!DK10-'Договоры ГПХ'!AP10</f>
        <v>0</v>
      </c>
      <c r="BI22" s="23">
        <f>-'Оценка трудоемкости'!DL10-'Договоры ГПХ'!AQ10</f>
        <v>0</v>
      </c>
      <c r="BJ22" s="23">
        <f>-'Оценка трудоемкости'!DM10-'Договоры ГПХ'!AR10</f>
        <v>0</v>
      </c>
      <c r="BK22" s="41">
        <f t="shared" ref="BK22" si="143">BH22+BI22+BJ22</f>
        <v>0</v>
      </c>
      <c r="BL22" s="41">
        <f t="shared" ref="BL22" si="144">BG22+BK22</f>
        <v>0</v>
      </c>
      <c r="BM22" s="23">
        <f>-'Оценка трудоемкости'!DN10-'Договоры ГПХ'!AS10</f>
        <v>0</v>
      </c>
      <c r="BN22" s="23">
        <f>-'Оценка трудоемкости'!DO10-'Договоры ГПХ'!AT10</f>
        <v>0</v>
      </c>
      <c r="BO22" s="23">
        <f>-'Оценка трудоемкости'!DP10-'Договоры ГПХ'!AU10</f>
        <v>0</v>
      </c>
      <c r="BP22" s="41">
        <f t="shared" ref="BP22" si="145">BM22+BN22+BO22</f>
        <v>0</v>
      </c>
      <c r="BQ22" s="41">
        <f t="shared" ref="BQ22" si="146">BL22+BP22</f>
        <v>0</v>
      </c>
      <c r="BS22" s="23">
        <f>-'Оценка трудоемкости'!DS10-'Договоры ГПХ'!AX10</f>
        <v>0</v>
      </c>
      <c r="BT22" s="23">
        <f>-'Оценка трудоемкости'!DT10-'Договоры ГПХ'!AY10</f>
        <v>0</v>
      </c>
      <c r="BU22" s="23">
        <f>-'Оценка трудоемкости'!DU10-'Договоры ГПХ'!AZ10</f>
        <v>0</v>
      </c>
      <c r="BV22" s="41">
        <f t="shared" ref="BV22" si="147">BS22+BT22+BU22</f>
        <v>0</v>
      </c>
      <c r="BW22" s="23">
        <f>-'Оценка трудоемкости'!DV10-'Договоры ГПХ'!BA10</f>
        <v>0</v>
      </c>
      <c r="BX22" s="23">
        <f>-'Оценка трудоемкости'!DW10-'Договоры ГПХ'!BB10</f>
        <v>0</v>
      </c>
      <c r="BY22" s="23">
        <f>-'Оценка трудоемкости'!DX10-'Договоры ГПХ'!BC10</f>
        <v>0</v>
      </c>
      <c r="BZ22" s="41">
        <f t="shared" ref="BZ22" si="148">BW22+BX22+BY22</f>
        <v>0</v>
      </c>
      <c r="CA22" s="41">
        <f t="shared" ref="CA22" si="149">BV22+BZ22</f>
        <v>0</v>
      </c>
      <c r="CB22" s="23">
        <f>-'Оценка трудоемкости'!DY10-'Договоры ГПХ'!BD10</f>
        <v>0</v>
      </c>
      <c r="CC22" s="23">
        <f>-'Оценка трудоемкости'!DZ10-'Договоры ГПХ'!BE10</f>
        <v>0</v>
      </c>
      <c r="CD22" s="23">
        <f>-'Оценка трудоемкости'!EA10-'Договоры ГПХ'!BF10</f>
        <v>0</v>
      </c>
      <c r="CE22" s="41">
        <f t="shared" ref="CE22" si="150">CB22+CC22+CD22</f>
        <v>0</v>
      </c>
      <c r="CF22" s="41">
        <f t="shared" ref="CF22" si="151">CA22+CE22</f>
        <v>0</v>
      </c>
      <c r="CG22" s="23">
        <f>-'Оценка трудоемкости'!EB10-'Договоры ГПХ'!BG10</f>
        <v>0</v>
      </c>
      <c r="CH22" s="23">
        <f>-'Оценка трудоемкости'!EC10-'Договоры ГПХ'!BH10</f>
        <v>0</v>
      </c>
      <c r="CI22" s="23">
        <f>-'Оценка трудоемкости'!ED10-'Договоры ГПХ'!BI10</f>
        <v>0</v>
      </c>
      <c r="CJ22" s="41">
        <f t="shared" ref="CJ22" si="152">CG22+CH22+CI22</f>
        <v>0</v>
      </c>
      <c r="CK22" s="41">
        <f t="shared" ref="CK22" si="153">CF22+CJ22</f>
        <v>0</v>
      </c>
      <c r="CM22" s="23">
        <f>-'Оценка трудоемкости'!EG10-'Договоры ГПХ'!BL10</f>
        <v>0</v>
      </c>
      <c r="CN22" s="23">
        <f>-'Оценка трудоемкости'!EH10-'Договоры ГПХ'!BM10</f>
        <v>0</v>
      </c>
      <c r="CO22" s="23">
        <f>-'Оценка трудоемкости'!EI10-'Договоры ГПХ'!BN10</f>
        <v>0</v>
      </c>
      <c r="CP22" s="41">
        <f t="shared" ref="CP22" si="154">CM22+CN22+CO22</f>
        <v>0</v>
      </c>
      <c r="CQ22" s="23">
        <f>-'Оценка трудоемкости'!EJ10-'Договоры ГПХ'!BO10</f>
        <v>0</v>
      </c>
      <c r="CR22" s="23">
        <f>-'Оценка трудоемкости'!EK10-'Договоры ГПХ'!BP10</f>
        <v>0</v>
      </c>
      <c r="CS22" s="23">
        <f>-'Оценка трудоемкости'!EL10-'Договоры ГПХ'!BQ10</f>
        <v>0</v>
      </c>
      <c r="CT22" s="41">
        <f t="shared" ref="CT22" si="155">CQ22+CR22+CS22</f>
        <v>0</v>
      </c>
      <c r="CU22" s="41">
        <f t="shared" ref="CU22" si="156">CP22+CT22</f>
        <v>0</v>
      </c>
      <c r="CV22" s="23">
        <f>-'Оценка трудоемкости'!EM10-'Договоры ГПХ'!BR10</f>
        <v>0</v>
      </c>
      <c r="CW22" s="23">
        <f>-'Оценка трудоемкости'!EN10-'Договоры ГПХ'!BS10</f>
        <v>0</v>
      </c>
      <c r="CX22" s="23">
        <f>-'Оценка трудоемкости'!EO10-'Договоры ГПХ'!BT10</f>
        <v>0</v>
      </c>
      <c r="CY22" s="41">
        <f t="shared" ref="CY22" si="157">CV22+CW22+CX22</f>
        <v>0</v>
      </c>
      <c r="CZ22" s="41">
        <f t="shared" ref="CZ22" si="158">CU22+CY22</f>
        <v>0</v>
      </c>
      <c r="DA22" s="23">
        <f>-'Оценка трудоемкости'!EP10-'Договоры ГПХ'!BU10</f>
        <v>0</v>
      </c>
      <c r="DB22" s="23">
        <f>-'Оценка трудоемкости'!EQ10-'Договоры ГПХ'!BV10</f>
        <v>0</v>
      </c>
      <c r="DC22" s="23">
        <f>-'Оценка трудоемкости'!ER10-'Договоры ГПХ'!BW10</f>
        <v>0</v>
      </c>
      <c r="DD22" s="41">
        <f t="shared" ref="DD22" si="159">DA22+DB22+DC22</f>
        <v>0</v>
      </c>
      <c r="DE22" s="41">
        <f t="shared" ref="DE22" si="160">CZ22+DD22</f>
        <v>0</v>
      </c>
    </row>
    <row r="23" spans="1:109" s="12" customFormat="1" ht="10.199999999999999" x14ac:dyDescent="0.2">
      <c r="A23" s="11" t="s">
        <v>214</v>
      </c>
      <c r="B23" s="11" t="str">
        <f t="shared" si="20"/>
        <v>Облачное хранилище для строительной компании с функцией архивации 203150 20 ФОТ - Страховые взносы</v>
      </c>
      <c r="E23" s="20">
        <v>203150</v>
      </c>
      <c r="F23" s="21" t="str">
        <f>'Карточка проекта'!$B$1</f>
        <v xml:space="preserve">Облачное хранилище для строительной компании с функцией архивации </v>
      </c>
      <c r="G23" s="43" t="s">
        <v>215</v>
      </c>
      <c r="I23" s="41">
        <f t="shared" si="12"/>
        <v>-745937.73834256898</v>
      </c>
      <c r="K23" s="23">
        <f>-'Оценка трудоемкости'!CC11-'Договоры ГПХ'!H11
-SUMIFS(ДДС_Расходование!$I:$I,ДДС_Расходование!$D:$D,$A21,ДДС_Расходование!$C:$C,K$3)*0.2534</f>
        <v>0</v>
      </c>
      <c r="L23" s="23">
        <f>-'Оценка трудоемкости'!CD11-'Договоры ГПХ'!I11
-SUMIFS(ДДС_Расходование!$I:$I,ДДС_Расходование!$D:$D,$A21,ДДС_Расходование!$C:$C,L$3)*0.2534</f>
        <v>0</v>
      </c>
      <c r="M23" s="23">
        <f>-'Оценка трудоемкости'!CE11-'Договоры ГПХ'!J11
-SUMIFS(ДДС_Расходование!$I:$I,ДДС_Расходование!$D:$D,$A21,ДДС_Расходование!$C:$C,M$3)*0.2534</f>
        <v>0</v>
      </c>
      <c r="N23" s="41">
        <f t="shared" si="92"/>
        <v>0</v>
      </c>
      <c r="O23" s="23">
        <f>-'Оценка трудоемкости'!CF11-'Договоры ГПХ'!K11
-SUMIFS(ДДС_Расходование!$I:$I,ДДС_Расходование!$D:$D,$A21,ДДС_Расходование!$C:$C,O$3)*0.2534</f>
        <v>0</v>
      </c>
      <c r="P23" s="23">
        <f>-'Оценка трудоемкости'!CG11-'Договоры ГПХ'!L11
-SUMIFS(ДДС_Расходование!$I:$I,ДДС_Расходование!$D:$D,$A21,ДДС_Расходование!$C:$C,P$3)*0.2534</f>
        <v>0</v>
      </c>
      <c r="Q23" s="23">
        <f>-'Оценка трудоемкости'!CH11-'Договоры ГПХ'!M11
-SUMIFS(ДДС_Расходование!$I:$I,ДДС_Расходование!$D:$D,$A21,ДДС_Расходование!$C:$C,Q$3)*0.2534</f>
        <v>0</v>
      </c>
      <c r="R23" s="22">
        <f t="shared" si="93"/>
        <v>0</v>
      </c>
      <c r="S23" s="41">
        <f t="shared" si="94"/>
        <v>0</v>
      </c>
      <c r="T23" s="23">
        <f>-'Оценка трудоемкости'!CI11-'Договоры ГПХ'!N11
-SUMIFS(ДДС_Расходование!$I:$I,ДДС_Расходование!$D:$D,$A21,ДДС_Расходование!$C:$C,T$3)*0.2534</f>
        <v>0</v>
      </c>
      <c r="U23" s="23">
        <f>-'Оценка трудоемкости'!CJ11-'Договоры ГПХ'!O11
-SUMIFS(ДДС_Расходование!$I:$I,ДДС_Расходование!$D:$D,$A21,ДДС_Расходование!$C:$C,U$3)*0.2534</f>
        <v>0</v>
      </c>
      <c r="V23" s="23">
        <f>-'Оценка трудоемкости'!CK11-'Договоры ГПХ'!P11
-SUMIFS(ДДС_Расходование!$I:$I,ДДС_Расходование!$D:$D,$A21,ДДС_Расходование!$C:$C,V$3)*0.2534</f>
        <v>-154245.40316512581</v>
      </c>
      <c r="W23" s="41">
        <f t="shared" si="95"/>
        <v>-154245.40316512581</v>
      </c>
      <c r="X23" s="41">
        <f t="shared" si="96"/>
        <v>-154245.40316512581</v>
      </c>
      <c r="Y23" s="23">
        <f>-'Оценка трудоемкости'!CL11-'Договоры ГПХ'!Q11
-SUMIFS(ДДС_Расходование!$I:$I,ДДС_Расходование!$D:$D,$A21,ДДС_Расходование!$C:$C,Y$3)*0.2534</f>
        <v>-146115.40316512581</v>
      </c>
      <c r="Z23" s="23">
        <f>-'Оценка трудоемкости'!CM11-'Договоры ГПХ'!R11
-SUMIFS(ДДС_Расходование!$I:$I,ДДС_Расходование!$D:$D,$A21,ДДС_Расходование!$C:$C,Z$3)*0.2534</f>
        <v>-131666.81280370348</v>
      </c>
      <c r="AA23" s="23">
        <f>-'Оценка трудоемкости'!CN11-'Договоры ГПХ'!S11
-SUMIFS(ДДС_Расходование!$I:$I,ДДС_Расходование!$D:$D,$A21,ДДС_Расходование!$C:$C,AA$3)*0.2534</f>
        <v>-313910.11920861382</v>
      </c>
      <c r="AB23" s="22">
        <f t="shared" si="97"/>
        <v>-591692.33517744311</v>
      </c>
      <c r="AC23" s="41">
        <f t="shared" si="98"/>
        <v>-745937.73834256898</v>
      </c>
      <c r="AE23" s="23">
        <f>-'Оценка трудоемкости'!CQ11-'Договоры ГПХ'!V11
-SUMIFS(ДДС_Расходование!$I:$I,ДДС_Расходование!$D:$D,$A21,ДДС_Расходование!$C:$C,AE$3)*0.2534</f>
        <v>0</v>
      </c>
      <c r="AF23" s="23">
        <f>-'Оценка трудоемкости'!CR11-'Договоры ГПХ'!W11
-SUMIFS(ДДС_Расходование!$I:$I,ДДС_Расходование!$D:$D,$A21,ДДС_Расходование!$C:$C,AF$3)*0.2534</f>
        <v>0</v>
      </c>
      <c r="AG23" s="23">
        <f>-'Оценка трудоемкости'!CS11-'Договоры ГПХ'!X11
-SUMIFS(ДДС_Расходование!$I:$I,ДДС_Расходование!$D:$D,$A21,ДДС_Расходование!$C:$C,AG$3)*0.2534</f>
        <v>0</v>
      </c>
      <c r="AH23" s="41">
        <f t="shared" si="99"/>
        <v>0</v>
      </c>
      <c r="AI23" s="23">
        <f>-'Оценка трудоемкости'!CT11-'Договоры ГПХ'!Y11
-SUMIFS(ДДС_Расходование!$I:$I,ДДС_Расходование!$D:$D,$A21,ДДС_Расходование!$C:$C,AI$3)*0.2534</f>
        <v>0</v>
      </c>
      <c r="AJ23" s="23">
        <f>-'Оценка трудоемкости'!CU11-'Договоры ГПХ'!Z11
-SUMIFS(ДДС_Расходование!$I:$I,ДДС_Расходование!$D:$D,$A21,ДДС_Расходование!$C:$C,AJ$3)*0.2534</f>
        <v>0</v>
      </c>
      <c r="AK23" s="23">
        <f>-'Оценка трудоемкости'!CV11-'Договоры ГПХ'!AA11
-SUMIFS(ДДС_Расходование!$I:$I,ДДС_Расходование!$D:$D,$A21,ДДС_Расходование!$C:$C,AK$3)*0.2534</f>
        <v>0</v>
      </c>
      <c r="AL23" s="41">
        <f t="shared" si="100"/>
        <v>0</v>
      </c>
      <c r="AM23" s="41">
        <f t="shared" si="101"/>
        <v>0</v>
      </c>
      <c r="AN23" s="23">
        <f>-'Оценка трудоемкости'!CW11-'Договоры ГПХ'!AB11
-SUMIFS(ДДС_Расходование!$I:$I,ДДС_Расходование!$D:$D,$A21,ДДС_Расходование!$C:$C,AN$3)*0.2534</f>
        <v>0</v>
      </c>
      <c r="AO23" s="23">
        <f>-'Оценка трудоемкости'!CX11-'Договоры ГПХ'!AC11
-SUMIFS(ДДС_Расходование!$I:$I,ДДС_Расходование!$D:$D,$A21,ДДС_Расходование!$C:$C,AO$3)*0.2534</f>
        <v>0</v>
      </c>
      <c r="AP23" s="23">
        <f>-'Оценка трудоемкости'!CY11-'Договоры ГПХ'!AD11
-SUMIFS(ДДС_Расходование!$I:$I,ДДС_Расходование!$D:$D,$A21,ДДС_Расходование!$C:$C,AP$3)*0.2534</f>
        <v>0</v>
      </c>
      <c r="AQ23" s="41">
        <f t="shared" si="102"/>
        <v>0</v>
      </c>
      <c r="AR23" s="41">
        <f t="shared" si="103"/>
        <v>0</v>
      </c>
      <c r="AS23" s="23">
        <f>-'Оценка трудоемкости'!CZ11-'Договоры ГПХ'!AE11
-SUMIFS(ДДС_Расходование!$I:$I,ДДС_Расходование!$D:$D,$A21,ДДС_Расходование!$C:$C,AS$3)*0.2534</f>
        <v>0</v>
      </c>
      <c r="AT23" s="23">
        <f>-'Оценка трудоемкости'!DA11-'Договоры ГПХ'!AF11
-SUMIFS(ДДС_Расходование!$I:$I,ДДС_Расходование!$D:$D,$A21,ДДС_Расходование!$C:$C,AT$3)*0.2534</f>
        <v>0</v>
      </c>
      <c r="AU23" s="23">
        <f>-'Оценка трудоемкости'!DB11-'Договоры ГПХ'!AG11
-SUMIFS(ДДС_Расходование!$I:$I,ДДС_Расходование!$D:$D,$A21,ДДС_Расходование!$C:$C,AU$3)*0.2534</f>
        <v>0</v>
      </c>
      <c r="AV23" s="41">
        <f t="shared" si="104"/>
        <v>0</v>
      </c>
      <c r="AW23" s="41">
        <f t="shared" si="105"/>
        <v>0</v>
      </c>
      <c r="AY23" s="23">
        <f>-'Оценка трудоемкости'!DE11-'Договоры ГПХ'!AJ11
-SUMIFS(ДДС_Расходование!$I:$I,ДДС_Расходование!$D:$D,$A21,ДДС_Расходование!$C:$C,AY$3)*0.2534</f>
        <v>0</v>
      </c>
      <c r="AZ23" s="23">
        <f>-'Оценка трудоемкости'!DF11-'Договоры ГПХ'!AK11
-SUMIFS(ДДС_Расходование!$I:$I,ДДС_Расходование!$D:$D,$A21,ДДС_Расходование!$C:$C,AZ$3)*0.2534</f>
        <v>0</v>
      </c>
      <c r="BA23" s="23">
        <f>-'Оценка трудоемкости'!DG11-'Договоры ГПХ'!AL11
-SUMIFS(ДДС_Расходование!$I:$I,ДДС_Расходование!$D:$D,$A21,ДДС_Расходование!$C:$C,BA$3)*0.2534</f>
        <v>0</v>
      </c>
      <c r="BB23" s="41">
        <f t="shared" si="106"/>
        <v>0</v>
      </c>
      <c r="BC23" s="23">
        <f>-'Оценка трудоемкости'!DH11-'Договоры ГПХ'!AM11
-SUMIFS(ДДС_Расходование!$I:$I,ДДС_Расходование!$D:$D,$A21,ДДС_Расходование!$C:$C,BC$3)*0.2534</f>
        <v>0</v>
      </c>
      <c r="BD23" s="23">
        <f>-'Оценка трудоемкости'!DI11-'Договоры ГПХ'!AN11
-SUMIFS(ДДС_Расходование!$I:$I,ДДС_Расходование!$D:$D,$A21,ДДС_Расходование!$C:$C,BD$3)*0.2534</f>
        <v>0</v>
      </c>
      <c r="BE23" s="23">
        <f>-'Оценка трудоемкости'!DJ11-'Договоры ГПХ'!AO11
-SUMIFS(ДДС_Расходование!$I:$I,ДДС_Расходование!$D:$D,$A21,ДДС_Расходование!$C:$C,BE$3)*0.2534</f>
        <v>0</v>
      </c>
      <c r="BF23" s="41">
        <f t="shared" si="107"/>
        <v>0</v>
      </c>
      <c r="BG23" s="41">
        <f t="shared" si="108"/>
        <v>0</v>
      </c>
      <c r="BH23" s="23">
        <f>-'Оценка трудоемкости'!DK11-'Договоры ГПХ'!AP11
-SUMIFS(ДДС_Расходование!$I:$I,ДДС_Расходование!$D:$D,$A21,ДДС_Расходование!$C:$C,BH$3)*0.2534</f>
        <v>0</v>
      </c>
      <c r="BI23" s="23">
        <f>-'Оценка трудоемкости'!DL11-'Договоры ГПХ'!AQ11
-SUMIFS(ДДС_Расходование!$I:$I,ДДС_Расходование!$D:$D,$A21,ДДС_Расходование!$C:$C,BI$3)*0.2534</f>
        <v>0</v>
      </c>
      <c r="BJ23" s="23">
        <f>-'Оценка трудоемкости'!DM11-'Договоры ГПХ'!AR11
-SUMIFS(ДДС_Расходование!$I:$I,ДДС_Расходование!$D:$D,$A21,ДДС_Расходование!$C:$C,BJ$3)*0.2534</f>
        <v>0</v>
      </c>
      <c r="BK23" s="41">
        <f t="shared" si="109"/>
        <v>0</v>
      </c>
      <c r="BL23" s="41">
        <f t="shared" si="110"/>
        <v>0</v>
      </c>
      <c r="BM23" s="23">
        <f>-'Оценка трудоемкости'!DN11-'Договоры ГПХ'!AS11
-SUMIFS(ДДС_Расходование!$I:$I,ДДС_Расходование!$D:$D,$A21,ДДС_Расходование!$C:$C,BM$3)*0.2534</f>
        <v>0</v>
      </c>
      <c r="BN23" s="23">
        <f>-'Оценка трудоемкости'!DO11-'Договоры ГПХ'!AT11
-SUMIFS(ДДС_Расходование!$I:$I,ДДС_Расходование!$D:$D,$A21,ДДС_Расходование!$C:$C,BN$3)*0.2534</f>
        <v>0</v>
      </c>
      <c r="BO23" s="23">
        <f>-'Оценка трудоемкости'!DP11-'Договоры ГПХ'!AU11
-SUMIFS(ДДС_Расходование!$I:$I,ДДС_Расходование!$D:$D,$A21,ДДС_Расходование!$C:$C,BO$3)*0.2534</f>
        <v>0</v>
      </c>
      <c r="BP23" s="41">
        <f t="shared" si="111"/>
        <v>0</v>
      </c>
      <c r="BQ23" s="41">
        <f t="shared" si="112"/>
        <v>0</v>
      </c>
      <c r="BS23" s="23">
        <f>-'Оценка трудоемкости'!DS11-'Договоры ГПХ'!AX11
-SUMIFS(ДДС_Расходование!$I:$I,ДДС_Расходование!$D:$D,$A21,ДДС_Расходование!$C:$C,BS$3)*0.2534</f>
        <v>0</v>
      </c>
      <c r="BT23" s="23">
        <f>-'Оценка трудоемкости'!DT11-'Договоры ГПХ'!AY11
-SUMIFS(ДДС_Расходование!$I:$I,ДДС_Расходование!$D:$D,$A21,ДДС_Расходование!$C:$C,BT$3)*0.2534</f>
        <v>0</v>
      </c>
      <c r="BU23" s="23">
        <f>-'Оценка трудоемкости'!DU11-'Договоры ГПХ'!AZ11
-SUMIFS(ДДС_Расходование!$I:$I,ДДС_Расходование!$D:$D,$A21,ДДС_Расходование!$C:$C,BU$3)*0.2534</f>
        <v>0</v>
      </c>
      <c r="BV23" s="41">
        <f t="shared" si="113"/>
        <v>0</v>
      </c>
      <c r="BW23" s="23">
        <f>-'Оценка трудоемкости'!DV11-'Договоры ГПХ'!BA11
-SUMIFS(ДДС_Расходование!$I:$I,ДДС_Расходование!$D:$D,$A21,ДДС_Расходование!$C:$C,BW$3)*0.2534</f>
        <v>0</v>
      </c>
      <c r="BX23" s="23">
        <f>-'Оценка трудоемкости'!DW11-'Договоры ГПХ'!BB11
-SUMIFS(ДДС_Расходование!$I:$I,ДДС_Расходование!$D:$D,$A21,ДДС_Расходование!$C:$C,BX$3)*0.2534</f>
        <v>0</v>
      </c>
      <c r="BY23" s="23">
        <f>-'Оценка трудоемкости'!DX11-'Договоры ГПХ'!BC11
-SUMIFS(ДДС_Расходование!$I:$I,ДДС_Расходование!$D:$D,$A21,ДДС_Расходование!$C:$C,BY$3)*0.2534</f>
        <v>0</v>
      </c>
      <c r="BZ23" s="41">
        <f t="shared" si="114"/>
        <v>0</v>
      </c>
      <c r="CA23" s="41">
        <f t="shared" si="115"/>
        <v>0</v>
      </c>
      <c r="CB23" s="23">
        <f>-'Оценка трудоемкости'!DY11-'Договоры ГПХ'!BD11
-SUMIFS(ДДС_Расходование!$I:$I,ДДС_Расходование!$D:$D,$A21,ДДС_Расходование!$C:$C,CB$3)*0.2534</f>
        <v>0</v>
      </c>
      <c r="CC23" s="23">
        <f>-'Оценка трудоемкости'!DZ11-'Договоры ГПХ'!BE11
-SUMIFS(ДДС_Расходование!$I:$I,ДДС_Расходование!$D:$D,$A21,ДДС_Расходование!$C:$C,CC$3)*0.2534</f>
        <v>0</v>
      </c>
      <c r="CD23" s="23">
        <f>-'Оценка трудоемкости'!EA11-'Договоры ГПХ'!BF11
-SUMIFS(ДДС_Расходование!$I:$I,ДДС_Расходование!$D:$D,$A21,ДДС_Расходование!$C:$C,CD$3)*0.2534</f>
        <v>0</v>
      </c>
      <c r="CE23" s="41">
        <f t="shared" si="116"/>
        <v>0</v>
      </c>
      <c r="CF23" s="41">
        <f t="shared" si="117"/>
        <v>0</v>
      </c>
      <c r="CG23" s="23">
        <f>-'Оценка трудоемкости'!EB11-'Договоры ГПХ'!BG11
-SUMIFS(ДДС_Расходование!$I:$I,ДДС_Расходование!$D:$D,$A21,ДДС_Расходование!$C:$C,CG$3)*0.2534</f>
        <v>0</v>
      </c>
      <c r="CH23" s="23">
        <f>-'Оценка трудоемкости'!EC11-'Договоры ГПХ'!BH11
-SUMIFS(ДДС_Расходование!$I:$I,ДДС_Расходование!$D:$D,$A21,ДДС_Расходование!$C:$C,CH$3)*0.2534</f>
        <v>0</v>
      </c>
      <c r="CI23" s="23">
        <f>-'Оценка трудоемкости'!ED11-'Договоры ГПХ'!BI11
-SUMIFS(ДДС_Расходование!$I:$I,ДДС_Расходование!$D:$D,$A21,ДДС_Расходование!$C:$C,CI$3)*0.2534</f>
        <v>0</v>
      </c>
      <c r="CJ23" s="41">
        <f t="shared" si="118"/>
        <v>0</v>
      </c>
      <c r="CK23" s="41">
        <f t="shared" si="119"/>
        <v>0</v>
      </c>
      <c r="CM23" s="23">
        <f>-'Оценка трудоемкости'!EG11-'Договоры ГПХ'!BL11
-SUMIFS(ДДС_Расходование!$I:$I,ДДС_Расходование!$D:$D,$A21,ДДС_Расходование!$C:$C,CM$3)*0.2534</f>
        <v>0</v>
      </c>
      <c r="CN23" s="23">
        <f>-'Оценка трудоемкости'!EH11-'Договоры ГПХ'!BM11
-SUMIFS(ДДС_Расходование!$I:$I,ДДС_Расходование!$D:$D,$A21,ДДС_Расходование!$C:$C,CN$3)*0.2534</f>
        <v>0</v>
      </c>
      <c r="CO23" s="23">
        <f>-'Оценка трудоемкости'!EI11-'Договоры ГПХ'!BN11
-SUMIFS(ДДС_Расходование!$I:$I,ДДС_Расходование!$D:$D,$A21,ДДС_Расходование!$C:$C,CO$3)*0.2534</f>
        <v>0</v>
      </c>
      <c r="CP23" s="41">
        <f t="shared" si="120"/>
        <v>0</v>
      </c>
      <c r="CQ23" s="23">
        <f>-'Оценка трудоемкости'!EJ11-'Договоры ГПХ'!BO11
-SUMIFS(ДДС_Расходование!$I:$I,ДДС_Расходование!$D:$D,$A21,ДДС_Расходование!$C:$C,CQ$3)*0.2534</f>
        <v>0</v>
      </c>
      <c r="CR23" s="23">
        <f>-'Оценка трудоемкости'!EK11-'Договоры ГПХ'!BP11
-SUMIFS(ДДС_Расходование!$I:$I,ДДС_Расходование!$D:$D,$A21,ДДС_Расходование!$C:$C,CR$3)*0.2534</f>
        <v>0</v>
      </c>
      <c r="CS23" s="23">
        <f>-'Оценка трудоемкости'!EL11-'Договоры ГПХ'!BQ11
-SUMIFS(ДДС_Расходование!$I:$I,ДДС_Расходование!$D:$D,$A21,ДДС_Расходование!$C:$C,CS$3)*0.2534</f>
        <v>0</v>
      </c>
      <c r="CT23" s="41">
        <f t="shared" si="121"/>
        <v>0</v>
      </c>
      <c r="CU23" s="41">
        <f t="shared" si="122"/>
        <v>0</v>
      </c>
      <c r="CV23" s="23">
        <f>-'Оценка трудоемкости'!EM11-'Договоры ГПХ'!BR11
-SUMIFS(ДДС_Расходование!$I:$I,ДДС_Расходование!$D:$D,$A21,ДДС_Расходование!$C:$C,CV$3)*0.2534</f>
        <v>0</v>
      </c>
      <c r="CW23" s="23">
        <f>-'Оценка трудоемкости'!EN11-'Договоры ГПХ'!BS11
-SUMIFS(ДДС_Расходование!$I:$I,ДДС_Расходование!$D:$D,$A21,ДДС_Расходование!$C:$C,CW$3)*0.2534</f>
        <v>0</v>
      </c>
      <c r="CX23" s="23">
        <f>-'Оценка трудоемкости'!EO11-'Договоры ГПХ'!BT11
-SUMIFS(ДДС_Расходование!$I:$I,ДДС_Расходование!$D:$D,$A21,ДДС_Расходование!$C:$C,CX$3)*0.2534</f>
        <v>0</v>
      </c>
      <c r="CY23" s="41">
        <f t="shared" si="123"/>
        <v>0</v>
      </c>
      <c r="CZ23" s="41">
        <f t="shared" si="124"/>
        <v>0</v>
      </c>
      <c r="DA23" s="23">
        <f>-'Оценка трудоемкости'!EP11-'Договоры ГПХ'!BU11
-SUMIFS(ДДС_Расходование!$I:$I,ДДС_Расходование!$D:$D,$A21,ДДС_Расходование!$C:$C,DA$3)*0.2534</f>
        <v>0</v>
      </c>
      <c r="DB23" s="23">
        <f>-'Оценка трудоемкости'!EQ11-'Договоры ГПХ'!BV11
-SUMIFS(ДДС_Расходование!$I:$I,ДДС_Расходование!$D:$D,$A21,ДДС_Расходование!$C:$C,DB$3)*0.2534</f>
        <v>0</v>
      </c>
      <c r="DC23" s="23">
        <f>-'Оценка трудоемкости'!ER11-'Договоры ГПХ'!BW11
-SUMIFS(ДДС_Расходование!$I:$I,ДДС_Расходование!$D:$D,$A21,ДДС_Расходование!$C:$C,DC$3)*0.2534</f>
        <v>0</v>
      </c>
      <c r="DD23" s="41">
        <f t="shared" si="125"/>
        <v>0</v>
      </c>
      <c r="DE23" s="41">
        <f t="shared" si="126"/>
        <v>0</v>
      </c>
    </row>
    <row r="24" spans="1:109" s="12" customFormat="1" ht="10.199999999999999" x14ac:dyDescent="0.2">
      <c r="A24" s="11" t="s">
        <v>418</v>
      </c>
      <c r="B24" s="11" t="str">
        <f t="shared" si="20"/>
        <v>Облачное хранилище для строительной компании с функцией архивации 203010 20 Аренда помещений</v>
      </c>
      <c r="E24" s="20">
        <v>203010</v>
      </c>
      <c r="F24" s="21" t="str">
        <f>'Карточка проекта'!$B$1</f>
        <v xml:space="preserve">Облачное хранилище для строительной компании с функцией архивации </v>
      </c>
      <c r="G24" s="43" t="s">
        <v>419</v>
      </c>
      <c r="I24" s="41">
        <f t="shared" ref="I24" si="161">AC24+AW24+BQ24+CK24+DE24</f>
        <v>-800000</v>
      </c>
      <c r="K24" s="23">
        <f>-SUMIFS(ДДС_Расходование!$I:$I,ДДС_Расходование!$D:$D,$A24,ДДС_Расходование!$C:$C,K$3)</f>
        <v>0</v>
      </c>
      <c r="L24" s="23">
        <f>-SUMIFS(ДДС_Расходование!$I:$I,ДДС_Расходование!$D:$D,$A24,ДДС_Расходование!$C:$C,L$3)</f>
        <v>0</v>
      </c>
      <c r="M24" s="23">
        <f>-SUMIFS(ДДС_Расходование!$I:$I,ДДС_Расходование!$D:$D,$A24,ДДС_Расходование!$C:$C,M$3)</f>
        <v>0</v>
      </c>
      <c r="N24" s="41">
        <f t="shared" ref="N24" si="162">K24+L24+M24</f>
        <v>0</v>
      </c>
      <c r="O24" s="23">
        <f>-SUMIFS(ДДС_Расходование!$I:$I,ДДС_Расходование!$D:$D,$A24,ДДС_Расходование!$C:$C,O$3)</f>
        <v>0</v>
      </c>
      <c r="P24" s="23">
        <f>-SUMIFS(ДДС_Расходование!$I:$I,ДДС_Расходование!$D:$D,$A24,ДДС_Расходование!$C:$C,P$3)</f>
        <v>0</v>
      </c>
      <c r="Q24" s="23">
        <f>-SUMIFS(ДДС_Расходование!$I:$I,ДДС_Расходование!$D:$D,$A24,ДДС_Расходование!$C:$C,Q$3)</f>
        <v>0</v>
      </c>
      <c r="R24" s="41">
        <f t="shared" ref="R24" si="163">O24+P24+Q24</f>
        <v>0</v>
      </c>
      <c r="S24" s="41">
        <f t="shared" ref="S24" si="164">N24+R24</f>
        <v>0</v>
      </c>
      <c r="T24" s="23">
        <f>-SUMIFS(ДДС_Расходование!$I:$I,ДДС_Расходование!$D:$D,$A24,ДДС_Расходование!$C:$C,T$3)</f>
        <v>0</v>
      </c>
      <c r="U24" s="23">
        <f>-SUMIFS(ДДС_Расходование!$I:$I,ДДС_Расходование!$D:$D,$A24,ДДС_Расходование!$C:$C,U$3)</f>
        <v>0</v>
      </c>
      <c r="V24" s="23">
        <f>-SUMIFS(ДДС_Расходование!$I:$I,ДДС_Расходование!$D:$D,$A24,ДДС_Расходование!$C:$C,V$3)</f>
        <v>-800000</v>
      </c>
      <c r="W24" s="41">
        <f t="shared" ref="W24" si="165">T24+U24+V24</f>
        <v>-800000</v>
      </c>
      <c r="X24" s="41">
        <f t="shared" ref="X24" si="166">S24+W24</f>
        <v>-800000</v>
      </c>
      <c r="Y24" s="23">
        <f>-SUMIFS(ДДС_Расходование!$I:$I,ДДС_Расходование!$D:$D,$A24,ДДС_Расходование!$C:$C,Y$3)</f>
        <v>0</v>
      </c>
      <c r="Z24" s="23">
        <f>-SUMIFS(ДДС_Расходование!$I:$I,ДДС_Расходование!$D:$D,$A24,ДДС_Расходование!$C:$C,Z$3)</f>
        <v>0</v>
      </c>
      <c r="AA24" s="23">
        <f>-SUMIFS(ДДС_Расходование!$I:$I,ДДС_Расходование!$D:$D,$A24,ДДС_Расходование!$C:$C,AA$3)</f>
        <v>0</v>
      </c>
      <c r="AB24" s="41">
        <f t="shared" ref="AB24" si="167">Y24+Z24+AA24</f>
        <v>0</v>
      </c>
      <c r="AC24" s="41">
        <f t="shared" ref="AC24" si="168">X24+AB24</f>
        <v>-800000</v>
      </c>
      <c r="AE24" s="23">
        <f>-SUMIFS(ДДС_Расходование!$I:$I,ДДС_Расходование!$D:$D,$A24,ДДС_Расходование!$C:$C,AE$3)</f>
        <v>0</v>
      </c>
      <c r="AF24" s="23">
        <f>-SUMIFS(ДДС_Расходование!$I:$I,ДДС_Расходование!$D:$D,$A24,ДДС_Расходование!$C:$C,AF$3)</f>
        <v>0</v>
      </c>
      <c r="AG24" s="23">
        <f>-SUMIFS(ДДС_Расходование!$I:$I,ДДС_Расходование!$D:$D,$A24,ДДС_Расходование!$C:$C,AG$3)</f>
        <v>0</v>
      </c>
      <c r="AH24" s="41">
        <f t="shared" ref="AH24" si="169">AE24+AF24+AG24</f>
        <v>0</v>
      </c>
      <c r="AI24" s="23">
        <f>-SUMIFS(ДДС_Расходование!$I:$I,ДДС_Расходование!$D:$D,$A24,ДДС_Расходование!$C:$C,AI$3)</f>
        <v>0</v>
      </c>
      <c r="AJ24" s="23">
        <f>-SUMIFS(ДДС_Расходование!$I:$I,ДДС_Расходование!$D:$D,$A24,ДДС_Расходование!$C:$C,AJ$3)</f>
        <v>0</v>
      </c>
      <c r="AK24" s="23">
        <f>-SUMIFS(ДДС_Расходование!$I:$I,ДДС_Расходование!$D:$D,$A24,ДДС_Расходование!$C:$C,AK$3)</f>
        <v>0</v>
      </c>
      <c r="AL24" s="41">
        <f t="shared" ref="AL24" si="170">AI24+AJ24+AK24</f>
        <v>0</v>
      </c>
      <c r="AM24" s="41">
        <f t="shared" ref="AM24" si="171">AH24+AL24</f>
        <v>0</v>
      </c>
      <c r="AN24" s="23">
        <f>-SUMIFS(ДДС_Расходование!$I:$I,ДДС_Расходование!$D:$D,$A24,ДДС_Расходование!$C:$C,AN$3)</f>
        <v>0</v>
      </c>
      <c r="AO24" s="23">
        <f>-SUMIFS(ДДС_Расходование!$I:$I,ДДС_Расходование!$D:$D,$A24,ДДС_Расходование!$C:$C,AO$3)</f>
        <v>0</v>
      </c>
      <c r="AP24" s="23">
        <f>-SUMIFS(ДДС_Расходование!$I:$I,ДДС_Расходование!$D:$D,$A24,ДДС_Расходование!$C:$C,AP$3)</f>
        <v>0</v>
      </c>
      <c r="AQ24" s="41">
        <f t="shared" ref="AQ24" si="172">AN24+AO24+AP24</f>
        <v>0</v>
      </c>
      <c r="AR24" s="41">
        <f t="shared" ref="AR24" si="173">AM24+AQ24</f>
        <v>0</v>
      </c>
      <c r="AS24" s="23">
        <f>-SUMIFS(ДДС_Расходование!$I:$I,ДДС_Расходование!$D:$D,$A24,ДДС_Расходование!$C:$C,AS$3)</f>
        <v>0</v>
      </c>
      <c r="AT24" s="23">
        <f>-SUMIFS(ДДС_Расходование!$I:$I,ДДС_Расходование!$D:$D,$A24,ДДС_Расходование!$C:$C,AT$3)</f>
        <v>0</v>
      </c>
      <c r="AU24" s="23">
        <f>-SUMIFS(ДДС_Расходование!$I:$I,ДДС_Расходование!$D:$D,$A24,ДДС_Расходование!$C:$C,AU$3)</f>
        <v>0</v>
      </c>
      <c r="AV24" s="41">
        <f t="shared" ref="AV24" si="174">AS24+AT24+AU24</f>
        <v>0</v>
      </c>
      <c r="AW24" s="41">
        <f t="shared" ref="AW24" si="175">AR24+AV24</f>
        <v>0</v>
      </c>
      <c r="AY24" s="23">
        <f>-SUMIFS(ДДС_Расходование!$I:$I,ДДС_Расходование!$D:$D,$A24,ДДС_Расходование!$C:$C,AY$3)</f>
        <v>0</v>
      </c>
      <c r="AZ24" s="23">
        <f>-SUMIFS(ДДС_Расходование!$I:$I,ДДС_Расходование!$D:$D,$A24,ДДС_Расходование!$C:$C,AZ$3)</f>
        <v>0</v>
      </c>
      <c r="BA24" s="23">
        <f>-SUMIFS(ДДС_Расходование!$I:$I,ДДС_Расходование!$D:$D,$A24,ДДС_Расходование!$C:$C,BA$3)</f>
        <v>0</v>
      </c>
      <c r="BB24" s="41">
        <f t="shared" ref="BB24" si="176">AY24+AZ24+BA24</f>
        <v>0</v>
      </c>
      <c r="BC24" s="23">
        <f>-SUMIFS(ДДС_Расходование!$I:$I,ДДС_Расходование!$D:$D,$A24,ДДС_Расходование!$C:$C,BC$3)</f>
        <v>0</v>
      </c>
      <c r="BD24" s="23">
        <f>-SUMIFS(ДДС_Расходование!$I:$I,ДДС_Расходование!$D:$D,$A24,ДДС_Расходование!$C:$C,BD$3)</f>
        <v>0</v>
      </c>
      <c r="BE24" s="23">
        <f>-SUMIFS(ДДС_Расходование!$I:$I,ДДС_Расходование!$D:$D,$A24,ДДС_Расходование!$C:$C,BE$3)</f>
        <v>0</v>
      </c>
      <c r="BF24" s="41">
        <f t="shared" ref="BF24" si="177">BC24+BD24+BE24</f>
        <v>0</v>
      </c>
      <c r="BG24" s="41">
        <f t="shared" ref="BG24" si="178">BB24+BF24</f>
        <v>0</v>
      </c>
      <c r="BH24" s="23">
        <f>-SUMIFS(ДДС_Расходование!$I:$I,ДДС_Расходование!$D:$D,$A24,ДДС_Расходование!$C:$C,BH$3)</f>
        <v>0</v>
      </c>
      <c r="BI24" s="23">
        <f>-SUMIFS(ДДС_Расходование!$I:$I,ДДС_Расходование!$D:$D,$A24,ДДС_Расходование!$C:$C,BI$3)</f>
        <v>0</v>
      </c>
      <c r="BJ24" s="23">
        <f>-SUMIFS(ДДС_Расходование!$I:$I,ДДС_Расходование!$D:$D,$A24,ДДС_Расходование!$C:$C,BJ$3)</f>
        <v>0</v>
      </c>
      <c r="BK24" s="41">
        <f t="shared" ref="BK24" si="179">BH24+BI24+BJ24</f>
        <v>0</v>
      </c>
      <c r="BL24" s="41">
        <f t="shared" ref="BL24" si="180">BG24+BK24</f>
        <v>0</v>
      </c>
      <c r="BM24" s="23">
        <f>-SUMIFS(ДДС_Расходование!$I:$I,ДДС_Расходование!$D:$D,$A24,ДДС_Расходование!$C:$C,BM$3)</f>
        <v>0</v>
      </c>
      <c r="BN24" s="23">
        <f>-SUMIFS(ДДС_Расходование!$I:$I,ДДС_Расходование!$D:$D,$A24,ДДС_Расходование!$C:$C,BN$3)</f>
        <v>0</v>
      </c>
      <c r="BO24" s="23">
        <f>-SUMIFS(ДДС_Расходование!$I:$I,ДДС_Расходование!$D:$D,$A24,ДДС_Расходование!$C:$C,BO$3)</f>
        <v>0</v>
      </c>
      <c r="BP24" s="41">
        <f t="shared" ref="BP24" si="181">BM24+BN24+BO24</f>
        <v>0</v>
      </c>
      <c r="BQ24" s="41">
        <f t="shared" ref="BQ24" si="182">BL24+BP24</f>
        <v>0</v>
      </c>
      <c r="BS24" s="23">
        <f>-SUMIFS(ДДС_Расходование!$I:$I,ДДС_Расходование!$D:$D,$A24,ДДС_Расходование!$C:$C,BS$3)</f>
        <v>0</v>
      </c>
      <c r="BT24" s="23">
        <f>-SUMIFS(ДДС_Расходование!$I:$I,ДДС_Расходование!$D:$D,$A24,ДДС_Расходование!$C:$C,BT$3)</f>
        <v>0</v>
      </c>
      <c r="BU24" s="23">
        <f>-SUMIFS(ДДС_Расходование!$I:$I,ДДС_Расходование!$D:$D,$A24,ДДС_Расходование!$C:$C,BU$3)</f>
        <v>0</v>
      </c>
      <c r="BV24" s="41">
        <f t="shared" ref="BV24" si="183">BS24+BT24+BU24</f>
        <v>0</v>
      </c>
      <c r="BW24" s="23">
        <f>-SUMIFS(ДДС_Расходование!$I:$I,ДДС_Расходование!$D:$D,$A24,ДДС_Расходование!$C:$C,BW$3)</f>
        <v>0</v>
      </c>
      <c r="BX24" s="23">
        <f>-SUMIFS(ДДС_Расходование!$I:$I,ДДС_Расходование!$D:$D,$A24,ДДС_Расходование!$C:$C,BX$3)</f>
        <v>0</v>
      </c>
      <c r="BY24" s="23">
        <f>-SUMIFS(ДДС_Расходование!$I:$I,ДДС_Расходование!$D:$D,$A24,ДДС_Расходование!$C:$C,BY$3)</f>
        <v>0</v>
      </c>
      <c r="BZ24" s="41">
        <f t="shared" ref="BZ24" si="184">BW24+BX24+BY24</f>
        <v>0</v>
      </c>
      <c r="CA24" s="41">
        <f t="shared" ref="CA24" si="185">BV24+BZ24</f>
        <v>0</v>
      </c>
      <c r="CB24" s="23">
        <f>-SUMIFS(ДДС_Расходование!$I:$I,ДДС_Расходование!$D:$D,$A24,ДДС_Расходование!$C:$C,CB$3)</f>
        <v>0</v>
      </c>
      <c r="CC24" s="23">
        <f>-SUMIFS(ДДС_Расходование!$I:$I,ДДС_Расходование!$D:$D,$A24,ДДС_Расходование!$C:$C,CC$3)</f>
        <v>0</v>
      </c>
      <c r="CD24" s="23">
        <f>-SUMIFS(ДДС_Расходование!$I:$I,ДДС_Расходование!$D:$D,$A24,ДДС_Расходование!$C:$C,CD$3)</f>
        <v>0</v>
      </c>
      <c r="CE24" s="41">
        <f t="shared" ref="CE24" si="186">CB24+CC24+CD24</f>
        <v>0</v>
      </c>
      <c r="CF24" s="41">
        <f t="shared" ref="CF24" si="187">CA24+CE24</f>
        <v>0</v>
      </c>
      <c r="CG24" s="23">
        <f>-SUMIFS(ДДС_Расходование!$I:$I,ДДС_Расходование!$D:$D,$A24,ДДС_Расходование!$C:$C,CG$3)</f>
        <v>0</v>
      </c>
      <c r="CH24" s="23">
        <f>-SUMIFS(ДДС_Расходование!$I:$I,ДДС_Расходование!$D:$D,$A24,ДДС_Расходование!$C:$C,CH$3)</f>
        <v>0</v>
      </c>
      <c r="CI24" s="23">
        <f>-SUMIFS(ДДС_Расходование!$I:$I,ДДС_Расходование!$D:$D,$A24,ДДС_Расходование!$C:$C,CI$3)</f>
        <v>0</v>
      </c>
      <c r="CJ24" s="41">
        <f t="shared" ref="CJ24" si="188">CG24+CH24+CI24</f>
        <v>0</v>
      </c>
      <c r="CK24" s="41">
        <f t="shared" ref="CK24" si="189">CF24+CJ24</f>
        <v>0</v>
      </c>
      <c r="CM24" s="23">
        <f>-SUMIFS(ДДС_Расходование!$I:$I,ДДС_Расходование!$D:$D,$A24,ДДС_Расходование!$C:$C,CM$3)</f>
        <v>0</v>
      </c>
      <c r="CN24" s="23">
        <f>-SUMIFS(ДДС_Расходование!$I:$I,ДДС_Расходование!$D:$D,$A24,ДДС_Расходование!$C:$C,CN$3)</f>
        <v>0</v>
      </c>
      <c r="CO24" s="23">
        <f>-SUMIFS(ДДС_Расходование!$I:$I,ДДС_Расходование!$D:$D,$A24,ДДС_Расходование!$C:$C,CO$3)</f>
        <v>0</v>
      </c>
      <c r="CP24" s="41">
        <f t="shared" ref="CP24" si="190">CM24+CN24+CO24</f>
        <v>0</v>
      </c>
      <c r="CQ24" s="23">
        <f>-SUMIFS(ДДС_Расходование!$I:$I,ДДС_Расходование!$D:$D,$A24,ДДС_Расходование!$C:$C,CQ$3)</f>
        <v>0</v>
      </c>
      <c r="CR24" s="23">
        <f>-SUMIFS(ДДС_Расходование!$I:$I,ДДС_Расходование!$D:$D,$A24,ДДС_Расходование!$C:$C,CR$3)</f>
        <v>0</v>
      </c>
      <c r="CS24" s="23">
        <f>-SUMIFS(ДДС_Расходование!$I:$I,ДДС_Расходование!$D:$D,$A24,ДДС_Расходование!$C:$C,CS$3)</f>
        <v>0</v>
      </c>
      <c r="CT24" s="41">
        <f t="shared" ref="CT24" si="191">CQ24+CR24+CS24</f>
        <v>0</v>
      </c>
      <c r="CU24" s="41">
        <f t="shared" ref="CU24" si="192">CP24+CT24</f>
        <v>0</v>
      </c>
      <c r="CV24" s="23">
        <f>-SUMIFS(ДДС_Расходование!$I:$I,ДДС_Расходование!$D:$D,$A24,ДДС_Расходование!$C:$C,CV$3)</f>
        <v>0</v>
      </c>
      <c r="CW24" s="23">
        <f>-SUMIFS(ДДС_Расходование!$I:$I,ДДС_Расходование!$D:$D,$A24,ДДС_Расходование!$C:$C,CW$3)</f>
        <v>0</v>
      </c>
      <c r="CX24" s="23">
        <f>-SUMIFS(ДДС_Расходование!$I:$I,ДДС_Расходование!$D:$D,$A24,ДДС_Расходование!$C:$C,CX$3)</f>
        <v>0</v>
      </c>
      <c r="CY24" s="41">
        <f t="shared" ref="CY24" si="193">CV24+CW24+CX24</f>
        <v>0</v>
      </c>
      <c r="CZ24" s="41">
        <f t="shared" ref="CZ24" si="194">CU24+CY24</f>
        <v>0</v>
      </c>
      <c r="DA24" s="23">
        <f>-SUMIFS(ДДС_Расходование!$I:$I,ДДС_Расходование!$D:$D,$A24,ДДС_Расходование!$C:$C,DA$3)</f>
        <v>0</v>
      </c>
      <c r="DB24" s="23">
        <f>-SUMIFS(ДДС_Расходование!$I:$I,ДДС_Расходование!$D:$D,$A24,ДДС_Расходование!$C:$C,DB$3)</f>
        <v>0</v>
      </c>
      <c r="DC24" s="23">
        <f>-SUMIFS(ДДС_Расходование!$I:$I,ДДС_Расходование!$D:$D,$A24,ДДС_Расходование!$C:$C,DC$3)</f>
        <v>0</v>
      </c>
      <c r="DD24" s="41">
        <f t="shared" ref="DD24" si="195">DA24+DB24+DC24</f>
        <v>0</v>
      </c>
      <c r="DE24" s="41">
        <f t="shared" ref="DE24" si="196">CZ24+DD24</f>
        <v>0</v>
      </c>
    </row>
    <row r="25" spans="1:109" s="12" customFormat="1" ht="10.199999999999999" x14ac:dyDescent="0.2">
      <c r="A25" s="11" t="s">
        <v>216</v>
      </c>
      <c r="B25" s="11" t="str">
        <f t="shared" si="20"/>
        <v>Облачное хранилище для строительной компании с функцией архивации 203031 20 Командировочные расходы - Суточные</v>
      </c>
      <c r="E25" s="20">
        <v>203031</v>
      </c>
      <c r="F25" s="21" t="str">
        <f>'Карточка проекта'!$B$1</f>
        <v xml:space="preserve">Облачное хранилище для строительной компании с функцией архивации </v>
      </c>
      <c r="G25" s="43" t="s">
        <v>217</v>
      </c>
      <c r="I25" s="41">
        <f t="shared" si="12"/>
        <v>-30800</v>
      </c>
      <c r="K25" s="23">
        <f>-SUMIFS(Командировки!$O:$O,Командировки!$J:$J,K$3)</f>
        <v>0</v>
      </c>
      <c r="L25" s="23">
        <f>-SUMIFS(Командировки!$O:$O,Командировки!$J:$J,L$3)</f>
        <v>0</v>
      </c>
      <c r="M25" s="23">
        <f>-SUMIFS(Командировки!$O:$O,Командировки!$J:$J,M$3)</f>
        <v>0</v>
      </c>
      <c r="N25" s="41">
        <f t="shared" si="92"/>
        <v>0</v>
      </c>
      <c r="O25" s="23">
        <f>-SUMIFS(Командировки!$O:$O,Командировки!$J:$J,O$3)</f>
        <v>0</v>
      </c>
      <c r="P25" s="23">
        <f>-SUMIFS(Командировки!$O:$O,Командировки!$J:$J,P$3)</f>
        <v>0</v>
      </c>
      <c r="Q25" s="23">
        <f>-SUMIFS(Командировки!$O:$O,Командировки!$J:$J,Q$3)</f>
        <v>0</v>
      </c>
      <c r="R25" s="22">
        <f t="shared" si="93"/>
        <v>0</v>
      </c>
      <c r="S25" s="41">
        <f t="shared" si="94"/>
        <v>0</v>
      </c>
      <c r="T25" s="23">
        <f>-SUMIFS(Командировки!$O:$O,Командировки!$J:$J,T$3)</f>
        <v>0</v>
      </c>
      <c r="U25" s="23">
        <f>-SUMIFS(Командировки!$O:$O,Командировки!$J:$J,U$3)</f>
        <v>0</v>
      </c>
      <c r="V25" s="23">
        <f>-SUMIFS(Командировки!$O:$O,Командировки!$J:$J,V$3)</f>
        <v>-5600</v>
      </c>
      <c r="W25" s="41">
        <f t="shared" si="95"/>
        <v>-5600</v>
      </c>
      <c r="X25" s="41">
        <f t="shared" si="96"/>
        <v>-5600</v>
      </c>
      <c r="Y25" s="23">
        <f>-SUMIFS(Командировки!$O:$O,Командировки!$J:$J,Y$3)</f>
        <v>-25200</v>
      </c>
      <c r="Z25" s="23">
        <f>-SUMIFS(Командировки!$O:$O,Командировки!$J:$J,Z$3)</f>
        <v>0</v>
      </c>
      <c r="AA25" s="23">
        <f>-SUMIFS(Командировки!$O:$O,Командировки!$J:$J,AA$3)</f>
        <v>0</v>
      </c>
      <c r="AB25" s="22">
        <f t="shared" si="97"/>
        <v>-25200</v>
      </c>
      <c r="AC25" s="41">
        <f t="shared" si="98"/>
        <v>-30800</v>
      </c>
      <c r="AE25" s="23">
        <f>-SUMIFS(Командировки!$O:$O,Командировки!$J:$J,AE$3)</f>
        <v>0</v>
      </c>
      <c r="AF25" s="23">
        <f>-SUMIFS(Командировки!$O:$O,Командировки!$J:$J,AF$3)</f>
        <v>0</v>
      </c>
      <c r="AG25" s="23">
        <f>-SUMIFS(Командировки!$O:$O,Командировки!$J:$J,AG$3)</f>
        <v>0</v>
      </c>
      <c r="AH25" s="41">
        <f t="shared" si="99"/>
        <v>0</v>
      </c>
      <c r="AI25" s="23">
        <f>-SUMIFS(Командировки!$O:$O,Командировки!$J:$J,AI$3)</f>
        <v>0</v>
      </c>
      <c r="AJ25" s="23">
        <f>-SUMIFS(Командировки!$O:$O,Командировки!$J:$J,AJ$3)</f>
        <v>0</v>
      </c>
      <c r="AK25" s="23">
        <f>-SUMIFS(Командировки!$O:$O,Командировки!$J:$J,AK$3)</f>
        <v>0</v>
      </c>
      <c r="AL25" s="41">
        <f t="shared" si="100"/>
        <v>0</v>
      </c>
      <c r="AM25" s="41">
        <f t="shared" si="101"/>
        <v>0</v>
      </c>
      <c r="AN25" s="23">
        <f>-SUMIFS(Командировки!$O:$O,Командировки!$J:$J,AN$3)</f>
        <v>0</v>
      </c>
      <c r="AO25" s="23">
        <f>-SUMIFS(Командировки!$O:$O,Командировки!$J:$J,AO$3)</f>
        <v>0</v>
      </c>
      <c r="AP25" s="23">
        <f>-SUMIFS(Командировки!$O:$O,Командировки!$J:$J,AP$3)</f>
        <v>0</v>
      </c>
      <c r="AQ25" s="41">
        <f t="shared" si="102"/>
        <v>0</v>
      </c>
      <c r="AR25" s="41">
        <f t="shared" si="103"/>
        <v>0</v>
      </c>
      <c r="AS25" s="23">
        <f>-SUMIFS(Командировки!$O:$O,Командировки!$J:$J,AS$3)</f>
        <v>0</v>
      </c>
      <c r="AT25" s="23">
        <f>-SUMIFS(Командировки!$O:$O,Командировки!$J:$J,AT$3)</f>
        <v>0</v>
      </c>
      <c r="AU25" s="23">
        <f>-SUMIFS(Командировки!$O:$O,Командировки!$J:$J,AU$3)</f>
        <v>0</v>
      </c>
      <c r="AV25" s="41">
        <f t="shared" si="104"/>
        <v>0</v>
      </c>
      <c r="AW25" s="41">
        <f t="shared" si="105"/>
        <v>0</v>
      </c>
      <c r="AY25" s="23">
        <f>-SUMIFS(Командировки!$O:$O,Командировки!$J:$J,AY$3)</f>
        <v>0</v>
      </c>
      <c r="AZ25" s="23">
        <f>-SUMIFS(Командировки!$O:$O,Командировки!$J:$J,AZ$3)</f>
        <v>0</v>
      </c>
      <c r="BA25" s="23">
        <f>-SUMIFS(Командировки!$O:$O,Командировки!$J:$J,BA$3)</f>
        <v>0</v>
      </c>
      <c r="BB25" s="41">
        <f t="shared" si="106"/>
        <v>0</v>
      </c>
      <c r="BC25" s="23">
        <f>-SUMIFS(Командировки!$O:$O,Командировки!$J:$J,BC$3)</f>
        <v>0</v>
      </c>
      <c r="BD25" s="23">
        <f>-SUMIFS(Командировки!$O:$O,Командировки!$J:$J,BD$3)</f>
        <v>0</v>
      </c>
      <c r="BE25" s="23">
        <f>-SUMIFS(Командировки!$O:$O,Командировки!$J:$J,BE$3)</f>
        <v>0</v>
      </c>
      <c r="BF25" s="41">
        <f t="shared" si="107"/>
        <v>0</v>
      </c>
      <c r="BG25" s="41">
        <f t="shared" si="108"/>
        <v>0</v>
      </c>
      <c r="BH25" s="23">
        <f>-SUMIFS(Командировки!$O:$O,Командировки!$J:$J,BH$3)</f>
        <v>0</v>
      </c>
      <c r="BI25" s="23">
        <f>-SUMIFS(Командировки!$O:$O,Командировки!$J:$J,BI$3)</f>
        <v>0</v>
      </c>
      <c r="BJ25" s="23">
        <f>-SUMIFS(Командировки!$O:$O,Командировки!$J:$J,BJ$3)</f>
        <v>0</v>
      </c>
      <c r="BK25" s="41">
        <f t="shared" si="109"/>
        <v>0</v>
      </c>
      <c r="BL25" s="41">
        <f t="shared" si="110"/>
        <v>0</v>
      </c>
      <c r="BM25" s="23">
        <f>-SUMIFS(Командировки!$O:$O,Командировки!$J:$J,BM$3)</f>
        <v>0</v>
      </c>
      <c r="BN25" s="23">
        <f>-SUMIFS(Командировки!$O:$O,Командировки!$J:$J,BN$3)</f>
        <v>0</v>
      </c>
      <c r="BO25" s="23">
        <f>-SUMIFS(Командировки!$O:$O,Командировки!$J:$J,BO$3)</f>
        <v>0</v>
      </c>
      <c r="BP25" s="41">
        <f t="shared" si="111"/>
        <v>0</v>
      </c>
      <c r="BQ25" s="41">
        <f t="shared" si="112"/>
        <v>0</v>
      </c>
      <c r="BS25" s="23">
        <f>-SUMIFS(Командировки!$O:$O,Командировки!$J:$J,BS$3)</f>
        <v>0</v>
      </c>
      <c r="BT25" s="23">
        <f>-SUMIFS(Командировки!$O:$O,Командировки!$J:$J,BT$3)</f>
        <v>0</v>
      </c>
      <c r="BU25" s="23">
        <f>-SUMIFS(Командировки!$O:$O,Командировки!$J:$J,BU$3)</f>
        <v>0</v>
      </c>
      <c r="BV25" s="41">
        <f t="shared" si="113"/>
        <v>0</v>
      </c>
      <c r="BW25" s="23">
        <f>-SUMIFS(Командировки!$O:$O,Командировки!$J:$J,BW$3)</f>
        <v>0</v>
      </c>
      <c r="BX25" s="23">
        <f>-SUMIFS(Командировки!$O:$O,Командировки!$J:$J,BX$3)</f>
        <v>0</v>
      </c>
      <c r="BY25" s="23">
        <f>-SUMIFS(Командировки!$O:$O,Командировки!$J:$J,BY$3)</f>
        <v>0</v>
      </c>
      <c r="BZ25" s="41">
        <f t="shared" si="114"/>
        <v>0</v>
      </c>
      <c r="CA25" s="41">
        <f t="shared" si="115"/>
        <v>0</v>
      </c>
      <c r="CB25" s="23">
        <f>-SUMIFS(Командировки!$O:$O,Командировки!$J:$J,CB$3)</f>
        <v>0</v>
      </c>
      <c r="CC25" s="23">
        <f>-SUMIFS(Командировки!$O:$O,Командировки!$J:$J,CC$3)</f>
        <v>0</v>
      </c>
      <c r="CD25" s="23">
        <f>-SUMIFS(Командировки!$O:$O,Командировки!$J:$J,CD$3)</f>
        <v>0</v>
      </c>
      <c r="CE25" s="41">
        <f t="shared" si="116"/>
        <v>0</v>
      </c>
      <c r="CF25" s="41">
        <f t="shared" si="117"/>
        <v>0</v>
      </c>
      <c r="CG25" s="23">
        <f>-SUMIFS(Командировки!$O:$O,Командировки!$J:$J,CG$3)</f>
        <v>0</v>
      </c>
      <c r="CH25" s="23">
        <f>-SUMIFS(Командировки!$O:$O,Командировки!$J:$J,CH$3)</f>
        <v>0</v>
      </c>
      <c r="CI25" s="23">
        <f>-SUMIFS(Командировки!$O:$O,Командировки!$J:$J,CI$3)</f>
        <v>0</v>
      </c>
      <c r="CJ25" s="41">
        <f t="shared" si="118"/>
        <v>0</v>
      </c>
      <c r="CK25" s="41">
        <f t="shared" si="119"/>
        <v>0</v>
      </c>
      <c r="CM25" s="23">
        <f>-SUMIFS('БДР_Себестоимость и Расходы'!$I:$I,'БДР_Себестоимость и Расходы'!$D:$D,$A25,'БДР_Себестоимость и Расходы'!$C:$C,CM$3)</f>
        <v>0</v>
      </c>
      <c r="CN25" s="23">
        <f>-SUMIFS('БДР_Себестоимость и Расходы'!$I:$I,'БДР_Себестоимость и Расходы'!$D:$D,$A25,'БДР_Себестоимость и Расходы'!$C:$C,CN$3)</f>
        <v>0</v>
      </c>
      <c r="CO25" s="23">
        <f>-SUMIFS('БДР_Себестоимость и Расходы'!$I:$I,'БДР_Себестоимость и Расходы'!$D:$D,$A25,'БДР_Себестоимость и Расходы'!$C:$C,CO$3)</f>
        <v>0</v>
      </c>
      <c r="CP25" s="41">
        <f t="shared" si="120"/>
        <v>0</v>
      </c>
      <c r="CQ25" s="23">
        <f>-SUMIFS('БДР_Себестоимость и Расходы'!$I:$I,'БДР_Себестоимость и Расходы'!$D:$D,$A25,'БДР_Себестоимость и Расходы'!$C:$C,CQ$3)</f>
        <v>0</v>
      </c>
      <c r="CR25" s="23">
        <f>-SUMIFS('БДР_Себестоимость и Расходы'!$I:$I,'БДР_Себестоимость и Расходы'!$D:$D,$A25,'БДР_Себестоимость и Расходы'!$C:$C,CR$3)</f>
        <v>0</v>
      </c>
      <c r="CS25" s="23">
        <f>-SUMIFS('БДР_Себестоимость и Расходы'!$I:$I,'БДР_Себестоимость и Расходы'!$D:$D,$A25,'БДР_Себестоимость и Расходы'!$C:$C,CS$3)</f>
        <v>0</v>
      </c>
      <c r="CT25" s="41">
        <f t="shared" si="121"/>
        <v>0</v>
      </c>
      <c r="CU25" s="41">
        <f t="shared" si="122"/>
        <v>0</v>
      </c>
      <c r="CV25" s="23">
        <f>-SUMIFS('БДР_Себестоимость и Расходы'!$I:$I,'БДР_Себестоимость и Расходы'!$D:$D,$A25,'БДР_Себестоимость и Расходы'!$C:$C,CV$3)</f>
        <v>0</v>
      </c>
      <c r="CW25" s="23">
        <f>-SUMIFS('БДР_Себестоимость и Расходы'!$I:$I,'БДР_Себестоимость и Расходы'!$D:$D,$A25,'БДР_Себестоимость и Расходы'!$C:$C,CW$3)</f>
        <v>0</v>
      </c>
      <c r="CX25" s="23">
        <f>-SUMIFS('БДР_Себестоимость и Расходы'!$I:$I,'БДР_Себестоимость и Расходы'!$D:$D,$A25,'БДР_Себестоимость и Расходы'!$C:$C,CX$3)</f>
        <v>0</v>
      </c>
      <c r="CY25" s="41">
        <f t="shared" si="123"/>
        <v>0</v>
      </c>
      <c r="CZ25" s="41">
        <f t="shared" si="124"/>
        <v>0</v>
      </c>
      <c r="DA25" s="23">
        <f>-SUMIFS('БДР_Себестоимость и Расходы'!$I:$I,'БДР_Себестоимость и Расходы'!$D:$D,$A25,'БДР_Себестоимость и Расходы'!$C:$C,DA$3)</f>
        <v>0</v>
      </c>
      <c r="DB25" s="23">
        <f>-SUMIFS('БДР_Себестоимость и Расходы'!$I:$I,'БДР_Себестоимость и Расходы'!$D:$D,$A25,'БДР_Себестоимость и Расходы'!$C:$C,DB$3)</f>
        <v>0</v>
      </c>
      <c r="DC25" s="23">
        <f>-SUMIFS('БДР_Себестоимость и Расходы'!$I:$I,'БДР_Себестоимость и Расходы'!$D:$D,$A25,'БДР_Себестоимость и Расходы'!$C:$C,DC$3)</f>
        <v>0</v>
      </c>
      <c r="DD25" s="41">
        <f t="shared" si="125"/>
        <v>0</v>
      </c>
      <c r="DE25" s="41">
        <f t="shared" si="126"/>
        <v>0</v>
      </c>
    </row>
    <row r="26" spans="1:109" s="12" customFormat="1" ht="10.199999999999999" x14ac:dyDescent="0.2">
      <c r="A26" s="11" t="s">
        <v>218</v>
      </c>
      <c r="B26" s="11" t="str">
        <f t="shared" si="20"/>
        <v>Облачное хранилище для строительной компании с функцией архивации 203032 20 Командировочные расходы - Проживание</v>
      </c>
      <c r="E26" s="20">
        <v>203032</v>
      </c>
      <c r="F26" s="21" t="str">
        <f>'Карточка проекта'!$B$1</f>
        <v xml:space="preserve">Облачное хранилище для строительной компании с функцией архивации </v>
      </c>
      <c r="G26" s="43" t="s">
        <v>219</v>
      </c>
      <c r="I26" s="41">
        <f t="shared" si="12"/>
        <v>-80000</v>
      </c>
      <c r="K26" s="23">
        <f>-SUMIFS(Командировки!$P:$P,Командировки!$J:$J,K$3)</f>
        <v>0</v>
      </c>
      <c r="L26" s="23">
        <f>-SUMIFS(Командировки!$P:$P,Командировки!$J:$J,L$3)</f>
        <v>0</v>
      </c>
      <c r="M26" s="23">
        <f>-SUMIFS(Командировки!$P:$P,Командировки!$J:$J,M$3)</f>
        <v>0</v>
      </c>
      <c r="N26" s="41">
        <f t="shared" si="92"/>
        <v>0</v>
      </c>
      <c r="O26" s="23">
        <f>-SUMIFS(Командировки!$P:$P,Командировки!$J:$J,O$3)</f>
        <v>0</v>
      </c>
      <c r="P26" s="23">
        <f>-SUMIFS(Командировки!$P:$P,Командировки!$J:$J,P$3)</f>
        <v>0</v>
      </c>
      <c r="Q26" s="23">
        <f>-SUMIFS(Командировки!$P:$P,Командировки!$J:$J,Q$3)</f>
        <v>0</v>
      </c>
      <c r="R26" s="22">
        <f t="shared" si="93"/>
        <v>0</v>
      </c>
      <c r="S26" s="41">
        <f t="shared" si="94"/>
        <v>0</v>
      </c>
      <c r="T26" s="23">
        <f>-SUMIFS(Командировки!$P:$P,Командировки!$J:$J,T$3)</f>
        <v>0</v>
      </c>
      <c r="U26" s="23">
        <f>-SUMIFS(Командировки!$P:$P,Командировки!$J:$J,U$3)</f>
        <v>0</v>
      </c>
      <c r="V26" s="23">
        <f>-SUMIFS(Командировки!$P:$P,Командировки!$J:$J,V$3)</f>
        <v>-20000</v>
      </c>
      <c r="W26" s="41">
        <f t="shared" si="95"/>
        <v>-20000</v>
      </c>
      <c r="X26" s="41">
        <f t="shared" si="96"/>
        <v>-20000</v>
      </c>
      <c r="Y26" s="23">
        <f>-SUMIFS(Командировки!$P:$P,Командировки!$J:$J,Y$3)</f>
        <v>-60000</v>
      </c>
      <c r="Z26" s="23">
        <f>-SUMIFS(Командировки!$P:$P,Командировки!$J:$J,Z$3)</f>
        <v>0</v>
      </c>
      <c r="AA26" s="23">
        <f>-SUMIFS(Командировки!$P:$P,Командировки!$J:$J,AA$3)</f>
        <v>0</v>
      </c>
      <c r="AB26" s="22">
        <f t="shared" si="97"/>
        <v>-60000</v>
      </c>
      <c r="AC26" s="41">
        <f t="shared" si="98"/>
        <v>-80000</v>
      </c>
      <c r="AE26" s="23">
        <f>-SUMIFS(Командировки!$P:$P,Командировки!$J:$J,AE$3)</f>
        <v>0</v>
      </c>
      <c r="AF26" s="23">
        <f>-SUMIFS(Командировки!$P:$P,Командировки!$J:$J,AF$3)</f>
        <v>0</v>
      </c>
      <c r="AG26" s="23">
        <f>-SUMIFS(Командировки!$P:$P,Командировки!$J:$J,AG$3)</f>
        <v>0</v>
      </c>
      <c r="AH26" s="41">
        <f t="shared" si="99"/>
        <v>0</v>
      </c>
      <c r="AI26" s="23">
        <f>-SUMIFS(Командировки!$P:$P,Командировки!$J:$J,AI$3)</f>
        <v>0</v>
      </c>
      <c r="AJ26" s="23">
        <f>-SUMIFS(Командировки!$P:$P,Командировки!$J:$J,AJ$3)</f>
        <v>0</v>
      </c>
      <c r="AK26" s="23">
        <f>-SUMIFS(Командировки!$P:$P,Командировки!$J:$J,AK$3)</f>
        <v>0</v>
      </c>
      <c r="AL26" s="41">
        <f t="shared" si="100"/>
        <v>0</v>
      </c>
      <c r="AM26" s="41">
        <f t="shared" si="101"/>
        <v>0</v>
      </c>
      <c r="AN26" s="23">
        <f>-SUMIFS(Командировки!$P:$P,Командировки!$J:$J,AN$3)</f>
        <v>0</v>
      </c>
      <c r="AO26" s="23">
        <f>-SUMIFS(Командировки!$P:$P,Командировки!$J:$J,AO$3)</f>
        <v>0</v>
      </c>
      <c r="AP26" s="23">
        <f>-SUMIFS(Командировки!$P:$P,Командировки!$J:$J,AP$3)</f>
        <v>0</v>
      </c>
      <c r="AQ26" s="41">
        <f t="shared" si="102"/>
        <v>0</v>
      </c>
      <c r="AR26" s="41">
        <f t="shared" si="103"/>
        <v>0</v>
      </c>
      <c r="AS26" s="23">
        <f>-SUMIFS(Командировки!$P:$P,Командировки!$J:$J,AS$3)</f>
        <v>0</v>
      </c>
      <c r="AT26" s="23">
        <f>-SUMIFS(Командировки!$P:$P,Командировки!$J:$J,AT$3)</f>
        <v>0</v>
      </c>
      <c r="AU26" s="23">
        <f>-SUMIFS(Командировки!$P:$P,Командировки!$J:$J,AU$3)</f>
        <v>0</v>
      </c>
      <c r="AV26" s="41">
        <f t="shared" si="104"/>
        <v>0</v>
      </c>
      <c r="AW26" s="41">
        <f t="shared" si="105"/>
        <v>0</v>
      </c>
      <c r="AY26" s="23">
        <f>-SUMIFS(Командировки!$P:$P,Командировки!$J:$J,AY$3)</f>
        <v>0</v>
      </c>
      <c r="AZ26" s="23">
        <f>-SUMIFS(Командировки!$P:$P,Командировки!$J:$J,AZ$3)</f>
        <v>0</v>
      </c>
      <c r="BA26" s="23">
        <f>-SUMIFS(Командировки!$P:$P,Командировки!$J:$J,BA$3)</f>
        <v>0</v>
      </c>
      <c r="BB26" s="41">
        <f t="shared" si="106"/>
        <v>0</v>
      </c>
      <c r="BC26" s="23">
        <f>-SUMIFS(Командировки!$P:$P,Командировки!$J:$J,BC$3)</f>
        <v>0</v>
      </c>
      <c r="BD26" s="23">
        <f>-SUMIFS(Командировки!$P:$P,Командировки!$J:$J,BD$3)</f>
        <v>0</v>
      </c>
      <c r="BE26" s="23">
        <f>-SUMIFS(Командировки!$P:$P,Командировки!$J:$J,BE$3)</f>
        <v>0</v>
      </c>
      <c r="BF26" s="41">
        <f t="shared" si="107"/>
        <v>0</v>
      </c>
      <c r="BG26" s="41">
        <f t="shared" si="108"/>
        <v>0</v>
      </c>
      <c r="BH26" s="23">
        <f>-SUMIFS(Командировки!$P:$P,Командировки!$J:$J,BH$3)</f>
        <v>0</v>
      </c>
      <c r="BI26" s="23">
        <f>-SUMIFS(Командировки!$P:$P,Командировки!$J:$J,BI$3)</f>
        <v>0</v>
      </c>
      <c r="BJ26" s="23">
        <f>-SUMIFS(Командировки!$P:$P,Командировки!$J:$J,BJ$3)</f>
        <v>0</v>
      </c>
      <c r="BK26" s="41">
        <f t="shared" si="109"/>
        <v>0</v>
      </c>
      <c r="BL26" s="41">
        <f t="shared" si="110"/>
        <v>0</v>
      </c>
      <c r="BM26" s="23">
        <f>-SUMIFS(Командировки!$P:$P,Командировки!$J:$J,BM$3)</f>
        <v>0</v>
      </c>
      <c r="BN26" s="23">
        <f>-SUMIFS(Командировки!$P:$P,Командировки!$J:$J,BN$3)</f>
        <v>0</v>
      </c>
      <c r="BO26" s="23">
        <f>-SUMIFS(Командировки!$P:$P,Командировки!$J:$J,BO$3)</f>
        <v>0</v>
      </c>
      <c r="BP26" s="41">
        <f t="shared" si="111"/>
        <v>0</v>
      </c>
      <c r="BQ26" s="41">
        <f t="shared" si="112"/>
        <v>0</v>
      </c>
      <c r="BS26" s="23">
        <f>-SUMIFS(Командировки!$P:$P,Командировки!$J:$J,BS$3)</f>
        <v>0</v>
      </c>
      <c r="BT26" s="23">
        <f>-SUMIFS(Командировки!$P:$P,Командировки!$J:$J,BT$3)</f>
        <v>0</v>
      </c>
      <c r="BU26" s="23">
        <f>-SUMIFS(Командировки!$P:$P,Командировки!$J:$J,BU$3)</f>
        <v>0</v>
      </c>
      <c r="BV26" s="41">
        <f t="shared" si="113"/>
        <v>0</v>
      </c>
      <c r="BW26" s="23">
        <f>-SUMIFS(Командировки!$P:$P,Командировки!$J:$J,BW$3)</f>
        <v>0</v>
      </c>
      <c r="BX26" s="23">
        <f>-SUMIFS(Командировки!$P:$P,Командировки!$J:$J,BX$3)</f>
        <v>0</v>
      </c>
      <c r="BY26" s="23">
        <f>-SUMIFS(Командировки!$P:$P,Командировки!$J:$J,BY$3)</f>
        <v>0</v>
      </c>
      <c r="BZ26" s="41">
        <f t="shared" si="114"/>
        <v>0</v>
      </c>
      <c r="CA26" s="41">
        <f t="shared" si="115"/>
        <v>0</v>
      </c>
      <c r="CB26" s="23">
        <f>-SUMIFS(Командировки!$P:$P,Командировки!$J:$J,CB$3)</f>
        <v>0</v>
      </c>
      <c r="CC26" s="23">
        <f>-SUMIFS(Командировки!$P:$P,Командировки!$J:$J,CC$3)</f>
        <v>0</v>
      </c>
      <c r="CD26" s="23">
        <f>-SUMIFS(Командировки!$P:$P,Командировки!$J:$J,CD$3)</f>
        <v>0</v>
      </c>
      <c r="CE26" s="41">
        <f t="shared" si="116"/>
        <v>0</v>
      </c>
      <c r="CF26" s="41">
        <f t="shared" si="117"/>
        <v>0</v>
      </c>
      <c r="CG26" s="23">
        <f>-SUMIFS(Командировки!$P:$P,Командировки!$J:$J,CG$3)</f>
        <v>0</v>
      </c>
      <c r="CH26" s="23">
        <f>-SUMIFS(Командировки!$P:$P,Командировки!$J:$J,CH$3)</f>
        <v>0</v>
      </c>
      <c r="CI26" s="23">
        <f>-SUMIFS(Командировки!$P:$P,Командировки!$J:$J,CI$3)</f>
        <v>0</v>
      </c>
      <c r="CJ26" s="41">
        <f t="shared" si="118"/>
        <v>0</v>
      </c>
      <c r="CK26" s="41">
        <f t="shared" si="119"/>
        <v>0</v>
      </c>
      <c r="CM26" s="23">
        <f>-SUMIFS('БДР_Себестоимость и Расходы'!$I:$I,'БДР_Себестоимость и Расходы'!$D:$D,$A26,'БДР_Себестоимость и Расходы'!$C:$C,CM$3)</f>
        <v>0</v>
      </c>
      <c r="CN26" s="23">
        <f>-SUMIFS('БДР_Себестоимость и Расходы'!$I:$I,'БДР_Себестоимость и Расходы'!$D:$D,$A26,'БДР_Себестоимость и Расходы'!$C:$C,CN$3)</f>
        <v>0</v>
      </c>
      <c r="CO26" s="23">
        <f>-SUMIFS('БДР_Себестоимость и Расходы'!$I:$I,'БДР_Себестоимость и Расходы'!$D:$D,$A26,'БДР_Себестоимость и Расходы'!$C:$C,CO$3)</f>
        <v>0</v>
      </c>
      <c r="CP26" s="41">
        <f t="shared" si="120"/>
        <v>0</v>
      </c>
      <c r="CQ26" s="23">
        <f>-SUMIFS('БДР_Себестоимость и Расходы'!$I:$I,'БДР_Себестоимость и Расходы'!$D:$D,$A26,'БДР_Себестоимость и Расходы'!$C:$C,CQ$3)</f>
        <v>0</v>
      </c>
      <c r="CR26" s="23">
        <f>-SUMIFS('БДР_Себестоимость и Расходы'!$I:$I,'БДР_Себестоимость и Расходы'!$D:$D,$A26,'БДР_Себестоимость и Расходы'!$C:$C,CR$3)</f>
        <v>0</v>
      </c>
      <c r="CS26" s="23">
        <f>-SUMIFS('БДР_Себестоимость и Расходы'!$I:$I,'БДР_Себестоимость и Расходы'!$D:$D,$A26,'БДР_Себестоимость и Расходы'!$C:$C,CS$3)</f>
        <v>0</v>
      </c>
      <c r="CT26" s="41">
        <f t="shared" si="121"/>
        <v>0</v>
      </c>
      <c r="CU26" s="41">
        <f t="shared" si="122"/>
        <v>0</v>
      </c>
      <c r="CV26" s="23">
        <f>-SUMIFS('БДР_Себестоимость и Расходы'!$I:$I,'БДР_Себестоимость и Расходы'!$D:$D,$A26,'БДР_Себестоимость и Расходы'!$C:$C,CV$3)</f>
        <v>0</v>
      </c>
      <c r="CW26" s="23">
        <f>-SUMIFS('БДР_Себестоимость и Расходы'!$I:$I,'БДР_Себестоимость и Расходы'!$D:$D,$A26,'БДР_Себестоимость и Расходы'!$C:$C,CW$3)</f>
        <v>0</v>
      </c>
      <c r="CX26" s="23">
        <f>-SUMIFS('БДР_Себестоимость и Расходы'!$I:$I,'БДР_Себестоимость и Расходы'!$D:$D,$A26,'БДР_Себестоимость и Расходы'!$C:$C,CX$3)</f>
        <v>0</v>
      </c>
      <c r="CY26" s="41">
        <f t="shared" si="123"/>
        <v>0</v>
      </c>
      <c r="CZ26" s="41">
        <f t="shared" si="124"/>
        <v>0</v>
      </c>
      <c r="DA26" s="23">
        <f>-SUMIFS('БДР_Себестоимость и Расходы'!$I:$I,'БДР_Себестоимость и Расходы'!$D:$D,$A26,'БДР_Себестоимость и Расходы'!$C:$C,DA$3)</f>
        <v>0</v>
      </c>
      <c r="DB26" s="23">
        <f>-SUMIFS('БДР_Себестоимость и Расходы'!$I:$I,'БДР_Себестоимость и Расходы'!$D:$D,$A26,'БДР_Себестоимость и Расходы'!$C:$C,DB$3)</f>
        <v>0</v>
      </c>
      <c r="DC26" s="23">
        <f>-SUMIFS('БДР_Себестоимость и Расходы'!$I:$I,'БДР_Себестоимость и Расходы'!$D:$D,$A26,'БДР_Себестоимость и Расходы'!$C:$C,DC$3)</f>
        <v>0</v>
      </c>
      <c r="DD26" s="41">
        <f t="shared" si="125"/>
        <v>0</v>
      </c>
      <c r="DE26" s="41">
        <f t="shared" si="126"/>
        <v>0</v>
      </c>
    </row>
    <row r="27" spans="1:109" s="12" customFormat="1" ht="10.199999999999999" x14ac:dyDescent="0.2">
      <c r="A27" s="11" t="s">
        <v>220</v>
      </c>
      <c r="B27" s="11" t="str">
        <f t="shared" si="20"/>
        <v>Облачное хранилище для строительной компании с функцией архивации 203033 20 Командировочные расходы - Транспорт</v>
      </c>
      <c r="E27" s="20">
        <v>203033</v>
      </c>
      <c r="F27" s="21" t="str">
        <f>'Карточка проекта'!$B$1</f>
        <v xml:space="preserve">Облачное хранилище для строительной компании с функцией архивации </v>
      </c>
      <c r="G27" s="43" t="s">
        <v>221</v>
      </c>
      <c r="I27" s="41">
        <f t="shared" si="12"/>
        <v>-474000</v>
      </c>
      <c r="K27" s="23">
        <f>-SUMIFS(Командировки!$Q:$Q,Командировки!$J:$J,K$3)</f>
        <v>0</v>
      </c>
      <c r="L27" s="23">
        <f>-SUMIFS(Командировки!$Q:$Q,Командировки!$J:$J,L$3)</f>
        <v>0</v>
      </c>
      <c r="M27" s="23">
        <f>-SUMIFS(Командировки!$Q:$Q,Командировки!$J:$J,M$3)</f>
        <v>0</v>
      </c>
      <c r="N27" s="41">
        <f t="shared" si="92"/>
        <v>0</v>
      </c>
      <c r="O27" s="23">
        <f>-SUMIFS(Командировки!$Q:$Q,Командировки!$J:$J,O$3)</f>
        <v>0</v>
      </c>
      <c r="P27" s="23">
        <f>-SUMIFS(Командировки!$Q:$Q,Командировки!$J:$J,P$3)</f>
        <v>0</v>
      </c>
      <c r="Q27" s="23">
        <f>-SUMIFS(Командировки!$Q:$Q,Командировки!$J:$J,Q$3)</f>
        <v>0</v>
      </c>
      <c r="R27" s="22">
        <f t="shared" si="93"/>
        <v>0</v>
      </c>
      <c r="S27" s="41">
        <f t="shared" si="94"/>
        <v>0</v>
      </c>
      <c r="T27" s="23">
        <f>-SUMIFS(Командировки!$Q:$Q,Командировки!$J:$J,T$3)</f>
        <v>0</v>
      </c>
      <c r="U27" s="23">
        <f>-SUMIFS(Командировки!$Q:$Q,Командировки!$J:$J,U$3)</f>
        <v>0</v>
      </c>
      <c r="V27" s="23">
        <f>-SUMIFS(Командировки!$Q:$Q,Командировки!$J:$J,V$3)</f>
        <v>-48000</v>
      </c>
      <c r="W27" s="41">
        <f t="shared" si="95"/>
        <v>-48000</v>
      </c>
      <c r="X27" s="41">
        <f t="shared" si="96"/>
        <v>-48000</v>
      </c>
      <c r="Y27" s="23">
        <f>-SUMIFS(Командировки!$Q:$Q,Командировки!$J:$J,Y$3)</f>
        <v>-426000</v>
      </c>
      <c r="Z27" s="23">
        <f>-SUMIFS(Командировки!$Q:$Q,Командировки!$J:$J,Z$3)</f>
        <v>0</v>
      </c>
      <c r="AA27" s="23">
        <f>-SUMIFS(Командировки!$Q:$Q,Командировки!$J:$J,AA$3)</f>
        <v>0</v>
      </c>
      <c r="AB27" s="22">
        <f t="shared" si="97"/>
        <v>-426000</v>
      </c>
      <c r="AC27" s="41">
        <f t="shared" si="98"/>
        <v>-474000</v>
      </c>
      <c r="AE27" s="23">
        <f>-SUMIFS(Командировки!$Q:$Q,Командировки!$J:$J,AE$3)</f>
        <v>0</v>
      </c>
      <c r="AF27" s="23">
        <f>-SUMIFS(Командировки!$Q:$Q,Командировки!$J:$J,AF$3)</f>
        <v>0</v>
      </c>
      <c r="AG27" s="23">
        <f>-SUMIFS(Командировки!$Q:$Q,Командировки!$J:$J,AG$3)</f>
        <v>0</v>
      </c>
      <c r="AH27" s="41">
        <f t="shared" si="99"/>
        <v>0</v>
      </c>
      <c r="AI27" s="23">
        <f>-SUMIFS(Командировки!$Q:$Q,Командировки!$J:$J,AI$3)</f>
        <v>0</v>
      </c>
      <c r="AJ27" s="23">
        <f>-SUMIFS(Командировки!$Q:$Q,Командировки!$J:$J,AJ$3)</f>
        <v>0</v>
      </c>
      <c r="AK27" s="23">
        <f>-SUMIFS(Командировки!$Q:$Q,Командировки!$J:$J,AK$3)</f>
        <v>0</v>
      </c>
      <c r="AL27" s="41">
        <f t="shared" si="100"/>
        <v>0</v>
      </c>
      <c r="AM27" s="41">
        <f t="shared" si="101"/>
        <v>0</v>
      </c>
      <c r="AN27" s="23">
        <f>-SUMIFS(Командировки!$Q:$Q,Командировки!$J:$J,AN$3)</f>
        <v>0</v>
      </c>
      <c r="AO27" s="23">
        <f>-SUMIFS(Командировки!$Q:$Q,Командировки!$J:$J,AO$3)</f>
        <v>0</v>
      </c>
      <c r="AP27" s="23">
        <f>-SUMIFS(Командировки!$Q:$Q,Командировки!$J:$J,AP$3)</f>
        <v>0</v>
      </c>
      <c r="AQ27" s="41">
        <f t="shared" si="102"/>
        <v>0</v>
      </c>
      <c r="AR27" s="41">
        <f t="shared" si="103"/>
        <v>0</v>
      </c>
      <c r="AS27" s="23">
        <f>-SUMIFS(Командировки!$Q:$Q,Командировки!$J:$J,AS$3)</f>
        <v>0</v>
      </c>
      <c r="AT27" s="23">
        <f>-SUMIFS(Командировки!$Q:$Q,Командировки!$J:$J,AT$3)</f>
        <v>0</v>
      </c>
      <c r="AU27" s="23">
        <f>-SUMIFS(Командировки!$Q:$Q,Командировки!$J:$J,AU$3)</f>
        <v>0</v>
      </c>
      <c r="AV27" s="41">
        <f t="shared" si="104"/>
        <v>0</v>
      </c>
      <c r="AW27" s="41">
        <f t="shared" si="105"/>
        <v>0</v>
      </c>
      <c r="AY27" s="23">
        <f>-SUMIFS(Командировки!$Q:$Q,Командировки!$J:$J,AY$3)</f>
        <v>0</v>
      </c>
      <c r="AZ27" s="23">
        <f>-SUMIFS(Командировки!$Q:$Q,Командировки!$J:$J,AZ$3)</f>
        <v>0</v>
      </c>
      <c r="BA27" s="23">
        <f>-SUMIFS(Командировки!$Q:$Q,Командировки!$J:$J,BA$3)</f>
        <v>0</v>
      </c>
      <c r="BB27" s="41">
        <f t="shared" si="106"/>
        <v>0</v>
      </c>
      <c r="BC27" s="23">
        <f>-SUMIFS(Командировки!$Q:$Q,Командировки!$J:$J,BC$3)</f>
        <v>0</v>
      </c>
      <c r="BD27" s="23">
        <f>-SUMIFS(Командировки!$Q:$Q,Командировки!$J:$J,BD$3)</f>
        <v>0</v>
      </c>
      <c r="BE27" s="23">
        <f>-SUMIFS(Командировки!$Q:$Q,Командировки!$J:$J,BE$3)</f>
        <v>0</v>
      </c>
      <c r="BF27" s="41">
        <f t="shared" si="107"/>
        <v>0</v>
      </c>
      <c r="BG27" s="41">
        <f t="shared" si="108"/>
        <v>0</v>
      </c>
      <c r="BH27" s="23">
        <f>-SUMIFS(Командировки!$Q:$Q,Командировки!$J:$J,BH$3)</f>
        <v>0</v>
      </c>
      <c r="BI27" s="23">
        <f>-SUMIFS(Командировки!$Q:$Q,Командировки!$J:$J,BI$3)</f>
        <v>0</v>
      </c>
      <c r="BJ27" s="23">
        <f>-SUMIFS(Командировки!$Q:$Q,Командировки!$J:$J,BJ$3)</f>
        <v>0</v>
      </c>
      <c r="BK27" s="41">
        <f t="shared" si="109"/>
        <v>0</v>
      </c>
      <c r="BL27" s="41">
        <f t="shared" si="110"/>
        <v>0</v>
      </c>
      <c r="BM27" s="23">
        <f>-SUMIFS(Командировки!$Q:$Q,Командировки!$J:$J,BM$3)</f>
        <v>0</v>
      </c>
      <c r="BN27" s="23">
        <f>-SUMIFS(Командировки!$Q:$Q,Командировки!$J:$J,BN$3)</f>
        <v>0</v>
      </c>
      <c r="BO27" s="23">
        <f>-SUMIFS(Командировки!$Q:$Q,Командировки!$J:$J,BO$3)</f>
        <v>0</v>
      </c>
      <c r="BP27" s="41">
        <f t="shared" si="111"/>
        <v>0</v>
      </c>
      <c r="BQ27" s="41">
        <f t="shared" si="112"/>
        <v>0</v>
      </c>
      <c r="BS27" s="23">
        <f>-SUMIFS(Командировки!$Q:$Q,Командировки!$J:$J,BS$3)</f>
        <v>0</v>
      </c>
      <c r="BT27" s="23">
        <f>-SUMIFS(Командировки!$Q:$Q,Командировки!$J:$J,BT$3)</f>
        <v>0</v>
      </c>
      <c r="BU27" s="23">
        <f>-SUMIFS(Командировки!$Q:$Q,Командировки!$J:$J,BU$3)</f>
        <v>0</v>
      </c>
      <c r="BV27" s="41">
        <f t="shared" si="113"/>
        <v>0</v>
      </c>
      <c r="BW27" s="23">
        <f>-SUMIFS(Командировки!$Q:$Q,Командировки!$J:$J,BW$3)</f>
        <v>0</v>
      </c>
      <c r="BX27" s="23">
        <f>-SUMIFS(Командировки!$Q:$Q,Командировки!$J:$J,BX$3)</f>
        <v>0</v>
      </c>
      <c r="BY27" s="23">
        <f>-SUMIFS(Командировки!$Q:$Q,Командировки!$J:$J,BY$3)</f>
        <v>0</v>
      </c>
      <c r="BZ27" s="41">
        <f t="shared" si="114"/>
        <v>0</v>
      </c>
      <c r="CA27" s="41">
        <f t="shared" si="115"/>
        <v>0</v>
      </c>
      <c r="CB27" s="23">
        <f>-SUMIFS(Командировки!$Q:$Q,Командировки!$J:$J,CB$3)</f>
        <v>0</v>
      </c>
      <c r="CC27" s="23">
        <f>-SUMIFS(Командировки!$Q:$Q,Командировки!$J:$J,CC$3)</f>
        <v>0</v>
      </c>
      <c r="CD27" s="23">
        <f>-SUMIFS(Командировки!$Q:$Q,Командировки!$J:$J,CD$3)</f>
        <v>0</v>
      </c>
      <c r="CE27" s="41">
        <f t="shared" si="116"/>
        <v>0</v>
      </c>
      <c r="CF27" s="41">
        <f t="shared" si="117"/>
        <v>0</v>
      </c>
      <c r="CG27" s="23">
        <f>-SUMIFS(Командировки!$Q:$Q,Командировки!$J:$J,CG$3)</f>
        <v>0</v>
      </c>
      <c r="CH27" s="23">
        <f>-SUMIFS(Командировки!$Q:$Q,Командировки!$J:$J,CH$3)</f>
        <v>0</v>
      </c>
      <c r="CI27" s="23">
        <f>-SUMIFS(Командировки!$Q:$Q,Командировки!$J:$J,CI$3)</f>
        <v>0</v>
      </c>
      <c r="CJ27" s="41">
        <f t="shared" si="118"/>
        <v>0</v>
      </c>
      <c r="CK27" s="41">
        <f t="shared" si="119"/>
        <v>0</v>
      </c>
      <c r="CM27" s="23">
        <f>-SUMIFS('БДР_Себестоимость и Расходы'!$I:$I,'БДР_Себестоимость и Расходы'!$D:$D,$A27,'БДР_Себестоимость и Расходы'!$C:$C,CM$3)</f>
        <v>0</v>
      </c>
      <c r="CN27" s="23">
        <f>-SUMIFS('БДР_Себестоимость и Расходы'!$I:$I,'БДР_Себестоимость и Расходы'!$D:$D,$A27,'БДР_Себестоимость и Расходы'!$C:$C,CN$3)</f>
        <v>0</v>
      </c>
      <c r="CO27" s="23">
        <f>-SUMIFS('БДР_Себестоимость и Расходы'!$I:$I,'БДР_Себестоимость и Расходы'!$D:$D,$A27,'БДР_Себестоимость и Расходы'!$C:$C,CO$3)</f>
        <v>0</v>
      </c>
      <c r="CP27" s="41">
        <f t="shared" si="120"/>
        <v>0</v>
      </c>
      <c r="CQ27" s="23">
        <f>-SUMIFS('БДР_Себестоимость и Расходы'!$I:$I,'БДР_Себестоимость и Расходы'!$D:$D,$A27,'БДР_Себестоимость и Расходы'!$C:$C,CQ$3)</f>
        <v>0</v>
      </c>
      <c r="CR27" s="23">
        <f>-SUMIFS('БДР_Себестоимость и Расходы'!$I:$I,'БДР_Себестоимость и Расходы'!$D:$D,$A27,'БДР_Себестоимость и Расходы'!$C:$C,CR$3)</f>
        <v>0</v>
      </c>
      <c r="CS27" s="23">
        <f>-SUMIFS('БДР_Себестоимость и Расходы'!$I:$I,'БДР_Себестоимость и Расходы'!$D:$D,$A27,'БДР_Себестоимость и Расходы'!$C:$C,CS$3)</f>
        <v>0</v>
      </c>
      <c r="CT27" s="41">
        <f t="shared" si="121"/>
        <v>0</v>
      </c>
      <c r="CU27" s="41">
        <f t="shared" si="122"/>
        <v>0</v>
      </c>
      <c r="CV27" s="23">
        <f>-SUMIFS('БДР_Себестоимость и Расходы'!$I:$I,'БДР_Себестоимость и Расходы'!$D:$D,$A27,'БДР_Себестоимость и Расходы'!$C:$C,CV$3)</f>
        <v>0</v>
      </c>
      <c r="CW27" s="23">
        <f>-SUMIFS('БДР_Себестоимость и Расходы'!$I:$I,'БДР_Себестоимость и Расходы'!$D:$D,$A27,'БДР_Себестоимость и Расходы'!$C:$C,CW$3)</f>
        <v>0</v>
      </c>
      <c r="CX27" s="23">
        <f>-SUMIFS('БДР_Себестоимость и Расходы'!$I:$I,'БДР_Себестоимость и Расходы'!$D:$D,$A27,'БДР_Себестоимость и Расходы'!$C:$C,CX$3)</f>
        <v>0</v>
      </c>
      <c r="CY27" s="41">
        <f t="shared" si="123"/>
        <v>0</v>
      </c>
      <c r="CZ27" s="41">
        <f t="shared" si="124"/>
        <v>0</v>
      </c>
      <c r="DA27" s="23">
        <f>-SUMIFS('БДР_Себестоимость и Расходы'!$I:$I,'БДР_Себестоимость и Расходы'!$D:$D,$A27,'БДР_Себестоимость и Расходы'!$C:$C,DA$3)</f>
        <v>0</v>
      </c>
      <c r="DB27" s="23">
        <f>-SUMIFS('БДР_Себестоимость и Расходы'!$I:$I,'БДР_Себестоимость и Расходы'!$D:$D,$A27,'БДР_Себестоимость и Расходы'!$C:$C,DB$3)</f>
        <v>0</v>
      </c>
      <c r="DC27" s="23">
        <f>-SUMIFS('БДР_Себестоимость и Расходы'!$I:$I,'БДР_Себестоимость и Расходы'!$D:$D,$A27,'БДР_Себестоимость и Расходы'!$C:$C,DC$3)</f>
        <v>0</v>
      </c>
      <c r="DD27" s="41">
        <f t="shared" si="125"/>
        <v>0</v>
      </c>
      <c r="DE27" s="41">
        <f t="shared" si="126"/>
        <v>0</v>
      </c>
    </row>
    <row r="28" spans="1:109" s="12" customFormat="1" ht="10.199999999999999" x14ac:dyDescent="0.2">
      <c r="A28" s="11" t="s">
        <v>222</v>
      </c>
      <c r="B28" s="11" t="str">
        <f t="shared" si="20"/>
        <v>Облачное хранилище для строительной компании с функцией архивации 203034 20 Командировочные расходы - Прочее</v>
      </c>
      <c r="E28" s="20">
        <v>203034</v>
      </c>
      <c r="F28" s="21" t="str">
        <f>'Карточка проекта'!$B$1</f>
        <v xml:space="preserve">Облачное хранилище для строительной компании с функцией архивации </v>
      </c>
      <c r="G28" s="43" t="s">
        <v>223</v>
      </c>
      <c r="I28" s="41">
        <f t="shared" si="12"/>
        <v>0</v>
      </c>
      <c r="K28" s="23">
        <f>-SUMIFS(Командировки!$R:$R,Командировки!$J:$J,K$3)</f>
        <v>0</v>
      </c>
      <c r="L28" s="23">
        <f>-SUMIFS(Командировки!$R:$R,Командировки!$J:$J,L$3)</f>
        <v>0</v>
      </c>
      <c r="M28" s="23">
        <f>-SUMIFS(Командировки!$R:$R,Командировки!$J:$J,M$3)</f>
        <v>0</v>
      </c>
      <c r="N28" s="41">
        <f t="shared" si="92"/>
        <v>0</v>
      </c>
      <c r="O28" s="23">
        <f>-SUMIFS(Командировки!$R:$R,Командировки!$J:$J,O$3)</f>
        <v>0</v>
      </c>
      <c r="P28" s="23">
        <f>-SUMIFS(Командировки!$R:$R,Командировки!$J:$J,P$3)</f>
        <v>0</v>
      </c>
      <c r="Q28" s="23">
        <f>-SUMIFS(Командировки!$R:$R,Командировки!$J:$J,Q$3)</f>
        <v>0</v>
      </c>
      <c r="R28" s="22">
        <f t="shared" si="93"/>
        <v>0</v>
      </c>
      <c r="S28" s="41">
        <f t="shared" si="94"/>
        <v>0</v>
      </c>
      <c r="T28" s="23">
        <f>-SUMIFS(Командировки!$R:$R,Командировки!$J:$J,T$3)</f>
        <v>0</v>
      </c>
      <c r="U28" s="23">
        <f>-SUMIFS(Командировки!$R:$R,Командировки!$J:$J,U$3)</f>
        <v>0</v>
      </c>
      <c r="V28" s="23">
        <f>-SUMIFS(Командировки!$R:$R,Командировки!$J:$J,V$3)</f>
        <v>0</v>
      </c>
      <c r="W28" s="41">
        <f t="shared" si="95"/>
        <v>0</v>
      </c>
      <c r="X28" s="41">
        <f t="shared" si="96"/>
        <v>0</v>
      </c>
      <c r="Y28" s="23">
        <f>-SUMIFS(Командировки!$R:$R,Командировки!$J:$J,Y$3)</f>
        <v>0</v>
      </c>
      <c r="Z28" s="23">
        <f>-SUMIFS(Командировки!$R:$R,Командировки!$J:$J,Z$3)</f>
        <v>0</v>
      </c>
      <c r="AA28" s="23">
        <f>-SUMIFS(Командировки!$R:$R,Командировки!$J:$J,AA$3)</f>
        <v>0</v>
      </c>
      <c r="AB28" s="22">
        <f t="shared" si="97"/>
        <v>0</v>
      </c>
      <c r="AC28" s="41">
        <f t="shared" si="98"/>
        <v>0</v>
      </c>
      <c r="AE28" s="23">
        <f>-SUMIFS(Командировки!$R:$R,Командировки!$J:$J,AE$3)</f>
        <v>0</v>
      </c>
      <c r="AF28" s="23">
        <f>-SUMIFS(Командировки!$R:$R,Командировки!$J:$J,AF$3)</f>
        <v>0</v>
      </c>
      <c r="AG28" s="23">
        <f>-SUMIFS(Командировки!$R:$R,Командировки!$J:$J,AG$3)</f>
        <v>0</v>
      </c>
      <c r="AH28" s="41">
        <f t="shared" si="99"/>
        <v>0</v>
      </c>
      <c r="AI28" s="23">
        <f>-SUMIFS(Командировки!$R:$R,Командировки!$J:$J,AI$3)</f>
        <v>0</v>
      </c>
      <c r="AJ28" s="23">
        <f>-SUMIFS(Командировки!$R:$R,Командировки!$J:$J,AJ$3)</f>
        <v>0</v>
      </c>
      <c r="AK28" s="23">
        <f>-SUMIFS(Командировки!$R:$R,Командировки!$J:$J,AK$3)</f>
        <v>0</v>
      </c>
      <c r="AL28" s="41">
        <f t="shared" si="100"/>
        <v>0</v>
      </c>
      <c r="AM28" s="41">
        <f t="shared" si="101"/>
        <v>0</v>
      </c>
      <c r="AN28" s="23">
        <f>-SUMIFS(Командировки!$R:$R,Командировки!$J:$J,AN$3)</f>
        <v>0</v>
      </c>
      <c r="AO28" s="23">
        <f>-SUMIFS(Командировки!$R:$R,Командировки!$J:$J,AO$3)</f>
        <v>0</v>
      </c>
      <c r="AP28" s="23">
        <f>-SUMIFS(Командировки!$R:$R,Командировки!$J:$J,AP$3)</f>
        <v>0</v>
      </c>
      <c r="AQ28" s="41">
        <f t="shared" si="102"/>
        <v>0</v>
      </c>
      <c r="AR28" s="41">
        <f t="shared" si="103"/>
        <v>0</v>
      </c>
      <c r="AS28" s="23">
        <f>-SUMIFS(Командировки!$R:$R,Командировки!$J:$J,AS$3)</f>
        <v>0</v>
      </c>
      <c r="AT28" s="23">
        <f>-SUMIFS(Командировки!$R:$R,Командировки!$J:$J,AT$3)</f>
        <v>0</v>
      </c>
      <c r="AU28" s="23">
        <f>-SUMIFS(Командировки!$R:$R,Командировки!$J:$J,AU$3)</f>
        <v>0</v>
      </c>
      <c r="AV28" s="41">
        <f t="shared" si="104"/>
        <v>0</v>
      </c>
      <c r="AW28" s="41">
        <f t="shared" si="105"/>
        <v>0</v>
      </c>
      <c r="AY28" s="23">
        <f>-SUMIFS(Командировки!$R:$R,Командировки!$J:$J,AY$3)</f>
        <v>0</v>
      </c>
      <c r="AZ28" s="23">
        <f>-SUMIFS(Командировки!$R:$R,Командировки!$J:$J,AZ$3)</f>
        <v>0</v>
      </c>
      <c r="BA28" s="23">
        <f>-SUMIFS(Командировки!$R:$R,Командировки!$J:$J,BA$3)</f>
        <v>0</v>
      </c>
      <c r="BB28" s="41">
        <f t="shared" si="106"/>
        <v>0</v>
      </c>
      <c r="BC28" s="23">
        <f>-SUMIFS(Командировки!$R:$R,Командировки!$J:$J,BC$3)</f>
        <v>0</v>
      </c>
      <c r="BD28" s="23">
        <f>-SUMIFS(Командировки!$R:$R,Командировки!$J:$J,BD$3)</f>
        <v>0</v>
      </c>
      <c r="BE28" s="23">
        <f>-SUMIFS(Командировки!$R:$R,Командировки!$J:$J,BE$3)</f>
        <v>0</v>
      </c>
      <c r="BF28" s="41">
        <f t="shared" si="107"/>
        <v>0</v>
      </c>
      <c r="BG28" s="41">
        <f t="shared" si="108"/>
        <v>0</v>
      </c>
      <c r="BH28" s="23">
        <f>-SUMIFS(Командировки!$R:$R,Командировки!$J:$J,BH$3)</f>
        <v>0</v>
      </c>
      <c r="BI28" s="23">
        <f>-SUMIFS(Командировки!$R:$R,Командировки!$J:$J,BI$3)</f>
        <v>0</v>
      </c>
      <c r="BJ28" s="23">
        <f>-SUMIFS(Командировки!$R:$R,Командировки!$J:$J,BJ$3)</f>
        <v>0</v>
      </c>
      <c r="BK28" s="41">
        <f t="shared" si="109"/>
        <v>0</v>
      </c>
      <c r="BL28" s="41">
        <f t="shared" si="110"/>
        <v>0</v>
      </c>
      <c r="BM28" s="23">
        <f>-SUMIFS(Командировки!$R:$R,Командировки!$J:$J,BM$3)</f>
        <v>0</v>
      </c>
      <c r="BN28" s="23">
        <f>-SUMIFS(Командировки!$R:$R,Командировки!$J:$J,BN$3)</f>
        <v>0</v>
      </c>
      <c r="BO28" s="23">
        <f>-SUMIFS(Командировки!$R:$R,Командировки!$J:$J,BO$3)</f>
        <v>0</v>
      </c>
      <c r="BP28" s="41">
        <f t="shared" si="111"/>
        <v>0</v>
      </c>
      <c r="BQ28" s="41">
        <f t="shared" si="112"/>
        <v>0</v>
      </c>
      <c r="BS28" s="23">
        <f>-SUMIFS(Командировки!$R:$R,Командировки!$J:$J,BS$3)</f>
        <v>0</v>
      </c>
      <c r="BT28" s="23">
        <f>-SUMIFS(Командировки!$R:$R,Командировки!$J:$J,BT$3)</f>
        <v>0</v>
      </c>
      <c r="BU28" s="23">
        <f>-SUMIFS(Командировки!$R:$R,Командировки!$J:$J,BU$3)</f>
        <v>0</v>
      </c>
      <c r="BV28" s="41">
        <f t="shared" si="113"/>
        <v>0</v>
      </c>
      <c r="BW28" s="23">
        <f>-SUMIFS(Командировки!$R:$R,Командировки!$J:$J,BW$3)</f>
        <v>0</v>
      </c>
      <c r="BX28" s="23">
        <f>-SUMIFS(Командировки!$R:$R,Командировки!$J:$J,BX$3)</f>
        <v>0</v>
      </c>
      <c r="BY28" s="23">
        <f>-SUMIFS(Командировки!$R:$R,Командировки!$J:$J,BY$3)</f>
        <v>0</v>
      </c>
      <c r="BZ28" s="41">
        <f t="shared" si="114"/>
        <v>0</v>
      </c>
      <c r="CA28" s="41">
        <f t="shared" si="115"/>
        <v>0</v>
      </c>
      <c r="CB28" s="23">
        <f>-SUMIFS(Командировки!$R:$R,Командировки!$J:$J,CB$3)</f>
        <v>0</v>
      </c>
      <c r="CC28" s="23">
        <f>-SUMIFS(Командировки!$R:$R,Командировки!$J:$J,CC$3)</f>
        <v>0</v>
      </c>
      <c r="CD28" s="23">
        <f>-SUMIFS(Командировки!$R:$R,Командировки!$J:$J,CD$3)</f>
        <v>0</v>
      </c>
      <c r="CE28" s="41">
        <f t="shared" si="116"/>
        <v>0</v>
      </c>
      <c r="CF28" s="41">
        <f t="shared" si="117"/>
        <v>0</v>
      </c>
      <c r="CG28" s="23">
        <f>-SUMIFS(Командировки!$R:$R,Командировки!$J:$J,CG$3)</f>
        <v>0</v>
      </c>
      <c r="CH28" s="23">
        <f>-SUMIFS(Командировки!$R:$R,Командировки!$J:$J,CH$3)</f>
        <v>0</v>
      </c>
      <c r="CI28" s="23">
        <f>-SUMIFS(Командировки!$R:$R,Командировки!$J:$J,CI$3)</f>
        <v>0</v>
      </c>
      <c r="CJ28" s="41">
        <f t="shared" si="118"/>
        <v>0</v>
      </c>
      <c r="CK28" s="41">
        <f t="shared" si="119"/>
        <v>0</v>
      </c>
      <c r="CM28" s="23">
        <f>-SUMIFS('БДР_Себестоимость и Расходы'!$I:$I,'БДР_Себестоимость и Расходы'!$D:$D,$A28,'БДР_Себестоимость и Расходы'!$C:$C,CM$3)</f>
        <v>0</v>
      </c>
      <c r="CN28" s="23">
        <f>-SUMIFS('БДР_Себестоимость и Расходы'!$I:$I,'БДР_Себестоимость и Расходы'!$D:$D,$A28,'БДР_Себестоимость и Расходы'!$C:$C,CN$3)</f>
        <v>0</v>
      </c>
      <c r="CO28" s="23">
        <f>-SUMIFS('БДР_Себестоимость и Расходы'!$I:$I,'БДР_Себестоимость и Расходы'!$D:$D,$A28,'БДР_Себестоимость и Расходы'!$C:$C,CO$3)</f>
        <v>0</v>
      </c>
      <c r="CP28" s="41">
        <f t="shared" si="120"/>
        <v>0</v>
      </c>
      <c r="CQ28" s="23">
        <f>-SUMIFS('БДР_Себестоимость и Расходы'!$I:$I,'БДР_Себестоимость и Расходы'!$D:$D,$A28,'БДР_Себестоимость и Расходы'!$C:$C,CQ$3)</f>
        <v>0</v>
      </c>
      <c r="CR28" s="23">
        <f>-SUMIFS('БДР_Себестоимость и Расходы'!$I:$I,'БДР_Себестоимость и Расходы'!$D:$D,$A28,'БДР_Себестоимость и Расходы'!$C:$C,CR$3)</f>
        <v>0</v>
      </c>
      <c r="CS28" s="23">
        <f>-SUMIFS('БДР_Себестоимость и Расходы'!$I:$I,'БДР_Себестоимость и Расходы'!$D:$D,$A28,'БДР_Себестоимость и Расходы'!$C:$C,CS$3)</f>
        <v>0</v>
      </c>
      <c r="CT28" s="41">
        <f t="shared" si="121"/>
        <v>0</v>
      </c>
      <c r="CU28" s="41">
        <f t="shared" si="122"/>
        <v>0</v>
      </c>
      <c r="CV28" s="23">
        <f>-SUMIFS('БДР_Себестоимость и Расходы'!$I:$I,'БДР_Себестоимость и Расходы'!$D:$D,$A28,'БДР_Себестоимость и Расходы'!$C:$C,CV$3)</f>
        <v>0</v>
      </c>
      <c r="CW28" s="23">
        <f>-SUMIFS('БДР_Себестоимость и Расходы'!$I:$I,'БДР_Себестоимость и Расходы'!$D:$D,$A28,'БДР_Себестоимость и Расходы'!$C:$C,CW$3)</f>
        <v>0</v>
      </c>
      <c r="CX28" s="23">
        <f>-SUMIFS('БДР_Себестоимость и Расходы'!$I:$I,'БДР_Себестоимость и Расходы'!$D:$D,$A28,'БДР_Себестоимость и Расходы'!$C:$C,CX$3)</f>
        <v>0</v>
      </c>
      <c r="CY28" s="41">
        <f t="shared" si="123"/>
        <v>0</v>
      </c>
      <c r="CZ28" s="41">
        <f t="shared" si="124"/>
        <v>0</v>
      </c>
      <c r="DA28" s="23">
        <f>-SUMIFS('БДР_Себестоимость и Расходы'!$I:$I,'БДР_Себестоимость и Расходы'!$D:$D,$A28,'БДР_Себестоимость и Расходы'!$C:$C,DA$3)</f>
        <v>0</v>
      </c>
      <c r="DB28" s="23">
        <f>-SUMIFS('БДР_Себестоимость и Расходы'!$I:$I,'БДР_Себестоимость и Расходы'!$D:$D,$A28,'БДР_Себестоимость и Расходы'!$C:$C,DB$3)</f>
        <v>0</v>
      </c>
      <c r="DC28" s="23">
        <f>-SUMIFS('БДР_Себестоимость и Расходы'!$I:$I,'БДР_Себестоимость и Расходы'!$D:$D,$A28,'БДР_Себестоимость и Расходы'!$C:$C,DC$3)</f>
        <v>0</v>
      </c>
      <c r="DD28" s="41">
        <f t="shared" si="125"/>
        <v>0</v>
      </c>
      <c r="DE28" s="41">
        <f t="shared" si="126"/>
        <v>0</v>
      </c>
    </row>
    <row r="29" spans="1:109" s="12" customFormat="1" ht="10.199999999999999" x14ac:dyDescent="0.2">
      <c r="A29" s="11" t="s">
        <v>224</v>
      </c>
      <c r="B29" s="11" t="str">
        <f t="shared" si="20"/>
        <v>Облачное хранилище для строительной компании с функцией архивации 203120 20 Материальные расходы</v>
      </c>
      <c r="E29" s="20">
        <v>203120</v>
      </c>
      <c r="F29" s="21" t="str">
        <f>'Карточка проекта'!$B$1</f>
        <v xml:space="preserve">Облачное хранилище для строительной компании с функцией архивации </v>
      </c>
      <c r="G29" s="43" t="s">
        <v>225</v>
      </c>
      <c r="I29" s="41">
        <f t="shared" si="12"/>
        <v>-600000</v>
      </c>
      <c r="K29" s="23">
        <f>-SUMIFS(ДДС_Расходование!$I:$I,ДДС_Расходование!$D:$D,$A29,ДДС_Расходование!$C:$C,K$3)</f>
        <v>0</v>
      </c>
      <c r="L29" s="23">
        <f>-SUMIFS(ДДС_Расходование!$I:$I,ДДС_Расходование!$D:$D,$A29,ДДС_Расходование!$C:$C,L$3)</f>
        <v>0</v>
      </c>
      <c r="M29" s="23">
        <f>-SUMIFS(ДДС_Расходование!$I:$I,ДДС_Расходование!$D:$D,$A29,ДДС_Расходование!$C:$C,M$3)</f>
        <v>0</v>
      </c>
      <c r="N29" s="41">
        <f t="shared" si="92"/>
        <v>0</v>
      </c>
      <c r="O29" s="23">
        <f>-SUMIFS(ДДС_Расходование!$I:$I,ДДС_Расходование!$D:$D,$A29,ДДС_Расходование!$C:$C,O$3)</f>
        <v>0</v>
      </c>
      <c r="P29" s="23">
        <f>-SUMIFS(ДДС_Расходование!$I:$I,ДДС_Расходование!$D:$D,$A29,ДДС_Расходование!$C:$C,P$3)</f>
        <v>0</v>
      </c>
      <c r="Q29" s="23">
        <f>-SUMIFS(ДДС_Расходование!$I:$I,ДДС_Расходование!$D:$D,$A29,ДДС_Расходование!$C:$C,Q$3)</f>
        <v>0</v>
      </c>
      <c r="R29" s="41">
        <f t="shared" si="93"/>
        <v>0</v>
      </c>
      <c r="S29" s="41">
        <f t="shared" si="94"/>
        <v>0</v>
      </c>
      <c r="T29" s="23">
        <f>-SUMIFS(ДДС_Расходование!$I:$I,ДДС_Расходование!$D:$D,$A29,ДДС_Расходование!$C:$C,T$3)</f>
        <v>0</v>
      </c>
      <c r="U29" s="23">
        <f>-SUMIFS(ДДС_Расходование!$I:$I,ДДС_Расходование!$D:$D,$A29,ДДС_Расходование!$C:$C,U$3)</f>
        <v>0</v>
      </c>
      <c r="V29" s="23">
        <f>-SUMIFS(ДДС_Расходование!$I:$I,ДДС_Расходование!$D:$D,$A29,ДДС_Расходование!$C:$C,V$3)</f>
        <v>-600000</v>
      </c>
      <c r="W29" s="41">
        <f t="shared" si="95"/>
        <v>-600000</v>
      </c>
      <c r="X29" s="41">
        <f t="shared" si="96"/>
        <v>-600000</v>
      </c>
      <c r="Y29" s="23">
        <f>-SUMIFS(ДДС_Расходование!$I:$I,ДДС_Расходование!$D:$D,$A29,ДДС_Расходование!$C:$C,Y$3)</f>
        <v>0</v>
      </c>
      <c r="Z29" s="23">
        <f>-SUMIFS(ДДС_Расходование!$I:$I,ДДС_Расходование!$D:$D,$A29,ДДС_Расходование!$C:$C,Z$3)</f>
        <v>0</v>
      </c>
      <c r="AA29" s="23">
        <f>-SUMIFS(ДДС_Расходование!$I:$I,ДДС_Расходование!$D:$D,$A29,ДДС_Расходование!$C:$C,AA$3)</f>
        <v>0</v>
      </c>
      <c r="AB29" s="41">
        <f t="shared" si="97"/>
        <v>0</v>
      </c>
      <c r="AC29" s="41">
        <f t="shared" si="98"/>
        <v>-600000</v>
      </c>
      <c r="AE29" s="23">
        <f>-SUMIFS(ДДС_Расходование!$I:$I,ДДС_Расходование!$D:$D,$A29,ДДС_Расходование!$C:$C,AE$3)</f>
        <v>0</v>
      </c>
      <c r="AF29" s="23">
        <f>-SUMIFS(ДДС_Расходование!$I:$I,ДДС_Расходование!$D:$D,$A29,ДДС_Расходование!$C:$C,AF$3)</f>
        <v>0</v>
      </c>
      <c r="AG29" s="23">
        <f>-SUMIFS(ДДС_Расходование!$I:$I,ДДС_Расходование!$D:$D,$A29,ДДС_Расходование!$C:$C,AG$3)</f>
        <v>0</v>
      </c>
      <c r="AH29" s="41">
        <f t="shared" si="99"/>
        <v>0</v>
      </c>
      <c r="AI29" s="23">
        <f>-SUMIFS(ДДС_Расходование!$I:$I,ДДС_Расходование!$D:$D,$A29,ДДС_Расходование!$C:$C,AI$3)</f>
        <v>0</v>
      </c>
      <c r="AJ29" s="23">
        <f>-SUMIFS(ДДС_Расходование!$I:$I,ДДС_Расходование!$D:$D,$A29,ДДС_Расходование!$C:$C,AJ$3)</f>
        <v>0</v>
      </c>
      <c r="AK29" s="23">
        <f>-SUMIFS(ДДС_Расходование!$I:$I,ДДС_Расходование!$D:$D,$A29,ДДС_Расходование!$C:$C,AK$3)</f>
        <v>0</v>
      </c>
      <c r="AL29" s="41">
        <f t="shared" si="100"/>
        <v>0</v>
      </c>
      <c r="AM29" s="41">
        <f t="shared" si="101"/>
        <v>0</v>
      </c>
      <c r="AN29" s="23">
        <f>-SUMIFS(ДДС_Расходование!$I:$I,ДДС_Расходование!$D:$D,$A29,ДДС_Расходование!$C:$C,AN$3)</f>
        <v>0</v>
      </c>
      <c r="AO29" s="23">
        <f>-SUMIFS(ДДС_Расходование!$I:$I,ДДС_Расходование!$D:$D,$A29,ДДС_Расходование!$C:$C,AO$3)</f>
        <v>0</v>
      </c>
      <c r="AP29" s="23">
        <f>-SUMIFS(ДДС_Расходование!$I:$I,ДДС_Расходование!$D:$D,$A29,ДДС_Расходование!$C:$C,AP$3)</f>
        <v>0</v>
      </c>
      <c r="AQ29" s="41">
        <f t="shared" si="102"/>
        <v>0</v>
      </c>
      <c r="AR29" s="41">
        <f t="shared" si="103"/>
        <v>0</v>
      </c>
      <c r="AS29" s="23">
        <f>-SUMIFS(ДДС_Расходование!$I:$I,ДДС_Расходование!$D:$D,$A29,ДДС_Расходование!$C:$C,AS$3)</f>
        <v>0</v>
      </c>
      <c r="AT29" s="23">
        <f>-SUMIFS(ДДС_Расходование!$I:$I,ДДС_Расходование!$D:$D,$A29,ДДС_Расходование!$C:$C,AT$3)</f>
        <v>0</v>
      </c>
      <c r="AU29" s="23">
        <f>-SUMIFS(ДДС_Расходование!$I:$I,ДДС_Расходование!$D:$D,$A29,ДДС_Расходование!$C:$C,AU$3)</f>
        <v>0</v>
      </c>
      <c r="AV29" s="41">
        <f t="shared" si="104"/>
        <v>0</v>
      </c>
      <c r="AW29" s="41">
        <f t="shared" si="105"/>
        <v>0</v>
      </c>
      <c r="AY29" s="23">
        <f>-SUMIFS(ДДС_Расходование!$I:$I,ДДС_Расходование!$D:$D,$A29,ДДС_Расходование!$C:$C,AY$3)</f>
        <v>0</v>
      </c>
      <c r="AZ29" s="23">
        <f>-SUMIFS(ДДС_Расходование!$I:$I,ДДС_Расходование!$D:$D,$A29,ДДС_Расходование!$C:$C,AZ$3)</f>
        <v>0</v>
      </c>
      <c r="BA29" s="23">
        <f>-SUMIFS(ДДС_Расходование!$I:$I,ДДС_Расходование!$D:$D,$A29,ДДС_Расходование!$C:$C,BA$3)</f>
        <v>0</v>
      </c>
      <c r="BB29" s="41">
        <f t="shared" si="106"/>
        <v>0</v>
      </c>
      <c r="BC29" s="23">
        <f>-SUMIFS(ДДС_Расходование!$I:$I,ДДС_Расходование!$D:$D,$A29,ДДС_Расходование!$C:$C,BC$3)</f>
        <v>0</v>
      </c>
      <c r="BD29" s="23">
        <f>-SUMIFS(ДДС_Расходование!$I:$I,ДДС_Расходование!$D:$D,$A29,ДДС_Расходование!$C:$C,BD$3)</f>
        <v>0</v>
      </c>
      <c r="BE29" s="23">
        <f>-SUMIFS(ДДС_Расходование!$I:$I,ДДС_Расходование!$D:$D,$A29,ДДС_Расходование!$C:$C,BE$3)</f>
        <v>0</v>
      </c>
      <c r="BF29" s="41">
        <f t="shared" si="107"/>
        <v>0</v>
      </c>
      <c r="BG29" s="41">
        <f t="shared" si="108"/>
        <v>0</v>
      </c>
      <c r="BH29" s="23">
        <f>-SUMIFS(ДДС_Расходование!$I:$I,ДДС_Расходование!$D:$D,$A29,ДДС_Расходование!$C:$C,BH$3)</f>
        <v>0</v>
      </c>
      <c r="BI29" s="23">
        <f>-SUMIFS(ДДС_Расходование!$I:$I,ДДС_Расходование!$D:$D,$A29,ДДС_Расходование!$C:$C,BI$3)</f>
        <v>0</v>
      </c>
      <c r="BJ29" s="23">
        <f>-SUMIFS(ДДС_Расходование!$I:$I,ДДС_Расходование!$D:$D,$A29,ДДС_Расходование!$C:$C,BJ$3)</f>
        <v>0</v>
      </c>
      <c r="BK29" s="41">
        <f t="shared" si="109"/>
        <v>0</v>
      </c>
      <c r="BL29" s="41">
        <f t="shared" si="110"/>
        <v>0</v>
      </c>
      <c r="BM29" s="23">
        <f>-SUMIFS(ДДС_Расходование!$I:$I,ДДС_Расходование!$D:$D,$A29,ДДС_Расходование!$C:$C,BM$3)</f>
        <v>0</v>
      </c>
      <c r="BN29" s="23">
        <f>-SUMIFS(ДДС_Расходование!$I:$I,ДДС_Расходование!$D:$D,$A29,ДДС_Расходование!$C:$C,BN$3)</f>
        <v>0</v>
      </c>
      <c r="BO29" s="23">
        <f>-SUMIFS(ДДС_Расходование!$I:$I,ДДС_Расходование!$D:$D,$A29,ДДС_Расходование!$C:$C,BO$3)</f>
        <v>0</v>
      </c>
      <c r="BP29" s="41">
        <f t="shared" si="111"/>
        <v>0</v>
      </c>
      <c r="BQ29" s="41">
        <f t="shared" si="112"/>
        <v>0</v>
      </c>
      <c r="BS29" s="23">
        <f>-SUMIFS(ДДС_Расходование!$I:$I,ДДС_Расходование!$D:$D,$A29,ДДС_Расходование!$C:$C,BS$3)</f>
        <v>0</v>
      </c>
      <c r="BT29" s="23">
        <f>-SUMIFS(ДДС_Расходование!$I:$I,ДДС_Расходование!$D:$D,$A29,ДДС_Расходование!$C:$C,BT$3)</f>
        <v>0</v>
      </c>
      <c r="BU29" s="23">
        <f>-SUMIFS(ДДС_Расходование!$I:$I,ДДС_Расходование!$D:$D,$A29,ДДС_Расходование!$C:$C,BU$3)</f>
        <v>0</v>
      </c>
      <c r="BV29" s="41">
        <f t="shared" si="113"/>
        <v>0</v>
      </c>
      <c r="BW29" s="23">
        <f>-SUMIFS(ДДС_Расходование!$I:$I,ДДС_Расходование!$D:$D,$A29,ДДС_Расходование!$C:$C,BW$3)</f>
        <v>0</v>
      </c>
      <c r="BX29" s="23">
        <f>-SUMIFS(ДДС_Расходование!$I:$I,ДДС_Расходование!$D:$D,$A29,ДДС_Расходование!$C:$C,BX$3)</f>
        <v>0</v>
      </c>
      <c r="BY29" s="23">
        <f>-SUMIFS(ДДС_Расходование!$I:$I,ДДС_Расходование!$D:$D,$A29,ДДС_Расходование!$C:$C,BY$3)</f>
        <v>0</v>
      </c>
      <c r="BZ29" s="41">
        <f t="shared" si="114"/>
        <v>0</v>
      </c>
      <c r="CA29" s="41">
        <f t="shared" si="115"/>
        <v>0</v>
      </c>
      <c r="CB29" s="23">
        <f>-SUMIFS(ДДС_Расходование!$I:$I,ДДС_Расходование!$D:$D,$A29,ДДС_Расходование!$C:$C,CB$3)</f>
        <v>0</v>
      </c>
      <c r="CC29" s="23">
        <f>-SUMIFS(ДДС_Расходование!$I:$I,ДДС_Расходование!$D:$D,$A29,ДДС_Расходование!$C:$C,CC$3)</f>
        <v>0</v>
      </c>
      <c r="CD29" s="23">
        <f>-SUMIFS(ДДС_Расходование!$I:$I,ДДС_Расходование!$D:$D,$A29,ДДС_Расходование!$C:$C,CD$3)</f>
        <v>0</v>
      </c>
      <c r="CE29" s="41">
        <f t="shared" si="116"/>
        <v>0</v>
      </c>
      <c r="CF29" s="41">
        <f t="shared" si="117"/>
        <v>0</v>
      </c>
      <c r="CG29" s="23">
        <f>-SUMIFS(ДДС_Расходование!$I:$I,ДДС_Расходование!$D:$D,$A29,ДДС_Расходование!$C:$C,CG$3)</f>
        <v>0</v>
      </c>
      <c r="CH29" s="23">
        <f>-SUMIFS(ДДС_Расходование!$I:$I,ДДС_Расходование!$D:$D,$A29,ДДС_Расходование!$C:$C,CH$3)</f>
        <v>0</v>
      </c>
      <c r="CI29" s="23">
        <f>-SUMIFS(ДДС_Расходование!$I:$I,ДДС_Расходование!$D:$D,$A29,ДДС_Расходование!$C:$C,CI$3)</f>
        <v>0</v>
      </c>
      <c r="CJ29" s="41">
        <f t="shared" si="118"/>
        <v>0</v>
      </c>
      <c r="CK29" s="41">
        <f t="shared" si="119"/>
        <v>0</v>
      </c>
      <c r="CM29" s="23">
        <f>-SUMIFS(ДДС_Расходование!$I:$I,ДДС_Расходование!$D:$D,$A29,ДДС_Расходование!$C:$C,CM$3)</f>
        <v>0</v>
      </c>
      <c r="CN29" s="23">
        <f>-SUMIFS(ДДС_Расходование!$I:$I,ДДС_Расходование!$D:$D,$A29,ДДС_Расходование!$C:$C,CN$3)</f>
        <v>0</v>
      </c>
      <c r="CO29" s="23">
        <f>-SUMIFS(ДДС_Расходование!$I:$I,ДДС_Расходование!$D:$D,$A29,ДДС_Расходование!$C:$C,CO$3)</f>
        <v>0</v>
      </c>
      <c r="CP29" s="41">
        <f t="shared" si="120"/>
        <v>0</v>
      </c>
      <c r="CQ29" s="23">
        <f>-SUMIFS(ДДС_Расходование!$I:$I,ДДС_Расходование!$D:$D,$A29,ДДС_Расходование!$C:$C,CQ$3)</f>
        <v>0</v>
      </c>
      <c r="CR29" s="23">
        <f>-SUMIFS(ДДС_Расходование!$I:$I,ДДС_Расходование!$D:$D,$A29,ДДС_Расходование!$C:$C,CR$3)</f>
        <v>0</v>
      </c>
      <c r="CS29" s="23">
        <f>-SUMIFS(ДДС_Расходование!$I:$I,ДДС_Расходование!$D:$D,$A29,ДДС_Расходование!$C:$C,CS$3)</f>
        <v>0</v>
      </c>
      <c r="CT29" s="41">
        <f t="shared" si="121"/>
        <v>0</v>
      </c>
      <c r="CU29" s="41">
        <f t="shared" si="122"/>
        <v>0</v>
      </c>
      <c r="CV29" s="23">
        <f>-SUMIFS(ДДС_Расходование!$I:$I,ДДС_Расходование!$D:$D,$A29,ДДС_Расходование!$C:$C,CV$3)</f>
        <v>0</v>
      </c>
      <c r="CW29" s="23">
        <f>-SUMIFS(ДДС_Расходование!$I:$I,ДДС_Расходование!$D:$D,$A29,ДДС_Расходование!$C:$C,CW$3)</f>
        <v>0</v>
      </c>
      <c r="CX29" s="23">
        <f>-SUMIFS(ДДС_Расходование!$I:$I,ДДС_Расходование!$D:$D,$A29,ДДС_Расходование!$C:$C,CX$3)</f>
        <v>0</v>
      </c>
      <c r="CY29" s="41">
        <f t="shared" si="123"/>
        <v>0</v>
      </c>
      <c r="CZ29" s="41">
        <f t="shared" si="124"/>
        <v>0</v>
      </c>
      <c r="DA29" s="23">
        <f>-SUMIFS(ДДС_Расходование!$I:$I,ДДС_Расходование!$D:$D,$A29,ДДС_Расходование!$C:$C,DA$3)</f>
        <v>0</v>
      </c>
      <c r="DB29" s="23">
        <f>-SUMIFS(ДДС_Расходование!$I:$I,ДДС_Расходование!$D:$D,$A29,ДДС_Расходование!$C:$C,DB$3)</f>
        <v>0</v>
      </c>
      <c r="DC29" s="23">
        <f>-SUMIFS(ДДС_Расходование!$I:$I,ДДС_Расходование!$D:$D,$A29,ДДС_Расходование!$C:$C,DC$3)</f>
        <v>0</v>
      </c>
      <c r="DD29" s="41">
        <f t="shared" si="125"/>
        <v>0</v>
      </c>
      <c r="DE29" s="41">
        <f t="shared" si="126"/>
        <v>0</v>
      </c>
    </row>
    <row r="30" spans="1:109" s="12" customFormat="1" ht="10.199999999999999" x14ac:dyDescent="0.2">
      <c r="A30" s="11" t="s">
        <v>279</v>
      </c>
      <c r="B30" s="11" t="str">
        <f t="shared" si="20"/>
        <v>Облачное хранилище для строительной компании с функцией архивации 205190 20 Комиссия за выдачу БГ</v>
      </c>
      <c r="E30" s="20">
        <v>205190</v>
      </c>
      <c r="F30" s="21" t="str">
        <f>'Карточка проекта'!$B$1</f>
        <v xml:space="preserve">Облачное хранилище для строительной компании с функцией архивации </v>
      </c>
      <c r="G30" s="43" t="s">
        <v>280</v>
      </c>
      <c r="I30" s="41">
        <f t="shared" si="12"/>
        <v>-100000</v>
      </c>
      <c r="K30" s="23">
        <f>-SUMIFS(ДДС_Расходование!$I:$I,ДДС_Расходование!$D:$D,$A30,ДДС_Расходование!$C:$C,K$3)</f>
        <v>0</v>
      </c>
      <c r="L30" s="23">
        <f>-SUMIFS(ДДС_Расходование!$I:$I,ДДС_Расходование!$D:$D,$A30,ДДС_Расходование!$C:$C,L$3)</f>
        <v>0</v>
      </c>
      <c r="M30" s="23">
        <f>-SUMIFS(ДДС_Расходование!$I:$I,ДДС_Расходование!$D:$D,$A30,ДДС_Расходование!$C:$C,M$3)</f>
        <v>0</v>
      </c>
      <c r="N30" s="41">
        <f t="shared" si="92"/>
        <v>0</v>
      </c>
      <c r="O30" s="23">
        <f>-SUMIFS(ДДС_Расходование!$I:$I,ДДС_Расходование!$D:$D,$A30,ДДС_Расходование!$C:$C,O$3)</f>
        <v>0</v>
      </c>
      <c r="P30" s="23">
        <f>-SUMIFS(ДДС_Расходование!$I:$I,ДДС_Расходование!$D:$D,$A30,ДДС_Расходование!$C:$C,P$3)</f>
        <v>0</v>
      </c>
      <c r="Q30" s="23">
        <f>-SUMIFS(ДДС_Расходование!$I:$I,ДДС_Расходование!$D:$D,$A30,ДДС_Расходование!$C:$C,Q$3)</f>
        <v>0</v>
      </c>
      <c r="R30" s="41">
        <f t="shared" si="93"/>
        <v>0</v>
      </c>
      <c r="S30" s="41">
        <f t="shared" si="94"/>
        <v>0</v>
      </c>
      <c r="T30" s="23">
        <f>-SUMIFS(ДДС_Расходование!$I:$I,ДДС_Расходование!$D:$D,$A30,ДДС_Расходование!$C:$C,T$3)</f>
        <v>0</v>
      </c>
      <c r="U30" s="23">
        <f>-SUMIFS(ДДС_Расходование!$I:$I,ДДС_Расходование!$D:$D,$A30,ДДС_Расходование!$C:$C,U$3)</f>
        <v>0</v>
      </c>
      <c r="V30" s="23">
        <f>-SUMIFS(ДДС_Расходование!$I:$I,ДДС_Расходование!$D:$D,$A30,ДДС_Расходование!$C:$C,V$3)</f>
        <v>0</v>
      </c>
      <c r="W30" s="41">
        <f t="shared" si="95"/>
        <v>0</v>
      </c>
      <c r="X30" s="41">
        <f t="shared" si="96"/>
        <v>0</v>
      </c>
      <c r="Y30" s="23">
        <f>-SUMIFS(ДДС_Расходование!$I:$I,ДДС_Расходование!$D:$D,$A30,ДДС_Расходование!$C:$C,Y$3)</f>
        <v>0</v>
      </c>
      <c r="Z30" s="23">
        <f>-SUMIFS(ДДС_Расходование!$I:$I,ДДС_Расходование!$D:$D,$A30,ДДС_Расходование!$C:$C,Z$3)</f>
        <v>0</v>
      </c>
      <c r="AA30" s="23">
        <f>-SUMIFS(ДДС_Расходование!$I:$I,ДДС_Расходование!$D:$D,$A30,ДДС_Расходование!$C:$C,AA$3)</f>
        <v>-100000</v>
      </c>
      <c r="AB30" s="41">
        <f t="shared" si="97"/>
        <v>-100000</v>
      </c>
      <c r="AC30" s="41">
        <f t="shared" si="98"/>
        <v>-100000</v>
      </c>
      <c r="AE30" s="23">
        <f>-SUMIFS(ДДС_Расходование!$I:$I,ДДС_Расходование!$D:$D,$A30,ДДС_Расходование!$C:$C,AE$3)</f>
        <v>0</v>
      </c>
      <c r="AF30" s="23">
        <f>-SUMIFS(ДДС_Расходование!$I:$I,ДДС_Расходование!$D:$D,$A30,ДДС_Расходование!$C:$C,AF$3)</f>
        <v>0</v>
      </c>
      <c r="AG30" s="23">
        <f>-SUMIFS(ДДС_Расходование!$I:$I,ДДС_Расходование!$D:$D,$A30,ДДС_Расходование!$C:$C,AG$3)</f>
        <v>0</v>
      </c>
      <c r="AH30" s="41">
        <f t="shared" si="99"/>
        <v>0</v>
      </c>
      <c r="AI30" s="23">
        <f>-SUMIFS(ДДС_Расходование!$I:$I,ДДС_Расходование!$D:$D,$A30,ДДС_Расходование!$C:$C,AI$3)</f>
        <v>0</v>
      </c>
      <c r="AJ30" s="23">
        <f>-SUMIFS(ДДС_Расходование!$I:$I,ДДС_Расходование!$D:$D,$A30,ДДС_Расходование!$C:$C,AJ$3)</f>
        <v>0</v>
      </c>
      <c r="AK30" s="23">
        <f>-SUMIFS(ДДС_Расходование!$I:$I,ДДС_Расходование!$D:$D,$A30,ДДС_Расходование!$C:$C,AK$3)</f>
        <v>0</v>
      </c>
      <c r="AL30" s="41">
        <f t="shared" si="100"/>
        <v>0</v>
      </c>
      <c r="AM30" s="41">
        <f t="shared" si="101"/>
        <v>0</v>
      </c>
      <c r="AN30" s="23">
        <f>-SUMIFS(ДДС_Расходование!$I:$I,ДДС_Расходование!$D:$D,$A30,ДДС_Расходование!$C:$C,AN$3)</f>
        <v>0</v>
      </c>
      <c r="AO30" s="23">
        <f>-SUMIFS(ДДС_Расходование!$I:$I,ДДС_Расходование!$D:$D,$A30,ДДС_Расходование!$C:$C,AO$3)</f>
        <v>0</v>
      </c>
      <c r="AP30" s="23">
        <f>-SUMIFS(ДДС_Расходование!$I:$I,ДДС_Расходование!$D:$D,$A30,ДДС_Расходование!$C:$C,AP$3)</f>
        <v>0</v>
      </c>
      <c r="AQ30" s="41">
        <f t="shared" si="102"/>
        <v>0</v>
      </c>
      <c r="AR30" s="41">
        <f t="shared" si="103"/>
        <v>0</v>
      </c>
      <c r="AS30" s="23">
        <f>-SUMIFS(ДДС_Расходование!$I:$I,ДДС_Расходование!$D:$D,$A30,ДДС_Расходование!$C:$C,AS$3)</f>
        <v>0</v>
      </c>
      <c r="AT30" s="23">
        <f>-SUMIFS(ДДС_Расходование!$I:$I,ДДС_Расходование!$D:$D,$A30,ДДС_Расходование!$C:$C,AT$3)</f>
        <v>0</v>
      </c>
      <c r="AU30" s="23">
        <f>-SUMIFS(ДДС_Расходование!$I:$I,ДДС_Расходование!$D:$D,$A30,ДДС_Расходование!$C:$C,AU$3)</f>
        <v>0</v>
      </c>
      <c r="AV30" s="41">
        <f t="shared" si="104"/>
        <v>0</v>
      </c>
      <c r="AW30" s="41">
        <f t="shared" si="105"/>
        <v>0</v>
      </c>
      <c r="AY30" s="23">
        <f>-SUMIFS(ДДС_Расходование!$I:$I,ДДС_Расходование!$D:$D,$A30,ДДС_Расходование!$C:$C,AY$3)</f>
        <v>0</v>
      </c>
      <c r="AZ30" s="23">
        <f>-SUMIFS(ДДС_Расходование!$I:$I,ДДС_Расходование!$D:$D,$A30,ДДС_Расходование!$C:$C,AZ$3)</f>
        <v>0</v>
      </c>
      <c r="BA30" s="23">
        <f>-SUMIFS(ДДС_Расходование!$I:$I,ДДС_Расходование!$D:$D,$A30,ДДС_Расходование!$C:$C,BA$3)</f>
        <v>0</v>
      </c>
      <c r="BB30" s="41">
        <f t="shared" si="106"/>
        <v>0</v>
      </c>
      <c r="BC30" s="23">
        <f>-SUMIFS(ДДС_Расходование!$I:$I,ДДС_Расходование!$D:$D,$A30,ДДС_Расходование!$C:$C,BC$3)</f>
        <v>0</v>
      </c>
      <c r="BD30" s="23">
        <f>-SUMIFS(ДДС_Расходование!$I:$I,ДДС_Расходование!$D:$D,$A30,ДДС_Расходование!$C:$C,BD$3)</f>
        <v>0</v>
      </c>
      <c r="BE30" s="23">
        <f>-SUMIFS(ДДС_Расходование!$I:$I,ДДС_Расходование!$D:$D,$A30,ДДС_Расходование!$C:$C,BE$3)</f>
        <v>0</v>
      </c>
      <c r="BF30" s="41">
        <f t="shared" si="107"/>
        <v>0</v>
      </c>
      <c r="BG30" s="41">
        <f t="shared" si="108"/>
        <v>0</v>
      </c>
      <c r="BH30" s="23">
        <f>-SUMIFS(ДДС_Расходование!$I:$I,ДДС_Расходование!$D:$D,$A30,ДДС_Расходование!$C:$C,BH$3)</f>
        <v>0</v>
      </c>
      <c r="BI30" s="23">
        <f>-SUMIFS(ДДС_Расходование!$I:$I,ДДС_Расходование!$D:$D,$A30,ДДС_Расходование!$C:$C,BI$3)</f>
        <v>0</v>
      </c>
      <c r="BJ30" s="23">
        <f>-SUMIFS(ДДС_Расходование!$I:$I,ДДС_Расходование!$D:$D,$A30,ДДС_Расходование!$C:$C,BJ$3)</f>
        <v>0</v>
      </c>
      <c r="BK30" s="41">
        <f t="shared" si="109"/>
        <v>0</v>
      </c>
      <c r="BL30" s="41">
        <f t="shared" si="110"/>
        <v>0</v>
      </c>
      <c r="BM30" s="23">
        <f>-SUMIFS(ДДС_Расходование!$I:$I,ДДС_Расходование!$D:$D,$A30,ДДС_Расходование!$C:$C,BM$3)</f>
        <v>0</v>
      </c>
      <c r="BN30" s="23">
        <f>-SUMIFS(ДДС_Расходование!$I:$I,ДДС_Расходование!$D:$D,$A30,ДДС_Расходование!$C:$C,BN$3)</f>
        <v>0</v>
      </c>
      <c r="BO30" s="23">
        <f>-SUMIFS(ДДС_Расходование!$I:$I,ДДС_Расходование!$D:$D,$A30,ДДС_Расходование!$C:$C,BO$3)</f>
        <v>0</v>
      </c>
      <c r="BP30" s="41">
        <f t="shared" si="111"/>
        <v>0</v>
      </c>
      <c r="BQ30" s="41">
        <f t="shared" si="112"/>
        <v>0</v>
      </c>
      <c r="BS30" s="23">
        <f>-SUMIFS(ДДС_Расходование!$I:$I,ДДС_Расходование!$D:$D,$A30,ДДС_Расходование!$C:$C,BS$3)</f>
        <v>0</v>
      </c>
      <c r="BT30" s="23">
        <f>-SUMIFS(ДДС_Расходование!$I:$I,ДДС_Расходование!$D:$D,$A30,ДДС_Расходование!$C:$C,BT$3)</f>
        <v>0</v>
      </c>
      <c r="BU30" s="23">
        <f>-SUMIFS(ДДС_Расходование!$I:$I,ДДС_Расходование!$D:$D,$A30,ДДС_Расходование!$C:$C,BU$3)</f>
        <v>0</v>
      </c>
      <c r="BV30" s="41">
        <f t="shared" si="113"/>
        <v>0</v>
      </c>
      <c r="BW30" s="23">
        <f>-SUMIFS(ДДС_Расходование!$I:$I,ДДС_Расходование!$D:$D,$A30,ДДС_Расходование!$C:$C,BW$3)</f>
        <v>0</v>
      </c>
      <c r="BX30" s="23">
        <f>-SUMIFS(ДДС_Расходование!$I:$I,ДДС_Расходование!$D:$D,$A30,ДДС_Расходование!$C:$C,BX$3)</f>
        <v>0</v>
      </c>
      <c r="BY30" s="23">
        <f>-SUMIFS(ДДС_Расходование!$I:$I,ДДС_Расходование!$D:$D,$A30,ДДС_Расходование!$C:$C,BY$3)</f>
        <v>0</v>
      </c>
      <c r="BZ30" s="41">
        <f t="shared" si="114"/>
        <v>0</v>
      </c>
      <c r="CA30" s="41">
        <f t="shared" si="115"/>
        <v>0</v>
      </c>
      <c r="CB30" s="23">
        <f>-SUMIFS(ДДС_Расходование!$I:$I,ДДС_Расходование!$D:$D,$A30,ДДС_Расходование!$C:$C,CB$3)</f>
        <v>0</v>
      </c>
      <c r="CC30" s="23">
        <f>-SUMIFS(ДДС_Расходование!$I:$I,ДДС_Расходование!$D:$D,$A30,ДДС_Расходование!$C:$C,CC$3)</f>
        <v>0</v>
      </c>
      <c r="CD30" s="23">
        <f>-SUMIFS(ДДС_Расходование!$I:$I,ДДС_Расходование!$D:$D,$A30,ДДС_Расходование!$C:$C,CD$3)</f>
        <v>0</v>
      </c>
      <c r="CE30" s="41">
        <f t="shared" si="116"/>
        <v>0</v>
      </c>
      <c r="CF30" s="41">
        <f t="shared" si="117"/>
        <v>0</v>
      </c>
      <c r="CG30" s="23">
        <f>-SUMIFS(ДДС_Расходование!$I:$I,ДДС_Расходование!$D:$D,$A30,ДДС_Расходование!$C:$C,CG$3)</f>
        <v>0</v>
      </c>
      <c r="CH30" s="23">
        <f>-SUMIFS(ДДС_Расходование!$I:$I,ДДС_Расходование!$D:$D,$A30,ДДС_Расходование!$C:$C,CH$3)</f>
        <v>0</v>
      </c>
      <c r="CI30" s="23">
        <f>-SUMIFS(ДДС_Расходование!$I:$I,ДДС_Расходование!$D:$D,$A30,ДДС_Расходование!$C:$C,CI$3)</f>
        <v>0</v>
      </c>
      <c r="CJ30" s="41">
        <f t="shared" si="118"/>
        <v>0</v>
      </c>
      <c r="CK30" s="41">
        <f t="shared" si="119"/>
        <v>0</v>
      </c>
      <c r="CM30" s="23">
        <f>-SUMIFS(ДДС_Расходование!$I:$I,ДДС_Расходование!$D:$D,$A30,ДДС_Расходование!$C:$C,CM$3)</f>
        <v>0</v>
      </c>
      <c r="CN30" s="23">
        <f>-SUMIFS(ДДС_Расходование!$I:$I,ДДС_Расходование!$D:$D,$A30,ДДС_Расходование!$C:$C,CN$3)</f>
        <v>0</v>
      </c>
      <c r="CO30" s="23">
        <f>-SUMIFS(ДДС_Расходование!$I:$I,ДДС_Расходование!$D:$D,$A30,ДДС_Расходование!$C:$C,CO$3)</f>
        <v>0</v>
      </c>
      <c r="CP30" s="41">
        <f t="shared" si="120"/>
        <v>0</v>
      </c>
      <c r="CQ30" s="23">
        <f>-SUMIFS(ДДС_Расходование!$I:$I,ДДС_Расходование!$D:$D,$A30,ДДС_Расходование!$C:$C,CQ$3)</f>
        <v>0</v>
      </c>
      <c r="CR30" s="23">
        <f>-SUMIFS(ДДС_Расходование!$I:$I,ДДС_Расходование!$D:$D,$A30,ДДС_Расходование!$C:$C,CR$3)</f>
        <v>0</v>
      </c>
      <c r="CS30" s="23">
        <f>-SUMIFS(ДДС_Расходование!$I:$I,ДДС_Расходование!$D:$D,$A30,ДДС_Расходование!$C:$C,CS$3)</f>
        <v>0</v>
      </c>
      <c r="CT30" s="41">
        <f t="shared" si="121"/>
        <v>0</v>
      </c>
      <c r="CU30" s="41">
        <f t="shared" si="122"/>
        <v>0</v>
      </c>
      <c r="CV30" s="23">
        <f>-SUMIFS(ДДС_Расходование!$I:$I,ДДС_Расходование!$D:$D,$A30,ДДС_Расходование!$C:$C,CV$3)</f>
        <v>0</v>
      </c>
      <c r="CW30" s="23">
        <f>-SUMIFS(ДДС_Расходование!$I:$I,ДДС_Расходование!$D:$D,$A30,ДДС_Расходование!$C:$C,CW$3)</f>
        <v>0</v>
      </c>
      <c r="CX30" s="23">
        <f>-SUMIFS(ДДС_Расходование!$I:$I,ДДС_Расходование!$D:$D,$A30,ДДС_Расходование!$C:$C,CX$3)</f>
        <v>0</v>
      </c>
      <c r="CY30" s="41">
        <f t="shared" si="123"/>
        <v>0</v>
      </c>
      <c r="CZ30" s="41">
        <f t="shared" si="124"/>
        <v>0</v>
      </c>
      <c r="DA30" s="23">
        <f>-SUMIFS(ДДС_Расходование!$I:$I,ДДС_Расходование!$D:$D,$A30,ДДС_Расходование!$C:$C,DA$3)</f>
        <v>0</v>
      </c>
      <c r="DB30" s="23">
        <f>-SUMIFS(ДДС_Расходование!$I:$I,ДДС_Расходование!$D:$D,$A30,ДДС_Расходование!$C:$C,DB$3)</f>
        <v>0</v>
      </c>
      <c r="DC30" s="23">
        <f>-SUMIFS(ДДС_Расходование!$I:$I,ДДС_Расходование!$D:$D,$A30,ДДС_Расходование!$C:$C,DC$3)</f>
        <v>0</v>
      </c>
      <c r="DD30" s="41">
        <f t="shared" si="125"/>
        <v>0</v>
      </c>
      <c r="DE30" s="41">
        <f t="shared" si="126"/>
        <v>0</v>
      </c>
    </row>
    <row r="31" spans="1:109" s="12" customFormat="1" ht="10.199999999999999" x14ac:dyDescent="0.2">
      <c r="A31" s="11" t="s">
        <v>226</v>
      </c>
      <c r="B31" s="11" t="str">
        <f t="shared" si="20"/>
        <v>Облачное хранилище для строительной компании с функцией архивации 202900 20 Прочие расходы</v>
      </c>
      <c r="E31" s="20">
        <v>202900</v>
      </c>
      <c r="F31" s="21" t="str">
        <f>'Карточка проекта'!$B$1</f>
        <v xml:space="preserve">Облачное хранилище для строительной компании с функцией архивации </v>
      </c>
      <c r="G31" s="43" t="s">
        <v>227</v>
      </c>
      <c r="I31" s="42">
        <f t="shared" si="12"/>
        <v>-300000</v>
      </c>
      <c r="K31" s="23">
        <f>-SUMIFS(ДДС_Расходование!$I:$I,ДДС_Расходование!$D:$D,$A31,ДДС_Расходование!$C:$C,K$3)</f>
        <v>0</v>
      </c>
      <c r="L31" s="23">
        <f>-SUMIFS(ДДС_Расходование!$I:$I,ДДС_Расходование!$D:$D,$A31,ДДС_Расходование!$C:$C,L$3)</f>
        <v>0</v>
      </c>
      <c r="M31" s="23">
        <f>-SUMIFS(ДДС_Расходование!$I:$I,ДДС_Расходование!$D:$D,$A31,ДДС_Расходование!$C:$C,M$3)</f>
        <v>0</v>
      </c>
      <c r="N31" s="42">
        <f t="shared" si="92"/>
        <v>0</v>
      </c>
      <c r="O31" s="23">
        <f>-SUMIFS(ДДС_Расходование!$I:$I,ДДС_Расходование!$D:$D,$A31,ДДС_Расходование!$C:$C,O$3)</f>
        <v>0</v>
      </c>
      <c r="P31" s="23">
        <f>-SUMIFS(ДДС_Расходование!$I:$I,ДДС_Расходование!$D:$D,$A31,ДДС_Расходование!$C:$C,P$3)</f>
        <v>0</v>
      </c>
      <c r="Q31" s="23">
        <f>-SUMIFS(ДДС_Расходование!$I:$I,ДДС_Расходование!$D:$D,$A31,ДДС_Расходование!$C:$C,Q$3)</f>
        <v>0</v>
      </c>
      <c r="R31" s="42">
        <f t="shared" si="93"/>
        <v>0</v>
      </c>
      <c r="S31" s="42">
        <f t="shared" si="94"/>
        <v>0</v>
      </c>
      <c r="T31" s="23">
        <f>-SUMIFS(ДДС_Расходование!$I:$I,ДДС_Расходование!$D:$D,$A31,ДДС_Расходование!$C:$C,T$3)</f>
        <v>0</v>
      </c>
      <c r="U31" s="23">
        <f>-SUMIFS(ДДС_Расходование!$I:$I,ДДС_Расходование!$D:$D,$A31,ДДС_Расходование!$C:$C,U$3)</f>
        <v>0</v>
      </c>
      <c r="V31" s="23">
        <f>-SUMIFS(ДДС_Расходование!$I:$I,ДДС_Расходование!$D:$D,$A31,ДДС_Расходование!$C:$C,V$3)</f>
        <v>0</v>
      </c>
      <c r="W31" s="42">
        <f t="shared" si="95"/>
        <v>0</v>
      </c>
      <c r="X31" s="42">
        <f t="shared" si="96"/>
        <v>0</v>
      </c>
      <c r="Y31" s="23">
        <f>-SUMIFS(ДДС_Расходование!$I:$I,ДДС_Расходование!$D:$D,$A31,ДДС_Расходование!$C:$C,Y$3)</f>
        <v>-300000</v>
      </c>
      <c r="Z31" s="23">
        <f>-SUMIFS(ДДС_Расходование!$I:$I,ДДС_Расходование!$D:$D,$A31,ДДС_Расходование!$C:$C,Z$3)</f>
        <v>0</v>
      </c>
      <c r="AA31" s="23">
        <f>-SUMIFS(ДДС_Расходование!$I:$I,ДДС_Расходование!$D:$D,$A31,ДДС_Расходование!$C:$C,AA$3)</f>
        <v>0</v>
      </c>
      <c r="AB31" s="42">
        <f t="shared" si="97"/>
        <v>-300000</v>
      </c>
      <c r="AC31" s="42">
        <f t="shared" si="98"/>
        <v>-300000</v>
      </c>
      <c r="AE31" s="23">
        <f>-SUMIFS(ДДС_Расходование!$I:$I,ДДС_Расходование!$D:$D,$A31,ДДС_Расходование!$C:$C,AE$3)</f>
        <v>0</v>
      </c>
      <c r="AF31" s="23">
        <f>-SUMIFS(ДДС_Расходование!$I:$I,ДДС_Расходование!$D:$D,$A31,ДДС_Расходование!$C:$C,AF$3)</f>
        <v>0</v>
      </c>
      <c r="AG31" s="23">
        <f>-SUMIFS(ДДС_Расходование!$I:$I,ДДС_Расходование!$D:$D,$A31,ДДС_Расходование!$C:$C,AG$3)</f>
        <v>0</v>
      </c>
      <c r="AH31" s="42">
        <f t="shared" si="99"/>
        <v>0</v>
      </c>
      <c r="AI31" s="23">
        <f>-SUMIFS(ДДС_Расходование!$I:$I,ДДС_Расходование!$D:$D,$A31,ДДС_Расходование!$C:$C,AI$3)</f>
        <v>0</v>
      </c>
      <c r="AJ31" s="23">
        <f>-SUMIFS(ДДС_Расходование!$I:$I,ДДС_Расходование!$D:$D,$A31,ДДС_Расходование!$C:$C,AJ$3)</f>
        <v>0</v>
      </c>
      <c r="AK31" s="23">
        <f>-SUMIFS(ДДС_Расходование!$I:$I,ДДС_Расходование!$D:$D,$A31,ДДС_Расходование!$C:$C,AK$3)</f>
        <v>0</v>
      </c>
      <c r="AL31" s="42">
        <f t="shared" si="100"/>
        <v>0</v>
      </c>
      <c r="AM31" s="42">
        <f t="shared" si="101"/>
        <v>0</v>
      </c>
      <c r="AN31" s="23">
        <f>-SUMIFS(ДДС_Расходование!$I:$I,ДДС_Расходование!$D:$D,$A31,ДДС_Расходование!$C:$C,AN$3)</f>
        <v>0</v>
      </c>
      <c r="AO31" s="23">
        <f>-SUMIFS(ДДС_Расходование!$I:$I,ДДС_Расходование!$D:$D,$A31,ДДС_Расходование!$C:$C,AO$3)</f>
        <v>0</v>
      </c>
      <c r="AP31" s="23">
        <f>-SUMIFS(ДДС_Расходование!$I:$I,ДДС_Расходование!$D:$D,$A31,ДДС_Расходование!$C:$C,AP$3)</f>
        <v>0</v>
      </c>
      <c r="AQ31" s="42">
        <f t="shared" si="102"/>
        <v>0</v>
      </c>
      <c r="AR31" s="42">
        <f t="shared" si="103"/>
        <v>0</v>
      </c>
      <c r="AS31" s="23">
        <f>-SUMIFS(ДДС_Расходование!$I:$I,ДДС_Расходование!$D:$D,$A31,ДДС_Расходование!$C:$C,AS$3)</f>
        <v>0</v>
      </c>
      <c r="AT31" s="23">
        <f>-SUMIFS(ДДС_Расходование!$I:$I,ДДС_Расходование!$D:$D,$A31,ДДС_Расходование!$C:$C,AT$3)</f>
        <v>0</v>
      </c>
      <c r="AU31" s="23">
        <f>-SUMIFS(ДДС_Расходование!$I:$I,ДДС_Расходование!$D:$D,$A31,ДДС_Расходование!$C:$C,AU$3)</f>
        <v>0</v>
      </c>
      <c r="AV31" s="42">
        <f t="shared" si="104"/>
        <v>0</v>
      </c>
      <c r="AW31" s="42">
        <f t="shared" si="105"/>
        <v>0</v>
      </c>
      <c r="AY31" s="23">
        <f>-SUMIFS(ДДС_Расходование!$I:$I,ДДС_Расходование!$D:$D,$A31,ДДС_Расходование!$C:$C,AY$3)</f>
        <v>0</v>
      </c>
      <c r="AZ31" s="23">
        <f>-SUMIFS(ДДС_Расходование!$I:$I,ДДС_Расходование!$D:$D,$A31,ДДС_Расходование!$C:$C,AZ$3)</f>
        <v>0</v>
      </c>
      <c r="BA31" s="23">
        <f>-SUMIFS(ДДС_Расходование!$I:$I,ДДС_Расходование!$D:$D,$A31,ДДС_Расходование!$C:$C,BA$3)</f>
        <v>0</v>
      </c>
      <c r="BB31" s="42">
        <f t="shared" si="106"/>
        <v>0</v>
      </c>
      <c r="BC31" s="23">
        <f>-SUMIFS(ДДС_Расходование!$I:$I,ДДС_Расходование!$D:$D,$A31,ДДС_Расходование!$C:$C,BC$3)</f>
        <v>0</v>
      </c>
      <c r="BD31" s="23">
        <f>-SUMIFS(ДДС_Расходование!$I:$I,ДДС_Расходование!$D:$D,$A31,ДДС_Расходование!$C:$C,BD$3)</f>
        <v>0</v>
      </c>
      <c r="BE31" s="23">
        <f>-SUMIFS(ДДС_Расходование!$I:$I,ДДС_Расходование!$D:$D,$A31,ДДС_Расходование!$C:$C,BE$3)</f>
        <v>0</v>
      </c>
      <c r="BF31" s="42">
        <f t="shared" si="107"/>
        <v>0</v>
      </c>
      <c r="BG31" s="42">
        <f t="shared" si="108"/>
        <v>0</v>
      </c>
      <c r="BH31" s="23">
        <f>-SUMIFS(ДДС_Расходование!$I:$I,ДДС_Расходование!$D:$D,$A31,ДДС_Расходование!$C:$C,BH$3)</f>
        <v>0</v>
      </c>
      <c r="BI31" s="23">
        <f>-SUMIFS(ДДС_Расходование!$I:$I,ДДС_Расходование!$D:$D,$A31,ДДС_Расходование!$C:$C,BI$3)</f>
        <v>0</v>
      </c>
      <c r="BJ31" s="23">
        <f>-SUMIFS(ДДС_Расходование!$I:$I,ДДС_Расходование!$D:$D,$A31,ДДС_Расходование!$C:$C,BJ$3)</f>
        <v>0</v>
      </c>
      <c r="BK31" s="42">
        <f t="shared" si="109"/>
        <v>0</v>
      </c>
      <c r="BL31" s="42">
        <f t="shared" si="110"/>
        <v>0</v>
      </c>
      <c r="BM31" s="23">
        <f>-SUMIFS(ДДС_Расходование!$I:$I,ДДС_Расходование!$D:$D,$A31,ДДС_Расходование!$C:$C,BM$3)</f>
        <v>0</v>
      </c>
      <c r="BN31" s="23">
        <f>-SUMIFS(ДДС_Расходование!$I:$I,ДДС_Расходование!$D:$D,$A31,ДДС_Расходование!$C:$C,BN$3)</f>
        <v>0</v>
      </c>
      <c r="BO31" s="23">
        <f>-SUMIFS(ДДС_Расходование!$I:$I,ДДС_Расходование!$D:$D,$A31,ДДС_Расходование!$C:$C,BO$3)</f>
        <v>0</v>
      </c>
      <c r="BP31" s="42">
        <f t="shared" si="111"/>
        <v>0</v>
      </c>
      <c r="BQ31" s="42">
        <f t="shared" si="112"/>
        <v>0</v>
      </c>
      <c r="BS31" s="23">
        <f>-SUMIFS(ДДС_Расходование!$I:$I,ДДС_Расходование!$D:$D,$A31,ДДС_Расходование!$C:$C,BS$3)</f>
        <v>0</v>
      </c>
      <c r="BT31" s="23">
        <f>-SUMIFS(ДДС_Расходование!$I:$I,ДДС_Расходование!$D:$D,$A31,ДДС_Расходование!$C:$C,BT$3)</f>
        <v>0</v>
      </c>
      <c r="BU31" s="23">
        <f>-SUMIFS(ДДС_Расходование!$I:$I,ДДС_Расходование!$D:$D,$A31,ДДС_Расходование!$C:$C,BU$3)</f>
        <v>0</v>
      </c>
      <c r="BV31" s="42">
        <f t="shared" si="113"/>
        <v>0</v>
      </c>
      <c r="BW31" s="23">
        <f>-SUMIFS(ДДС_Расходование!$I:$I,ДДС_Расходование!$D:$D,$A31,ДДС_Расходование!$C:$C,BW$3)</f>
        <v>0</v>
      </c>
      <c r="BX31" s="23">
        <f>-SUMIFS(ДДС_Расходование!$I:$I,ДДС_Расходование!$D:$D,$A31,ДДС_Расходование!$C:$C,BX$3)</f>
        <v>0</v>
      </c>
      <c r="BY31" s="23">
        <f>-SUMIFS(ДДС_Расходование!$I:$I,ДДС_Расходование!$D:$D,$A31,ДДС_Расходование!$C:$C,BY$3)</f>
        <v>0</v>
      </c>
      <c r="BZ31" s="42">
        <f t="shared" si="114"/>
        <v>0</v>
      </c>
      <c r="CA31" s="42">
        <f t="shared" si="115"/>
        <v>0</v>
      </c>
      <c r="CB31" s="23">
        <f>-SUMIFS(ДДС_Расходование!$I:$I,ДДС_Расходование!$D:$D,$A31,ДДС_Расходование!$C:$C,CB$3)</f>
        <v>0</v>
      </c>
      <c r="CC31" s="23">
        <f>-SUMIFS(ДДС_Расходование!$I:$I,ДДС_Расходование!$D:$D,$A31,ДДС_Расходование!$C:$C,CC$3)</f>
        <v>0</v>
      </c>
      <c r="CD31" s="23">
        <f>-SUMIFS(ДДС_Расходование!$I:$I,ДДС_Расходование!$D:$D,$A31,ДДС_Расходование!$C:$C,CD$3)</f>
        <v>0</v>
      </c>
      <c r="CE31" s="42">
        <f t="shared" si="116"/>
        <v>0</v>
      </c>
      <c r="CF31" s="42">
        <f t="shared" si="117"/>
        <v>0</v>
      </c>
      <c r="CG31" s="23">
        <f>-SUMIFS(ДДС_Расходование!$I:$I,ДДС_Расходование!$D:$D,$A31,ДДС_Расходование!$C:$C,CG$3)</f>
        <v>0</v>
      </c>
      <c r="CH31" s="23">
        <f>-SUMIFS(ДДС_Расходование!$I:$I,ДДС_Расходование!$D:$D,$A31,ДДС_Расходование!$C:$C,CH$3)</f>
        <v>0</v>
      </c>
      <c r="CI31" s="23">
        <f>-SUMIFS(ДДС_Расходование!$I:$I,ДДС_Расходование!$D:$D,$A31,ДДС_Расходование!$C:$C,CI$3)</f>
        <v>0</v>
      </c>
      <c r="CJ31" s="42">
        <f t="shared" si="118"/>
        <v>0</v>
      </c>
      <c r="CK31" s="42">
        <f t="shared" si="119"/>
        <v>0</v>
      </c>
      <c r="CM31" s="23">
        <f>-SUMIFS(ДДС_Расходование!$I:$I,ДДС_Расходование!$D:$D,$A31,ДДС_Расходование!$C:$C,CM$3)</f>
        <v>0</v>
      </c>
      <c r="CN31" s="23">
        <f>-SUMIFS(ДДС_Расходование!$I:$I,ДДС_Расходование!$D:$D,$A31,ДДС_Расходование!$C:$C,CN$3)</f>
        <v>0</v>
      </c>
      <c r="CO31" s="23">
        <f>-SUMIFS(ДДС_Расходование!$I:$I,ДДС_Расходование!$D:$D,$A31,ДДС_Расходование!$C:$C,CO$3)</f>
        <v>0</v>
      </c>
      <c r="CP31" s="42">
        <f t="shared" si="120"/>
        <v>0</v>
      </c>
      <c r="CQ31" s="23">
        <f>-SUMIFS(ДДС_Расходование!$I:$I,ДДС_Расходование!$D:$D,$A31,ДДС_Расходование!$C:$C,CQ$3)</f>
        <v>0</v>
      </c>
      <c r="CR31" s="23">
        <f>-SUMIFS(ДДС_Расходование!$I:$I,ДДС_Расходование!$D:$D,$A31,ДДС_Расходование!$C:$C,CR$3)</f>
        <v>0</v>
      </c>
      <c r="CS31" s="23">
        <f>-SUMIFS(ДДС_Расходование!$I:$I,ДДС_Расходование!$D:$D,$A31,ДДС_Расходование!$C:$C,CS$3)</f>
        <v>0</v>
      </c>
      <c r="CT31" s="42">
        <f t="shared" si="121"/>
        <v>0</v>
      </c>
      <c r="CU31" s="42">
        <f t="shared" si="122"/>
        <v>0</v>
      </c>
      <c r="CV31" s="23">
        <f>-SUMIFS(ДДС_Расходование!$I:$I,ДДС_Расходование!$D:$D,$A31,ДДС_Расходование!$C:$C,CV$3)</f>
        <v>0</v>
      </c>
      <c r="CW31" s="23">
        <f>-SUMIFS(ДДС_Расходование!$I:$I,ДДС_Расходование!$D:$D,$A31,ДДС_Расходование!$C:$C,CW$3)</f>
        <v>0</v>
      </c>
      <c r="CX31" s="23">
        <f>-SUMIFS(ДДС_Расходование!$I:$I,ДДС_Расходование!$D:$D,$A31,ДДС_Расходование!$C:$C,CX$3)</f>
        <v>0</v>
      </c>
      <c r="CY31" s="42">
        <f t="shared" si="123"/>
        <v>0</v>
      </c>
      <c r="CZ31" s="42">
        <f t="shared" si="124"/>
        <v>0</v>
      </c>
      <c r="DA31" s="23">
        <f>-SUMIFS(ДДС_Расходование!$I:$I,ДДС_Расходование!$D:$D,$A31,ДДС_Расходование!$C:$C,DA$3)</f>
        <v>0</v>
      </c>
      <c r="DB31" s="23">
        <f>-SUMIFS(ДДС_Расходование!$I:$I,ДДС_Расходование!$D:$D,$A31,ДДС_Расходование!$C:$C,DB$3)</f>
        <v>0</v>
      </c>
      <c r="DC31" s="23">
        <f>-SUMIFS(ДДС_Расходование!$I:$I,ДДС_Расходование!$D:$D,$A31,ДДС_Расходование!$C:$C,DC$3)</f>
        <v>0</v>
      </c>
      <c r="DD31" s="42">
        <f t="shared" si="125"/>
        <v>0</v>
      </c>
      <c r="DE31" s="42">
        <f t="shared" si="126"/>
        <v>0</v>
      </c>
    </row>
    <row r="32" spans="1:109" s="12" customFormat="1" ht="2.25" customHeight="1" x14ac:dyDescent="0.2">
      <c r="A32" s="11"/>
      <c r="B32" s="11"/>
    </row>
    <row r="33" spans="1:109" s="12" customFormat="1" ht="10.199999999999999" x14ac:dyDescent="0.2">
      <c r="E33" s="102"/>
      <c r="F33" s="102"/>
      <c r="G33" s="101" t="s">
        <v>289</v>
      </c>
      <c r="I33" s="104">
        <f t="shared" ref="I33:I48" si="197">AC33+AW33+BQ33+CK33+DE33</f>
        <v>-3150000</v>
      </c>
      <c r="K33" s="105">
        <f>K34+K35</f>
        <v>0</v>
      </c>
      <c r="L33" s="105">
        <f t="shared" ref="L33:M33" si="198">L34+L35</f>
        <v>0</v>
      </c>
      <c r="M33" s="106">
        <f t="shared" si="198"/>
        <v>0</v>
      </c>
      <c r="N33" s="104">
        <f t="shared" si="92"/>
        <v>0</v>
      </c>
      <c r="O33" s="105">
        <f>O34+O35</f>
        <v>0</v>
      </c>
      <c r="P33" s="105">
        <f t="shared" ref="P33" si="199">P34+P35</f>
        <v>0</v>
      </c>
      <c r="Q33" s="106">
        <f t="shared" ref="Q33" si="200">Q34+Q35</f>
        <v>0</v>
      </c>
      <c r="R33" s="104">
        <f t="shared" ref="R33:R48" si="201">O33+P33+Q33</f>
        <v>0</v>
      </c>
      <c r="S33" s="104">
        <f t="shared" si="94"/>
        <v>0</v>
      </c>
      <c r="T33" s="105">
        <f>T34+T35</f>
        <v>0</v>
      </c>
      <c r="U33" s="105">
        <f t="shared" ref="U33" si="202">U34+U35</f>
        <v>0</v>
      </c>
      <c r="V33" s="106">
        <f t="shared" ref="V33" si="203">V34+V35</f>
        <v>-450000</v>
      </c>
      <c r="W33" s="104">
        <f t="shared" ref="W33:W48" si="204">T33+U33+V33</f>
        <v>-450000</v>
      </c>
      <c r="X33" s="104">
        <f t="shared" si="96"/>
        <v>-450000</v>
      </c>
      <c r="Y33" s="105">
        <f>Y34+Y35</f>
        <v>-900000</v>
      </c>
      <c r="Z33" s="105">
        <f t="shared" ref="Z33" si="205">Z34+Z35</f>
        <v>-900000</v>
      </c>
      <c r="AA33" s="106">
        <f t="shared" ref="AA33" si="206">AA34+AA35</f>
        <v>-900000</v>
      </c>
      <c r="AB33" s="104">
        <f t="shared" ref="AB33:AB48" si="207">Y33+Z33+AA33</f>
        <v>-2700000</v>
      </c>
      <c r="AC33" s="104">
        <f t="shared" si="98"/>
        <v>-3150000</v>
      </c>
      <c r="AE33" s="105">
        <f>AE34+AE35</f>
        <v>0</v>
      </c>
      <c r="AF33" s="105">
        <f t="shared" ref="AF33" si="208">AF34+AF35</f>
        <v>0</v>
      </c>
      <c r="AG33" s="106">
        <f t="shared" ref="AG33" si="209">AG34+AG35</f>
        <v>0</v>
      </c>
      <c r="AH33" s="104">
        <f t="shared" ref="AH33:AH48" si="210">AE33+AF33+AG33</f>
        <v>0</v>
      </c>
      <c r="AI33" s="105">
        <f>AI34+AI35</f>
        <v>0</v>
      </c>
      <c r="AJ33" s="105">
        <f t="shared" ref="AJ33" si="211">AJ34+AJ35</f>
        <v>0</v>
      </c>
      <c r="AK33" s="106">
        <f t="shared" ref="AK33" si="212">AK34+AK35</f>
        <v>0</v>
      </c>
      <c r="AL33" s="104">
        <f t="shared" ref="AL33:AL48" si="213">AI33+AJ33+AK33</f>
        <v>0</v>
      </c>
      <c r="AM33" s="104">
        <f t="shared" ref="AM33:AM47" si="214">AH33+AL33</f>
        <v>0</v>
      </c>
      <c r="AN33" s="105">
        <f>AN34+AN35</f>
        <v>0</v>
      </c>
      <c r="AO33" s="105">
        <f t="shared" ref="AO33" si="215">AO34+AO35</f>
        <v>0</v>
      </c>
      <c r="AP33" s="106">
        <f t="shared" ref="AP33" si="216">AP34+AP35</f>
        <v>0</v>
      </c>
      <c r="AQ33" s="104">
        <f t="shared" ref="AQ33:AQ48" si="217">AN33+AO33+AP33</f>
        <v>0</v>
      </c>
      <c r="AR33" s="104">
        <f t="shared" ref="AR33:AR47" si="218">AM33+AQ33</f>
        <v>0</v>
      </c>
      <c r="AS33" s="105">
        <f>AS34+AS35</f>
        <v>0</v>
      </c>
      <c r="AT33" s="105">
        <f t="shared" ref="AT33" si="219">AT34+AT35</f>
        <v>0</v>
      </c>
      <c r="AU33" s="106">
        <f t="shared" ref="AU33" si="220">AU34+AU35</f>
        <v>0</v>
      </c>
      <c r="AV33" s="104">
        <f t="shared" ref="AV33:AV48" si="221">AS33+AT33+AU33</f>
        <v>0</v>
      </c>
      <c r="AW33" s="104">
        <f t="shared" ref="AW33:AW47" si="222">AR33+AV33</f>
        <v>0</v>
      </c>
      <c r="AY33" s="105">
        <f>AY34+AY35</f>
        <v>0</v>
      </c>
      <c r="AZ33" s="105">
        <f t="shared" ref="AZ33" si="223">AZ34+AZ35</f>
        <v>0</v>
      </c>
      <c r="BA33" s="106">
        <f t="shared" ref="BA33" si="224">BA34+BA35</f>
        <v>0</v>
      </c>
      <c r="BB33" s="104">
        <f t="shared" ref="BB33:BB48" si="225">AY33+AZ33+BA33</f>
        <v>0</v>
      </c>
      <c r="BC33" s="105">
        <f>BC34+BC35</f>
        <v>0</v>
      </c>
      <c r="BD33" s="105">
        <f t="shared" ref="BD33" si="226">BD34+BD35</f>
        <v>0</v>
      </c>
      <c r="BE33" s="106">
        <f t="shared" ref="BE33" si="227">BE34+BE35</f>
        <v>0</v>
      </c>
      <c r="BF33" s="104">
        <f t="shared" ref="BF33:BF48" si="228">BC33+BD33+BE33</f>
        <v>0</v>
      </c>
      <c r="BG33" s="104">
        <f t="shared" ref="BG33:BG47" si="229">BB33+BF33</f>
        <v>0</v>
      </c>
      <c r="BH33" s="105">
        <f>BH34+BH35</f>
        <v>0</v>
      </c>
      <c r="BI33" s="105">
        <f t="shared" ref="BI33" si="230">BI34+BI35</f>
        <v>0</v>
      </c>
      <c r="BJ33" s="106">
        <f t="shared" ref="BJ33" si="231">BJ34+BJ35</f>
        <v>0</v>
      </c>
      <c r="BK33" s="104">
        <f t="shared" ref="BK33:BK48" si="232">BH33+BI33+BJ33</f>
        <v>0</v>
      </c>
      <c r="BL33" s="104">
        <f t="shared" ref="BL33:BL47" si="233">BG33+BK33</f>
        <v>0</v>
      </c>
      <c r="BM33" s="105">
        <f>BM34+BM35</f>
        <v>0</v>
      </c>
      <c r="BN33" s="105">
        <f t="shared" ref="BN33" si="234">BN34+BN35</f>
        <v>0</v>
      </c>
      <c r="BO33" s="106">
        <f t="shared" ref="BO33" si="235">BO34+BO35</f>
        <v>0</v>
      </c>
      <c r="BP33" s="104">
        <f t="shared" ref="BP33:BP48" si="236">BM33+BN33+BO33</f>
        <v>0</v>
      </c>
      <c r="BQ33" s="104">
        <f t="shared" ref="BQ33:BQ47" si="237">BL33+BP33</f>
        <v>0</v>
      </c>
      <c r="BS33" s="105">
        <f>BS34+BS35</f>
        <v>0</v>
      </c>
      <c r="BT33" s="105">
        <f t="shared" ref="BT33" si="238">BT34+BT35</f>
        <v>0</v>
      </c>
      <c r="BU33" s="106">
        <f t="shared" ref="BU33" si="239">BU34+BU35</f>
        <v>0</v>
      </c>
      <c r="BV33" s="104">
        <f t="shared" ref="BV33:BV48" si="240">BS33+BT33+BU33</f>
        <v>0</v>
      </c>
      <c r="BW33" s="105">
        <f>BW34+BW35</f>
        <v>0</v>
      </c>
      <c r="BX33" s="105">
        <f t="shared" ref="BX33" si="241">BX34+BX35</f>
        <v>0</v>
      </c>
      <c r="BY33" s="106">
        <f t="shared" ref="BY33" si="242">BY34+BY35</f>
        <v>0</v>
      </c>
      <c r="BZ33" s="104">
        <f t="shared" ref="BZ33:BZ48" si="243">BW33+BX33+BY33</f>
        <v>0</v>
      </c>
      <c r="CA33" s="104">
        <f t="shared" ref="CA33:CA47" si="244">BV33+BZ33</f>
        <v>0</v>
      </c>
      <c r="CB33" s="105">
        <f>CB34+CB35</f>
        <v>0</v>
      </c>
      <c r="CC33" s="105">
        <f t="shared" ref="CC33" si="245">CC34+CC35</f>
        <v>0</v>
      </c>
      <c r="CD33" s="106">
        <f t="shared" ref="CD33" si="246">CD34+CD35</f>
        <v>0</v>
      </c>
      <c r="CE33" s="104">
        <f t="shared" ref="CE33:CE48" si="247">CB33+CC33+CD33</f>
        <v>0</v>
      </c>
      <c r="CF33" s="104">
        <f t="shared" ref="CF33:CF47" si="248">CA33+CE33</f>
        <v>0</v>
      </c>
      <c r="CG33" s="105">
        <f>CG34+CG35</f>
        <v>0</v>
      </c>
      <c r="CH33" s="105">
        <f t="shared" ref="CH33" si="249">CH34+CH35</f>
        <v>0</v>
      </c>
      <c r="CI33" s="106">
        <f t="shared" ref="CI33" si="250">CI34+CI35</f>
        <v>0</v>
      </c>
      <c r="CJ33" s="104">
        <f t="shared" ref="CJ33:CJ48" si="251">CG33+CH33+CI33</f>
        <v>0</v>
      </c>
      <c r="CK33" s="104">
        <f t="shared" ref="CK33:CK47" si="252">CF33+CJ33</f>
        <v>0</v>
      </c>
      <c r="CM33" s="105">
        <f>CM34+CM35</f>
        <v>0</v>
      </c>
      <c r="CN33" s="105">
        <f t="shared" ref="CN33" si="253">CN34+CN35</f>
        <v>0</v>
      </c>
      <c r="CO33" s="106">
        <f t="shared" ref="CO33" si="254">CO34+CO35</f>
        <v>0</v>
      </c>
      <c r="CP33" s="104">
        <f t="shared" ref="CP33:CP48" si="255">CM33+CN33+CO33</f>
        <v>0</v>
      </c>
      <c r="CQ33" s="105">
        <f>CQ34+CQ35</f>
        <v>0</v>
      </c>
      <c r="CR33" s="105">
        <f t="shared" ref="CR33" si="256">CR34+CR35</f>
        <v>0</v>
      </c>
      <c r="CS33" s="106">
        <f t="shared" ref="CS33" si="257">CS34+CS35</f>
        <v>0</v>
      </c>
      <c r="CT33" s="104">
        <f t="shared" ref="CT33:CT48" si="258">CQ33+CR33+CS33</f>
        <v>0</v>
      </c>
      <c r="CU33" s="104">
        <f t="shared" ref="CU33:CU47" si="259">CP33+CT33</f>
        <v>0</v>
      </c>
      <c r="CV33" s="105">
        <f>CV34+CV35</f>
        <v>0</v>
      </c>
      <c r="CW33" s="105">
        <f t="shared" ref="CW33" si="260">CW34+CW35</f>
        <v>0</v>
      </c>
      <c r="CX33" s="106">
        <f t="shared" ref="CX33" si="261">CX34+CX35</f>
        <v>0</v>
      </c>
      <c r="CY33" s="104">
        <f t="shared" ref="CY33:CY48" si="262">CV33+CW33+CX33</f>
        <v>0</v>
      </c>
      <c r="CZ33" s="104">
        <f t="shared" ref="CZ33:CZ47" si="263">CU33+CY33</f>
        <v>0</v>
      </c>
      <c r="DA33" s="105">
        <f>DA34+DA35</f>
        <v>0</v>
      </c>
      <c r="DB33" s="105">
        <f t="shared" ref="DB33" si="264">DB34+DB35</f>
        <v>0</v>
      </c>
      <c r="DC33" s="106">
        <f t="shared" ref="DC33" si="265">DC34+DC35</f>
        <v>0</v>
      </c>
      <c r="DD33" s="104">
        <f t="shared" ref="DD33:DD48" si="266">DA33+DB33+DC33</f>
        <v>0</v>
      </c>
      <c r="DE33" s="104">
        <f t="shared" ref="DE33:DE47" si="267">CZ33+DD33</f>
        <v>0</v>
      </c>
    </row>
    <row r="34" spans="1:109" s="12" customFormat="1" ht="10.199999999999999" x14ac:dyDescent="0.2">
      <c r="E34" s="79"/>
      <c r="F34" s="79"/>
      <c r="G34" s="103" t="s">
        <v>276</v>
      </c>
      <c r="I34" s="108">
        <f t="shared" si="197"/>
        <v>-3150000</v>
      </c>
      <c r="K34" s="85">
        <f>БДР!K31</f>
        <v>0</v>
      </c>
      <c r="L34" s="85">
        <f>БДР!L31</f>
        <v>0</v>
      </c>
      <c r="M34" s="85">
        <f>БДР!M31</f>
        <v>0</v>
      </c>
      <c r="N34" s="88">
        <f t="shared" si="92"/>
        <v>0</v>
      </c>
      <c r="O34" s="85">
        <f>БДР!O31</f>
        <v>0</v>
      </c>
      <c r="P34" s="85">
        <f>БДР!P31</f>
        <v>0</v>
      </c>
      <c r="Q34" s="85">
        <f>БДР!Q31</f>
        <v>0</v>
      </c>
      <c r="R34" s="88">
        <f t="shared" si="201"/>
        <v>0</v>
      </c>
      <c r="S34" s="88">
        <f t="shared" si="94"/>
        <v>0</v>
      </c>
      <c r="T34" s="85">
        <f>БДР!T31</f>
        <v>0</v>
      </c>
      <c r="U34" s="85">
        <f>БДР!U31</f>
        <v>0</v>
      </c>
      <c r="V34" s="85">
        <f>БДР!V31</f>
        <v>-450000</v>
      </c>
      <c r="W34" s="88">
        <f t="shared" si="204"/>
        <v>-450000</v>
      </c>
      <c r="X34" s="88">
        <f t="shared" si="96"/>
        <v>-450000</v>
      </c>
      <c r="Y34" s="85">
        <f>БДР!Y31</f>
        <v>-900000</v>
      </c>
      <c r="Z34" s="85">
        <f>БДР!Z31</f>
        <v>-900000</v>
      </c>
      <c r="AA34" s="85">
        <f>БДР!AA31</f>
        <v>-900000</v>
      </c>
      <c r="AB34" s="88">
        <f t="shared" si="207"/>
        <v>-2700000</v>
      </c>
      <c r="AC34" s="88">
        <f t="shared" si="98"/>
        <v>-3150000</v>
      </c>
      <c r="AE34" s="85">
        <f>БДР!AE31</f>
        <v>0</v>
      </c>
      <c r="AF34" s="85">
        <f>БДР!AF31</f>
        <v>0</v>
      </c>
      <c r="AG34" s="85">
        <f>БДР!AG31</f>
        <v>0</v>
      </c>
      <c r="AH34" s="88">
        <f t="shared" si="210"/>
        <v>0</v>
      </c>
      <c r="AI34" s="85">
        <f>БДР!AI31</f>
        <v>0</v>
      </c>
      <c r="AJ34" s="85">
        <f>БДР!AJ31</f>
        <v>0</v>
      </c>
      <c r="AK34" s="85">
        <f>БДР!AK31</f>
        <v>0</v>
      </c>
      <c r="AL34" s="88">
        <f t="shared" si="213"/>
        <v>0</v>
      </c>
      <c r="AM34" s="88">
        <f t="shared" si="214"/>
        <v>0</v>
      </c>
      <c r="AN34" s="85">
        <f>БДР!AN31</f>
        <v>0</v>
      </c>
      <c r="AO34" s="85">
        <f>БДР!AO31</f>
        <v>0</v>
      </c>
      <c r="AP34" s="85">
        <f>БДР!AP31</f>
        <v>0</v>
      </c>
      <c r="AQ34" s="88">
        <f t="shared" si="217"/>
        <v>0</v>
      </c>
      <c r="AR34" s="88">
        <f t="shared" si="218"/>
        <v>0</v>
      </c>
      <c r="AS34" s="85">
        <f>БДР!AS31</f>
        <v>0</v>
      </c>
      <c r="AT34" s="85">
        <f>БДР!AT31</f>
        <v>0</v>
      </c>
      <c r="AU34" s="85">
        <f>БДР!AU31</f>
        <v>0</v>
      </c>
      <c r="AV34" s="88">
        <f t="shared" si="221"/>
        <v>0</v>
      </c>
      <c r="AW34" s="88">
        <f t="shared" si="222"/>
        <v>0</v>
      </c>
      <c r="AY34" s="85">
        <f>БДР!AY31</f>
        <v>0</v>
      </c>
      <c r="AZ34" s="85">
        <f>БДР!AZ31</f>
        <v>0</v>
      </c>
      <c r="BA34" s="85">
        <f>БДР!BA31</f>
        <v>0</v>
      </c>
      <c r="BB34" s="88">
        <f t="shared" si="225"/>
        <v>0</v>
      </c>
      <c r="BC34" s="85">
        <f>БДР!BC31</f>
        <v>0</v>
      </c>
      <c r="BD34" s="85">
        <f>БДР!BD31</f>
        <v>0</v>
      </c>
      <c r="BE34" s="85">
        <f>БДР!BE31</f>
        <v>0</v>
      </c>
      <c r="BF34" s="88">
        <f t="shared" si="228"/>
        <v>0</v>
      </c>
      <c r="BG34" s="88">
        <f t="shared" si="229"/>
        <v>0</v>
      </c>
      <c r="BH34" s="85">
        <f>БДР!BH31</f>
        <v>0</v>
      </c>
      <c r="BI34" s="85">
        <f>БДР!BI31</f>
        <v>0</v>
      </c>
      <c r="BJ34" s="85">
        <f>БДР!BJ31</f>
        <v>0</v>
      </c>
      <c r="BK34" s="88">
        <f t="shared" si="232"/>
        <v>0</v>
      </c>
      <c r="BL34" s="88">
        <f t="shared" si="233"/>
        <v>0</v>
      </c>
      <c r="BM34" s="85">
        <f>БДР!BM31</f>
        <v>0</v>
      </c>
      <c r="BN34" s="85">
        <f>БДР!BN31</f>
        <v>0</v>
      </c>
      <c r="BO34" s="85">
        <f>БДР!BO31</f>
        <v>0</v>
      </c>
      <c r="BP34" s="88">
        <f t="shared" si="236"/>
        <v>0</v>
      </c>
      <c r="BQ34" s="88">
        <f t="shared" si="237"/>
        <v>0</v>
      </c>
      <c r="BS34" s="85">
        <f>БДР!BS31</f>
        <v>0</v>
      </c>
      <c r="BT34" s="85">
        <f>БДР!BT31</f>
        <v>0</v>
      </c>
      <c r="BU34" s="85">
        <f>БДР!BU31</f>
        <v>0</v>
      </c>
      <c r="BV34" s="88">
        <f t="shared" si="240"/>
        <v>0</v>
      </c>
      <c r="BW34" s="85">
        <f>БДР!BW31</f>
        <v>0</v>
      </c>
      <c r="BX34" s="85">
        <f>БДР!BX31</f>
        <v>0</v>
      </c>
      <c r="BY34" s="85">
        <f>БДР!BY31</f>
        <v>0</v>
      </c>
      <c r="BZ34" s="88">
        <f t="shared" si="243"/>
        <v>0</v>
      </c>
      <c r="CA34" s="88">
        <f t="shared" si="244"/>
        <v>0</v>
      </c>
      <c r="CB34" s="85">
        <f>БДР!CB31</f>
        <v>0</v>
      </c>
      <c r="CC34" s="85">
        <f>БДР!CC31</f>
        <v>0</v>
      </c>
      <c r="CD34" s="85">
        <f>БДР!CD31</f>
        <v>0</v>
      </c>
      <c r="CE34" s="88">
        <f t="shared" si="247"/>
        <v>0</v>
      </c>
      <c r="CF34" s="88">
        <f t="shared" si="248"/>
        <v>0</v>
      </c>
      <c r="CG34" s="85">
        <f>БДР!CG31</f>
        <v>0</v>
      </c>
      <c r="CH34" s="85">
        <f>БДР!CH31</f>
        <v>0</v>
      </c>
      <c r="CI34" s="85">
        <f>БДР!CI31</f>
        <v>0</v>
      </c>
      <c r="CJ34" s="88">
        <f t="shared" si="251"/>
        <v>0</v>
      </c>
      <c r="CK34" s="88">
        <f t="shared" si="252"/>
        <v>0</v>
      </c>
      <c r="CM34" s="85">
        <f>БДР!CM31</f>
        <v>0</v>
      </c>
      <c r="CN34" s="85">
        <f>БДР!CN31</f>
        <v>0</v>
      </c>
      <c r="CO34" s="85">
        <f>БДР!CO31</f>
        <v>0</v>
      </c>
      <c r="CP34" s="88">
        <f t="shared" si="255"/>
        <v>0</v>
      </c>
      <c r="CQ34" s="85">
        <f>БДР!CQ31</f>
        <v>0</v>
      </c>
      <c r="CR34" s="85">
        <f>БДР!CR31</f>
        <v>0</v>
      </c>
      <c r="CS34" s="85">
        <f>БДР!CS31</f>
        <v>0</v>
      </c>
      <c r="CT34" s="88">
        <f t="shared" si="258"/>
        <v>0</v>
      </c>
      <c r="CU34" s="88">
        <f t="shared" si="259"/>
        <v>0</v>
      </c>
      <c r="CV34" s="85">
        <f>БДР!CV31</f>
        <v>0</v>
      </c>
      <c r="CW34" s="85">
        <f>БДР!CW31</f>
        <v>0</v>
      </c>
      <c r="CX34" s="85">
        <f>БДР!CX31</f>
        <v>0</v>
      </c>
      <c r="CY34" s="88">
        <f t="shared" si="262"/>
        <v>0</v>
      </c>
      <c r="CZ34" s="88">
        <f t="shared" si="263"/>
        <v>0</v>
      </c>
      <c r="DA34" s="85">
        <f>БДР!DA31</f>
        <v>0</v>
      </c>
      <c r="DB34" s="85">
        <f>БДР!DB31</f>
        <v>0</v>
      </c>
      <c r="DC34" s="85">
        <f>БДР!DC31</f>
        <v>0</v>
      </c>
      <c r="DD34" s="88">
        <f t="shared" si="266"/>
        <v>0</v>
      </c>
      <c r="DE34" s="88">
        <f t="shared" si="267"/>
        <v>0</v>
      </c>
    </row>
    <row r="35" spans="1:109" s="12" customFormat="1" ht="10.199999999999999" x14ac:dyDescent="0.2">
      <c r="A35" s="11" t="s">
        <v>261</v>
      </c>
      <c r="E35" s="94">
        <v>255190</v>
      </c>
      <c r="F35" s="79"/>
      <c r="G35" s="103" t="s">
        <v>260</v>
      </c>
      <c r="I35" s="88">
        <f t="shared" si="197"/>
        <v>0</v>
      </c>
      <c r="K35" s="85">
        <f>-SUMIFS(ДДС_Расходование!$I:$I,ДДС_Расходование!$D:$D,$A35,ДДС_Расходование!$C:$C,K$3)</f>
        <v>0</v>
      </c>
      <c r="L35" s="85">
        <f>-SUMIFS(ДДС_Расходование!$I:$I,ДДС_Расходование!$D:$D,$A35,ДДС_Расходование!$C:$C,L$3)</f>
        <v>0</v>
      </c>
      <c r="M35" s="86">
        <f>-SUMIFS(ДДС_Расходование!$I:$I,ДДС_Расходование!$D:$D,$A35,ДДС_Расходование!$C:$C,M$3)</f>
        <v>0</v>
      </c>
      <c r="N35" s="88">
        <f t="shared" si="92"/>
        <v>0</v>
      </c>
      <c r="O35" s="85">
        <f>-SUMIFS(ДДС_Расходование!$I:$I,ДДС_Расходование!$D:$D,$A35,ДДС_Расходование!$C:$C,O$3)</f>
        <v>0</v>
      </c>
      <c r="P35" s="85">
        <f>-SUMIFS(ДДС_Расходование!$I:$I,ДДС_Расходование!$D:$D,$A35,ДДС_Расходование!$C:$C,P$3)</f>
        <v>0</v>
      </c>
      <c r="Q35" s="86">
        <f>-SUMIFS(ДДС_Расходование!$I:$I,ДДС_Расходование!$D:$D,$A35,ДДС_Расходование!$C:$C,Q$3)</f>
        <v>0</v>
      </c>
      <c r="R35" s="88">
        <f t="shared" si="201"/>
        <v>0</v>
      </c>
      <c r="S35" s="88">
        <f t="shared" si="94"/>
        <v>0</v>
      </c>
      <c r="T35" s="85">
        <f>-SUMIFS(ДДС_Расходование!$I:$I,ДДС_Расходование!$D:$D,$A35,ДДС_Расходование!$C:$C,T$3)</f>
        <v>0</v>
      </c>
      <c r="U35" s="85">
        <f>-SUMIFS(ДДС_Расходование!$I:$I,ДДС_Расходование!$D:$D,$A35,ДДС_Расходование!$C:$C,U$3)</f>
        <v>0</v>
      </c>
      <c r="V35" s="86">
        <f>-SUMIFS(ДДС_Расходование!$I:$I,ДДС_Расходование!$D:$D,$A35,ДДС_Расходование!$C:$C,V$3)</f>
        <v>0</v>
      </c>
      <c r="W35" s="88">
        <f t="shared" si="204"/>
        <v>0</v>
      </c>
      <c r="X35" s="88">
        <f t="shared" si="96"/>
        <v>0</v>
      </c>
      <c r="Y35" s="85">
        <f>-SUMIFS(ДДС_Расходование!$I:$I,ДДС_Расходование!$D:$D,$A35,ДДС_Расходование!$C:$C,Y$3)</f>
        <v>0</v>
      </c>
      <c r="Z35" s="85">
        <f>-SUMIFS(ДДС_Расходование!$I:$I,ДДС_Расходование!$D:$D,$A35,ДДС_Расходование!$C:$C,Z$3)</f>
        <v>0</v>
      </c>
      <c r="AA35" s="86">
        <f>-SUMIFS(ДДС_Расходование!$I:$I,ДДС_Расходование!$D:$D,$A35,ДДС_Расходование!$C:$C,AA$3)</f>
        <v>0</v>
      </c>
      <c r="AB35" s="88">
        <f t="shared" si="207"/>
        <v>0</v>
      </c>
      <c r="AC35" s="88">
        <f t="shared" si="98"/>
        <v>0</v>
      </c>
      <c r="AE35" s="85">
        <f>-SUMIFS(ДДС_Расходование!$I:$I,ДДС_Расходование!$D:$D,$A35,ДДС_Расходование!$C:$C,AE$3)</f>
        <v>0</v>
      </c>
      <c r="AF35" s="85">
        <f>-SUMIFS(ДДС_Расходование!$I:$I,ДДС_Расходование!$D:$D,$A35,ДДС_Расходование!$C:$C,AF$3)</f>
        <v>0</v>
      </c>
      <c r="AG35" s="86">
        <f>-SUMIFS(ДДС_Расходование!$I:$I,ДДС_Расходование!$D:$D,$A35,ДДС_Расходование!$C:$C,AG$3)</f>
        <v>0</v>
      </c>
      <c r="AH35" s="88">
        <f t="shared" si="210"/>
        <v>0</v>
      </c>
      <c r="AI35" s="85">
        <f>-SUMIFS(ДДС_Расходование!$I:$I,ДДС_Расходование!$D:$D,$A35,ДДС_Расходование!$C:$C,AI$3)</f>
        <v>0</v>
      </c>
      <c r="AJ35" s="85">
        <f>-SUMIFS(ДДС_Расходование!$I:$I,ДДС_Расходование!$D:$D,$A35,ДДС_Расходование!$C:$C,AJ$3)</f>
        <v>0</v>
      </c>
      <c r="AK35" s="86">
        <f>-SUMIFS(ДДС_Расходование!$I:$I,ДДС_Расходование!$D:$D,$A35,ДДС_Расходование!$C:$C,AK$3)</f>
        <v>0</v>
      </c>
      <c r="AL35" s="88">
        <f t="shared" si="213"/>
        <v>0</v>
      </c>
      <c r="AM35" s="88">
        <f t="shared" si="214"/>
        <v>0</v>
      </c>
      <c r="AN35" s="85">
        <f>-SUMIFS(ДДС_Расходование!$I:$I,ДДС_Расходование!$D:$D,$A35,ДДС_Расходование!$C:$C,AN$3)</f>
        <v>0</v>
      </c>
      <c r="AO35" s="85">
        <f>-SUMIFS(ДДС_Расходование!$I:$I,ДДС_Расходование!$D:$D,$A35,ДДС_Расходование!$C:$C,AO$3)</f>
        <v>0</v>
      </c>
      <c r="AP35" s="86">
        <f>-SUMIFS(ДДС_Расходование!$I:$I,ДДС_Расходование!$D:$D,$A35,ДДС_Расходование!$C:$C,AP$3)</f>
        <v>0</v>
      </c>
      <c r="AQ35" s="88">
        <f t="shared" si="217"/>
        <v>0</v>
      </c>
      <c r="AR35" s="88">
        <f t="shared" si="218"/>
        <v>0</v>
      </c>
      <c r="AS35" s="85">
        <f>-SUMIFS(ДДС_Расходование!$I:$I,ДДС_Расходование!$D:$D,$A35,ДДС_Расходование!$C:$C,AS$3)</f>
        <v>0</v>
      </c>
      <c r="AT35" s="85">
        <f>-SUMIFS(ДДС_Расходование!$I:$I,ДДС_Расходование!$D:$D,$A35,ДДС_Расходование!$C:$C,AT$3)</f>
        <v>0</v>
      </c>
      <c r="AU35" s="86">
        <f>-SUMIFS(ДДС_Расходование!$I:$I,ДДС_Расходование!$D:$D,$A35,ДДС_Расходование!$C:$C,AU$3)</f>
        <v>0</v>
      </c>
      <c r="AV35" s="88">
        <f t="shared" si="221"/>
        <v>0</v>
      </c>
      <c r="AW35" s="88">
        <f t="shared" si="222"/>
        <v>0</v>
      </c>
      <c r="AY35" s="85">
        <f>-SUMIFS(ДДС_Расходование!$I:$I,ДДС_Расходование!$D:$D,$A35,ДДС_Расходование!$C:$C,AY$3)</f>
        <v>0</v>
      </c>
      <c r="AZ35" s="85">
        <f>-SUMIFS(ДДС_Расходование!$I:$I,ДДС_Расходование!$D:$D,$A35,ДДС_Расходование!$C:$C,AZ$3)</f>
        <v>0</v>
      </c>
      <c r="BA35" s="86">
        <f>-SUMIFS(ДДС_Расходование!$I:$I,ДДС_Расходование!$D:$D,$A35,ДДС_Расходование!$C:$C,BA$3)</f>
        <v>0</v>
      </c>
      <c r="BB35" s="88">
        <f t="shared" si="225"/>
        <v>0</v>
      </c>
      <c r="BC35" s="85">
        <f>-SUMIFS(ДДС_Расходование!$I:$I,ДДС_Расходование!$D:$D,$A35,ДДС_Расходование!$C:$C,BC$3)</f>
        <v>0</v>
      </c>
      <c r="BD35" s="85">
        <f>-SUMIFS(ДДС_Расходование!$I:$I,ДДС_Расходование!$D:$D,$A35,ДДС_Расходование!$C:$C,BD$3)</f>
        <v>0</v>
      </c>
      <c r="BE35" s="86">
        <f>-SUMIFS(ДДС_Расходование!$I:$I,ДДС_Расходование!$D:$D,$A35,ДДС_Расходование!$C:$C,BE$3)</f>
        <v>0</v>
      </c>
      <c r="BF35" s="88">
        <f t="shared" si="228"/>
        <v>0</v>
      </c>
      <c r="BG35" s="88">
        <f t="shared" si="229"/>
        <v>0</v>
      </c>
      <c r="BH35" s="85">
        <f>-SUMIFS(ДДС_Расходование!$I:$I,ДДС_Расходование!$D:$D,$A35,ДДС_Расходование!$C:$C,BH$3)</f>
        <v>0</v>
      </c>
      <c r="BI35" s="85">
        <f>-SUMIFS(ДДС_Расходование!$I:$I,ДДС_Расходование!$D:$D,$A35,ДДС_Расходование!$C:$C,BI$3)</f>
        <v>0</v>
      </c>
      <c r="BJ35" s="86">
        <f>-SUMIFS(ДДС_Расходование!$I:$I,ДДС_Расходование!$D:$D,$A35,ДДС_Расходование!$C:$C,BJ$3)</f>
        <v>0</v>
      </c>
      <c r="BK35" s="88">
        <f t="shared" si="232"/>
        <v>0</v>
      </c>
      <c r="BL35" s="88">
        <f t="shared" si="233"/>
        <v>0</v>
      </c>
      <c r="BM35" s="85">
        <f>-SUMIFS(ДДС_Расходование!$I:$I,ДДС_Расходование!$D:$D,$A35,ДДС_Расходование!$C:$C,BM$3)</f>
        <v>0</v>
      </c>
      <c r="BN35" s="85">
        <f>-SUMIFS(ДДС_Расходование!$I:$I,ДДС_Расходование!$D:$D,$A35,ДДС_Расходование!$C:$C,BN$3)</f>
        <v>0</v>
      </c>
      <c r="BO35" s="86">
        <f>-SUMIFS(ДДС_Расходование!$I:$I,ДДС_Расходование!$D:$D,$A35,ДДС_Расходование!$C:$C,BO$3)</f>
        <v>0</v>
      </c>
      <c r="BP35" s="88">
        <f t="shared" si="236"/>
        <v>0</v>
      </c>
      <c r="BQ35" s="88">
        <f t="shared" si="237"/>
        <v>0</v>
      </c>
      <c r="BS35" s="85">
        <f>-SUMIFS(ДДС_Расходование!$I:$I,ДДС_Расходование!$D:$D,$A35,ДДС_Расходование!$C:$C,BS$3)</f>
        <v>0</v>
      </c>
      <c r="BT35" s="85">
        <f>-SUMIFS(ДДС_Расходование!$I:$I,ДДС_Расходование!$D:$D,$A35,ДДС_Расходование!$C:$C,BT$3)</f>
        <v>0</v>
      </c>
      <c r="BU35" s="86">
        <f>-SUMIFS(ДДС_Расходование!$I:$I,ДДС_Расходование!$D:$D,$A35,ДДС_Расходование!$C:$C,BU$3)</f>
        <v>0</v>
      </c>
      <c r="BV35" s="88">
        <f t="shared" si="240"/>
        <v>0</v>
      </c>
      <c r="BW35" s="85">
        <f>-SUMIFS(ДДС_Расходование!$I:$I,ДДС_Расходование!$D:$D,$A35,ДДС_Расходование!$C:$C,BW$3)</f>
        <v>0</v>
      </c>
      <c r="BX35" s="85">
        <f>-SUMIFS(ДДС_Расходование!$I:$I,ДДС_Расходование!$D:$D,$A35,ДДС_Расходование!$C:$C,BX$3)</f>
        <v>0</v>
      </c>
      <c r="BY35" s="86">
        <f>-SUMIFS(ДДС_Расходование!$I:$I,ДДС_Расходование!$D:$D,$A35,ДДС_Расходование!$C:$C,BY$3)</f>
        <v>0</v>
      </c>
      <c r="BZ35" s="88">
        <f t="shared" si="243"/>
        <v>0</v>
      </c>
      <c r="CA35" s="88">
        <f t="shared" si="244"/>
        <v>0</v>
      </c>
      <c r="CB35" s="85">
        <f>-SUMIFS(ДДС_Расходование!$I:$I,ДДС_Расходование!$D:$D,$A35,ДДС_Расходование!$C:$C,CB$3)</f>
        <v>0</v>
      </c>
      <c r="CC35" s="85">
        <f>-SUMIFS(ДДС_Расходование!$I:$I,ДДС_Расходование!$D:$D,$A35,ДДС_Расходование!$C:$C,CC$3)</f>
        <v>0</v>
      </c>
      <c r="CD35" s="86">
        <f>-SUMIFS(ДДС_Расходование!$I:$I,ДДС_Расходование!$D:$D,$A35,ДДС_Расходование!$C:$C,CD$3)</f>
        <v>0</v>
      </c>
      <c r="CE35" s="88">
        <f t="shared" si="247"/>
        <v>0</v>
      </c>
      <c r="CF35" s="88">
        <f t="shared" si="248"/>
        <v>0</v>
      </c>
      <c r="CG35" s="85">
        <f>-SUMIFS(ДДС_Расходование!$I:$I,ДДС_Расходование!$D:$D,$A35,ДДС_Расходование!$C:$C,CG$3)</f>
        <v>0</v>
      </c>
      <c r="CH35" s="85">
        <f>-SUMIFS(ДДС_Расходование!$I:$I,ДДС_Расходование!$D:$D,$A35,ДДС_Расходование!$C:$C,CH$3)</f>
        <v>0</v>
      </c>
      <c r="CI35" s="86">
        <f>-SUMIFS(ДДС_Расходование!$I:$I,ДДС_Расходование!$D:$D,$A35,ДДС_Расходование!$C:$C,CI$3)</f>
        <v>0</v>
      </c>
      <c r="CJ35" s="88">
        <f t="shared" si="251"/>
        <v>0</v>
      </c>
      <c r="CK35" s="88">
        <f t="shared" si="252"/>
        <v>0</v>
      </c>
      <c r="CM35" s="85">
        <f>-SUMIFS(ДДС_Расходование!$I:$I,ДДС_Расходование!$D:$D,$A35,ДДС_Расходование!$C:$C,CM$3)</f>
        <v>0</v>
      </c>
      <c r="CN35" s="85">
        <f>-SUMIFS(ДДС_Расходование!$I:$I,ДДС_Расходование!$D:$D,$A35,ДДС_Расходование!$C:$C,CN$3)</f>
        <v>0</v>
      </c>
      <c r="CO35" s="86">
        <f>-SUMIFS(ДДС_Расходование!$I:$I,ДДС_Расходование!$D:$D,$A35,ДДС_Расходование!$C:$C,CO$3)</f>
        <v>0</v>
      </c>
      <c r="CP35" s="88">
        <f t="shared" si="255"/>
        <v>0</v>
      </c>
      <c r="CQ35" s="85">
        <f>-SUMIFS(ДДС_Расходование!$I:$I,ДДС_Расходование!$D:$D,$A35,ДДС_Расходование!$C:$C,CQ$3)</f>
        <v>0</v>
      </c>
      <c r="CR35" s="85">
        <f>-SUMIFS(ДДС_Расходование!$I:$I,ДДС_Расходование!$D:$D,$A35,ДДС_Расходование!$C:$C,CR$3)</f>
        <v>0</v>
      </c>
      <c r="CS35" s="86">
        <f>-SUMIFS(ДДС_Расходование!$I:$I,ДДС_Расходование!$D:$D,$A35,ДДС_Расходование!$C:$C,CS$3)</f>
        <v>0</v>
      </c>
      <c r="CT35" s="88">
        <f t="shared" si="258"/>
        <v>0</v>
      </c>
      <c r="CU35" s="88">
        <f t="shared" si="259"/>
        <v>0</v>
      </c>
      <c r="CV35" s="85">
        <f>-SUMIFS(ДДС_Расходование!$I:$I,ДДС_Расходование!$D:$D,$A35,ДДС_Расходование!$C:$C,CV$3)</f>
        <v>0</v>
      </c>
      <c r="CW35" s="85">
        <f>-SUMIFS(ДДС_Расходование!$I:$I,ДДС_Расходование!$D:$D,$A35,ДДС_Расходование!$C:$C,CW$3)</f>
        <v>0</v>
      </c>
      <c r="CX35" s="86">
        <f>-SUMIFS(ДДС_Расходование!$I:$I,ДДС_Расходование!$D:$D,$A35,ДДС_Расходование!$C:$C,CX$3)</f>
        <v>0</v>
      </c>
      <c r="CY35" s="88">
        <f t="shared" si="262"/>
        <v>0</v>
      </c>
      <c r="CZ35" s="88">
        <f t="shared" si="263"/>
        <v>0</v>
      </c>
      <c r="DA35" s="85">
        <f>-SUMIFS(ДДС_Расходование!$I:$I,ДДС_Расходование!$D:$D,$A35,ДДС_Расходование!$C:$C,DA$3)</f>
        <v>0</v>
      </c>
      <c r="DB35" s="85">
        <f>-SUMIFS(ДДС_Расходование!$I:$I,ДДС_Расходование!$D:$D,$A35,ДДС_Расходование!$C:$C,DB$3)</f>
        <v>0</v>
      </c>
      <c r="DC35" s="86">
        <f>-SUMIFS(ДДС_Расходование!$I:$I,ДДС_Расходование!$D:$D,$A35,ДДС_Расходование!$C:$C,DC$3)</f>
        <v>0</v>
      </c>
      <c r="DD35" s="88">
        <f t="shared" si="266"/>
        <v>0</v>
      </c>
      <c r="DE35" s="88">
        <f t="shared" si="267"/>
        <v>0</v>
      </c>
    </row>
    <row r="36" spans="1:109" s="12" customFormat="1" ht="10.199999999999999" x14ac:dyDescent="0.2">
      <c r="A36" s="11"/>
      <c r="E36" s="107"/>
      <c r="F36" s="101"/>
      <c r="G36" s="101" t="s">
        <v>290</v>
      </c>
      <c r="I36" s="109">
        <f t="shared" si="197"/>
        <v>0</v>
      </c>
      <c r="K36" s="105">
        <f>K37+K39</f>
        <v>0</v>
      </c>
      <c r="L36" s="105">
        <f t="shared" ref="L36:M36" si="268">L37+L39</f>
        <v>0</v>
      </c>
      <c r="M36" s="106">
        <f t="shared" si="268"/>
        <v>0</v>
      </c>
      <c r="N36" s="110">
        <f t="shared" si="92"/>
        <v>0</v>
      </c>
      <c r="O36" s="105">
        <f>O37+O39</f>
        <v>0</v>
      </c>
      <c r="P36" s="105">
        <f t="shared" ref="P36" si="269">P37+P39</f>
        <v>0</v>
      </c>
      <c r="Q36" s="106">
        <f t="shared" ref="Q36" si="270">Q37+Q39</f>
        <v>0</v>
      </c>
      <c r="R36" s="110">
        <f t="shared" si="201"/>
        <v>0</v>
      </c>
      <c r="S36" s="110">
        <f t="shared" si="94"/>
        <v>0</v>
      </c>
      <c r="T36" s="105">
        <f>T37+T39</f>
        <v>0</v>
      </c>
      <c r="U36" s="105">
        <f t="shared" ref="U36" si="271">U37+U39</f>
        <v>0</v>
      </c>
      <c r="V36" s="106">
        <f t="shared" ref="V36" si="272">V37+V39</f>
        <v>0</v>
      </c>
      <c r="W36" s="110">
        <f t="shared" si="204"/>
        <v>0</v>
      </c>
      <c r="X36" s="110">
        <f t="shared" si="96"/>
        <v>0</v>
      </c>
      <c r="Y36" s="105">
        <f>Y37+Y39</f>
        <v>0</v>
      </c>
      <c r="Z36" s="105">
        <f t="shared" ref="Z36" si="273">Z37+Z39</f>
        <v>0</v>
      </c>
      <c r="AA36" s="106">
        <f t="shared" ref="AA36" si="274">AA37+AA39</f>
        <v>0</v>
      </c>
      <c r="AB36" s="110">
        <f t="shared" si="207"/>
        <v>0</v>
      </c>
      <c r="AC36" s="110">
        <f t="shared" si="98"/>
        <v>0</v>
      </c>
      <c r="AE36" s="105">
        <f>AE37+AE39</f>
        <v>0</v>
      </c>
      <c r="AF36" s="105">
        <f t="shared" ref="AF36" si="275">AF37+AF39</f>
        <v>0</v>
      </c>
      <c r="AG36" s="106">
        <f t="shared" ref="AG36" si="276">AG37+AG39</f>
        <v>0</v>
      </c>
      <c r="AH36" s="110">
        <f t="shared" si="210"/>
        <v>0</v>
      </c>
      <c r="AI36" s="105">
        <f>AI37+AI39</f>
        <v>0</v>
      </c>
      <c r="AJ36" s="105">
        <f t="shared" ref="AJ36" si="277">AJ37+AJ39</f>
        <v>0</v>
      </c>
      <c r="AK36" s="106">
        <f t="shared" ref="AK36" si="278">AK37+AK39</f>
        <v>0</v>
      </c>
      <c r="AL36" s="110">
        <f t="shared" si="213"/>
        <v>0</v>
      </c>
      <c r="AM36" s="110">
        <f t="shared" si="214"/>
        <v>0</v>
      </c>
      <c r="AN36" s="105">
        <f>AN37+AN39</f>
        <v>0</v>
      </c>
      <c r="AO36" s="105">
        <f t="shared" ref="AO36" si="279">AO37+AO39</f>
        <v>0</v>
      </c>
      <c r="AP36" s="106">
        <f t="shared" ref="AP36" si="280">AP37+AP39</f>
        <v>0</v>
      </c>
      <c r="AQ36" s="110">
        <f t="shared" si="217"/>
        <v>0</v>
      </c>
      <c r="AR36" s="110">
        <f t="shared" si="218"/>
        <v>0</v>
      </c>
      <c r="AS36" s="105">
        <f>AS37+AS39</f>
        <v>0</v>
      </c>
      <c r="AT36" s="105">
        <f t="shared" ref="AT36" si="281">AT37+AT39</f>
        <v>0</v>
      </c>
      <c r="AU36" s="106">
        <f t="shared" ref="AU36" si="282">AU37+AU39</f>
        <v>0</v>
      </c>
      <c r="AV36" s="110">
        <f t="shared" si="221"/>
        <v>0</v>
      </c>
      <c r="AW36" s="110">
        <f t="shared" si="222"/>
        <v>0</v>
      </c>
      <c r="AY36" s="105">
        <f>AY37+AY39</f>
        <v>0</v>
      </c>
      <c r="AZ36" s="105">
        <f t="shared" ref="AZ36" si="283">AZ37+AZ39</f>
        <v>0</v>
      </c>
      <c r="BA36" s="106">
        <f t="shared" ref="BA36" si="284">BA37+BA39</f>
        <v>0</v>
      </c>
      <c r="BB36" s="110">
        <f t="shared" si="225"/>
        <v>0</v>
      </c>
      <c r="BC36" s="105">
        <f>BC37+BC39</f>
        <v>0</v>
      </c>
      <c r="BD36" s="105">
        <f t="shared" ref="BD36" si="285">BD37+BD39</f>
        <v>0</v>
      </c>
      <c r="BE36" s="106">
        <f t="shared" ref="BE36" si="286">BE37+BE39</f>
        <v>0</v>
      </c>
      <c r="BF36" s="110">
        <f t="shared" si="228"/>
        <v>0</v>
      </c>
      <c r="BG36" s="110">
        <f t="shared" si="229"/>
        <v>0</v>
      </c>
      <c r="BH36" s="105">
        <f>BH37+BH39</f>
        <v>0</v>
      </c>
      <c r="BI36" s="105">
        <f t="shared" ref="BI36" si="287">BI37+BI39</f>
        <v>0</v>
      </c>
      <c r="BJ36" s="106">
        <f t="shared" ref="BJ36" si="288">BJ37+BJ39</f>
        <v>0</v>
      </c>
      <c r="BK36" s="110">
        <f t="shared" si="232"/>
        <v>0</v>
      </c>
      <c r="BL36" s="110">
        <f t="shared" si="233"/>
        <v>0</v>
      </c>
      <c r="BM36" s="105">
        <f>BM37+BM39</f>
        <v>0</v>
      </c>
      <c r="BN36" s="105">
        <f t="shared" ref="BN36" si="289">BN37+BN39</f>
        <v>0</v>
      </c>
      <c r="BO36" s="106">
        <f t="shared" ref="BO36" si="290">BO37+BO39</f>
        <v>0</v>
      </c>
      <c r="BP36" s="110">
        <f t="shared" si="236"/>
        <v>0</v>
      </c>
      <c r="BQ36" s="110">
        <f t="shared" si="237"/>
        <v>0</v>
      </c>
      <c r="BS36" s="105">
        <f>BS37+BS39</f>
        <v>0</v>
      </c>
      <c r="BT36" s="105">
        <f t="shared" ref="BT36" si="291">BT37+BT39</f>
        <v>0</v>
      </c>
      <c r="BU36" s="106">
        <f t="shared" ref="BU36" si="292">BU37+BU39</f>
        <v>0</v>
      </c>
      <c r="BV36" s="110">
        <f t="shared" si="240"/>
        <v>0</v>
      </c>
      <c r="BW36" s="105">
        <f>BW37+BW39</f>
        <v>0</v>
      </c>
      <c r="BX36" s="105">
        <f t="shared" ref="BX36" si="293">BX37+BX39</f>
        <v>0</v>
      </c>
      <c r="BY36" s="106">
        <f t="shared" ref="BY36" si="294">BY37+BY39</f>
        <v>0</v>
      </c>
      <c r="BZ36" s="110">
        <f t="shared" si="243"/>
        <v>0</v>
      </c>
      <c r="CA36" s="110">
        <f t="shared" si="244"/>
        <v>0</v>
      </c>
      <c r="CB36" s="105">
        <f>CB37+CB39</f>
        <v>0</v>
      </c>
      <c r="CC36" s="105">
        <f t="shared" ref="CC36" si="295">CC37+CC39</f>
        <v>0</v>
      </c>
      <c r="CD36" s="106">
        <f t="shared" ref="CD36" si="296">CD37+CD39</f>
        <v>0</v>
      </c>
      <c r="CE36" s="110">
        <f t="shared" si="247"/>
        <v>0</v>
      </c>
      <c r="CF36" s="110">
        <f t="shared" si="248"/>
        <v>0</v>
      </c>
      <c r="CG36" s="105">
        <f>CG37+CG39</f>
        <v>0</v>
      </c>
      <c r="CH36" s="105">
        <f t="shared" ref="CH36" si="297">CH37+CH39</f>
        <v>0</v>
      </c>
      <c r="CI36" s="106">
        <f t="shared" ref="CI36" si="298">CI37+CI39</f>
        <v>0</v>
      </c>
      <c r="CJ36" s="110">
        <f t="shared" si="251"/>
        <v>0</v>
      </c>
      <c r="CK36" s="110">
        <f t="shared" si="252"/>
        <v>0</v>
      </c>
      <c r="CM36" s="105">
        <f>CM37+CM39</f>
        <v>0</v>
      </c>
      <c r="CN36" s="105">
        <f t="shared" ref="CN36" si="299">CN37+CN39</f>
        <v>0</v>
      </c>
      <c r="CO36" s="106">
        <f t="shared" ref="CO36" si="300">CO37+CO39</f>
        <v>0</v>
      </c>
      <c r="CP36" s="110">
        <f t="shared" si="255"/>
        <v>0</v>
      </c>
      <c r="CQ36" s="105">
        <f>CQ37+CQ39</f>
        <v>0</v>
      </c>
      <c r="CR36" s="105">
        <f t="shared" ref="CR36" si="301">CR37+CR39</f>
        <v>0</v>
      </c>
      <c r="CS36" s="106">
        <f t="shared" ref="CS36" si="302">CS37+CS39</f>
        <v>0</v>
      </c>
      <c r="CT36" s="110">
        <f t="shared" si="258"/>
        <v>0</v>
      </c>
      <c r="CU36" s="110">
        <f t="shared" si="259"/>
        <v>0</v>
      </c>
      <c r="CV36" s="105">
        <f>CV37+CV39</f>
        <v>0</v>
      </c>
      <c r="CW36" s="105">
        <f t="shared" ref="CW36" si="303">CW37+CW39</f>
        <v>0</v>
      </c>
      <c r="CX36" s="106">
        <f t="shared" ref="CX36" si="304">CX37+CX39</f>
        <v>0</v>
      </c>
      <c r="CY36" s="110">
        <f t="shared" si="262"/>
        <v>0</v>
      </c>
      <c r="CZ36" s="110">
        <f t="shared" si="263"/>
        <v>0</v>
      </c>
      <c r="DA36" s="105">
        <f>DA37+DA39</f>
        <v>0</v>
      </c>
      <c r="DB36" s="105">
        <f t="shared" ref="DB36" si="305">DB37+DB39</f>
        <v>0</v>
      </c>
      <c r="DC36" s="106">
        <f t="shared" ref="DC36" si="306">DC37+DC39</f>
        <v>0</v>
      </c>
      <c r="DD36" s="110">
        <f t="shared" si="266"/>
        <v>0</v>
      </c>
      <c r="DE36" s="110">
        <f t="shared" si="267"/>
        <v>0</v>
      </c>
    </row>
    <row r="37" spans="1:109" s="12" customFormat="1" ht="10.199999999999999" x14ac:dyDescent="0.2">
      <c r="A37" s="11"/>
      <c r="E37" s="94"/>
      <c r="F37" s="79"/>
      <c r="G37" s="103" t="s">
        <v>291</v>
      </c>
      <c r="I37" s="88">
        <f t="shared" si="197"/>
        <v>0</v>
      </c>
      <c r="K37" s="85">
        <f>K38</f>
        <v>0</v>
      </c>
      <c r="L37" s="85">
        <f t="shared" ref="L37:M37" si="307">L38</f>
        <v>0</v>
      </c>
      <c r="M37" s="86">
        <f t="shared" si="307"/>
        <v>0</v>
      </c>
      <c r="N37" s="88">
        <f t="shared" si="92"/>
        <v>0</v>
      </c>
      <c r="O37" s="85">
        <f>O38</f>
        <v>0</v>
      </c>
      <c r="P37" s="85">
        <f t="shared" ref="P37" si="308">P38</f>
        <v>0</v>
      </c>
      <c r="Q37" s="86">
        <f t="shared" ref="Q37" si="309">Q38</f>
        <v>0</v>
      </c>
      <c r="R37" s="88">
        <f t="shared" si="201"/>
        <v>0</v>
      </c>
      <c r="S37" s="88">
        <f t="shared" si="94"/>
        <v>0</v>
      </c>
      <c r="T37" s="85">
        <f>T38</f>
        <v>0</v>
      </c>
      <c r="U37" s="85">
        <f t="shared" ref="U37" si="310">U38</f>
        <v>0</v>
      </c>
      <c r="V37" s="86">
        <f t="shared" ref="V37" si="311">V38</f>
        <v>0</v>
      </c>
      <c r="W37" s="88">
        <f t="shared" si="204"/>
        <v>0</v>
      </c>
      <c r="X37" s="88">
        <f t="shared" si="96"/>
        <v>0</v>
      </c>
      <c r="Y37" s="85">
        <f>Y38</f>
        <v>0</v>
      </c>
      <c r="Z37" s="85">
        <f t="shared" ref="Z37" si="312">Z38</f>
        <v>0</v>
      </c>
      <c r="AA37" s="86">
        <f t="shared" ref="AA37" si="313">AA38</f>
        <v>0</v>
      </c>
      <c r="AB37" s="88">
        <f t="shared" si="207"/>
        <v>0</v>
      </c>
      <c r="AC37" s="88">
        <f t="shared" si="98"/>
        <v>0</v>
      </c>
      <c r="AE37" s="85">
        <f>AE38</f>
        <v>0</v>
      </c>
      <c r="AF37" s="85">
        <f t="shared" ref="AF37" si="314">AF38</f>
        <v>0</v>
      </c>
      <c r="AG37" s="86">
        <f t="shared" ref="AG37" si="315">AG38</f>
        <v>0</v>
      </c>
      <c r="AH37" s="88">
        <f t="shared" si="210"/>
        <v>0</v>
      </c>
      <c r="AI37" s="85">
        <f>AI38</f>
        <v>0</v>
      </c>
      <c r="AJ37" s="85">
        <f t="shared" ref="AJ37" si="316">AJ38</f>
        <v>0</v>
      </c>
      <c r="AK37" s="86">
        <f t="shared" ref="AK37" si="317">AK38</f>
        <v>0</v>
      </c>
      <c r="AL37" s="88">
        <f t="shared" si="213"/>
        <v>0</v>
      </c>
      <c r="AM37" s="88">
        <f t="shared" si="214"/>
        <v>0</v>
      </c>
      <c r="AN37" s="85">
        <f>AN38</f>
        <v>0</v>
      </c>
      <c r="AO37" s="85">
        <f t="shared" ref="AO37" si="318">AO38</f>
        <v>0</v>
      </c>
      <c r="AP37" s="86">
        <f t="shared" ref="AP37" si="319">AP38</f>
        <v>0</v>
      </c>
      <c r="AQ37" s="88">
        <f t="shared" si="217"/>
        <v>0</v>
      </c>
      <c r="AR37" s="88">
        <f t="shared" si="218"/>
        <v>0</v>
      </c>
      <c r="AS37" s="85">
        <f>AS38</f>
        <v>0</v>
      </c>
      <c r="AT37" s="85">
        <f t="shared" ref="AT37" si="320">AT38</f>
        <v>0</v>
      </c>
      <c r="AU37" s="86">
        <f t="shared" ref="AU37" si="321">AU38</f>
        <v>0</v>
      </c>
      <c r="AV37" s="88">
        <f t="shared" si="221"/>
        <v>0</v>
      </c>
      <c r="AW37" s="88">
        <f t="shared" si="222"/>
        <v>0</v>
      </c>
      <c r="AY37" s="85">
        <f>AY38</f>
        <v>0</v>
      </c>
      <c r="AZ37" s="85">
        <f t="shared" ref="AZ37" si="322">AZ38</f>
        <v>0</v>
      </c>
      <c r="BA37" s="86">
        <f t="shared" ref="BA37" si="323">BA38</f>
        <v>0</v>
      </c>
      <c r="BB37" s="88">
        <f t="shared" si="225"/>
        <v>0</v>
      </c>
      <c r="BC37" s="85">
        <f>BC38</f>
        <v>0</v>
      </c>
      <c r="BD37" s="85">
        <f t="shared" ref="BD37" si="324">BD38</f>
        <v>0</v>
      </c>
      <c r="BE37" s="86">
        <f t="shared" ref="BE37" si="325">BE38</f>
        <v>0</v>
      </c>
      <c r="BF37" s="88">
        <f t="shared" si="228"/>
        <v>0</v>
      </c>
      <c r="BG37" s="88">
        <f t="shared" si="229"/>
        <v>0</v>
      </c>
      <c r="BH37" s="85">
        <f>BH38</f>
        <v>0</v>
      </c>
      <c r="BI37" s="85">
        <f t="shared" ref="BI37" si="326">BI38</f>
        <v>0</v>
      </c>
      <c r="BJ37" s="86">
        <f t="shared" ref="BJ37" si="327">BJ38</f>
        <v>0</v>
      </c>
      <c r="BK37" s="88">
        <f t="shared" si="232"/>
        <v>0</v>
      </c>
      <c r="BL37" s="88">
        <f t="shared" si="233"/>
        <v>0</v>
      </c>
      <c r="BM37" s="85">
        <f>BM38</f>
        <v>0</v>
      </c>
      <c r="BN37" s="85">
        <f t="shared" ref="BN37" si="328">BN38</f>
        <v>0</v>
      </c>
      <c r="BO37" s="86">
        <f t="shared" ref="BO37" si="329">BO38</f>
        <v>0</v>
      </c>
      <c r="BP37" s="88">
        <f t="shared" si="236"/>
        <v>0</v>
      </c>
      <c r="BQ37" s="88">
        <f t="shared" si="237"/>
        <v>0</v>
      </c>
      <c r="BS37" s="85">
        <f>BS38</f>
        <v>0</v>
      </c>
      <c r="BT37" s="85">
        <f t="shared" ref="BT37" si="330">BT38</f>
        <v>0</v>
      </c>
      <c r="BU37" s="86">
        <f t="shared" ref="BU37" si="331">BU38</f>
        <v>0</v>
      </c>
      <c r="BV37" s="88">
        <f t="shared" si="240"/>
        <v>0</v>
      </c>
      <c r="BW37" s="85">
        <f>BW38</f>
        <v>0</v>
      </c>
      <c r="BX37" s="85">
        <f t="shared" ref="BX37" si="332">BX38</f>
        <v>0</v>
      </c>
      <c r="BY37" s="86">
        <f t="shared" ref="BY37" si="333">BY38</f>
        <v>0</v>
      </c>
      <c r="BZ37" s="88">
        <f t="shared" si="243"/>
        <v>0</v>
      </c>
      <c r="CA37" s="88">
        <f t="shared" si="244"/>
        <v>0</v>
      </c>
      <c r="CB37" s="85">
        <f>CB38</f>
        <v>0</v>
      </c>
      <c r="CC37" s="85">
        <f t="shared" ref="CC37" si="334">CC38</f>
        <v>0</v>
      </c>
      <c r="CD37" s="86">
        <f t="shared" ref="CD37" si="335">CD38</f>
        <v>0</v>
      </c>
      <c r="CE37" s="88">
        <f t="shared" si="247"/>
        <v>0</v>
      </c>
      <c r="CF37" s="88">
        <f t="shared" si="248"/>
        <v>0</v>
      </c>
      <c r="CG37" s="85">
        <f>CG38</f>
        <v>0</v>
      </c>
      <c r="CH37" s="85">
        <f t="shared" ref="CH37" si="336">CH38</f>
        <v>0</v>
      </c>
      <c r="CI37" s="86">
        <f t="shared" ref="CI37" si="337">CI38</f>
        <v>0</v>
      </c>
      <c r="CJ37" s="88">
        <f t="shared" si="251"/>
        <v>0</v>
      </c>
      <c r="CK37" s="88">
        <f t="shared" si="252"/>
        <v>0</v>
      </c>
      <c r="CM37" s="85">
        <f>CM38</f>
        <v>0</v>
      </c>
      <c r="CN37" s="85">
        <f t="shared" ref="CN37" si="338">CN38</f>
        <v>0</v>
      </c>
      <c r="CO37" s="86">
        <f t="shared" ref="CO37" si="339">CO38</f>
        <v>0</v>
      </c>
      <c r="CP37" s="88">
        <f t="shared" si="255"/>
        <v>0</v>
      </c>
      <c r="CQ37" s="85">
        <f>CQ38</f>
        <v>0</v>
      </c>
      <c r="CR37" s="85">
        <f t="shared" ref="CR37" si="340">CR38</f>
        <v>0</v>
      </c>
      <c r="CS37" s="86">
        <f t="shared" ref="CS37" si="341">CS38</f>
        <v>0</v>
      </c>
      <c r="CT37" s="88">
        <f t="shared" si="258"/>
        <v>0</v>
      </c>
      <c r="CU37" s="88">
        <f t="shared" si="259"/>
        <v>0</v>
      </c>
      <c r="CV37" s="85">
        <f>CV38</f>
        <v>0</v>
      </c>
      <c r="CW37" s="85">
        <f t="shared" ref="CW37" si="342">CW38</f>
        <v>0</v>
      </c>
      <c r="CX37" s="86">
        <f t="shared" ref="CX37" si="343">CX38</f>
        <v>0</v>
      </c>
      <c r="CY37" s="88">
        <f t="shared" si="262"/>
        <v>0</v>
      </c>
      <c r="CZ37" s="88">
        <f t="shared" si="263"/>
        <v>0</v>
      </c>
      <c r="DA37" s="85">
        <f>DA38</f>
        <v>0</v>
      </c>
      <c r="DB37" s="85">
        <f t="shared" ref="DB37" si="344">DB38</f>
        <v>0</v>
      </c>
      <c r="DC37" s="86">
        <f t="shared" ref="DC37" si="345">DC38</f>
        <v>0</v>
      </c>
      <c r="DD37" s="88">
        <f t="shared" si="266"/>
        <v>0</v>
      </c>
      <c r="DE37" s="88">
        <f t="shared" si="267"/>
        <v>0</v>
      </c>
    </row>
    <row r="38" spans="1:109" s="12" customFormat="1" ht="10.199999999999999" x14ac:dyDescent="0.2">
      <c r="A38" s="11" t="s">
        <v>282</v>
      </c>
      <c r="B38" s="11"/>
      <c r="E38" s="20">
        <v>801192</v>
      </c>
      <c r="F38" s="21"/>
      <c r="G38" s="97" t="s">
        <v>287</v>
      </c>
      <c r="I38" s="41">
        <f t="shared" si="197"/>
        <v>0</v>
      </c>
      <c r="K38" s="23">
        <f>SUMIFS(ДДС_Поступление!$I:$I,ДДС_Поступление!$D:$D,$A38,ДДС_Поступление!$C:$C,K$3)</f>
        <v>0</v>
      </c>
      <c r="L38" s="23">
        <f>SUMIFS(ДДС_Поступление!$I:$I,ДДС_Поступление!$D:$D,$A38,ДДС_Поступление!$C:$C,L$3)</f>
        <v>0</v>
      </c>
      <c r="M38" s="23">
        <f>SUMIFS(ДДС_Поступление!$I:$I,ДДС_Поступление!$D:$D,$A38,ДДС_Поступление!$C:$C,M$3)</f>
        <v>0</v>
      </c>
      <c r="N38" s="41">
        <f t="shared" si="92"/>
        <v>0</v>
      </c>
      <c r="O38" s="23">
        <f>SUMIFS(ДДС_Поступление!$I:$I,ДДС_Поступление!$D:$D,$A38,ДДС_Поступление!$C:$C,O$3)</f>
        <v>0</v>
      </c>
      <c r="P38" s="23">
        <f>SUMIFS(ДДС_Поступление!$I:$I,ДДС_Поступление!$D:$D,$A38,ДДС_Поступление!$C:$C,P$3)</f>
        <v>0</v>
      </c>
      <c r="Q38" s="23">
        <f>SUMIFS(ДДС_Поступление!$I:$I,ДДС_Поступление!$D:$D,$A38,ДДС_Поступление!$C:$C,Q$3)</f>
        <v>0</v>
      </c>
      <c r="R38" s="41">
        <f t="shared" si="201"/>
        <v>0</v>
      </c>
      <c r="S38" s="41">
        <f t="shared" si="94"/>
        <v>0</v>
      </c>
      <c r="T38" s="23">
        <f>SUMIFS(ДДС_Поступление!$I:$I,ДДС_Поступление!$D:$D,$A38,ДДС_Поступление!$C:$C,T$3)</f>
        <v>0</v>
      </c>
      <c r="U38" s="23">
        <f>SUMIFS(ДДС_Поступление!$I:$I,ДДС_Поступление!$D:$D,$A38,ДДС_Поступление!$C:$C,U$3)</f>
        <v>0</v>
      </c>
      <c r="V38" s="23">
        <f>SUMIFS(ДДС_Поступление!$I:$I,ДДС_Поступление!$D:$D,$A38,ДДС_Поступление!$C:$C,V$3)</f>
        <v>0</v>
      </c>
      <c r="W38" s="41">
        <f t="shared" si="204"/>
        <v>0</v>
      </c>
      <c r="X38" s="41">
        <f t="shared" si="96"/>
        <v>0</v>
      </c>
      <c r="Y38" s="23">
        <f>SUMIFS(ДДС_Поступление!$I:$I,ДДС_Поступление!$D:$D,$A38,ДДС_Поступление!$C:$C,Y$3)</f>
        <v>0</v>
      </c>
      <c r="Z38" s="23">
        <f>SUMIFS(ДДС_Поступление!$I:$I,ДДС_Поступление!$D:$D,$A38,ДДС_Поступление!$C:$C,Z$3)</f>
        <v>0</v>
      </c>
      <c r="AA38" s="23">
        <f>SUMIFS(ДДС_Поступление!$I:$I,ДДС_Поступление!$D:$D,$A38,ДДС_Поступление!$C:$C,AA$3)</f>
        <v>0</v>
      </c>
      <c r="AB38" s="41">
        <f t="shared" si="207"/>
        <v>0</v>
      </c>
      <c r="AC38" s="41">
        <f t="shared" si="98"/>
        <v>0</v>
      </c>
      <c r="AE38" s="23">
        <f>SUMIFS(ДДС_Поступление!$I:$I,ДДС_Поступление!$D:$D,$A38,ДДС_Поступление!$C:$C,AE$3)</f>
        <v>0</v>
      </c>
      <c r="AF38" s="23">
        <f>SUMIFS(ДДС_Поступление!$I:$I,ДДС_Поступление!$D:$D,$A38,ДДС_Поступление!$C:$C,AF$3)</f>
        <v>0</v>
      </c>
      <c r="AG38" s="23">
        <f>SUMIFS(ДДС_Поступление!$I:$I,ДДС_Поступление!$D:$D,$A38,ДДС_Поступление!$C:$C,AG$3)</f>
        <v>0</v>
      </c>
      <c r="AH38" s="41">
        <f t="shared" si="210"/>
        <v>0</v>
      </c>
      <c r="AI38" s="23">
        <f>SUMIFS(ДДС_Поступление!$I:$I,ДДС_Поступление!$D:$D,$A38,ДДС_Поступление!$C:$C,AI$3)</f>
        <v>0</v>
      </c>
      <c r="AJ38" s="23">
        <f>SUMIFS(ДДС_Поступление!$I:$I,ДДС_Поступление!$D:$D,$A38,ДДС_Поступление!$C:$C,AJ$3)</f>
        <v>0</v>
      </c>
      <c r="AK38" s="23">
        <f>SUMIFS(ДДС_Поступление!$I:$I,ДДС_Поступление!$D:$D,$A38,ДДС_Поступление!$C:$C,AK$3)</f>
        <v>0</v>
      </c>
      <c r="AL38" s="41">
        <f t="shared" si="213"/>
        <v>0</v>
      </c>
      <c r="AM38" s="41">
        <f t="shared" si="214"/>
        <v>0</v>
      </c>
      <c r="AN38" s="23">
        <f>SUMIFS(ДДС_Поступление!$I:$I,ДДС_Поступление!$D:$D,$A38,ДДС_Поступление!$C:$C,AN$3)</f>
        <v>0</v>
      </c>
      <c r="AO38" s="23">
        <f>SUMIFS(ДДС_Поступление!$I:$I,ДДС_Поступление!$D:$D,$A38,ДДС_Поступление!$C:$C,AO$3)</f>
        <v>0</v>
      </c>
      <c r="AP38" s="23">
        <f>SUMIFS(ДДС_Поступление!$I:$I,ДДС_Поступление!$D:$D,$A38,ДДС_Поступление!$C:$C,AP$3)</f>
        <v>0</v>
      </c>
      <c r="AQ38" s="41">
        <f t="shared" si="217"/>
        <v>0</v>
      </c>
      <c r="AR38" s="41">
        <f t="shared" si="218"/>
        <v>0</v>
      </c>
      <c r="AS38" s="23">
        <f>SUMIFS(ДДС_Поступление!$I:$I,ДДС_Поступление!$D:$D,$A38,ДДС_Поступление!$C:$C,AS$3)</f>
        <v>0</v>
      </c>
      <c r="AT38" s="23">
        <f>SUMIFS(ДДС_Поступление!$I:$I,ДДС_Поступление!$D:$D,$A38,ДДС_Поступление!$C:$C,AT$3)</f>
        <v>0</v>
      </c>
      <c r="AU38" s="23">
        <f>SUMIFS(ДДС_Поступление!$I:$I,ДДС_Поступление!$D:$D,$A38,ДДС_Поступление!$C:$C,AU$3)</f>
        <v>0</v>
      </c>
      <c r="AV38" s="41">
        <f t="shared" si="221"/>
        <v>0</v>
      </c>
      <c r="AW38" s="41">
        <f t="shared" si="222"/>
        <v>0</v>
      </c>
      <c r="AY38" s="23">
        <f>SUMIFS(ДДС_Поступление!$I:$I,ДДС_Поступление!$D:$D,$A38,ДДС_Поступление!$C:$C,AY$3)</f>
        <v>0</v>
      </c>
      <c r="AZ38" s="23">
        <f>SUMIFS(ДДС_Поступление!$I:$I,ДДС_Поступление!$D:$D,$A38,ДДС_Поступление!$C:$C,AZ$3)</f>
        <v>0</v>
      </c>
      <c r="BA38" s="23">
        <f>SUMIFS(ДДС_Поступление!$I:$I,ДДС_Поступление!$D:$D,$A38,ДДС_Поступление!$C:$C,BA$3)</f>
        <v>0</v>
      </c>
      <c r="BB38" s="41">
        <f t="shared" si="225"/>
        <v>0</v>
      </c>
      <c r="BC38" s="23">
        <f>SUMIFS(ДДС_Поступление!$I:$I,ДДС_Поступление!$D:$D,$A38,ДДС_Поступление!$C:$C,BC$3)</f>
        <v>0</v>
      </c>
      <c r="BD38" s="23">
        <f>SUMIFS(ДДС_Поступление!$I:$I,ДДС_Поступление!$D:$D,$A38,ДДС_Поступление!$C:$C,BD$3)</f>
        <v>0</v>
      </c>
      <c r="BE38" s="23">
        <f>SUMIFS(ДДС_Поступление!$I:$I,ДДС_Поступление!$D:$D,$A38,ДДС_Поступление!$C:$C,BE$3)</f>
        <v>0</v>
      </c>
      <c r="BF38" s="41">
        <f t="shared" si="228"/>
        <v>0</v>
      </c>
      <c r="BG38" s="41">
        <f t="shared" si="229"/>
        <v>0</v>
      </c>
      <c r="BH38" s="23">
        <f>SUMIFS(ДДС_Поступление!$I:$I,ДДС_Поступление!$D:$D,$A38,ДДС_Поступление!$C:$C,BH$3)</f>
        <v>0</v>
      </c>
      <c r="BI38" s="23">
        <f>SUMIFS(ДДС_Поступление!$I:$I,ДДС_Поступление!$D:$D,$A38,ДДС_Поступление!$C:$C,BI$3)</f>
        <v>0</v>
      </c>
      <c r="BJ38" s="23">
        <f>SUMIFS(ДДС_Поступление!$I:$I,ДДС_Поступление!$D:$D,$A38,ДДС_Поступление!$C:$C,BJ$3)</f>
        <v>0</v>
      </c>
      <c r="BK38" s="41">
        <f t="shared" si="232"/>
        <v>0</v>
      </c>
      <c r="BL38" s="41">
        <f t="shared" si="233"/>
        <v>0</v>
      </c>
      <c r="BM38" s="23">
        <f>SUMIFS(ДДС_Поступление!$I:$I,ДДС_Поступление!$D:$D,$A38,ДДС_Поступление!$C:$C,BM$3)</f>
        <v>0</v>
      </c>
      <c r="BN38" s="23">
        <f>SUMIFS(ДДС_Поступление!$I:$I,ДДС_Поступление!$D:$D,$A38,ДДС_Поступление!$C:$C,BN$3)</f>
        <v>0</v>
      </c>
      <c r="BO38" s="23">
        <f>SUMIFS(ДДС_Поступление!$I:$I,ДДС_Поступление!$D:$D,$A38,ДДС_Поступление!$C:$C,BO$3)</f>
        <v>0</v>
      </c>
      <c r="BP38" s="41">
        <f t="shared" si="236"/>
        <v>0</v>
      </c>
      <c r="BQ38" s="41">
        <f t="shared" si="237"/>
        <v>0</v>
      </c>
      <c r="BS38" s="23">
        <f>SUMIFS(ДДС_Поступление!$I:$I,ДДС_Поступление!$D:$D,$A38,ДДС_Поступление!$C:$C,BS$3)</f>
        <v>0</v>
      </c>
      <c r="BT38" s="23">
        <f>SUMIFS(ДДС_Поступление!$I:$I,ДДС_Поступление!$D:$D,$A38,ДДС_Поступление!$C:$C,BT$3)</f>
        <v>0</v>
      </c>
      <c r="BU38" s="23">
        <f>SUMIFS(ДДС_Поступление!$I:$I,ДДС_Поступление!$D:$D,$A38,ДДС_Поступление!$C:$C,BU$3)</f>
        <v>0</v>
      </c>
      <c r="BV38" s="41">
        <f t="shared" si="240"/>
        <v>0</v>
      </c>
      <c r="BW38" s="23">
        <f>SUMIFS(ДДС_Поступление!$I:$I,ДДС_Поступление!$D:$D,$A38,ДДС_Поступление!$C:$C,BW$3)</f>
        <v>0</v>
      </c>
      <c r="BX38" s="23">
        <f>SUMIFS(ДДС_Поступление!$I:$I,ДДС_Поступление!$D:$D,$A38,ДДС_Поступление!$C:$C,BX$3)</f>
        <v>0</v>
      </c>
      <c r="BY38" s="23">
        <f>SUMIFS(ДДС_Поступление!$I:$I,ДДС_Поступление!$D:$D,$A38,ДДС_Поступление!$C:$C,BY$3)</f>
        <v>0</v>
      </c>
      <c r="BZ38" s="41">
        <f t="shared" si="243"/>
        <v>0</v>
      </c>
      <c r="CA38" s="41">
        <f t="shared" si="244"/>
        <v>0</v>
      </c>
      <c r="CB38" s="23">
        <f>SUMIFS(ДДС_Поступление!$I:$I,ДДС_Поступление!$D:$D,$A38,ДДС_Поступление!$C:$C,CB$3)</f>
        <v>0</v>
      </c>
      <c r="CC38" s="23">
        <f>SUMIFS(ДДС_Поступление!$I:$I,ДДС_Поступление!$D:$D,$A38,ДДС_Поступление!$C:$C,CC$3)</f>
        <v>0</v>
      </c>
      <c r="CD38" s="23">
        <f>SUMIFS(ДДС_Поступление!$I:$I,ДДС_Поступление!$D:$D,$A38,ДДС_Поступление!$C:$C,CD$3)</f>
        <v>0</v>
      </c>
      <c r="CE38" s="41">
        <f t="shared" si="247"/>
        <v>0</v>
      </c>
      <c r="CF38" s="41">
        <f t="shared" si="248"/>
        <v>0</v>
      </c>
      <c r="CG38" s="23">
        <f>SUMIFS(ДДС_Поступление!$I:$I,ДДС_Поступление!$D:$D,$A38,ДДС_Поступление!$C:$C,CG$3)</f>
        <v>0</v>
      </c>
      <c r="CH38" s="23">
        <f>SUMIFS(ДДС_Поступление!$I:$I,ДДС_Поступление!$D:$D,$A38,ДДС_Поступление!$C:$C,CH$3)</f>
        <v>0</v>
      </c>
      <c r="CI38" s="23">
        <f>SUMIFS(ДДС_Поступление!$I:$I,ДДС_Поступление!$D:$D,$A38,ДДС_Поступление!$C:$C,CI$3)</f>
        <v>0</v>
      </c>
      <c r="CJ38" s="41">
        <f t="shared" si="251"/>
        <v>0</v>
      </c>
      <c r="CK38" s="41">
        <f t="shared" si="252"/>
        <v>0</v>
      </c>
      <c r="CM38" s="23">
        <f>SUMIFS(ДДС_Поступление!$I:$I,ДДС_Поступление!$D:$D,$A38,ДДС_Поступление!$C:$C,CM$3)</f>
        <v>0</v>
      </c>
      <c r="CN38" s="23">
        <f>SUMIFS(ДДС_Поступление!$I:$I,ДДС_Поступление!$D:$D,$A38,ДДС_Поступление!$C:$C,CN$3)</f>
        <v>0</v>
      </c>
      <c r="CO38" s="23">
        <f>SUMIFS(ДДС_Поступление!$I:$I,ДДС_Поступление!$D:$D,$A38,ДДС_Поступление!$C:$C,CO$3)</f>
        <v>0</v>
      </c>
      <c r="CP38" s="41">
        <f t="shared" si="255"/>
        <v>0</v>
      </c>
      <c r="CQ38" s="23">
        <f>SUMIFS(ДДС_Поступление!$I:$I,ДДС_Поступление!$D:$D,$A38,ДДС_Поступление!$C:$C,CQ$3)</f>
        <v>0</v>
      </c>
      <c r="CR38" s="23">
        <f>SUMIFS(ДДС_Поступление!$I:$I,ДДС_Поступление!$D:$D,$A38,ДДС_Поступление!$C:$C,CR$3)</f>
        <v>0</v>
      </c>
      <c r="CS38" s="23">
        <f>SUMIFS(ДДС_Поступление!$I:$I,ДДС_Поступление!$D:$D,$A38,ДДС_Поступление!$C:$C,CS$3)</f>
        <v>0</v>
      </c>
      <c r="CT38" s="41">
        <f t="shared" si="258"/>
        <v>0</v>
      </c>
      <c r="CU38" s="41">
        <f t="shared" si="259"/>
        <v>0</v>
      </c>
      <c r="CV38" s="23">
        <f>SUMIFS(ДДС_Поступление!$I:$I,ДДС_Поступление!$D:$D,$A38,ДДС_Поступление!$C:$C,CV$3)</f>
        <v>0</v>
      </c>
      <c r="CW38" s="23">
        <f>SUMIFS(ДДС_Поступление!$I:$I,ДДС_Поступление!$D:$D,$A38,ДДС_Поступление!$C:$C,CW$3)</f>
        <v>0</v>
      </c>
      <c r="CX38" s="23">
        <f>SUMIFS(ДДС_Поступление!$I:$I,ДДС_Поступление!$D:$D,$A38,ДДС_Поступление!$C:$C,CX$3)</f>
        <v>0</v>
      </c>
      <c r="CY38" s="41">
        <f t="shared" si="262"/>
        <v>0</v>
      </c>
      <c r="CZ38" s="41">
        <f t="shared" si="263"/>
        <v>0</v>
      </c>
      <c r="DA38" s="23">
        <f>SUMIFS(ДДС_Поступление!$I:$I,ДДС_Поступление!$D:$D,$A38,ДДС_Поступление!$C:$C,DA$3)</f>
        <v>0</v>
      </c>
      <c r="DB38" s="23">
        <f>SUMIFS(ДДС_Поступление!$I:$I,ДДС_Поступление!$D:$D,$A38,ДДС_Поступление!$C:$C,DB$3)</f>
        <v>0</v>
      </c>
      <c r="DC38" s="23">
        <f>SUMIFS(ДДС_Поступление!$I:$I,ДДС_Поступление!$D:$D,$A38,ДДС_Поступление!$C:$C,DC$3)</f>
        <v>0</v>
      </c>
      <c r="DD38" s="41">
        <f t="shared" si="266"/>
        <v>0</v>
      </c>
      <c r="DE38" s="41">
        <f t="shared" si="267"/>
        <v>0</v>
      </c>
    </row>
    <row r="39" spans="1:109" s="12" customFormat="1" ht="10.199999999999999" x14ac:dyDescent="0.2">
      <c r="A39" s="11"/>
      <c r="E39" s="94"/>
      <c r="F39" s="79"/>
      <c r="G39" s="103" t="s">
        <v>292</v>
      </c>
      <c r="I39" s="88">
        <f t="shared" si="197"/>
        <v>0</v>
      </c>
      <c r="K39" s="85">
        <f>K40+K41</f>
        <v>0</v>
      </c>
      <c r="L39" s="85">
        <f t="shared" ref="L39:M39" si="346">L40+L41</f>
        <v>0</v>
      </c>
      <c r="M39" s="86">
        <f t="shared" si="346"/>
        <v>0</v>
      </c>
      <c r="N39" s="88">
        <f t="shared" si="92"/>
        <v>0</v>
      </c>
      <c r="O39" s="85">
        <f>O40+O41</f>
        <v>0</v>
      </c>
      <c r="P39" s="85">
        <f t="shared" ref="P39" si="347">P40+P41</f>
        <v>0</v>
      </c>
      <c r="Q39" s="86">
        <f t="shared" ref="Q39" si="348">Q40+Q41</f>
        <v>0</v>
      </c>
      <c r="R39" s="88">
        <f t="shared" si="201"/>
        <v>0</v>
      </c>
      <c r="S39" s="88">
        <f t="shared" si="94"/>
        <v>0</v>
      </c>
      <c r="T39" s="85">
        <f>T40+T41</f>
        <v>0</v>
      </c>
      <c r="U39" s="85">
        <f t="shared" ref="U39" si="349">U40+U41</f>
        <v>0</v>
      </c>
      <c r="V39" s="86">
        <f t="shared" ref="V39" si="350">V40+V41</f>
        <v>0</v>
      </c>
      <c r="W39" s="88">
        <f t="shared" si="204"/>
        <v>0</v>
      </c>
      <c r="X39" s="88">
        <f t="shared" si="96"/>
        <v>0</v>
      </c>
      <c r="Y39" s="85">
        <f>Y40+Y41</f>
        <v>0</v>
      </c>
      <c r="Z39" s="85">
        <f t="shared" ref="Z39" si="351">Z40+Z41</f>
        <v>0</v>
      </c>
      <c r="AA39" s="86">
        <f t="shared" ref="AA39" si="352">AA40+AA41</f>
        <v>0</v>
      </c>
      <c r="AB39" s="88">
        <f t="shared" si="207"/>
        <v>0</v>
      </c>
      <c r="AC39" s="88">
        <f t="shared" si="98"/>
        <v>0</v>
      </c>
      <c r="AE39" s="85">
        <f>AE40+AE41</f>
        <v>0</v>
      </c>
      <c r="AF39" s="85">
        <f t="shared" ref="AF39" si="353">AF40+AF41</f>
        <v>0</v>
      </c>
      <c r="AG39" s="86">
        <f t="shared" ref="AG39" si="354">AG40+AG41</f>
        <v>0</v>
      </c>
      <c r="AH39" s="88">
        <f t="shared" si="210"/>
        <v>0</v>
      </c>
      <c r="AI39" s="85">
        <f>AI40+AI41</f>
        <v>0</v>
      </c>
      <c r="AJ39" s="85">
        <f t="shared" ref="AJ39" si="355">AJ40+AJ41</f>
        <v>0</v>
      </c>
      <c r="AK39" s="86">
        <f t="shared" ref="AK39" si="356">AK40+AK41</f>
        <v>0</v>
      </c>
      <c r="AL39" s="88">
        <f t="shared" si="213"/>
        <v>0</v>
      </c>
      <c r="AM39" s="88">
        <f t="shared" si="214"/>
        <v>0</v>
      </c>
      <c r="AN39" s="85">
        <f>AN40+AN41</f>
        <v>0</v>
      </c>
      <c r="AO39" s="85">
        <f t="shared" ref="AO39" si="357">AO40+AO41</f>
        <v>0</v>
      </c>
      <c r="AP39" s="86">
        <f t="shared" ref="AP39" si="358">AP40+AP41</f>
        <v>0</v>
      </c>
      <c r="AQ39" s="88">
        <f t="shared" si="217"/>
        <v>0</v>
      </c>
      <c r="AR39" s="88">
        <f t="shared" si="218"/>
        <v>0</v>
      </c>
      <c r="AS39" s="85">
        <f>AS40+AS41</f>
        <v>0</v>
      </c>
      <c r="AT39" s="85">
        <f t="shared" ref="AT39" si="359">AT40+AT41</f>
        <v>0</v>
      </c>
      <c r="AU39" s="86">
        <f t="shared" ref="AU39" si="360">AU40+AU41</f>
        <v>0</v>
      </c>
      <c r="AV39" s="88">
        <f t="shared" si="221"/>
        <v>0</v>
      </c>
      <c r="AW39" s="88">
        <f t="shared" si="222"/>
        <v>0</v>
      </c>
      <c r="AY39" s="85">
        <f>AY40+AY41</f>
        <v>0</v>
      </c>
      <c r="AZ39" s="85">
        <f t="shared" ref="AZ39" si="361">AZ40+AZ41</f>
        <v>0</v>
      </c>
      <c r="BA39" s="86">
        <f t="shared" ref="BA39" si="362">BA40+BA41</f>
        <v>0</v>
      </c>
      <c r="BB39" s="88">
        <f t="shared" si="225"/>
        <v>0</v>
      </c>
      <c r="BC39" s="85">
        <f>BC40+BC41</f>
        <v>0</v>
      </c>
      <c r="BD39" s="85">
        <f t="shared" ref="BD39" si="363">BD40+BD41</f>
        <v>0</v>
      </c>
      <c r="BE39" s="86">
        <f t="shared" ref="BE39" si="364">BE40+BE41</f>
        <v>0</v>
      </c>
      <c r="BF39" s="88">
        <f t="shared" si="228"/>
        <v>0</v>
      </c>
      <c r="BG39" s="88">
        <f t="shared" si="229"/>
        <v>0</v>
      </c>
      <c r="BH39" s="85">
        <f>BH40+BH41</f>
        <v>0</v>
      </c>
      <c r="BI39" s="85">
        <f t="shared" ref="BI39" si="365">BI40+BI41</f>
        <v>0</v>
      </c>
      <c r="BJ39" s="86">
        <f t="shared" ref="BJ39" si="366">BJ40+BJ41</f>
        <v>0</v>
      </c>
      <c r="BK39" s="88">
        <f t="shared" si="232"/>
        <v>0</v>
      </c>
      <c r="BL39" s="88">
        <f t="shared" si="233"/>
        <v>0</v>
      </c>
      <c r="BM39" s="85">
        <f>BM40+BM41</f>
        <v>0</v>
      </c>
      <c r="BN39" s="85">
        <f t="shared" ref="BN39" si="367">BN40+BN41</f>
        <v>0</v>
      </c>
      <c r="BO39" s="86">
        <f t="shared" ref="BO39" si="368">BO40+BO41</f>
        <v>0</v>
      </c>
      <c r="BP39" s="88">
        <f t="shared" si="236"/>
        <v>0</v>
      </c>
      <c r="BQ39" s="88">
        <f t="shared" si="237"/>
        <v>0</v>
      </c>
      <c r="BS39" s="85">
        <f>BS40+BS41</f>
        <v>0</v>
      </c>
      <c r="BT39" s="85">
        <f t="shared" ref="BT39" si="369">BT40+BT41</f>
        <v>0</v>
      </c>
      <c r="BU39" s="86">
        <f t="shared" ref="BU39" si="370">BU40+BU41</f>
        <v>0</v>
      </c>
      <c r="BV39" s="88">
        <f t="shared" si="240"/>
        <v>0</v>
      </c>
      <c r="BW39" s="85">
        <f>BW40+BW41</f>
        <v>0</v>
      </c>
      <c r="BX39" s="85">
        <f t="shared" ref="BX39" si="371">BX40+BX41</f>
        <v>0</v>
      </c>
      <c r="BY39" s="86">
        <f t="shared" ref="BY39" si="372">BY40+BY41</f>
        <v>0</v>
      </c>
      <c r="BZ39" s="88">
        <f t="shared" si="243"/>
        <v>0</v>
      </c>
      <c r="CA39" s="88">
        <f t="shared" si="244"/>
        <v>0</v>
      </c>
      <c r="CB39" s="85">
        <f>CB40+CB41</f>
        <v>0</v>
      </c>
      <c r="CC39" s="85">
        <f t="shared" ref="CC39" si="373">CC40+CC41</f>
        <v>0</v>
      </c>
      <c r="CD39" s="86">
        <f t="shared" ref="CD39" si="374">CD40+CD41</f>
        <v>0</v>
      </c>
      <c r="CE39" s="88">
        <f t="shared" si="247"/>
        <v>0</v>
      </c>
      <c r="CF39" s="88">
        <f t="shared" si="248"/>
        <v>0</v>
      </c>
      <c r="CG39" s="85">
        <f>CG40+CG41</f>
        <v>0</v>
      </c>
      <c r="CH39" s="85">
        <f t="shared" ref="CH39" si="375">CH40+CH41</f>
        <v>0</v>
      </c>
      <c r="CI39" s="86">
        <f t="shared" ref="CI39" si="376">CI40+CI41</f>
        <v>0</v>
      </c>
      <c r="CJ39" s="88">
        <f t="shared" si="251"/>
        <v>0</v>
      </c>
      <c r="CK39" s="88">
        <f t="shared" si="252"/>
        <v>0</v>
      </c>
      <c r="CM39" s="85">
        <f>CM40+CM41</f>
        <v>0</v>
      </c>
      <c r="CN39" s="85">
        <f t="shared" ref="CN39" si="377">CN40+CN41</f>
        <v>0</v>
      </c>
      <c r="CO39" s="86">
        <f t="shared" ref="CO39" si="378">CO40+CO41</f>
        <v>0</v>
      </c>
      <c r="CP39" s="88">
        <f t="shared" si="255"/>
        <v>0</v>
      </c>
      <c r="CQ39" s="85">
        <f>CQ40+CQ41</f>
        <v>0</v>
      </c>
      <c r="CR39" s="85">
        <f t="shared" ref="CR39" si="379">CR40+CR41</f>
        <v>0</v>
      </c>
      <c r="CS39" s="86">
        <f t="shared" ref="CS39" si="380">CS40+CS41</f>
        <v>0</v>
      </c>
      <c r="CT39" s="88">
        <f t="shared" si="258"/>
        <v>0</v>
      </c>
      <c r="CU39" s="88">
        <f t="shared" si="259"/>
        <v>0</v>
      </c>
      <c r="CV39" s="85">
        <f>CV40+CV41</f>
        <v>0</v>
      </c>
      <c r="CW39" s="85">
        <f t="shared" ref="CW39" si="381">CW40+CW41</f>
        <v>0</v>
      </c>
      <c r="CX39" s="86">
        <f t="shared" ref="CX39" si="382">CX40+CX41</f>
        <v>0</v>
      </c>
      <c r="CY39" s="88">
        <f t="shared" si="262"/>
        <v>0</v>
      </c>
      <c r="CZ39" s="88">
        <f t="shared" si="263"/>
        <v>0</v>
      </c>
      <c r="DA39" s="85">
        <f>DA40+DA41</f>
        <v>0</v>
      </c>
      <c r="DB39" s="85">
        <f t="shared" ref="DB39" si="383">DB40+DB41</f>
        <v>0</v>
      </c>
      <c r="DC39" s="86">
        <f t="shared" ref="DC39" si="384">DC40+DC41</f>
        <v>0</v>
      </c>
      <c r="DD39" s="88">
        <f t="shared" si="266"/>
        <v>0</v>
      </c>
      <c r="DE39" s="88">
        <f t="shared" si="267"/>
        <v>0</v>
      </c>
    </row>
    <row r="40" spans="1:109" s="12" customFormat="1" ht="10.199999999999999" x14ac:dyDescent="0.2">
      <c r="A40" s="11" t="s">
        <v>283</v>
      </c>
      <c r="B40" s="11"/>
      <c r="E40" s="20">
        <v>802192</v>
      </c>
      <c r="F40" s="21"/>
      <c r="G40" s="97" t="s">
        <v>288</v>
      </c>
      <c r="I40" s="41">
        <f t="shared" si="197"/>
        <v>0</v>
      </c>
      <c r="K40" s="23">
        <f>-SUMIFS(ДДС_Расходование!$I:$I,ДДС_Расходование!$D:$D,$A40,ДДС_Расходование!$C:$C,K$3)</f>
        <v>0</v>
      </c>
      <c r="L40" s="23">
        <f>-SUMIFS(ДДС_Расходование!$I:$I,ДДС_Расходование!$D:$D,$A40,ДДС_Расходование!$C:$C,L$3)</f>
        <v>0</v>
      </c>
      <c r="M40" s="23">
        <f>-SUMIFS(ДДС_Расходование!$I:$I,ДДС_Расходование!$D:$D,$A40,ДДС_Расходование!$C:$C,M$3)</f>
        <v>0</v>
      </c>
      <c r="N40" s="41">
        <f t="shared" si="92"/>
        <v>0</v>
      </c>
      <c r="O40" s="23">
        <f>-SUMIFS(ДДС_Расходование!$I:$I,ДДС_Расходование!$D:$D,$A40,ДДС_Расходование!$C:$C,O$3)</f>
        <v>0</v>
      </c>
      <c r="P40" s="23">
        <f>-SUMIFS(ДДС_Расходование!$I:$I,ДДС_Расходование!$D:$D,$A40,ДДС_Расходование!$C:$C,P$3)</f>
        <v>0</v>
      </c>
      <c r="Q40" s="23">
        <f>-SUMIFS(ДДС_Расходование!$I:$I,ДДС_Расходование!$D:$D,$A40,ДДС_Расходование!$C:$C,Q$3)</f>
        <v>0</v>
      </c>
      <c r="R40" s="41">
        <f t="shared" si="201"/>
        <v>0</v>
      </c>
      <c r="S40" s="41">
        <f t="shared" si="94"/>
        <v>0</v>
      </c>
      <c r="T40" s="23">
        <f>-SUMIFS(ДДС_Расходование!$I:$I,ДДС_Расходование!$D:$D,$A40,ДДС_Расходование!$C:$C,T$3)</f>
        <v>0</v>
      </c>
      <c r="U40" s="23">
        <f>-SUMIFS(ДДС_Расходование!$I:$I,ДДС_Расходование!$D:$D,$A40,ДДС_Расходование!$C:$C,U$3)</f>
        <v>0</v>
      </c>
      <c r="V40" s="23">
        <f>-SUMIFS(ДДС_Расходование!$I:$I,ДДС_Расходование!$D:$D,$A40,ДДС_Расходование!$C:$C,V$3)</f>
        <v>0</v>
      </c>
      <c r="W40" s="41">
        <f t="shared" si="204"/>
        <v>0</v>
      </c>
      <c r="X40" s="41">
        <f t="shared" si="96"/>
        <v>0</v>
      </c>
      <c r="Y40" s="23">
        <f>-SUMIFS(ДДС_Расходование!$I:$I,ДДС_Расходование!$D:$D,$A40,ДДС_Расходование!$C:$C,Y$3)</f>
        <v>0</v>
      </c>
      <c r="Z40" s="23">
        <f>-SUMIFS(ДДС_Расходование!$I:$I,ДДС_Расходование!$D:$D,$A40,ДДС_Расходование!$C:$C,Z$3)</f>
        <v>0</v>
      </c>
      <c r="AA40" s="23">
        <f>-SUMIFS(ДДС_Расходование!$I:$I,ДДС_Расходование!$D:$D,$A40,ДДС_Расходование!$C:$C,AA$3)</f>
        <v>0</v>
      </c>
      <c r="AB40" s="41">
        <f t="shared" si="207"/>
        <v>0</v>
      </c>
      <c r="AC40" s="41">
        <f t="shared" si="98"/>
        <v>0</v>
      </c>
      <c r="AE40" s="23">
        <f>-SUMIFS(ДДС_Расходование!$I:$I,ДДС_Расходование!$D:$D,$A40,ДДС_Расходование!$C:$C,AE$3)</f>
        <v>0</v>
      </c>
      <c r="AF40" s="23">
        <f>-SUMIFS(ДДС_Расходование!$I:$I,ДДС_Расходование!$D:$D,$A40,ДДС_Расходование!$C:$C,AF$3)</f>
        <v>0</v>
      </c>
      <c r="AG40" s="23">
        <f>-SUMIFS(ДДС_Расходование!$I:$I,ДДС_Расходование!$D:$D,$A40,ДДС_Расходование!$C:$C,AG$3)</f>
        <v>0</v>
      </c>
      <c r="AH40" s="41">
        <f t="shared" si="210"/>
        <v>0</v>
      </c>
      <c r="AI40" s="23">
        <f>-SUMIFS(ДДС_Расходование!$I:$I,ДДС_Расходование!$D:$D,$A40,ДДС_Расходование!$C:$C,AI$3)</f>
        <v>0</v>
      </c>
      <c r="AJ40" s="23">
        <f>-SUMIFS(ДДС_Расходование!$I:$I,ДДС_Расходование!$D:$D,$A40,ДДС_Расходование!$C:$C,AJ$3)</f>
        <v>0</v>
      </c>
      <c r="AK40" s="23">
        <f>-SUMIFS(ДДС_Расходование!$I:$I,ДДС_Расходование!$D:$D,$A40,ДДС_Расходование!$C:$C,AK$3)</f>
        <v>0</v>
      </c>
      <c r="AL40" s="41">
        <f t="shared" si="213"/>
        <v>0</v>
      </c>
      <c r="AM40" s="41">
        <f t="shared" si="214"/>
        <v>0</v>
      </c>
      <c r="AN40" s="23">
        <f>-SUMIFS(ДДС_Расходование!$I:$I,ДДС_Расходование!$D:$D,$A40,ДДС_Расходование!$C:$C,AN$3)</f>
        <v>0</v>
      </c>
      <c r="AO40" s="23">
        <f>-SUMIFS(ДДС_Расходование!$I:$I,ДДС_Расходование!$D:$D,$A40,ДДС_Расходование!$C:$C,AO$3)</f>
        <v>0</v>
      </c>
      <c r="AP40" s="23">
        <f>-SUMIFS(ДДС_Расходование!$I:$I,ДДС_Расходование!$D:$D,$A40,ДДС_Расходование!$C:$C,AP$3)</f>
        <v>0</v>
      </c>
      <c r="AQ40" s="41">
        <f t="shared" si="217"/>
        <v>0</v>
      </c>
      <c r="AR40" s="41">
        <f t="shared" si="218"/>
        <v>0</v>
      </c>
      <c r="AS40" s="23">
        <f>-SUMIFS(ДДС_Расходование!$I:$I,ДДС_Расходование!$D:$D,$A40,ДДС_Расходование!$C:$C,AS$3)</f>
        <v>0</v>
      </c>
      <c r="AT40" s="23">
        <f>-SUMIFS(ДДС_Расходование!$I:$I,ДДС_Расходование!$D:$D,$A40,ДДС_Расходование!$C:$C,AT$3)</f>
        <v>0</v>
      </c>
      <c r="AU40" s="23">
        <f>-SUMIFS(ДДС_Расходование!$I:$I,ДДС_Расходование!$D:$D,$A40,ДДС_Расходование!$C:$C,AU$3)</f>
        <v>0</v>
      </c>
      <c r="AV40" s="41">
        <f t="shared" si="221"/>
        <v>0</v>
      </c>
      <c r="AW40" s="41">
        <f t="shared" si="222"/>
        <v>0</v>
      </c>
      <c r="AY40" s="23">
        <f>-SUMIFS(ДДС_Расходование!$I:$I,ДДС_Расходование!$D:$D,$A40,ДДС_Расходование!$C:$C,AY$3)</f>
        <v>0</v>
      </c>
      <c r="AZ40" s="23">
        <f>-SUMIFS(ДДС_Расходование!$I:$I,ДДС_Расходование!$D:$D,$A40,ДДС_Расходование!$C:$C,AZ$3)</f>
        <v>0</v>
      </c>
      <c r="BA40" s="23">
        <f>-SUMIFS(ДДС_Расходование!$I:$I,ДДС_Расходование!$D:$D,$A40,ДДС_Расходование!$C:$C,BA$3)</f>
        <v>0</v>
      </c>
      <c r="BB40" s="41">
        <f t="shared" si="225"/>
        <v>0</v>
      </c>
      <c r="BC40" s="23">
        <f>-SUMIFS(ДДС_Расходование!$I:$I,ДДС_Расходование!$D:$D,$A40,ДДС_Расходование!$C:$C,BC$3)</f>
        <v>0</v>
      </c>
      <c r="BD40" s="23">
        <f>-SUMIFS(ДДС_Расходование!$I:$I,ДДС_Расходование!$D:$D,$A40,ДДС_Расходование!$C:$C,BD$3)</f>
        <v>0</v>
      </c>
      <c r="BE40" s="23">
        <f>-SUMIFS(ДДС_Расходование!$I:$I,ДДС_Расходование!$D:$D,$A40,ДДС_Расходование!$C:$C,BE$3)</f>
        <v>0</v>
      </c>
      <c r="BF40" s="41">
        <f t="shared" si="228"/>
        <v>0</v>
      </c>
      <c r="BG40" s="41">
        <f t="shared" si="229"/>
        <v>0</v>
      </c>
      <c r="BH40" s="23">
        <f>-SUMIFS(ДДС_Расходование!$I:$I,ДДС_Расходование!$D:$D,$A40,ДДС_Расходование!$C:$C,BH$3)</f>
        <v>0</v>
      </c>
      <c r="BI40" s="23">
        <f>-SUMIFS(ДДС_Расходование!$I:$I,ДДС_Расходование!$D:$D,$A40,ДДС_Расходование!$C:$C,BI$3)</f>
        <v>0</v>
      </c>
      <c r="BJ40" s="23">
        <f>-SUMIFS(ДДС_Расходование!$I:$I,ДДС_Расходование!$D:$D,$A40,ДДС_Расходование!$C:$C,BJ$3)</f>
        <v>0</v>
      </c>
      <c r="BK40" s="41">
        <f t="shared" si="232"/>
        <v>0</v>
      </c>
      <c r="BL40" s="41">
        <f t="shared" si="233"/>
        <v>0</v>
      </c>
      <c r="BM40" s="23">
        <f>-SUMIFS(ДДС_Расходование!$I:$I,ДДС_Расходование!$D:$D,$A40,ДДС_Расходование!$C:$C,BM$3)</f>
        <v>0</v>
      </c>
      <c r="BN40" s="23">
        <f>-SUMIFS(ДДС_Расходование!$I:$I,ДДС_Расходование!$D:$D,$A40,ДДС_Расходование!$C:$C,BN$3)</f>
        <v>0</v>
      </c>
      <c r="BO40" s="23">
        <f>-SUMIFS(ДДС_Расходование!$I:$I,ДДС_Расходование!$D:$D,$A40,ДДС_Расходование!$C:$C,BO$3)</f>
        <v>0</v>
      </c>
      <c r="BP40" s="41">
        <f t="shared" si="236"/>
        <v>0</v>
      </c>
      <c r="BQ40" s="41">
        <f t="shared" si="237"/>
        <v>0</v>
      </c>
      <c r="BS40" s="23">
        <f>-SUMIFS(ДДС_Расходование!$I:$I,ДДС_Расходование!$D:$D,$A40,ДДС_Расходование!$C:$C,BS$3)</f>
        <v>0</v>
      </c>
      <c r="BT40" s="23">
        <f>-SUMIFS(ДДС_Расходование!$I:$I,ДДС_Расходование!$D:$D,$A40,ДДС_Расходование!$C:$C,BT$3)</f>
        <v>0</v>
      </c>
      <c r="BU40" s="23">
        <f>-SUMIFS(ДДС_Расходование!$I:$I,ДДС_Расходование!$D:$D,$A40,ДДС_Расходование!$C:$C,BU$3)</f>
        <v>0</v>
      </c>
      <c r="BV40" s="41">
        <f t="shared" si="240"/>
        <v>0</v>
      </c>
      <c r="BW40" s="23">
        <f>-SUMIFS(ДДС_Расходование!$I:$I,ДДС_Расходование!$D:$D,$A40,ДДС_Расходование!$C:$C,BW$3)</f>
        <v>0</v>
      </c>
      <c r="BX40" s="23">
        <f>-SUMIFS(ДДС_Расходование!$I:$I,ДДС_Расходование!$D:$D,$A40,ДДС_Расходование!$C:$C,BX$3)</f>
        <v>0</v>
      </c>
      <c r="BY40" s="23">
        <f>-SUMIFS(ДДС_Расходование!$I:$I,ДДС_Расходование!$D:$D,$A40,ДДС_Расходование!$C:$C,BY$3)</f>
        <v>0</v>
      </c>
      <c r="BZ40" s="41">
        <f t="shared" si="243"/>
        <v>0</v>
      </c>
      <c r="CA40" s="41">
        <f t="shared" si="244"/>
        <v>0</v>
      </c>
      <c r="CB40" s="23">
        <f>-SUMIFS(ДДС_Расходование!$I:$I,ДДС_Расходование!$D:$D,$A40,ДДС_Расходование!$C:$C,CB$3)</f>
        <v>0</v>
      </c>
      <c r="CC40" s="23">
        <f>-SUMIFS(ДДС_Расходование!$I:$I,ДДС_Расходование!$D:$D,$A40,ДДС_Расходование!$C:$C,CC$3)</f>
        <v>0</v>
      </c>
      <c r="CD40" s="23">
        <f>-SUMIFS(ДДС_Расходование!$I:$I,ДДС_Расходование!$D:$D,$A40,ДДС_Расходование!$C:$C,CD$3)</f>
        <v>0</v>
      </c>
      <c r="CE40" s="41">
        <f t="shared" si="247"/>
        <v>0</v>
      </c>
      <c r="CF40" s="41">
        <f t="shared" si="248"/>
        <v>0</v>
      </c>
      <c r="CG40" s="23">
        <f>-SUMIFS(ДДС_Расходование!$I:$I,ДДС_Расходование!$D:$D,$A40,ДДС_Расходование!$C:$C,CG$3)</f>
        <v>0</v>
      </c>
      <c r="CH40" s="23">
        <f>-SUMIFS(ДДС_Расходование!$I:$I,ДДС_Расходование!$D:$D,$A40,ДДС_Расходование!$C:$C,CH$3)</f>
        <v>0</v>
      </c>
      <c r="CI40" s="23">
        <f>-SUMIFS(ДДС_Расходование!$I:$I,ДДС_Расходование!$D:$D,$A40,ДДС_Расходование!$C:$C,CI$3)</f>
        <v>0</v>
      </c>
      <c r="CJ40" s="41">
        <f t="shared" si="251"/>
        <v>0</v>
      </c>
      <c r="CK40" s="41">
        <f t="shared" si="252"/>
        <v>0</v>
      </c>
      <c r="CM40" s="23">
        <f>-SUMIFS(ДДС_Расходование!$I:$I,ДДС_Расходование!$D:$D,$A40,ДДС_Расходование!$C:$C,CM$3)</f>
        <v>0</v>
      </c>
      <c r="CN40" s="23">
        <f>-SUMIFS(ДДС_Расходование!$I:$I,ДДС_Расходование!$D:$D,$A40,ДДС_Расходование!$C:$C,CN$3)</f>
        <v>0</v>
      </c>
      <c r="CO40" s="23">
        <f>-SUMIFS(ДДС_Расходование!$I:$I,ДДС_Расходование!$D:$D,$A40,ДДС_Расходование!$C:$C,CO$3)</f>
        <v>0</v>
      </c>
      <c r="CP40" s="41">
        <f t="shared" si="255"/>
        <v>0</v>
      </c>
      <c r="CQ40" s="23">
        <f>-SUMIFS(ДДС_Расходование!$I:$I,ДДС_Расходование!$D:$D,$A40,ДДС_Расходование!$C:$C,CQ$3)</f>
        <v>0</v>
      </c>
      <c r="CR40" s="23">
        <f>-SUMIFS(ДДС_Расходование!$I:$I,ДДС_Расходование!$D:$D,$A40,ДДС_Расходование!$C:$C,CR$3)</f>
        <v>0</v>
      </c>
      <c r="CS40" s="23">
        <f>-SUMIFS(ДДС_Расходование!$I:$I,ДДС_Расходование!$D:$D,$A40,ДДС_Расходование!$C:$C,CS$3)</f>
        <v>0</v>
      </c>
      <c r="CT40" s="41">
        <f t="shared" si="258"/>
        <v>0</v>
      </c>
      <c r="CU40" s="41">
        <f t="shared" si="259"/>
        <v>0</v>
      </c>
      <c r="CV40" s="23">
        <f>-SUMIFS(ДДС_Расходование!$I:$I,ДДС_Расходование!$D:$D,$A40,ДДС_Расходование!$C:$C,CV$3)</f>
        <v>0</v>
      </c>
      <c r="CW40" s="23">
        <f>-SUMIFS(ДДС_Расходование!$I:$I,ДДС_Расходование!$D:$D,$A40,ДДС_Расходование!$C:$C,CW$3)</f>
        <v>0</v>
      </c>
      <c r="CX40" s="23">
        <f>-SUMIFS(ДДС_Расходование!$I:$I,ДДС_Расходование!$D:$D,$A40,ДДС_Расходование!$C:$C,CX$3)</f>
        <v>0</v>
      </c>
      <c r="CY40" s="41">
        <f t="shared" si="262"/>
        <v>0</v>
      </c>
      <c r="CZ40" s="41">
        <f t="shared" si="263"/>
        <v>0</v>
      </c>
      <c r="DA40" s="23">
        <f>-SUMIFS(ДДС_Расходование!$I:$I,ДДС_Расходование!$D:$D,$A40,ДДС_Расходование!$C:$C,DA$3)</f>
        <v>0</v>
      </c>
      <c r="DB40" s="23">
        <f>-SUMIFS(ДДС_Расходование!$I:$I,ДДС_Расходование!$D:$D,$A40,ДДС_Расходование!$C:$C,DB$3)</f>
        <v>0</v>
      </c>
      <c r="DC40" s="23">
        <f>-SUMIFS(ДДС_Расходование!$I:$I,ДДС_Расходование!$D:$D,$A40,ДДС_Расходование!$C:$C,DC$3)</f>
        <v>0</v>
      </c>
      <c r="DD40" s="41">
        <f t="shared" si="266"/>
        <v>0</v>
      </c>
      <c r="DE40" s="41">
        <f t="shared" si="267"/>
        <v>0</v>
      </c>
    </row>
    <row r="41" spans="1:109" s="12" customFormat="1" ht="10.199999999999999" x14ac:dyDescent="0.2">
      <c r="A41" s="11" t="s">
        <v>263</v>
      </c>
      <c r="B41" s="11"/>
      <c r="E41" s="20">
        <v>802232</v>
      </c>
      <c r="F41" s="21"/>
      <c r="G41" s="97" t="s">
        <v>262</v>
      </c>
      <c r="I41" s="41">
        <f t="shared" si="197"/>
        <v>0</v>
      </c>
      <c r="K41" s="23">
        <f>-SUMIFS(ДДС_Расходование!$I:$I,ДДС_Расходование!$D:$D,$A41,ДДС_Расходование!$C:$C,K$3)</f>
        <v>0</v>
      </c>
      <c r="L41" s="23">
        <f>-SUMIFS(ДДС_Расходование!$I:$I,ДДС_Расходование!$D:$D,$A41,ДДС_Расходование!$C:$C,L$3)</f>
        <v>0</v>
      </c>
      <c r="M41" s="23">
        <f>-SUMIFS(ДДС_Расходование!$I:$I,ДДС_Расходование!$D:$D,$A41,ДДС_Расходование!$C:$C,M$3)</f>
        <v>0</v>
      </c>
      <c r="N41" s="41">
        <f t="shared" si="92"/>
        <v>0</v>
      </c>
      <c r="O41" s="23">
        <f>-SUMIFS(ДДС_Расходование!$I:$I,ДДС_Расходование!$D:$D,$A41,ДДС_Расходование!$C:$C,O$3)</f>
        <v>0</v>
      </c>
      <c r="P41" s="23">
        <f>-SUMIFS(ДДС_Расходование!$I:$I,ДДС_Расходование!$D:$D,$A41,ДДС_Расходование!$C:$C,P$3)</f>
        <v>0</v>
      </c>
      <c r="Q41" s="23">
        <f>-SUMIFS(ДДС_Расходование!$I:$I,ДДС_Расходование!$D:$D,$A41,ДДС_Расходование!$C:$C,Q$3)</f>
        <v>0</v>
      </c>
      <c r="R41" s="41">
        <f t="shared" si="201"/>
        <v>0</v>
      </c>
      <c r="S41" s="41">
        <f t="shared" si="94"/>
        <v>0</v>
      </c>
      <c r="T41" s="23">
        <f>-SUMIFS(ДДС_Расходование!$I:$I,ДДС_Расходование!$D:$D,$A41,ДДС_Расходование!$C:$C,T$3)</f>
        <v>0</v>
      </c>
      <c r="U41" s="23">
        <f>-SUMIFS(ДДС_Расходование!$I:$I,ДДС_Расходование!$D:$D,$A41,ДДС_Расходование!$C:$C,U$3)</f>
        <v>0</v>
      </c>
      <c r="V41" s="23">
        <f>-SUMIFS(ДДС_Расходование!$I:$I,ДДС_Расходование!$D:$D,$A41,ДДС_Расходование!$C:$C,V$3)</f>
        <v>0</v>
      </c>
      <c r="W41" s="41">
        <f t="shared" si="204"/>
        <v>0</v>
      </c>
      <c r="X41" s="41">
        <f t="shared" si="96"/>
        <v>0</v>
      </c>
      <c r="Y41" s="23">
        <f>-SUMIFS(ДДС_Расходование!$I:$I,ДДС_Расходование!$D:$D,$A41,ДДС_Расходование!$C:$C,Y$3)</f>
        <v>0</v>
      </c>
      <c r="Z41" s="23">
        <f>-SUMIFS(ДДС_Расходование!$I:$I,ДДС_Расходование!$D:$D,$A41,ДДС_Расходование!$C:$C,Z$3)</f>
        <v>0</v>
      </c>
      <c r="AA41" s="23">
        <f>-SUMIFS(ДДС_Расходование!$I:$I,ДДС_Расходование!$D:$D,$A41,ДДС_Расходование!$C:$C,AA$3)</f>
        <v>0</v>
      </c>
      <c r="AB41" s="41">
        <f t="shared" si="207"/>
        <v>0</v>
      </c>
      <c r="AC41" s="41">
        <f t="shared" si="98"/>
        <v>0</v>
      </c>
      <c r="AE41" s="23">
        <f>-SUMIFS(ДДС_Расходование!$I:$I,ДДС_Расходование!$D:$D,$A41,ДДС_Расходование!$C:$C,AE$3)</f>
        <v>0</v>
      </c>
      <c r="AF41" s="23">
        <f>-SUMIFS(ДДС_Расходование!$I:$I,ДДС_Расходование!$D:$D,$A41,ДДС_Расходование!$C:$C,AF$3)</f>
        <v>0</v>
      </c>
      <c r="AG41" s="23">
        <f>-SUMIFS(ДДС_Расходование!$I:$I,ДДС_Расходование!$D:$D,$A41,ДДС_Расходование!$C:$C,AG$3)</f>
        <v>0</v>
      </c>
      <c r="AH41" s="41">
        <f t="shared" si="210"/>
        <v>0</v>
      </c>
      <c r="AI41" s="23">
        <f>-SUMIFS(ДДС_Расходование!$I:$I,ДДС_Расходование!$D:$D,$A41,ДДС_Расходование!$C:$C,AI$3)</f>
        <v>0</v>
      </c>
      <c r="AJ41" s="23">
        <f>-SUMIFS(ДДС_Расходование!$I:$I,ДДС_Расходование!$D:$D,$A41,ДДС_Расходование!$C:$C,AJ$3)</f>
        <v>0</v>
      </c>
      <c r="AK41" s="23">
        <f>-SUMIFS(ДДС_Расходование!$I:$I,ДДС_Расходование!$D:$D,$A41,ДДС_Расходование!$C:$C,AK$3)</f>
        <v>0</v>
      </c>
      <c r="AL41" s="41">
        <f t="shared" si="213"/>
        <v>0</v>
      </c>
      <c r="AM41" s="41">
        <f t="shared" si="214"/>
        <v>0</v>
      </c>
      <c r="AN41" s="23">
        <f>-SUMIFS(ДДС_Расходование!$I:$I,ДДС_Расходование!$D:$D,$A41,ДДС_Расходование!$C:$C,AN$3)</f>
        <v>0</v>
      </c>
      <c r="AO41" s="23">
        <f>-SUMIFS(ДДС_Расходование!$I:$I,ДДС_Расходование!$D:$D,$A41,ДДС_Расходование!$C:$C,AO$3)</f>
        <v>0</v>
      </c>
      <c r="AP41" s="23">
        <f>-SUMIFS(ДДС_Расходование!$I:$I,ДДС_Расходование!$D:$D,$A41,ДДС_Расходование!$C:$C,AP$3)</f>
        <v>0</v>
      </c>
      <c r="AQ41" s="41">
        <f t="shared" si="217"/>
        <v>0</v>
      </c>
      <c r="AR41" s="41">
        <f t="shared" si="218"/>
        <v>0</v>
      </c>
      <c r="AS41" s="23">
        <f>-SUMIFS(ДДС_Расходование!$I:$I,ДДС_Расходование!$D:$D,$A41,ДДС_Расходование!$C:$C,AS$3)</f>
        <v>0</v>
      </c>
      <c r="AT41" s="23">
        <f>-SUMIFS(ДДС_Расходование!$I:$I,ДДС_Расходование!$D:$D,$A41,ДДС_Расходование!$C:$C,AT$3)</f>
        <v>0</v>
      </c>
      <c r="AU41" s="23">
        <f>-SUMIFS(ДДС_Расходование!$I:$I,ДДС_Расходование!$D:$D,$A41,ДДС_Расходование!$C:$C,AU$3)</f>
        <v>0</v>
      </c>
      <c r="AV41" s="41">
        <f t="shared" si="221"/>
        <v>0</v>
      </c>
      <c r="AW41" s="41">
        <f t="shared" si="222"/>
        <v>0</v>
      </c>
      <c r="AY41" s="23">
        <f>-SUMIFS(ДДС_Расходование!$I:$I,ДДС_Расходование!$D:$D,$A41,ДДС_Расходование!$C:$C,AY$3)</f>
        <v>0</v>
      </c>
      <c r="AZ41" s="23">
        <f>-SUMIFS(ДДС_Расходование!$I:$I,ДДС_Расходование!$D:$D,$A41,ДДС_Расходование!$C:$C,AZ$3)</f>
        <v>0</v>
      </c>
      <c r="BA41" s="23">
        <f>-SUMIFS(ДДС_Расходование!$I:$I,ДДС_Расходование!$D:$D,$A41,ДДС_Расходование!$C:$C,BA$3)</f>
        <v>0</v>
      </c>
      <c r="BB41" s="41">
        <f t="shared" si="225"/>
        <v>0</v>
      </c>
      <c r="BC41" s="23">
        <f>-SUMIFS(ДДС_Расходование!$I:$I,ДДС_Расходование!$D:$D,$A41,ДДС_Расходование!$C:$C,BC$3)</f>
        <v>0</v>
      </c>
      <c r="BD41" s="23">
        <f>-SUMIFS(ДДС_Расходование!$I:$I,ДДС_Расходование!$D:$D,$A41,ДДС_Расходование!$C:$C,BD$3)</f>
        <v>0</v>
      </c>
      <c r="BE41" s="23">
        <f>-SUMIFS(ДДС_Расходование!$I:$I,ДДС_Расходование!$D:$D,$A41,ДДС_Расходование!$C:$C,BE$3)</f>
        <v>0</v>
      </c>
      <c r="BF41" s="41">
        <f t="shared" si="228"/>
        <v>0</v>
      </c>
      <c r="BG41" s="41">
        <f t="shared" si="229"/>
        <v>0</v>
      </c>
      <c r="BH41" s="23">
        <f>-SUMIFS(ДДС_Расходование!$I:$I,ДДС_Расходование!$D:$D,$A41,ДДС_Расходование!$C:$C,BH$3)</f>
        <v>0</v>
      </c>
      <c r="BI41" s="23">
        <f>-SUMIFS(ДДС_Расходование!$I:$I,ДДС_Расходование!$D:$D,$A41,ДДС_Расходование!$C:$C,BI$3)</f>
        <v>0</v>
      </c>
      <c r="BJ41" s="23">
        <f>-SUMIFS(ДДС_Расходование!$I:$I,ДДС_Расходование!$D:$D,$A41,ДДС_Расходование!$C:$C,BJ$3)</f>
        <v>0</v>
      </c>
      <c r="BK41" s="41">
        <f t="shared" si="232"/>
        <v>0</v>
      </c>
      <c r="BL41" s="41">
        <f t="shared" si="233"/>
        <v>0</v>
      </c>
      <c r="BM41" s="23">
        <f>-SUMIFS(ДДС_Расходование!$I:$I,ДДС_Расходование!$D:$D,$A41,ДДС_Расходование!$C:$C,BM$3)</f>
        <v>0</v>
      </c>
      <c r="BN41" s="23">
        <f>-SUMIFS(ДДС_Расходование!$I:$I,ДДС_Расходование!$D:$D,$A41,ДДС_Расходование!$C:$C,BN$3)</f>
        <v>0</v>
      </c>
      <c r="BO41" s="23">
        <f>-SUMIFS(ДДС_Расходование!$I:$I,ДДС_Расходование!$D:$D,$A41,ДДС_Расходование!$C:$C,BO$3)</f>
        <v>0</v>
      </c>
      <c r="BP41" s="41">
        <f t="shared" si="236"/>
        <v>0</v>
      </c>
      <c r="BQ41" s="41">
        <f t="shared" si="237"/>
        <v>0</v>
      </c>
      <c r="BS41" s="23">
        <f>-SUMIFS(ДДС_Расходование!$I:$I,ДДС_Расходование!$D:$D,$A41,ДДС_Расходование!$C:$C,BS$3)</f>
        <v>0</v>
      </c>
      <c r="BT41" s="23">
        <f>-SUMIFS(ДДС_Расходование!$I:$I,ДДС_Расходование!$D:$D,$A41,ДДС_Расходование!$C:$C,BT$3)</f>
        <v>0</v>
      </c>
      <c r="BU41" s="23">
        <f>-SUMIFS(ДДС_Расходование!$I:$I,ДДС_Расходование!$D:$D,$A41,ДДС_Расходование!$C:$C,BU$3)</f>
        <v>0</v>
      </c>
      <c r="BV41" s="41">
        <f t="shared" si="240"/>
        <v>0</v>
      </c>
      <c r="BW41" s="23">
        <f>-SUMIFS(ДДС_Расходование!$I:$I,ДДС_Расходование!$D:$D,$A41,ДДС_Расходование!$C:$C,BW$3)</f>
        <v>0</v>
      </c>
      <c r="BX41" s="23">
        <f>-SUMIFS(ДДС_Расходование!$I:$I,ДДС_Расходование!$D:$D,$A41,ДДС_Расходование!$C:$C,BX$3)</f>
        <v>0</v>
      </c>
      <c r="BY41" s="23">
        <f>-SUMIFS(ДДС_Расходование!$I:$I,ДДС_Расходование!$D:$D,$A41,ДДС_Расходование!$C:$C,BY$3)</f>
        <v>0</v>
      </c>
      <c r="BZ41" s="41">
        <f t="shared" si="243"/>
        <v>0</v>
      </c>
      <c r="CA41" s="41">
        <f t="shared" si="244"/>
        <v>0</v>
      </c>
      <c r="CB41" s="23">
        <f>-SUMIFS(ДДС_Расходование!$I:$I,ДДС_Расходование!$D:$D,$A41,ДДС_Расходование!$C:$C,CB$3)</f>
        <v>0</v>
      </c>
      <c r="CC41" s="23">
        <f>-SUMIFS(ДДС_Расходование!$I:$I,ДДС_Расходование!$D:$D,$A41,ДДС_Расходование!$C:$C,CC$3)</f>
        <v>0</v>
      </c>
      <c r="CD41" s="23">
        <f>-SUMIFS(ДДС_Расходование!$I:$I,ДДС_Расходование!$D:$D,$A41,ДДС_Расходование!$C:$C,CD$3)</f>
        <v>0</v>
      </c>
      <c r="CE41" s="41">
        <f t="shared" si="247"/>
        <v>0</v>
      </c>
      <c r="CF41" s="41">
        <f t="shared" si="248"/>
        <v>0</v>
      </c>
      <c r="CG41" s="23">
        <f>-SUMIFS(ДДС_Расходование!$I:$I,ДДС_Расходование!$D:$D,$A41,ДДС_Расходование!$C:$C,CG$3)</f>
        <v>0</v>
      </c>
      <c r="CH41" s="23">
        <f>-SUMIFS(ДДС_Расходование!$I:$I,ДДС_Расходование!$D:$D,$A41,ДДС_Расходование!$C:$C,CH$3)</f>
        <v>0</v>
      </c>
      <c r="CI41" s="23">
        <f>-SUMIFS(ДДС_Расходование!$I:$I,ДДС_Расходование!$D:$D,$A41,ДДС_Расходование!$C:$C,CI$3)</f>
        <v>0</v>
      </c>
      <c r="CJ41" s="41">
        <f t="shared" si="251"/>
        <v>0</v>
      </c>
      <c r="CK41" s="41">
        <f t="shared" si="252"/>
        <v>0</v>
      </c>
      <c r="CM41" s="23">
        <f>-SUMIFS(ДДС_Расходование!$I:$I,ДДС_Расходование!$D:$D,$A41,ДДС_Расходование!$C:$C,CM$3)</f>
        <v>0</v>
      </c>
      <c r="CN41" s="23">
        <f>-SUMIFS(ДДС_Расходование!$I:$I,ДДС_Расходование!$D:$D,$A41,ДДС_Расходование!$C:$C,CN$3)</f>
        <v>0</v>
      </c>
      <c r="CO41" s="23">
        <f>-SUMIFS(ДДС_Расходование!$I:$I,ДДС_Расходование!$D:$D,$A41,ДДС_Расходование!$C:$C,CO$3)</f>
        <v>0</v>
      </c>
      <c r="CP41" s="41">
        <f t="shared" si="255"/>
        <v>0</v>
      </c>
      <c r="CQ41" s="23">
        <f>-SUMIFS(ДДС_Расходование!$I:$I,ДДС_Расходование!$D:$D,$A41,ДДС_Расходование!$C:$C,CQ$3)</f>
        <v>0</v>
      </c>
      <c r="CR41" s="23">
        <f>-SUMIFS(ДДС_Расходование!$I:$I,ДДС_Расходование!$D:$D,$A41,ДДС_Расходование!$C:$C,CR$3)</f>
        <v>0</v>
      </c>
      <c r="CS41" s="23">
        <f>-SUMIFS(ДДС_Расходование!$I:$I,ДДС_Расходование!$D:$D,$A41,ДДС_Расходование!$C:$C,CS$3)</f>
        <v>0</v>
      </c>
      <c r="CT41" s="41">
        <f t="shared" si="258"/>
        <v>0</v>
      </c>
      <c r="CU41" s="41">
        <f t="shared" si="259"/>
        <v>0</v>
      </c>
      <c r="CV41" s="23">
        <f>-SUMIFS(ДДС_Расходование!$I:$I,ДДС_Расходование!$D:$D,$A41,ДДС_Расходование!$C:$C,CV$3)</f>
        <v>0</v>
      </c>
      <c r="CW41" s="23">
        <f>-SUMIFS(ДДС_Расходование!$I:$I,ДДС_Расходование!$D:$D,$A41,ДДС_Расходование!$C:$C,CW$3)</f>
        <v>0</v>
      </c>
      <c r="CX41" s="23">
        <f>-SUMIFS(ДДС_Расходование!$I:$I,ДДС_Расходование!$D:$D,$A41,ДДС_Расходование!$C:$C,CX$3)</f>
        <v>0</v>
      </c>
      <c r="CY41" s="41">
        <f t="shared" si="262"/>
        <v>0</v>
      </c>
      <c r="CZ41" s="41">
        <f t="shared" si="263"/>
        <v>0</v>
      </c>
      <c r="DA41" s="23">
        <f>-SUMIFS(ДДС_Расходование!$I:$I,ДДС_Расходование!$D:$D,$A41,ДДС_Расходование!$C:$C,DA$3)</f>
        <v>0</v>
      </c>
      <c r="DB41" s="23">
        <f>-SUMIFS(ДДС_Расходование!$I:$I,ДДС_Расходование!$D:$D,$A41,ДДС_Расходование!$C:$C,DB$3)</f>
        <v>0</v>
      </c>
      <c r="DC41" s="23">
        <f>-SUMIFS(ДДС_Расходование!$I:$I,ДДС_Расходование!$D:$D,$A41,ДДС_Расходование!$C:$C,DC$3)</f>
        <v>0</v>
      </c>
      <c r="DD41" s="41">
        <f t="shared" si="266"/>
        <v>0</v>
      </c>
      <c r="DE41" s="41">
        <f t="shared" si="267"/>
        <v>0</v>
      </c>
    </row>
    <row r="42" spans="1:109" s="12" customFormat="1" ht="10.199999999999999" x14ac:dyDescent="0.2">
      <c r="A42" s="11"/>
      <c r="E42" s="107"/>
      <c r="F42" s="101"/>
      <c r="G42" s="101" t="s">
        <v>274</v>
      </c>
      <c r="I42" s="109">
        <f t="shared" si="197"/>
        <v>-3385313.307003588</v>
      </c>
      <c r="K42" s="105">
        <f>K43+K47</f>
        <v>0</v>
      </c>
      <c r="L42" s="105">
        <f t="shared" ref="L42:M42" si="385">L43+L47</f>
        <v>0</v>
      </c>
      <c r="M42" s="106">
        <f t="shared" si="385"/>
        <v>0</v>
      </c>
      <c r="N42" s="110">
        <f t="shared" si="92"/>
        <v>0</v>
      </c>
      <c r="O42" s="105">
        <f>O43+O47</f>
        <v>0</v>
      </c>
      <c r="P42" s="105">
        <f t="shared" ref="P42" si="386">P43+P47</f>
        <v>0</v>
      </c>
      <c r="Q42" s="106">
        <f t="shared" ref="Q42" si="387">Q43+Q47</f>
        <v>0</v>
      </c>
      <c r="R42" s="110">
        <f t="shared" si="201"/>
        <v>0</v>
      </c>
      <c r="S42" s="110">
        <f t="shared" si="94"/>
        <v>0</v>
      </c>
      <c r="T42" s="105">
        <f>T43+T47</f>
        <v>0</v>
      </c>
      <c r="U42" s="105">
        <f t="shared" ref="U42" si="388">U43+U47</f>
        <v>0</v>
      </c>
      <c r="V42" s="106">
        <f t="shared" ref="V42" si="389">V43+V47</f>
        <v>315006.33122375835</v>
      </c>
      <c r="W42" s="110">
        <f t="shared" si="204"/>
        <v>315006.33122375835</v>
      </c>
      <c r="X42" s="110">
        <f t="shared" si="96"/>
        <v>315006.33122375835</v>
      </c>
      <c r="Y42" s="105">
        <f>Y43+Y47</f>
        <v>646786.99789042515</v>
      </c>
      <c r="Z42" s="105">
        <f t="shared" ref="Z42" si="390">Z43+Z47</f>
        <v>-3242989.3555631451</v>
      </c>
      <c r="AA42" s="106">
        <f t="shared" ref="AA42" si="391">AA43+AA47</f>
        <v>895882.71944537386</v>
      </c>
      <c r="AB42" s="110">
        <f t="shared" si="207"/>
        <v>-1700319.6382273464</v>
      </c>
      <c r="AC42" s="110">
        <f t="shared" si="98"/>
        <v>-1385313.307003588</v>
      </c>
      <c r="AE42" s="105">
        <f>AE43+AE47</f>
        <v>-2000000</v>
      </c>
      <c r="AF42" s="105">
        <f t="shared" ref="AF42" si="392">AF43+AF47</f>
        <v>0</v>
      </c>
      <c r="AG42" s="106">
        <f t="shared" ref="AG42" si="393">AG43+AG47</f>
        <v>0</v>
      </c>
      <c r="AH42" s="110">
        <f t="shared" si="210"/>
        <v>-2000000</v>
      </c>
      <c r="AI42" s="105">
        <f>AI43+AI47</f>
        <v>0</v>
      </c>
      <c r="AJ42" s="105">
        <f t="shared" ref="AJ42" si="394">AJ43+AJ47</f>
        <v>0</v>
      </c>
      <c r="AK42" s="106">
        <f t="shared" ref="AK42" si="395">AK43+AK47</f>
        <v>0</v>
      </c>
      <c r="AL42" s="110">
        <f t="shared" si="213"/>
        <v>0</v>
      </c>
      <c r="AM42" s="110">
        <f t="shared" si="214"/>
        <v>-2000000</v>
      </c>
      <c r="AN42" s="105">
        <f>AN43+AN47</f>
        <v>0</v>
      </c>
      <c r="AO42" s="105">
        <f t="shared" ref="AO42" si="396">AO43+AO47</f>
        <v>0</v>
      </c>
      <c r="AP42" s="106">
        <f t="shared" ref="AP42" si="397">AP43+AP47</f>
        <v>0</v>
      </c>
      <c r="AQ42" s="110">
        <f t="shared" si="217"/>
        <v>0</v>
      </c>
      <c r="AR42" s="110">
        <f t="shared" si="218"/>
        <v>-2000000</v>
      </c>
      <c r="AS42" s="105">
        <f>AS43+AS47</f>
        <v>0</v>
      </c>
      <c r="AT42" s="105">
        <f t="shared" ref="AT42" si="398">AT43+AT47</f>
        <v>0</v>
      </c>
      <c r="AU42" s="106">
        <f t="shared" ref="AU42" si="399">AU43+AU47</f>
        <v>0</v>
      </c>
      <c r="AV42" s="110">
        <f t="shared" si="221"/>
        <v>0</v>
      </c>
      <c r="AW42" s="110">
        <f t="shared" si="222"/>
        <v>-2000000</v>
      </c>
      <c r="AY42" s="105">
        <f>AY43+AY47</f>
        <v>0</v>
      </c>
      <c r="AZ42" s="105">
        <f t="shared" ref="AZ42" si="400">AZ43+AZ47</f>
        <v>0</v>
      </c>
      <c r="BA42" s="106">
        <f t="shared" ref="BA42" si="401">BA43+BA47</f>
        <v>0</v>
      </c>
      <c r="BB42" s="110">
        <f t="shared" si="225"/>
        <v>0</v>
      </c>
      <c r="BC42" s="105">
        <f>BC43+BC47</f>
        <v>0</v>
      </c>
      <c r="BD42" s="105">
        <f t="shared" ref="BD42" si="402">BD43+BD47</f>
        <v>0</v>
      </c>
      <c r="BE42" s="106">
        <f t="shared" ref="BE42" si="403">BE43+BE47</f>
        <v>0</v>
      </c>
      <c r="BF42" s="110">
        <f t="shared" si="228"/>
        <v>0</v>
      </c>
      <c r="BG42" s="110">
        <f t="shared" si="229"/>
        <v>0</v>
      </c>
      <c r="BH42" s="105">
        <f>BH43+BH47</f>
        <v>0</v>
      </c>
      <c r="BI42" s="105">
        <f t="shared" ref="BI42" si="404">BI43+BI47</f>
        <v>0</v>
      </c>
      <c r="BJ42" s="106">
        <f t="shared" ref="BJ42" si="405">BJ43+BJ47</f>
        <v>0</v>
      </c>
      <c r="BK42" s="110">
        <f t="shared" si="232"/>
        <v>0</v>
      </c>
      <c r="BL42" s="110">
        <f t="shared" si="233"/>
        <v>0</v>
      </c>
      <c r="BM42" s="105">
        <f>BM43+BM47</f>
        <v>0</v>
      </c>
      <c r="BN42" s="105">
        <f t="shared" ref="BN42" si="406">BN43+BN47</f>
        <v>0</v>
      </c>
      <c r="BO42" s="106">
        <f t="shared" ref="BO42" si="407">BO43+BO47</f>
        <v>0</v>
      </c>
      <c r="BP42" s="110">
        <f t="shared" si="236"/>
        <v>0</v>
      </c>
      <c r="BQ42" s="110">
        <f t="shared" si="237"/>
        <v>0</v>
      </c>
      <c r="BS42" s="105">
        <f>BS43+BS47</f>
        <v>0</v>
      </c>
      <c r="BT42" s="105">
        <f t="shared" ref="BT42" si="408">BT43+BT47</f>
        <v>0</v>
      </c>
      <c r="BU42" s="106">
        <f t="shared" ref="BU42" si="409">BU43+BU47</f>
        <v>0</v>
      </c>
      <c r="BV42" s="110">
        <f t="shared" si="240"/>
        <v>0</v>
      </c>
      <c r="BW42" s="105">
        <f>BW43+BW47</f>
        <v>0</v>
      </c>
      <c r="BX42" s="105">
        <f t="shared" ref="BX42" si="410">BX43+BX47</f>
        <v>0</v>
      </c>
      <c r="BY42" s="106">
        <f t="shared" ref="BY42" si="411">BY43+BY47</f>
        <v>0</v>
      </c>
      <c r="BZ42" s="110">
        <f t="shared" si="243"/>
        <v>0</v>
      </c>
      <c r="CA42" s="110">
        <f t="shared" si="244"/>
        <v>0</v>
      </c>
      <c r="CB42" s="105">
        <f>CB43+CB47</f>
        <v>0</v>
      </c>
      <c r="CC42" s="105">
        <f t="shared" ref="CC42" si="412">CC43+CC47</f>
        <v>0</v>
      </c>
      <c r="CD42" s="106">
        <f t="shared" ref="CD42" si="413">CD43+CD47</f>
        <v>0</v>
      </c>
      <c r="CE42" s="110">
        <f t="shared" si="247"/>
        <v>0</v>
      </c>
      <c r="CF42" s="110">
        <f t="shared" si="248"/>
        <v>0</v>
      </c>
      <c r="CG42" s="105">
        <f>CG43+CG47</f>
        <v>0</v>
      </c>
      <c r="CH42" s="105">
        <f t="shared" ref="CH42" si="414">CH43+CH47</f>
        <v>0</v>
      </c>
      <c r="CI42" s="106">
        <f t="shared" ref="CI42" si="415">CI43+CI47</f>
        <v>0</v>
      </c>
      <c r="CJ42" s="110">
        <f t="shared" si="251"/>
        <v>0</v>
      </c>
      <c r="CK42" s="110">
        <f t="shared" si="252"/>
        <v>0</v>
      </c>
      <c r="CM42" s="105">
        <f>CM43+CM47</f>
        <v>0</v>
      </c>
      <c r="CN42" s="105">
        <f t="shared" ref="CN42" si="416">CN43+CN47</f>
        <v>0</v>
      </c>
      <c r="CO42" s="106">
        <f t="shared" ref="CO42" si="417">CO43+CO47</f>
        <v>0</v>
      </c>
      <c r="CP42" s="110">
        <f t="shared" si="255"/>
        <v>0</v>
      </c>
      <c r="CQ42" s="105">
        <f>CQ43+CQ47</f>
        <v>0</v>
      </c>
      <c r="CR42" s="105">
        <f t="shared" ref="CR42" si="418">CR43+CR47</f>
        <v>0</v>
      </c>
      <c r="CS42" s="106">
        <f t="shared" ref="CS42" si="419">CS43+CS47</f>
        <v>0</v>
      </c>
      <c r="CT42" s="110">
        <f t="shared" si="258"/>
        <v>0</v>
      </c>
      <c r="CU42" s="110">
        <f t="shared" si="259"/>
        <v>0</v>
      </c>
      <c r="CV42" s="105">
        <f>CV43+CV47</f>
        <v>0</v>
      </c>
      <c r="CW42" s="105">
        <f t="shared" ref="CW42" si="420">CW43+CW47</f>
        <v>0</v>
      </c>
      <c r="CX42" s="106">
        <f t="shared" ref="CX42" si="421">CX43+CX47</f>
        <v>0</v>
      </c>
      <c r="CY42" s="110">
        <f t="shared" si="262"/>
        <v>0</v>
      </c>
      <c r="CZ42" s="110">
        <f t="shared" si="263"/>
        <v>0</v>
      </c>
      <c r="DA42" s="105">
        <f>DA43+DA47</f>
        <v>0</v>
      </c>
      <c r="DB42" s="105">
        <f t="shared" ref="DB42" si="422">DB43+DB47</f>
        <v>0</v>
      </c>
      <c r="DC42" s="106">
        <f t="shared" ref="DC42" si="423">DC43+DC47</f>
        <v>0</v>
      </c>
      <c r="DD42" s="110">
        <f t="shared" si="266"/>
        <v>0</v>
      </c>
      <c r="DE42" s="110">
        <f t="shared" si="267"/>
        <v>0</v>
      </c>
    </row>
    <row r="43" spans="1:109" s="12" customFormat="1" ht="10.199999999999999" x14ac:dyDescent="0.2">
      <c r="E43" s="79"/>
      <c r="F43" s="79"/>
      <c r="G43" s="103" t="s">
        <v>264</v>
      </c>
      <c r="I43" s="88">
        <f t="shared" si="197"/>
        <v>-1816192.4242424245</v>
      </c>
      <c r="K43" s="85">
        <f>SUM(K44:K46)</f>
        <v>0</v>
      </c>
      <c r="L43" s="85">
        <f t="shared" ref="L43:M43" si="424">SUM(L44:L46)</f>
        <v>0</v>
      </c>
      <c r="M43" s="85">
        <f t="shared" si="424"/>
        <v>0</v>
      </c>
      <c r="N43" s="88">
        <f t="shared" si="92"/>
        <v>0</v>
      </c>
      <c r="O43" s="85">
        <f>SUM(O44:O46)</f>
        <v>0</v>
      </c>
      <c r="P43" s="85">
        <f t="shared" ref="P43" si="425">SUM(P44:P46)</f>
        <v>0</v>
      </c>
      <c r="Q43" s="85">
        <f t="shared" ref="Q43" si="426">SUM(Q44:Q46)</f>
        <v>0</v>
      </c>
      <c r="R43" s="88">
        <f t="shared" si="201"/>
        <v>0</v>
      </c>
      <c r="S43" s="88">
        <f t="shared" si="94"/>
        <v>0</v>
      </c>
      <c r="T43" s="85">
        <f>SUM(T44:T46)</f>
        <v>0</v>
      </c>
      <c r="U43" s="85">
        <f t="shared" ref="U43" si="427">SUM(U44:U46)</f>
        <v>0</v>
      </c>
      <c r="V43" s="85">
        <f t="shared" ref="V43" si="428">SUM(V44:V46)</f>
        <v>376666.66666666657</v>
      </c>
      <c r="W43" s="88">
        <f t="shared" si="204"/>
        <v>376666.66666666657</v>
      </c>
      <c r="X43" s="88">
        <f t="shared" si="96"/>
        <v>376666.66666666657</v>
      </c>
      <c r="Y43" s="85">
        <f>SUM(Y44:Y46)</f>
        <v>200000</v>
      </c>
      <c r="Z43" s="85">
        <f t="shared" ref="Z43" si="429">SUM(Z44:Z46)</f>
        <v>-1683333.3333333335</v>
      </c>
      <c r="AA43" s="85">
        <f t="shared" ref="AA43" si="430">SUM(AA44:AA46)</f>
        <v>290474.24242424237</v>
      </c>
      <c r="AB43" s="88">
        <f t="shared" si="207"/>
        <v>-1192859.0909090911</v>
      </c>
      <c r="AC43" s="88">
        <f t="shared" si="98"/>
        <v>-816192.42424242455</v>
      </c>
      <c r="AE43" s="85">
        <f>SUM(AE44:AE46)</f>
        <v>-1000000</v>
      </c>
      <c r="AF43" s="85">
        <f t="shared" ref="AF43" si="431">SUM(AF44:AF46)</f>
        <v>0</v>
      </c>
      <c r="AG43" s="85">
        <f t="shared" ref="AG43" si="432">SUM(AG44:AG46)</f>
        <v>0</v>
      </c>
      <c r="AH43" s="88">
        <f t="shared" si="210"/>
        <v>-1000000</v>
      </c>
      <c r="AI43" s="85">
        <f>SUM(AI44:AI46)</f>
        <v>0</v>
      </c>
      <c r="AJ43" s="85">
        <f t="shared" ref="AJ43" si="433">SUM(AJ44:AJ46)</f>
        <v>0</v>
      </c>
      <c r="AK43" s="85">
        <f t="shared" ref="AK43" si="434">SUM(AK44:AK46)</f>
        <v>0</v>
      </c>
      <c r="AL43" s="88">
        <f t="shared" si="213"/>
        <v>0</v>
      </c>
      <c r="AM43" s="88">
        <f t="shared" si="214"/>
        <v>-1000000</v>
      </c>
      <c r="AN43" s="85">
        <f>SUM(AN44:AN46)</f>
        <v>0</v>
      </c>
      <c r="AO43" s="85">
        <f t="shared" ref="AO43" si="435">SUM(AO44:AO46)</f>
        <v>0</v>
      </c>
      <c r="AP43" s="85">
        <f t="shared" ref="AP43" si="436">SUM(AP44:AP46)</f>
        <v>0</v>
      </c>
      <c r="AQ43" s="88">
        <f t="shared" si="217"/>
        <v>0</v>
      </c>
      <c r="AR43" s="88">
        <f t="shared" si="218"/>
        <v>-1000000</v>
      </c>
      <c r="AS43" s="85">
        <f>SUM(AS44:AS46)</f>
        <v>0</v>
      </c>
      <c r="AT43" s="85">
        <f t="shared" ref="AT43" si="437">SUM(AT44:AT46)</f>
        <v>0</v>
      </c>
      <c r="AU43" s="85">
        <f t="shared" ref="AU43" si="438">SUM(AU44:AU46)</f>
        <v>0</v>
      </c>
      <c r="AV43" s="88">
        <f t="shared" si="221"/>
        <v>0</v>
      </c>
      <c r="AW43" s="88">
        <f t="shared" si="222"/>
        <v>-1000000</v>
      </c>
      <c r="AY43" s="85">
        <f>SUM(AY44:AY46)</f>
        <v>0</v>
      </c>
      <c r="AZ43" s="85">
        <f t="shared" ref="AZ43" si="439">SUM(AZ44:AZ46)</f>
        <v>0</v>
      </c>
      <c r="BA43" s="85">
        <f t="shared" ref="BA43" si="440">SUM(BA44:BA46)</f>
        <v>0</v>
      </c>
      <c r="BB43" s="88">
        <f t="shared" si="225"/>
        <v>0</v>
      </c>
      <c r="BC43" s="85">
        <f>SUM(BC44:BC46)</f>
        <v>0</v>
      </c>
      <c r="BD43" s="85">
        <f t="shared" ref="BD43" si="441">SUM(BD44:BD46)</f>
        <v>0</v>
      </c>
      <c r="BE43" s="85">
        <f t="shared" ref="BE43" si="442">SUM(BE44:BE46)</f>
        <v>0</v>
      </c>
      <c r="BF43" s="88">
        <f t="shared" si="228"/>
        <v>0</v>
      </c>
      <c r="BG43" s="88">
        <f t="shared" si="229"/>
        <v>0</v>
      </c>
      <c r="BH43" s="85">
        <f>SUM(BH44:BH46)</f>
        <v>0</v>
      </c>
      <c r="BI43" s="85">
        <f t="shared" ref="BI43" si="443">SUM(BI44:BI46)</f>
        <v>0</v>
      </c>
      <c r="BJ43" s="85">
        <f t="shared" ref="BJ43" si="444">SUM(BJ44:BJ46)</f>
        <v>0</v>
      </c>
      <c r="BK43" s="88">
        <f t="shared" si="232"/>
        <v>0</v>
      </c>
      <c r="BL43" s="88">
        <f t="shared" si="233"/>
        <v>0</v>
      </c>
      <c r="BM43" s="85">
        <f>SUM(BM44:BM46)</f>
        <v>0</v>
      </c>
      <c r="BN43" s="85">
        <f t="shared" ref="BN43" si="445">SUM(BN44:BN46)</f>
        <v>0</v>
      </c>
      <c r="BO43" s="85">
        <f t="shared" ref="BO43" si="446">SUM(BO44:BO46)</f>
        <v>0</v>
      </c>
      <c r="BP43" s="88">
        <f t="shared" si="236"/>
        <v>0</v>
      </c>
      <c r="BQ43" s="88">
        <f t="shared" si="237"/>
        <v>0</v>
      </c>
      <c r="BS43" s="85">
        <f>SUM(BS44:BS46)</f>
        <v>0</v>
      </c>
      <c r="BT43" s="85">
        <f t="shared" ref="BT43" si="447">SUM(BT44:BT46)</f>
        <v>0</v>
      </c>
      <c r="BU43" s="85">
        <f t="shared" ref="BU43" si="448">SUM(BU44:BU46)</f>
        <v>0</v>
      </c>
      <c r="BV43" s="88">
        <f t="shared" si="240"/>
        <v>0</v>
      </c>
      <c r="BW43" s="85">
        <f>SUM(BW44:BW46)</f>
        <v>0</v>
      </c>
      <c r="BX43" s="85">
        <f t="shared" ref="BX43" si="449">SUM(BX44:BX46)</f>
        <v>0</v>
      </c>
      <c r="BY43" s="85">
        <f t="shared" ref="BY43" si="450">SUM(BY44:BY46)</f>
        <v>0</v>
      </c>
      <c r="BZ43" s="88">
        <f t="shared" si="243"/>
        <v>0</v>
      </c>
      <c r="CA43" s="88">
        <f t="shared" si="244"/>
        <v>0</v>
      </c>
      <c r="CB43" s="85">
        <f>SUM(CB44:CB46)</f>
        <v>0</v>
      </c>
      <c r="CC43" s="85">
        <f t="shared" ref="CC43" si="451">SUM(CC44:CC46)</f>
        <v>0</v>
      </c>
      <c r="CD43" s="85">
        <f t="shared" ref="CD43" si="452">SUM(CD44:CD46)</f>
        <v>0</v>
      </c>
      <c r="CE43" s="88">
        <f t="shared" si="247"/>
        <v>0</v>
      </c>
      <c r="CF43" s="88">
        <f t="shared" si="248"/>
        <v>0</v>
      </c>
      <c r="CG43" s="85">
        <f>SUM(CG44:CG46)</f>
        <v>0</v>
      </c>
      <c r="CH43" s="85">
        <f t="shared" ref="CH43" si="453">SUM(CH44:CH46)</f>
        <v>0</v>
      </c>
      <c r="CI43" s="85">
        <f t="shared" ref="CI43" si="454">SUM(CI44:CI46)</f>
        <v>0</v>
      </c>
      <c r="CJ43" s="88">
        <f t="shared" si="251"/>
        <v>0</v>
      </c>
      <c r="CK43" s="88">
        <f t="shared" si="252"/>
        <v>0</v>
      </c>
      <c r="CM43" s="85">
        <f>SUM(CM44:CM46)</f>
        <v>0</v>
      </c>
      <c r="CN43" s="85">
        <f t="shared" ref="CN43" si="455">SUM(CN44:CN46)</f>
        <v>0</v>
      </c>
      <c r="CO43" s="85">
        <f t="shared" ref="CO43" si="456">SUM(CO44:CO46)</f>
        <v>0</v>
      </c>
      <c r="CP43" s="88">
        <f t="shared" si="255"/>
        <v>0</v>
      </c>
      <c r="CQ43" s="85">
        <f>SUM(CQ44:CQ46)</f>
        <v>0</v>
      </c>
      <c r="CR43" s="85">
        <f t="shared" ref="CR43" si="457">SUM(CR44:CR46)</f>
        <v>0</v>
      </c>
      <c r="CS43" s="85">
        <f t="shared" ref="CS43" si="458">SUM(CS44:CS46)</f>
        <v>0</v>
      </c>
      <c r="CT43" s="88">
        <f t="shared" si="258"/>
        <v>0</v>
      </c>
      <c r="CU43" s="88">
        <f t="shared" si="259"/>
        <v>0</v>
      </c>
      <c r="CV43" s="85">
        <f>SUM(CV44:CV46)</f>
        <v>0</v>
      </c>
      <c r="CW43" s="85">
        <f t="shared" ref="CW43" si="459">SUM(CW44:CW46)</f>
        <v>0</v>
      </c>
      <c r="CX43" s="85">
        <f t="shared" ref="CX43" si="460">SUM(CX44:CX46)</f>
        <v>0</v>
      </c>
      <c r="CY43" s="88">
        <f t="shared" si="262"/>
        <v>0</v>
      </c>
      <c r="CZ43" s="88">
        <f t="shared" si="263"/>
        <v>0</v>
      </c>
      <c r="DA43" s="85">
        <f>SUM(DA44:DA46)</f>
        <v>0</v>
      </c>
      <c r="DB43" s="85">
        <f t="shared" ref="DB43" si="461">SUM(DB44:DB46)</f>
        <v>0</v>
      </c>
      <c r="DC43" s="85">
        <f t="shared" ref="DC43" si="462">SUM(DC44:DC46)</f>
        <v>0</v>
      </c>
      <c r="DD43" s="88">
        <f t="shared" si="266"/>
        <v>0</v>
      </c>
      <c r="DE43" s="88">
        <f t="shared" si="267"/>
        <v>0</v>
      </c>
    </row>
    <row r="44" spans="1:109" s="12" customFormat="1" ht="10.199999999999999" x14ac:dyDescent="0.2">
      <c r="A44" s="11"/>
      <c r="B44" s="11"/>
      <c r="E44" s="20"/>
      <c r="F44" s="21"/>
      <c r="G44" s="97" t="s">
        <v>271</v>
      </c>
      <c r="I44" s="87">
        <f t="shared" si="197"/>
        <v>-3000000</v>
      </c>
      <c r="K44" s="23">
        <f>-SUMIFS(ДДС_Поступление!$G:$G,ДДС_Поступление!$C:$C,K$3)</f>
        <v>0</v>
      </c>
      <c r="L44" s="23">
        <f>-SUMIFS(ДДС_Поступление!$G:$G,ДДС_Поступление!$C:$C,L$3)</f>
        <v>0</v>
      </c>
      <c r="M44" s="23">
        <f>-SUMIFS(ДДС_Поступление!$G:$G,ДДС_Поступление!$C:$C,M$3)</f>
        <v>0</v>
      </c>
      <c r="N44" s="87">
        <f t="shared" si="92"/>
        <v>0</v>
      </c>
      <c r="O44" s="23">
        <f>-SUMIFS(ДДС_Поступление!$G:$G,ДДС_Поступление!$C:$C,O$3)</f>
        <v>0</v>
      </c>
      <c r="P44" s="23">
        <f>-SUMIFS(ДДС_Поступление!$G:$G,ДДС_Поступление!$C:$C,P$3)</f>
        <v>0</v>
      </c>
      <c r="Q44" s="23">
        <f>-SUMIFS(ДДС_Поступление!$G:$G,ДДС_Поступление!$C:$C,Q$3)</f>
        <v>0</v>
      </c>
      <c r="R44" s="87">
        <f t="shared" si="201"/>
        <v>0</v>
      </c>
      <c r="S44" s="87">
        <f t="shared" si="94"/>
        <v>0</v>
      </c>
      <c r="T44" s="23">
        <f>-SUMIFS(ДДС_Поступление!$G:$G,ДДС_Поступление!$C:$C,T$3)</f>
        <v>0</v>
      </c>
      <c r="U44" s="23">
        <f>-SUMIFS(ДДС_Поступление!$G:$G,ДДС_Поступление!$C:$C,U$3)</f>
        <v>0</v>
      </c>
      <c r="V44" s="23">
        <f>-SUMIFS(ДДС_Поступление!$G:$G,ДДС_Поступление!$C:$C,V$3)</f>
        <v>0</v>
      </c>
      <c r="W44" s="87">
        <f t="shared" si="204"/>
        <v>0</v>
      </c>
      <c r="X44" s="87">
        <f t="shared" si="96"/>
        <v>0</v>
      </c>
      <c r="Y44" s="23">
        <f>-SUMIFS(ДДС_Поступление!$G:$G,ДДС_Поступление!$C:$C,Y$3)</f>
        <v>0</v>
      </c>
      <c r="Z44" s="23">
        <f>-SUMIFS(ДДС_Поступление!$G:$G,ДДС_Поступление!$C:$C,Z$3)</f>
        <v>-2000000</v>
      </c>
      <c r="AA44" s="23">
        <f>-SUMIFS(ДДС_Поступление!$G:$G,ДДС_Поступление!$C:$C,AA$3)</f>
        <v>0</v>
      </c>
      <c r="AB44" s="87">
        <f t="shared" si="207"/>
        <v>-2000000</v>
      </c>
      <c r="AC44" s="87">
        <f t="shared" si="98"/>
        <v>-2000000</v>
      </c>
      <c r="AE44" s="23">
        <f>-SUMIFS(ДДС_Поступление!$G:$G,ДДС_Поступление!$C:$C,AE$3)</f>
        <v>-1000000</v>
      </c>
      <c r="AF44" s="23">
        <f>-SUMIFS(ДДС_Поступление!$G:$G,ДДС_Поступление!$C:$C,AF$3)</f>
        <v>0</v>
      </c>
      <c r="AG44" s="23">
        <f>-SUMIFS(ДДС_Поступление!$G:$G,ДДС_Поступление!$C:$C,AG$3)</f>
        <v>0</v>
      </c>
      <c r="AH44" s="87">
        <f t="shared" si="210"/>
        <v>-1000000</v>
      </c>
      <c r="AI44" s="23">
        <f>-SUMIFS(ДДС_Поступление!$G:$G,ДДС_Поступление!$C:$C,AI$3)</f>
        <v>0</v>
      </c>
      <c r="AJ44" s="23">
        <f>-SUMIFS(ДДС_Поступление!$G:$G,ДДС_Поступление!$C:$C,AJ$3)</f>
        <v>0</v>
      </c>
      <c r="AK44" s="23">
        <f>-SUMIFS(ДДС_Поступление!$G:$G,ДДС_Поступление!$C:$C,AK$3)</f>
        <v>0</v>
      </c>
      <c r="AL44" s="87">
        <f t="shared" si="213"/>
        <v>0</v>
      </c>
      <c r="AM44" s="87">
        <f t="shared" si="214"/>
        <v>-1000000</v>
      </c>
      <c r="AN44" s="23">
        <f>-SUMIFS(ДДС_Поступление!$G:$G,ДДС_Поступление!$C:$C,AN$3)</f>
        <v>0</v>
      </c>
      <c r="AO44" s="23">
        <f>-SUMIFS(ДДС_Поступление!$G:$G,ДДС_Поступление!$C:$C,AO$3)</f>
        <v>0</v>
      </c>
      <c r="AP44" s="23">
        <f>-SUMIFS(ДДС_Поступление!$G:$G,ДДС_Поступление!$C:$C,AP$3)</f>
        <v>0</v>
      </c>
      <c r="AQ44" s="87">
        <f t="shared" si="217"/>
        <v>0</v>
      </c>
      <c r="AR44" s="87">
        <f t="shared" si="218"/>
        <v>-1000000</v>
      </c>
      <c r="AS44" s="23">
        <f>-SUMIFS(ДДС_Поступление!$G:$G,ДДС_Поступление!$C:$C,AS$3)</f>
        <v>0</v>
      </c>
      <c r="AT44" s="23">
        <f>-SUMIFS(ДДС_Поступление!$G:$G,ДДС_Поступление!$C:$C,AT$3)</f>
        <v>0</v>
      </c>
      <c r="AU44" s="23">
        <f>-SUMIFS(ДДС_Поступление!$G:$G,ДДС_Поступление!$C:$C,AU$3)</f>
        <v>0</v>
      </c>
      <c r="AV44" s="87">
        <f t="shared" si="221"/>
        <v>0</v>
      </c>
      <c r="AW44" s="87">
        <f t="shared" si="222"/>
        <v>-1000000</v>
      </c>
      <c r="AY44" s="23">
        <f>-SUMIFS(ДДС_Поступление!$G:$G,ДДС_Поступление!$C:$C,AY$3)</f>
        <v>0</v>
      </c>
      <c r="AZ44" s="23">
        <f>-SUMIFS(ДДС_Поступление!$G:$G,ДДС_Поступление!$C:$C,AZ$3)</f>
        <v>0</v>
      </c>
      <c r="BA44" s="23">
        <f>-SUMIFS(ДДС_Поступление!$G:$G,ДДС_Поступление!$C:$C,BA$3)</f>
        <v>0</v>
      </c>
      <c r="BB44" s="87">
        <f t="shared" si="225"/>
        <v>0</v>
      </c>
      <c r="BC44" s="23">
        <f>-SUMIFS(ДДС_Поступление!$G:$G,ДДС_Поступление!$C:$C,BC$3)</f>
        <v>0</v>
      </c>
      <c r="BD44" s="23">
        <f>-SUMIFS(ДДС_Поступление!$G:$G,ДДС_Поступление!$C:$C,BD$3)</f>
        <v>0</v>
      </c>
      <c r="BE44" s="23">
        <f>-SUMIFS(ДДС_Поступление!$G:$G,ДДС_Поступление!$C:$C,BE$3)</f>
        <v>0</v>
      </c>
      <c r="BF44" s="87">
        <f t="shared" si="228"/>
        <v>0</v>
      </c>
      <c r="BG44" s="87">
        <f t="shared" si="229"/>
        <v>0</v>
      </c>
      <c r="BH44" s="23">
        <f>-SUMIFS(ДДС_Поступление!$G:$G,ДДС_Поступление!$C:$C,BH$3)</f>
        <v>0</v>
      </c>
      <c r="BI44" s="23">
        <f>-SUMIFS(ДДС_Поступление!$G:$G,ДДС_Поступление!$C:$C,BI$3)</f>
        <v>0</v>
      </c>
      <c r="BJ44" s="23">
        <f>-SUMIFS(ДДС_Поступление!$G:$G,ДДС_Поступление!$C:$C,BJ$3)</f>
        <v>0</v>
      </c>
      <c r="BK44" s="87">
        <f t="shared" si="232"/>
        <v>0</v>
      </c>
      <c r="BL44" s="87">
        <f t="shared" si="233"/>
        <v>0</v>
      </c>
      <c r="BM44" s="23">
        <f>-SUMIFS(ДДС_Поступление!$G:$G,ДДС_Поступление!$C:$C,BM$3)</f>
        <v>0</v>
      </c>
      <c r="BN44" s="23">
        <f>-SUMIFS(ДДС_Поступление!$G:$G,ДДС_Поступление!$C:$C,BN$3)</f>
        <v>0</v>
      </c>
      <c r="BO44" s="23">
        <f>-SUMIFS(ДДС_Поступление!$G:$G,ДДС_Поступление!$C:$C,BO$3)</f>
        <v>0</v>
      </c>
      <c r="BP44" s="87">
        <f t="shared" si="236"/>
        <v>0</v>
      </c>
      <c r="BQ44" s="87">
        <f t="shared" si="237"/>
        <v>0</v>
      </c>
      <c r="BS44" s="23">
        <f>-SUMIFS(ДДС_Поступление!$G:$G,ДДС_Поступление!$C:$C,BS$3)</f>
        <v>0</v>
      </c>
      <c r="BT44" s="23">
        <f>-SUMIFS(ДДС_Поступление!$G:$G,ДДС_Поступление!$C:$C,BT$3)</f>
        <v>0</v>
      </c>
      <c r="BU44" s="23">
        <f>-SUMIFS(ДДС_Поступление!$G:$G,ДДС_Поступление!$C:$C,BU$3)</f>
        <v>0</v>
      </c>
      <c r="BV44" s="87">
        <f t="shared" si="240"/>
        <v>0</v>
      </c>
      <c r="BW44" s="23">
        <f>-SUMIFS(ДДС_Поступление!$G:$G,ДДС_Поступление!$C:$C,BW$3)</f>
        <v>0</v>
      </c>
      <c r="BX44" s="23">
        <f>-SUMIFS(ДДС_Поступление!$G:$G,ДДС_Поступление!$C:$C,BX$3)</f>
        <v>0</v>
      </c>
      <c r="BY44" s="23">
        <f>-SUMIFS(ДДС_Поступление!$G:$G,ДДС_Поступление!$C:$C,BY$3)</f>
        <v>0</v>
      </c>
      <c r="BZ44" s="87">
        <f t="shared" si="243"/>
        <v>0</v>
      </c>
      <c r="CA44" s="87">
        <f t="shared" si="244"/>
        <v>0</v>
      </c>
      <c r="CB44" s="23">
        <f>-SUMIFS(ДДС_Поступление!$G:$G,ДДС_Поступление!$C:$C,CB$3)</f>
        <v>0</v>
      </c>
      <c r="CC44" s="23">
        <f>-SUMIFS(ДДС_Поступление!$G:$G,ДДС_Поступление!$C:$C,CC$3)</f>
        <v>0</v>
      </c>
      <c r="CD44" s="23">
        <f>-SUMIFS(ДДС_Поступление!$G:$G,ДДС_Поступление!$C:$C,CD$3)</f>
        <v>0</v>
      </c>
      <c r="CE44" s="87">
        <f t="shared" si="247"/>
        <v>0</v>
      </c>
      <c r="CF44" s="87">
        <f t="shared" si="248"/>
        <v>0</v>
      </c>
      <c r="CG44" s="23">
        <f>-SUMIFS(ДДС_Поступление!$G:$G,ДДС_Поступление!$C:$C,CG$3)</f>
        <v>0</v>
      </c>
      <c r="CH44" s="23">
        <f>-SUMIFS(ДДС_Поступление!$G:$G,ДДС_Поступление!$C:$C,CH$3)</f>
        <v>0</v>
      </c>
      <c r="CI44" s="23">
        <f>-SUMIFS(ДДС_Поступление!$G:$G,ДДС_Поступление!$C:$C,CI$3)</f>
        <v>0</v>
      </c>
      <c r="CJ44" s="87">
        <f t="shared" si="251"/>
        <v>0</v>
      </c>
      <c r="CK44" s="87">
        <f t="shared" si="252"/>
        <v>0</v>
      </c>
      <c r="CM44" s="23">
        <f>-SUMIFS(ДДС_Поступление!$G:$G,ДДС_Поступление!$C:$C,CM$3)</f>
        <v>0</v>
      </c>
      <c r="CN44" s="23">
        <f>-SUMIFS(ДДС_Поступление!$G:$G,ДДС_Поступление!$C:$C,CN$3)</f>
        <v>0</v>
      </c>
      <c r="CO44" s="23">
        <f>-SUMIFS(ДДС_Поступление!$G:$G,ДДС_Поступление!$C:$C,CO$3)</f>
        <v>0</v>
      </c>
      <c r="CP44" s="87">
        <f t="shared" si="255"/>
        <v>0</v>
      </c>
      <c r="CQ44" s="23">
        <f>-SUMIFS(ДДС_Поступление!$G:$G,ДДС_Поступление!$C:$C,CQ$3)</f>
        <v>0</v>
      </c>
      <c r="CR44" s="23">
        <f>-SUMIFS(ДДС_Поступление!$G:$G,ДДС_Поступление!$C:$C,CR$3)</f>
        <v>0</v>
      </c>
      <c r="CS44" s="23">
        <f>-SUMIFS(ДДС_Поступление!$G:$G,ДДС_Поступление!$C:$C,CS$3)</f>
        <v>0</v>
      </c>
      <c r="CT44" s="87">
        <f t="shared" si="258"/>
        <v>0</v>
      </c>
      <c r="CU44" s="87">
        <f t="shared" si="259"/>
        <v>0</v>
      </c>
      <c r="CV44" s="23">
        <f>-SUMIFS(ДДС_Поступление!$G:$G,ДДС_Поступление!$C:$C,CV$3)</f>
        <v>0</v>
      </c>
      <c r="CW44" s="23">
        <f>-SUMIFS(ДДС_Поступление!$G:$G,ДДС_Поступление!$C:$C,CW$3)</f>
        <v>0</v>
      </c>
      <c r="CX44" s="23">
        <f>-SUMIFS(ДДС_Поступление!$G:$G,ДДС_Поступление!$C:$C,CX$3)</f>
        <v>0</v>
      </c>
      <c r="CY44" s="87">
        <f t="shared" si="262"/>
        <v>0</v>
      </c>
      <c r="CZ44" s="87">
        <f t="shared" si="263"/>
        <v>0</v>
      </c>
      <c r="DA44" s="23">
        <f>-SUMIFS(ДДС_Поступление!$G:$G,ДДС_Поступление!$C:$C,DA$3)</f>
        <v>0</v>
      </c>
      <c r="DB44" s="23">
        <f>-SUMIFS(ДДС_Поступление!$G:$G,ДДС_Поступление!$C:$C,DB$3)</f>
        <v>0</v>
      </c>
      <c r="DC44" s="23">
        <f>-SUMIFS(ДДС_Поступление!$G:$G,ДДС_Поступление!$C:$C,DC$3)</f>
        <v>0</v>
      </c>
      <c r="DD44" s="87">
        <f t="shared" si="266"/>
        <v>0</v>
      </c>
      <c r="DE44" s="87">
        <f t="shared" si="267"/>
        <v>0</v>
      </c>
    </row>
    <row r="45" spans="1:109" s="12" customFormat="1" ht="10.199999999999999" x14ac:dyDescent="0.2">
      <c r="A45" s="11"/>
      <c r="B45" s="11"/>
      <c r="E45" s="20"/>
      <c r="F45" s="21"/>
      <c r="G45" s="97" t="s">
        <v>272</v>
      </c>
      <c r="I45" s="41">
        <f t="shared" si="197"/>
        <v>658807.57575757557</v>
      </c>
      <c r="K45" s="23">
        <f>SUMIFS(ДДС_Расходование!$G:$G,ДДС_Расходование!$C:$C,K$3)</f>
        <v>0</v>
      </c>
      <c r="L45" s="23">
        <f>SUMIFS(ДДС_Расходование!$G:$G,ДДС_Расходование!$C:$C,L$3)</f>
        <v>0</v>
      </c>
      <c r="M45" s="33">
        <f>SUMIFS(ДДС_Расходование!$G:$G,ДДС_Расходование!$C:$C,M$3)</f>
        <v>0</v>
      </c>
      <c r="N45" s="41">
        <f t="shared" si="92"/>
        <v>0</v>
      </c>
      <c r="O45" s="23">
        <f>SUMIFS(ДДС_Расходование!$G:$G,ДДС_Расходование!$C:$C,O$3)</f>
        <v>0</v>
      </c>
      <c r="P45" s="23">
        <f>SUMIFS(ДДС_Расходование!$G:$G,ДДС_Расходование!$C:$C,P$3)</f>
        <v>0</v>
      </c>
      <c r="Q45" s="33">
        <f>SUMIFS(ДДС_Расходование!$G:$G,ДДС_Расходование!$C:$C,Q$3)</f>
        <v>0</v>
      </c>
      <c r="R45" s="41">
        <f t="shared" si="201"/>
        <v>0</v>
      </c>
      <c r="S45" s="41">
        <f t="shared" si="94"/>
        <v>0</v>
      </c>
      <c r="T45" s="23">
        <f>SUMIFS(ДДС_Расходование!$G:$G,ДДС_Расходование!$C:$C,T$3)</f>
        <v>0</v>
      </c>
      <c r="U45" s="23">
        <f>SUMIFS(ДДС_Расходование!$G:$G,ДДС_Расходование!$C:$C,U$3)</f>
        <v>0</v>
      </c>
      <c r="V45" s="33">
        <f>SUMIFS(ДДС_Расходование!$G:$G,ДДС_Расходование!$C:$C,V$3)</f>
        <v>301666.66666666657</v>
      </c>
      <c r="W45" s="41">
        <f t="shared" si="204"/>
        <v>301666.66666666657</v>
      </c>
      <c r="X45" s="41">
        <f t="shared" si="96"/>
        <v>301666.66666666657</v>
      </c>
      <c r="Y45" s="23">
        <f>SUMIFS(ДДС_Расходование!$G:$G,ДДС_Расходование!$C:$C,Y$3)</f>
        <v>50000</v>
      </c>
      <c r="Z45" s="23">
        <f>SUMIFS(ДДС_Расходование!$G:$G,ДДС_Расходование!$C:$C,Z$3)</f>
        <v>166666.66666666663</v>
      </c>
      <c r="AA45" s="33">
        <f>SUMIFS(ДДС_Расходование!$G:$G,ДДС_Расходование!$C:$C,AA$3)</f>
        <v>140474.24242424237</v>
      </c>
      <c r="AB45" s="41">
        <f t="shared" si="207"/>
        <v>357140.909090909</v>
      </c>
      <c r="AC45" s="41">
        <f t="shared" si="98"/>
        <v>658807.57575757557</v>
      </c>
      <c r="AE45" s="23">
        <f>SUMIFS(ДДС_Расходование!$G:$G,ДДС_Расходование!$C:$C,AE$3)</f>
        <v>0</v>
      </c>
      <c r="AF45" s="23">
        <f>SUMIFS(ДДС_Расходование!$G:$G,ДДС_Расходование!$C:$C,AF$3)</f>
        <v>0</v>
      </c>
      <c r="AG45" s="33">
        <f>SUMIFS(ДДС_Расходование!$G:$G,ДДС_Расходование!$C:$C,AG$3)</f>
        <v>0</v>
      </c>
      <c r="AH45" s="41">
        <f t="shared" si="210"/>
        <v>0</v>
      </c>
      <c r="AI45" s="23">
        <f>SUMIFS(ДДС_Расходование!$G:$G,ДДС_Расходование!$C:$C,AI$3)</f>
        <v>0</v>
      </c>
      <c r="AJ45" s="23">
        <f>SUMIFS(ДДС_Расходование!$G:$G,ДДС_Расходование!$C:$C,AJ$3)</f>
        <v>0</v>
      </c>
      <c r="AK45" s="33">
        <f>SUMIFS(ДДС_Расходование!$G:$G,ДДС_Расходование!$C:$C,AK$3)</f>
        <v>0</v>
      </c>
      <c r="AL45" s="41">
        <f t="shared" si="213"/>
        <v>0</v>
      </c>
      <c r="AM45" s="41">
        <f t="shared" si="214"/>
        <v>0</v>
      </c>
      <c r="AN45" s="23">
        <f>SUMIFS(ДДС_Расходование!$G:$G,ДДС_Расходование!$C:$C,AN$3)</f>
        <v>0</v>
      </c>
      <c r="AO45" s="23">
        <f>SUMIFS(ДДС_Расходование!$G:$G,ДДС_Расходование!$C:$C,AO$3)</f>
        <v>0</v>
      </c>
      <c r="AP45" s="33">
        <f>SUMIFS(ДДС_Расходование!$G:$G,ДДС_Расходование!$C:$C,AP$3)</f>
        <v>0</v>
      </c>
      <c r="AQ45" s="41">
        <f t="shared" si="217"/>
        <v>0</v>
      </c>
      <c r="AR45" s="41">
        <f t="shared" si="218"/>
        <v>0</v>
      </c>
      <c r="AS45" s="23">
        <f>SUMIFS(ДДС_Расходование!$G:$G,ДДС_Расходование!$C:$C,AS$3)</f>
        <v>0</v>
      </c>
      <c r="AT45" s="23">
        <f>SUMIFS(ДДС_Расходование!$G:$G,ДДС_Расходование!$C:$C,AT$3)</f>
        <v>0</v>
      </c>
      <c r="AU45" s="33">
        <f>SUMIFS(ДДС_Расходование!$G:$G,ДДС_Расходование!$C:$C,AU$3)</f>
        <v>0</v>
      </c>
      <c r="AV45" s="41">
        <f t="shared" si="221"/>
        <v>0</v>
      </c>
      <c r="AW45" s="41">
        <f t="shared" si="222"/>
        <v>0</v>
      </c>
      <c r="AY45" s="23">
        <f>SUMIFS(ДДС_Расходование!$G:$G,ДДС_Расходование!$C:$C,AY$3)</f>
        <v>0</v>
      </c>
      <c r="AZ45" s="23">
        <f>SUMIFS(ДДС_Расходование!$G:$G,ДДС_Расходование!$C:$C,AZ$3)</f>
        <v>0</v>
      </c>
      <c r="BA45" s="33">
        <f>SUMIFS(ДДС_Расходование!$G:$G,ДДС_Расходование!$C:$C,BA$3)</f>
        <v>0</v>
      </c>
      <c r="BB45" s="41">
        <f t="shared" si="225"/>
        <v>0</v>
      </c>
      <c r="BC45" s="23">
        <f>SUMIFS(ДДС_Расходование!$G:$G,ДДС_Расходование!$C:$C,BC$3)</f>
        <v>0</v>
      </c>
      <c r="BD45" s="23">
        <f>SUMIFS(ДДС_Расходование!$G:$G,ДДС_Расходование!$C:$C,BD$3)</f>
        <v>0</v>
      </c>
      <c r="BE45" s="33">
        <f>SUMIFS(ДДС_Расходование!$G:$G,ДДС_Расходование!$C:$C,BE$3)</f>
        <v>0</v>
      </c>
      <c r="BF45" s="41">
        <f t="shared" si="228"/>
        <v>0</v>
      </c>
      <c r="BG45" s="41">
        <f t="shared" si="229"/>
        <v>0</v>
      </c>
      <c r="BH45" s="23">
        <f>SUMIFS(ДДС_Расходование!$G:$G,ДДС_Расходование!$C:$C,BH$3)</f>
        <v>0</v>
      </c>
      <c r="BI45" s="23">
        <f>SUMIFS(ДДС_Расходование!$G:$G,ДДС_Расходование!$C:$C,BI$3)</f>
        <v>0</v>
      </c>
      <c r="BJ45" s="33">
        <f>SUMIFS(ДДС_Расходование!$G:$G,ДДС_Расходование!$C:$C,BJ$3)</f>
        <v>0</v>
      </c>
      <c r="BK45" s="41">
        <f t="shared" si="232"/>
        <v>0</v>
      </c>
      <c r="BL45" s="41">
        <f t="shared" si="233"/>
        <v>0</v>
      </c>
      <c r="BM45" s="23">
        <f>SUMIFS(ДДС_Расходование!$G:$G,ДДС_Расходование!$C:$C,BM$3)</f>
        <v>0</v>
      </c>
      <c r="BN45" s="23">
        <f>SUMIFS(ДДС_Расходование!$G:$G,ДДС_Расходование!$C:$C,BN$3)</f>
        <v>0</v>
      </c>
      <c r="BO45" s="33">
        <f>SUMIFS(ДДС_Расходование!$G:$G,ДДС_Расходование!$C:$C,BO$3)</f>
        <v>0</v>
      </c>
      <c r="BP45" s="41">
        <f t="shared" si="236"/>
        <v>0</v>
      </c>
      <c r="BQ45" s="41">
        <f t="shared" si="237"/>
        <v>0</v>
      </c>
      <c r="BS45" s="23">
        <f>SUMIFS(ДДС_Расходование!$G:$G,ДДС_Расходование!$C:$C,BS$3)</f>
        <v>0</v>
      </c>
      <c r="BT45" s="23">
        <f>SUMIFS(ДДС_Расходование!$G:$G,ДДС_Расходование!$C:$C,BT$3)</f>
        <v>0</v>
      </c>
      <c r="BU45" s="33">
        <f>SUMIFS(ДДС_Расходование!$G:$G,ДДС_Расходование!$C:$C,BU$3)</f>
        <v>0</v>
      </c>
      <c r="BV45" s="41">
        <f t="shared" si="240"/>
        <v>0</v>
      </c>
      <c r="BW45" s="23">
        <f>SUMIFS(ДДС_Расходование!$G:$G,ДДС_Расходование!$C:$C,BW$3)</f>
        <v>0</v>
      </c>
      <c r="BX45" s="23">
        <f>SUMIFS(ДДС_Расходование!$G:$G,ДДС_Расходование!$C:$C,BX$3)</f>
        <v>0</v>
      </c>
      <c r="BY45" s="33">
        <f>SUMIFS(ДДС_Расходование!$G:$G,ДДС_Расходование!$C:$C,BY$3)</f>
        <v>0</v>
      </c>
      <c r="BZ45" s="41">
        <f t="shared" si="243"/>
        <v>0</v>
      </c>
      <c r="CA45" s="41">
        <f t="shared" si="244"/>
        <v>0</v>
      </c>
      <c r="CB45" s="23">
        <f>SUMIFS(ДДС_Расходование!$G:$G,ДДС_Расходование!$C:$C,CB$3)</f>
        <v>0</v>
      </c>
      <c r="CC45" s="23">
        <f>SUMIFS(ДДС_Расходование!$G:$G,ДДС_Расходование!$C:$C,CC$3)</f>
        <v>0</v>
      </c>
      <c r="CD45" s="33">
        <f>SUMIFS(ДДС_Расходование!$G:$G,ДДС_Расходование!$C:$C,CD$3)</f>
        <v>0</v>
      </c>
      <c r="CE45" s="41">
        <f t="shared" si="247"/>
        <v>0</v>
      </c>
      <c r="CF45" s="41">
        <f t="shared" si="248"/>
        <v>0</v>
      </c>
      <c r="CG45" s="23">
        <f>SUMIFS(ДДС_Расходование!$G:$G,ДДС_Расходование!$C:$C,CG$3)</f>
        <v>0</v>
      </c>
      <c r="CH45" s="23">
        <f>SUMIFS(ДДС_Расходование!$G:$G,ДДС_Расходование!$C:$C,CH$3)</f>
        <v>0</v>
      </c>
      <c r="CI45" s="33">
        <f>SUMIFS(ДДС_Расходование!$G:$G,ДДС_Расходование!$C:$C,CI$3)</f>
        <v>0</v>
      </c>
      <c r="CJ45" s="41">
        <f t="shared" si="251"/>
        <v>0</v>
      </c>
      <c r="CK45" s="41">
        <f t="shared" si="252"/>
        <v>0</v>
      </c>
      <c r="CM45" s="23">
        <f>SUMIFS(ДДС_Расходование!$G:$G,ДДС_Расходование!$C:$C,CM$3)</f>
        <v>0</v>
      </c>
      <c r="CN45" s="23">
        <f>SUMIFS(ДДС_Расходование!$G:$G,ДДС_Расходование!$C:$C,CN$3)</f>
        <v>0</v>
      </c>
      <c r="CO45" s="33">
        <f>SUMIFS(ДДС_Расходование!$G:$G,ДДС_Расходование!$C:$C,CO$3)</f>
        <v>0</v>
      </c>
      <c r="CP45" s="41">
        <f t="shared" si="255"/>
        <v>0</v>
      </c>
      <c r="CQ45" s="23">
        <f>SUMIFS(ДДС_Расходование!$G:$G,ДДС_Расходование!$C:$C,CQ$3)</f>
        <v>0</v>
      </c>
      <c r="CR45" s="23">
        <f>SUMIFS(ДДС_Расходование!$G:$G,ДДС_Расходование!$C:$C,CR$3)</f>
        <v>0</v>
      </c>
      <c r="CS45" s="33">
        <f>SUMIFS(ДДС_Расходование!$G:$G,ДДС_Расходование!$C:$C,CS$3)</f>
        <v>0</v>
      </c>
      <c r="CT45" s="41">
        <f t="shared" si="258"/>
        <v>0</v>
      </c>
      <c r="CU45" s="41">
        <f t="shared" si="259"/>
        <v>0</v>
      </c>
      <c r="CV45" s="23">
        <f>SUMIFS(ДДС_Расходование!$G:$G,ДДС_Расходование!$C:$C,CV$3)</f>
        <v>0</v>
      </c>
      <c r="CW45" s="23">
        <f>SUMIFS(ДДС_Расходование!$G:$G,ДДС_Расходование!$C:$C,CW$3)</f>
        <v>0</v>
      </c>
      <c r="CX45" s="33">
        <f>SUMIFS(ДДС_Расходование!$G:$G,ДДС_Расходование!$C:$C,CX$3)</f>
        <v>0</v>
      </c>
      <c r="CY45" s="41">
        <f t="shared" si="262"/>
        <v>0</v>
      </c>
      <c r="CZ45" s="41">
        <f t="shared" si="263"/>
        <v>0</v>
      </c>
      <c r="DA45" s="23">
        <f>SUMIFS(ДДС_Расходование!$G:$G,ДДС_Расходование!$C:$C,DA$3)</f>
        <v>0</v>
      </c>
      <c r="DB45" s="23">
        <f>SUMIFS(ДДС_Расходование!$G:$G,ДДС_Расходование!$C:$C,DB$3)</f>
        <v>0</v>
      </c>
      <c r="DC45" s="33">
        <f>SUMIFS(ДДС_Расходование!$G:$G,ДДС_Расходование!$C:$C,DC$3)</f>
        <v>0</v>
      </c>
      <c r="DD45" s="41">
        <f t="shared" si="266"/>
        <v>0</v>
      </c>
      <c r="DE45" s="41">
        <f t="shared" si="267"/>
        <v>0</v>
      </c>
    </row>
    <row r="46" spans="1:109" s="12" customFormat="1" ht="10.199999999999999" x14ac:dyDescent="0.2">
      <c r="A46" s="11"/>
      <c r="B46" s="11"/>
      <c r="E46" s="20"/>
      <c r="F46" s="21"/>
      <c r="G46" s="97" t="s">
        <v>275</v>
      </c>
      <c r="I46" s="41">
        <f t="shared" si="197"/>
        <v>525000</v>
      </c>
      <c r="K46" s="227">
        <f>-K34/1.2*0.2</f>
        <v>0</v>
      </c>
      <c r="L46" s="227">
        <f t="shared" ref="L46:M46" si="463">-L34/1.2*0.2</f>
        <v>0</v>
      </c>
      <c r="M46" s="227">
        <f t="shared" si="463"/>
        <v>0</v>
      </c>
      <c r="N46" s="41">
        <f t="shared" si="92"/>
        <v>0</v>
      </c>
      <c r="O46" s="227">
        <f>-O34/1.2*0.2</f>
        <v>0</v>
      </c>
      <c r="P46" s="227">
        <f t="shared" ref="P46:Q46" si="464">-P34/1.2*0.2</f>
        <v>0</v>
      </c>
      <c r="Q46" s="227">
        <f t="shared" si="464"/>
        <v>0</v>
      </c>
      <c r="R46" s="41">
        <f t="shared" si="201"/>
        <v>0</v>
      </c>
      <c r="S46" s="41">
        <f t="shared" si="94"/>
        <v>0</v>
      </c>
      <c r="T46" s="227">
        <f>-T34/1.2*0.2</f>
        <v>0</v>
      </c>
      <c r="U46" s="227">
        <f t="shared" ref="U46:V46" si="465">-U34/1.2*0.2</f>
        <v>0</v>
      </c>
      <c r="V46" s="227">
        <f t="shared" si="465"/>
        <v>75000</v>
      </c>
      <c r="W46" s="41">
        <f t="shared" si="204"/>
        <v>75000</v>
      </c>
      <c r="X46" s="41">
        <f t="shared" si="96"/>
        <v>75000</v>
      </c>
      <c r="Y46" s="227">
        <f>-Y34/1.2*0.2</f>
        <v>150000</v>
      </c>
      <c r="Z46" s="227">
        <f t="shared" ref="Z46:AA46" si="466">-Z34/1.2*0.2</f>
        <v>150000</v>
      </c>
      <c r="AA46" s="227">
        <f t="shared" si="466"/>
        <v>150000</v>
      </c>
      <c r="AB46" s="41">
        <f t="shared" si="207"/>
        <v>450000</v>
      </c>
      <c r="AC46" s="41">
        <f t="shared" si="98"/>
        <v>525000</v>
      </c>
      <c r="AE46" s="227">
        <f>-AE34/1.2*0.2</f>
        <v>0</v>
      </c>
      <c r="AF46" s="227">
        <f t="shared" ref="AF46:AG46" si="467">-AF34/1.2*0.2</f>
        <v>0</v>
      </c>
      <c r="AG46" s="227">
        <f t="shared" si="467"/>
        <v>0</v>
      </c>
      <c r="AH46" s="41">
        <f t="shared" si="210"/>
        <v>0</v>
      </c>
      <c r="AI46" s="227">
        <f>-AI34/1.2*0.2</f>
        <v>0</v>
      </c>
      <c r="AJ46" s="227">
        <f t="shared" ref="AJ46:AK46" si="468">-AJ34/1.2*0.2</f>
        <v>0</v>
      </c>
      <c r="AK46" s="227">
        <f t="shared" si="468"/>
        <v>0</v>
      </c>
      <c r="AL46" s="41">
        <f t="shared" si="213"/>
        <v>0</v>
      </c>
      <c r="AM46" s="41">
        <f t="shared" si="214"/>
        <v>0</v>
      </c>
      <c r="AN46" s="227">
        <f>-AN34/1.2*0.2</f>
        <v>0</v>
      </c>
      <c r="AO46" s="227">
        <f t="shared" ref="AO46:AP46" si="469">-AO34/1.2*0.2</f>
        <v>0</v>
      </c>
      <c r="AP46" s="227">
        <f t="shared" si="469"/>
        <v>0</v>
      </c>
      <c r="AQ46" s="41">
        <f t="shared" si="217"/>
        <v>0</v>
      </c>
      <c r="AR46" s="41">
        <f t="shared" si="218"/>
        <v>0</v>
      </c>
      <c r="AS46" s="227">
        <f>-AS34/1.2*0.2</f>
        <v>0</v>
      </c>
      <c r="AT46" s="227">
        <f t="shared" ref="AT46:AU46" si="470">-AT34/1.2*0.2</f>
        <v>0</v>
      </c>
      <c r="AU46" s="227">
        <f t="shared" si="470"/>
        <v>0</v>
      </c>
      <c r="AV46" s="41">
        <f t="shared" si="221"/>
        <v>0</v>
      </c>
      <c r="AW46" s="41">
        <f t="shared" si="222"/>
        <v>0</v>
      </c>
      <c r="AY46" s="227">
        <f>-AY34/1.2*0.2</f>
        <v>0</v>
      </c>
      <c r="AZ46" s="227">
        <f t="shared" ref="AZ46:BA46" si="471">-AZ34/1.2*0.2</f>
        <v>0</v>
      </c>
      <c r="BA46" s="227">
        <f t="shared" si="471"/>
        <v>0</v>
      </c>
      <c r="BB46" s="41">
        <f t="shared" si="225"/>
        <v>0</v>
      </c>
      <c r="BC46" s="227">
        <f>-BC34/1.2*0.2</f>
        <v>0</v>
      </c>
      <c r="BD46" s="227">
        <f t="shared" ref="BD46:BE46" si="472">-BD34/1.2*0.2</f>
        <v>0</v>
      </c>
      <c r="BE46" s="227">
        <f t="shared" si="472"/>
        <v>0</v>
      </c>
      <c r="BF46" s="41">
        <f t="shared" si="228"/>
        <v>0</v>
      </c>
      <c r="BG46" s="41">
        <f t="shared" si="229"/>
        <v>0</v>
      </c>
      <c r="BH46" s="227">
        <f>-BH34/1.2*0.2</f>
        <v>0</v>
      </c>
      <c r="BI46" s="227">
        <f t="shared" ref="BI46:BJ46" si="473">-BI34/1.2*0.2</f>
        <v>0</v>
      </c>
      <c r="BJ46" s="227">
        <f t="shared" si="473"/>
        <v>0</v>
      </c>
      <c r="BK46" s="41">
        <f t="shared" si="232"/>
        <v>0</v>
      </c>
      <c r="BL46" s="41">
        <f t="shared" si="233"/>
        <v>0</v>
      </c>
      <c r="BM46" s="227">
        <f>-BM34/1.2*0.2</f>
        <v>0</v>
      </c>
      <c r="BN46" s="227">
        <f t="shared" ref="BN46:BO46" si="474">-BN34/1.2*0.2</f>
        <v>0</v>
      </c>
      <c r="BO46" s="227">
        <f t="shared" si="474"/>
        <v>0</v>
      </c>
      <c r="BP46" s="41">
        <f t="shared" si="236"/>
        <v>0</v>
      </c>
      <c r="BQ46" s="41">
        <f t="shared" si="237"/>
        <v>0</v>
      </c>
      <c r="BS46" s="227">
        <f>-BS34/1.2*0.2</f>
        <v>0</v>
      </c>
      <c r="BT46" s="227">
        <f t="shared" ref="BT46:BU46" si="475">-BT34/1.2*0.2</f>
        <v>0</v>
      </c>
      <c r="BU46" s="227">
        <f t="shared" si="475"/>
        <v>0</v>
      </c>
      <c r="BV46" s="41">
        <f t="shared" si="240"/>
        <v>0</v>
      </c>
      <c r="BW46" s="227">
        <f>-BW34/1.2*0.2</f>
        <v>0</v>
      </c>
      <c r="BX46" s="227">
        <f t="shared" ref="BX46:BY46" si="476">-BX34/1.2*0.2</f>
        <v>0</v>
      </c>
      <c r="BY46" s="227">
        <f t="shared" si="476"/>
        <v>0</v>
      </c>
      <c r="BZ46" s="41">
        <f t="shared" si="243"/>
        <v>0</v>
      </c>
      <c r="CA46" s="41">
        <f t="shared" si="244"/>
        <v>0</v>
      </c>
      <c r="CB46" s="227">
        <f>-CB34/1.2*0.2</f>
        <v>0</v>
      </c>
      <c r="CC46" s="227">
        <f t="shared" ref="CC46:CD46" si="477">-CC34/1.2*0.2</f>
        <v>0</v>
      </c>
      <c r="CD46" s="227">
        <f t="shared" si="477"/>
        <v>0</v>
      </c>
      <c r="CE46" s="41">
        <f t="shared" si="247"/>
        <v>0</v>
      </c>
      <c r="CF46" s="41">
        <f t="shared" si="248"/>
        <v>0</v>
      </c>
      <c r="CG46" s="227">
        <f>-CG34/1.2*0.2</f>
        <v>0</v>
      </c>
      <c r="CH46" s="227">
        <f t="shared" ref="CH46:CI46" si="478">-CH34/1.2*0.2</f>
        <v>0</v>
      </c>
      <c r="CI46" s="227">
        <f t="shared" si="478"/>
        <v>0</v>
      </c>
      <c r="CJ46" s="41">
        <f t="shared" si="251"/>
        <v>0</v>
      </c>
      <c r="CK46" s="41">
        <f t="shared" si="252"/>
        <v>0</v>
      </c>
      <c r="CM46" s="227"/>
      <c r="CN46" s="227"/>
      <c r="CO46" s="228"/>
      <c r="CP46" s="41">
        <f t="shared" si="255"/>
        <v>0</v>
      </c>
      <c r="CQ46" s="227"/>
      <c r="CR46" s="227"/>
      <c r="CS46" s="228"/>
      <c r="CT46" s="41">
        <f t="shared" si="258"/>
        <v>0</v>
      </c>
      <c r="CU46" s="41">
        <f t="shared" si="259"/>
        <v>0</v>
      </c>
      <c r="CV46" s="227"/>
      <c r="CW46" s="227"/>
      <c r="CX46" s="228"/>
      <c r="CY46" s="41">
        <f t="shared" si="262"/>
        <v>0</v>
      </c>
      <c r="CZ46" s="41">
        <f t="shared" si="263"/>
        <v>0</v>
      </c>
      <c r="DA46" s="227"/>
      <c r="DB46" s="227"/>
      <c r="DC46" s="228"/>
      <c r="DD46" s="41">
        <f t="shared" si="266"/>
        <v>0</v>
      </c>
      <c r="DE46" s="41">
        <f t="shared" si="267"/>
        <v>0</v>
      </c>
    </row>
    <row r="47" spans="1:109" s="12" customFormat="1" ht="10.199999999999999" x14ac:dyDescent="0.2">
      <c r="E47" s="79"/>
      <c r="F47" s="79"/>
      <c r="G47" s="103" t="s">
        <v>265</v>
      </c>
      <c r="I47" s="88">
        <f t="shared" si="197"/>
        <v>-1569120.8827611632</v>
      </c>
      <c r="K47" s="85">
        <f>-(K8+K33+K36+K43)*0.2</f>
        <v>0</v>
      </c>
      <c r="L47" s="85">
        <f t="shared" ref="L47:M47" si="479">-(L8+L33+L36+L43)*0.2</f>
        <v>0</v>
      </c>
      <c r="M47" s="85">
        <f t="shared" si="479"/>
        <v>0</v>
      </c>
      <c r="N47" s="88">
        <f t="shared" si="92"/>
        <v>0</v>
      </c>
      <c r="O47" s="85">
        <f>-(O8+O33+O36+O43)*0.2</f>
        <v>0</v>
      </c>
      <c r="P47" s="85">
        <f t="shared" ref="P47:Q47" si="480">-(P8+P33+P36+P43)*0.2</f>
        <v>0</v>
      </c>
      <c r="Q47" s="85">
        <f t="shared" si="480"/>
        <v>0</v>
      </c>
      <c r="R47" s="88">
        <f t="shared" si="201"/>
        <v>0</v>
      </c>
      <c r="S47" s="88">
        <f t="shared" si="94"/>
        <v>0</v>
      </c>
      <c r="T47" s="85">
        <f>-(T8+T33+T36+T43)*0.2</f>
        <v>0</v>
      </c>
      <c r="U47" s="85">
        <f t="shared" ref="U47:V47" si="481">-(U8+U33+U36+U43)*0.2</f>
        <v>0</v>
      </c>
      <c r="V47" s="85">
        <f t="shared" si="481"/>
        <v>-61660.335442908217</v>
      </c>
      <c r="W47" s="88">
        <f t="shared" si="204"/>
        <v>-61660.335442908217</v>
      </c>
      <c r="X47" s="88">
        <f t="shared" si="96"/>
        <v>-61660.335442908217</v>
      </c>
      <c r="Y47" s="85">
        <f>-(Y8+Y33+Y36+Y43)*0.2</f>
        <v>446786.99789042515</v>
      </c>
      <c r="Z47" s="85">
        <f t="shared" ref="Z47:AA47" si="482">-(Z8+Z33+Z36+Z43)*0.2</f>
        <v>-1559656.0222298116</v>
      </c>
      <c r="AA47" s="85">
        <f t="shared" si="482"/>
        <v>605408.47702113155</v>
      </c>
      <c r="AB47" s="88">
        <f t="shared" si="207"/>
        <v>-507460.54731825495</v>
      </c>
      <c r="AC47" s="88">
        <f t="shared" si="98"/>
        <v>-569120.88276116317</v>
      </c>
      <c r="AE47" s="85">
        <f>-(AE8+AE33+AE36+AE43)*0.2</f>
        <v>-1000000</v>
      </c>
      <c r="AF47" s="85">
        <f t="shared" ref="AF47:AG47" si="483">-(AF8+AF33+AF36+AF43)*0.2</f>
        <v>0</v>
      </c>
      <c r="AG47" s="85">
        <f t="shared" si="483"/>
        <v>0</v>
      </c>
      <c r="AH47" s="88">
        <f t="shared" si="210"/>
        <v>-1000000</v>
      </c>
      <c r="AI47" s="85">
        <f>-(AI8+AI33+AI36+AI43)*0.2</f>
        <v>0</v>
      </c>
      <c r="AJ47" s="85">
        <f t="shared" ref="AJ47:AK47" si="484">-(AJ8+AJ33+AJ36+AJ43)*0.2</f>
        <v>0</v>
      </c>
      <c r="AK47" s="85">
        <f t="shared" si="484"/>
        <v>0</v>
      </c>
      <c r="AL47" s="88">
        <f t="shared" si="213"/>
        <v>0</v>
      </c>
      <c r="AM47" s="88">
        <f t="shared" si="214"/>
        <v>-1000000</v>
      </c>
      <c r="AN47" s="85">
        <f>-(AN8+AN33+AN36+AN43)*0.2</f>
        <v>0</v>
      </c>
      <c r="AO47" s="85">
        <f t="shared" ref="AO47:AP47" si="485">-(AO8+AO33+AO36+AO43)*0.2</f>
        <v>0</v>
      </c>
      <c r="AP47" s="85">
        <f t="shared" si="485"/>
        <v>0</v>
      </c>
      <c r="AQ47" s="88">
        <f t="shared" si="217"/>
        <v>0</v>
      </c>
      <c r="AR47" s="88">
        <f t="shared" si="218"/>
        <v>-1000000</v>
      </c>
      <c r="AS47" s="85">
        <f>-(AS8+AS33+AS36+AS43)*0.2</f>
        <v>0</v>
      </c>
      <c r="AT47" s="85">
        <f t="shared" ref="AT47:AU47" si="486">-(AT8+AT33+AT36+AT43)*0.2</f>
        <v>0</v>
      </c>
      <c r="AU47" s="85">
        <f t="shared" si="486"/>
        <v>0</v>
      </c>
      <c r="AV47" s="88">
        <f t="shared" si="221"/>
        <v>0</v>
      </c>
      <c r="AW47" s="88">
        <f t="shared" si="222"/>
        <v>-1000000</v>
      </c>
      <c r="AY47" s="85">
        <f>-(AY8+AY33+AY36+AY43)*0.2</f>
        <v>0</v>
      </c>
      <c r="AZ47" s="85">
        <f t="shared" ref="AZ47:BA47" si="487">-(AZ8+AZ33+AZ36+AZ43)*0.2</f>
        <v>0</v>
      </c>
      <c r="BA47" s="85">
        <f t="shared" si="487"/>
        <v>0</v>
      </c>
      <c r="BB47" s="88">
        <f t="shared" si="225"/>
        <v>0</v>
      </c>
      <c r="BC47" s="85">
        <f>-(BC8+BC33+BC36+BC43)*0.2</f>
        <v>0</v>
      </c>
      <c r="BD47" s="85">
        <f t="shared" ref="BD47:BE47" si="488">-(BD8+BD33+BD36+BD43)*0.2</f>
        <v>0</v>
      </c>
      <c r="BE47" s="85">
        <f t="shared" si="488"/>
        <v>0</v>
      </c>
      <c r="BF47" s="88">
        <f t="shared" si="228"/>
        <v>0</v>
      </c>
      <c r="BG47" s="88">
        <f t="shared" si="229"/>
        <v>0</v>
      </c>
      <c r="BH47" s="85">
        <f>-(BH8+BH33+BH36+BH43)*0.2</f>
        <v>0</v>
      </c>
      <c r="BI47" s="85">
        <f t="shared" ref="BI47:BJ47" si="489">-(BI8+BI33+BI36+BI43)*0.2</f>
        <v>0</v>
      </c>
      <c r="BJ47" s="85">
        <f t="shared" si="489"/>
        <v>0</v>
      </c>
      <c r="BK47" s="88">
        <f t="shared" si="232"/>
        <v>0</v>
      </c>
      <c r="BL47" s="88">
        <f t="shared" si="233"/>
        <v>0</v>
      </c>
      <c r="BM47" s="85">
        <f>-(BM8+BM33+BM36+BM43)*0.2</f>
        <v>0</v>
      </c>
      <c r="BN47" s="85">
        <f t="shared" ref="BN47:BO47" si="490">-(BN8+BN33+BN36+BN43)*0.2</f>
        <v>0</v>
      </c>
      <c r="BO47" s="85">
        <f t="shared" si="490"/>
        <v>0</v>
      </c>
      <c r="BP47" s="88">
        <f t="shared" si="236"/>
        <v>0</v>
      </c>
      <c r="BQ47" s="88">
        <f t="shared" si="237"/>
        <v>0</v>
      </c>
      <c r="BS47" s="85">
        <f>-(BS8+BS33+BS36+BS43)*0.2</f>
        <v>0</v>
      </c>
      <c r="BT47" s="85">
        <f t="shared" ref="BT47:BU47" si="491">-(BT8+BT33+BT36+BT43)*0.2</f>
        <v>0</v>
      </c>
      <c r="BU47" s="85">
        <f t="shared" si="491"/>
        <v>0</v>
      </c>
      <c r="BV47" s="88">
        <f t="shared" si="240"/>
        <v>0</v>
      </c>
      <c r="BW47" s="85">
        <f>-(BW8+BW33+BW36+BW43)*0.2</f>
        <v>0</v>
      </c>
      <c r="BX47" s="85">
        <f t="shared" ref="BX47:BY47" si="492">-(BX8+BX33+BX36+BX43)*0.2</f>
        <v>0</v>
      </c>
      <c r="BY47" s="85">
        <f t="shared" si="492"/>
        <v>0</v>
      </c>
      <c r="BZ47" s="88">
        <f t="shared" si="243"/>
        <v>0</v>
      </c>
      <c r="CA47" s="88">
        <f t="shared" si="244"/>
        <v>0</v>
      </c>
      <c r="CB47" s="85">
        <f>-(CB8+CB33+CB36+CB43)*0.2</f>
        <v>0</v>
      </c>
      <c r="CC47" s="85">
        <f t="shared" ref="CC47:CD47" si="493">-(CC8+CC33+CC36+CC43)*0.2</f>
        <v>0</v>
      </c>
      <c r="CD47" s="85">
        <f t="shared" si="493"/>
        <v>0</v>
      </c>
      <c r="CE47" s="88">
        <f t="shared" si="247"/>
        <v>0</v>
      </c>
      <c r="CF47" s="88">
        <f t="shared" si="248"/>
        <v>0</v>
      </c>
      <c r="CG47" s="85">
        <f>-(CG8+CG33+CG36+CG43)*0.2</f>
        <v>0</v>
      </c>
      <c r="CH47" s="85">
        <f t="shared" ref="CH47:CI47" si="494">-(CH8+CH33+CH36+CH43)*0.2</f>
        <v>0</v>
      </c>
      <c r="CI47" s="85">
        <f t="shared" si="494"/>
        <v>0</v>
      </c>
      <c r="CJ47" s="88">
        <f t="shared" si="251"/>
        <v>0</v>
      </c>
      <c r="CK47" s="88">
        <f t="shared" si="252"/>
        <v>0</v>
      </c>
      <c r="CM47" s="85">
        <f>-(CM8+CM33+CM36+CM43)*0.2</f>
        <v>0</v>
      </c>
      <c r="CN47" s="85">
        <f t="shared" ref="CN47:CO47" si="495">-(CN8+CN33+CN36+CN43)*0.2</f>
        <v>0</v>
      </c>
      <c r="CO47" s="85">
        <f t="shared" si="495"/>
        <v>0</v>
      </c>
      <c r="CP47" s="88">
        <f t="shared" si="255"/>
        <v>0</v>
      </c>
      <c r="CQ47" s="85">
        <f>-(CQ8+CQ33+CQ36+CQ43)*0.2</f>
        <v>0</v>
      </c>
      <c r="CR47" s="85">
        <f t="shared" ref="CR47:CS47" si="496">-(CR8+CR33+CR36+CR43)*0.2</f>
        <v>0</v>
      </c>
      <c r="CS47" s="85">
        <f t="shared" si="496"/>
        <v>0</v>
      </c>
      <c r="CT47" s="88">
        <f t="shared" si="258"/>
        <v>0</v>
      </c>
      <c r="CU47" s="88">
        <f t="shared" si="259"/>
        <v>0</v>
      </c>
      <c r="CV47" s="85">
        <f>-(CV8+CV33+CV36+CV43)*0.2</f>
        <v>0</v>
      </c>
      <c r="CW47" s="85">
        <f t="shared" ref="CW47:CX47" si="497">-(CW8+CW33+CW36+CW43)*0.2</f>
        <v>0</v>
      </c>
      <c r="CX47" s="85">
        <f t="shared" si="497"/>
        <v>0</v>
      </c>
      <c r="CY47" s="88">
        <f t="shared" si="262"/>
        <v>0</v>
      </c>
      <c r="CZ47" s="88">
        <f t="shared" si="263"/>
        <v>0</v>
      </c>
      <c r="DA47" s="85">
        <f>-(DA8+DA33+DA36+DA43)*0.2</f>
        <v>0</v>
      </c>
      <c r="DB47" s="85">
        <f t="shared" ref="DB47:DC47" si="498">-(DB8+DB33+DB36+DB43)*0.2</f>
        <v>0</v>
      </c>
      <c r="DC47" s="85">
        <f t="shared" si="498"/>
        <v>0</v>
      </c>
      <c r="DD47" s="88">
        <f t="shared" si="266"/>
        <v>0</v>
      </c>
      <c r="DE47" s="88">
        <f t="shared" si="267"/>
        <v>0</v>
      </c>
    </row>
    <row r="48" spans="1:109" s="16" customFormat="1" ht="10.199999999999999" x14ac:dyDescent="0.2">
      <c r="E48" s="80"/>
      <c r="F48" s="80" t="s">
        <v>422</v>
      </c>
      <c r="G48" s="80"/>
      <c r="I48" s="82">
        <f t="shared" si="197"/>
        <v>6276483.5310446527</v>
      </c>
      <c r="J48" s="12"/>
      <c r="K48" s="81">
        <f>K8+K33+K36+K42</f>
        <v>0</v>
      </c>
      <c r="L48" s="81">
        <f t="shared" ref="L48:M48" si="499">L8+L33+L36+L42</f>
        <v>0</v>
      </c>
      <c r="M48" s="83">
        <f t="shared" si="499"/>
        <v>0</v>
      </c>
      <c r="N48" s="82">
        <f t="shared" si="92"/>
        <v>0</v>
      </c>
      <c r="O48" s="81">
        <f>O8+O33+O36+O42</f>
        <v>0</v>
      </c>
      <c r="P48" s="81">
        <f t="shared" ref="P48:Q48" si="500">P8+P33+P36+P42</f>
        <v>0</v>
      </c>
      <c r="Q48" s="83">
        <f t="shared" si="500"/>
        <v>0</v>
      </c>
      <c r="R48" s="82">
        <f t="shared" si="201"/>
        <v>0</v>
      </c>
      <c r="S48" s="82">
        <f t="shared" ref="S48:AC48" si="501">S8+S33+S36+S42</f>
        <v>0</v>
      </c>
      <c r="T48" s="81">
        <f>T8+T33+T36+T42</f>
        <v>0</v>
      </c>
      <c r="U48" s="81">
        <f t="shared" ref="U48:V48" si="502">U8+U33+U36+U42</f>
        <v>0</v>
      </c>
      <c r="V48" s="83">
        <f t="shared" si="502"/>
        <v>246641.34177163284</v>
      </c>
      <c r="W48" s="82">
        <f t="shared" si="204"/>
        <v>246641.34177163284</v>
      </c>
      <c r="X48" s="82">
        <f t="shared" si="501"/>
        <v>246641.34177163284</v>
      </c>
      <c r="Y48" s="81">
        <f>Y8+Y33+Y36+Y42</f>
        <v>-1787147.9915617004</v>
      </c>
      <c r="Z48" s="81">
        <f t="shared" ref="Z48:AA48" si="503">Z8+Z33+Z36+Z42</f>
        <v>6238624.0889192466</v>
      </c>
      <c r="AA48" s="83">
        <f t="shared" si="503"/>
        <v>-2421633.9080845257</v>
      </c>
      <c r="AB48" s="82">
        <f t="shared" si="207"/>
        <v>2029842.1892730203</v>
      </c>
      <c r="AC48" s="82">
        <f t="shared" si="501"/>
        <v>2276483.5310446532</v>
      </c>
      <c r="AD48" s="12"/>
      <c r="AE48" s="81">
        <f>AE8+AE33+AE36+AE42</f>
        <v>4000000</v>
      </c>
      <c r="AF48" s="81">
        <f t="shared" ref="AF48:AG48" si="504">AF8+AF33+AF36+AF42</f>
        <v>0</v>
      </c>
      <c r="AG48" s="83">
        <f t="shared" si="504"/>
        <v>0</v>
      </c>
      <c r="AH48" s="82">
        <f t="shared" si="210"/>
        <v>4000000</v>
      </c>
      <c r="AI48" s="81">
        <f>AI8+AI33+AI36+AI42</f>
        <v>0</v>
      </c>
      <c r="AJ48" s="81">
        <f t="shared" ref="AJ48:AK48" si="505">AJ8+AJ33+AJ36+AJ42</f>
        <v>0</v>
      </c>
      <c r="AK48" s="83">
        <f t="shared" si="505"/>
        <v>0</v>
      </c>
      <c r="AL48" s="82">
        <f t="shared" si="213"/>
        <v>0</v>
      </c>
      <c r="AM48" s="82">
        <f t="shared" ref="AM48" si="506">AM8+AM33+AM36+AM42</f>
        <v>4000000</v>
      </c>
      <c r="AN48" s="81">
        <f>AN8+AN33+AN36+AN42</f>
        <v>0</v>
      </c>
      <c r="AO48" s="81">
        <f t="shared" ref="AO48:AP48" si="507">AO8+AO33+AO36+AO42</f>
        <v>0</v>
      </c>
      <c r="AP48" s="83">
        <f t="shared" si="507"/>
        <v>0</v>
      </c>
      <c r="AQ48" s="82">
        <f t="shared" si="217"/>
        <v>0</v>
      </c>
      <c r="AR48" s="82">
        <f t="shared" ref="AR48" si="508">AR8+AR33+AR36+AR42</f>
        <v>4000000</v>
      </c>
      <c r="AS48" s="81">
        <f>AS8+AS33+AS36+AS42</f>
        <v>0</v>
      </c>
      <c r="AT48" s="81">
        <f t="shared" ref="AT48:AU48" si="509">AT8+AT33+AT36+AT42</f>
        <v>0</v>
      </c>
      <c r="AU48" s="83">
        <f t="shared" si="509"/>
        <v>0</v>
      </c>
      <c r="AV48" s="82">
        <f t="shared" si="221"/>
        <v>0</v>
      </c>
      <c r="AW48" s="82">
        <f t="shared" ref="AW48" si="510">AW8+AW33+AW36+AW42</f>
        <v>4000000</v>
      </c>
      <c r="AX48" s="12"/>
      <c r="AY48" s="81">
        <f>AY8+AY33+AY36+AY42</f>
        <v>0</v>
      </c>
      <c r="AZ48" s="81">
        <f t="shared" ref="AZ48:BA48" si="511">AZ8+AZ33+AZ36+AZ42</f>
        <v>0</v>
      </c>
      <c r="BA48" s="83">
        <f t="shared" si="511"/>
        <v>0</v>
      </c>
      <c r="BB48" s="82">
        <f t="shared" si="225"/>
        <v>0</v>
      </c>
      <c r="BC48" s="81">
        <f>BC8+BC33+BC36+BC42</f>
        <v>0</v>
      </c>
      <c r="BD48" s="81">
        <f t="shared" ref="BD48:BE48" si="512">BD8+BD33+BD36+BD42</f>
        <v>0</v>
      </c>
      <c r="BE48" s="83">
        <f t="shared" si="512"/>
        <v>0</v>
      </c>
      <c r="BF48" s="82">
        <f t="shared" si="228"/>
        <v>0</v>
      </c>
      <c r="BG48" s="82">
        <f t="shared" ref="BG48" si="513">BG8+BG33+BG36+BG42</f>
        <v>0</v>
      </c>
      <c r="BH48" s="81">
        <f>BH8+BH33+BH36+BH42</f>
        <v>0</v>
      </c>
      <c r="BI48" s="81">
        <f t="shared" ref="BI48:BJ48" si="514">BI8+BI33+BI36+BI42</f>
        <v>0</v>
      </c>
      <c r="BJ48" s="83">
        <f t="shared" si="514"/>
        <v>0</v>
      </c>
      <c r="BK48" s="82">
        <f t="shared" si="232"/>
        <v>0</v>
      </c>
      <c r="BL48" s="82">
        <f t="shared" ref="BL48" si="515">BL8+BL33+BL36+BL42</f>
        <v>0</v>
      </c>
      <c r="BM48" s="81">
        <f>BM8+BM33+BM36+BM42</f>
        <v>0</v>
      </c>
      <c r="BN48" s="81">
        <f t="shared" ref="BN48:BO48" si="516">BN8+BN33+BN36+BN42</f>
        <v>0</v>
      </c>
      <c r="BO48" s="83">
        <f t="shared" si="516"/>
        <v>0</v>
      </c>
      <c r="BP48" s="82">
        <f t="shared" si="236"/>
        <v>0</v>
      </c>
      <c r="BQ48" s="82">
        <f t="shared" ref="BQ48" si="517">BQ8+BQ33+BQ36+BQ42</f>
        <v>0</v>
      </c>
      <c r="BR48" s="12"/>
      <c r="BS48" s="81">
        <f>BS8+BS33+BS36+BS42</f>
        <v>0</v>
      </c>
      <c r="BT48" s="81">
        <f t="shared" ref="BT48:BU48" si="518">BT8+BT33+BT36+BT42</f>
        <v>0</v>
      </c>
      <c r="BU48" s="83">
        <f t="shared" si="518"/>
        <v>0</v>
      </c>
      <c r="BV48" s="82">
        <f t="shared" si="240"/>
        <v>0</v>
      </c>
      <c r="BW48" s="81">
        <f>BW8+BW33+BW36+BW42</f>
        <v>0</v>
      </c>
      <c r="BX48" s="81">
        <f t="shared" ref="BX48:BY48" si="519">BX8+BX33+BX36+BX42</f>
        <v>0</v>
      </c>
      <c r="BY48" s="83">
        <f t="shared" si="519"/>
        <v>0</v>
      </c>
      <c r="BZ48" s="82">
        <f t="shared" si="243"/>
        <v>0</v>
      </c>
      <c r="CA48" s="82">
        <f t="shared" ref="CA48" si="520">CA8+CA33+CA36+CA42</f>
        <v>0</v>
      </c>
      <c r="CB48" s="81">
        <f>CB8+CB33+CB36+CB42</f>
        <v>0</v>
      </c>
      <c r="CC48" s="81">
        <f t="shared" ref="CC48:CD48" si="521">CC8+CC33+CC36+CC42</f>
        <v>0</v>
      </c>
      <c r="CD48" s="83">
        <f t="shared" si="521"/>
        <v>0</v>
      </c>
      <c r="CE48" s="82">
        <f t="shared" si="247"/>
        <v>0</v>
      </c>
      <c r="CF48" s="82">
        <f t="shared" ref="CF48" si="522">CF8+CF33+CF36+CF42</f>
        <v>0</v>
      </c>
      <c r="CG48" s="81">
        <f>CG8+CG33+CG36+CG42</f>
        <v>0</v>
      </c>
      <c r="CH48" s="81">
        <f t="shared" ref="CH48:CI48" si="523">CH8+CH33+CH36+CH42</f>
        <v>0</v>
      </c>
      <c r="CI48" s="83">
        <f t="shared" si="523"/>
        <v>0</v>
      </c>
      <c r="CJ48" s="82">
        <f t="shared" si="251"/>
        <v>0</v>
      </c>
      <c r="CK48" s="82">
        <f t="shared" ref="CK48" si="524">CK8+CK33+CK36+CK42</f>
        <v>0</v>
      </c>
      <c r="CL48" s="12"/>
      <c r="CM48" s="81">
        <f>CM8+CM33+CM36+CM42</f>
        <v>0</v>
      </c>
      <c r="CN48" s="81">
        <f t="shared" ref="CN48:CO48" si="525">CN8+CN33+CN36+CN42</f>
        <v>0</v>
      </c>
      <c r="CO48" s="83">
        <f t="shared" si="525"/>
        <v>0</v>
      </c>
      <c r="CP48" s="82">
        <f t="shared" si="255"/>
        <v>0</v>
      </c>
      <c r="CQ48" s="81">
        <f>CQ8+CQ33+CQ36+CQ42</f>
        <v>0</v>
      </c>
      <c r="CR48" s="81">
        <f t="shared" ref="CR48:CS48" si="526">CR8+CR33+CR36+CR42</f>
        <v>0</v>
      </c>
      <c r="CS48" s="83">
        <f t="shared" si="526"/>
        <v>0</v>
      </c>
      <c r="CT48" s="82">
        <f t="shared" si="258"/>
        <v>0</v>
      </c>
      <c r="CU48" s="82">
        <f t="shared" ref="CU48" si="527">CU8+CU33+CU36+CU42</f>
        <v>0</v>
      </c>
      <c r="CV48" s="81">
        <f>CV8+CV33+CV36+CV42</f>
        <v>0</v>
      </c>
      <c r="CW48" s="81">
        <f t="shared" ref="CW48:CX48" si="528">CW8+CW33+CW36+CW42</f>
        <v>0</v>
      </c>
      <c r="CX48" s="83">
        <f t="shared" si="528"/>
        <v>0</v>
      </c>
      <c r="CY48" s="82">
        <f t="shared" si="262"/>
        <v>0</v>
      </c>
      <c r="CZ48" s="82">
        <f t="shared" ref="CZ48" si="529">CZ8+CZ33+CZ36+CZ42</f>
        <v>0</v>
      </c>
      <c r="DA48" s="81">
        <f>DA8+DA33+DA36+DA42</f>
        <v>0</v>
      </c>
      <c r="DB48" s="81">
        <f t="shared" ref="DB48:DC48" si="530">DB8+DB33+DB36+DB42</f>
        <v>0</v>
      </c>
      <c r="DC48" s="83">
        <f t="shared" si="530"/>
        <v>0</v>
      </c>
      <c r="DD48" s="82">
        <f t="shared" si="266"/>
        <v>0</v>
      </c>
      <c r="DE48" s="82">
        <f t="shared" ref="DE48" si="531">DE8+DE33+DE36+DE42</f>
        <v>0</v>
      </c>
    </row>
  </sheetData>
  <sheetProtection formatCells="0" formatColumns="0" formatRows="0" autoFilter="0"/>
  <autoFilter ref="I6:BQ31" xr:uid="{00000000-0009-0000-0000-000009000000}"/>
  <pageMargins left="0" right="0" top="0" bottom="0" header="0.31496062992125984" footer="0.31496062992125984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9">
    <tabColor theme="4" tint="0.79998168889431442"/>
    <pageSetUpPr fitToPage="1"/>
  </sheetPr>
  <dimension ref="A1:K128"/>
  <sheetViews>
    <sheetView showGridLines="0" workbookViewId="0">
      <pane ySplit="4" topLeftCell="A5" activePane="bottomLeft" state="frozen"/>
      <selection activeCell="D9" sqref="D9"/>
      <selection pane="bottomLeft" activeCell="H132" sqref="H132"/>
    </sheetView>
  </sheetViews>
  <sheetFormatPr defaultColWidth="9.109375" defaultRowHeight="10.199999999999999" x14ac:dyDescent="0.2"/>
  <cols>
    <col min="1" max="1" width="13.33203125" style="137" bestFit="1" customWidth="1"/>
    <col min="2" max="2" width="10.88671875" style="139" customWidth="1"/>
    <col min="3" max="3" width="13.5546875" style="139" customWidth="1"/>
    <col min="4" max="4" width="41.6640625" style="139" customWidth="1"/>
    <col min="5" max="5" width="33.6640625" style="139" customWidth="1"/>
    <col min="6" max="6" width="12.109375" style="139" customWidth="1"/>
    <col min="7" max="7" width="12.109375" style="222" customWidth="1"/>
    <col min="8" max="8" width="18.6640625" style="222" customWidth="1"/>
    <col min="9" max="9" width="14.44140625" style="222" customWidth="1"/>
    <col min="10" max="10" width="15.44140625" style="139" customWidth="1"/>
    <col min="11" max="11" width="36.88671875" style="139" customWidth="1"/>
    <col min="12" max="16384" width="9.109375" style="139"/>
  </cols>
  <sheetData>
    <row r="1" spans="1:11" x14ac:dyDescent="0.2">
      <c r="B1" s="138" t="s">
        <v>293</v>
      </c>
      <c r="C1" s="138"/>
    </row>
    <row r="2" spans="1:11" x14ac:dyDescent="0.2">
      <c r="B2" s="140"/>
    </row>
    <row r="4" spans="1:11" x14ac:dyDescent="0.2">
      <c r="A4" s="137" t="s">
        <v>228</v>
      </c>
      <c r="B4" s="141" t="s">
        <v>173</v>
      </c>
      <c r="C4" s="141" t="s">
        <v>229</v>
      </c>
      <c r="D4" s="142" t="s">
        <v>199</v>
      </c>
      <c r="E4" s="142" t="s">
        <v>174</v>
      </c>
      <c r="F4" s="142" t="s">
        <v>230</v>
      </c>
      <c r="G4" s="223" t="s">
        <v>270</v>
      </c>
      <c r="H4" s="223" t="s">
        <v>231</v>
      </c>
      <c r="I4" s="223" t="s">
        <v>232</v>
      </c>
      <c r="J4" s="142" t="s">
        <v>175</v>
      </c>
      <c r="K4" s="142" t="s">
        <v>22</v>
      </c>
    </row>
    <row r="5" spans="1:11" x14ac:dyDescent="0.2">
      <c r="A5" s="137" t="str">
        <f>IF(ISERROR(VLOOKUP(D5,ДДС!A:A,1,0))=TRUE,"не попало в ДДС","ok")</f>
        <v>ok</v>
      </c>
      <c r="B5" s="36">
        <v>45260</v>
      </c>
      <c r="C5" s="143" t="str">
        <f>IF(B5="","",VLOOKUP(MONTH(B5),Справочники!$X$4:$Y$15,2,0)&amp;"_"&amp;YEAR(B5))</f>
        <v>Ноябрь_2023</v>
      </c>
      <c r="D5" s="37" t="s">
        <v>178</v>
      </c>
      <c r="E5" s="37" t="s">
        <v>467</v>
      </c>
      <c r="F5" s="38">
        <v>0.2</v>
      </c>
      <c r="G5" s="220">
        <f>IF(ISERROR(I5-H5)=TRUE,"",I5-H5)</f>
        <v>1000000</v>
      </c>
      <c r="H5" s="220">
        <f>IF(I5="","",I5/(1+F5))</f>
        <v>5000000</v>
      </c>
      <c r="I5" s="221">
        <v>6000000</v>
      </c>
      <c r="J5" s="37" t="s">
        <v>473</v>
      </c>
      <c r="K5" s="37"/>
    </row>
    <row r="6" spans="1:11" x14ac:dyDescent="0.2">
      <c r="A6" s="137" t="str">
        <f>IF(ISERROR(VLOOKUP(D6,ДДС!A:A,1,0))=TRUE,"не попало в ДДС","ok")</f>
        <v>ok</v>
      </c>
      <c r="B6" s="36">
        <v>45292</v>
      </c>
      <c r="C6" s="143" t="str">
        <f>IF(B6="","",VLOOKUP(MONTH(B6),Справочники!$X$4:$Y$15,2,0)&amp;"_"&amp;YEAR(B6))</f>
        <v>Январь_2024</v>
      </c>
      <c r="D6" s="37" t="s">
        <v>178</v>
      </c>
      <c r="E6" s="37" t="s">
        <v>467</v>
      </c>
      <c r="F6" s="38">
        <v>0.2</v>
      </c>
      <c r="G6" s="220">
        <f t="shared" ref="G6:G128" si="0">IF(ISERROR(I6-H6)=TRUE,"",I6-H6)</f>
        <v>1000000</v>
      </c>
      <c r="H6" s="220">
        <f t="shared" ref="H6:H128" si="1">IF(I6="","",I6/(1+F6))</f>
        <v>5000000</v>
      </c>
      <c r="I6" s="221">
        <v>6000000</v>
      </c>
      <c r="J6" s="37" t="s">
        <v>473</v>
      </c>
      <c r="K6" s="37"/>
    </row>
    <row r="7" spans="1:11" x14ac:dyDescent="0.2">
      <c r="A7" s="137" t="str">
        <f>IF(ISERROR(VLOOKUP(D7,ДДС!A:A,1,0))=TRUE,"не попало в ДДС","ok")</f>
        <v>ok</v>
      </c>
      <c r="B7" s="36">
        <v>45194</v>
      </c>
      <c r="C7" s="143" t="str">
        <f>IF(B7="","",VLOOKUP(MONTH(B7),Справочники!$X$4:$Y$15,2,0)&amp;"_"&amp;YEAR(B7))</f>
        <v>Сентябрь_2023</v>
      </c>
      <c r="D7" s="37" t="s">
        <v>192</v>
      </c>
      <c r="E7" s="37" t="s">
        <v>467</v>
      </c>
      <c r="F7" s="38">
        <v>0</v>
      </c>
      <c r="G7" s="220">
        <f t="shared" si="0"/>
        <v>0</v>
      </c>
      <c r="H7" s="220">
        <f t="shared" si="1"/>
        <v>3000000</v>
      </c>
      <c r="I7" s="221">
        <v>3000000</v>
      </c>
      <c r="J7" s="37" t="s">
        <v>473</v>
      </c>
      <c r="K7" s="37"/>
    </row>
    <row r="8" spans="1:11" x14ac:dyDescent="0.2">
      <c r="A8" s="137" t="str">
        <f>IF(ISERROR(VLOOKUP(D8,ДДС!A:A,1,0))=TRUE,"не попало в ДДС","ok")</f>
        <v>ok</v>
      </c>
      <c r="B8" s="36">
        <v>45260</v>
      </c>
      <c r="C8" s="143" t="str">
        <f>IF(B8="","",VLOOKUP(MONTH(B8),Справочники!$X$4:$Y$15,2,0)&amp;"_"&amp;YEAR(B8))</f>
        <v>Ноябрь_2023</v>
      </c>
      <c r="D8" s="37" t="s">
        <v>178</v>
      </c>
      <c r="E8" s="37" t="s">
        <v>467</v>
      </c>
      <c r="F8" s="38">
        <v>0.2</v>
      </c>
      <c r="G8" s="220">
        <f t="shared" si="0"/>
        <v>1000000</v>
      </c>
      <c r="H8" s="220">
        <f t="shared" si="1"/>
        <v>5000000</v>
      </c>
      <c r="I8" s="221">
        <v>6000000</v>
      </c>
      <c r="J8" s="37" t="s">
        <v>473</v>
      </c>
      <c r="K8" s="37"/>
    </row>
    <row r="9" spans="1:11" x14ac:dyDescent="0.2">
      <c r="A9" s="137" t="str">
        <f>IF(ISERROR(VLOOKUP(D10,ДДС!A:A,1,0))=TRUE,"не попало в ДДС","ok")</f>
        <v>не попало в ДДС</v>
      </c>
      <c r="B9" s="36"/>
      <c r="C9" s="143"/>
      <c r="D9" s="37"/>
      <c r="E9" s="37"/>
      <c r="F9" s="38"/>
      <c r="G9" s="220"/>
      <c r="H9" s="220"/>
      <c r="I9" s="221"/>
      <c r="J9" s="37"/>
      <c r="K9" s="37"/>
    </row>
    <row r="10" spans="1:11" x14ac:dyDescent="0.2">
      <c r="A10" s="137" t="str">
        <f>IF(ISERROR(VLOOKUP(D11,ДДС!A:A,1,0))=TRUE,"не попало в ДДС","ok")</f>
        <v>не попало в ДДС</v>
      </c>
      <c r="B10" s="36"/>
      <c r="C10" s="143" t="str">
        <f>IF(B10="","",VLOOKUP(MONTH(B10),Справочники!$X$4:$Y$15,2,0)&amp;"_"&amp;YEAR(B10))</f>
        <v/>
      </c>
      <c r="D10" s="37"/>
      <c r="E10" s="37"/>
      <c r="F10" s="38"/>
      <c r="G10" s="220" t="str">
        <f t="shared" si="0"/>
        <v/>
      </c>
      <c r="H10" s="220" t="str">
        <f t="shared" si="1"/>
        <v/>
      </c>
      <c r="I10" s="221"/>
      <c r="J10" s="37"/>
      <c r="K10" s="37"/>
    </row>
    <row r="11" spans="1:11" x14ac:dyDescent="0.2">
      <c r="A11" s="137" t="str">
        <f>IF(ISERROR(VLOOKUP(D12,ДДС!A:A,1,0))=TRUE,"не попало в ДДС","ok")</f>
        <v>не попало в ДДС</v>
      </c>
      <c r="B11" s="36"/>
      <c r="C11" s="143" t="str">
        <f>IF(B11="","",VLOOKUP(MONTH(B11),Справочники!$X$4:$Y$15,2,0)&amp;"_"&amp;YEAR(B11))</f>
        <v/>
      </c>
      <c r="D11" s="37"/>
      <c r="E11" s="37"/>
      <c r="F11" s="38"/>
      <c r="G11" s="220" t="str">
        <f t="shared" si="0"/>
        <v/>
      </c>
      <c r="H11" s="220" t="str">
        <f t="shared" si="1"/>
        <v/>
      </c>
      <c r="I11" s="221"/>
      <c r="J11" s="37"/>
      <c r="K11" s="37"/>
    </row>
    <row r="12" spans="1:11" x14ac:dyDescent="0.2">
      <c r="A12" s="137" t="str">
        <f>IF(ISERROR(VLOOKUP(D13,ДДС!A:A,1,0))=TRUE,"не попало в ДДС","ok")</f>
        <v>не попало в ДДС</v>
      </c>
      <c r="B12" s="36"/>
      <c r="C12" s="143" t="str">
        <f>IF(B12="","",VLOOKUP(MONTH(B12),Справочники!$X$4:$Y$15,2,0)&amp;"_"&amp;YEAR(B12))</f>
        <v/>
      </c>
      <c r="D12" s="37"/>
      <c r="E12" s="37"/>
      <c r="F12" s="38"/>
      <c r="G12" s="220" t="str">
        <f t="shared" si="0"/>
        <v/>
      </c>
      <c r="H12" s="220" t="str">
        <f t="shared" si="1"/>
        <v/>
      </c>
      <c r="I12" s="221"/>
      <c r="J12" s="37"/>
      <c r="K12" s="37"/>
    </row>
    <row r="13" spans="1:11" x14ac:dyDescent="0.2">
      <c r="A13" s="137" t="str">
        <f>IF(ISERROR(VLOOKUP(D14,ДДС!A:A,1,0))=TRUE,"не попало в ДДС","ok")</f>
        <v>не попало в ДДС</v>
      </c>
      <c r="B13" s="36"/>
      <c r="C13" s="143" t="str">
        <f>IF(B13="","",VLOOKUP(MONTH(B13),Справочники!$X$4:$Y$15,2,0)&amp;"_"&amp;YEAR(B13))</f>
        <v/>
      </c>
      <c r="D13" s="37"/>
      <c r="E13" s="37"/>
      <c r="F13" s="38"/>
      <c r="G13" s="220" t="str">
        <f t="shared" si="0"/>
        <v/>
      </c>
      <c r="H13" s="220" t="str">
        <f t="shared" si="1"/>
        <v/>
      </c>
      <c r="I13" s="221"/>
      <c r="J13" s="37"/>
      <c r="K13" s="37"/>
    </row>
    <row r="14" spans="1:11" x14ac:dyDescent="0.2">
      <c r="A14" s="137" t="str">
        <f>IF(ISERROR(VLOOKUP(D15,ДДС!A:A,1,0))=TRUE,"не попало в ДДС","ok")</f>
        <v>не попало в ДДС</v>
      </c>
      <c r="B14" s="36"/>
      <c r="C14" s="143" t="str">
        <f>IF(B14="","",VLOOKUP(MONTH(B14),Справочники!$X$4:$Y$15,2,0)&amp;"_"&amp;YEAR(B14))</f>
        <v/>
      </c>
      <c r="D14" s="37"/>
      <c r="E14" s="37"/>
      <c r="F14" s="38"/>
      <c r="G14" s="220" t="str">
        <f t="shared" si="0"/>
        <v/>
      </c>
      <c r="H14" s="220" t="str">
        <f t="shared" si="1"/>
        <v/>
      </c>
      <c r="I14" s="221"/>
      <c r="J14" s="37"/>
      <c r="K14" s="37"/>
    </row>
    <row r="15" spans="1:11" x14ac:dyDescent="0.2">
      <c r="A15" s="137" t="str">
        <f>IF(ISERROR(VLOOKUP(D16,ДДС!A:A,1,0))=TRUE,"не попало в ДДС","ok")</f>
        <v>не попало в ДДС</v>
      </c>
      <c r="B15" s="36"/>
      <c r="C15" s="143" t="str">
        <f>IF(B15="","",VLOOKUP(MONTH(B15),Справочники!$X$4:$Y$15,2,0)&amp;"_"&amp;YEAR(B15))</f>
        <v/>
      </c>
      <c r="D15" s="37"/>
      <c r="E15" s="37"/>
      <c r="F15" s="38"/>
      <c r="G15" s="220" t="str">
        <f t="shared" si="0"/>
        <v/>
      </c>
      <c r="H15" s="220" t="str">
        <f t="shared" si="1"/>
        <v/>
      </c>
      <c r="I15" s="221"/>
      <c r="J15" s="37"/>
      <c r="K15" s="37"/>
    </row>
    <row r="16" spans="1:11" x14ac:dyDescent="0.2">
      <c r="A16" s="137" t="str">
        <f>IF(ISERROR(VLOOKUP(D17,ДДС!A:A,1,0))=TRUE,"не попало в ДДС","ok")</f>
        <v>не попало в ДДС</v>
      </c>
      <c r="B16" s="36"/>
      <c r="C16" s="143" t="str">
        <f>IF(B16="","",VLOOKUP(MONTH(B16),Справочники!$X$4:$Y$15,2,0)&amp;"_"&amp;YEAR(B16))</f>
        <v/>
      </c>
      <c r="D16" s="37"/>
      <c r="E16" s="37"/>
      <c r="F16" s="38"/>
      <c r="G16" s="220" t="str">
        <f t="shared" si="0"/>
        <v/>
      </c>
      <c r="H16" s="220" t="str">
        <f t="shared" si="1"/>
        <v/>
      </c>
      <c r="I16" s="221"/>
      <c r="J16" s="37"/>
      <c r="K16" s="37"/>
    </row>
    <row r="17" spans="1:11" x14ac:dyDescent="0.2">
      <c r="A17" s="137" t="str">
        <f>IF(ISERROR(VLOOKUP(D18,ДДС!A:A,1,0))=TRUE,"не попало в ДДС","ok")</f>
        <v>не попало в ДДС</v>
      </c>
      <c r="B17" s="36"/>
      <c r="C17" s="143" t="str">
        <f>IF(B17="","",VLOOKUP(MONTH(B17),Справочники!$X$4:$Y$15,2,0)&amp;"_"&amp;YEAR(B17))</f>
        <v/>
      </c>
      <c r="D17" s="37"/>
      <c r="E17" s="37"/>
      <c r="F17" s="38"/>
      <c r="G17" s="220" t="str">
        <f t="shared" si="0"/>
        <v/>
      </c>
      <c r="H17" s="220" t="str">
        <f t="shared" si="1"/>
        <v/>
      </c>
      <c r="I17" s="221"/>
      <c r="J17" s="37"/>
      <c r="K17" s="37"/>
    </row>
    <row r="18" spans="1:11" x14ac:dyDescent="0.2">
      <c r="A18" s="137" t="str">
        <f>IF(ISERROR(VLOOKUP(D19,ДДС!A:A,1,0))=TRUE,"не попало в ДДС","ok")</f>
        <v>не попало в ДДС</v>
      </c>
      <c r="B18" s="36"/>
      <c r="C18" s="143" t="str">
        <f>IF(B18="","",VLOOKUP(MONTH(B18),Справочники!$X$4:$Y$15,2,0)&amp;"_"&amp;YEAR(B18))</f>
        <v/>
      </c>
      <c r="D18" s="37"/>
      <c r="E18" s="37"/>
      <c r="F18" s="38"/>
      <c r="G18" s="220" t="str">
        <f t="shared" si="0"/>
        <v/>
      </c>
      <c r="H18" s="220" t="str">
        <f t="shared" si="1"/>
        <v/>
      </c>
      <c r="I18" s="221"/>
      <c r="J18" s="37"/>
      <c r="K18" s="37"/>
    </row>
    <row r="19" spans="1:11" x14ac:dyDescent="0.2">
      <c r="A19" s="137" t="str">
        <f>IF(ISERROR(VLOOKUP(D20,ДДС!A:A,1,0))=TRUE,"не попало в ДДС","ok")</f>
        <v>не попало в ДДС</v>
      </c>
      <c r="B19" s="36"/>
      <c r="C19" s="143" t="str">
        <f>IF(B19="","",VLOOKUP(MONTH(B19),Справочники!$X$4:$Y$15,2,0)&amp;"_"&amp;YEAR(B19))</f>
        <v/>
      </c>
      <c r="D19" s="37"/>
      <c r="E19" s="37"/>
      <c r="F19" s="38"/>
      <c r="G19" s="220" t="str">
        <f t="shared" si="0"/>
        <v/>
      </c>
      <c r="H19" s="220" t="str">
        <f t="shared" si="1"/>
        <v/>
      </c>
      <c r="I19" s="221"/>
      <c r="J19" s="37"/>
      <c r="K19" s="37"/>
    </row>
    <row r="20" spans="1:11" x14ac:dyDescent="0.2">
      <c r="A20" s="137" t="str">
        <f>IF(ISERROR(VLOOKUP(D21,ДДС!A:A,1,0))=TRUE,"не попало в ДДС","ok")</f>
        <v>не попало в ДДС</v>
      </c>
      <c r="B20" s="36"/>
      <c r="C20" s="143" t="str">
        <f>IF(B20="","",VLOOKUP(MONTH(B20),Справочники!$X$4:$Y$15,2,0)&amp;"_"&amp;YEAR(B20))</f>
        <v/>
      </c>
      <c r="D20" s="37"/>
      <c r="E20" s="37"/>
      <c r="F20" s="38"/>
      <c r="G20" s="220" t="str">
        <f t="shared" si="0"/>
        <v/>
      </c>
      <c r="H20" s="220" t="str">
        <f t="shared" si="1"/>
        <v/>
      </c>
      <c r="I20" s="221"/>
      <c r="J20" s="37"/>
      <c r="K20" s="37"/>
    </row>
    <row r="21" spans="1:11" x14ac:dyDescent="0.2">
      <c r="A21" s="137" t="str">
        <f>IF(ISERROR(VLOOKUP(D22,ДДС!A:A,1,0))=TRUE,"не попало в ДДС","ok")</f>
        <v>не попало в ДДС</v>
      </c>
      <c r="B21" s="36"/>
      <c r="C21" s="143" t="str">
        <f>IF(B21="","",VLOOKUP(MONTH(B21),Справочники!$X$4:$Y$15,2,0)&amp;"_"&amp;YEAR(B21))</f>
        <v/>
      </c>
      <c r="D21" s="37"/>
      <c r="E21" s="37"/>
      <c r="F21" s="38"/>
      <c r="G21" s="220" t="str">
        <f t="shared" si="0"/>
        <v/>
      </c>
      <c r="H21" s="220" t="str">
        <f t="shared" si="1"/>
        <v/>
      </c>
      <c r="I21" s="221"/>
      <c r="J21" s="37"/>
      <c r="K21" s="37"/>
    </row>
    <row r="22" spans="1:11" x14ac:dyDescent="0.2">
      <c r="A22" s="137" t="str">
        <f>IF(ISERROR(VLOOKUP(D23,ДДС!A:A,1,0))=TRUE,"не попало в ДДС","ok")</f>
        <v>не попало в ДДС</v>
      </c>
      <c r="B22" s="36"/>
      <c r="C22" s="143" t="str">
        <f>IF(B22="","",VLOOKUP(MONTH(B22),Справочники!$X$4:$Y$15,2,0)&amp;"_"&amp;YEAR(B22))</f>
        <v/>
      </c>
      <c r="D22" s="37"/>
      <c r="E22" s="37"/>
      <c r="F22" s="38"/>
      <c r="G22" s="220" t="str">
        <f t="shared" si="0"/>
        <v/>
      </c>
      <c r="H22" s="220" t="str">
        <f t="shared" si="1"/>
        <v/>
      </c>
      <c r="I22" s="221"/>
      <c r="J22" s="37"/>
      <c r="K22" s="37"/>
    </row>
    <row r="23" spans="1:11" x14ac:dyDescent="0.2">
      <c r="A23" s="137" t="str">
        <f>IF(ISERROR(VLOOKUP(D24,ДДС!A:A,1,0))=TRUE,"не попало в ДДС","ok")</f>
        <v>не попало в ДДС</v>
      </c>
      <c r="B23" s="36"/>
      <c r="C23" s="143" t="str">
        <f>IF(B23="","",VLOOKUP(MONTH(B23),Справочники!$X$4:$Y$15,2,0)&amp;"_"&amp;YEAR(B23))</f>
        <v/>
      </c>
      <c r="D23" s="37"/>
      <c r="E23" s="37"/>
      <c r="F23" s="38"/>
      <c r="G23" s="220" t="str">
        <f t="shared" si="0"/>
        <v/>
      </c>
      <c r="H23" s="220" t="str">
        <f t="shared" si="1"/>
        <v/>
      </c>
      <c r="I23" s="221"/>
      <c r="J23" s="37"/>
      <c r="K23" s="37"/>
    </row>
    <row r="24" spans="1:11" x14ac:dyDescent="0.2">
      <c r="A24" s="137" t="str">
        <f>IF(ISERROR(VLOOKUP(D25,ДДС!A:A,1,0))=TRUE,"не попало в ДДС","ok")</f>
        <v>не попало в ДДС</v>
      </c>
      <c r="B24" s="36"/>
      <c r="C24" s="143" t="str">
        <f>IF(B24="","",VLOOKUP(MONTH(B24),Справочники!$X$4:$Y$15,2,0)&amp;"_"&amp;YEAR(B24))</f>
        <v/>
      </c>
      <c r="D24" s="37"/>
      <c r="E24" s="37"/>
      <c r="F24" s="38"/>
      <c r="G24" s="220" t="str">
        <f t="shared" si="0"/>
        <v/>
      </c>
      <c r="H24" s="220" t="str">
        <f t="shared" si="1"/>
        <v/>
      </c>
      <c r="I24" s="221"/>
      <c r="J24" s="37"/>
      <c r="K24" s="37"/>
    </row>
    <row r="25" spans="1:11" x14ac:dyDescent="0.2">
      <c r="A25" s="137" t="str">
        <f>IF(ISERROR(VLOOKUP(D26,ДДС!A:A,1,0))=TRUE,"не попало в ДДС","ok")</f>
        <v>не попало в ДДС</v>
      </c>
      <c r="B25" s="36"/>
      <c r="C25" s="143" t="str">
        <f>IF(B25="","",VLOOKUP(MONTH(B25),Справочники!$X$4:$Y$15,2,0)&amp;"_"&amp;YEAR(B25))</f>
        <v/>
      </c>
      <c r="D25" s="37"/>
      <c r="E25" s="37"/>
      <c r="F25" s="38"/>
      <c r="G25" s="220" t="str">
        <f t="shared" si="0"/>
        <v/>
      </c>
      <c r="H25" s="220" t="str">
        <f t="shared" si="1"/>
        <v/>
      </c>
      <c r="I25" s="221"/>
      <c r="J25" s="37"/>
      <c r="K25" s="37"/>
    </row>
    <row r="26" spans="1:11" x14ac:dyDescent="0.2">
      <c r="A26" s="137" t="str">
        <f>IF(ISERROR(VLOOKUP(D27,ДДС!A:A,1,0))=TRUE,"не попало в ДДС","ok")</f>
        <v>не попало в ДДС</v>
      </c>
      <c r="B26" s="36"/>
      <c r="C26" s="143" t="str">
        <f>IF(B26="","",VLOOKUP(MONTH(B26),Справочники!$X$4:$Y$15,2,0)&amp;"_"&amp;YEAR(B26))</f>
        <v/>
      </c>
      <c r="D26" s="37"/>
      <c r="E26" s="37"/>
      <c r="F26" s="38"/>
      <c r="G26" s="220" t="str">
        <f t="shared" si="0"/>
        <v/>
      </c>
      <c r="H26" s="220" t="str">
        <f t="shared" si="1"/>
        <v/>
      </c>
      <c r="I26" s="221"/>
      <c r="J26" s="37"/>
      <c r="K26" s="37"/>
    </row>
    <row r="27" spans="1:11" x14ac:dyDescent="0.2">
      <c r="A27" s="137" t="str">
        <f>IF(ISERROR(VLOOKUP(D28,ДДС!A:A,1,0))=TRUE,"не попало в ДДС","ok")</f>
        <v>не попало в ДДС</v>
      </c>
      <c r="B27" s="36"/>
      <c r="C27" s="143" t="str">
        <f>IF(B27="","",VLOOKUP(MONTH(B27),Справочники!$X$4:$Y$15,2,0)&amp;"_"&amp;YEAR(B27))</f>
        <v/>
      </c>
      <c r="D27" s="37"/>
      <c r="E27" s="37"/>
      <c r="F27" s="38"/>
      <c r="G27" s="220" t="str">
        <f t="shared" si="0"/>
        <v/>
      </c>
      <c r="H27" s="220" t="str">
        <f t="shared" si="1"/>
        <v/>
      </c>
      <c r="I27" s="221"/>
      <c r="J27" s="37"/>
      <c r="K27" s="37"/>
    </row>
    <row r="28" spans="1:11" x14ac:dyDescent="0.2">
      <c r="A28" s="137" t="str">
        <f>IF(ISERROR(VLOOKUP(D29,ДДС!A:A,1,0))=TRUE,"не попало в ДДС","ok")</f>
        <v>не попало в ДДС</v>
      </c>
      <c r="B28" s="36"/>
      <c r="C28" s="143" t="str">
        <f>IF(B28="","",VLOOKUP(MONTH(B28),Справочники!$X$4:$Y$15,2,0)&amp;"_"&amp;YEAR(B28))</f>
        <v/>
      </c>
      <c r="D28" s="37"/>
      <c r="E28" s="37"/>
      <c r="F28" s="38"/>
      <c r="G28" s="220" t="str">
        <f t="shared" ref="G28:G91" si="2">IF(ISERROR(I28-H28)=TRUE,"",I28-H28)</f>
        <v/>
      </c>
      <c r="H28" s="220" t="str">
        <f t="shared" ref="H28:H91" si="3">IF(I28="","",I28/(1+F28))</f>
        <v/>
      </c>
      <c r="I28" s="221"/>
      <c r="J28" s="37"/>
      <c r="K28" s="37"/>
    </row>
    <row r="29" spans="1:11" x14ac:dyDescent="0.2">
      <c r="A29" s="137" t="str">
        <f>IF(ISERROR(VLOOKUP(D30,ДДС!A:A,1,0))=TRUE,"не попало в ДДС","ok")</f>
        <v>не попало в ДДС</v>
      </c>
      <c r="B29" s="36"/>
      <c r="C29" s="143" t="str">
        <f>IF(B29="","",VLOOKUP(MONTH(B29),Справочники!$X$4:$Y$15,2,0)&amp;"_"&amp;YEAR(B29))</f>
        <v/>
      </c>
      <c r="D29" s="37"/>
      <c r="E29" s="37"/>
      <c r="F29" s="38"/>
      <c r="G29" s="220" t="str">
        <f t="shared" si="2"/>
        <v/>
      </c>
      <c r="H29" s="220" t="str">
        <f t="shared" si="3"/>
        <v/>
      </c>
      <c r="I29" s="221"/>
      <c r="J29" s="37"/>
      <c r="K29" s="37"/>
    </row>
    <row r="30" spans="1:11" x14ac:dyDescent="0.2">
      <c r="A30" s="137" t="str">
        <f>IF(ISERROR(VLOOKUP(D31,ДДС!A:A,1,0))=TRUE,"не попало в ДДС","ok")</f>
        <v>не попало в ДДС</v>
      </c>
      <c r="B30" s="36"/>
      <c r="C30" s="143" t="str">
        <f>IF(B30="","",VLOOKUP(MONTH(B30),Справочники!$X$4:$Y$15,2,0)&amp;"_"&amp;YEAR(B30))</f>
        <v/>
      </c>
      <c r="D30" s="37"/>
      <c r="E30" s="37"/>
      <c r="F30" s="38"/>
      <c r="G30" s="220" t="str">
        <f t="shared" si="2"/>
        <v/>
      </c>
      <c r="H30" s="220" t="str">
        <f t="shared" si="3"/>
        <v/>
      </c>
      <c r="I30" s="221"/>
      <c r="J30" s="37"/>
      <c r="K30" s="37"/>
    </row>
    <row r="31" spans="1:11" x14ac:dyDescent="0.2">
      <c r="A31" s="137" t="str">
        <f>IF(ISERROR(VLOOKUP(D32,ДДС!A:A,1,0))=TRUE,"не попало в ДДС","ok")</f>
        <v>не попало в ДДС</v>
      </c>
      <c r="B31" s="36"/>
      <c r="C31" s="143" t="str">
        <f>IF(B31="","",VLOOKUP(MONTH(B31),Справочники!$X$4:$Y$15,2,0)&amp;"_"&amp;YEAR(B31))</f>
        <v/>
      </c>
      <c r="D31" s="37"/>
      <c r="E31" s="37"/>
      <c r="F31" s="38"/>
      <c r="G31" s="220" t="str">
        <f t="shared" si="2"/>
        <v/>
      </c>
      <c r="H31" s="220" t="str">
        <f t="shared" si="3"/>
        <v/>
      </c>
      <c r="I31" s="221"/>
      <c r="J31" s="37"/>
      <c r="K31" s="37"/>
    </row>
    <row r="32" spans="1:11" x14ac:dyDescent="0.2">
      <c r="A32" s="137" t="str">
        <f>IF(ISERROR(VLOOKUP(D33,ДДС!A:A,1,0))=TRUE,"не попало в ДДС","ok")</f>
        <v>не попало в ДДС</v>
      </c>
      <c r="B32" s="36"/>
      <c r="C32" s="143" t="str">
        <f>IF(B32="","",VLOOKUP(MONTH(B32),Справочники!$X$4:$Y$15,2,0)&amp;"_"&amp;YEAR(B32))</f>
        <v/>
      </c>
      <c r="D32" s="37"/>
      <c r="E32" s="37"/>
      <c r="F32" s="38"/>
      <c r="G32" s="220" t="str">
        <f t="shared" si="2"/>
        <v/>
      </c>
      <c r="H32" s="220" t="str">
        <f t="shared" si="3"/>
        <v/>
      </c>
      <c r="I32" s="221"/>
      <c r="J32" s="37"/>
      <c r="K32" s="37"/>
    </row>
    <row r="33" spans="1:11" hidden="1" x14ac:dyDescent="0.2">
      <c r="A33" s="137" t="str">
        <f>IF(ISERROR(VLOOKUP(D34,ДДС!A:A,1,0))=TRUE,"не попало в ДДС","ok")</f>
        <v>не попало в ДДС</v>
      </c>
      <c r="B33" s="36"/>
      <c r="C33" s="143" t="str">
        <f>IF(B33="","",VLOOKUP(MONTH(B33),Справочники!$X$4:$Y$15,2,0)&amp;"_"&amp;YEAR(B33))</f>
        <v/>
      </c>
      <c r="D33" s="37"/>
      <c r="E33" s="37"/>
      <c r="F33" s="38"/>
      <c r="G33" s="220" t="str">
        <f t="shared" si="2"/>
        <v/>
      </c>
      <c r="H33" s="220" t="str">
        <f t="shared" si="3"/>
        <v/>
      </c>
      <c r="I33" s="221"/>
      <c r="J33" s="37"/>
      <c r="K33" s="37"/>
    </row>
    <row r="34" spans="1:11" hidden="1" x14ac:dyDescent="0.2">
      <c r="A34" s="137" t="str">
        <f>IF(ISERROR(VLOOKUP(D35,ДДС!A:A,1,0))=TRUE,"не попало в ДДС","ok")</f>
        <v>не попало в ДДС</v>
      </c>
      <c r="B34" s="36"/>
      <c r="C34" s="143" t="str">
        <f>IF(B34="","",VLOOKUP(MONTH(B34),Справочники!$X$4:$Y$15,2,0)&amp;"_"&amp;YEAR(B34))</f>
        <v/>
      </c>
      <c r="D34" s="37"/>
      <c r="E34" s="37"/>
      <c r="F34" s="38"/>
      <c r="G34" s="220" t="str">
        <f t="shared" si="2"/>
        <v/>
      </c>
      <c r="H34" s="220" t="str">
        <f t="shared" si="3"/>
        <v/>
      </c>
      <c r="I34" s="221"/>
      <c r="J34" s="37"/>
      <c r="K34" s="37"/>
    </row>
    <row r="35" spans="1:11" hidden="1" x14ac:dyDescent="0.2">
      <c r="A35" s="137" t="str">
        <f>IF(ISERROR(VLOOKUP(D36,ДДС!A:A,1,0))=TRUE,"не попало в ДДС","ok")</f>
        <v>не попало в ДДС</v>
      </c>
      <c r="B35" s="36"/>
      <c r="C35" s="143" t="str">
        <f>IF(B35="","",VLOOKUP(MONTH(B35),Справочники!$X$4:$Y$15,2,0)&amp;"_"&amp;YEAR(B35))</f>
        <v/>
      </c>
      <c r="D35" s="37"/>
      <c r="E35" s="37"/>
      <c r="F35" s="38"/>
      <c r="G35" s="220" t="str">
        <f t="shared" si="2"/>
        <v/>
      </c>
      <c r="H35" s="220" t="str">
        <f t="shared" si="3"/>
        <v/>
      </c>
      <c r="I35" s="221"/>
      <c r="J35" s="37"/>
      <c r="K35" s="37"/>
    </row>
    <row r="36" spans="1:11" hidden="1" x14ac:dyDescent="0.2">
      <c r="A36" s="137" t="str">
        <f>IF(ISERROR(VLOOKUP(D37,ДДС!A:A,1,0))=TRUE,"не попало в ДДС","ok")</f>
        <v>не попало в ДДС</v>
      </c>
      <c r="B36" s="36"/>
      <c r="C36" s="143" t="str">
        <f>IF(B36="","",VLOOKUP(MONTH(B36),Справочники!$X$4:$Y$15,2,0)&amp;"_"&amp;YEAR(B36))</f>
        <v/>
      </c>
      <c r="D36" s="37"/>
      <c r="E36" s="37"/>
      <c r="F36" s="38"/>
      <c r="G36" s="220" t="str">
        <f t="shared" si="2"/>
        <v/>
      </c>
      <c r="H36" s="220" t="str">
        <f t="shared" si="3"/>
        <v/>
      </c>
      <c r="I36" s="221"/>
      <c r="J36" s="37"/>
      <c r="K36" s="37"/>
    </row>
    <row r="37" spans="1:11" hidden="1" x14ac:dyDescent="0.2">
      <c r="A37" s="137" t="str">
        <f>IF(ISERROR(VLOOKUP(D38,ДДС!A:A,1,0))=TRUE,"не попало в ДДС","ok")</f>
        <v>не попало в ДДС</v>
      </c>
      <c r="B37" s="36"/>
      <c r="C37" s="143" t="str">
        <f>IF(B37="","",VLOOKUP(MONTH(B37),Справочники!$X$4:$Y$15,2,0)&amp;"_"&amp;YEAR(B37))</f>
        <v/>
      </c>
      <c r="D37" s="37"/>
      <c r="E37" s="37"/>
      <c r="F37" s="38"/>
      <c r="G37" s="220" t="str">
        <f t="shared" si="2"/>
        <v/>
      </c>
      <c r="H37" s="220" t="str">
        <f t="shared" si="3"/>
        <v/>
      </c>
      <c r="I37" s="221"/>
      <c r="J37" s="37"/>
      <c r="K37" s="37"/>
    </row>
    <row r="38" spans="1:11" hidden="1" x14ac:dyDescent="0.2">
      <c r="A38" s="137" t="str">
        <f>IF(ISERROR(VLOOKUP(D39,ДДС!A:A,1,0))=TRUE,"не попало в ДДС","ok")</f>
        <v>не попало в ДДС</v>
      </c>
      <c r="B38" s="36"/>
      <c r="C38" s="143" t="str">
        <f>IF(B38="","",VLOOKUP(MONTH(B38),Справочники!$X$4:$Y$15,2,0)&amp;"_"&amp;YEAR(B38))</f>
        <v/>
      </c>
      <c r="D38" s="37"/>
      <c r="E38" s="37"/>
      <c r="F38" s="38"/>
      <c r="G38" s="220" t="str">
        <f t="shared" si="2"/>
        <v/>
      </c>
      <c r="H38" s="220" t="str">
        <f t="shared" si="3"/>
        <v/>
      </c>
      <c r="I38" s="221"/>
      <c r="J38" s="37"/>
      <c r="K38" s="37"/>
    </row>
    <row r="39" spans="1:11" hidden="1" x14ac:dyDescent="0.2">
      <c r="A39" s="137" t="str">
        <f>IF(ISERROR(VLOOKUP(D40,ДДС!A:A,1,0))=TRUE,"не попало в ДДС","ok")</f>
        <v>не попало в ДДС</v>
      </c>
      <c r="B39" s="36"/>
      <c r="C39" s="143" t="str">
        <f>IF(B39="","",VLOOKUP(MONTH(B39),Справочники!$X$4:$Y$15,2,0)&amp;"_"&amp;YEAR(B39))</f>
        <v/>
      </c>
      <c r="D39" s="37"/>
      <c r="E39" s="37"/>
      <c r="F39" s="38"/>
      <c r="G39" s="220" t="str">
        <f t="shared" si="2"/>
        <v/>
      </c>
      <c r="H39" s="220" t="str">
        <f t="shared" si="3"/>
        <v/>
      </c>
      <c r="I39" s="221"/>
      <c r="J39" s="37"/>
      <c r="K39" s="37"/>
    </row>
    <row r="40" spans="1:11" hidden="1" x14ac:dyDescent="0.2">
      <c r="A40" s="137" t="str">
        <f>IF(ISERROR(VLOOKUP(D41,ДДС!A:A,1,0))=TRUE,"не попало в ДДС","ok")</f>
        <v>не попало в ДДС</v>
      </c>
      <c r="B40" s="36"/>
      <c r="C40" s="143" t="str">
        <f>IF(B40="","",VLOOKUP(MONTH(B40),Справочники!$X$4:$Y$15,2,0)&amp;"_"&amp;YEAR(B40))</f>
        <v/>
      </c>
      <c r="D40" s="37"/>
      <c r="E40" s="37"/>
      <c r="F40" s="38"/>
      <c r="G40" s="220" t="str">
        <f t="shared" si="2"/>
        <v/>
      </c>
      <c r="H40" s="220" t="str">
        <f t="shared" si="3"/>
        <v/>
      </c>
      <c r="I40" s="221"/>
      <c r="J40" s="37"/>
      <c r="K40" s="37"/>
    </row>
    <row r="41" spans="1:11" hidden="1" x14ac:dyDescent="0.2">
      <c r="A41" s="137" t="str">
        <f>IF(ISERROR(VLOOKUP(D42,ДДС!A:A,1,0))=TRUE,"не попало в ДДС","ok")</f>
        <v>не попало в ДДС</v>
      </c>
      <c r="B41" s="36"/>
      <c r="C41" s="143" t="str">
        <f>IF(B41="","",VLOOKUP(MONTH(B41),Справочники!$X$4:$Y$15,2,0)&amp;"_"&amp;YEAR(B41))</f>
        <v/>
      </c>
      <c r="D41" s="37"/>
      <c r="E41" s="37"/>
      <c r="F41" s="38"/>
      <c r="G41" s="220" t="str">
        <f t="shared" si="2"/>
        <v/>
      </c>
      <c r="H41" s="220" t="str">
        <f t="shared" si="3"/>
        <v/>
      </c>
      <c r="I41" s="221"/>
      <c r="J41" s="37"/>
      <c r="K41" s="37"/>
    </row>
    <row r="42" spans="1:11" hidden="1" x14ac:dyDescent="0.2">
      <c r="A42" s="137" t="str">
        <f>IF(ISERROR(VLOOKUP(D43,ДДС!A:A,1,0))=TRUE,"не попало в ДДС","ok")</f>
        <v>не попало в ДДС</v>
      </c>
      <c r="B42" s="36"/>
      <c r="C42" s="143" t="str">
        <f>IF(B42="","",VLOOKUP(MONTH(B42),Справочники!$X$4:$Y$15,2,0)&amp;"_"&amp;YEAR(B42))</f>
        <v/>
      </c>
      <c r="D42" s="37"/>
      <c r="E42" s="37"/>
      <c r="F42" s="38"/>
      <c r="G42" s="220" t="str">
        <f t="shared" si="2"/>
        <v/>
      </c>
      <c r="H42" s="220" t="str">
        <f t="shared" si="3"/>
        <v/>
      </c>
      <c r="I42" s="221"/>
      <c r="J42" s="37"/>
      <c r="K42" s="37"/>
    </row>
    <row r="43" spans="1:11" hidden="1" x14ac:dyDescent="0.2">
      <c r="A43" s="137" t="str">
        <f>IF(ISERROR(VLOOKUP(D44,ДДС!A:A,1,0))=TRUE,"не попало в ДДС","ok")</f>
        <v>не попало в ДДС</v>
      </c>
      <c r="B43" s="36"/>
      <c r="C43" s="143" t="str">
        <f>IF(B43="","",VLOOKUP(MONTH(B43),Справочники!$X$4:$Y$15,2,0)&amp;"_"&amp;YEAR(B43))</f>
        <v/>
      </c>
      <c r="D43" s="37"/>
      <c r="E43" s="37"/>
      <c r="F43" s="38"/>
      <c r="G43" s="220" t="str">
        <f t="shared" si="2"/>
        <v/>
      </c>
      <c r="H43" s="220" t="str">
        <f t="shared" si="3"/>
        <v/>
      </c>
      <c r="I43" s="221"/>
      <c r="J43" s="37"/>
      <c r="K43" s="37"/>
    </row>
    <row r="44" spans="1:11" hidden="1" x14ac:dyDescent="0.2">
      <c r="A44" s="137" t="str">
        <f>IF(ISERROR(VLOOKUP(D45,ДДС!A:A,1,0))=TRUE,"не попало в ДДС","ok")</f>
        <v>не попало в ДДС</v>
      </c>
      <c r="B44" s="36"/>
      <c r="C44" s="143" t="str">
        <f>IF(B44="","",VLOOKUP(MONTH(B44),Справочники!$X$4:$Y$15,2,0)&amp;"_"&amp;YEAR(B44))</f>
        <v/>
      </c>
      <c r="D44" s="37"/>
      <c r="E44" s="37"/>
      <c r="F44" s="38"/>
      <c r="G44" s="220" t="str">
        <f t="shared" si="2"/>
        <v/>
      </c>
      <c r="H44" s="220" t="str">
        <f t="shared" si="3"/>
        <v/>
      </c>
      <c r="I44" s="221"/>
      <c r="J44" s="37"/>
      <c r="K44" s="37"/>
    </row>
    <row r="45" spans="1:11" hidden="1" x14ac:dyDescent="0.2">
      <c r="A45" s="137" t="str">
        <f>IF(ISERROR(VLOOKUP(D46,ДДС!A:A,1,0))=TRUE,"не попало в ДДС","ok")</f>
        <v>не попало в ДДС</v>
      </c>
      <c r="B45" s="36"/>
      <c r="C45" s="143" t="str">
        <f>IF(B45="","",VLOOKUP(MONTH(B45),Справочники!$X$4:$Y$15,2,0)&amp;"_"&amp;YEAR(B45))</f>
        <v/>
      </c>
      <c r="D45" s="37"/>
      <c r="E45" s="37"/>
      <c r="F45" s="38"/>
      <c r="G45" s="220" t="str">
        <f t="shared" si="2"/>
        <v/>
      </c>
      <c r="H45" s="220" t="str">
        <f t="shared" si="3"/>
        <v/>
      </c>
      <c r="I45" s="221"/>
      <c r="J45" s="37"/>
      <c r="K45" s="37"/>
    </row>
    <row r="46" spans="1:11" hidden="1" x14ac:dyDescent="0.2">
      <c r="A46" s="137" t="str">
        <f>IF(ISERROR(VLOOKUP(D47,ДДС!A:A,1,0))=TRUE,"не попало в ДДС","ok")</f>
        <v>не попало в ДДС</v>
      </c>
      <c r="B46" s="36"/>
      <c r="C46" s="143" t="str">
        <f>IF(B46="","",VLOOKUP(MONTH(B46),Справочники!$X$4:$Y$15,2,0)&amp;"_"&amp;YEAR(B46))</f>
        <v/>
      </c>
      <c r="D46" s="37"/>
      <c r="E46" s="37"/>
      <c r="F46" s="38"/>
      <c r="G46" s="220" t="str">
        <f t="shared" si="2"/>
        <v/>
      </c>
      <c r="H46" s="220" t="str">
        <f t="shared" si="3"/>
        <v/>
      </c>
      <c r="I46" s="221"/>
      <c r="J46" s="37"/>
      <c r="K46" s="37"/>
    </row>
    <row r="47" spans="1:11" hidden="1" x14ac:dyDescent="0.2">
      <c r="A47" s="137" t="str">
        <f>IF(ISERROR(VLOOKUP(D48,ДДС!A:A,1,0))=TRUE,"не попало в ДДС","ok")</f>
        <v>не попало в ДДС</v>
      </c>
      <c r="B47" s="36"/>
      <c r="C47" s="143" t="str">
        <f>IF(B47="","",VLOOKUP(MONTH(B47),Справочники!$X$4:$Y$15,2,0)&amp;"_"&amp;YEAR(B47))</f>
        <v/>
      </c>
      <c r="D47" s="37"/>
      <c r="E47" s="37"/>
      <c r="F47" s="38"/>
      <c r="G47" s="220" t="str">
        <f t="shared" si="2"/>
        <v/>
      </c>
      <c r="H47" s="220" t="str">
        <f t="shared" si="3"/>
        <v/>
      </c>
      <c r="I47" s="221"/>
      <c r="J47" s="37"/>
      <c r="K47" s="37"/>
    </row>
    <row r="48" spans="1:11" hidden="1" x14ac:dyDescent="0.2">
      <c r="A48" s="137" t="str">
        <f>IF(ISERROR(VLOOKUP(D49,ДДС!A:A,1,0))=TRUE,"не попало в ДДС","ok")</f>
        <v>не попало в ДДС</v>
      </c>
      <c r="B48" s="36"/>
      <c r="C48" s="143" t="str">
        <f>IF(B48="","",VLOOKUP(MONTH(B48),Справочники!$X$4:$Y$15,2,0)&amp;"_"&amp;YEAR(B48))</f>
        <v/>
      </c>
      <c r="D48" s="37"/>
      <c r="E48" s="37"/>
      <c r="F48" s="38"/>
      <c r="G48" s="220" t="str">
        <f t="shared" si="2"/>
        <v/>
      </c>
      <c r="H48" s="220" t="str">
        <f t="shared" si="3"/>
        <v/>
      </c>
      <c r="I48" s="221"/>
      <c r="J48" s="37"/>
      <c r="K48" s="37"/>
    </row>
    <row r="49" spans="1:11" hidden="1" x14ac:dyDescent="0.2">
      <c r="A49" s="137" t="str">
        <f>IF(ISERROR(VLOOKUP(D50,ДДС!A:A,1,0))=TRUE,"не попало в ДДС","ok")</f>
        <v>не попало в ДДС</v>
      </c>
      <c r="B49" s="36"/>
      <c r="C49" s="143" t="str">
        <f>IF(B49="","",VLOOKUP(MONTH(B49),Справочники!$X$4:$Y$15,2,0)&amp;"_"&amp;YEAR(B49))</f>
        <v/>
      </c>
      <c r="D49" s="37"/>
      <c r="E49" s="37"/>
      <c r="F49" s="38"/>
      <c r="G49" s="220" t="str">
        <f t="shared" si="2"/>
        <v/>
      </c>
      <c r="H49" s="220" t="str">
        <f t="shared" si="3"/>
        <v/>
      </c>
      <c r="I49" s="221"/>
      <c r="J49" s="37"/>
      <c r="K49" s="37"/>
    </row>
    <row r="50" spans="1:11" hidden="1" x14ac:dyDescent="0.2">
      <c r="A50" s="137" t="str">
        <f>IF(ISERROR(VLOOKUP(D51,ДДС!A:A,1,0))=TRUE,"не попало в ДДС","ok")</f>
        <v>не попало в ДДС</v>
      </c>
      <c r="B50" s="36"/>
      <c r="C50" s="143" t="str">
        <f>IF(B50="","",VLOOKUP(MONTH(B50),Справочники!$X$4:$Y$15,2,0)&amp;"_"&amp;YEAR(B50))</f>
        <v/>
      </c>
      <c r="D50" s="37"/>
      <c r="E50" s="37"/>
      <c r="F50" s="38"/>
      <c r="G50" s="220" t="str">
        <f t="shared" si="2"/>
        <v/>
      </c>
      <c r="H50" s="220" t="str">
        <f t="shared" si="3"/>
        <v/>
      </c>
      <c r="I50" s="221"/>
      <c r="J50" s="37"/>
      <c r="K50" s="37"/>
    </row>
    <row r="51" spans="1:11" hidden="1" x14ac:dyDescent="0.2">
      <c r="A51" s="137" t="str">
        <f>IF(ISERROR(VLOOKUP(D52,ДДС!A:A,1,0))=TRUE,"не попало в ДДС","ok")</f>
        <v>не попало в ДДС</v>
      </c>
      <c r="B51" s="36"/>
      <c r="C51" s="143" t="str">
        <f>IF(B51="","",VLOOKUP(MONTH(B51),Справочники!$X$4:$Y$15,2,0)&amp;"_"&amp;YEAR(B51))</f>
        <v/>
      </c>
      <c r="D51" s="37"/>
      <c r="E51" s="37"/>
      <c r="F51" s="38"/>
      <c r="G51" s="220" t="str">
        <f t="shared" si="2"/>
        <v/>
      </c>
      <c r="H51" s="220" t="str">
        <f t="shared" si="3"/>
        <v/>
      </c>
      <c r="I51" s="221"/>
      <c r="J51" s="37"/>
      <c r="K51" s="37"/>
    </row>
    <row r="52" spans="1:11" hidden="1" x14ac:dyDescent="0.2">
      <c r="A52" s="137" t="str">
        <f>IF(ISERROR(VLOOKUP(D53,ДДС!A:A,1,0))=TRUE,"не попало в ДДС","ok")</f>
        <v>не попало в ДДС</v>
      </c>
      <c r="B52" s="36"/>
      <c r="C52" s="143" t="str">
        <f>IF(B52="","",VLOOKUP(MONTH(B52),Справочники!$X$4:$Y$15,2,0)&amp;"_"&amp;YEAR(B52))</f>
        <v/>
      </c>
      <c r="D52" s="37"/>
      <c r="E52" s="37"/>
      <c r="F52" s="38"/>
      <c r="G52" s="220" t="str">
        <f t="shared" si="2"/>
        <v/>
      </c>
      <c r="H52" s="220" t="str">
        <f t="shared" si="3"/>
        <v/>
      </c>
      <c r="I52" s="221"/>
      <c r="J52" s="37"/>
      <c r="K52" s="37"/>
    </row>
    <row r="53" spans="1:11" hidden="1" x14ac:dyDescent="0.2">
      <c r="A53" s="137" t="str">
        <f>IF(ISERROR(VLOOKUP(D54,ДДС!A:A,1,0))=TRUE,"не попало в ДДС","ok")</f>
        <v>не попало в ДДС</v>
      </c>
      <c r="B53" s="36"/>
      <c r="C53" s="143" t="str">
        <f>IF(B53="","",VLOOKUP(MONTH(B53),Справочники!$X$4:$Y$15,2,0)&amp;"_"&amp;YEAR(B53))</f>
        <v/>
      </c>
      <c r="D53" s="37"/>
      <c r="E53" s="37"/>
      <c r="F53" s="38"/>
      <c r="G53" s="220" t="str">
        <f t="shared" si="2"/>
        <v/>
      </c>
      <c r="H53" s="220" t="str">
        <f t="shared" si="3"/>
        <v/>
      </c>
      <c r="I53" s="221"/>
      <c r="J53" s="37"/>
      <c r="K53" s="37"/>
    </row>
    <row r="54" spans="1:11" hidden="1" x14ac:dyDescent="0.2">
      <c r="A54" s="137" t="str">
        <f>IF(ISERROR(VLOOKUP(D55,ДДС!A:A,1,0))=TRUE,"не попало в ДДС","ok")</f>
        <v>не попало в ДДС</v>
      </c>
      <c r="B54" s="36"/>
      <c r="C54" s="143" t="str">
        <f>IF(B54="","",VLOOKUP(MONTH(B54),Справочники!$X$4:$Y$15,2,0)&amp;"_"&amp;YEAR(B54))</f>
        <v/>
      </c>
      <c r="D54" s="37"/>
      <c r="E54" s="37"/>
      <c r="F54" s="38"/>
      <c r="G54" s="220" t="str">
        <f t="shared" si="2"/>
        <v/>
      </c>
      <c r="H54" s="220" t="str">
        <f t="shared" si="3"/>
        <v/>
      </c>
      <c r="I54" s="221"/>
      <c r="J54" s="37"/>
      <c r="K54" s="37"/>
    </row>
    <row r="55" spans="1:11" hidden="1" x14ac:dyDescent="0.2">
      <c r="A55" s="137" t="str">
        <f>IF(ISERROR(VLOOKUP(D56,ДДС!A:A,1,0))=TRUE,"не попало в ДДС","ok")</f>
        <v>не попало в ДДС</v>
      </c>
      <c r="B55" s="36"/>
      <c r="C55" s="143" t="str">
        <f>IF(B55="","",VLOOKUP(MONTH(B55),Справочники!$X$4:$Y$15,2,0)&amp;"_"&amp;YEAR(B55))</f>
        <v/>
      </c>
      <c r="D55" s="37"/>
      <c r="E55" s="37"/>
      <c r="F55" s="38"/>
      <c r="G55" s="220" t="str">
        <f t="shared" si="2"/>
        <v/>
      </c>
      <c r="H55" s="220" t="str">
        <f t="shared" si="3"/>
        <v/>
      </c>
      <c r="I55" s="221"/>
      <c r="J55" s="37"/>
      <c r="K55" s="37"/>
    </row>
    <row r="56" spans="1:11" hidden="1" x14ac:dyDescent="0.2">
      <c r="A56" s="137" t="str">
        <f>IF(ISERROR(VLOOKUP(D57,ДДС!A:A,1,0))=TRUE,"не попало в ДДС","ok")</f>
        <v>не попало в ДДС</v>
      </c>
      <c r="B56" s="36"/>
      <c r="C56" s="143" t="str">
        <f>IF(B56="","",VLOOKUP(MONTH(B56),Справочники!$X$4:$Y$15,2,0)&amp;"_"&amp;YEAR(B56))</f>
        <v/>
      </c>
      <c r="D56" s="37"/>
      <c r="E56" s="37"/>
      <c r="F56" s="38"/>
      <c r="G56" s="220" t="str">
        <f t="shared" si="2"/>
        <v/>
      </c>
      <c r="H56" s="220" t="str">
        <f t="shared" si="3"/>
        <v/>
      </c>
      <c r="I56" s="221"/>
      <c r="J56" s="37"/>
      <c r="K56" s="37"/>
    </row>
    <row r="57" spans="1:11" hidden="1" x14ac:dyDescent="0.2">
      <c r="A57" s="137" t="str">
        <f>IF(ISERROR(VLOOKUP(D58,ДДС!A:A,1,0))=TRUE,"не попало в ДДС","ok")</f>
        <v>не попало в ДДС</v>
      </c>
      <c r="B57" s="36"/>
      <c r="C57" s="143" t="str">
        <f>IF(B57="","",VLOOKUP(MONTH(B57),Справочники!$X$4:$Y$15,2,0)&amp;"_"&amp;YEAR(B57))</f>
        <v/>
      </c>
      <c r="D57" s="37"/>
      <c r="E57" s="37"/>
      <c r="F57" s="38"/>
      <c r="G57" s="220" t="str">
        <f t="shared" si="2"/>
        <v/>
      </c>
      <c r="H57" s="220" t="str">
        <f t="shared" si="3"/>
        <v/>
      </c>
      <c r="I57" s="221"/>
      <c r="J57" s="37"/>
      <c r="K57" s="37"/>
    </row>
    <row r="58" spans="1:11" hidden="1" x14ac:dyDescent="0.2">
      <c r="A58" s="137" t="str">
        <f>IF(ISERROR(VLOOKUP(D59,ДДС!A:A,1,0))=TRUE,"не попало в ДДС","ok")</f>
        <v>не попало в ДДС</v>
      </c>
      <c r="B58" s="36"/>
      <c r="C58" s="143" t="str">
        <f>IF(B58="","",VLOOKUP(MONTH(B58),Справочники!$X$4:$Y$15,2,0)&amp;"_"&amp;YEAR(B58))</f>
        <v/>
      </c>
      <c r="D58" s="37"/>
      <c r="E58" s="37"/>
      <c r="F58" s="38"/>
      <c r="G58" s="220" t="str">
        <f t="shared" si="2"/>
        <v/>
      </c>
      <c r="H58" s="220" t="str">
        <f t="shared" si="3"/>
        <v/>
      </c>
      <c r="I58" s="221"/>
      <c r="J58" s="37"/>
      <c r="K58" s="37"/>
    </row>
    <row r="59" spans="1:11" hidden="1" x14ac:dyDescent="0.2">
      <c r="A59" s="137" t="str">
        <f>IF(ISERROR(VLOOKUP(D60,ДДС!A:A,1,0))=TRUE,"не попало в ДДС","ok")</f>
        <v>не попало в ДДС</v>
      </c>
      <c r="B59" s="36"/>
      <c r="C59" s="143" t="str">
        <f>IF(B59="","",VLOOKUP(MONTH(B59),Справочники!$X$4:$Y$15,2,0)&amp;"_"&amp;YEAR(B59))</f>
        <v/>
      </c>
      <c r="D59" s="37"/>
      <c r="E59" s="37"/>
      <c r="F59" s="38"/>
      <c r="G59" s="220" t="str">
        <f t="shared" si="2"/>
        <v/>
      </c>
      <c r="H59" s="220" t="str">
        <f t="shared" si="3"/>
        <v/>
      </c>
      <c r="I59" s="221"/>
      <c r="J59" s="37"/>
      <c r="K59" s="37"/>
    </row>
    <row r="60" spans="1:11" hidden="1" x14ac:dyDescent="0.2">
      <c r="A60" s="137" t="str">
        <f>IF(ISERROR(VLOOKUP(D61,ДДС!A:A,1,0))=TRUE,"не попало в ДДС","ok")</f>
        <v>не попало в ДДС</v>
      </c>
      <c r="B60" s="36"/>
      <c r="C60" s="143" t="str">
        <f>IF(B60="","",VLOOKUP(MONTH(B60),Справочники!$X$4:$Y$15,2,0)&amp;"_"&amp;YEAR(B60))</f>
        <v/>
      </c>
      <c r="D60" s="37"/>
      <c r="E60" s="37"/>
      <c r="F60" s="38"/>
      <c r="G60" s="220" t="str">
        <f t="shared" si="2"/>
        <v/>
      </c>
      <c r="H60" s="220" t="str">
        <f t="shared" si="3"/>
        <v/>
      </c>
      <c r="I60" s="221"/>
      <c r="J60" s="37"/>
      <c r="K60" s="37"/>
    </row>
    <row r="61" spans="1:11" hidden="1" x14ac:dyDescent="0.2">
      <c r="A61" s="137" t="str">
        <f>IF(ISERROR(VLOOKUP(D62,ДДС!A:A,1,0))=TRUE,"не попало в ДДС","ok")</f>
        <v>не попало в ДДС</v>
      </c>
      <c r="B61" s="36"/>
      <c r="C61" s="143" t="str">
        <f>IF(B61="","",VLOOKUP(MONTH(B61),Справочники!$X$4:$Y$15,2,0)&amp;"_"&amp;YEAR(B61))</f>
        <v/>
      </c>
      <c r="D61" s="37"/>
      <c r="E61" s="37"/>
      <c r="F61" s="38"/>
      <c r="G61" s="220" t="str">
        <f t="shared" si="2"/>
        <v/>
      </c>
      <c r="H61" s="220" t="str">
        <f t="shared" si="3"/>
        <v/>
      </c>
      <c r="I61" s="221"/>
      <c r="J61" s="37"/>
      <c r="K61" s="37"/>
    </row>
    <row r="62" spans="1:11" hidden="1" x14ac:dyDescent="0.2">
      <c r="A62" s="137" t="str">
        <f>IF(ISERROR(VLOOKUP(D63,ДДС!A:A,1,0))=TRUE,"не попало в ДДС","ok")</f>
        <v>не попало в ДДС</v>
      </c>
      <c r="B62" s="36"/>
      <c r="C62" s="143" t="str">
        <f>IF(B62="","",VLOOKUP(MONTH(B62),Справочники!$X$4:$Y$15,2,0)&amp;"_"&amp;YEAR(B62))</f>
        <v/>
      </c>
      <c r="D62" s="37"/>
      <c r="E62" s="37"/>
      <c r="F62" s="38"/>
      <c r="G62" s="220" t="str">
        <f t="shared" si="2"/>
        <v/>
      </c>
      <c r="H62" s="220" t="str">
        <f t="shared" si="3"/>
        <v/>
      </c>
      <c r="I62" s="221"/>
      <c r="J62" s="37"/>
      <c r="K62" s="37"/>
    </row>
    <row r="63" spans="1:11" hidden="1" x14ac:dyDescent="0.2">
      <c r="A63" s="137" t="str">
        <f>IF(ISERROR(VLOOKUP(D64,ДДС!A:A,1,0))=TRUE,"не попало в ДДС","ok")</f>
        <v>не попало в ДДС</v>
      </c>
      <c r="B63" s="36"/>
      <c r="C63" s="143" t="str">
        <f>IF(B63="","",VLOOKUP(MONTH(B63),Справочники!$X$4:$Y$15,2,0)&amp;"_"&amp;YEAR(B63))</f>
        <v/>
      </c>
      <c r="D63" s="37"/>
      <c r="E63" s="37"/>
      <c r="F63" s="38"/>
      <c r="G63" s="220" t="str">
        <f t="shared" si="2"/>
        <v/>
      </c>
      <c r="H63" s="220" t="str">
        <f t="shared" si="3"/>
        <v/>
      </c>
      <c r="I63" s="221"/>
      <c r="J63" s="37"/>
      <c r="K63" s="37"/>
    </row>
    <row r="64" spans="1:11" hidden="1" x14ac:dyDescent="0.2">
      <c r="A64" s="137" t="str">
        <f>IF(ISERROR(VLOOKUP(D65,ДДС!A:A,1,0))=TRUE,"не попало в ДДС","ok")</f>
        <v>не попало в ДДС</v>
      </c>
      <c r="B64" s="36"/>
      <c r="C64" s="143" t="str">
        <f>IF(B64="","",VLOOKUP(MONTH(B64),Справочники!$X$4:$Y$15,2,0)&amp;"_"&amp;YEAR(B64))</f>
        <v/>
      </c>
      <c r="D64" s="37"/>
      <c r="E64" s="37"/>
      <c r="F64" s="38"/>
      <c r="G64" s="220" t="str">
        <f t="shared" si="2"/>
        <v/>
      </c>
      <c r="H64" s="220" t="str">
        <f t="shared" si="3"/>
        <v/>
      </c>
      <c r="I64" s="221"/>
      <c r="J64" s="37"/>
      <c r="K64" s="37"/>
    </row>
    <row r="65" spans="1:11" hidden="1" x14ac:dyDescent="0.2">
      <c r="A65" s="137" t="str">
        <f>IF(ISERROR(VLOOKUP(D66,ДДС!A:A,1,0))=TRUE,"не попало в ДДС","ok")</f>
        <v>не попало в ДДС</v>
      </c>
      <c r="B65" s="36"/>
      <c r="C65" s="143" t="str">
        <f>IF(B65="","",VLOOKUP(MONTH(B65),Справочники!$X$4:$Y$15,2,0)&amp;"_"&amp;YEAR(B65))</f>
        <v/>
      </c>
      <c r="D65" s="37"/>
      <c r="E65" s="37"/>
      <c r="F65" s="38"/>
      <c r="G65" s="220" t="str">
        <f t="shared" si="2"/>
        <v/>
      </c>
      <c r="H65" s="220" t="str">
        <f t="shared" si="3"/>
        <v/>
      </c>
      <c r="I65" s="221"/>
      <c r="J65" s="37"/>
      <c r="K65" s="37"/>
    </row>
    <row r="66" spans="1:11" hidden="1" x14ac:dyDescent="0.2">
      <c r="A66" s="137" t="str">
        <f>IF(ISERROR(VLOOKUP(D67,ДДС!A:A,1,0))=TRUE,"не попало в ДДС","ok")</f>
        <v>не попало в ДДС</v>
      </c>
      <c r="B66" s="36"/>
      <c r="C66" s="143" t="str">
        <f>IF(B66="","",VLOOKUP(MONTH(B66),Справочники!$X$4:$Y$15,2,0)&amp;"_"&amp;YEAR(B66))</f>
        <v/>
      </c>
      <c r="D66" s="37"/>
      <c r="E66" s="37"/>
      <c r="F66" s="38"/>
      <c r="G66" s="220" t="str">
        <f t="shared" si="2"/>
        <v/>
      </c>
      <c r="H66" s="220" t="str">
        <f t="shared" si="3"/>
        <v/>
      </c>
      <c r="I66" s="221"/>
      <c r="J66" s="37"/>
      <c r="K66" s="37"/>
    </row>
    <row r="67" spans="1:11" hidden="1" x14ac:dyDescent="0.2">
      <c r="A67" s="137" t="str">
        <f>IF(ISERROR(VLOOKUP(D68,ДДС!A:A,1,0))=TRUE,"не попало в ДДС","ok")</f>
        <v>не попало в ДДС</v>
      </c>
      <c r="B67" s="36"/>
      <c r="C67" s="143" t="str">
        <f>IF(B67="","",VLOOKUP(MONTH(B67),Справочники!$X$4:$Y$15,2,0)&amp;"_"&amp;YEAR(B67))</f>
        <v/>
      </c>
      <c r="D67" s="37"/>
      <c r="E67" s="37"/>
      <c r="F67" s="38"/>
      <c r="G67" s="220" t="str">
        <f t="shared" si="2"/>
        <v/>
      </c>
      <c r="H67" s="220" t="str">
        <f t="shared" si="3"/>
        <v/>
      </c>
      <c r="I67" s="221"/>
      <c r="J67" s="37"/>
      <c r="K67" s="37"/>
    </row>
    <row r="68" spans="1:11" hidden="1" x14ac:dyDescent="0.2">
      <c r="A68" s="137" t="str">
        <f>IF(ISERROR(VLOOKUP(D69,ДДС!A:A,1,0))=TRUE,"не попало в ДДС","ok")</f>
        <v>не попало в ДДС</v>
      </c>
      <c r="B68" s="36"/>
      <c r="C68" s="143" t="str">
        <f>IF(B68="","",VLOOKUP(MONTH(B68),Справочники!$X$4:$Y$15,2,0)&amp;"_"&amp;YEAR(B68))</f>
        <v/>
      </c>
      <c r="D68" s="37"/>
      <c r="E68" s="37"/>
      <c r="F68" s="38"/>
      <c r="G68" s="220" t="str">
        <f t="shared" si="2"/>
        <v/>
      </c>
      <c r="H68" s="220" t="str">
        <f t="shared" si="3"/>
        <v/>
      </c>
      <c r="I68" s="221"/>
      <c r="J68" s="37"/>
      <c r="K68" s="37"/>
    </row>
    <row r="69" spans="1:11" hidden="1" x14ac:dyDescent="0.2">
      <c r="A69" s="137" t="str">
        <f>IF(ISERROR(VLOOKUP(D70,ДДС!A:A,1,0))=TRUE,"не попало в ДДС","ok")</f>
        <v>не попало в ДДС</v>
      </c>
      <c r="B69" s="36"/>
      <c r="C69" s="143" t="str">
        <f>IF(B69="","",VLOOKUP(MONTH(B69),Справочники!$X$4:$Y$15,2,0)&amp;"_"&amp;YEAR(B69))</f>
        <v/>
      </c>
      <c r="D69" s="37"/>
      <c r="E69" s="37"/>
      <c r="F69" s="38"/>
      <c r="G69" s="220" t="str">
        <f t="shared" si="2"/>
        <v/>
      </c>
      <c r="H69" s="220" t="str">
        <f t="shared" si="3"/>
        <v/>
      </c>
      <c r="I69" s="221"/>
      <c r="J69" s="37"/>
      <c r="K69" s="37"/>
    </row>
    <row r="70" spans="1:11" hidden="1" x14ac:dyDescent="0.2">
      <c r="A70" s="137" t="str">
        <f>IF(ISERROR(VLOOKUP(D71,ДДС!A:A,1,0))=TRUE,"не попало в ДДС","ok")</f>
        <v>не попало в ДДС</v>
      </c>
      <c r="B70" s="36"/>
      <c r="C70" s="143" t="str">
        <f>IF(B70="","",VLOOKUP(MONTH(B70),Справочники!$X$4:$Y$15,2,0)&amp;"_"&amp;YEAR(B70))</f>
        <v/>
      </c>
      <c r="D70" s="37"/>
      <c r="E70" s="37"/>
      <c r="F70" s="38"/>
      <c r="G70" s="220" t="str">
        <f t="shared" si="2"/>
        <v/>
      </c>
      <c r="H70" s="220" t="str">
        <f t="shared" si="3"/>
        <v/>
      </c>
      <c r="I70" s="221"/>
      <c r="J70" s="37"/>
      <c r="K70" s="37"/>
    </row>
    <row r="71" spans="1:11" hidden="1" x14ac:dyDescent="0.2">
      <c r="A71" s="137" t="str">
        <f>IF(ISERROR(VLOOKUP(D72,ДДС!A:A,1,0))=TRUE,"не попало в ДДС","ok")</f>
        <v>не попало в ДДС</v>
      </c>
      <c r="B71" s="36"/>
      <c r="C71" s="143" t="str">
        <f>IF(B71="","",VLOOKUP(MONTH(B71),Справочники!$X$4:$Y$15,2,0)&amp;"_"&amp;YEAR(B71))</f>
        <v/>
      </c>
      <c r="D71" s="37"/>
      <c r="E71" s="37"/>
      <c r="F71" s="38"/>
      <c r="G71" s="220" t="str">
        <f t="shared" si="2"/>
        <v/>
      </c>
      <c r="H71" s="220" t="str">
        <f t="shared" si="3"/>
        <v/>
      </c>
      <c r="I71" s="221"/>
      <c r="J71" s="37"/>
      <c r="K71" s="37"/>
    </row>
    <row r="72" spans="1:11" hidden="1" x14ac:dyDescent="0.2">
      <c r="A72" s="137" t="str">
        <f>IF(ISERROR(VLOOKUP(D73,ДДС!A:A,1,0))=TRUE,"не попало в ДДС","ok")</f>
        <v>не попало в ДДС</v>
      </c>
      <c r="B72" s="36"/>
      <c r="C72" s="143" t="str">
        <f>IF(B72="","",VLOOKUP(MONTH(B72),Справочники!$X$4:$Y$15,2,0)&amp;"_"&amp;YEAR(B72))</f>
        <v/>
      </c>
      <c r="D72" s="37"/>
      <c r="E72" s="37"/>
      <c r="F72" s="38"/>
      <c r="G72" s="220" t="str">
        <f t="shared" si="2"/>
        <v/>
      </c>
      <c r="H72" s="220" t="str">
        <f t="shared" si="3"/>
        <v/>
      </c>
      <c r="I72" s="221"/>
      <c r="J72" s="37"/>
      <c r="K72" s="37"/>
    </row>
    <row r="73" spans="1:11" hidden="1" x14ac:dyDescent="0.2">
      <c r="A73" s="137" t="str">
        <f>IF(ISERROR(VLOOKUP(D74,ДДС!A:A,1,0))=TRUE,"не попало в ДДС","ok")</f>
        <v>не попало в ДДС</v>
      </c>
      <c r="B73" s="36"/>
      <c r="C73" s="143" t="str">
        <f>IF(B73="","",VLOOKUP(MONTH(B73),Справочники!$X$4:$Y$15,2,0)&amp;"_"&amp;YEAR(B73))</f>
        <v/>
      </c>
      <c r="D73" s="37"/>
      <c r="E73" s="37"/>
      <c r="F73" s="38"/>
      <c r="G73" s="220" t="str">
        <f t="shared" si="2"/>
        <v/>
      </c>
      <c r="H73" s="220" t="str">
        <f t="shared" si="3"/>
        <v/>
      </c>
      <c r="I73" s="221"/>
      <c r="J73" s="37"/>
      <c r="K73" s="37"/>
    </row>
    <row r="74" spans="1:11" hidden="1" x14ac:dyDescent="0.2">
      <c r="A74" s="137" t="str">
        <f>IF(ISERROR(VLOOKUP(D75,ДДС!A:A,1,0))=TRUE,"не попало в ДДС","ok")</f>
        <v>не попало в ДДС</v>
      </c>
      <c r="B74" s="36"/>
      <c r="C74" s="143" t="str">
        <f>IF(B74="","",VLOOKUP(MONTH(B74),Справочники!$X$4:$Y$15,2,0)&amp;"_"&amp;YEAR(B74))</f>
        <v/>
      </c>
      <c r="D74" s="37"/>
      <c r="E74" s="37"/>
      <c r="F74" s="38"/>
      <c r="G74" s="220" t="str">
        <f t="shared" si="2"/>
        <v/>
      </c>
      <c r="H74" s="220" t="str">
        <f t="shared" si="3"/>
        <v/>
      </c>
      <c r="I74" s="221"/>
      <c r="J74" s="37"/>
      <c r="K74" s="37"/>
    </row>
    <row r="75" spans="1:11" hidden="1" x14ac:dyDescent="0.2">
      <c r="A75" s="137" t="str">
        <f>IF(ISERROR(VLOOKUP(D76,ДДС!A:A,1,0))=TRUE,"не попало в ДДС","ok")</f>
        <v>не попало в ДДС</v>
      </c>
      <c r="B75" s="36"/>
      <c r="C75" s="143" t="str">
        <f>IF(B75="","",VLOOKUP(MONTH(B75),Справочники!$X$4:$Y$15,2,0)&amp;"_"&amp;YEAR(B75))</f>
        <v/>
      </c>
      <c r="D75" s="37"/>
      <c r="E75" s="37"/>
      <c r="F75" s="38"/>
      <c r="G75" s="220" t="str">
        <f t="shared" si="2"/>
        <v/>
      </c>
      <c r="H75" s="220" t="str">
        <f t="shared" si="3"/>
        <v/>
      </c>
      <c r="I75" s="221"/>
      <c r="J75" s="37"/>
      <c r="K75" s="37"/>
    </row>
    <row r="76" spans="1:11" hidden="1" x14ac:dyDescent="0.2">
      <c r="A76" s="137" t="str">
        <f>IF(ISERROR(VLOOKUP(D77,ДДС!A:A,1,0))=TRUE,"не попало в ДДС","ok")</f>
        <v>не попало в ДДС</v>
      </c>
      <c r="B76" s="36"/>
      <c r="C76" s="143" t="str">
        <f>IF(B76="","",VLOOKUP(MONTH(B76),Справочники!$X$4:$Y$15,2,0)&amp;"_"&amp;YEAR(B76))</f>
        <v/>
      </c>
      <c r="D76" s="37"/>
      <c r="E76" s="37"/>
      <c r="F76" s="38"/>
      <c r="G76" s="220" t="str">
        <f t="shared" si="2"/>
        <v/>
      </c>
      <c r="H76" s="220" t="str">
        <f t="shared" si="3"/>
        <v/>
      </c>
      <c r="I76" s="221"/>
      <c r="J76" s="37"/>
      <c r="K76" s="37"/>
    </row>
    <row r="77" spans="1:11" hidden="1" x14ac:dyDescent="0.2">
      <c r="A77" s="137" t="str">
        <f>IF(ISERROR(VLOOKUP(D78,ДДС!A:A,1,0))=TRUE,"не попало в ДДС","ok")</f>
        <v>не попало в ДДС</v>
      </c>
      <c r="B77" s="36"/>
      <c r="C77" s="143" t="str">
        <f>IF(B77="","",VLOOKUP(MONTH(B77),Справочники!$X$4:$Y$15,2,0)&amp;"_"&amp;YEAR(B77))</f>
        <v/>
      </c>
      <c r="D77" s="37"/>
      <c r="E77" s="37"/>
      <c r="F77" s="38"/>
      <c r="G77" s="220" t="str">
        <f t="shared" si="2"/>
        <v/>
      </c>
      <c r="H77" s="220" t="str">
        <f t="shared" si="3"/>
        <v/>
      </c>
      <c r="I77" s="221"/>
      <c r="J77" s="37"/>
      <c r="K77" s="37"/>
    </row>
    <row r="78" spans="1:11" hidden="1" x14ac:dyDescent="0.2">
      <c r="A78" s="137" t="str">
        <f>IF(ISERROR(VLOOKUP(D79,ДДС!A:A,1,0))=TRUE,"не попало в ДДС","ok")</f>
        <v>не попало в ДДС</v>
      </c>
      <c r="B78" s="36"/>
      <c r="C78" s="143" t="str">
        <f>IF(B78="","",VLOOKUP(MONTH(B78),Справочники!$X$4:$Y$15,2,0)&amp;"_"&amp;YEAR(B78))</f>
        <v/>
      </c>
      <c r="D78" s="37"/>
      <c r="E78" s="37"/>
      <c r="F78" s="38"/>
      <c r="G78" s="220" t="str">
        <f t="shared" si="2"/>
        <v/>
      </c>
      <c r="H78" s="220" t="str">
        <f t="shared" si="3"/>
        <v/>
      </c>
      <c r="I78" s="221"/>
      <c r="J78" s="37"/>
      <c r="K78" s="37"/>
    </row>
    <row r="79" spans="1:11" hidden="1" x14ac:dyDescent="0.2">
      <c r="A79" s="137" t="str">
        <f>IF(ISERROR(VLOOKUP(D80,ДДС!A:A,1,0))=TRUE,"не попало в ДДС","ok")</f>
        <v>не попало в ДДС</v>
      </c>
      <c r="B79" s="36"/>
      <c r="C79" s="143" t="str">
        <f>IF(B79="","",VLOOKUP(MONTH(B79),Справочники!$X$4:$Y$15,2,0)&amp;"_"&amp;YEAR(B79))</f>
        <v/>
      </c>
      <c r="D79" s="37"/>
      <c r="E79" s="37"/>
      <c r="F79" s="38"/>
      <c r="G79" s="220" t="str">
        <f t="shared" si="2"/>
        <v/>
      </c>
      <c r="H79" s="220" t="str">
        <f t="shared" si="3"/>
        <v/>
      </c>
      <c r="I79" s="221"/>
      <c r="J79" s="37"/>
      <c r="K79" s="37"/>
    </row>
    <row r="80" spans="1:11" hidden="1" x14ac:dyDescent="0.2">
      <c r="A80" s="137" t="str">
        <f>IF(ISERROR(VLOOKUP(D81,ДДС!A:A,1,0))=TRUE,"не попало в ДДС","ok")</f>
        <v>не попало в ДДС</v>
      </c>
      <c r="B80" s="36"/>
      <c r="C80" s="143" t="str">
        <f>IF(B80="","",VLOOKUP(MONTH(B80),Справочники!$X$4:$Y$15,2,0)&amp;"_"&amp;YEAR(B80))</f>
        <v/>
      </c>
      <c r="D80" s="37"/>
      <c r="E80" s="37"/>
      <c r="F80" s="38"/>
      <c r="G80" s="220" t="str">
        <f t="shared" si="2"/>
        <v/>
      </c>
      <c r="H80" s="220" t="str">
        <f t="shared" si="3"/>
        <v/>
      </c>
      <c r="I80" s="221"/>
      <c r="J80" s="37"/>
      <c r="K80" s="37"/>
    </row>
    <row r="81" spans="1:11" hidden="1" x14ac:dyDescent="0.2">
      <c r="A81" s="137" t="str">
        <f>IF(ISERROR(VLOOKUP(D82,ДДС!A:A,1,0))=TRUE,"не попало в ДДС","ok")</f>
        <v>не попало в ДДС</v>
      </c>
      <c r="B81" s="36"/>
      <c r="C81" s="143" t="str">
        <f>IF(B81="","",VLOOKUP(MONTH(B81),Справочники!$X$4:$Y$15,2,0)&amp;"_"&amp;YEAR(B81))</f>
        <v/>
      </c>
      <c r="D81" s="37"/>
      <c r="E81" s="37"/>
      <c r="F81" s="38"/>
      <c r="G81" s="220" t="str">
        <f t="shared" si="2"/>
        <v/>
      </c>
      <c r="H81" s="220" t="str">
        <f t="shared" si="3"/>
        <v/>
      </c>
      <c r="I81" s="221"/>
      <c r="J81" s="37"/>
      <c r="K81" s="37"/>
    </row>
    <row r="82" spans="1:11" hidden="1" x14ac:dyDescent="0.2">
      <c r="A82" s="137" t="str">
        <f>IF(ISERROR(VLOOKUP(D83,ДДС!A:A,1,0))=TRUE,"не попало в ДДС","ok")</f>
        <v>не попало в ДДС</v>
      </c>
      <c r="B82" s="36"/>
      <c r="C82" s="143" t="str">
        <f>IF(B82="","",VLOOKUP(MONTH(B82),Справочники!$X$4:$Y$15,2,0)&amp;"_"&amp;YEAR(B82))</f>
        <v/>
      </c>
      <c r="D82" s="37"/>
      <c r="E82" s="37"/>
      <c r="F82" s="38"/>
      <c r="G82" s="220" t="str">
        <f t="shared" si="2"/>
        <v/>
      </c>
      <c r="H82" s="220" t="str">
        <f t="shared" si="3"/>
        <v/>
      </c>
      <c r="I82" s="221"/>
      <c r="J82" s="37"/>
      <c r="K82" s="37"/>
    </row>
    <row r="83" spans="1:11" hidden="1" x14ac:dyDescent="0.2">
      <c r="A83" s="137" t="str">
        <f>IF(ISERROR(VLOOKUP(D84,ДДС!A:A,1,0))=TRUE,"не попало в ДДС","ok")</f>
        <v>не попало в ДДС</v>
      </c>
      <c r="B83" s="36"/>
      <c r="C83" s="143" t="str">
        <f>IF(B83="","",VLOOKUP(MONTH(B83),Справочники!$X$4:$Y$15,2,0)&amp;"_"&amp;YEAR(B83))</f>
        <v/>
      </c>
      <c r="D83" s="37"/>
      <c r="E83" s="37"/>
      <c r="F83" s="38"/>
      <c r="G83" s="220" t="str">
        <f t="shared" si="2"/>
        <v/>
      </c>
      <c r="H83" s="220" t="str">
        <f t="shared" si="3"/>
        <v/>
      </c>
      <c r="I83" s="221"/>
      <c r="J83" s="37"/>
      <c r="K83" s="37"/>
    </row>
    <row r="84" spans="1:11" hidden="1" x14ac:dyDescent="0.2">
      <c r="A84" s="137" t="str">
        <f>IF(ISERROR(VLOOKUP(D85,ДДС!A:A,1,0))=TRUE,"не попало в ДДС","ok")</f>
        <v>не попало в ДДС</v>
      </c>
      <c r="B84" s="36"/>
      <c r="C84" s="143" t="str">
        <f>IF(B84="","",VLOOKUP(MONTH(B84),Справочники!$X$4:$Y$15,2,0)&amp;"_"&amp;YEAR(B84))</f>
        <v/>
      </c>
      <c r="D84" s="37"/>
      <c r="E84" s="37"/>
      <c r="F84" s="38"/>
      <c r="G84" s="220" t="str">
        <f t="shared" si="2"/>
        <v/>
      </c>
      <c r="H84" s="220" t="str">
        <f t="shared" si="3"/>
        <v/>
      </c>
      <c r="I84" s="221"/>
      <c r="J84" s="37"/>
      <c r="K84" s="37"/>
    </row>
    <row r="85" spans="1:11" hidden="1" x14ac:dyDescent="0.2">
      <c r="A85" s="137" t="str">
        <f>IF(ISERROR(VLOOKUP(D86,ДДС!A:A,1,0))=TRUE,"не попало в ДДС","ok")</f>
        <v>не попало в ДДС</v>
      </c>
      <c r="B85" s="36"/>
      <c r="C85" s="143" t="str">
        <f>IF(B85="","",VLOOKUP(MONTH(B85),Справочники!$X$4:$Y$15,2,0)&amp;"_"&amp;YEAR(B85))</f>
        <v/>
      </c>
      <c r="D85" s="37"/>
      <c r="E85" s="37"/>
      <c r="F85" s="38"/>
      <c r="G85" s="220" t="str">
        <f t="shared" si="2"/>
        <v/>
      </c>
      <c r="H85" s="220" t="str">
        <f t="shared" si="3"/>
        <v/>
      </c>
      <c r="I85" s="221"/>
      <c r="J85" s="37"/>
      <c r="K85" s="37"/>
    </row>
    <row r="86" spans="1:11" hidden="1" x14ac:dyDescent="0.2">
      <c r="A86" s="137" t="str">
        <f>IF(ISERROR(VLOOKUP(D87,ДДС!A:A,1,0))=TRUE,"не попало в ДДС","ok")</f>
        <v>не попало в ДДС</v>
      </c>
      <c r="B86" s="36"/>
      <c r="C86" s="143" t="str">
        <f>IF(B86="","",VLOOKUP(MONTH(B86),Справочники!$X$4:$Y$15,2,0)&amp;"_"&amp;YEAR(B86))</f>
        <v/>
      </c>
      <c r="D86" s="37"/>
      <c r="E86" s="37"/>
      <c r="F86" s="38"/>
      <c r="G86" s="220" t="str">
        <f t="shared" si="2"/>
        <v/>
      </c>
      <c r="H86" s="220" t="str">
        <f t="shared" si="3"/>
        <v/>
      </c>
      <c r="I86" s="221"/>
      <c r="J86" s="37"/>
      <c r="K86" s="37"/>
    </row>
    <row r="87" spans="1:11" hidden="1" x14ac:dyDescent="0.2">
      <c r="A87" s="137" t="str">
        <f>IF(ISERROR(VLOOKUP(D88,ДДС!A:A,1,0))=TRUE,"не попало в ДДС","ok")</f>
        <v>не попало в ДДС</v>
      </c>
      <c r="B87" s="36"/>
      <c r="C87" s="143" t="str">
        <f>IF(B87="","",VLOOKUP(MONTH(B87),Справочники!$X$4:$Y$15,2,0)&amp;"_"&amp;YEAR(B87))</f>
        <v/>
      </c>
      <c r="D87" s="37"/>
      <c r="E87" s="37"/>
      <c r="F87" s="38"/>
      <c r="G87" s="220" t="str">
        <f t="shared" si="2"/>
        <v/>
      </c>
      <c r="H87" s="220" t="str">
        <f t="shared" si="3"/>
        <v/>
      </c>
      <c r="I87" s="221"/>
      <c r="J87" s="37"/>
      <c r="K87" s="37"/>
    </row>
    <row r="88" spans="1:11" hidden="1" x14ac:dyDescent="0.2">
      <c r="A88" s="137" t="str">
        <f>IF(ISERROR(VLOOKUP(D89,ДДС!A:A,1,0))=TRUE,"не попало в ДДС","ok")</f>
        <v>не попало в ДДС</v>
      </c>
      <c r="B88" s="36"/>
      <c r="C88" s="143" t="str">
        <f>IF(B88="","",VLOOKUP(MONTH(B88),Справочники!$X$4:$Y$15,2,0)&amp;"_"&amp;YEAR(B88))</f>
        <v/>
      </c>
      <c r="D88" s="37"/>
      <c r="E88" s="37"/>
      <c r="F88" s="38"/>
      <c r="G88" s="220" t="str">
        <f t="shared" si="2"/>
        <v/>
      </c>
      <c r="H88" s="220" t="str">
        <f t="shared" si="3"/>
        <v/>
      </c>
      <c r="I88" s="221"/>
      <c r="J88" s="37"/>
      <c r="K88" s="37"/>
    </row>
    <row r="89" spans="1:11" hidden="1" x14ac:dyDescent="0.2">
      <c r="A89" s="137" t="str">
        <f>IF(ISERROR(VLOOKUP(D90,ДДС!A:A,1,0))=TRUE,"не попало в ДДС","ok")</f>
        <v>не попало в ДДС</v>
      </c>
      <c r="B89" s="36"/>
      <c r="C89" s="143" t="str">
        <f>IF(B89="","",VLOOKUP(MONTH(B89),Справочники!$X$4:$Y$15,2,0)&amp;"_"&amp;YEAR(B89))</f>
        <v/>
      </c>
      <c r="D89" s="37"/>
      <c r="E89" s="37"/>
      <c r="F89" s="38"/>
      <c r="G89" s="220" t="str">
        <f t="shared" si="2"/>
        <v/>
      </c>
      <c r="H89" s="220" t="str">
        <f t="shared" si="3"/>
        <v/>
      </c>
      <c r="I89" s="221"/>
      <c r="J89" s="37"/>
      <c r="K89" s="37"/>
    </row>
    <row r="90" spans="1:11" hidden="1" x14ac:dyDescent="0.2">
      <c r="A90" s="137" t="str">
        <f>IF(ISERROR(VLOOKUP(D91,ДДС!A:A,1,0))=TRUE,"не попало в ДДС","ok")</f>
        <v>не попало в ДДС</v>
      </c>
      <c r="B90" s="36"/>
      <c r="C90" s="143" t="str">
        <f>IF(B90="","",VLOOKUP(MONTH(B90),Справочники!$X$4:$Y$15,2,0)&amp;"_"&amp;YEAR(B90))</f>
        <v/>
      </c>
      <c r="D90" s="37"/>
      <c r="E90" s="37"/>
      <c r="F90" s="38"/>
      <c r="G90" s="220" t="str">
        <f t="shared" si="2"/>
        <v/>
      </c>
      <c r="H90" s="220" t="str">
        <f t="shared" si="3"/>
        <v/>
      </c>
      <c r="I90" s="221"/>
      <c r="J90" s="37"/>
      <c r="K90" s="37"/>
    </row>
    <row r="91" spans="1:11" hidden="1" x14ac:dyDescent="0.2">
      <c r="A91" s="137" t="str">
        <f>IF(ISERROR(VLOOKUP(D92,ДДС!A:A,1,0))=TRUE,"не попало в ДДС","ok")</f>
        <v>не попало в ДДС</v>
      </c>
      <c r="B91" s="36"/>
      <c r="C91" s="143" t="str">
        <f>IF(B91="","",VLOOKUP(MONTH(B91),Справочники!$X$4:$Y$15,2,0)&amp;"_"&amp;YEAR(B91))</f>
        <v/>
      </c>
      <c r="D91" s="37"/>
      <c r="E91" s="37"/>
      <c r="F91" s="38"/>
      <c r="G91" s="220" t="str">
        <f t="shared" si="2"/>
        <v/>
      </c>
      <c r="H91" s="220" t="str">
        <f t="shared" si="3"/>
        <v/>
      </c>
      <c r="I91" s="221"/>
      <c r="J91" s="37"/>
      <c r="K91" s="37"/>
    </row>
    <row r="92" spans="1:11" hidden="1" x14ac:dyDescent="0.2">
      <c r="A92" s="137" t="str">
        <f>IF(ISERROR(VLOOKUP(D93,ДДС!A:A,1,0))=TRUE,"не попало в ДДС","ok")</f>
        <v>не попало в ДДС</v>
      </c>
      <c r="B92" s="36"/>
      <c r="C92" s="143" t="str">
        <f>IF(B92="","",VLOOKUP(MONTH(B92),Справочники!$X$4:$Y$15,2,0)&amp;"_"&amp;YEAR(B92))</f>
        <v/>
      </c>
      <c r="D92" s="37"/>
      <c r="E92" s="37"/>
      <c r="F92" s="38"/>
      <c r="G92" s="220" t="str">
        <f t="shared" ref="G92:G127" si="4">IF(ISERROR(I92-H92)=TRUE,"",I92-H92)</f>
        <v/>
      </c>
      <c r="H92" s="220" t="str">
        <f t="shared" ref="H92:H127" si="5">IF(I92="","",I92/(1+F92))</f>
        <v/>
      </c>
      <c r="I92" s="221"/>
      <c r="J92" s="37"/>
      <c r="K92" s="37"/>
    </row>
    <row r="93" spans="1:11" hidden="1" x14ac:dyDescent="0.2">
      <c r="A93" s="137" t="str">
        <f>IF(ISERROR(VLOOKUP(D94,ДДС!A:A,1,0))=TRUE,"не попало в ДДС","ok")</f>
        <v>не попало в ДДС</v>
      </c>
      <c r="B93" s="36"/>
      <c r="C93" s="143" t="str">
        <f>IF(B93="","",VLOOKUP(MONTH(B93),Справочники!$X$4:$Y$15,2,0)&amp;"_"&amp;YEAR(B93))</f>
        <v/>
      </c>
      <c r="D93" s="37"/>
      <c r="E93" s="37"/>
      <c r="F93" s="38"/>
      <c r="G93" s="220" t="str">
        <f t="shared" si="4"/>
        <v/>
      </c>
      <c r="H93" s="220" t="str">
        <f t="shared" si="5"/>
        <v/>
      </c>
      <c r="I93" s="221"/>
      <c r="J93" s="37"/>
      <c r="K93" s="37"/>
    </row>
    <row r="94" spans="1:11" hidden="1" x14ac:dyDescent="0.2">
      <c r="A94" s="137" t="str">
        <f>IF(ISERROR(VLOOKUP(D95,ДДС!A:A,1,0))=TRUE,"не попало в ДДС","ok")</f>
        <v>не попало в ДДС</v>
      </c>
      <c r="B94" s="36"/>
      <c r="C94" s="143" t="str">
        <f>IF(B94="","",VLOOKUP(MONTH(B94),Справочники!$X$4:$Y$15,2,0)&amp;"_"&amp;YEAR(B94))</f>
        <v/>
      </c>
      <c r="D94" s="37"/>
      <c r="E94" s="37"/>
      <c r="F94" s="38"/>
      <c r="G94" s="220" t="str">
        <f t="shared" si="4"/>
        <v/>
      </c>
      <c r="H94" s="220" t="str">
        <f t="shared" si="5"/>
        <v/>
      </c>
      <c r="I94" s="221"/>
      <c r="J94" s="37"/>
      <c r="K94" s="37"/>
    </row>
    <row r="95" spans="1:11" hidden="1" x14ac:dyDescent="0.2">
      <c r="A95" s="137" t="str">
        <f>IF(ISERROR(VLOOKUP(D96,ДДС!A:A,1,0))=TRUE,"не попало в ДДС","ok")</f>
        <v>не попало в ДДС</v>
      </c>
      <c r="B95" s="36"/>
      <c r="C95" s="143" t="str">
        <f>IF(B95="","",VLOOKUP(MONTH(B95),Справочники!$X$4:$Y$15,2,0)&amp;"_"&amp;YEAR(B95))</f>
        <v/>
      </c>
      <c r="D95" s="37"/>
      <c r="E95" s="37"/>
      <c r="F95" s="38"/>
      <c r="G95" s="220" t="str">
        <f t="shared" si="4"/>
        <v/>
      </c>
      <c r="H95" s="220" t="str">
        <f t="shared" si="5"/>
        <v/>
      </c>
      <c r="I95" s="221"/>
      <c r="J95" s="37"/>
      <c r="K95" s="37"/>
    </row>
    <row r="96" spans="1:11" hidden="1" x14ac:dyDescent="0.2">
      <c r="A96" s="137" t="str">
        <f>IF(ISERROR(VLOOKUP(D97,ДДС!A:A,1,0))=TRUE,"не попало в ДДС","ok")</f>
        <v>не попало в ДДС</v>
      </c>
      <c r="B96" s="36"/>
      <c r="C96" s="143" t="str">
        <f>IF(B96="","",VLOOKUP(MONTH(B96),Справочники!$X$4:$Y$15,2,0)&amp;"_"&amp;YEAR(B96))</f>
        <v/>
      </c>
      <c r="D96" s="37"/>
      <c r="E96" s="37"/>
      <c r="F96" s="38"/>
      <c r="G96" s="220" t="str">
        <f t="shared" si="4"/>
        <v/>
      </c>
      <c r="H96" s="220" t="str">
        <f t="shared" si="5"/>
        <v/>
      </c>
      <c r="I96" s="221"/>
      <c r="J96" s="37"/>
      <c r="K96" s="37"/>
    </row>
    <row r="97" spans="1:11" hidden="1" x14ac:dyDescent="0.2">
      <c r="A97" s="137" t="str">
        <f>IF(ISERROR(VLOOKUP(D98,ДДС!A:A,1,0))=TRUE,"не попало в ДДС","ok")</f>
        <v>не попало в ДДС</v>
      </c>
      <c r="B97" s="36"/>
      <c r="C97" s="143" t="str">
        <f>IF(B97="","",VLOOKUP(MONTH(B97),Справочники!$X$4:$Y$15,2,0)&amp;"_"&amp;YEAR(B97))</f>
        <v/>
      </c>
      <c r="D97" s="37"/>
      <c r="E97" s="37"/>
      <c r="F97" s="38"/>
      <c r="G97" s="220" t="str">
        <f t="shared" si="4"/>
        <v/>
      </c>
      <c r="H97" s="220" t="str">
        <f t="shared" si="5"/>
        <v/>
      </c>
      <c r="I97" s="221"/>
      <c r="J97" s="37"/>
      <c r="K97" s="37"/>
    </row>
    <row r="98" spans="1:11" hidden="1" x14ac:dyDescent="0.2">
      <c r="A98" s="137" t="str">
        <f>IF(ISERROR(VLOOKUP(D99,ДДС!A:A,1,0))=TRUE,"не попало в ДДС","ok")</f>
        <v>не попало в ДДС</v>
      </c>
      <c r="B98" s="36"/>
      <c r="C98" s="143" t="str">
        <f>IF(B98="","",VLOOKUP(MONTH(B98),Справочники!$X$4:$Y$15,2,0)&amp;"_"&amp;YEAR(B98))</f>
        <v/>
      </c>
      <c r="D98" s="37"/>
      <c r="E98" s="37"/>
      <c r="F98" s="38"/>
      <c r="G98" s="220" t="str">
        <f t="shared" si="4"/>
        <v/>
      </c>
      <c r="H98" s="220" t="str">
        <f t="shared" si="5"/>
        <v/>
      </c>
      <c r="I98" s="221"/>
      <c r="J98" s="37"/>
      <c r="K98" s="37"/>
    </row>
    <row r="99" spans="1:11" hidden="1" x14ac:dyDescent="0.2">
      <c r="A99" s="137" t="str">
        <f>IF(ISERROR(VLOOKUP(D100,ДДС!A:A,1,0))=TRUE,"не попало в ДДС","ok")</f>
        <v>не попало в ДДС</v>
      </c>
      <c r="B99" s="36"/>
      <c r="C99" s="143" t="str">
        <f>IF(B99="","",VLOOKUP(MONTH(B99),Справочники!$X$4:$Y$15,2,0)&amp;"_"&amp;YEAR(B99))</f>
        <v/>
      </c>
      <c r="D99" s="37"/>
      <c r="E99" s="37"/>
      <c r="F99" s="38"/>
      <c r="G99" s="220" t="str">
        <f t="shared" si="4"/>
        <v/>
      </c>
      <c r="H99" s="220" t="str">
        <f t="shared" si="5"/>
        <v/>
      </c>
      <c r="I99" s="221"/>
      <c r="J99" s="37"/>
      <c r="K99" s="37"/>
    </row>
    <row r="100" spans="1:11" hidden="1" x14ac:dyDescent="0.2">
      <c r="A100" s="137" t="str">
        <f>IF(ISERROR(VLOOKUP(D101,ДДС!A:A,1,0))=TRUE,"не попало в ДДС","ok")</f>
        <v>не попало в ДДС</v>
      </c>
      <c r="B100" s="36"/>
      <c r="C100" s="143" t="str">
        <f>IF(B100="","",VLOOKUP(MONTH(B100),Справочники!$X$4:$Y$15,2,0)&amp;"_"&amp;YEAR(B100))</f>
        <v/>
      </c>
      <c r="D100" s="37"/>
      <c r="E100" s="37"/>
      <c r="F100" s="38"/>
      <c r="G100" s="220" t="str">
        <f t="shared" si="4"/>
        <v/>
      </c>
      <c r="H100" s="220" t="str">
        <f t="shared" si="5"/>
        <v/>
      </c>
      <c r="I100" s="221"/>
      <c r="J100" s="37"/>
      <c r="K100" s="37"/>
    </row>
    <row r="101" spans="1:11" hidden="1" x14ac:dyDescent="0.2">
      <c r="A101" s="137" t="str">
        <f>IF(ISERROR(VLOOKUP(D102,ДДС!A:A,1,0))=TRUE,"не попало в ДДС","ok")</f>
        <v>не попало в ДДС</v>
      </c>
      <c r="B101" s="36"/>
      <c r="C101" s="143" t="str">
        <f>IF(B101="","",VLOOKUP(MONTH(B101),Справочники!$X$4:$Y$15,2,0)&amp;"_"&amp;YEAR(B101))</f>
        <v/>
      </c>
      <c r="D101" s="37"/>
      <c r="E101" s="37"/>
      <c r="F101" s="38"/>
      <c r="G101" s="220" t="str">
        <f t="shared" si="4"/>
        <v/>
      </c>
      <c r="H101" s="220" t="str">
        <f t="shared" si="5"/>
        <v/>
      </c>
      <c r="I101" s="221"/>
      <c r="J101" s="37"/>
      <c r="K101" s="37"/>
    </row>
    <row r="102" spans="1:11" hidden="1" x14ac:dyDescent="0.2">
      <c r="A102" s="137" t="str">
        <f>IF(ISERROR(VLOOKUP(D103,ДДС!A:A,1,0))=TRUE,"не попало в ДДС","ok")</f>
        <v>не попало в ДДС</v>
      </c>
      <c r="B102" s="36"/>
      <c r="C102" s="143" t="str">
        <f>IF(B102="","",VLOOKUP(MONTH(B102),Справочники!$X$4:$Y$15,2,0)&amp;"_"&amp;YEAR(B102))</f>
        <v/>
      </c>
      <c r="D102" s="37"/>
      <c r="E102" s="37"/>
      <c r="F102" s="38"/>
      <c r="G102" s="220" t="str">
        <f t="shared" si="4"/>
        <v/>
      </c>
      <c r="H102" s="220" t="str">
        <f t="shared" si="5"/>
        <v/>
      </c>
      <c r="I102" s="221"/>
      <c r="J102" s="37"/>
      <c r="K102" s="37"/>
    </row>
    <row r="103" spans="1:11" hidden="1" x14ac:dyDescent="0.2">
      <c r="A103" s="137" t="str">
        <f>IF(ISERROR(VLOOKUP(D104,ДДС!A:A,1,0))=TRUE,"не попало в ДДС","ok")</f>
        <v>не попало в ДДС</v>
      </c>
      <c r="B103" s="36"/>
      <c r="C103" s="143" t="str">
        <f>IF(B103="","",VLOOKUP(MONTH(B103),Справочники!$X$4:$Y$15,2,0)&amp;"_"&amp;YEAR(B103))</f>
        <v/>
      </c>
      <c r="D103" s="37"/>
      <c r="E103" s="37"/>
      <c r="F103" s="38"/>
      <c r="G103" s="220" t="str">
        <f t="shared" si="4"/>
        <v/>
      </c>
      <c r="H103" s="220" t="str">
        <f t="shared" si="5"/>
        <v/>
      </c>
      <c r="I103" s="221"/>
      <c r="J103" s="37"/>
      <c r="K103" s="37"/>
    </row>
    <row r="104" spans="1:11" hidden="1" x14ac:dyDescent="0.2">
      <c r="A104" s="137" t="str">
        <f>IF(ISERROR(VLOOKUP(D105,ДДС!A:A,1,0))=TRUE,"не попало в ДДС","ok")</f>
        <v>не попало в ДДС</v>
      </c>
      <c r="B104" s="36"/>
      <c r="C104" s="143" t="str">
        <f>IF(B104="","",VLOOKUP(MONTH(B104),Справочники!$X$4:$Y$15,2,0)&amp;"_"&amp;YEAR(B104))</f>
        <v/>
      </c>
      <c r="D104" s="37"/>
      <c r="E104" s="37"/>
      <c r="F104" s="38"/>
      <c r="G104" s="220" t="str">
        <f t="shared" si="4"/>
        <v/>
      </c>
      <c r="H104" s="220" t="str">
        <f t="shared" si="5"/>
        <v/>
      </c>
      <c r="I104" s="221"/>
      <c r="J104" s="37"/>
      <c r="K104" s="37"/>
    </row>
    <row r="105" spans="1:11" hidden="1" x14ac:dyDescent="0.2">
      <c r="A105" s="137" t="str">
        <f>IF(ISERROR(VLOOKUP(D106,ДДС!A:A,1,0))=TRUE,"не попало в ДДС","ok")</f>
        <v>не попало в ДДС</v>
      </c>
      <c r="B105" s="36"/>
      <c r="C105" s="143" t="str">
        <f>IF(B105="","",VLOOKUP(MONTH(B105),Справочники!$X$4:$Y$15,2,0)&amp;"_"&amp;YEAR(B105))</f>
        <v/>
      </c>
      <c r="D105" s="37"/>
      <c r="E105" s="37"/>
      <c r="F105" s="38"/>
      <c r="G105" s="220" t="str">
        <f t="shared" si="4"/>
        <v/>
      </c>
      <c r="H105" s="220" t="str">
        <f t="shared" si="5"/>
        <v/>
      </c>
      <c r="I105" s="221"/>
      <c r="J105" s="37"/>
      <c r="K105" s="37"/>
    </row>
    <row r="106" spans="1:11" hidden="1" x14ac:dyDescent="0.2">
      <c r="A106" s="137" t="str">
        <f>IF(ISERROR(VLOOKUP(D107,ДДС!A:A,1,0))=TRUE,"не попало в ДДС","ok")</f>
        <v>не попало в ДДС</v>
      </c>
      <c r="B106" s="36"/>
      <c r="C106" s="143" t="str">
        <f>IF(B106="","",VLOOKUP(MONTH(B106),Справочники!$X$4:$Y$15,2,0)&amp;"_"&amp;YEAR(B106))</f>
        <v/>
      </c>
      <c r="D106" s="37"/>
      <c r="E106" s="37"/>
      <c r="F106" s="38"/>
      <c r="G106" s="220" t="str">
        <f t="shared" si="4"/>
        <v/>
      </c>
      <c r="H106" s="220" t="str">
        <f t="shared" si="5"/>
        <v/>
      </c>
      <c r="I106" s="221"/>
      <c r="J106" s="37"/>
      <c r="K106" s="37"/>
    </row>
    <row r="107" spans="1:11" hidden="1" x14ac:dyDescent="0.2">
      <c r="A107" s="137" t="str">
        <f>IF(ISERROR(VLOOKUP(D108,ДДС!A:A,1,0))=TRUE,"не попало в ДДС","ok")</f>
        <v>не попало в ДДС</v>
      </c>
      <c r="B107" s="36"/>
      <c r="C107" s="143" t="str">
        <f>IF(B107="","",VLOOKUP(MONTH(B107),Справочники!$X$4:$Y$15,2,0)&amp;"_"&amp;YEAR(B107))</f>
        <v/>
      </c>
      <c r="D107" s="37"/>
      <c r="E107" s="37"/>
      <c r="F107" s="38"/>
      <c r="G107" s="220" t="str">
        <f t="shared" si="4"/>
        <v/>
      </c>
      <c r="H107" s="220" t="str">
        <f t="shared" si="5"/>
        <v/>
      </c>
      <c r="I107" s="221"/>
      <c r="J107" s="37"/>
      <c r="K107" s="37"/>
    </row>
    <row r="108" spans="1:11" hidden="1" x14ac:dyDescent="0.2">
      <c r="A108" s="137" t="str">
        <f>IF(ISERROR(VLOOKUP(D109,ДДС!A:A,1,0))=TRUE,"не попало в ДДС","ok")</f>
        <v>не попало в ДДС</v>
      </c>
      <c r="B108" s="36"/>
      <c r="C108" s="143" t="str">
        <f>IF(B108="","",VLOOKUP(MONTH(B108),Справочники!$X$4:$Y$15,2,0)&amp;"_"&amp;YEAR(B108))</f>
        <v/>
      </c>
      <c r="D108" s="37"/>
      <c r="E108" s="37"/>
      <c r="F108" s="38"/>
      <c r="G108" s="220" t="str">
        <f t="shared" si="4"/>
        <v/>
      </c>
      <c r="H108" s="220" t="str">
        <f t="shared" si="5"/>
        <v/>
      </c>
      <c r="I108" s="221"/>
      <c r="J108" s="37"/>
      <c r="K108" s="37"/>
    </row>
    <row r="109" spans="1:11" hidden="1" x14ac:dyDescent="0.2">
      <c r="A109" s="137" t="str">
        <f>IF(ISERROR(VLOOKUP(D110,ДДС!A:A,1,0))=TRUE,"не попало в ДДС","ok")</f>
        <v>не попало в ДДС</v>
      </c>
      <c r="B109" s="36"/>
      <c r="C109" s="143" t="str">
        <f>IF(B109="","",VLOOKUP(MONTH(B109),Справочники!$X$4:$Y$15,2,0)&amp;"_"&amp;YEAR(B109))</f>
        <v/>
      </c>
      <c r="D109" s="37"/>
      <c r="E109" s="37"/>
      <c r="F109" s="38"/>
      <c r="G109" s="220" t="str">
        <f t="shared" si="4"/>
        <v/>
      </c>
      <c r="H109" s="220" t="str">
        <f t="shared" si="5"/>
        <v/>
      </c>
      <c r="I109" s="221"/>
      <c r="J109" s="37"/>
      <c r="K109" s="37"/>
    </row>
    <row r="110" spans="1:11" hidden="1" x14ac:dyDescent="0.2">
      <c r="A110" s="137" t="str">
        <f>IF(ISERROR(VLOOKUP(D111,ДДС!A:A,1,0))=TRUE,"не попало в ДДС","ok")</f>
        <v>не попало в ДДС</v>
      </c>
      <c r="B110" s="36"/>
      <c r="C110" s="143" t="str">
        <f>IF(B110="","",VLOOKUP(MONTH(B110),Справочники!$X$4:$Y$15,2,0)&amp;"_"&amp;YEAR(B110))</f>
        <v/>
      </c>
      <c r="D110" s="37"/>
      <c r="E110" s="37"/>
      <c r="F110" s="38"/>
      <c r="G110" s="220" t="str">
        <f t="shared" si="4"/>
        <v/>
      </c>
      <c r="H110" s="220" t="str">
        <f t="shared" si="5"/>
        <v/>
      </c>
      <c r="I110" s="221"/>
      <c r="J110" s="37"/>
      <c r="K110" s="37"/>
    </row>
    <row r="111" spans="1:11" hidden="1" x14ac:dyDescent="0.2">
      <c r="A111" s="137" t="str">
        <f>IF(ISERROR(VLOOKUP(D112,ДДС!A:A,1,0))=TRUE,"не попало в ДДС","ok")</f>
        <v>не попало в ДДС</v>
      </c>
      <c r="B111" s="36"/>
      <c r="C111" s="143" t="str">
        <f>IF(B111="","",VLOOKUP(MONTH(B111),Справочники!$X$4:$Y$15,2,0)&amp;"_"&amp;YEAR(B111))</f>
        <v/>
      </c>
      <c r="D111" s="37"/>
      <c r="E111" s="37"/>
      <c r="F111" s="38"/>
      <c r="G111" s="220" t="str">
        <f t="shared" si="4"/>
        <v/>
      </c>
      <c r="H111" s="220" t="str">
        <f t="shared" si="5"/>
        <v/>
      </c>
      <c r="I111" s="221"/>
      <c r="J111" s="37"/>
      <c r="K111" s="37"/>
    </row>
    <row r="112" spans="1:11" hidden="1" x14ac:dyDescent="0.2">
      <c r="A112" s="137" t="str">
        <f>IF(ISERROR(VLOOKUP(D113,ДДС!A:A,1,0))=TRUE,"не попало в ДДС","ok")</f>
        <v>не попало в ДДС</v>
      </c>
      <c r="B112" s="36"/>
      <c r="C112" s="143" t="str">
        <f>IF(B112="","",VLOOKUP(MONTH(B112),Справочники!$X$4:$Y$15,2,0)&amp;"_"&amp;YEAR(B112))</f>
        <v/>
      </c>
      <c r="D112" s="37"/>
      <c r="E112" s="37"/>
      <c r="F112" s="38"/>
      <c r="G112" s="220" t="str">
        <f t="shared" si="4"/>
        <v/>
      </c>
      <c r="H112" s="220" t="str">
        <f t="shared" si="5"/>
        <v/>
      </c>
      <c r="I112" s="221"/>
      <c r="J112" s="37"/>
      <c r="K112" s="37"/>
    </row>
    <row r="113" spans="1:11" hidden="1" x14ac:dyDescent="0.2">
      <c r="A113" s="137" t="str">
        <f>IF(ISERROR(VLOOKUP(D114,ДДС!A:A,1,0))=TRUE,"не попало в ДДС","ok")</f>
        <v>не попало в ДДС</v>
      </c>
      <c r="B113" s="36"/>
      <c r="C113" s="143" t="str">
        <f>IF(B113="","",VLOOKUP(MONTH(B113),Справочники!$X$4:$Y$15,2,0)&amp;"_"&amp;YEAR(B113))</f>
        <v/>
      </c>
      <c r="D113" s="37"/>
      <c r="E113" s="37"/>
      <c r="F113" s="38"/>
      <c r="G113" s="220" t="str">
        <f t="shared" si="4"/>
        <v/>
      </c>
      <c r="H113" s="220" t="str">
        <f t="shared" si="5"/>
        <v/>
      </c>
      <c r="I113" s="221"/>
      <c r="J113" s="37"/>
      <c r="K113" s="37"/>
    </row>
    <row r="114" spans="1:11" hidden="1" x14ac:dyDescent="0.2">
      <c r="A114" s="137" t="str">
        <f>IF(ISERROR(VLOOKUP(D115,ДДС!A:A,1,0))=TRUE,"не попало в ДДС","ok")</f>
        <v>не попало в ДДС</v>
      </c>
      <c r="B114" s="36"/>
      <c r="C114" s="143" t="str">
        <f>IF(B114="","",VLOOKUP(MONTH(B114),Справочники!$X$4:$Y$15,2,0)&amp;"_"&amp;YEAR(B114))</f>
        <v/>
      </c>
      <c r="D114" s="37"/>
      <c r="E114" s="37"/>
      <c r="F114" s="38"/>
      <c r="G114" s="220" t="str">
        <f t="shared" si="4"/>
        <v/>
      </c>
      <c r="H114" s="220" t="str">
        <f t="shared" si="5"/>
        <v/>
      </c>
      <c r="I114" s="221"/>
      <c r="J114" s="37"/>
      <c r="K114" s="37"/>
    </row>
    <row r="115" spans="1:11" hidden="1" x14ac:dyDescent="0.2">
      <c r="A115" s="137" t="str">
        <f>IF(ISERROR(VLOOKUP(D116,ДДС!A:A,1,0))=TRUE,"не попало в ДДС","ok")</f>
        <v>не попало в ДДС</v>
      </c>
      <c r="B115" s="36"/>
      <c r="C115" s="143" t="str">
        <f>IF(B115="","",VLOOKUP(MONTH(B115),Справочники!$X$4:$Y$15,2,0)&amp;"_"&amp;YEAR(B115))</f>
        <v/>
      </c>
      <c r="D115" s="37"/>
      <c r="E115" s="37"/>
      <c r="F115" s="38"/>
      <c r="G115" s="220" t="str">
        <f t="shared" si="4"/>
        <v/>
      </c>
      <c r="H115" s="220" t="str">
        <f t="shared" si="5"/>
        <v/>
      </c>
      <c r="I115" s="221"/>
      <c r="J115" s="37"/>
      <c r="K115" s="37"/>
    </row>
    <row r="116" spans="1:11" hidden="1" x14ac:dyDescent="0.2">
      <c r="A116" s="137" t="str">
        <f>IF(ISERROR(VLOOKUP(D117,ДДС!A:A,1,0))=TRUE,"не попало в ДДС","ok")</f>
        <v>не попало в ДДС</v>
      </c>
      <c r="B116" s="36"/>
      <c r="C116" s="143" t="str">
        <f>IF(B116="","",VLOOKUP(MONTH(B116),Справочники!$X$4:$Y$15,2,0)&amp;"_"&amp;YEAR(B116))</f>
        <v/>
      </c>
      <c r="D116" s="37"/>
      <c r="E116" s="37"/>
      <c r="F116" s="38"/>
      <c r="G116" s="220" t="str">
        <f t="shared" si="4"/>
        <v/>
      </c>
      <c r="H116" s="220" t="str">
        <f t="shared" si="5"/>
        <v/>
      </c>
      <c r="I116" s="221"/>
      <c r="J116" s="37"/>
      <c r="K116" s="37"/>
    </row>
    <row r="117" spans="1:11" hidden="1" x14ac:dyDescent="0.2">
      <c r="A117" s="137" t="str">
        <f>IF(ISERROR(VLOOKUP(D118,ДДС!A:A,1,0))=TRUE,"не попало в ДДС","ok")</f>
        <v>не попало в ДДС</v>
      </c>
      <c r="B117" s="36"/>
      <c r="C117" s="143" t="str">
        <f>IF(B117="","",VLOOKUP(MONTH(B117),Справочники!$X$4:$Y$15,2,0)&amp;"_"&amp;YEAR(B117))</f>
        <v/>
      </c>
      <c r="D117" s="37"/>
      <c r="E117" s="37"/>
      <c r="F117" s="38"/>
      <c r="G117" s="220" t="str">
        <f t="shared" si="4"/>
        <v/>
      </c>
      <c r="H117" s="220" t="str">
        <f t="shared" si="5"/>
        <v/>
      </c>
      <c r="I117" s="221"/>
      <c r="J117" s="37"/>
      <c r="K117" s="37"/>
    </row>
    <row r="118" spans="1:11" hidden="1" x14ac:dyDescent="0.2">
      <c r="A118" s="137" t="str">
        <f>IF(ISERROR(VLOOKUP(D119,ДДС!A:A,1,0))=TRUE,"не попало в ДДС","ok")</f>
        <v>не попало в ДДС</v>
      </c>
      <c r="B118" s="36"/>
      <c r="C118" s="143" t="str">
        <f>IF(B118="","",VLOOKUP(MONTH(B118),Справочники!$X$4:$Y$15,2,0)&amp;"_"&amp;YEAR(B118))</f>
        <v/>
      </c>
      <c r="D118" s="37"/>
      <c r="E118" s="37"/>
      <c r="F118" s="38"/>
      <c r="G118" s="220" t="str">
        <f t="shared" si="4"/>
        <v/>
      </c>
      <c r="H118" s="220" t="str">
        <f t="shared" si="5"/>
        <v/>
      </c>
      <c r="I118" s="221"/>
      <c r="J118" s="37"/>
      <c r="K118" s="37"/>
    </row>
    <row r="119" spans="1:11" hidden="1" x14ac:dyDescent="0.2">
      <c r="A119" s="137" t="str">
        <f>IF(ISERROR(VLOOKUP(D120,ДДС!A:A,1,0))=TRUE,"не попало в ДДС","ok")</f>
        <v>не попало в ДДС</v>
      </c>
      <c r="B119" s="36"/>
      <c r="C119" s="143" t="str">
        <f>IF(B119="","",VLOOKUP(MONTH(B119),Справочники!$X$4:$Y$15,2,0)&amp;"_"&amp;YEAR(B119))</f>
        <v/>
      </c>
      <c r="D119" s="37"/>
      <c r="E119" s="37"/>
      <c r="F119" s="38"/>
      <c r="G119" s="220" t="str">
        <f t="shared" si="4"/>
        <v/>
      </c>
      <c r="H119" s="220" t="str">
        <f t="shared" si="5"/>
        <v/>
      </c>
      <c r="I119" s="221"/>
      <c r="J119" s="37"/>
      <c r="K119" s="37"/>
    </row>
    <row r="120" spans="1:11" hidden="1" x14ac:dyDescent="0.2">
      <c r="A120" s="137" t="str">
        <f>IF(ISERROR(VLOOKUP(D121,ДДС!A:A,1,0))=TRUE,"не попало в ДДС","ok")</f>
        <v>не попало в ДДС</v>
      </c>
      <c r="B120" s="36"/>
      <c r="C120" s="143" t="str">
        <f>IF(B120="","",VLOOKUP(MONTH(B120),Справочники!$X$4:$Y$15,2,0)&amp;"_"&amp;YEAR(B120))</f>
        <v/>
      </c>
      <c r="D120" s="37"/>
      <c r="E120" s="37"/>
      <c r="F120" s="38"/>
      <c r="G120" s="220" t="str">
        <f t="shared" si="4"/>
        <v/>
      </c>
      <c r="H120" s="220" t="str">
        <f t="shared" si="5"/>
        <v/>
      </c>
      <c r="I120" s="221"/>
      <c r="J120" s="37"/>
      <c r="K120" s="37"/>
    </row>
    <row r="121" spans="1:11" hidden="1" x14ac:dyDescent="0.2">
      <c r="A121" s="137" t="str">
        <f>IF(ISERROR(VLOOKUP(D122,ДДС!A:A,1,0))=TRUE,"не попало в ДДС","ok")</f>
        <v>не попало в ДДС</v>
      </c>
      <c r="B121" s="36"/>
      <c r="C121" s="143" t="str">
        <f>IF(B121="","",VLOOKUP(MONTH(B121),Справочники!$X$4:$Y$15,2,0)&amp;"_"&amp;YEAR(B121))</f>
        <v/>
      </c>
      <c r="D121" s="37"/>
      <c r="E121" s="37"/>
      <c r="F121" s="38"/>
      <c r="G121" s="220" t="str">
        <f t="shared" si="4"/>
        <v/>
      </c>
      <c r="H121" s="220" t="str">
        <f t="shared" si="5"/>
        <v/>
      </c>
      <c r="I121" s="221"/>
      <c r="J121" s="37"/>
      <c r="K121" s="37"/>
    </row>
    <row r="122" spans="1:11" hidden="1" x14ac:dyDescent="0.2">
      <c r="A122" s="137" t="str">
        <f>IF(ISERROR(VLOOKUP(D123,ДДС!A:A,1,0))=TRUE,"не попало в ДДС","ok")</f>
        <v>не попало в ДДС</v>
      </c>
      <c r="B122" s="36"/>
      <c r="C122" s="143" t="str">
        <f>IF(B122="","",VLOOKUP(MONTH(B122),Справочники!$X$4:$Y$15,2,0)&amp;"_"&amp;YEAR(B122))</f>
        <v/>
      </c>
      <c r="D122" s="37"/>
      <c r="E122" s="37"/>
      <c r="F122" s="38"/>
      <c r="G122" s="220" t="str">
        <f t="shared" si="4"/>
        <v/>
      </c>
      <c r="H122" s="220" t="str">
        <f t="shared" si="5"/>
        <v/>
      </c>
      <c r="I122" s="221"/>
      <c r="J122" s="37"/>
      <c r="K122" s="37"/>
    </row>
    <row r="123" spans="1:11" hidden="1" x14ac:dyDescent="0.2">
      <c r="A123" s="137" t="str">
        <f>IF(ISERROR(VLOOKUP(D124,ДДС!A:A,1,0))=TRUE,"не попало в ДДС","ok")</f>
        <v>не попало в ДДС</v>
      </c>
      <c r="B123" s="36"/>
      <c r="C123" s="143" t="str">
        <f>IF(B123="","",VLOOKUP(MONTH(B123),Справочники!$X$4:$Y$15,2,0)&amp;"_"&amp;YEAR(B123))</f>
        <v/>
      </c>
      <c r="D123" s="37"/>
      <c r="E123" s="37"/>
      <c r="F123" s="38"/>
      <c r="G123" s="220" t="str">
        <f t="shared" si="4"/>
        <v/>
      </c>
      <c r="H123" s="220" t="str">
        <f t="shared" si="5"/>
        <v/>
      </c>
      <c r="I123" s="221"/>
      <c r="J123" s="37"/>
      <c r="K123" s="37"/>
    </row>
    <row r="124" spans="1:11" hidden="1" x14ac:dyDescent="0.2">
      <c r="A124" s="137" t="str">
        <f>IF(ISERROR(VLOOKUP(D125,ДДС!A:A,1,0))=TRUE,"не попало в ДДС","ok")</f>
        <v>не попало в ДДС</v>
      </c>
      <c r="B124" s="36"/>
      <c r="C124" s="143" t="str">
        <f>IF(B124="","",VLOOKUP(MONTH(B124),Справочники!$X$4:$Y$15,2,0)&amp;"_"&amp;YEAR(B124))</f>
        <v/>
      </c>
      <c r="D124" s="37"/>
      <c r="E124" s="37"/>
      <c r="F124" s="38"/>
      <c r="G124" s="220" t="str">
        <f t="shared" si="4"/>
        <v/>
      </c>
      <c r="H124" s="220" t="str">
        <f t="shared" si="5"/>
        <v/>
      </c>
      <c r="I124" s="221"/>
      <c r="J124" s="37"/>
      <c r="K124" s="37"/>
    </row>
    <row r="125" spans="1:11" hidden="1" x14ac:dyDescent="0.2">
      <c r="A125" s="137" t="str">
        <f>IF(ISERROR(VLOOKUP(D126,ДДС!A:A,1,0))=TRUE,"не попало в ДДС","ok")</f>
        <v>не попало в ДДС</v>
      </c>
      <c r="B125" s="36"/>
      <c r="C125" s="143" t="str">
        <f>IF(B125="","",VLOOKUP(MONTH(B125),Справочники!$X$4:$Y$15,2,0)&amp;"_"&amp;YEAR(B125))</f>
        <v/>
      </c>
      <c r="D125" s="37"/>
      <c r="E125" s="37"/>
      <c r="F125" s="38"/>
      <c r="G125" s="220" t="str">
        <f t="shared" si="4"/>
        <v/>
      </c>
      <c r="H125" s="220" t="str">
        <f t="shared" si="5"/>
        <v/>
      </c>
      <c r="I125" s="221"/>
      <c r="J125" s="37"/>
      <c r="K125" s="37"/>
    </row>
    <row r="126" spans="1:11" hidden="1" x14ac:dyDescent="0.2">
      <c r="A126" s="137" t="str">
        <f>IF(ISERROR(VLOOKUP(D127,ДДС!A:A,1,0))=TRUE,"не попало в ДДС","ok")</f>
        <v>не попало в ДДС</v>
      </c>
      <c r="B126" s="36"/>
      <c r="C126" s="143" t="str">
        <f>IF(B126="","",VLOOKUP(MONTH(B126),Справочники!$X$4:$Y$15,2,0)&amp;"_"&amp;YEAR(B126))</f>
        <v/>
      </c>
      <c r="D126" s="37"/>
      <c r="E126" s="37"/>
      <c r="F126" s="38"/>
      <c r="G126" s="220" t="str">
        <f t="shared" si="4"/>
        <v/>
      </c>
      <c r="H126" s="220" t="str">
        <f t="shared" si="5"/>
        <v/>
      </c>
      <c r="I126" s="221"/>
      <c r="J126" s="37"/>
      <c r="K126" s="37"/>
    </row>
    <row r="127" spans="1:11" hidden="1" x14ac:dyDescent="0.2">
      <c r="A127" s="137" t="str">
        <f>IF(ISERROR(VLOOKUP(D128,ДДС!A:A,1,0))=TRUE,"не попало в ДДС","ok")</f>
        <v>не попало в ДДС</v>
      </c>
      <c r="B127" s="36"/>
      <c r="C127" s="143" t="str">
        <f>IF(B127="","",VLOOKUP(MONTH(B127),Справочники!$X$4:$Y$15,2,0)&amp;"_"&amp;YEAR(B127))</f>
        <v/>
      </c>
      <c r="D127" s="37"/>
      <c r="E127" s="37"/>
      <c r="F127" s="38"/>
      <c r="G127" s="220" t="str">
        <f t="shared" si="4"/>
        <v/>
      </c>
      <c r="H127" s="220" t="str">
        <f t="shared" si="5"/>
        <v/>
      </c>
      <c r="I127" s="221"/>
      <c r="J127" s="37"/>
      <c r="K127" s="37"/>
    </row>
    <row r="128" spans="1:11" hidden="1" x14ac:dyDescent="0.2">
      <c r="B128" s="36"/>
      <c r="C128" s="143" t="str">
        <f>IF(B128="","",VLOOKUP(MONTH(B128),Справочники!$X$4:$Y$15,2,0)&amp;"_"&amp;YEAR(B128))</f>
        <v/>
      </c>
      <c r="D128" s="37"/>
      <c r="E128" s="37"/>
      <c r="F128" s="38"/>
      <c r="G128" s="220" t="str">
        <f t="shared" si="0"/>
        <v/>
      </c>
      <c r="H128" s="220" t="str">
        <f t="shared" si="1"/>
        <v/>
      </c>
      <c r="I128" s="221"/>
      <c r="J128" s="37"/>
      <c r="K128" s="37"/>
    </row>
  </sheetData>
  <sheetProtection formatCells="0" formatColumns="0" formatRows="0" autoFilter="0" pivotTables="0"/>
  <autoFilter ref="B4:K128" xr:uid="{00000000-0009-0000-0000-00000A000000}"/>
  <dataValidations count="3">
    <dataValidation type="date" allowBlank="1" showInputMessage="1" showErrorMessage="1" sqref="B5:B128" xr:uid="{00000000-0002-0000-0A00-000000000000}">
      <formula1>41640</formula1>
      <formula2>55153</formula2>
    </dataValidation>
    <dataValidation type="list" allowBlank="1" showInputMessage="1" showErrorMessage="1" prompt="Выбрать из списка" sqref="F128" xr:uid="{00000000-0002-0000-0A00-000001000000}">
      <formula1>"0%,10%,18%"</formula1>
    </dataValidation>
    <dataValidation type="list" allowBlank="1" showInputMessage="1" showErrorMessage="1" prompt="Выбрать из списка" sqref="F5:F127" xr:uid="{00000000-0002-0000-0A00-000002000000}">
      <formula1>"0%,10%,18%,20%"</formula1>
    </dataValidation>
  </dataValidations>
  <pageMargins left="0" right="0" top="0" bottom="0" header="0.31496062992125984" footer="0.31496062992125984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99060</xdr:rowOff>
                  </from>
                  <to>
                    <xdr:col>4</xdr:col>
                    <xdr:colOff>845820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A00-000003000000}">
          <x14:formula1>
            <xm:f>'Справочник статей'!$D$2:$D$7</xm:f>
          </x14:formula1>
          <xm:sqref>D8:D128</xm:sqref>
        </x14:dataValidation>
        <x14:dataValidation type="list" allowBlank="1" showInputMessage="1" showErrorMessage="1" xr:uid="{1258C94D-D2C1-480E-9AD8-B24049FA477B}">
          <x14:formula1>
            <xm:f>'Справочник статей'!$D$2:$D$6</xm:f>
          </x14:formula1>
          <xm:sqref>D5:D7</xm:sqref>
        </x14:dataValidation>
        <x14:dataValidation type="list" allowBlank="1" showInputMessage="1" showErrorMessage="1" prompt="Выбрать из списка" xr:uid="{00000000-0002-0000-0A00-000005000000}">
          <x14:formula1>
            <xm:f>Справочники!$Q$3:$Q$8</xm:f>
          </x14:formula1>
          <xm:sqref>J5:J128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0">
    <tabColor theme="4" tint="0.79998168889431442"/>
    <pageSetUpPr fitToPage="1"/>
  </sheetPr>
  <dimension ref="A1:K149"/>
  <sheetViews>
    <sheetView showGridLines="0" topLeftCell="C1" workbookViewId="0">
      <pane ySplit="4" topLeftCell="A5" activePane="bottomLeft" state="frozen"/>
      <selection activeCell="D9" sqref="D9"/>
      <selection pane="bottomLeft" activeCell="I12" sqref="I12"/>
    </sheetView>
  </sheetViews>
  <sheetFormatPr defaultColWidth="9.109375" defaultRowHeight="10.199999999999999" x14ac:dyDescent="0.2"/>
  <cols>
    <col min="1" max="1" width="13.33203125" style="137" bestFit="1" customWidth="1"/>
    <col min="2" max="2" width="10.88671875" style="139" customWidth="1"/>
    <col min="3" max="3" width="13.5546875" style="139" customWidth="1"/>
    <col min="4" max="4" width="41.6640625" style="139" customWidth="1"/>
    <col min="5" max="5" width="33.6640625" style="139" customWidth="1"/>
    <col min="6" max="6" width="11.88671875" style="139" customWidth="1"/>
    <col min="7" max="7" width="11.88671875" style="222" customWidth="1"/>
    <col min="8" max="8" width="13" style="222" customWidth="1"/>
    <col min="9" max="9" width="14.44140625" style="222" customWidth="1"/>
    <col min="10" max="10" width="15.44140625" style="139" customWidth="1"/>
    <col min="11" max="11" width="40.44140625" style="139" customWidth="1"/>
    <col min="12" max="16384" width="9.109375" style="139"/>
  </cols>
  <sheetData>
    <row r="1" spans="1:11" x14ac:dyDescent="0.2">
      <c r="B1" s="138" t="s">
        <v>294</v>
      </c>
      <c r="C1" s="138"/>
    </row>
    <row r="2" spans="1:11" x14ac:dyDescent="0.2">
      <c r="B2" s="140"/>
    </row>
    <row r="4" spans="1:11" x14ac:dyDescent="0.2">
      <c r="A4" s="137" t="s">
        <v>228</v>
      </c>
      <c r="B4" s="141" t="s">
        <v>173</v>
      </c>
      <c r="C4" s="141" t="s">
        <v>229</v>
      </c>
      <c r="D4" s="142" t="s">
        <v>199</v>
      </c>
      <c r="E4" s="142" t="s">
        <v>174</v>
      </c>
      <c r="F4" s="142" t="s">
        <v>230</v>
      </c>
      <c r="G4" s="223" t="s">
        <v>270</v>
      </c>
      <c r="H4" s="223" t="s">
        <v>231</v>
      </c>
      <c r="I4" s="223" t="s">
        <v>232</v>
      </c>
      <c r="J4" s="142" t="s">
        <v>175</v>
      </c>
      <c r="K4" s="142" t="s">
        <v>22</v>
      </c>
    </row>
    <row r="5" spans="1:11" x14ac:dyDescent="0.2">
      <c r="A5" s="137" t="str">
        <f>IF(ISERROR(VLOOKUP(D5,ДДС!A:A,1,0))=TRUE,"не попало в ДДС","ok")</f>
        <v>ok</v>
      </c>
      <c r="B5" s="36">
        <v>45170</v>
      </c>
      <c r="C5" s="143" t="str">
        <f>IF(B5="","",VLOOKUP(MONTH(B5),Справочники!$X$4:$Y$15,2,0)&amp;"_"&amp;YEAR(B5))</f>
        <v>Сентябрь_2023</v>
      </c>
      <c r="D5" s="37" t="s">
        <v>224</v>
      </c>
      <c r="E5" s="37" t="s">
        <v>469</v>
      </c>
      <c r="F5" s="38">
        <v>0.2</v>
      </c>
      <c r="G5" s="220">
        <f>IF(ISERROR(I5-H5)=TRUE,"",I5-H5)</f>
        <v>100000</v>
      </c>
      <c r="H5" s="220">
        <f>IF(I5="","",I5/(1+F5))</f>
        <v>500000</v>
      </c>
      <c r="I5" s="221">
        <v>600000</v>
      </c>
      <c r="J5" s="37" t="s">
        <v>473</v>
      </c>
      <c r="K5" s="37"/>
    </row>
    <row r="6" spans="1:11" x14ac:dyDescent="0.2">
      <c r="A6" s="137" t="str">
        <f>IF(ISERROR(VLOOKUP(D6,ДДС!A:A,1,0))=TRUE,"не попало в ДДС","ok")</f>
        <v>ok</v>
      </c>
      <c r="B6" s="36">
        <v>45170</v>
      </c>
      <c r="C6" s="143" t="str">
        <f>IF(B6="","",VLOOKUP(MONTH(B6),Справочники!$X$4:$Y$15,2,0)&amp;"_"&amp;YEAR(B6))</f>
        <v>Сентябрь_2023</v>
      </c>
      <c r="D6" s="37" t="s">
        <v>418</v>
      </c>
      <c r="E6" s="37" t="s">
        <v>470</v>
      </c>
      <c r="F6" s="38">
        <v>0.2</v>
      </c>
      <c r="G6" s="220">
        <f t="shared" ref="G6:G130" si="0">IF(ISERROR(I6-H6)=TRUE,"",I6-H6)</f>
        <v>133333.33333333326</v>
      </c>
      <c r="H6" s="220">
        <f t="shared" ref="H6:H130" si="1">IF(I6="","",I6/(1+F6))</f>
        <v>666666.66666666674</v>
      </c>
      <c r="I6" s="221">
        <v>800000</v>
      </c>
      <c r="J6" s="37" t="s">
        <v>473</v>
      </c>
      <c r="K6" s="37"/>
    </row>
    <row r="7" spans="1:11" x14ac:dyDescent="0.2">
      <c r="A7" s="137" t="str">
        <f>IF(ISERROR(VLOOKUP(D7,ДДС!A:A,1,0))=TRUE,"не попало в ДДС","ok")</f>
        <v>ok</v>
      </c>
      <c r="B7" s="36">
        <v>45291</v>
      </c>
      <c r="C7" s="143" t="str">
        <f>IF(B7="","",VLOOKUP(MONTH(B7),Справочники!$X$4:$Y$15,2,0)&amp;"_"&amp;YEAR(B7))</f>
        <v>Декабрь_2023</v>
      </c>
      <c r="D7" s="37" t="s">
        <v>212</v>
      </c>
      <c r="E7" s="37"/>
      <c r="F7" s="38">
        <v>0</v>
      </c>
      <c r="G7" s="220">
        <f t="shared" si="0"/>
        <v>0</v>
      </c>
      <c r="H7" s="220">
        <f t="shared" si="1"/>
        <v>700000</v>
      </c>
      <c r="I7" s="221">
        <v>700000</v>
      </c>
      <c r="J7" s="37" t="s">
        <v>473</v>
      </c>
      <c r="K7" s="37"/>
    </row>
    <row r="8" spans="1:11" x14ac:dyDescent="0.2">
      <c r="A8" s="137" t="str">
        <f>IF(ISERROR(VLOOKUP(D8,ДДС!A:A,1,0))=TRUE,"не попало в ДДС","ok")</f>
        <v>ok</v>
      </c>
      <c r="B8" s="36">
        <v>45189</v>
      </c>
      <c r="C8" s="143" t="str">
        <f>IF(B8="","",VLOOKUP(MONTH(B8),Справочники!$X$4:$Y$15,2,0)&amp;"_"&amp;YEAR(B8))</f>
        <v>Сентябрь_2023</v>
      </c>
      <c r="D8" s="37" t="s">
        <v>177</v>
      </c>
      <c r="E8" s="37" t="s">
        <v>530</v>
      </c>
      <c r="F8" s="38">
        <v>0.2</v>
      </c>
      <c r="G8" s="220">
        <f t="shared" si="0"/>
        <v>68333.333333333314</v>
      </c>
      <c r="H8" s="220">
        <f t="shared" si="1"/>
        <v>341666.66666666669</v>
      </c>
      <c r="I8" s="221">
        <v>410000</v>
      </c>
      <c r="J8" s="37" t="s">
        <v>473</v>
      </c>
      <c r="K8" s="37"/>
    </row>
    <row r="9" spans="1:11" x14ac:dyDescent="0.2">
      <c r="A9" s="137" t="str">
        <f>IF(ISERROR(VLOOKUP(D9,ДДС!A:A,1,0))=TRUE,"не попало в ДДС","ok")</f>
        <v>ok</v>
      </c>
      <c r="B9" s="36">
        <v>45291</v>
      </c>
      <c r="C9" s="143" t="str">
        <f>IF(B9="","",VLOOKUP(MONTH(B9),Справочники!$X$4:$Y$15,2,0)&amp;"_"&amp;YEAR(B9))</f>
        <v>Декабрь_2023</v>
      </c>
      <c r="D9" s="37" t="s">
        <v>279</v>
      </c>
      <c r="E9" s="37" t="s">
        <v>531</v>
      </c>
      <c r="F9" s="38">
        <v>0.1</v>
      </c>
      <c r="G9" s="220">
        <f t="shared" si="0"/>
        <v>9090.9090909091028</v>
      </c>
      <c r="H9" s="220">
        <f t="shared" si="1"/>
        <v>90909.090909090897</v>
      </c>
      <c r="I9" s="221">
        <v>100000</v>
      </c>
      <c r="J9" s="37" t="s">
        <v>473</v>
      </c>
      <c r="K9" s="37"/>
    </row>
    <row r="10" spans="1:11" x14ac:dyDescent="0.2">
      <c r="A10" s="137" t="str">
        <f>IF(ISERROR(VLOOKUP(D10,ДДС!A:A,1,0))=TRUE,"не попало в ДДС","ok")</f>
        <v>ok</v>
      </c>
      <c r="B10" s="36">
        <v>45202</v>
      </c>
      <c r="C10" s="143" t="str">
        <f>IF(B10="","",VLOOKUP(MONTH(B10),Справочники!$X$4:$Y$15,2,0)&amp;"_"&amp;YEAR(B10))</f>
        <v>Октябрь_2023</v>
      </c>
      <c r="D10" s="37" t="s">
        <v>226</v>
      </c>
      <c r="E10" s="37" t="s">
        <v>470</v>
      </c>
      <c r="F10" s="38">
        <v>0.2</v>
      </c>
      <c r="G10" s="220">
        <f t="shared" si="0"/>
        <v>50000</v>
      </c>
      <c r="H10" s="220">
        <f t="shared" si="1"/>
        <v>250000</v>
      </c>
      <c r="I10" s="221">
        <v>300000</v>
      </c>
      <c r="J10" s="37" t="s">
        <v>473</v>
      </c>
      <c r="K10" s="37"/>
    </row>
    <row r="11" spans="1:11" x14ac:dyDescent="0.2">
      <c r="A11" s="137" t="str">
        <f>IF(ISERROR(VLOOKUP(D11,ДДС!A:A,1,0))=TRUE,"не попало в ДДС","ok")</f>
        <v>ok</v>
      </c>
      <c r="B11" s="36">
        <v>45259</v>
      </c>
      <c r="C11" s="143" t="str">
        <f>IF(B11="","",VLOOKUP(MONTH(B11),Справочники!$X$4:$Y$15,2,0)&amp;"_"&amp;YEAR(B11))</f>
        <v>Ноябрь_2023</v>
      </c>
      <c r="D11" s="37" t="s">
        <v>179</v>
      </c>
      <c r="E11" s="37" t="s">
        <v>532</v>
      </c>
      <c r="F11" s="38">
        <v>0.2</v>
      </c>
      <c r="G11" s="220">
        <f t="shared" si="0"/>
        <v>166666.66666666663</v>
      </c>
      <c r="H11" s="220">
        <f t="shared" si="1"/>
        <v>833333.33333333337</v>
      </c>
      <c r="I11" s="221">
        <v>1000000</v>
      </c>
      <c r="J11" s="37" t="s">
        <v>473</v>
      </c>
      <c r="K11" s="37"/>
    </row>
    <row r="12" spans="1:11" x14ac:dyDescent="0.2">
      <c r="A12" s="137" t="str">
        <f>IF(ISERROR(VLOOKUP(D12,ДДС!A:A,1,0))=TRUE,"не попало в ДДС","ok")</f>
        <v>ok</v>
      </c>
      <c r="B12" s="36">
        <v>45291</v>
      </c>
      <c r="C12" s="143" t="str">
        <f>IF(B12="","",VLOOKUP(MONTH(B12),Справочники!$X$4:$Y$15,2,0)&amp;"_"&amp;YEAR(B12))</f>
        <v>Декабрь_2023</v>
      </c>
      <c r="D12" s="37" t="s">
        <v>181</v>
      </c>
      <c r="E12" s="37" t="s">
        <v>532</v>
      </c>
      <c r="F12" s="38">
        <v>0.2</v>
      </c>
      <c r="G12" s="220">
        <f t="shared" si="0"/>
        <v>131383.33333333326</v>
      </c>
      <c r="H12" s="220">
        <f>IF(I12="","",I12/(1+F12))</f>
        <v>656916.66666666674</v>
      </c>
      <c r="I12" s="221">
        <v>788300</v>
      </c>
      <c r="J12" s="37" t="s">
        <v>473</v>
      </c>
      <c r="K12" s="37"/>
    </row>
    <row r="13" spans="1:11" x14ac:dyDescent="0.2">
      <c r="A13" s="137" t="str">
        <f>IF(ISERROR(VLOOKUP(D13,ДДС!A:A,1,0))=TRUE,"не попало в ДДС","ok")</f>
        <v>не попало в ДДС</v>
      </c>
      <c r="B13" s="36"/>
      <c r="C13" s="143" t="str">
        <f>IF(B13="","",VLOOKUP(MONTH(B13),Справочники!$X$4:$Y$15,2,0)&amp;"_"&amp;YEAR(B13))</f>
        <v/>
      </c>
      <c r="D13" s="37"/>
      <c r="E13" s="37"/>
      <c r="F13" s="38"/>
      <c r="G13" s="220" t="str">
        <f t="shared" si="0"/>
        <v/>
      </c>
      <c r="H13" s="220" t="str">
        <f t="shared" si="1"/>
        <v/>
      </c>
      <c r="I13" s="221"/>
      <c r="J13" s="37"/>
      <c r="K13" s="37"/>
    </row>
    <row r="14" spans="1:11" x14ac:dyDescent="0.2">
      <c r="A14" s="137" t="str">
        <f>IF(ISERROR(VLOOKUP(D14,ДДС!A:A,1,0))=TRUE,"не попало в ДДС","ok")</f>
        <v>не попало в ДДС</v>
      </c>
      <c r="B14" s="36"/>
      <c r="C14" s="143" t="str">
        <f>IF(B14="","",VLOOKUP(MONTH(B14),Справочники!$X$4:$Y$15,2,0)&amp;"_"&amp;YEAR(B14))</f>
        <v/>
      </c>
      <c r="D14" s="37"/>
      <c r="E14" s="37"/>
      <c r="F14" s="38"/>
      <c r="G14" s="220" t="str">
        <f t="shared" si="0"/>
        <v/>
      </c>
      <c r="H14" s="220" t="str">
        <f t="shared" si="1"/>
        <v/>
      </c>
      <c r="I14" s="221"/>
      <c r="J14" s="37"/>
      <c r="K14" s="37"/>
    </row>
    <row r="15" spans="1:11" x14ac:dyDescent="0.2">
      <c r="A15" s="137" t="str">
        <f>IF(ISERROR(VLOOKUP(D15,ДДС!A:A,1,0))=TRUE,"не попало в ДДС","ok")</f>
        <v>не попало в ДДС</v>
      </c>
      <c r="B15" s="36"/>
      <c r="C15" s="143" t="str">
        <f>IF(B15="","",VLOOKUP(MONTH(B15),Справочники!$X$4:$Y$15,2,0)&amp;"_"&amp;YEAR(B15))</f>
        <v/>
      </c>
      <c r="D15" s="37"/>
      <c r="E15" s="37"/>
      <c r="F15" s="38"/>
      <c r="G15" s="220" t="str">
        <f t="shared" si="0"/>
        <v/>
      </c>
      <c r="H15" s="220" t="str">
        <f t="shared" si="1"/>
        <v/>
      </c>
      <c r="I15" s="221"/>
      <c r="J15" s="37"/>
      <c r="K15" s="37"/>
    </row>
    <row r="16" spans="1:11" x14ac:dyDescent="0.2">
      <c r="A16" s="137" t="str">
        <f>IF(ISERROR(VLOOKUP(D16,ДДС!A:A,1,0))=TRUE,"не попало в ДДС","ok")</f>
        <v>не попало в ДДС</v>
      </c>
      <c r="B16" s="36"/>
      <c r="C16" s="143" t="str">
        <f>IF(B16="","",VLOOKUP(MONTH(B16),Справочники!$X$4:$Y$15,2,0)&amp;"_"&amp;YEAR(B16))</f>
        <v/>
      </c>
      <c r="D16" s="37"/>
      <c r="E16" s="37"/>
      <c r="F16" s="38"/>
      <c r="G16" s="220" t="str">
        <f t="shared" si="0"/>
        <v/>
      </c>
      <c r="H16" s="220" t="str">
        <f t="shared" si="1"/>
        <v/>
      </c>
      <c r="I16" s="221"/>
      <c r="J16" s="37"/>
      <c r="K16" s="37"/>
    </row>
    <row r="17" spans="1:11" x14ac:dyDescent="0.2">
      <c r="A17" s="137" t="str">
        <f>IF(ISERROR(VLOOKUP(D17,ДДС!A:A,1,0))=TRUE,"не попало в ДДС","ok")</f>
        <v>не попало в ДДС</v>
      </c>
      <c r="B17" s="36"/>
      <c r="C17" s="143" t="str">
        <f>IF(B17="","",VLOOKUP(MONTH(B17),Справочники!$X$4:$Y$15,2,0)&amp;"_"&amp;YEAR(B17))</f>
        <v/>
      </c>
      <c r="D17" s="37"/>
      <c r="E17" s="37"/>
      <c r="F17" s="38"/>
      <c r="G17" s="220" t="str">
        <f t="shared" si="0"/>
        <v/>
      </c>
      <c r="H17" s="220" t="str">
        <f t="shared" si="1"/>
        <v/>
      </c>
      <c r="I17" s="221"/>
      <c r="J17" s="37"/>
      <c r="K17" s="37"/>
    </row>
    <row r="18" spans="1:11" x14ac:dyDescent="0.2">
      <c r="A18" s="137" t="str">
        <f>IF(ISERROR(VLOOKUP(D18,ДДС!A:A,1,0))=TRUE,"не попало в ДДС","ok")</f>
        <v>не попало в ДДС</v>
      </c>
      <c r="B18" s="36"/>
      <c r="C18" s="143" t="str">
        <f>IF(B18="","",VLOOKUP(MONTH(B18),Справочники!$X$4:$Y$15,2,0)&amp;"_"&amp;YEAR(B18))</f>
        <v/>
      </c>
      <c r="D18" s="37"/>
      <c r="E18" s="37"/>
      <c r="F18" s="38"/>
      <c r="G18" s="220" t="str">
        <f t="shared" si="0"/>
        <v/>
      </c>
      <c r="H18" s="220" t="str">
        <f t="shared" si="1"/>
        <v/>
      </c>
      <c r="I18" s="221"/>
      <c r="J18" s="37"/>
      <c r="K18" s="37"/>
    </row>
    <row r="19" spans="1:11" x14ac:dyDescent="0.2">
      <c r="A19" s="137" t="str">
        <f>IF(ISERROR(VLOOKUP(D19,ДДС!A:A,1,0))=TRUE,"не попало в ДДС","ok")</f>
        <v>не попало в ДДС</v>
      </c>
      <c r="B19" s="36"/>
      <c r="C19" s="143" t="str">
        <f>IF(B19="","",VLOOKUP(MONTH(B19),Справочники!$X$4:$Y$15,2,0)&amp;"_"&amp;YEAR(B19))</f>
        <v/>
      </c>
      <c r="D19" s="37"/>
      <c r="E19" s="37"/>
      <c r="F19" s="38"/>
      <c r="G19" s="220" t="str">
        <f t="shared" si="0"/>
        <v/>
      </c>
      <c r="H19" s="220" t="str">
        <f t="shared" si="1"/>
        <v/>
      </c>
      <c r="I19" s="221"/>
      <c r="J19" s="37"/>
      <c r="K19" s="37"/>
    </row>
    <row r="20" spans="1:11" x14ac:dyDescent="0.2">
      <c r="A20" s="137" t="str">
        <f>IF(ISERROR(VLOOKUP(D20,ДДС!A:A,1,0))=TRUE,"не попало в ДДС","ok")</f>
        <v>не попало в ДДС</v>
      </c>
      <c r="B20" s="36"/>
      <c r="C20" s="143" t="str">
        <f>IF(B20="","",VLOOKUP(MONTH(B20),Справочники!$X$4:$Y$15,2,0)&amp;"_"&amp;YEAR(B20))</f>
        <v/>
      </c>
      <c r="D20" s="37"/>
      <c r="E20" s="37"/>
      <c r="F20" s="38"/>
      <c r="G20" s="220" t="str">
        <f t="shared" si="0"/>
        <v/>
      </c>
      <c r="H20" s="220" t="str">
        <f t="shared" si="1"/>
        <v/>
      </c>
      <c r="I20" s="221"/>
      <c r="J20" s="37"/>
      <c r="K20" s="37"/>
    </row>
    <row r="21" spans="1:11" x14ac:dyDescent="0.2">
      <c r="A21" s="137" t="str">
        <f>IF(ISERROR(VLOOKUP(D21,ДДС!A:A,1,0))=TRUE,"не попало в ДДС","ok")</f>
        <v>не попало в ДДС</v>
      </c>
      <c r="B21" s="36"/>
      <c r="C21" s="143" t="str">
        <f>IF(B21="","",VLOOKUP(MONTH(B21),Справочники!$X$4:$Y$15,2,0)&amp;"_"&amp;YEAR(B21))</f>
        <v/>
      </c>
      <c r="D21" s="37"/>
      <c r="E21" s="37"/>
      <c r="F21" s="38"/>
      <c r="G21" s="220" t="str">
        <f t="shared" si="0"/>
        <v/>
      </c>
      <c r="H21" s="220" t="str">
        <f t="shared" si="1"/>
        <v/>
      </c>
      <c r="I21" s="221"/>
      <c r="J21" s="37"/>
      <c r="K21" s="37"/>
    </row>
    <row r="22" spans="1:11" x14ac:dyDescent="0.2">
      <c r="A22" s="137" t="str">
        <f>IF(ISERROR(VLOOKUP(D22,ДДС!A:A,1,0))=TRUE,"не попало в ДДС","ok")</f>
        <v>не попало в ДДС</v>
      </c>
      <c r="B22" s="36"/>
      <c r="C22" s="143" t="str">
        <f>IF(B22="","",VLOOKUP(MONTH(B22),Справочники!$X$4:$Y$15,2,0)&amp;"_"&amp;YEAR(B22))</f>
        <v/>
      </c>
      <c r="D22" s="37"/>
      <c r="E22" s="37"/>
      <c r="F22" s="38"/>
      <c r="G22" s="220" t="str">
        <f t="shared" si="0"/>
        <v/>
      </c>
      <c r="H22" s="220" t="str">
        <f t="shared" si="1"/>
        <v/>
      </c>
      <c r="I22" s="221"/>
      <c r="J22" s="37"/>
      <c r="K22" s="37"/>
    </row>
    <row r="23" spans="1:11" x14ac:dyDescent="0.2">
      <c r="A23" s="137" t="str">
        <f>IF(ISERROR(VLOOKUP(D23,ДДС!A:A,1,0))=TRUE,"не попало в ДДС","ok")</f>
        <v>не попало в ДДС</v>
      </c>
      <c r="B23" s="36"/>
      <c r="C23" s="143" t="str">
        <f>IF(B23="","",VLOOKUP(MONTH(B23),Справочники!$X$4:$Y$15,2,0)&amp;"_"&amp;YEAR(B23))</f>
        <v/>
      </c>
      <c r="D23" s="37"/>
      <c r="E23" s="37"/>
      <c r="F23" s="38"/>
      <c r="G23" s="220" t="str">
        <f t="shared" si="0"/>
        <v/>
      </c>
      <c r="H23" s="220" t="str">
        <f t="shared" si="1"/>
        <v/>
      </c>
      <c r="I23" s="221"/>
      <c r="J23" s="37"/>
      <c r="K23" s="37"/>
    </row>
    <row r="24" spans="1:11" x14ac:dyDescent="0.2">
      <c r="A24" s="137" t="str">
        <f>IF(ISERROR(VLOOKUP(D24,ДДС!A:A,1,0))=TRUE,"не попало в ДДС","ok")</f>
        <v>не попало в ДДС</v>
      </c>
      <c r="B24" s="36"/>
      <c r="C24" s="143" t="str">
        <f>IF(B24="","",VLOOKUP(MONTH(B24),Справочники!$X$4:$Y$15,2,0)&amp;"_"&amp;YEAR(B24))</f>
        <v/>
      </c>
      <c r="D24" s="37"/>
      <c r="E24" s="37"/>
      <c r="F24" s="38"/>
      <c r="G24" s="220" t="str">
        <f t="shared" si="0"/>
        <v/>
      </c>
      <c r="H24" s="220" t="str">
        <f t="shared" si="1"/>
        <v/>
      </c>
      <c r="I24" s="221"/>
      <c r="J24" s="37"/>
      <c r="K24" s="37"/>
    </row>
    <row r="25" spans="1:11" x14ac:dyDescent="0.2">
      <c r="A25" s="137" t="str">
        <f>IF(ISERROR(VLOOKUP(D25,ДДС!A:A,1,0))=TRUE,"не попало в ДДС","ok")</f>
        <v>не попало в ДДС</v>
      </c>
      <c r="B25" s="36"/>
      <c r="C25" s="143" t="str">
        <f>IF(B25="","",VLOOKUP(MONTH(B25),Справочники!$X$4:$Y$15,2,0)&amp;"_"&amp;YEAR(B25))</f>
        <v/>
      </c>
      <c r="D25" s="37"/>
      <c r="E25" s="37"/>
      <c r="F25" s="38"/>
      <c r="G25" s="220" t="str">
        <f t="shared" si="0"/>
        <v/>
      </c>
      <c r="H25" s="220" t="str">
        <f t="shared" si="1"/>
        <v/>
      </c>
      <c r="I25" s="221"/>
      <c r="J25" s="37"/>
      <c r="K25" s="37"/>
    </row>
    <row r="26" spans="1:11" x14ac:dyDescent="0.2">
      <c r="A26" s="137" t="str">
        <f>IF(ISERROR(VLOOKUP(D26,ДДС!A:A,1,0))=TRUE,"не попало в ДДС","ok")</f>
        <v>не попало в ДДС</v>
      </c>
      <c r="B26" s="36"/>
      <c r="C26" s="143" t="str">
        <f>IF(B26="","",VLOOKUP(MONTH(B26),Справочники!$X$4:$Y$15,2,0)&amp;"_"&amp;YEAR(B26))</f>
        <v/>
      </c>
      <c r="D26" s="37"/>
      <c r="E26" s="37"/>
      <c r="F26" s="38"/>
      <c r="G26" s="220" t="str">
        <f t="shared" si="0"/>
        <v/>
      </c>
      <c r="H26" s="220" t="str">
        <f t="shared" si="1"/>
        <v/>
      </c>
      <c r="I26" s="221"/>
      <c r="J26" s="37"/>
      <c r="K26" s="37"/>
    </row>
    <row r="27" spans="1:11" x14ac:dyDescent="0.2">
      <c r="A27" s="137" t="str">
        <f>IF(ISERROR(VLOOKUP(D27,ДДС!A:A,1,0))=TRUE,"не попало в ДДС","ok")</f>
        <v>не попало в ДДС</v>
      </c>
      <c r="B27" s="36"/>
      <c r="C27" s="143" t="str">
        <f>IF(B27="","",VLOOKUP(MONTH(B27),Справочники!$X$4:$Y$15,2,0)&amp;"_"&amp;YEAR(B27))</f>
        <v/>
      </c>
      <c r="D27" s="37"/>
      <c r="E27" s="37"/>
      <c r="F27" s="38"/>
      <c r="G27" s="220" t="str">
        <f t="shared" si="0"/>
        <v/>
      </c>
      <c r="H27" s="220" t="str">
        <f t="shared" si="1"/>
        <v/>
      </c>
      <c r="I27" s="221"/>
      <c r="J27" s="37"/>
      <c r="K27" s="37"/>
    </row>
    <row r="28" spans="1:11" x14ac:dyDescent="0.2">
      <c r="A28" s="137" t="str">
        <f>IF(ISERROR(VLOOKUP(D28,ДДС!A:A,1,0))=TRUE,"не попало в ДДС","ok")</f>
        <v>не попало в ДДС</v>
      </c>
      <c r="B28" s="36"/>
      <c r="C28" s="143" t="str">
        <f>IF(B28="","",VLOOKUP(MONTH(B28),Справочники!$X$4:$Y$15,2,0)&amp;"_"&amp;YEAR(B28))</f>
        <v/>
      </c>
      <c r="D28" s="37"/>
      <c r="E28" s="37"/>
      <c r="F28" s="38"/>
      <c r="G28" s="220" t="str">
        <f t="shared" ref="G28:G91" si="2">IF(ISERROR(I28-H28)=TRUE,"",I28-H28)</f>
        <v/>
      </c>
      <c r="H28" s="220" t="str">
        <f t="shared" ref="H28:H91" si="3">IF(I28="","",I28/(1+F28))</f>
        <v/>
      </c>
      <c r="I28" s="221"/>
      <c r="J28" s="37"/>
      <c r="K28" s="37"/>
    </row>
    <row r="29" spans="1:11" x14ac:dyDescent="0.2">
      <c r="A29" s="137" t="str">
        <f>IF(ISERROR(VLOOKUP(D29,ДДС!A:A,1,0))=TRUE,"не попало в ДДС","ok")</f>
        <v>не попало в ДДС</v>
      </c>
      <c r="B29" s="36"/>
      <c r="C29" s="143" t="str">
        <f>IF(B29="","",VLOOKUP(MONTH(B29),Справочники!$X$4:$Y$15,2,0)&amp;"_"&amp;YEAR(B29))</f>
        <v/>
      </c>
      <c r="D29" s="37"/>
      <c r="E29" s="37"/>
      <c r="F29" s="38"/>
      <c r="G29" s="220" t="str">
        <f t="shared" si="2"/>
        <v/>
      </c>
      <c r="H29" s="220" t="str">
        <f t="shared" si="3"/>
        <v/>
      </c>
      <c r="I29" s="221"/>
      <c r="J29" s="37"/>
      <c r="K29" s="37"/>
    </row>
    <row r="30" spans="1:11" x14ac:dyDescent="0.2">
      <c r="A30" s="137" t="str">
        <f>IF(ISERROR(VLOOKUP(D30,ДДС!A:A,1,0))=TRUE,"не попало в ДДС","ok")</f>
        <v>не попало в ДДС</v>
      </c>
      <c r="B30" s="36"/>
      <c r="C30" s="143" t="str">
        <f>IF(B30="","",VLOOKUP(MONTH(B30),Справочники!$X$4:$Y$15,2,0)&amp;"_"&amp;YEAR(B30))</f>
        <v/>
      </c>
      <c r="D30" s="37"/>
      <c r="E30" s="37"/>
      <c r="F30" s="38"/>
      <c r="G30" s="220" t="str">
        <f t="shared" si="2"/>
        <v/>
      </c>
      <c r="H30" s="220" t="str">
        <f t="shared" si="3"/>
        <v/>
      </c>
      <c r="I30" s="221"/>
      <c r="J30" s="37"/>
      <c r="K30" s="37"/>
    </row>
    <row r="31" spans="1:11" x14ac:dyDescent="0.2">
      <c r="A31" s="137" t="str">
        <f>IF(ISERROR(VLOOKUP(D31,ДДС!A:A,1,0))=TRUE,"не попало в ДДС","ok")</f>
        <v>не попало в ДДС</v>
      </c>
      <c r="B31" s="36"/>
      <c r="C31" s="143" t="str">
        <f>IF(B31="","",VLOOKUP(MONTH(B31),Справочники!$X$4:$Y$15,2,0)&amp;"_"&amp;YEAR(B31))</f>
        <v/>
      </c>
      <c r="D31" s="37"/>
      <c r="E31" s="37"/>
      <c r="F31" s="38"/>
      <c r="G31" s="220" t="str">
        <f t="shared" si="2"/>
        <v/>
      </c>
      <c r="H31" s="220" t="str">
        <f t="shared" si="3"/>
        <v/>
      </c>
      <c r="I31" s="221"/>
      <c r="J31" s="37"/>
      <c r="K31" s="37"/>
    </row>
    <row r="32" spans="1:11" x14ac:dyDescent="0.2">
      <c r="A32" s="137" t="str">
        <f>IF(ISERROR(VLOOKUP(D32,ДДС!A:A,1,0))=TRUE,"не попало в ДДС","ok")</f>
        <v>не попало в ДДС</v>
      </c>
      <c r="B32" s="36"/>
      <c r="C32" s="143" t="str">
        <f>IF(B32="","",VLOOKUP(MONTH(B32),Справочники!$X$4:$Y$15,2,0)&amp;"_"&amp;YEAR(B32))</f>
        <v/>
      </c>
      <c r="D32" s="37"/>
      <c r="E32" s="37"/>
      <c r="F32" s="38"/>
      <c r="G32" s="220" t="str">
        <f t="shared" si="2"/>
        <v/>
      </c>
      <c r="H32" s="220" t="str">
        <f t="shared" si="3"/>
        <v/>
      </c>
      <c r="I32" s="221"/>
      <c r="J32" s="37"/>
      <c r="K32" s="37"/>
    </row>
    <row r="33" spans="1:11" hidden="1" x14ac:dyDescent="0.2">
      <c r="A33" s="137" t="str">
        <f>IF(ISERROR(VLOOKUP(D33,ДДС!A:A,1,0))=TRUE,"не попало в ДДС","ok")</f>
        <v>не попало в ДДС</v>
      </c>
      <c r="B33" s="36"/>
      <c r="C33" s="143" t="str">
        <f>IF(B33="","",VLOOKUP(MONTH(B33),Справочники!$X$4:$Y$15,2,0)&amp;"_"&amp;YEAR(B33))</f>
        <v/>
      </c>
      <c r="D33" s="37"/>
      <c r="E33" s="37"/>
      <c r="F33" s="38"/>
      <c r="G33" s="220" t="str">
        <f t="shared" si="2"/>
        <v/>
      </c>
      <c r="H33" s="220" t="str">
        <f t="shared" si="3"/>
        <v/>
      </c>
      <c r="I33" s="221"/>
      <c r="J33" s="37"/>
      <c r="K33" s="37"/>
    </row>
    <row r="34" spans="1:11" hidden="1" x14ac:dyDescent="0.2">
      <c r="A34" s="137" t="str">
        <f>IF(ISERROR(VLOOKUP(D34,ДДС!A:A,1,0))=TRUE,"не попало в ДДС","ok")</f>
        <v>не попало в ДДС</v>
      </c>
      <c r="B34" s="36"/>
      <c r="C34" s="143" t="str">
        <f>IF(B34="","",VLOOKUP(MONTH(B34),Справочники!$X$4:$Y$15,2,0)&amp;"_"&amp;YEAR(B34))</f>
        <v/>
      </c>
      <c r="D34" s="37"/>
      <c r="E34" s="37"/>
      <c r="F34" s="38"/>
      <c r="G34" s="220" t="str">
        <f t="shared" si="2"/>
        <v/>
      </c>
      <c r="H34" s="220" t="str">
        <f t="shared" si="3"/>
        <v/>
      </c>
      <c r="I34" s="221"/>
      <c r="J34" s="37"/>
      <c r="K34" s="37"/>
    </row>
    <row r="35" spans="1:11" hidden="1" x14ac:dyDescent="0.2">
      <c r="A35" s="137" t="str">
        <f>IF(ISERROR(VLOOKUP(D35,ДДС!A:A,1,0))=TRUE,"не попало в ДДС","ok")</f>
        <v>не попало в ДДС</v>
      </c>
      <c r="B35" s="36"/>
      <c r="C35" s="143" t="str">
        <f>IF(B35="","",VLOOKUP(MONTH(B35),Справочники!$X$4:$Y$15,2,0)&amp;"_"&amp;YEAR(B35))</f>
        <v/>
      </c>
      <c r="D35" s="37"/>
      <c r="E35" s="37"/>
      <c r="F35" s="38"/>
      <c r="G35" s="220" t="str">
        <f t="shared" si="2"/>
        <v/>
      </c>
      <c r="H35" s="220" t="str">
        <f t="shared" si="3"/>
        <v/>
      </c>
      <c r="I35" s="221"/>
      <c r="J35" s="37"/>
      <c r="K35" s="37"/>
    </row>
    <row r="36" spans="1:11" hidden="1" x14ac:dyDescent="0.2">
      <c r="A36" s="137" t="str">
        <f>IF(ISERROR(VLOOKUP(D36,ДДС!A:A,1,0))=TRUE,"не попало в ДДС","ok")</f>
        <v>не попало в ДДС</v>
      </c>
      <c r="B36" s="36"/>
      <c r="C36" s="143" t="str">
        <f>IF(B36="","",VLOOKUP(MONTH(B36),Справочники!$X$4:$Y$15,2,0)&amp;"_"&amp;YEAR(B36))</f>
        <v/>
      </c>
      <c r="D36" s="37"/>
      <c r="E36" s="37"/>
      <c r="F36" s="38"/>
      <c r="G36" s="220" t="str">
        <f t="shared" si="2"/>
        <v/>
      </c>
      <c r="H36" s="220" t="str">
        <f t="shared" si="3"/>
        <v/>
      </c>
      <c r="I36" s="221"/>
      <c r="J36" s="37"/>
      <c r="K36" s="37"/>
    </row>
    <row r="37" spans="1:11" hidden="1" x14ac:dyDescent="0.2">
      <c r="A37" s="137" t="str">
        <f>IF(ISERROR(VLOOKUP(D37,ДДС!A:A,1,0))=TRUE,"не попало в ДДС","ok")</f>
        <v>не попало в ДДС</v>
      </c>
      <c r="B37" s="36"/>
      <c r="C37" s="143" t="str">
        <f>IF(B37="","",VLOOKUP(MONTH(B37),Справочники!$X$4:$Y$15,2,0)&amp;"_"&amp;YEAR(B37))</f>
        <v/>
      </c>
      <c r="D37" s="37"/>
      <c r="E37" s="37"/>
      <c r="F37" s="38"/>
      <c r="G37" s="220" t="str">
        <f t="shared" si="2"/>
        <v/>
      </c>
      <c r="H37" s="220" t="str">
        <f t="shared" si="3"/>
        <v/>
      </c>
      <c r="I37" s="221"/>
      <c r="J37" s="37"/>
      <c r="K37" s="37"/>
    </row>
    <row r="38" spans="1:11" hidden="1" x14ac:dyDescent="0.2">
      <c r="A38" s="137" t="str">
        <f>IF(ISERROR(VLOOKUP(D38,ДДС!A:A,1,0))=TRUE,"не попало в ДДС","ok")</f>
        <v>не попало в ДДС</v>
      </c>
      <c r="B38" s="36"/>
      <c r="C38" s="143" t="str">
        <f>IF(B38="","",VLOOKUP(MONTH(B38),Справочники!$X$4:$Y$15,2,0)&amp;"_"&amp;YEAR(B38))</f>
        <v/>
      </c>
      <c r="D38" s="37"/>
      <c r="E38" s="37"/>
      <c r="F38" s="38"/>
      <c r="G38" s="220" t="str">
        <f t="shared" si="2"/>
        <v/>
      </c>
      <c r="H38" s="220" t="str">
        <f t="shared" si="3"/>
        <v/>
      </c>
      <c r="I38" s="221"/>
      <c r="J38" s="37"/>
      <c r="K38" s="37"/>
    </row>
    <row r="39" spans="1:11" hidden="1" x14ac:dyDescent="0.2">
      <c r="A39" s="137" t="str">
        <f>IF(ISERROR(VLOOKUP(D39,ДДС!A:A,1,0))=TRUE,"не попало в ДДС","ok")</f>
        <v>не попало в ДДС</v>
      </c>
      <c r="B39" s="36"/>
      <c r="C39" s="143" t="str">
        <f>IF(B39="","",VLOOKUP(MONTH(B39),Справочники!$X$4:$Y$15,2,0)&amp;"_"&amp;YEAR(B39))</f>
        <v/>
      </c>
      <c r="D39" s="37"/>
      <c r="E39" s="37"/>
      <c r="F39" s="38"/>
      <c r="G39" s="220" t="str">
        <f t="shared" si="2"/>
        <v/>
      </c>
      <c r="H39" s="220" t="str">
        <f t="shared" si="3"/>
        <v/>
      </c>
      <c r="I39" s="221"/>
      <c r="J39" s="37"/>
      <c r="K39" s="37"/>
    </row>
    <row r="40" spans="1:11" hidden="1" x14ac:dyDescent="0.2">
      <c r="A40" s="137" t="str">
        <f>IF(ISERROR(VLOOKUP(D40,ДДС!A:A,1,0))=TRUE,"не попало в ДДС","ok")</f>
        <v>не попало в ДДС</v>
      </c>
      <c r="B40" s="36"/>
      <c r="C40" s="143" t="str">
        <f>IF(B40="","",VLOOKUP(MONTH(B40),Справочники!$X$4:$Y$15,2,0)&amp;"_"&amp;YEAR(B40))</f>
        <v/>
      </c>
      <c r="D40" s="37"/>
      <c r="E40" s="37"/>
      <c r="F40" s="38"/>
      <c r="G40" s="220" t="str">
        <f t="shared" si="2"/>
        <v/>
      </c>
      <c r="H40" s="220" t="str">
        <f t="shared" si="3"/>
        <v/>
      </c>
      <c r="I40" s="221"/>
      <c r="J40" s="37"/>
      <c r="K40" s="37"/>
    </row>
    <row r="41" spans="1:11" hidden="1" x14ac:dyDescent="0.2">
      <c r="A41" s="137" t="str">
        <f>IF(ISERROR(VLOOKUP(D41,ДДС!A:A,1,0))=TRUE,"не попало в ДДС","ok")</f>
        <v>не попало в ДДС</v>
      </c>
      <c r="B41" s="36"/>
      <c r="C41" s="143" t="str">
        <f>IF(B41="","",VLOOKUP(MONTH(B41),Справочники!$X$4:$Y$15,2,0)&amp;"_"&amp;YEAR(B41))</f>
        <v/>
      </c>
      <c r="D41" s="37"/>
      <c r="E41" s="37"/>
      <c r="F41" s="38"/>
      <c r="G41" s="220" t="str">
        <f t="shared" si="2"/>
        <v/>
      </c>
      <c r="H41" s="220" t="str">
        <f t="shared" si="3"/>
        <v/>
      </c>
      <c r="I41" s="221"/>
      <c r="J41" s="37"/>
      <c r="K41" s="37"/>
    </row>
    <row r="42" spans="1:11" hidden="1" x14ac:dyDescent="0.2">
      <c r="A42" s="137" t="str">
        <f>IF(ISERROR(VLOOKUP(D42,ДДС!A:A,1,0))=TRUE,"не попало в ДДС","ok")</f>
        <v>не попало в ДДС</v>
      </c>
      <c r="B42" s="36"/>
      <c r="C42" s="143" t="str">
        <f>IF(B42="","",VLOOKUP(MONTH(B42),Справочники!$X$4:$Y$15,2,0)&amp;"_"&amp;YEAR(B42))</f>
        <v/>
      </c>
      <c r="D42" s="37"/>
      <c r="E42" s="37"/>
      <c r="F42" s="38"/>
      <c r="G42" s="220" t="str">
        <f t="shared" si="2"/>
        <v/>
      </c>
      <c r="H42" s="220" t="str">
        <f t="shared" si="3"/>
        <v/>
      </c>
      <c r="I42" s="221"/>
      <c r="J42" s="37"/>
      <c r="K42" s="37"/>
    </row>
    <row r="43" spans="1:11" hidden="1" x14ac:dyDescent="0.2">
      <c r="A43" s="137" t="str">
        <f>IF(ISERROR(VLOOKUP(D43,ДДС!A:A,1,0))=TRUE,"не попало в ДДС","ok")</f>
        <v>не попало в ДДС</v>
      </c>
      <c r="B43" s="36"/>
      <c r="C43" s="143" t="str">
        <f>IF(B43="","",VLOOKUP(MONTH(B43),Справочники!$X$4:$Y$15,2,0)&amp;"_"&amp;YEAR(B43))</f>
        <v/>
      </c>
      <c r="D43" s="37"/>
      <c r="E43" s="37"/>
      <c r="F43" s="38"/>
      <c r="G43" s="220" t="str">
        <f t="shared" si="2"/>
        <v/>
      </c>
      <c r="H43" s="220" t="str">
        <f t="shared" si="3"/>
        <v/>
      </c>
      <c r="I43" s="221"/>
      <c r="J43" s="37"/>
      <c r="K43" s="37"/>
    </row>
    <row r="44" spans="1:11" hidden="1" x14ac:dyDescent="0.2">
      <c r="A44" s="137" t="str">
        <f>IF(ISERROR(VLOOKUP(D44,ДДС!A:A,1,0))=TRUE,"не попало в ДДС","ok")</f>
        <v>не попало в ДДС</v>
      </c>
      <c r="B44" s="36"/>
      <c r="C44" s="143" t="str">
        <f>IF(B44="","",VLOOKUP(MONTH(B44),Справочники!$X$4:$Y$15,2,0)&amp;"_"&amp;YEAR(B44))</f>
        <v/>
      </c>
      <c r="D44" s="37"/>
      <c r="E44" s="37"/>
      <c r="F44" s="38"/>
      <c r="G44" s="220" t="str">
        <f t="shared" si="2"/>
        <v/>
      </c>
      <c r="H44" s="220" t="str">
        <f t="shared" si="3"/>
        <v/>
      </c>
      <c r="I44" s="221"/>
      <c r="J44" s="37"/>
      <c r="K44" s="37"/>
    </row>
    <row r="45" spans="1:11" hidden="1" x14ac:dyDescent="0.2">
      <c r="A45" s="137" t="str">
        <f>IF(ISERROR(VLOOKUP(D45,ДДС!A:A,1,0))=TRUE,"не попало в ДДС","ok")</f>
        <v>не попало в ДДС</v>
      </c>
      <c r="B45" s="36"/>
      <c r="C45" s="143" t="str">
        <f>IF(B45="","",VLOOKUP(MONTH(B45),Справочники!$X$4:$Y$15,2,0)&amp;"_"&amp;YEAR(B45))</f>
        <v/>
      </c>
      <c r="D45" s="37"/>
      <c r="E45" s="37"/>
      <c r="F45" s="38"/>
      <c r="G45" s="220" t="str">
        <f t="shared" si="2"/>
        <v/>
      </c>
      <c r="H45" s="220" t="str">
        <f t="shared" si="3"/>
        <v/>
      </c>
      <c r="I45" s="221"/>
      <c r="J45" s="37"/>
      <c r="K45" s="37"/>
    </row>
    <row r="46" spans="1:11" hidden="1" x14ac:dyDescent="0.2">
      <c r="A46" s="137" t="str">
        <f>IF(ISERROR(VLOOKUP(D46,ДДС!A:A,1,0))=TRUE,"не попало в ДДС","ok")</f>
        <v>не попало в ДДС</v>
      </c>
      <c r="B46" s="36"/>
      <c r="C46" s="143" t="str">
        <f>IF(B46="","",VLOOKUP(MONTH(B46),Справочники!$X$4:$Y$15,2,0)&amp;"_"&amp;YEAR(B46))</f>
        <v/>
      </c>
      <c r="D46" s="37"/>
      <c r="E46" s="37"/>
      <c r="F46" s="38"/>
      <c r="G46" s="220" t="str">
        <f t="shared" si="2"/>
        <v/>
      </c>
      <c r="H46" s="220" t="str">
        <f t="shared" si="3"/>
        <v/>
      </c>
      <c r="I46" s="221"/>
      <c r="J46" s="37"/>
      <c r="K46" s="37"/>
    </row>
    <row r="47" spans="1:11" hidden="1" x14ac:dyDescent="0.2">
      <c r="A47" s="137" t="str">
        <f>IF(ISERROR(VLOOKUP(D47,ДДС!A:A,1,0))=TRUE,"не попало в ДДС","ok")</f>
        <v>не попало в ДДС</v>
      </c>
      <c r="B47" s="36"/>
      <c r="C47" s="143" t="str">
        <f>IF(B47="","",VLOOKUP(MONTH(B47),Справочники!$X$4:$Y$15,2,0)&amp;"_"&amp;YEAR(B47))</f>
        <v/>
      </c>
      <c r="D47" s="37"/>
      <c r="E47" s="37"/>
      <c r="F47" s="38"/>
      <c r="G47" s="220" t="str">
        <f t="shared" si="2"/>
        <v/>
      </c>
      <c r="H47" s="220" t="str">
        <f t="shared" si="3"/>
        <v/>
      </c>
      <c r="I47" s="221"/>
      <c r="J47" s="37"/>
      <c r="K47" s="37"/>
    </row>
    <row r="48" spans="1:11" hidden="1" x14ac:dyDescent="0.2">
      <c r="A48" s="137" t="str">
        <f>IF(ISERROR(VLOOKUP(D48,ДДС!A:A,1,0))=TRUE,"не попало в ДДС","ok")</f>
        <v>не попало в ДДС</v>
      </c>
      <c r="B48" s="36"/>
      <c r="C48" s="143" t="str">
        <f>IF(B48="","",VLOOKUP(MONTH(B48),Справочники!$X$4:$Y$15,2,0)&amp;"_"&amp;YEAR(B48))</f>
        <v/>
      </c>
      <c r="D48" s="37"/>
      <c r="E48" s="37"/>
      <c r="F48" s="38"/>
      <c r="G48" s="220" t="str">
        <f t="shared" si="2"/>
        <v/>
      </c>
      <c r="H48" s="220" t="str">
        <f t="shared" si="3"/>
        <v/>
      </c>
      <c r="I48" s="221"/>
      <c r="J48" s="37"/>
      <c r="K48" s="37"/>
    </row>
    <row r="49" spans="1:11" hidden="1" x14ac:dyDescent="0.2">
      <c r="A49" s="137" t="str">
        <f>IF(ISERROR(VLOOKUP(D49,ДДС!A:A,1,0))=TRUE,"не попало в ДДС","ok")</f>
        <v>не попало в ДДС</v>
      </c>
      <c r="B49" s="36"/>
      <c r="C49" s="143" t="str">
        <f>IF(B49="","",VLOOKUP(MONTH(B49),Справочники!$X$4:$Y$15,2,0)&amp;"_"&amp;YEAR(B49))</f>
        <v/>
      </c>
      <c r="D49" s="37"/>
      <c r="E49" s="37"/>
      <c r="F49" s="38"/>
      <c r="G49" s="220" t="str">
        <f t="shared" si="2"/>
        <v/>
      </c>
      <c r="H49" s="220" t="str">
        <f t="shared" si="3"/>
        <v/>
      </c>
      <c r="I49" s="221"/>
      <c r="J49" s="37"/>
      <c r="K49" s="37"/>
    </row>
    <row r="50" spans="1:11" hidden="1" x14ac:dyDescent="0.2">
      <c r="A50" s="137" t="str">
        <f>IF(ISERROR(VLOOKUP(D50,ДДС!A:A,1,0))=TRUE,"не попало в ДДС","ok")</f>
        <v>не попало в ДДС</v>
      </c>
      <c r="B50" s="36"/>
      <c r="C50" s="143" t="str">
        <f>IF(B50="","",VLOOKUP(MONTH(B50),Справочники!$X$4:$Y$15,2,0)&amp;"_"&amp;YEAR(B50))</f>
        <v/>
      </c>
      <c r="D50" s="37"/>
      <c r="E50" s="37"/>
      <c r="F50" s="38"/>
      <c r="G50" s="220" t="str">
        <f t="shared" si="2"/>
        <v/>
      </c>
      <c r="H50" s="220" t="str">
        <f t="shared" si="3"/>
        <v/>
      </c>
      <c r="I50" s="221"/>
      <c r="J50" s="37"/>
      <c r="K50" s="37"/>
    </row>
    <row r="51" spans="1:11" hidden="1" x14ac:dyDescent="0.2">
      <c r="A51" s="137" t="str">
        <f>IF(ISERROR(VLOOKUP(D51,ДДС!A:A,1,0))=TRUE,"не попало в ДДС","ok")</f>
        <v>не попало в ДДС</v>
      </c>
      <c r="B51" s="36"/>
      <c r="C51" s="143" t="str">
        <f>IF(B51="","",VLOOKUP(MONTH(B51),Справочники!$X$4:$Y$15,2,0)&amp;"_"&amp;YEAR(B51))</f>
        <v/>
      </c>
      <c r="D51" s="37"/>
      <c r="E51" s="37"/>
      <c r="F51" s="38"/>
      <c r="G51" s="220" t="str">
        <f t="shared" si="2"/>
        <v/>
      </c>
      <c r="H51" s="220" t="str">
        <f t="shared" si="3"/>
        <v/>
      </c>
      <c r="I51" s="221"/>
      <c r="J51" s="37"/>
      <c r="K51" s="37"/>
    </row>
    <row r="52" spans="1:11" hidden="1" x14ac:dyDescent="0.2">
      <c r="A52" s="137" t="str">
        <f>IF(ISERROR(VLOOKUP(D52,ДДС!A:A,1,0))=TRUE,"не попало в ДДС","ok")</f>
        <v>не попало в ДДС</v>
      </c>
      <c r="B52" s="36"/>
      <c r="C52" s="143" t="str">
        <f>IF(B52="","",VLOOKUP(MONTH(B52),Справочники!$X$4:$Y$15,2,0)&amp;"_"&amp;YEAR(B52))</f>
        <v/>
      </c>
      <c r="D52" s="37"/>
      <c r="E52" s="37"/>
      <c r="F52" s="38"/>
      <c r="G52" s="220" t="str">
        <f t="shared" si="2"/>
        <v/>
      </c>
      <c r="H52" s="220" t="str">
        <f t="shared" si="3"/>
        <v/>
      </c>
      <c r="I52" s="221"/>
      <c r="J52" s="37"/>
      <c r="K52" s="37"/>
    </row>
    <row r="53" spans="1:11" hidden="1" x14ac:dyDescent="0.2">
      <c r="A53" s="137" t="str">
        <f>IF(ISERROR(VLOOKUP(D53,ДДС!A:A,1,0))=TRUE,"не попало в ДДС","ok")</f>
        <v>не попало в ДДС</v>
      </c>
      <c r="B53" s="36"/>
      <c r="C53" s="143" t="str">
        <f>IF(B53="","",VLOOKUP(MONTH(B53),Справочники!$X$4:$Y$15,2,0)&amp;"_"&amp;YEAR(B53))</f>
        <v/>
      </c>
      <c r="D53" s="37"/>
      <c r="E53" s="37"/>
      <c r="F53" s="38"/>
      <c r="G53" s="220" t="str">
        <f t="shared" si="2"/>
        <v/>
      </c>
      <c r="H53" s="220" t="str">
        <f t="shared" si="3"/>
        <v/>
      </c>
      <c r="I53" s="221"/>
      <c r="J53" s="37"/>
      <c r="K53" s="37"/>
    </row>
    <row r="54" spans="1:11" hidden="1" x14ac:dyDescent="0.2">
      <c r="A54" s="137" t="str">
        <f>IF(ISERROR(VLOOKUP(D54,ДДС!A:A,1,0))=TRUE,"не попало в ДДС","ok")</f>
        <v>не попало в ДДС</v>
      </c>
      <c r="B54" s="36"/>
      <c r="C54" s="143" t="str">
        <f>IF(B54="","",VLOOKUP(MONTH(B54),Справочники!$X$4:$Y$15,2,0)&amp;"_"&amp;YEAR(B54))</f>
        <v/>
      </c>
      <c r="D54" s="37"/>
      <c r="E54" s="37"/>
      <c r="F54" s="38"/>
      <c r="G54" s="220" t="str">
        <f t="shared" si="2"/>
        <v/>
      </c>
      <c r="H54" s="220" t="str">
        <f t="shared" si="3"/>
        <v/>
      </c>
      <c r="I54" s="221"/>
      <c r="J54" s="37"/>
      <c r="K54" s="37"/>
    </row>
    <row r="55" spans="1:11" hidden="1" x14ac:dyDescent="0.2">
      <c r="A55" s="137" t="str">
        <f>IF(ISERROR(VLOOKUP(D55,ДДС!A:A,1,0))=TRUE,"не попало в ДДС","ok")</f>
        <v>не попало в ДДС</v>
      </c>
      <c r="B55" s="36"/>
      <c r="C55" s="143" t="str">
        <f>IF(B55="","",VLOOKUP(MONTH(B55),Справочники!$X$4:$Y$15,2,0)&amp;"_"&amp;YEAR(B55))</f>
        <v/>
      </c>
      <c r="D55" s="37"/>
      <c r="E55" s="37"/>
      <c r="F55" s="38"/>
      <c r="G55" s="220" t="str">
        <f t="shared" si="2"/>
        <v/>
      </c>
      <c r="H55" s="220" t="str">
        <f t="shared" si="3"/>
        <v/>
      </c>
      <c r="I55" s="221"/>
      <c r="J55" s="37"/>
      <c r="K55" s="37"/>
    </row>
    <row r="56" spans="1:11" hidden="1" x14ac:dyDescent="0.2">
      <c r="A56" s="137" t="str">
        <f>IF(ISERROR(VLOOKUP(D56,ДДС!A:A,1,0))=TRUE,"не попало в ДДС","ok")</f>
        <v>не попало в ДДС</v>
      </c>
      <c r="B56" s="36"/>
      <c r="C56" s="143" t="str">
        <f>IF(B56="","",VLOOKUP(MONTH(B56),Справочники!$X$4:$Y$15,2,0)&amp;"_"&amp;YEAR(B56))</f>
        <v/>
      </c>
      <c r="D56" s="37"/>
      <c r="E56" s="37"/>
      <c r="F56" s="38"/>
      <c r="G56" s="220" t="str">
        <f t="shared" si="2"/>
        <v/>
      </c>
      <c r="H56" s="220" t="str">
        <f t="shared" si="3"/>
        <v/>
      </c>
      <c r="I56" s="221"/>
      <c r="J56" s="37"/>
      <c r="K56" s="37"/>
    </row>
    <row r="57" spans="1:11" hidden="1" x14ac:dyDescent="0.2">
      <c r="A57" s="137" t="str">
        <f>IF(ISERROR(VLOOKUP(D57,ДДС!A:A,1,0))=TRUE,"не попало в ДДС","ok")</f>
        <v>не попало в ДДС</v>
      </c>
      <c r="B57" s="36"/>
      <c r="C57" s="143" t="str">
        <f>IF(B57="","",VLOOKUP(MONTH(B57),Справочники!$X$4:$Y$15,2,0)&amp;"_"&amp;YEAR(B57))</f>
        <v/>
      </c>
      <c r="D57" s="37"/>
      <c r="E57" s="37"/>
      <c r="F57" s="38"/>
      <c r="G57" s="220" t="str">
        <f t="shared" si="2"/>
        <v/>
      </c>
      <c r="H57" s="220" t="str">
        <f t="shared" si="3"/>
        <v/>
      </c>
      <c r="I57" s="221"/>
      <c r="J57" s="37"/>
      <c r="K57" s="37"/>
    </row>
    <row r="58" spans="1:11" hidden="1" x14ac:dyDescent="0.2">
      <c r="A58" s="137" t="str">
        <f>IF(ISERROR(VLOOKUP(D58,ДДС!A:A,1,0))=TRUE,"не попало в ДДС","ok")</f>
        <v>не попало в ДДС</v>
      </c>
      <c r="B58" s="36"/>
      <c r="C58" s="143" t="str">
        <f>IF(B58="","",VLOOKUP(MONTH(B58),Справочники!$X$4:$Y$15,2,0)&amp;"_"&amp;YEAR(B58))</f>
        <v/>
      </c>
      <c r="D58" s="37"/>
      <c r="E58" s="37"/>
      <c r="F58" s="38"/>
      <c r="G58" s="220" t="str">
        <f t="shared" si="2"/>
        <v/>
      </c>
      <c r="H58" s="220" t="str">
        <f t="shared" si="3"/>
        <v/>
      </c>
      <c r="I58" s="221"/>
      <c r="J58" s="37"/>
      <c r="K58" s="37"/>
    </row>
    <row r="59" spans="1:11" hidden="1" x14ac:dyDescent="0.2">
      <c r="A59" s="137" t="str">
        <f>IF(ISERROR(VLOOKUP(D59,ДДС!A:A,1,0))=TRUE,"не попало в ДДС","ok")</f>
        <v>не попало в ДДС</v>
      </c>
      <c r="B59" s="36"/>
      <c r="C59" s="143" t="str">
        <f>IF(B59="","",VLOOKUP(MONTH(B59),Справочники!$X$4:$Y$15,2,0)&amp;"_"&amp;YEAR(B59))</f>
        <v/>
      </c>
      <c r="D59" s="37"/>
      <c r="E59" s="37"/>
      <c r="F59" s="38"/>
      <c r="G59" s="220" t="str">
        <f t="shared" si="2"/>
        <v/>
      </c>
      <c r="H59" s="220" t="str">
        <f t="shared" si="3"/>
        <v/>
      </c>
      <c r="I59" s="221"/>
      <c r="J59" s="37"/>
      <c r="K59" s="37"/>
    </row>
    <row r="60" spans="1:11" hidden="1" x14ac:dyDescent="0.2">
      <c r="A60" s="137" t="str">
        <f>IF(ISERROR(VLOOKUP(D60,ДДС!A:A,1,0))=TRUE,"не попало в ДДС","ok")</f>
        <v>не попало в ДДС</v>
      </c>
      <c r="B60" s="36"/>
      <c r="C60" s="143" t="str">
        <f>IF(B60="","",VLOOKUP(MONTH(B60),Справочники!$X$4:$Y$15,2,0)&amp;"_"&amp;YEAR(B60))</f>
        <v/>
      </c>
      <c r="D60" s="37"/>
      <c r="E60" s="37"/>
      <c r="F60" s="38"/>
      <c r="G60" s="220" t="str">
        <f t="shared" si="2"/>
        <v/>
      </c>
      <c r="H60" s="220" t="str">
        <f t="shared" si="3"/>
        <v/>
      </c>
      <c r="I60" s="221"/>
      <c r="J60" s="37"/>
      <c r="K60" s="37"/>
    </row>
    <row r="61" spans="1:11" hidden="1" x14ac:dyDescent="0.2">
      <c r="A61" s="137" t="str">
        <f>IF(ISERROR(VLOOKUP(D61,ДДС!A:A,1,0))=TRUE,"не попало в ДДС","ok")</f>
        <v>не попало в ДДС</v>
      </c>
      <c r="B61" s="36"/>
      <c r="C61" s="143" t="str">
        <f>IF(B61="","",VLOOKUP(MONTH(B61),Справочники!$X$4:$Y$15,2,0)&amp;"_"&amp;YEAR(B61))</f>
        <v/>
      </c>
      <c r="D61" s="37"/>
      <c r="E61" s="37"/>
      <c r="F61" s="38"/>
      <c r="G61" s="220" t="str">
        <f t="shared" si="2"/>
        <v/>
      </c>
      <c r="H61" s="220" t="str">
        <f t="shared" si="3"/>
        <v/>
      </c>
      <c r="I61" s="221"/>
      <c r="J61" s="37"/>
      <c r="K61" s="37"/>
    </row>
    <row r="62" spans="1:11" hidden="1" x14ac:dyDescent="0.2">
      <c r="A62" s="137" t="str">
        <f>IF(ISERROR(VLOOKUP(D62,ДДС!A:A,1,0))=TRUE,"не попало в ДДС","ok")</f>
        <v>не попало в ДДС</v>
      </c>
      <c r="B62" s="36"/>
      <c r="C62" s="143" t="str">
        <f>IF(B62="","",VLOOKUP(MONTH(B62),Справочники!$X$4:$Y$15,2,0)&amp;"_"&amp;YEAR(B62))</f>
        <v/>
      </c>
      <c r="D62" s="37"/>
      <c r="E62" s="37"/>
      <c r="F62" s="38"/>
      <c r="G62" s="220" t="str">
        <f t="shared" si="2"/>
        <v/>
      </c>
      <c r="H62" s="220" t="str">
        <f t="shared" si="3"/>
        <v/>
      </c>
      <c r="I62" s="221"/>
      <c r="J62" s="37"/>
      <c r="K62" s="37"/>
    </row>
    <row r="63" spans="1:11" hidden="1" x14ac:dyDescent="0.2">
      <c r="A63" s="137" t="str">
        <f>IF(ISERROR(VLOOKUP(D63,ДДС!A:A,1,0))=TRUE,"не попало в ДДС","ok")</f>
        <v>не попало в ДДС</v>
      </c>
      <c r="B63" s="36"/>
      <c r="C63" s="143" t="str">
        <f>IF(B63="","",VLOOKUP(MONTH(B63),Справочники!$X$4:$Y$15,2,0)&amp;"_"&amp;YEAR(B63))</f>
        <v/>
      </c>
      <c r="D63" s="37"/>
      <c r="E63" s="37"/>
      <c r="F63" s="38"/>
      <c r="G63" s="220" t="str">
        <f t="shared" si="2"/>
        <v/>
      </c>
      <c r="H63" s="220" t="str">
        <f t="shared" si="3"/>
        <v/>
      </c>
      <c r="I63" s="221"/>
      <c r="J63" s="37"/>
      <c r="K63" s="37"/>
    </row>
    <row r="64" spans="1:11" hidden="1" x14ac:dyDescent="0.2">
      <c r="A64" s="137" t="str">
        <f>IF(ISERROR(VLOOKUP(D64,ДДС!A:A,1,0))=TRUE,"не попало в ДДС","ok")</f>
        <v>не попало в ДДС</v>
      </c>
      <c r="B64" s="36"/>
      <c r="C64" s="143" t="str">
        <f>IF(B64="","",VLOOKUP(MONTH(B64),Справочники!$X$4:$Y$15,2,0)&amp;"_"&amp;YEAR(B64))</f>
        <v/>
      </c>
      <c r="D64" s="37"/>
      <c r="E64" s="37"/>
      <c r="F64" s="38"/>
      <c r="G64" s="220" t="str">
        <f t="shared" si="2"/>
        <v/>
      </c>
      <c r="H64" s="220" t="str">
        <f t="shared" si="3"/>
        <v/>
      </c>
      <c r="I64" s="221"/>
      <c r="J64" s="37"/>
      <c r="K64" s="37"/>
    </row>
    <row r="65" spans="1:11" hidden="1" x14ac:dyDescent="0.2">
      <c r="A65" s="137" t="str">
        <f>IF(ISERROR(VLOOKUP(D65,ДДС!A:A,1,0))=TRUE,"не попало в ДДС","ok")</f>
        <v>не попало в ДДС</v>
      </c>
      <c r="B65" s="36"/>
      <c r="C65" s="143" t="str">
        <f>IF(B65="","",VLOOKUP(MONTH(B65),Справочники!$X$4:$Y$15,2,0)&amp;"_"&amp;YEAR(B65))</f>
        <v/>
      </c>
      <c r="D65" s="37"/>
      <c r="E65" s="37"/>
      <c r="F65" s="38"/>
      <c r="G65" s="220" t="str">
        <f t="shared" si="2"/>
        <v/>
      </c>
      <c r="H65" s="220" t="str">
        <f t="shared" si="3"/>
        <v/>
      </c>
      <c r="I65" s="221"/>
      <c r="J65" s="37"/>
      <c r="K65" s="37"/>
    </row>
    <row r="66" spans="1:11" hidden="1" x14ac:dyDescent="0.2">
      <c r="A66" s="137" t="str">
        <f>IF(ISERROR(VLOOKUP(D66,ДДС!A:A,1,0))=TRUE,"не попало в ДДС","ok")</f>
        <v>не попало в ДДС</v>
      </c>
      <c r="B66" s="36"/>
      <c r="C66" s="143" t="str">
        <f>IF(B66="","",VLOOKUP(MONTH(B66),Справочники!$X$4:$Y$15,2,0)&amp;"_"&amp;YEAR(B66))</f>
        <v/>
      </c>
      <c r="D66" s="37"/>
      <c r="E66" s="37"/>
      <c r="F66" s="38"/>
      <c r="G66" s="220" t="str">
        <f t="shared" si="2"/>
        <v/>
      </c>
      <c r="H66" s="220" t="str">
        <f t="shared" si="3"/>
        <v/>
      </c>
      <c r="I66" s="221"/>
      <c r="J66" s="37"/>
      <c r="K66" s="37"/>
    </row>
    <row r="67" spans="1:11" hidden="1" x14ac:dyDescent="0.2">
      <c r="A67" s="137" t="str">
        <f>IF(ISERROR(VLOOKUP(D67,ДДС!A:A,1,0))=TRUE,"не попало в ДДС","ok")</f>
        <v>не попало в ДДС</v>
      </c>
      <c r="B67" s="36"/>
      <c r="C67" s="143" t="str">
        <f>IF(B67="","",VLOOKUP(MONTH(B67),Справочники!$X$4:$Y$15,2,0)&amp;"_"&amp;YEAR(B67))</f>
        <v/>
      </c>
      <c r="D67" s="37"/>
      <c r="E67" s="37"/>
      <c r="F67" s="38"/>
      <c r="G67" s="220" t="str">
        <f t="shared" si="2"/>
        <v/>
      </c>
      <c r="H67" s="220" t="str">
        <f t="shared" si="3"/>
        <v/>
      </c>
      <c r="I67" s="221"/>
      <c r="J67" s="37"/>
      <c r="K67" s="37"/>
    </row>
    <row r="68" spans="1:11" hidden="1" x14ac:dyDescent="0.2">
      <c r="A68" s="137" t="str">
        <f>IF(ISERROR(VLOOKUP(D68,ДДС!A:A,1,0))=TRUE,"не попало в ДДС","ok")</f>
        <v>не попало в ДДС</v>
      </c>
      <c r="B68" s="36"/>
      <c r="C68" s="143" t="str">
        <f>IF(B68="","",VLOOKUP(MONTH(B68),Справочники!$X$4:$Y$15,2,0)&amp;"_"&amp;YEAR(B68))</f>
        <v/>
      </c>
      <c r="D68" s="37"/>
      <c r="E68" s="37"/>
      <c r="F68" s="38"/>
      <c r="G68" s="220" t="str">
        <f t="shared" si="2"/>
        <v/>
      </c>
      <c r="H68" s="220" t="str">
        <f t="shared" si="3"/>
        <v/>
      </c>
      <c r="I68" s="221"/>
      <c r="J68" s="37"/>
      <c r="K68" s="37"/>
    </row>
    <row r="69" spans="1:11" hidden="1" x14ac:dyDescent="0.2">
      <c r="A69" s="137" t="str">
        <f>IF(ISERROR(VLOOKUP(D69,ДДС!A:A,1,0))=TRUE,"не попало в ДДС","ok")</f>
        <v>не попало в ДДС</v>
      </c>
      <c r="B69" s="36"/>
      <c r="C69" s="143" t="str">
        <f>IF(B69="","",VLOOKUP(MONTH(B69),Справочники!$X$4:$Y$15,2,0)&amp;"_"&amp;YEAR(B69))</f>
        <v/>
      </c>
      <c r="D69" s="37"/>
      <c r="E69" s="37"/>
      <c r="F69" s="38"/>
      <c r="G69" s="220" t="str">
        <f t="shared" si="2"/>
        <v/>
      </c>
      <c r="H69" s="220" t="str">
        <f t="shared" si="3"/>
        <v/>
      </c>
      <c r="I69" s="221"/>
      <c r="J69" s="37"/>
      <c r="K69" s="37"/>
    </row>
    <row r="70" spans="1:11" hidden="1" x14ac:dyDescent="0.2">
      <c r="A70" s="137" t="str">
        <f>IF(ISERROR(VLOOKUP(D70,ДДС!A:A,1,0))=TRUE,"не попало в ДДС","ok")</f>
        <v>не попало в ДДС</v>
      </c>
      <c r="B70" s="36"/>
      <c r="C70" s="143" t="str">
        <f>IF(B70="","",VLOOKUP(MONTH(B70),Справочники!$X$4:$Y$15,2,0)&amp;"_"&amp;YEAR(B70))</f>
        <v/>
      </c>
      <c r="D70" s="37"/>
      <c r="E70" s="37"/>
      <c r="F70" s="38"/>
      <c r="G70" s="220" t="str">
        <f t="shared" si="2"/>
        <v/>
      </c>
      <c r="H70" s="220" t="str">
        <f t="shared" si="3"/>
        <v/>
      </c>
      <c r="I70" s="221"/>
      <c r="J70" s="37"/>
      <c r="K70" s="37"/>
    </row>
    <row r="71" spans="1:11" hidden="1" x14ac:dyDescent="0.2">
      <c r="A71" s="137" t="str">
        <f>IF(ISERROR(VLOOKUP(D71,ДДС!A:A,1,0))=TRUE,"не попало в ДДС","ok")</f>
        <v>не попало в ДДС</v>
      </c>
      <c r="B71" s="36"/>
      <c r="C71" s="143" t="str">
        <f>IF(B71="","",VLOOKUP(MONTH(B71),Справочники!$X$4:$Y$15,2,0)&amp;"_"&amp;YEAR(B71))</f>
        <v/>
      </c>
      <c r="D71" s="37"/>
      <c r="E71" s="37"/>
      <c r="F71" s="38"/>
      <c r="G71" s="220" t="str">
        <f t="shared" si="2"/>
        <v/>
      </c>
      <c r="H71" s="220" t="str">
        <f t="shared" si="3"/>
        <v/>
      </c>
      <c r="I71" s="221"/>
      <c r="J71" s="37"/>
      <c r="K71" s="37"/>
    </row>
    <row r="72" spans="1:11" hidden="1" x14ac:dyDescent="0.2">
      <c r="A72" s="137" t="str">
        <f>IF(ISERROR(VLOOKUP(D72,ДДС!A:A,1,0))=TRUE,"не попало в ДДС","ok")</f>
        <v>не попало в ДДС</v>
      </c>
      <c r="B72" s="36"/>
      <c r="C72" s="143" t="str">
        <f>IF(B72="","",VLOOKUP(MONTH(B72),Справочники!$X$4:$Y$15,2,0)&amp;"_"&amp;YEAR(B72))</f>
        <v/>
      </c>
      <c r="D72" s="37"/>
      <c r="E72" s="37"/>
      <c r="F72" s="38"/>
      <c r="G72" s="220" t="str">
        <f t="shared" si="2"/>
        <v/>
      </c>
      <c r="H72" s="220" t="str">
        <f t="shared" si="3"/>
        <v/>
      </c>
      <c r="I72" s="221"/>
      <c r="J72" s="37"/>
      <c r="K72" s="37"/>
    </row>
    <row r="73" spans="1:11" hidden="1" x14ac:dyDescent="0.2">
      <c r="A73" s="137" t="str">
        <f>IF(ISERROR(VLOOKUP(D73,ДДС!A:A,1,0))=TRUE,"не попало в ДДС","ok")</f>
        <v>не попало в ДДС</v>
      </c>
      <c r="B73" s="36"/>
      <c r="C73" s="143" t="str">
        <f>IF(B73="","",VLOOKUP(MONTH(B73),Справочники!$X$4:$Y$15,2,0)&amp;"_"&amp;YEAR(B73))</f>
        <v/>
      </c>
      <c r="D73" s="37"/>
      <c r="E73" s="37"/>
      <c r="F73" s="38"/>
      <c r="G73" s="220" t="str">
        <f t="shared" si="2"/>
        <v/>
      </c>
      <c r="H73" s="220" t="str">
        <f t="shared" si="3"/>
        <v/>
      </c>
      <c r="I73" s="221"/>
      <c r="J73" s="37"/>
      <c r="K73" s="37"/>
    </row>
    <row r="74" spans="1:11" hidden="1" x14ac:dyDescent="0.2">
      <c r="A74" s="137" t="str">
        <f>IF(ISERROR(VLOOKUP(D74,ДДС!A:A,1,0))=TRUE,"не попало в ДДС","ok")</f>
        <v>не попало в ДДС</v>
      </c>
      <c r="B74" s="36"/>
      <c r="C74" s="143" t="str">
        <f>IF(B74="","",VLOOKUP(MONTH(B74),Справочники!$X$4:$Y$15,2,0)&amp;"_"&amp;YEAR(B74))</f>
        <v/>
      </c>
      <c r="D74" s="37"/>
      <c r="E74" s="37"/>
      <c r="F74" s="38"/>
      <c r="G74" s="220" t="str">
        <f t="shared" si="2"/>
        <v/>
      </c>
      <c r="H74" s="220" t="str">
        <f t="shared" si="3"/>
        <v/>
      </c>
      <c r="I74" s="221"/>
      <c r="J74" s="37"/>
      <c r="K74" s="37"/>
    </row>
    <row r="75" spans="1:11" hidden="1" x14ac:dyDescent="0.2">
      <c r="A75" s="137" t="str">
        <f>IF(ISERROR(VLOOKUP(D75,ДДС!A:A,1,0))=TRUE,"не попало в ДДС","ok")</f>
        <v>не попало в ДДС</v>
      </c>
      <c r="B75" s="36"/>
      <c r="C75" s="143" t="str">
        <f>IF(B75="","",VLOOKUP(MONTH(B75),Справочники!$X$4:$Y$15,2,0)&amp;"_"&amp;YEAR(B75))</f>
        <v/>
      </c>
      <c r="D75" s="37"/>
      <c r="E75" s="37"/>
      <c r="F75" s="38"/>
      <c r="G75" s="220" t="str">
        <f t="shared" si="2"/>
        <v/>
      </c>
      <c r="H75" s="220" t="str">
        <f t="shared" si="3"/>
        <v/>
      </c>
      <c r="I75" s="221"/>
      <c r="J75" s="37"/>
      <c r="K75" s="37"/>
    </row>
    <row r="76" spans="1:11" hidden="1" x14ac:dyDescent="0.2">
      <c r="A76" s="137" t="str">
        <f>IF(ISERROR(VLOOKUP(D76,ДДС!A:A,1,0))=TRUE,"не попало в ДДС","ok")</f>
        <v>не попало в ДДС</v>
      </c>
      <c r="B76" s="36"/>
      <c r="C76" s="143" t="str">
        <f>IF(B76="","",VLOOKUP(MONTH(B76),Справочники!$X$4:$Y$15,2,0)&amp;"_"&amp;YEAR(B76))</f>
        <v/>
      </c>
      <c r="D76" s="37"/>
      <c r="E76" s="37"/>
      <c r="F76" s="38"/>
      <c r="G76" s="220" t="str">
        <f t="shared" si="2"/>
        <v/>
      </c>
      <c r="H76" s="220" t="str">
        <f t="shared" si="3"/>
        <v/>
      </c>
      <c r="I76" s="221"/>
      <c r="J76" s="37"/>
      <c r="K76" s="37"/>
    </row>
    <row r="77" spans="1:11" hidden="1" x14ac:dyDescent="0.2">
      <c r="A77" s="137" t="str">
        <f>IF(ISERROR(VLOOKUP(D77,ДДС!A:A,1,0))=TRUE,"не попало в ДДС","ok")</f>
        <v>не попало в ДДС</v>
      </c>
      <c r="B77" s="36"/>
      <c r="C77" s="143" t="str">
        <f>IF(B77="","",VLOOKUP(MONTH(B77),Справочники!$X$4:$Y$15,2,0)&amp;"_"&amp;YEAR(B77))</f>
        <v/>
      </c>
      <c r="D77" s="37"/>
      <c r="E77" s="37"/>
      <c r="F77" s="38"/>
      <c r="G77" s="220" t="str">
        <f t="shared" si="2"/>
        <v/>
      </c>
      <c r="H77" s="220" t="str">
        <f t="shared" si="3"/>
        <v/>
      </c>
      <c r="I77" s="221"/>
      <c r="J77" s="37"/>
      <c r="K77" s="37"/>
    </row>
    <row r="78" spans="1:11" hidden="1" x14ac:dyDescent="0.2">
      <c r="A78" s="137" t="str">
        <f>IF(ISERROR(VLOOKUP(D78,ДДС!A:A,1,0))=TRUE,"не попало в ДДС","ok")</f>
        <v>не попало в ДДС</v>
      </c>
      <c r="B78" s="36"/>
      <c r="C78" s="143" t="str">
        <f>IF(B78="","",VLOOKUP(MONTH(B78),Справочники!$X$4:$Y$15,2,0)&amp;"_"&amp;YEAR(B78))</f>
        <v/>
      </c>
      <c r="D78" s="37"/>
      <c r="E78" s="37"/>
      <c r="F78" s="38"/>
      <c r="G78" s="220" t="str">
        <f t="shared" si="2"/>
        <v/>
      </c>
      <c r="H78" s="220" t="str">
        <f t="shared" si="3"/>
        <v/>
      </c>
      <c r="I78" s="221"/>
      <c r="J78" s="37"/>
      <c r="K78" s="37"/>
    </row>
    <row r="79" spans="1:11" hidden="1" x14ac:dyDescent="0.2">
      <c r="A79" s="137" t="str">
        <f>IF(ISERROR(VLOOKUP(D79,ДДС!A:A,1,0))=TRUE,"не попало в ДДС","ok")</f>
        <v>не попало в ДДС</v>
      </c>
      <c r="B79" s="36"/>
      <c r="C79" s="143" t="str">
        <f>IF(B79="","",VLOOKUP(MONTH(B79),Справочники!$X$4:$Y$15,2,0)&amp;"_"&amp;YEAR(B79))</f>
        <v/>
      </c>
      <c r="D79" s="37"/>
      <c r="E79" s="37"/>
      <c r="F79" s="38"/>
      <c r="G79" s="220" t="str">
        <f t="shared" si="2"/>
        <v/>
      </c>
      <c r="H79" s="220" t="str">
        <f t="shared" si="3"/>
        <v/>
      </c>
      <c r="I79" s="221"/>
      <c r="J79" s="37"/>
      <c r="K79" s="37"/>
    </row>
    <row r="80" spans="1:11" hidden="1" x14ac:dyDescent="0.2">
      <c r="A80" s="137" t="str">
        <f>IF(ISERROR(VLOOKUP(D80,ДДС!A:A,1,0))=TRUE,"не попало в ДДС","ok")</f>
        <v>не попало в ДДС</v>
      </c>
      <c r="B80" s="36"/>
      <c r="C80" s="143" t="str">
        <f>IF(B80="","",VLOOKUP(MONTH(B80),Справочники!$X$4:$Y$15,2,0)&amp;"_"&amp;YEAR(B80))</f>
        <v/>
      </c>
      <c r="D80" s="37"/>
      <c r="E80" s="37"/>
      <c r="F80" s="38"/>
      <c r="G80" s="220" t="str">
        <f t="shared" si="2"/>
        <v/>
      </c>
      <c r="H80" s="220" t="str">
        <f t="shared" si="3"/>
        <v/>
      </c>
      <c r="I80" s="221"/>
      <c r="J80" s="37"/>
      <c r="K80" s="37"/>
    </row>
    <row r="81" spans="1:11" hidden="1" x14ac:dyDescent="0.2">
      <c r="A81" s="137" t="str">
        <f>IF(ISERROR(VLOOKUP(D81,ДДС!A:A,1,0))=TRUE,"не попало в ДДС","ok")</f>
        <v>не попало в ДДС</v>
      </c>
      <c r="B81" s="36"/>
      <c r="C81" s="143" t="str">
        <f>IF(B81="","",VLOOKUP(MONTH(B81),Справочники!$X$4:$Y$15,2,0)&amp;"_"&amp;YEAR(B81))</f>
        <v/>
      </c>
      <c r="D81" s="37"/>
      <c r="E81" s="37"/>
      <c r="F81" s="38"/>
      <c r="G81" s="220" t="str">
        <f t="shared" si="2"/>
        <v/>
      </c>
      <c r="H81" s="220" t="str">
        <f t="shared" si="3"/>
        <v/>
      </c>
      <c r="I81" s="221"/>
      <c r="J81" s="37"/>
      <c r="K81" s="37"/>
    </row>
    <row r="82" spans="1:11" hidden="1" x14ac:dyDescent="0.2">
      <c r="A82" s="137" t="str">
        <f>IF(ISERROR(VLOOKUP(D82,ДДС!A:A,1,0))=TRUE,"не попало в ДДС","ok")</f>
        <v>не попало в ДДС</v>
      </c>
      <c r="B82" s="36"/>
      <c r="C82" s="143" t="str">
        <f>IF(B82="","",VLOOKUP(MONTH(B82),Справочники!$X$4:$Y$15,2,0)&amp;"_"&amp;YEAR(B82))</f>
        <v/>
      </c>
      <c r="D82" s="37"/>
      <c r="E82" s="37"/>
      <c r="F82" s="38"/>
      <c r="G82" s="220" t="str">
        <f t="shared" si="2"/>
        <v/>
      </c>
      <c r="H82" s="220" t="str">
        <f t="shared" si="3"/>
        <v/>
      </c>
      <c r="I82" s="221"/>
      <c r="J82" s="37"/>
      <c r="K82" s="37"/>
    </row>
    <row r="83" spans="1:11" hidden="1" x14ac:dyDescent="0.2">
      <c r="A83" s="137" t="str">
        <f>IF(ISERROR(VLOOKUP(D83,ДДС!A:A,1,0))=TRUE,"не попало в ДДС","ok")</f>
        <v>не попало в ДДС</v>
      </c>
      <c r="B83" s="36"/>
      <c r="C83" s="143" t="str">
        <f>IF(B83="","",VLOOKUP(MONTH(B83),Справочники!$X$4:$Y$15,2,0)&amp;"_"&amp;YEAR(B83))</f>
        <v/>
      </c>
      <c r="D83" s="37"/>
      <c r="E83" s="37"/>
      <c r="F83" s="38"/>
      <c r="G83" s="220" t="str">
        <f t="shared" si="2"/>
        <v/>
      </c>
      <c r="H83" s="220" t="str">
        <f t="shared" si="3"/>
        <v/>
      </c>
      <c r="I83" s="221"/>
      <c r="J83" s="37"/>
      <c r="K83" s="37"/>
    </row>
    <row r="84" spans="1:11" hidden="1" x14ac:dyDescent="0.2">
      <c r="A84" s="137" t="str">
        <f>IF(ISERROR(VLOOKUP(D84,ДДС!A:A,1,0))=TRUE,"не попало в ДДС","ok")</f>
        <v>не попало в ДДС</v>
      </c>
      <c r="B84" s="36"/>
      <c r="C84" s="143" t="str">
        <f>IF(B84="","",VLOOKUP(MONTH(B84),Справочники!$X$4:$Y$15,2,0)&amp;"_"&amp;YEAR(B84))</f>
        <v/>
      </c>
      <c r="D84" s="37"/>
      <c r="E84" s="37"/>
      <c r="F84" s="38"/>
      <c r="G84" s="220" t="str">
        <f t="shared" si="2"/>
        <v/>
      </c>
      <c r="H84" s="220" t="str">
        <f t="shared" si="3"/>
        <v/>
      </c>
      <c r="I84" s="221"/>
      <c r="J84" s="37"/>
      <c r="K84" s="37"/>
    </row>
    <row r="85" spans="1:11" hidden="1" x14ac:dyDescent="0.2">
      <c r="A85" s="137" t="str">
        <f>IF(ISERROR(VLOOKUP(D85,ДДС!A:A,1,0))=TRUE,"не попало в ДДС","ok")</f>
        <v>не попало в ДДС</v>
      </c>
      <c r="B85" s="36"/>
      <c r="C85" s="143" t="str">
        <f>IF(B85="","",VLOOKUP(MONTH(B85),Справочники!$X$4:$Y$15,2,0)&amp;"_"&amp;YEAR(B85))</f>
        <v/>
      </c>
      <c r="D85" s="37"/>
      <c r="E85" s="37"/>
      <c r="F85" s="38"/>
      <c r="G85" s="220" t="str">
        <f t="shared" si="2"/>
        <v/>
      </c>
      <c r="H85" s="220" t="str">
        <f t="shared" si="3"/>
        <v/>
      </c>
      <c r="I85" s="221"/>
      <c r="J85" s="37"/>
      <c r="K85" s="37"/>
    </row>
    <row r="86" spans="1:11" hidden="1" x14ac:dyDescent="0.2">
      <c r="A86" s="137" t="str">
        <f>IF(ISERROR(VLOOKUP(D86,ДДС!A:A,1,0))=TRUE,"не попало в ДДС","ok")</f>
        <v>не попало в ДДС</v>
      </c>
      <c r="B86" s="36"/>
      <c r="C86" s="143" t="str">
        <f>IF(B86="","",VLOOKUP(MONTH(B86),Справочники!$X$4:$Y$15,2,0)&amp;"_"&amp;YEAR(B86))</f>
        <v/>
      </c>
      <c r="D86" s="37"/>
      <c r="E86" s="37"/>
      <c r="F86" s="38"/>
      <c r="G86" s="220" t="str">
        <f t="shared" si="2"/>
        <v/>
      </c>
      <c r="H86" s="220" t="str">
        <f t="shared" si="3"/>
        <v/>
      </c>
      <c r="I86" s="221"/>
      <c r="J86" s="37"/>
      <c r="K86" s="37"/>
    </row>
    <row r="87" spans="1:11" hidden="1" x14ac:dyDescent="0.2">
      <c r="A87" s="137" t="str">
        <f>IF(ISERROR(VLOOKUP(D87,ДДС!A:A,1,0))=TRUE,"не попало в ДДС","ok")</f>
        <v>не попало в ДДС</v>
      </c>
      <c r="B87" s="36"/>
      <c r="C87" s="143" t="str">
        <f>IF(B87="","",VLOOKUP(MONTH(B87),Справочники!$X$4:$Y$15,2,0)&amp;"_"&amp;YEAR(B87))</f>
        <v/>
      </c>
      <c r="D87" s="37"/>
      <c r="E87" s="37"/>
      <c r="F87" s="38"/>
      <c r="G87" s="220" t="str">
        <f t="shared" si="2"/>
        <v/>
      </c>
      <c r="H87" s="220" t="str">
        <f t="shared" si="3"/>
        <v/>
      </c>
      <c r="I87" s="221"/>
      <c r="J87" s="37"/>
      <c r="K87" s="37"/>
    </row>
    <row r="88" spans="1:11" hidden="1" x14ac:dyDescent="0.2">
      <c r="A88" s="137" t="str">
        <f>IF(ISERROR(VLOOKUP(D88,ДДС!A:A,1,0))=TRUE,"не попало в ДДС","ok")</f>
        <v>не попало в ДДС</v>
      </c>
      <c r="B88" s="36"/>
      <c r="C88" s="143" t="str">
        <f>IF(B88="","",VLOOKUP(MONTH(B88),Справочники!$X$4:$Y$15,2,0)&amp;"_"&amp;YEAR(B88))</f>
        <v/>
      </c>
      <c r="D88" s="37"/>
      <c r="E88" s="37"/>
      <c r="F88" s="38"/>
      <c r="G88" s="220" t="str">
        <f t="shared" si="2"/>
        <v/>
      </c>
      <c r="H88" s="220" t="str">
        <f t="shared" si="3"/>
        <v/>
      </c>
      <c r="I88" s="221"/>
      <c r="J88" s="37"/>
      <c r="K88" s="37"/>
    </row>
    <row r="89" spans="1:11" hidden="1" x14ac:dyDescent="0.2">
      <c r="A89" s="137" t="str">
        <f>IF(ISERROR(VLOOKUP(D89,ДДС!A:A,1,0))=TRUE,"не попало в ДДС","ok")</f>
        <v>не попало в ДДС</v>
      </c>
      <c r="B89" s="36"/>
      <c r="C89" s="143" t="str">
        <f>IF(B89="","",VLOOKUP(MONTH(B89),Справочники!$X$4:$Y$15,2,0)&amp;"_"&amp;YEAR(B89))</f>
        <v/>
      </c>
      <c r="D89" s="37"/>
      <c r="E89" s="37"/>
      <c r="F89" s="38"/>
      <c r="G89" s="220" t="str">
        <f t="shared" si="2"/>
        <v/>
      </c>
      <c r="H89" s="220" t="str">
        <f t="shared" si="3"/>
        <v/>
      </c>
      <c r="I89" s="221"/>
      <c r="J89" s="37"/>
      <c r="K89" s="37"/>
    </row>
    <row r="90" spans="1:11" hidden="1" x14ac:dyDescent="0.2">
      <c r="A90" s="137" t="str">
        <f>IF(ISERROR(VLOOKUP(D90,ДДС!A:A,1,0))=TRUE,"не попало в ДДС","ok")</f>
        <v>не попало в ДДС</v>
      </c>
      <c r="B90" s="36"/>
      <c r="C90" s="143" t="str">
        <f>IF(B90="","",VLOOKUP(MONTH(B90),Справочники!$X$4:$Y$15,2,0)&amp;"_"&amp;YEAR(B90))</f>
        <v/>
      </c>
      <c r="D90" s="37"/>
      <c r="E90" s="37"/>
      <c r="F90" s="38"/>
      <c r="G90" s="220" t="str">
        <f t="shared" si="2"/>
        <v/>
      </c>
      <c r="H90" s="220" t="str">
        <f t="shared" si="3"/>
        <v/>
      </c>
      <c r="I90" s="221"/>
      <c r="J90" s="37"/>
      <c r="K90" s="37"/>
    </row>
    <row r="91" spans="1:11" hidden="1" x14ac:dyDescent="0.2">
      <c r="A91" s="137" t="str">
        <f>IF(ISERROR(VLOOKUP(D91,ДДС!A:A,1,0))=TRUE,"не попало в ДДС","ok")</f>
        <v>не попало в ДДС</v>
      </c>
      <c r="B91" s="36"/>
      <c r="C91" s="143" t="str">
        <f>IF(B91="","",VLOOKUP(MONTH(B91),Справочники!$X$4:$Y$15,2,0)&amp;"_"&amp;YEAR(B91))</f>
        <v/>
      </c>
      <c r="D91" s="37"/>
      <c r="E91" s="37"/>
      <c r="F91" s="38"/>
      <c r="G91" s="220" t="str">
        <f t="shared" si="2"/>
        <v/>
      </c>
      <c r="H91" s="220" t="str">
        <f t="shared" si="3"/>
        <v/>
      </c>
      <c r="I91" s="221"/>
      <c r="J91" s="37"/>
      <c r="K91" s="37"/>
    </row>
    <row r="92" spans="1:11" hidden="1" x14ac:dyDescent="0.2">
      <c r="A92" s="137" t="str">
        <f>IF(ISERROR(VLOOKUP(D92,ДДС!A:A,1,0))=TRUE,"не попало в ДДС","ok")</f>
        <v>не попало в ДДС</v>
      </c>
      <c r="B92" s="36"/>
      <c r="C92" s="143" t="str">
        <f>IF(B92="","",VLOOKUP(MONTH(B92),Справочники!$X$4:$Y$15,2,0)&amp;"_"&amp;YEAR(B92))</f>
        <v/>
      </c>
      <c r="D92" s="37"/>
      <c r="E92" s="37"/>
      <c r="F92" s="38"/>
      <c r="G92" s="220" t="str">
        <f t="shared" ref="G92:G129" si="4">IF(ISERROR(I92-H92)=TRUE,"",I92-H92)</f>
        <v/>
      </c>
      <c r="H92" s="220" t="str">
        <f t="shared" ref="H92:H129" si="5">IF(I92="","",I92/(1+F92))</f>
        <v/>
      </c>
      <c r="I92" s="221"/>
      <c r="J92" s="37"/>
      <c r="K92" s="37"/>
    </row>
    <row r="93" spans="1:11" hidden="1" x14ac:dyDescent="0.2">
      <c r="A93" s="137" t="str">
        <f>IF(ISERROR(VLOOKUP(D93,ДДС!A:A,1,0))=TRUE,"не попало в ДДС","ok")</f>
        <v>не попало в ДДС</v>
      </c>
      <c r="B93" s="36"/>
      <c r="C93" s="143" t="str">
        <f>IF(B93="","",VLOOKUP(MONTH(B93),Справочники!$X$4:$Y$15,2,0)&amp;"_"&amp;YEAR(B93))</f>
        <v/>
      </c>
      <c r="D93" s="37"/>
      <c r="E93" s="37"/>
      <c r="F93" s="38"/>
      <c r="G93" s="220" t="str">
        <f t="shared" si="4"/>
        <v/>
      </c>
      <c r="H93" s="220" t="str">
        <f t="shared" si="5"/>
        <v/>
      </c>
      <c r="I93" s="221"/>
      <c r="J93" s="37"/>
      <c r="K93" s="37"/>
    </row>
    <row r="94" spans="1:11" hidden="1" x14ac:dyDescent="0.2">
      <c r="A94" s="137" t="str">
        <f>IF(ISERROR(VLOOKUP(D94,ДДС!A:A,1,0))=TRUE,"не попало в ДДС","ok")</f>
        <v>не попало в ДДС</v>
      </c>
      <c r="B94" s="36"/>
      <c r="C94" s="143" t="str">
        <f>IF(B94="","",VLOOKUP(MONTH(B94),Справочники!$X$4:$Y$15,2,0)&amp;"_"&amp;YEAR(B94))</f>
        <v/>
      </c>
      <c r="D94" s="37"/>
      <c r="E94" s="37"/>
      <c r="F94" s="38"/>
      <c r="G94" s="220" t="str">
        <f t="shared" si="4"/>
        <v/>
      </c>
      <c r="H94" s="220" t="str">
        <f t="shared" si="5"/>
        <v/>
      </c>
      <c r="I94" s="221"/>
      <c r="J94" s="37"/>
      <c r="K94" s="37"/>
    </row>
    <row r="95" spans="1:11" hidden="1" x14ac:dyDescent="0.2">
      <c r="A95" s="137" t="str">
        <f>IF(ISERROR(VLOOKUP(D95,ДДС!A:A,1,0))=TRUE,"не попало в ДДС","ok")</f>
        <v>не попало в ДДС</v>
      </c>
      <c r="B95" s="36"/>
      <c r="C95" s="143" t="str">
        <f>IF(B95="","",VLOOKUP(MONTH(B95),Справочники!$X$4:$Y$15,2,0)&amp;"_"&amp;YEAR(B95))</f>
        <v/>
      </c>
      <c r="D95" s="37"/>
      <c r="E95" s="37"/>
      <c r="F95" s="38"/>
      <c r="G95" s="220" t="str">
        <f t="shared" si="4"/>
        <v/>
      </c>
      <c r="H95" s="220" t="str">
        <f t="shared" si="5"/>
        <v/>
      </c>
      <c r="I95" s="221"/>
      <c r="J95" s="37"/>
      <c r="K95" s="37"/>
    </row>
    <row r="96" spans="1:11" hidden="1" x14ac:dyDescent="0.2">
      <c r="A96" s="137" t="str">
        <f>IF(ISERROR(VLOOKUP(D96,ДДС!A:A,1,0))=TRUE,"не попало в ДДС","ok")</f>
        <v>не попало в ДДС</v>
      </c>
      <c r="B96" s="36"/>
      <c r="C96" s="143" t="str">
        <f>IF(B96="","",VLOOKUP(MONTH(B96),Справочники!$X$4:$Y$15,2,0)&amp;"_"&amp;YEAR(B96))</f>
        <v/>
      </c>
      <c r="D96" s="37"/>
      <c r="E96" s="37"/>
      <c r="F96" s="38"/>
      <c r="G96" s="220" t="str">
        <f t="shared" si="4"/>
        <v/>
      </c>
      <c r="H96" s="220" t="str">
        <f t="shared" si="5"/>
        <v/>
      </c>
      <c r="I96" s="221"/>
      <c r="J96" s="37"/>
      <c r="K96" s="37"/>
    </row>
    <row r="97" spans="1:11" hidden="1" x14ac:dyDescent="0.2">
      <c r="A97" s="137" t="str">
        <f>IF(ISERROR(VLOOKUP(D97,ДДС!A:A,1,0))=TRUE,"не попало в ДДС","ok")</f>
        <v>не попало в ДДС</v>
      </c>
      <c r="B97" s="36"/>
      <c r="C97" s="143" t="str">
        <f>IF(B97="","",VLOOKUP(MONTH(B97),Справочники!$X$4:$Y$15,2,0)&amp;"_"&amp;YEAR(B97))</f>
        <v/>
      </c>
      <c r="D97" s="37"/>
      <c r="E97" s="37"/>
      <c r="F97" s="38"/>
      <c r="G97" s="220" t="str">
        <f t="shared" si="4"/>
        <v/>
      </c>
      <c r="H97" s="220" t="str">
        <f t="shared" si="5"/>
        <v/>
      </c>
      <c r="I97" s="221"/>
      <c r="J97" s="37"/>
      <c r="K97" s="37"/>
    </row>
    <row r="98" spans="1:11" hidden="1" x14ac:dyDescent="0.2">
      <c r="A98" s="137" t="str">
        <f>IF(ISERROR(VLOOKUP(D98,ДДС!A:A,1,0))=TRUE,"не попало в ДДС","ok")</f>
        <v>не попало в ДДС</v>
      </c>
      <c r="B98" s="36"/>
      <c r="C98" s="143" t="str">
        <f>IF(B98="","",VLOOKUP(MONTH(B98),Справочники!$X$4:$Y$15,2,0)&amp;"_"&amp;YEAR(B98))</f>
        <v/>
      </c>
      <c r="D98" s="37"/>
      <c r="E98" s="37"/>
      <c r="F98" s="38"/>
      <c r="G98" s="220" t="str">
        <f t="shared" si="4"/>
        <v/>
      </c>
      <c r="H98" s="220" t="str">
        <f t="shared" si="5"/>
        <v/>
      </c>
      <c r="I98" s="221"/>
      <c r="J98" s="37"/>
      <c r="K98" s="37"/>
    </row>
    <row r="99" spans="1:11" hidden="1" x14ac:dyDescent="0.2">
      <c r="A99" s="137" t="str">
        <f>IF(ISERROR(VLOOKUP(D99,ДДС!A:A,1,0))=TRUE,"не попало в ДДС","ok")</f>
        <v>не попало в ДДС</v>
      </c>
      <c r="B99" s="36"/>
      <c r="C99" s="143" t="str">
        <f>IF(B99="","",VLOOKUP(MONTH(B99),Справочники!$X$4:$Y$15,2,0)&amp;"_"&amp;YEAR(B99))</f>
        <v/>
      </c>
      <c r="D99" s="37"/>
      <c r="E99" s="37"/>
      <c r="F99" s="38"/>
      <c r="G99" s="220" t="str">
        <f t="shared" si="4"/>
        <v/>
      </c>
      <c r="H99" s="220" t="str">
        <f t="shared" si="5"/>
        <v/>
      </c>
      <c r="I99" s="221"/>
      <c r="J99" s="37"/>
      <c r="K99" s="37"/>
    </row>
    <row r="100" spans="1:11" hidden="1" x14ac:dyDescent="0.2">
      <c r="A100" s="137" t="str">
        <f>IF(ISERROR(VLOOKUP(D100,ДДС!A:A,1,0))=TRUE,"не попало в ДДС","ok")</f>
        <v>не попало в ДДС</v>
      </c>
      <c r="B100" s="36"/>
      <c r="C100" s="143" t="str">
        <f>IF(B100="","",VLOOKUP(MONTH(B100),Справочники!$X$4:$Y$15,2,0)&amp;"_"&amp;YEAR(B100))</f>
        <v/>
      </c>
      <c r="D100" s="37"/>
      <c r="E100" s="37"/>
      <c r="F100" s="38"/>
      <c r="G100" s="220" t="str">
        <f t="shared" si="4"/>
        <v/>
      </c>
      <c r="H100" s="220" t="str">
        <f t="shared" si="5"/>
        <v/>
      </c>
      <c r="I100" s="221"/>
      <c r="J100" s="37"/>
      <c r="K100" s="37"/>
    </row>
    <row r="101" spans="1:11" hidden="1" x14ac:dyDescent="0.2">
      <c r="A101" s="137" t="str">
        <f>IF(ISERROR(VLOOKUP(D101,ДДС!A:A,1,0))=TRUE,"не попало в ДДС","ok")</f>
        <v>не попало в ДДС</v>
      </c>
      <c r="B101" s="36"/>
      <c r="C101" s="143" t="str">
        <f>IF(B101="","",VLOOKUP(MONTH(B101),Справочники!$X$4:$Y$15,2,0)&amp;"_"&amp;YEAR(B101))</f>
        <v/>
      </c>
      <c r="D101" s="37"/>
      <c r="E101" s="37"/>
      <c r="F101" s="38"/>
      <c r="G101" s="220" t="str">
        <f t="shared" si="4"/>
        <v/>
      </c>
      <c r="H101" s="220" t="str">
        <f t="shared" si="5"/>
        <v/>
      </c>
      <c r="I101" s="221"/>
      <c r="J101" s="37"/>
      <c r="K101" s="37"/>
    </row>
    <row r="102" spans="1:11" hidden="1" x14ac:dyDescent="0.2">
      <c r="A102" s="137" t="str">
        <f>IF(ISERROR(VLOOKUP(D102,ДДС!A:A,1,0))=TRUE,"не попало в ДДС","ok")</f>
        <v>не попало в ДДС</v>
      </c>
      <c r="B102" s="36"/>
      <c r="C102" s="143" t="str">
        <f>IF(B102="","",VLOOKUP(MONTH(B102),Справочники!$X$4:$Y$15,2,0)&amp;"_"&amp;YEAR(B102))</f>
        <v/>
      </c>
      <c r="D102" s="37"/>
      <c r="E102" s="37"/>
      <c r="F102" s="38"/>
      <c r="G102" s="220" t="str">
        <f t="shared" si="4"/>
        <v/>
      </c>
      <c r="H102" s="220" t="str">
        <f t="shared" si="5"/>
        <v/>
      </c>
      <c r="I102" s="221"/>
      <c r="J102" s="37"/>
      <c r="K102" s="37"/>
    </row>
    <row r="103" spans="1:11" hidden="1" x14ac:dyDescent="0.2">
      <c r="A103" s="137" t="str">
        <f>IF(ISERROR(VLOOKUP(D103,ДДС!A:A,1,0))=TRUE,"не попало в ДДС","ok")</f>
        <v>не попало в ДДС</v>
      </c>
      <c r="B103" s="36"/>
      <c r="C103" s="143" t="str">
        <f>IF(B103="","",VLOOKUP(MONTH(B103),Справочники!$X$4:$Y$15,2,0)&amp;"_"&amp;YEAR(B103))</f>
        <v/>
      </c>
      <c r="D103" s="37"/>
      <c r="E103" s="37"/>
      <c r="F103" s="38"/>
      <c r="G103" s="220" t="str">
        <f t="shared" si="4"/>
        <v/>
      </c>
      <c r="H103" s="220" t="str">
        <f t="shared" si="5"/>
        <v/>
      </c>
      <c r="I103" s="221"/>
      <c r="J103" s="37"/>
      <c r="K103" s="37"/>
    </row>
    <row r="104" spans="1:11" hidden="1" x14ac:dyDescent="0.2">
      <c r="A104" s="137" t="str">
        <f>IF(ISERROR(VLOOKUP(D104,ДДС!A:A,1,0))=TRUE,"не попало в ДДС","ok")</f>
        <v>не попало в ДДС</v>
      </c>
      <c r="B104" s="36"/>
      <c r="C104" s="143" t="str">
        <f>IF(B104="","",VLOOKUP(MONTH(B104),Справочники!$X$4:$Y$15,2,0)&amp;"_"&amp;YEAR(B104))</f>
        <v/>
      </c>
      <c r="D104" s="37"/>
      <c r="E104" s="37"/>
      <c r="F104" s="38"/>
      <c r="G104" s="220" t="str">
        <f t="shared" si="4"/>
        <v/>
      </c>
      <c r="H104" s="220" t="str">
        <f t="shared" si="5"/>
        <v/>
      </c>
      <c r="I104" s="221"/>
      <c r="J104" s="37"/>
      <c r="K104" s="37"/>
    </row>
    <row r="105" spans="1:11" hidden="1" x14ac:dyDescent="0.2">
      <c r="A105" s="137" t="str">
        <f>IF(ISERROR(VLOOKUP(D105,ДДС!A:A,1,0))=TRUE,"не попало в ДДС","ok")</f>
        <v>не попало в ДДС</v>
      </c>
      <c r="B105" s="36"/>
      <c r="C105" s="143" t="str">
        <f>IF(B105="","",VLOOKUP(MONTH(B105),Справочники!$X$4:$Y$15,2,0)&amp;"_"&amp;YEAR(B105))</f>
        <v/>
      </c>
      <c r="D105" s="37"/>
      <c r="E105" s="37"/>
      <c r="F105" s="38"/>
      <c r="G105" s="220" t="str">
        <f t="shared" si="4"/>
        <v/>
      </c>
      <c r="H105" s="220" t="str">
        <f t="shared" si="5"/>
        <v/>
      </c>
      <c r="I105" s="221"/>
      <c r="J105" s="37"/>
      <c r="K105" s="37"/>
    </row>
    <row r="106" spans="1:11" hidden="1" x14ac:dyDescent="0.2">
      <c r="A106" s="137" t="str">
        <f>IF(ISERROR(VLOOKUP(D106,ДДС!A:A,1,0))=TRUE,"не попало в ДДС","ok")</f>
        <v>не попало в ДДС</v>
      </c>
      <c r="B106" s="36"/>
      <c r="C106" s="143" t="str">
        <f>IF(B106="","",VLOOKUP(MONTH(B106),Справочники!$X$4:$Y$15,2,0)&amp;"_"&amp;YEAR(B106))</f>
        <v/>
      </c>
      <c r="D106" s="37"/>
      <c r="E106" s="37"/>
      <c r="F106" s="38"/>
      <c r="G106" s="220" t="str">
        <f t="shared" si="4"/>
        <v/>
      </c>
      <c r="H106" s="220" t="str">
        <f t="shared" si="5"/>
        <v/>
      </c>
      <c r="I106" s="221"/>
      <c r="J106" s="37"/>
      <c r="K106" s="37"/>
    </row>
    <row r="107" spans="1:11" hidden="1" x14ac:dyDescent="0.2">
      <c r="A107" s="137" t="str">
        <f>IF(ISERROR(VLOOKUP(D107,ДДС!A:A,1,0))=TRUE,"не попало в ДДС","ok")</f>
        <v>не попало в ДДС</v>
      </c>
      <c r="B107" s="36"/>
      <c r="C107" s="143" t="str">
        <f>IF(B107="","",VLOOKUP(MONTH(B107),Справочники!$X$4:$Y$15,2,0)&amp;"_"&amp;YEAR(B107))</f>
        <v/>
      </c>
      <c r="D107" s="37"/>
      <c r="E107" s="37"/>
      <c r="F107" s="38"/>
      <c r="G107" s="220" t="str">
        <f t="shared" si="4"/>
        <v/>
      </c>
      <c r="H107" s="220" t="str">
        <f t="shared" si="5"/>
        <v/>
      </c>
      <c r="I107" s="221"/>
      <c r="J107" s="37"/>
      <c r="K107" s="37"/>
    </row>
    <row r="108" spans="1:11" hidden="1" x14ac:dyDescent="0.2">
      <c r="A108" s="137" t="str">
        <f>IF(ISERROR(VLOOKUP(D108,ДДС!A:A,1,0))=TRUE,"не попало в ДДС","ok")</f>
        <v>не попало в ДДС</v>
      </c>
      <c r="B108" s="36"/>
      <c r="C108" s="143" t="str">
        <f>IF(B108="","",VLOOKUP(MONTH(B108),Справочники!$X$4:$Y$15,2,0)&amp;"_"&amp;YEAR(B108))</f>
        <v/>
      </c>
      <c r="D108" s="37"/>
      <c r="E108" s="37"/>
      <c r="F108" s="38"/>
      <c r="G108" s="220" t="str">
        <f t="shared" si="4"/>
        <v/>
      </c>
      <c r="H108" s="220" t="str">
        <f t="shared" si="5"/>
        <v/>
      </c>
      <c r="I108" s="221"/>
      <c r="J108" s="37"/>
      <c r="K108" s="37"/>
    </row>
    <row r="109" spans="1:11" hidden="1" x14ac:dyDescent="0.2">
      <c r="A109" s="137" t="str">
        <f>IF(ISERROR(VLOOKUP(D109,ДДС!A:A,1,0))=TRUE,"не попало в ДДС","ok")</f>
        <v>не попало в ДДС</v>
      </c>
      <c r="B109" s="36"/>
      <c r="C109" s="143" t="str">
        <f>IF(B109="","",VLOOKUP(MONTH(B109),Справочники!$X$4:$Y$15,2,0)&amp;"_"&amp;YEAR(B109))</f>
        <v/>
      </c>
      <c r="D109" s="37"/>
      <c r="E109" s="37"/>
      <c r="F109" s="38"/>
      <c r="G109" s="220" t="str">
        <f t="shared" si="4"/>
        <v/>
      </c>
      <c r="H109" s="220" t="str">
        <f t="shared" si="5"/>
        <v/>
      </c>
      <c r="I109" s="221"/>
      <c r="J109" s="37"/>
      <c r="K109" s="37"/>
    </row>
    <row r="110" spans="1:11" hidden="1" x14ac:dyDescent="0.2">
      <c r="A110" s="137" t="str">
        <f>IF(ISERROR(VLOOKUP(D110,ДДС!A:A,1,0))=TRUE,"не попало в ДДС","ok")</f>
        <v>не попало в ДДС</v>
      </c>
      <c r="B110" s="36"/>
      <c r="C110" s="143" t="str">
        <f>IF(B110="","",VLOOKUP(MONTH(B110),Справочники!$X$4:$Y$15,2,0)&amp;"_"&amp;YEAR(B110))</f>
        <v/>
      </c>
      <c r="D110" s="37"/>
      <c r="E110" s="37"/>
      <c r="F110" s="38"/>
      <c r="G110" s="220" t="str">
        <f t="shared" si="4"/>
        <v/>
      </c>
      <c r="H110" s="220" t="str">
        <f t="shared" si="5"/>
        <v/>
      </c>
      <c r="I110" s="221"/>
      <c r="J110" s="37"/>
      <c r="K110" s="37"/>
    </row>
    <row r="111" spans="1:11" hidden="1" x14ac:dyDescent="0.2">
      <c r="A111" s="137" t="str">
        <f>IF(ISERROR(VLOOKUP(D111,ДДС!A:A,1,0))=TRUE,"не попало в ДДС","ok")</f>
        <v>не попало в ДДС</v>
      </c>
      <c r="B111" s="36"/>
      <c r="C111" s="143" t="str">
        <f>IF(B111="","",VLOOKUP(MONTH(B111),Справочники!$X$4:$Y$15,2,0)&amp;"_"&amp;YEAR(B111))</f>
        <v/>
      </c>
      <c r="D111" s="37"/>
      <c r="E111" s="37"/>
      <c r="F111" s="38"/>
      <c r="G111" s="220" t="str">
        <f t="shared" si="4"/>
        <v/>
      </c>
      <c r="H111" s="220" t="str">
        <f t="shared" si="5"/>
        <v/>
      </c>
      <c r="I111" s="221"/>
      <c r="J111" s="37"/>
      <c r="K111" s="37"/>
    </row>
    <row r="112" spans="1:11" hidden="1" x14ac:dyDescent="0.2">
      <c r="A112" s="137" t="str">
        <f>IF(ISERROR(VLOOKUP(D112,ДДС!A:A,1,0))=TRUE,"не попало в ДДС","ok")</f>
        <v>не попало в ДДС</v>
      </c>
      <c r="B112" s="36"/>
      <c r="C112" s="143" t="str">
        <f>IF(B112="","",VLOOKUP(MONTH(B112),Справочники!$X$4:$Y$15,2,0)&amp;"_"&amp;YEAR(B112))</f>
        <v/>
      </c>
      <c r="D112" s="37"/>
      <c r="E112" s="37"/>
      <c r="F112" s="38"/>
      <c r="G112" s="220" t="str">
        <f t="shared" si="4"/>
        <v/>
      </c>
      <c r="H112" s="220" t="str">
        <f t="shared" si="5"/>
        <v/>
      </c>
      <c r="I112" s="221"/>
      <c r="J112" s="37"/>
      <c r="K112" s="37"/>
    </row>
    <row r="113" spans="1:11" hidden="1" x14ac:dyDescent="0.2">
      <c r="A113" s="137" t="str">
        <f>IF(ISERROR(VLOOKUP(D113,ДДС!A:A,1,0))=TRUE,"не попало в ДДС","ok")</f>
        <v>не попало в ДДС</v>
      </c>
      <c r="B113" s="36"/>
      <c r="C113" s="143" t="str">
        <f>IF(B113="","",VLOOKUP(MONTH(B113),Справочники!$X$4:$Y$15,2,0)&amp;"_"&amp;YEAR(B113))</f>
        <v/>
      </c>
      <c r="D113" s="37"/>
      <c r="E113" s="37"/>
      <c r="F113" s="38"/>
      <c r="G113" s="220" t="str">
        <f t="shared" si="4"/>
        <v/>
      </c>
      <c r="H113" s="220" t="str">
        <f t="shared" si="5"/>
        <v/>
      </c>
      <c r="I113" s="221"/>
      <c r="J113" s="37"/>
      <c r="K113" s="37"/>
    </row>
    <row r="114" spans="1:11" hidden="1" x14ac:dyDescent="0.2">
      <c r="A114" s="137" t="str">
        <f>IF(ISERROR(VLOOKUP(D114,ДДС!A:A,1,0))=TRUE,"не попало в ДДС","ok")</f>
        <v>не попало в ДДС</v>
      </c>
      <c r="B114" s="36"/>
      <c r="C114" s="143" t="str">
        <f>IF(B114="","",VLOOKUP(MONTH(B114),Справочники!$X$4:$Y$15,2,0)&amp;"_"&amp;YEAR(B114))</f>
        <v/>
      </c>
      <c r="D114" s="37"/>
      <c r="E114" s="37"/>
      <c r="F114" s="38"/>
      <c r="G114" s="220" t="str">
        <f t="shared" si="4"/>
        <v/>
      </c>
      <c r="H114" s="220" t="str">
        <f t="shared" si="5"/>
        <v/>
      </c>
      <c r="I114" s="221"/>
      <c r="J114" s="37"/>
      <c r="K114" s="37"/>
    </row>
    <row r="115" spans="1:11" hidden="1" x14ac:dyDescent="0.2">
      <c r="A115" s="137" t="str">
        <f>IF(ISERROR(VLOOKUP(D115,ДДС!A:A,1,0))=TRUE,"не попало в ДДС","ok")</f>
        <v>не попало в ДДС</v>
      </c>
      <c r="B115" s="36"/>
      <c r="C115" s="143" t="str">
        <f>IF(B115="","",VLOOKUP(MONTH(B115),Справочники!$X$4:$Y$15,2,0)&amp;"_"&amp;YEAR(B115))</f>
        <v/>
      </c>
      <c r="D115" s="37"/>
      <c r="E115" s="37"/>
      <c r="F115" s="38"/>
      <c r="G115" s="220" t="str">
        <f t="shared" si="4"/>
        <v/>
      </c>
      <c r="H115" s="220" t="str">
        <f t="shared" si="5"/>
        <v/>
      </c>
      <c r="I115" s="221"/>
      <c r="J115" s="37"/>
      <c r="K115" s="37"/>
    </row>
    <row r="116" spans="1:11" hidden="1" x14ac:dyDescent="0.2">
      <c r="A116" s="137" t="str">
        <f>IF(ISERROR(VLOOKUP(D116,ДДС!A:A,1,0))=TRUE,"не попало в ДДС","ok")</f>
        <v>не попало в ДДС</v>
      </c>
      <c r="B116" s="36"/>
      <c r="C116" s="143" t="str">
        <f>IF(B116="","",VLOOKUP(MONTH(B116),Справочники!$X$4:$Y$15,2,0)&amp;"_"&amp;YEAR(B116))</f>
        <v/>
      </c>
      <c r="D116" s="37"/>
      <c r="E116" s="37"/>
      <c r="F116" s="38"/>
      <c r="G116" s="220" t="str">
        <f t="shared" si="4"/>
        <v/>
      </c>
      <c r="H116" s="220" t="str">
        <f t="shared" si="5"/>
        <v/>
      </c>
      <c r="I116" s="221"/>
      <c r="J116" s="37"/>
      <c r="K116" s="37"/>
    </row>
    <row r="117" spans="1:11" hidden="1" x14ac:dyDescent="0.2">
      <c r="A117" s="137" t="str">
        <f>IF(ISERROR(VLOOKUP(D117,ДДС!A:A,1,0))=TRUE,"не попало в ДДС","ok")</f>
        <v>не попало в ДДС</v>
      </c>
      <c r="B117" s="36"/>
      <c r="C117" s="143" t="str">
        <f>IF(B117="","",VLOOKUP(MONTH(B117),Справочники!$X$4:$Y$15,2,0)&amp;"_"&amp;YEAR(B117))</f>
        <v/>
      </c>
      <c r="D117" s="37"/>
      <c r="E117" s="37"/>
      <c r="F117" s="38"/>
      <c r="G117" s="220" t="str">
        <f t="shared" si="4"/>
        <v/>
      </c>
      <c r="H117" s="220" t="str">
        <f t="shared" si="5"/>
        <v/>
      </c>
      <c r="I117" s="221"/>
      <c r="J117" s="37"/>
      <c r="K117" s="37"/>
    </row>
    <row r="118" spans="1:11" hidden="1" x14ac:dyDescent="0.2">
      <c r="A118" s="137" t="str">
        <f>IF(ISERROR(VLOOKUP(D118,ДДС!A:A,1,0))=TRUE,"не попало в ДДС","ok")</f>
        <v>не попало в ДДС</v>
      </c>
      <c r="B118" s="36"/>
      <c r="C118" s="143" t="str">
        <f>IF(B118="","",VLOOKUP(MONTH(B118),Справочники!$X$4:$Y$15,2,0)&amp;"_"&amp;YEAR(B118))</f>
        <v/>
      </c>
      <c r="D118" s="37"/>
      <c r="E118" s="37"/>
      <c r="F118" s="38"/>
      <c r="G118" s="220" t="str">
        <f t="shared" si="4"/>
        <v/>
      </c>
      <c r="H118" s="220" t="str">
        <f t="shared" si="5"/>
        <v/>
      </c>
      <c r="I118" s="221"/>
      <c r="J118" s="37"/>
      <c r="K118" s="37"/>
    </row>
    <row r="119" spans="1:11" hidden="1" x14ac:dyDescent="0.2">
      <c r="A119" s="137" t="str">
        <f>IF(ISERROR(VLOOKUP(D119,ДДС!A:A,1,0))=TRUE,"не попало в ДДС","ok")</f>
        <v>не попало в ДДС</v>
      </c>
      <c r="B119" s="36"/>
      <c r="C119" s="143" t="str">
        <f>IF(B119="","",VLOOKUP(MONTH(B119),Справочники!$X$4:$Y$15,2,0)&amp;"_"&amp;YEAR(B119))</f>
        <v/>
      </c>
      <c r="D119" s="37"/>
      <c r="E119" s="37"/>
      <c r="F119" s="38"/>
      <c r="G119" s="220" t="str">
        <f t="shared" si="4"/>
        <v/>
      </c>
      <c r="H119" s="220" t="str">
        <f t="shared" si="5"/>
        <v/>
      </c>
      <c r="I119" s="221"/>
      <c r="J119" s="37"/>
      <c r="K119" s="37"/>
    </row>
    <row r="120" spans="1:11" hidden="1" x14ac:dyDescent="0.2">
      <c r="A120" s="137" t="str">
        <f>IF(ISERROR(VLOOKUP(D120,ДДС!A:A,1,0))=TRUE,"не попало в ДДС","ok")</f>
        <v>не попало в ДДС</v>
      </c>
      <c r="B120" s="36"/>
      <c r="C120" s="143" t="str">
        <f>IF(B120="","",VLOOKUP(MONTH(B120),Справочники!$X$4:$Y$15,2,0)&amp;"_"&amp;YEAR(B120))</f>
        <v/>
      </c>
      <c r="D120" s="37"/>
      <c r="E120" s="37"/>
      <c r="F120" s="38"/>
      <c r="G120" s="220" t="str">
        <f t="shared" si="4"/>
        <v/>
      </c>
      <c r="H120" s="220" t="str">
        <f t="shared" si="5"/>
        <v/>
      </c>
      <c r="I120" s="221"/>
      <c r="J120" s="37"/>
      <c r="K120" s="37"/>
    </row>
    <row r="121" spans="1:11" hidden="1" x14ac:dyDescent="0.2">
      <c r="A121" s="137" t="str">
        <f>IF(ISERROR(VLOOKUP(D121,ДДС!A:A,1,0))=TRUE,"не попало в ДДС","ok")</f>
        <v>не попало в ДДС</v>
      </c>
      <c r="B121" s="36"/>
      <c r="C121" s="143" t="str">
        <f>IF(B121="","",VLOOKUP(MONTH(B121),Справочники!$X$4:$Y$15,2,0)&amp;"_"&amp;YEAR(B121))</f>
        <v/>
      </c>
      <c r="D121" s="37"/>
      <c r="E121" s="37"/>
      <c r="F121" s="38"/>
      <c r="G121" s="220" t="str">
        <f t="shared" si="4"/>
        <v/>
      </c>
      <c r="H121" s="220" t="str">
        <f t="shared" si="5"/>
        <v/>
      </c>
      <c r="I121" s="221"/>
      <c r="J121" s="37"/>
      <c r="K121" s="37"/>
    </row>
    <row r="122" spans="1:11" hidden="1" x14ac:dyDescent="0.2">
      <c r="A122" s="137" t="str">
        <f>IF(ISERROR(VLOOKUP(D122,ДДС!A:A,1,0))=TRUE,"не попало в ДДС","ok")</f>
        <v>не попало в ДДС</v>
      </c>
      <c r="B122" s="36"/>
      <c r="C122" s="143" t="str">
        <f>IF(B122="","",VLOOKUP(MONTH(B122),Справочники!$X$4:$Y$15,2,0)&amp;"_"&amp;YEAR(B122))</f>
        <v/>
      </c>
      <c r="D122" s="37"/>
      <c r="E122" s="37"/>
      <c r="F122" s="38"/>
      <c r="G122" s="220" t="str">
        <f t="shared" si="4"/>
        <v/>
      </c>
      <c r="H122" s="220" t="str">
        <f t="shared" si="5"/>
        <v/>
      </c>
      <c r="I122" s="221"/>
      <c r="J122" s="37"/>
      <c r="K122" s="37"/>
    </row>
    <row r="123" spans="1:11" hidden="1" x14ac:dyDescent="0.2">
      <c r="A123" s="137" t="str">
        <f>IF(ISERROR(VLOOKUP(D123,ДДС!A:A,1,0))=TRUE,"не попало в ДДС","ok")</f>
        <v>не попало в ДДС</v>
      </c>
      <c r="B123" s="36"/>
      <c r="C123" s="143" t="str">
        <f>IF(B123="","",VLOOKUP(MONTH(B123),Справочники!$X$4:$Y$15,2,0)&amp;"_"&amp;YEAR(B123))</f>
        <v/>
      </c>
      <c r="D123" s="37"/>
      <c r="E123" s="37"/>
      <c r="F123" s="38"/>
      <c r="G123" s="220" t="str">
        <f t="shared" si="4"/>
        <v/>
      </c>
      <c r="H123" s="220" t="str">
        <f t="shared" si="5"/>
        <v/>
      </c>
      <c r="I123" s="221"/>
      <c r="J123" s="37"/>
      <c r="K123" s="37"/>
    </row>
    <row r="124" spans="1:11" hidden="1" x14ac:dyDescent="0.2">
      <c r="A124" s="137" t="str">
        <f>IF(ISERROR(VLOOKUP(D124,ДДС!A:A,1,0))=TRUE,"не попало в ДДС","ok")</f>
        <v>не попало в ДДС</v>
      </c>
      <c r="B124" s="36"/>
      <c r="C124" s="143" t="str">
        <f>IF(B124="","",VLOOKUP(MONTH(B124),Справочники!$X$4:$Y$15,2,0)&amp;"_"&amp;YEAR(B124))</f>
        <v/>
      </c>
      <c r="D124" s="37"/>
      <c r="E124" s="37"/>
      <c r="F124" s="38"/>
      <c r="G124" s="220" t="str">
        <f t="shared" si="4"/>
        <v/>
      </c>
      <c r="H124" s="220" t="str">
        <f t="shared" si="5"/>
        <v/>
      </c>
      <c r="I124" s="221"/>
      <c r="J124" s="37"/>
      <c r="K124" s="37"/>
    </row>
    <row r="125" spans="1:11" hidden="1" x14ac:dyDescent="0.2">
      <c r="A125" s="137" t="str">
        <f>IF(ISERROR(VLOOKUP(D125,ДДС!A:A,1,0))=TRUE,"не попало в ДДС","ok")</f>
        <v>не попало в ДДС</v>
      </c>
      <c r="B125" s="36"/>
      <c r="C125" s="143" t="str">
        <f>IF(B125="","",VLOOKUP(MONTH(B125),Справочники!$X$4:$Y$15,2,0)&amp;"_"&amp;YEAR(B125))</f>
        <v/>
      </c>
      <c r="D125" s="37"/>
      <c r="E125" s="37"/>
      <c r="F125" s="38"/>
      <c r="G125" s="220" t="str">
        <f t="shared" si="4"/>
        <v/>
      </c>
      <c r="H125" s="220" t="str">
        <f t="shared" si="5"/>
        <v/>
      </c>
      <c r="I125" s="221"/>
      <c r="J125" s="37"/>
      <c r="K125" s="37"/>
    </row>
    <row r="126" spans="1:11" hidden="1" x14ac:dyDescent="0.2">
      <c r="A126" s="137" t="str">
        <f>IF(ISERROR(VLOOKUP(D126,ДДС!A:A,1,0))=TRUE,"не попало в ДДС","ok")</f>
        <v>не попало в ДДС</v>
      </c>
      <c r="B126" s="36"/>
      <c r="C126" s="143" t="str">
        <f>IF(B126="","",VLOOKUP(MONTH(B126),Справочники!$X$4:$Y$15,2,0)&amp;"_"&amp;YEAR(B126))</f>
        <v/>
      </c>
      <c r="D126" s="37"/>
      <c r="E126" s="37"/>
      <c r="F126" s="38"/>
      <c r="G126" s="220" t="str">
        <f t="shared" si="4"/>
        <v/>
      </c>
      <c r="H126" s="220" t="str">
        <f t="shared" si="5"/>
        <v/>
      </c>
      <c r="I126" s="221"/>
      <c r="J126" s="37"/>
      <c r="K126" s="37"/>
    </row>
    <row r="127" spans="1:11" hidden="1" x14ac:dyDescent="0.2">
      <c r="A127" s="137" t="str">
        <f>IF(ISERROR(VLOOKUP(D127,ДДС!A:A,1,0))=TRUE,"не попало в ДДС","ok")</f>
        <v>не попало в ДДС</v>
      </c>
      <c r="B127" s="36"/>
      <c r="C127" s="143" t="str">
        <f>IF(B127="","",VLOOKUP(MONTH(B127),Справочники!$X$4:$Y$15,2,0)&amp;"_"&amp;YEAR(B127))</f>
        <v/>
      </c>
      <c r="D127" s="37"/>
      <c r="E127" s="37"/>
      <c r="F127" s="38"/>
      <c r="G127" s="220" t="str">
        <f t="shared" si="4"/>
        <v/>
      </c>
      <c r="H127" s="220" t="str">
        <f t="shared" si="5"/>
        <v/>
      </c>
      <c r="I127" s="221"/>
      <c r="J127" s="37"/>
      <c r="K127" s="37"/>
    </row>
    <row r="128" spans="1:11" hidden="1" x14ac:dyDescent="0.2">
      <c r="A128" s="137" t="str">
        <f>IF(ISERROR(VLOOKUP(D128,ДДС!A:A,1,0))=TRUE,"не попало в ДДС","ok")</f>
        <v>не попало в ДДС</v>
      </c>
      <c r="B128" s="36"/>
      <c r="C128" s="143" t="str">
        <f>IF(B128="","",VLOOKUP(MONTH(B128),Справочники!$X$4:$Y$15,2,0)&amp;"_"&amp;YEAR(B128))</f>
        <v/>
      </c>
      <c r="D128" s="37"/>
      <c r="E128" s="37"/>
      <c r="F128" s="38"/>
      <c r="G128" s="220" t="str">
        <f t="shared" si="4"/>
        <v/>
      </c>
      <c r="H128" s="220" t="str">
        <f t="shared" si="5"/>
        <v/>
      </c>
      <c r="I128" s="221"/>
      <c r="J128" s="37"/>
      <c r="K128" s="37"/>
    </row>
    <row r="129" spans="1:11" hidden="1" x14ac:dyDescent="0.2">
      <c r="A129" s="137" t="str">
        <f>IF(ISERROR(VLOOKUP(D129,ДДС!A:A,1,0))=TRUE,"не попало в ДДС","ok")</f>
        <v>не попало в ДДС</v>
      </c>
      <c r="B129" s="36"/>
      <c r="C129" s="143" t="str">
        <f>IF(B129="","",VLOOKUP(MONTH(B129),Справочники!$X$4:$Y$15,2,0)&amp;"_"&amp;YEAR(B129))</f>
        <v/>
      </c>
      <c r="D129" s="37"/>
      <c r="E129" s="37"/>
      <c r="F129" s="38"/>
      <c r="G129" s="220" t="str">
        <f t="shared" si="4"/>
        <v/>
      </c>
      <c r="H129" s="220" t="str">
        <f t="shared" si="5"/>
        <v/>
      </c>
      <c r="I129" s="221"/>
      <c r="J129" s="37"/>
      <c r="K129" s="37"/>
    </row>
    <row r="130" spans="1:11" hidden="1" x14ac:dyDescent="0.2">
      <c r="A130" s="137" t="str">
        <f>IF(ISERROR(VLOOKUP(D130,ДДС!A:A,1,0))=TRUE,"не попало в ДДС","ok")</f>
        <v>не попало в ДДС</v>
      </c>
      <c r="B130" s="36"/>
      <c r="C130" s="143" t="str">
        <f>IF(B130="","",VLOOKUP(MONTH(B130),Справочники!$X$4:$Y$15,2,0)&amp;"_"&amp;YEAR(B130))</f>
        <v/>
      </c>
      <c r="D130" s="37"/>
      <c r="E130" s="37"/>
      <c r="F130" s="38"/>
      <c r="G130" s="220" t="str">
        <f t="shared" si="0"/>
        <v/>
      </c>
      <c r="H130" s="220" t="str">
        <f t="shared" si="1"/>
        <v/>
      </c>
      <c r="I130" s="221"/>
      <c r="J130" s="37"/>
      <c r="K130" s="37"/>
    </row>
    <row r="146" spans="4:4" x14ac:dyDescent="0.2">
      <c r="D146" s="144"/>
    </row>
    <row r="147" spans="4:4" x14ac:dyDescent="0.2">
      <c r="D147" s="145"/>
    </row>
    <row r="148" spans="4:4" x14ac:dyDescent="0.2">
      <c r="D148" s="145"/>
    </row>
    <row r="149" spans="4:4" x14ac:dyDescent="0.2">
      <c r="D149" s="145"/>
    </row>
  </sheetData>
  <sheetProtection formatCells="0" formatColumns="0" formatRows="0" autoFilter="0" pivotTables="0"/>
  <autoFilter ref="B4:K130" xr:uid="{00000000-0009-0000-0000-00000B000000}"/>
  <dataValidations count="3">
    <dataValidation type="list" allowBlank="1" showInputMessage="1" showErrorMessage="1" prompt="Выбрать из списка" sqref="F130" xr:uid="{00000000-0002-0000-0B00-000000000000}">
      <formula1>"0%,10%,18%"</formula1>
    </dataValidation>
    <dataValidation type="date" allowBlank="1" showInputMessage="1" showErrorMessage="1" sqref="B5:B130" xr:uid="{00000000-0002-0000-0B00-000001000000}">
      <formula1>41640</formula1>
      <formula2>55153</formula2>
    </dataValidation>
    <dataValidation type="list" allowBlank="1" showInputMessage="1" showErrorMessage="1" prompt="Выбрать из списка" sqref="F5:F129" xr:uid="{00000000-0002-0000-0B00-000002000000}">
      <formula1>"0%,10%,18%,20%"</formula1>
    </dataValidation>
  </dataValidations>
  <pageMargins left="0" right="0" top="0" bottom="0" header="0.31496062992125984" footer="0.31496062992125984"/>
  <pageSetup paperSize="9" scale="6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99060</xdr:rowOff>
                  </from>
                  <to>
                    <xdr:col>4</xdr:col>
                    <xdr:colOff>845820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="Выбрать из списка" xr:uid="{00000000-0002-0000-0B00-000003000000}">
          <x14:formula1>
            <xm:f>'Справочник статей'!$D$8:$D$18</xm:f>
          </x14:formula1>
          <xm:sqref>D13:D130</xm:sqref>
        </x14:dataValidation>
        <x14:dataValidation type="list" allowBlank="1" showInputMessage="1" showErrorMessage="1" prompt="Выбрать из списка" xr:uid="{00000000-0002-0000-0B00-000004000000}">
          <x14:formula1>
            <xm:f>Справочники!$Q$3:$Q$8</xm:f>
          </x14:formula1>
          <xm:sqref>J5:J130</xm:sqref>
        </x14:dataValidation>
        <x14:dataValidation type="list" allowBlank="1" showInputMessage="1" showErrorMessage="1" prompt="Выбрать из списка" xr:uid="{61F4C2CD-4645-430A-A910-0F949D118ABE}">
          <x14:formula1>
            <xm:f>'Справочник статей'!$D$8:$D$17</xm:f>
          </x14:formula1>
          <xm:sqref>D5:D12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1"/>
  <dimension ref="A1:F18"/>
  <sheetViews>
    <sheetView workbookViewId="0">
      <selection activeCell="B31" sqref="B31"/>
    </sheetView>
  </sheetViews>
  <sheetFormatPr defaultColWidth="9.109375" defaultRowHeight="14.4" x14ac:dyDescent="0.3"/>
  <cols>
    <col min="1" max="1" width="24" style="12" bestFit="1" customWidth="1"/>
    <col min="2" max="2" width="9.6640625" style="12" bestFit="1" customWidth="1"/>
    <col min="3" max="3" width="35.109375" style="12" bestFit="1" customWidth="1"/>
    <col min="4" max="4" width="75" style="15" bestFit="1" customWidth="1"/>
    <col min="5" max="5" width="6.88671875" style="18" customWidth="1"/>
    <col min="6" max="6" width="9.109375" style="1"/>
    <col min="7" max="16384" width="9.109375" style="12"/>
  </cols>
  <sheetData>
    <row r="1" spans="1:6" x14ac:dyDescent="0.3">
      <c r="A1" s="44" t="s">
        <v>253</v>
      </c>
      <c r="B1" s="44" t="s">
        <v>197</v>
      </c>
      <c r="C1" s="45" t="s">
        <v>254</v>
      </c>
      <c r="D1" s="45" t="s">
        <v>255</v>
      </c>
      <c r="E1" s="45" t="s">
        <v>256</v>
      </c>
    </row>
    <row r="2" spans="1:6" x14ac:dyDescent="0.3">
      <c r="A2" s="46" t="s">
        <v>257</v>
      </c>
      <c r="B2" s="47">
        <v>201051</v>
      </c>
      <c r="C2" s="46" t="s">
        <v>203</v>
      </c>
      <c r="D2" s="48" t="s">
        <v>202</v>
      </c>
      <c r="E2" s="49" t="s">
        <v>258</v>
      </c>
    </row>
    <row r="3" spans="1:6" x14ac:dyDescent="0.3">
      <c r="A3" s="46" t="s">
        <v>257</v>
      </c>
      <c r="B3" s="47">
        <v>201077</v>
      </c>
      <c r="C3" s="46" t="s">
        <v>204</v>
      </c>
      <c r="D3" s="48" t="s">
        <v>180</v>
      </c>
      <c r="E3" s="49" t="s">
        <v>258</v>
      </c>
    </row>
    <row r="4" spans="1:6" x14ac:dyDescent="0.3">
      <c r="A4" s="46" t="s">
        <v>257</v>
      </c>
      <c r="B4" s="47">
        <v>201047</v>
      </c>
      <c r="C4" s="46" t="s">
        <v>205</v>
      </c>
      <c r="D4" s="48" t="s">
        <v>178</v>
      </c>
      <c r="E4" s="49" t="s">
        <v>258</v>
      </c>
    </row>
    <row r="5" spans="1:6" x14ac:dyDescent="0.3">
      <c r="A5" s="46" t="s">
        <v>257</v>
      </c>
      <c r="B5" s="47">
        <v>201057</v>
      </c>
      <c r="C5" s="46" t="s">
        <v>206</v>
      </c>
      <c r="D5" s="48" t="s">
        <v>192</v>
      </c>
      <c r="E5" s="49" t="s">
        <v>258</v>
      </c>
    </row>
    <row r="6" spans="1:6" x14ac:dyDescent="0.3">
      <c r="A6" s="46" t="s">
        <v>257</v>
      </c>
      <c r="B6" s="47">
        <v>201900</v>
      </c>
      <c r="C6" s="46" t="s">
        <v>208</v>
      </c>
      <c r="D6" s="48" t="s">
        <v>207</v>
      </c>
      <c r="E6" s="49" t="s">
        <v>258</v>
      </c>
    </row>
    <row r="7" spans="1:6" x14ac:dyDescent="0.3">
      <c r="A7" s="98" t="s">
        <v>284</v>
      </c>
      <c r="B7" s="98">
        <v>801192</v>
      </c>
      <c r="C7" s="98" t="s">
        <v>287</v>
      </c>
      <c r="D7" s="98" t="s">
        <v>282</v>
      </c>
      <c r="E7" s="99" t="s">
        <v>258</v>
      </c>
      <c r="F7" s="96" t="s">
        <v>286</v>
      </c>
    </row>
    <row r="8" spans="1:6" x14ac:dyDescent="0.3">
      <c r="A8" s="46" t="s">
        <v>259</v>
      </c>
      <c r="B8" s="47">
        <v>202077</v>
      </c>
      <c r="C8" s="46" t="s">
        <v>204</v>
      </c>
      <c r="D8" s="48" t="s">
        <v>181</v>
      </c>
      <c r="E8" s="49" t="s">
        <v>132</v>
      </c>
    </row>
    <row r="9" spans="1:6" x14ac:dyDescent="0.3">
      <c r="A9" s="46" t="s">
        <v>259</v>
      </c>
      <c r="B9" s="47">
        <v>202047</v>
      </c>
      <c r="C9" s="46" t="s">
        <v>205</v>
      </c>
      <c r="D9" s="48" t="s">
        <v>179</v>
      </c>
      <c r="E9" s="49" t="s">
        <v>132</v>
      </c>
    </row>
    <row r="10" spans="1:6" x14ac:dyDescent="0.3">
      <c r="A10" s="46" t="s">
        <v>259</v>
      </c>
      <c r="B10" s="47">
        <v>202056</v>
      </c>
      <c r="C10" s="46" t="s">
        <v>209</v>
      </c>
      <c r="D10" s="48" t="s">
        <v>177</v>
      </c>
      <c r="E10" s="49" t="s">
        <v>132</v>
      </c>
    </row>
    <row r="11" spans="1:6" x14ac:dyDescent="0.3">
      <c r="A11" s="46" t="s">
        <v>259</v>
      </c>
      <c r="B11" s="47">
        <v>203182</v>
      </c>
      <c r="C11" s="46" t="s">
        <v>213</v>
      </c>
      <c r="D11" s="48" t="s">
        <v>212</v>
      </c>
      <c r="E11" s="49" t="s">
        <v>132</v>
      </c>
    </row>
    <row r="12" spans="1:6" x14ac:dyDescent="0.3">
      <c r="A12" s="204" t="s">
        <v>259</v>
      </c>
      <c r="B12" s="205">
        <v>203010</v>
      </c>
      <c r="C12" s="205" t="s">
        <v>419</v>
      </c>
      <c r="D12" s="205" t="s">
        <v>418</v>
      </c>
      <c r="E12" s="206" t="s">
        <v>132</v>
      </c>
      <c r="F12" s="96"/>
    </row>
    <row r="13" spans="1:6" x14ac:dyDescent="0.3">
      <c r="A13" s="46" t="s">
        <v>259</v>
      </c>
      <c r="B13" s="47">
        <v>203120</v>
      </c>
      <c r="C13" s="46" t="s">
        <v>225</v>
      </c>
      <c r="D13" s="48" t="s">
        <v>224</v>
      </c>
      <c r="E13" s="49" t="s">
        <v>132</v>
      </c>
    </row>
    <row r="14" spans="1:6" x14ac:dyDescent="0.3">
      <c r="A14" s="46" t="s">
        <v>259</v>
      </c>
      <c r="B14" s="90">
        <v>205190</v>
      </c>
      <c r="C14" s="89" t="s">
        <v>280</v>
      </c>
      <c r="D14" s="48" t="s">
        <v>279</v>
      </c>
      <c r="E14" s="91" t="s">
        <v>132</v>
      </c>
      <c r="F14" s="93"/>
    </row>
    <row r="15" spans="1:6" x14ac:dyDescent="0.3">
      <c r="A15" s="46" t="s">
        <v>259</v>
      </c>
      <c r="B15" s="47">
        <v>202900</v>
      </c>
      <c r="C15" s="46" t="s">
        <v>227</v>
      </c>
      <c r="D15" s="48" t="s">
        <v>226</v>
      </c>
      <c r="E15" s="49" t="s">
        <v>132</v>
      </c>
    </row>
    <row r="16" spans="1:6" x14ac:dyDescent="0.3">
      <c r="A16" s="89" t="s">
        <v>260</v>
      </c>
      <c r="B16" s="90">
        <v>255190</v>
      </c>
      <c r="C16" s="89" t="s">
        <v>260</v>
      </c>
      <c r="D16" s="92" t="s">
        <v>261</v>
      </c>
      <c r="E16" s="91" t="s">
        <v>132</v>
      </c>
      <c r="F16" s="93"/>
    </row>
    <row r="17" spans="1:6" x14ac:dyDescent="0.3">
      <c r="A17" s="46" t="s">
        <v>339</v>
      </c>
      <c r="B17" s="47">
        <v>802232</v>
      </c>
      <c r="C17" s="46" t="s">
        <v>262</v>
      </c>
      <c r="D17" s="48" t="s">
        <v>263</v>
      </c>
      <c r="E17" s="49" t="s">
        <v>132</v>
      </c>
    </row>
    <row r="18" spans="1:6" x14ac:dyDescent="0.3">
      <c r="A18" s="98" t="s">
        <v>285</v>
      </c>
      <c r="B18" s="98">
        <v>802192</v>
      </c>
      <c r="C18" s="98" t="s">
        <v>288</v>
      </c>
      <c r="D18" s="98" t="s">
        <v>283</v>
      </c>
      <c r="E18" s="99" t="s">
        <v>132</v>
      </c>
      <c r="F18" s="96" t="s">
        <v>286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2">
    <tabColor theme="6" tint="0.79998168889431442"/>
  </sheetPr>
  <dimension ref="A1:G82"/>
  <sheetViews>
    <sheetView topLeftCell="A61" workbookViewId="0">
      <selection activeCell="E82" sqref="E82"/>
    </sheetView>
  </sheetViews>
  <sheetFormatPr defaultRowHeight="14.4" x14ac:dyDescent="0.3"/>
  <cols>
    <col min="1" max="1" width="12.44140625" style="2" customWidth="1"/>
    <col min="2" max="2" width="20.6640625" customWidth="1"/>
    <col min="3" max="3" width="11.33203125" customWidth="1"/>
    <col min="4" max="4" width="22.44140625" customWidth="1"/>
    <col min="5" max="5" width="44.33203125" customWidth="1"/>
    <col min="6" max="6" width="36" customWidth="1"/>
    <col min="7" max="7" width="13.5546875" style="2" bestFit="1" customWidth="1"/>
  </cols>
  <sheetData>
    <row r="1" spans="1:7" x14ac:dyDescent="0.3">
      <c r="A1" s="3" t="s">
        <v>0</v>
      </c>
      <c r="B1" s="3" t="s">
        <v>35</v>
      </c>
      <c r="C1" s="3" t="s">
        <v>130</v>
      </c>
      <c r="D1" s="4" t="s">
        <v>13</v>
      </c>
      <c r="E1" s="3" t="s">
        <v>131</v>
      </c>
      <c r="F1" s="3" t="s">
        <v>125</v>
      </c>
      <c r="G1" s="8" t="s">
        <v>25</v>
      </c>
    </row>
    <row r="2" spans="1:7" ht="15" customHeight="1" x14ac:dyDescent="0.3">
      <c r="A2" s="5" t="s">
        <v>55</v>
      </c>
      <c r="B2" s="6" t="s">
        <v>129</v>
      </c>
      <c r="C2" s="6" t="s">
        <v>132</v>
      </c>
      <c r="D2" s="7" t="s">
        <v>124</v>
      </c>
      <c r="E2" s="5" t="s">
        <v>57</v>
      </c>
      <c r="F2" s="6" t="s">
        <v>107</v>
      </c>
      <c r="G2" s="9" t="s">
        <v>51</v>
      </c>
    </row>
    <row r="3" spans="1:7" ht="15" customHeight="1" x14ac:dyDescent="0.3">
      <c r="A3" s="5" t="s">
        <v>126</v>
      </c>
      <c r="B3" s="6" t="s">
        <v>129</v>
      </c>
      <c r="C3" s="6" t="s">
        <v>132</v>
      </c>
      <c r="D3" s="7" t="s">
        <v>124</v>
      </c>
      <c r="E3" s="10" t="s">
        <v>133</v>
      </c>
      <c r="F3" s="6" t="s">
        <v>117</v>
      </c>
      <c r="G3" s="9" t="s">
        <v>26</v>
      </c>
    </row>
    <row r="4" spans="1:7" s="96" customFormat="1" ht="15" customHeight="1" x14ac:dyDescent="0.3">
      <c r="A4" s="5" t="s">
        <v>126</v>
      </c>
      <c r="B4" s="6" t="s">
        <v>30</v>
      </c>
      <c r="C4" s="218" t="s">
        <v>132</v>
      </c>
      <c r="D4" s="7" t="s">
        <v>124</v>
      </c>
      <c r="E4" s="10" t="s">
        <v>432</v>
      </c>
      <c r="F4" s="218" t="s">
        <v>108</v>
      </c>
      <c r="G4" s="9" t="s">
        <v>26</v>
      </c>
    </row>
    <row r="5" spans="1:7" ht="15" customHeight="1" x14ac:dyDescent="0.3">
      <c r="A5" s="5" t="s">
        <v>126</v>
      </c>
      <c r="B5" s="6" t="s">
        <v>129</v>
      </c>
      <c r="C5" s="6" t="s">
        <v>132</v>
      </c>
      <c r="D5" s="7" t="s">
        <v>11</v>
      </c>
      <c r="E5" s="5" t="s">
        <v>58</v>
      </c>
      <c r="F5" s="6" t="s">
        <v>107</v>
      </c>
      <c r="G5" s="9" t="s">
        <v>26</v>
      </c>
    </row>
    <row r="6" spans="1:7" ht="15" customHeight="1" x14ac:dyDescent="0.3">
      <c r="A6" s="5" t="s">
        <v>126</v>
      </c>
      <c r="B6" s="6" t="s">
        <v>32</v>
      </c>
      <c r="C6" s="6" t="s">
        <v>132</v>
      </c>
      <c r="D6" s="7" t="s">
        <v>124</v>
      </c>
      <c r="E6" s="5" t="s">
        <v>134</v>
      </c>
      <c r="F6" s="6" t="s">
        <v>108</v>
      </c>
      <c r="G6" s="9" t="s">
        <v>26</v>
      </c>
    </row>
    <row r="7" spans="1:7" ht="15" customHeight="1" x14ac:dyDescent="0.3">
      <c r="A7" s="5" t="s">
        <v>126</v>
      </c>
      <c r="B7" s="6" t="s">
        <v>32</v>
      </c>
      <c r="C7" s="6" t="s">
        <v>132</v>
      </c>
      <c r="D7" s="7" t="s">
        <v>11</v>
      </c>
      <c r="E7" s="5" t="s">
        <v>59</v>
      </c>
      <c r="F7" s="6" t="s">
        <v>108</v>
      </c>
      <c r="G7" s="9" t="s">
        <v>26</v>
      </c>
    </row>
    <row r="8" spans="1:7" ht="15" customHeight="1" x14ac:dyDescent="0.3">
      <c r="A8" s="5" t="s">
        <v>10</v>
      </c>
      <c r="B8" s="6" t="s">
        <v>129</v>
      </c>
      <c r="C8" s="6" t="s">
        <v>132</v>
      </c>
      <c r="D8" s="7" t="s">
        <v>124</v>
      </c>
      <c r="E8" s="5" t="s">
        <v>135</v>
      </c>
      <c r="F8" s="6" t="s">
        <v>108</v>
      </c>
      <c r="G8" s="9" t="s">
        <v>26</v>
      </c>
    </row>
    <row r="9" spans="1:7" ht="15" customHeight="1" x14ac:dyDescent="0.3">
      <c r="A9" s="5" t="s">
        <v>10</v>
      </c>
      <c r="B9" s="6" t="s">
        <v>129</v>
      </c>
      <c r="C9" s="6" t="s">
        <v>132</v>
      </c>
      <c r="D9" s="7" t="s">
        <v>11</v>
      </c>
      <c r="E9" s="5" t="s">
        <v>136</v>
      </c>
      <c r="F9" s="6" t="s">
        <v>108</v>
      </c>
      <c r="G9" s="9" t="s">
        <v>26</v>
      </c>
    </row>
    <row r="10" spans="1:7" ht="15" customHeight="1" x14ac:dyDescent="0.3">
      <c r="A10" s="5" t="s">
        <v>10</v>
      </c>
      <c r="B10" s="6" t="s">
        <v>129</v>
      </c>
      <c r="C10" s="6" t="s">
        <v>132</v>
      </c>
      <c r="D10" s="7" t="s">
        <v>11</v>
      </c>
      <c r="E10" s="5" t="s">
        <v>60</v>
      </c>
      <c r="F10" s="6" t="s">
        <v>108</v>
      </c>
      <c r="G10" s="9" t="s">
        <v>26</v>
      </c>
    </row>
    <row r="11" spans="1:7" x14ac:dyDescent="0.3">
      <c r="A11" s="5" t="s">
        <v>10</v>
      </c>
      <c r="B11" s="6" t="s">
        <v>129</v>
      </c>
      <c r="C11" s="6" t="s">
        <v>132</v>
      </c>
      <c r="D11" s="7" t="s">
        <v>11</v>
      </c>
      <c r="E11" s="5" t="s">
        <v>137</v>
      </c>
      <c r="F11" s="6" t="s">
        <v>108</v>
      </c>
      <c r="G11" s="9" t="s">
        <v>26</v>
      </c>
    </row>
    <row r="12" spans="1:7" ht="15" customHeight="1" x14ac:dyDescent="0.3">
      <c r="A12" s="5" t="s">
        <v>34</v>
      </c>
      <c r="B12" s="6" t="s">
        <v>129</v>
      </c>
      <c r="C12" s="6" t="s">
        <v>132</v>
      </c>
      <c r="D12" s="7" t="s">
        <v>124</v>
      </c>
      <c r="E12" s="5" t="s">
        <v>138</v>
      </c>
      <c r="F12" s="6" t="s">
        <v>107</v>
      </c>
      <c r="G12" s="9" t="s">
        <v>165</v>
      </c>
    </row>
    <row r="13" spans="1:7" ht="15" customHeight="1" x14ac:dyDescent="0.3">
      <c r="A13" s="5" t="s">
        <v>34</v>
      </c>
      <c r="B13" s="6" t="s">
        <v>128</v>
      </c>
      <c r="C13" s="6" t="s">
        <v>132</v>
      </c>
      <c r="D13" s="7" t="s">
        <v>139</v>
      </c>
      <c r="E13" s="5" t="s">
        <v>61</v>
      </c>
      <c r="F13" s="6" t="s">
        <v>107</v>
      </c>
      <c r="G13" s="9" t="s">
        <v>165</v>
      </c>
    </row>
    <row r="14" spans="1:7" ht="15" customHeight="1" x14ac:dyDescent="0.3">
      <c r="A14" s="5" t="s">
        <v>34</v>
      </c>
      <c r="B14" s="6" t="s">
        <v>129</v>
      </c>
      <c r="C14" s="6" t="s">
        <v>132</v>
      </c>
      <c r="D14" s="7" t="s">
        <v>124</v>
      </c>
      <c r="E14" s="5" t="s">
        <v>140</v>
      </c>
      <c r="F14" s="6" t="s">
        <v>107</v>
      </c>
      <c r="G14" s="9" t="s">
        <v>165</v>
      </c>
    </row>
    <row r="15" spans="1:7" ht="15" customHeight="1" x14ac:dyDescent="0.3">
      <c r="A15" s="5" t="s">
        <v>34</v>
      </c>
      <c r="B15" s="6" t="s">
        <v>129</v>
      </c>
      <c r="C15" s="6" t="s">
        <v>132</v>
      </c>
      <c r="D15" s="7" t="s">
        <v>11</v>
      </c>
      <c r="E15" s="5" t="s">
        <v>62</v>
      </c>
      <c r="F15" s="6" t="s">
        <v>107</v>
      </c>
      <c r="G15" s="9" t="s">
        <v>165</v>
      </c>
    </row>
    <row r="16" spans="1:7" ht="15" customHeight="1" x14ac:dyDescent="0.3">
      <c r="A16" s="5" t="s">
        <v>4</v>
      </c>
      <c r="B16" s="6" t="s">
        <v>29</v>
      </c>
      <c r="C16" s="6" t="s">
        <v>132</v>
      </c>
      <c r="D16" s="7" t="s">
        <v>124</v>
      </c>
      <c r="E16" s="5" t="s">
        <v>40</v>
      </c>
      <c r="F16" s="6" t="s">
        <v>110</v>
      </c>
      <c r="G16" s="9" t="s">
        <v>26</v>
      </c>
    </row>
    <row r="17" spans="1:7" ht="15" customHeight="1" x14ac:dyDescent="0.3">
      <c r="A17" s="5" t="s">
        <v>4</v>
      </c>
      <c r="B17" s="6" t="s">
        <v>101</v>
      </c>
      <c r="C17" s="6" t="s">
        <v>132</v>
      </c>
      <c r="D17" s="7" t="s">
        <v>124</v>
      </c>
      <c r="E17" s="5" t="s">
        <v>94</v>
      </c>
      <c r="F17" s="6" t="s">
        <v>108</v>
      </c>
      <c r="G17" s="9" t="s">
        <v>26</v>
      </c>
    </row>
    <row r="18" spans="1:7" ht="15" customHeight="1" x14ac:dyDescent="0.3">
      <c r="A18" s="5" t="s">
        <v>4</v>
      </c>
      <c r="B18" s="6" t="s">
        <v>101</v>
      </c>
      <c r="C18" s="6" t="s">
        <v>132</v>
      </c>
      <c r="D18" s="7" t="s">
        <v>124</v>
      </c>
      <c r="E18" s="5" t="s">
        <v>87</v>
      </c>
      <c r="F18" s="6" t="s">
        <v>108</v>
      </c>
      <c r="G18" s="9" t="s">
        <v>26</v>
      </c>
    </row>
    <row r="19" spans="1:7" ht="15" customHeight="1" x14ac:dyDescent="0.3">
      <c r="A19" s="5" t="s">
        <v>4</v>
      </c>
      <c r="B19" s="6" t="s">
        <v>101</v>
      </c>
      <c r="C19" s="6" t="s">
        <v>132</v>
      </c>
      <c r="D19" s="7" t="s">
        <v>11</v>
      </c>
      <c r="E19" s="5" t="s">
        <v>141</v>
      </c>
      <c r="F19" s="6" t="s">
        <v>108</v>
      </c>
      <c r="G19" s="9" t="s">
        <v>26</v>
      </c>
    </row>
    <row r="20" spans="1:7" ht="15" customHeight="1" x14ac:dyDescent="0.3">
      <c r="A20" s="5" t="s">
        <v>4</v>
      </c>
      <c r="B20" s="6" t="s">
        <v>31</v>
      </c>
      <c r="C20" s="6" t="s">
        <v>132</v>
      </c>
      <c r="D20" s="7" t="s">
        <v>139</v>
      </c>
      <c r="E20" s="5" t="s">
        <v>142</v>
      </c>
      <c r="F20" s="6" t="s">
        <v>109</v>
      </c>
      <c r="G20" s="9" t="s">
        <v>26</v>
      </c>
    </row>
    <row r="21" spans="1:7" ht="15" customHeight="1" x14ac:dyDescent="0.3">
      <c r="A21" s="5" t="s">
        <v>4</v>
      </c>
      <c r="B21" s="6" t="s">
        <v>33</v>
      </c>
      <c r="C21" s="6" t="s">
        <v>132</v>
      </c>
      <c r="D21" s="7" t="s">
        <v>124</v>
      </c>
      <c r="E21" s="5" t="s">
        <v>143</v>
      </c>
      <c r="F21" s="6" t="s">
        <v>108</v>
      </c>
      <c r="G21" s="9" t="s">
        <v>26</v>
      </c>
    </row>
    <row r="22" spans="1:7" ht="15" customHeight="1" x14ac:dyDescent="0.3">
      <c r="A22" s="5" t="s">
        <v>4</v>
      </c>
      <c r="B22" s="6" t="s">
        <v>33</v>
      </c>
      <c r="C22" s="6" t="s">
        <v>132</v>
      </c>
      <c r="D22" s="7" t="s">
        <v>139</v>
      </c>
      <c r="E22" s="5" t="s">
        <v>144</v>
      </c>
      <c r="F22" s="6" t="s">
        <v>108</v>
      </c>
      <c r="G22" s="9" t="s">
        <v>26</v>
      </c>
    </row>
    <row r="23" spans="1:7" x14ac:dyDescent="0.3">
      <c r="A23" s="5" t="s">
        <v>4</v>
      </c>
      <c r="B23" s="6" t="s">
        <v>33</v>
      </c>
      <c r="C23" s="6" t="s">
        <v>132</v>
      </c>
      <c r="D23" s="7" t="s">
        <v>124</v>
      </c>
      <c r="E23" s="5" t="s">
        <v>88</v>
      </c>
      <c r="F23" s="6" t="s">
        <v>108</v>
      </c>
      <c r="G23" s="9" t="s">
        <v>26</v>
      </c>
    </row>
    <row r="24" spans="1:7" ht="15" customHeight="1" x14ac:dyDescent="0.3">
      <c r="A24" s="5" t="s">
        <v>4</v>
      </c>
      <c r="B24" s="6" t="s">
        <v>33</v>
      </c>
      <c r="C24" s="6" t="s">
        <v>132</v>
      </c>
      <c r="D24" s="7" t="s">
        <v>11</v>
      </c>
      <c r="E24" s="5" t="s">
        <v>89</v>
      </c>
      <c r="F24" s="6" t="s">
        <v>108</v>
      </c>
      <c r="G24" s="9" t="s">
        <v>26</v>
      </c>
    </row>
    <row r="25" spans="1:7" ht="15" customHeight="1" x14ac:dyDescent="0.3">
      <c r="A25" s="5" t="s">
        <v>4</v>
      </c>
      <c r="B25" s="6" t="s">
        <v>30</v>
      </c>
      <c r="C25" s="6" t="s">
        <v>132</v>
      </c>
      <c r="D25" s="7" t="s">
        <v>11</v>
      </c>
      <c r="E25" s="5" t="s">
        <v>63</v>
      </c>
      <c r="F25" s="6" t="s">
        <v>108</v>
      </c>
      <c r="G25" s="9" t="s">
        <v>26</v>
      </c>
    </row>
    <row r="26" spans="1:7" ht="15" customHeight="1" x14ac:dyDescent="0.3">
      <c r="A26" s="5" t="s">
        <v>4</v>
      </c>
      <c r="B26" s="6" t="s">
        <v>129</v>
      </c>
      <c r="C26" s="6" t="s">
        <v>132</v>
      </c>
      <c r="D26" s="7" t="s">
        <v>124</v>
      </c>
      <c r="E26" s="5" t="s">
        <v>145</v>
      </c>
      <c r="F26" s="6" t="s">
        <v>108</v>
      </c>
      <c r="G26" s="9" t="s">
        <v>26</v>
      </c>
    </row>
    <row r="27" spans="1:7" s="96" customFormat="1" ht="15" customHeight="1" x14ac:dyDescent="0.3">
      <c r="A27" s="10" t="s">
        <v>2</v>
      </c>
      <c r="B27" s="6" t="s">
        <v>28</v>
      </c>
      <c r="C27" s="218" t="s">
        <v>132</v>
      </c>
      <c r="D27" s="7" t="s">
        <v>124</v>
      </c>
      <c r="E27" s="5" t="s">
        <v>429</v>
      </c>
      <c r="F27" s="218" t="s">
        <v>118</v>
      </c>
      <c r="G27" s="9"/>
    </row>
    <row r="28" spans="1:7" ht="15" customHeight="1" x14ac:dyDescent="0.3">
      <c r="A28" s="5" t="s">
        <v>9</v>
      </c>
      <c r="B28" s="6" t="s">
        <v>29</v>
      </c>
      <c r="C28" s="6" t="s">
        <v>132</v>
      </c>
      <c r="D28" s="7" t="s">
        <v>11</v>
      </c>
      <c r="E28" s="5" t="s">
        <v>64</v>
      </c>
      <c r="F28" s="6" t="s">
        <v>110</v>
      </c>
      <c r="G28" s="9" t="s">
        <v>9</v>
      </c>
    </row>
    <row r="29" spans="1:7" ht="15" customHeight="1" x14ac:dyDescent="0.3">
      <c r="A29" s="5" t="s">
        <v>5</v>
      </c>
      <c r="B29" s="6" t="s">
        <v>31</v>
      </c>
      <c r="C29" s="6" t="s">
        <v>132</v>
      </c>
      <c r="D29" s="7" t="s">
        <v>11</v>
      </c>
      <c r="E29" s="5" t="s">
        <v>65</v>
      </c>
      <c r="F29" s="6" t="s">
        <v>112</v>
      </c>
      <c r="G29" s="9" t="s">
        <v>26</v>
      </c>
    </row>
    <row r="30" spans="1:7" ht="15" customHeight="1" x14ac:dyDescent="0.3">
      <c r="A30" s="5" t="s">
        <v>127</v>
      </c>
      <c r="B30" s="6" t="s">
        <v>29</v>
      </c>
      <c r="C30" s="6" t="s">
        <v>132</v>
      </c>
      <c r="D30" s="7" t="s">
        <v>124</v>
      </c>
      <c r="E30" s="5" t="s">
        <v>95</v>
      </c>
      <c r="F30" s="6" t="s">
        <v>110</v>
      </c>
      <c r="G30" s="9" t="s">
        <v>8</v>
      </c>
    </row>
    <row r="31" spans="1:7" ht="15" customHeight="1" x14ac:dyDescent="0.3">
      <c r="A31" s="5" t="s">
        <v>127</v>
      </c>
      <c r="B31" s="6" t="s">
        <v>29</v>
      </c>
      <c r="C31" s="6" t="s">
        <v>132</v>
      </c>
      <c r="D31" s="7" t="s">
        <v>124</v>
      </c>
      <c r="E31" s="5" t="s">
        <v>96</v>
      </c>
      <c r="F31" s="6" t="s">
        <v>110</v>
      </c>
      <c r="G31" s="9" t="s">
        <v>8</v>
      </c>
    </row>
    <row r="32" spans="1:7" ht="15" customHeight="1" x14ac:dyDescent="0.3">
      <c r="A32" s="5" t="s">
        <v>127</v>
      </c>
      <c r="B32" s="6" t="s">
        <v>29</v>
      </c>
      <c r="C32" s="6" t="s">
        <v>132</v>
      </c>
      <c r="D32" s="7" t="s">
        <v>11</v>
      </c>
      <c r="E32" s="5" t="s">
        <v>66</v>
      </c>
      <c r="F32" s="6" t="s">
        <v>110</v>
      </c>
      <c r="G32" s="9" t="s">
        <v>8</v>
      </c>
    </row>
    <row r="33" spans="1:7" ht="15" customHeight="1" x14ac:dyDescent="0.3">
      <c r="A33" s="5" t="s">
        <v>127</v>
      </c>
      <c r="B33" s="6" t="s">
        <v>101</v>
      </c>
      <c r="C33" s="6" t="s">
        <v>132</v>
      </c>
      <c r="D33" s="7" t="s">
        <v>124</v>
      </c>
      <c r="E33" s="5" t="s">
        <v>67</v>
      </c>
      <c r="F33" s="6" t="s">
        <v>113</v>
      </c>
      <c r="G33" s="9" t="s">
        <v>8</v>
      </c>
    </row>
    <row r="34" spans="1:7" ht="15" customHeight="1" x14ac:dyDescent="0.3">
      <c r="A34" s="5" t="s">
        <v>127</v>
      </c>
      <c r="B34" s="6" t="s">
        <v>101</v>
      </c>
      <c r="C34" s="6" t="s">
        <v>132</v>
      </c>
      <c r="D34" s="7" t="s">
        <v>11</v>
      </c>
      <c r="E34" s="5" t="s">
        <v>68</v>
      </c>
      <c r="F34" s="6" t="s">
        <v>113</v>
      </c>
      <c r="G34" s="9" t="s">
        <v>8</v>
      </c>
    </row>
    <row r="35" spans="1:7" ht="15" customHeight="1" x14ac:dyDescent="0.3">
      <c r="A35" s="5" t="s">
        <v>127</v>
      </c>
      <c r="B35" s="6" t="s">
        <v>30</v>
      </c>
      <c r="C35" s="6" t="s">
        <v>102</v>
      </c>
      <c r="D35" s="7" t="s">
        <v>124</v>
      </c>
      <c r="E35" s="5" t="s">
        <v>90</v>
      </c>
      <c r="F35" s="6" t="s">
        <v>113</v>
      </c>
      <c r="G35" s="9" t="s">
        <v>8</v>
      </c>
    </row>
    <row r="36" spans="1:7" ht="15" customHeight="1" x14ac:dyDescent="0.3">
      <c r="A36" s="5" t="s">
        <v>127</v>
      </c>
      <c r="B36" s="6" t="s">
        <v>30</v>
      </c>
      <c r="C36" s="6" t="s">
        <v>102</v>
      </c>
      <c r="D36" s="7" t="s">
        <v>11</v>
      </c>
      <c r="E36" s="5" t="s">
        <v>91</v>
      </c>
      <c r="F36" s="6" t="s">
        <v>114</v>
      </c>
      <c r="G36" s="9" t="s">
        <v>8</v>
      </c>
    </row>
    <row r="37" spans="1:7" ht="15" customHeight="1" x14ac:dyDescent="0.3">
      <c r="A37" s="5" t="s">
        <v>127</v>
      </c>
      <c r="B37" s="6" t="s">
        <v>28</v>
      </c>
      <c r="C37" s="6" t="s">
        <v>132</v>
      </c>
      <c r="D37" s="7" t="s">
        <v>124</v>
      </c>
      <c r="E37" s="5" t="s">
        <v>146</v>
      </c>
      <c r="F37" s="6" t="s">
        <v>113</v>
      </c>
      <c r="G37" s="9" t="s">
        <v>8</v>
      </c>
    </row>
    <row r="38" spans="1:7" ht="15" customHeight="1" x14ac:dyDescent="0.3">
      <c r="A38" s="5" t="s">
        <v>127</v>
      </c>
      <c r="B38" s="6" t="s">
        <v>28</v>
      </c>
      <c r="C38" s="6" t="s">
        <v>132</v>
      </c>
      <c r="D38" s="7" t="s">
        <v>124</v>
      </c>
      <c r="E38" s="5" t="s">
        <v>69</v>
      </c>
      <c r="F38" s="6" t="s">
        <v>113</v>
      </c>
      <c r="G38" s="9" t="s">
        <v>8</v>
      </c>
    </row>
    <row r="39" spans="1:7" ht="15" customHeight="1" x14ac:dyDescent="0.3">
      <c r="A39" s="5" t="s">
        <v>127</v>
      </c>
      <c r="B39" s="6" t="s">
        <v>28</v>
      </c>
      <c r="C39" s="6" t="s">
        <v>132</v>
      </c>
      <c r="D39" s="7" t="s">
        <v>11</v>
      </c>
      <c r="E39" s="5" t="s">
        <v>70</v>
      </c>
      <c r="F39" s="6" t="s">
        <v>113</v>
      </c>
      <c r="G39" s="9" t="s">
        <v>8</v>
      </c>
    </row>
    <row r="40" spans="1:7" ht="15" customHeight="1" x14ac:dyDescent="0.3">
      <c r="A40" s="5" t="s">
        <v>127</v>
      </c>
      <c r="B40" s="6" t="s">
        <v>31</v>
      </c>
      <c r="C40" s="6" t="s">
        <v>132</v>
      </c>
      <c r="D40" s="7" t="s">
        <v>11</v>
      </c>
      <c r="E40" s="5" t="s">
        <v>147</v>
      </c>
      <c r="F40" s="6" t="s">
        <v>109</v>
      </c>
      <c r="G40" s="9" t="s">
        <v>8</v>
      </c>
    </row>
    <row r="41" spans="1:7" ht="15" customHeight="1" x14ac:dyDescent="0.3">
      <c r="A41" s="5" t="s">
        <v>127</v>
      </c>
      <c r="B41" s="6" t="s">
        <v>31</v>
      </c>
      <c r="C41" s="6" t="s">
        <v>132</v>
      </c>
      <c r="D41" s="7" t="s">
        <v>11</v>
      </c>
      <c r="E41" s="5" t="s">
        <v>148</v>
      </c>
      <c r="F41" s="6" t="s">
        <v>109</v>
      </c>
      <c r="G41" s="9" t="s">
        <v>8</v>
      </c>
    </row>
    <row r="42" spans="1:7" ht="15" customHeight="1" x14ac:dyDescent="0.3">
      <c r="A42" s="5" t="s">
        <v>3</v>
      </c>
      <c r="B42" s="6" t="s">
        <v>29</v>
      </c>
      <c r="C42" s="6" t="s">
        <v>132</v>
      </c>
      <c r="D42" s="7" t="s">
        <v>124</v>
      </c>
      <c r="E42" s="5" t="s">
        <v>149</v>
      </c>
      <c r="F42" s="6" t="s">
        <v>115</v>
      </c>
      <c r="G42" s="9"/>
    </row>
    <row r="43" spans="1:7" ht="15" customHeight="1" x14ac:dyDescent="0.3">
      <c r="A43" s="5" t="s">
        <v>3</v>
      </c>
      <c r="B43" s="6" t="s">
        <v>29</v>
      </c>
      <c r="C43" s="6" t="s">
        <v>132</v>
      </c>
      <c r="D43" s="7" t="s">
        <v>11</v>
      </c>
      <c r="E43" s="5" t="s">
        <v>150</v>
      </c>
      <c r="F43" s="6" t="s">
        <v>115</v>
      </c>
      <c r="G43" s="9"/>
    </row>
    <row r="44" spans="1:7" ht="15" customHeight="1" x14ac:dyDescent="0.3">
      <c r="A44" s="5" t="s">
        <v>3</v>
      </c>
      <c r="B44" s="6" t="s">
        <v>29</v>
      </c>
      <c r="C44" s="6" t="s">
        <v>132</v>
      </c>
      <c r="D44" s="7" t="s">
        <v>124</v>
      </c>
      <c r="E44" s="5" t="s">
        <v>71</v>
      </c>
      <c r="F44" s="6" t="s">
        <v>110</v>
      </c>
      <c r="G44" s="9"/>
    </row>
    <row r="45" spans="1:7" ht="15" customHeight="1" x14ac:dyDescent="0.3">
      <c r="A45" s="5" t="s">
        <v>3</v>
      </c>
      <c r="B45" s="6" t="s">
        <v>101</v>
      </c>
      <c r="C45" s="6" t="s">
        <v>132</v>
      </c>
      <c r="D45" s="7" t="s">
        <v>124</v>
      </c>
      <c r="E45" s="5" t="s">
        <v>151</v>
      </c>
      <c r="F45" s="6" t="s">
        <v>117</v>
      </c>
      <c r="G45" s="9"/>
    </row>
    <row r="46" spans="1:7" ht="15" customHeight="1" x14ac:dyDescent="0.3">
      <c r="A46" s="5" t="s">
        <v>3</v>
      </c>
      <c r="B46" s="6" t="s">
        <v>101</v>
      </c>
      <c r="C46" s="6" t="s">
        <v>132</v>
      </c>
      <c r="D46" s="7" t="s">
        <v>11</v>
      </c>
      <c r="E46" s="5" t="s">
        <v>152</v>
      </c>
      <c r="F46" s="6" t="s">
        <v>117</v>
      </c>
      <c r="G46" s="9"/>
    </row>
    <row r="47" spans="1:7" ht="15" customHeight="1" x14ac:dyDescent="0.3">
      <c r="A47" s="5" t="s">
        <v>3</v>
      </c>
      <c r="B47" s="6" t="s">
        <v>31</v>
      </c>
      <c r="C47" s="6" t="s">
        <v>132</v>
      </c>
      <c r="D47" s="7" t="s">
        <v>11</v>
      </c>
      <c r="E47" s="5" t="s">
        <v>72</v>
      </c>
      <c r="F47" s="6" t="s">
        <v>111</v>
      </c>
      <c r="G47" s="9"/>
    </row>
    <row r="48" spans="1:7" ht="15" customHeight="1" x14ac:dyDescent="0.3">
      <c r="A48" s="5" t="s">
        <v>3</v>
      </c>
      <c r="B48" s="6" t="s">
        <v>30</v>
      </c>
      <c r="C48" s="6" t="s">
        <v>102</v>
      </c>
      <c r="D48" s="7" t="s">
        <v>124</v>
      </c>
      <c r="E48" s="5" t="s">
        <v>73</v>
      </c>
      <c r="F48" s="6" t="s">
        <v>115</v>
      </c>
      <c r="G48" s="9"/>
    </row>
    <row r="49" spans="1:7" ht="15" customHeight="1" x14ac:dyDescent="0.3">
      <c r="A49" s="5" t="s">
        <v>3</v>
      </c>
      <c r="B49" s="6" t="s">
        <v>30</v>
      </c>
      <c r="C49" s="6" t="s">
        <v>102</v>
      </c>
      <c r="D49" s="7" t="s">
        <v>11</v>
      </c>
      <c r="E49" s="5" t="s">
        <v>153</v>
      </c>
      <c r="F49" s="6" t="s">
        <v>114</v>
      </c>
      <c r="G49" s="9"/>
    </row>
    <row r="50" spans="1:7" s="96" customFormat="1" ht="15" customHeight="1" x14ac:dyDescent="0.3">
      <c r="A50" s="5" t="s">
        <v>3</v>
      </c>
      <c r="B50" s="6" t="s">
        <v>28</v>
      </c>
      <c r="C50" s="218" t="s">
        <v>132</v>
      </c>
      <c r="D50" s="7" t="s">
        <v>124</v>
      </c>
      <c r="E50" s="5" t="s">
        <v>428</v>
      </c>
      <c r="F50" s="218" t="s">
        <v>118</v>
      </c>
      <c r="G50" s="9"/>
    </row>
    <row r="51" spans="1:7" ht="15" customHeight="1" x14ac:dyDescent="0.3">
      <c r="A51" s="5" t="s">
        <v>3</v>
      </c>
      <c r="B51" s="6" t="s">
        <v>28</v>
      </c>
      <c r="C51" s="6" t="s">
        <v>132</v>
      </c>
      <c r="D51" s="7" t="s">
        <v>124</v>
      </c>
      <c r="E51" s="5" t="s">
        <v>154</v>
      </c>
      <c r="F51" s="6" t="s">
        <v>118</v>
      </c>
      <c r="G51" s="9"/>
    </row>
    <row r="52" spans="1:7" ht="15" customHeight="1" x14ac:dyDescent="0.3">
      <c r="A52" s="5" t="s">
        <v>3</v>
      </c>
      <c r="B52" s="6" t="s">
        <v>28</v>
      </c>
      <c r="C52" s="6" t="s">
        <v>132</v>
      </c>
      <c r="D52" s="7" t="s">
        <v>11</v>
      </c>
      <c r="E52" s="5" t="s">
        <v>155</v>
      </c>
      <c r="F52" s="6" t="s">
        <v>119</v>
      </c>
      <c r="G52" s="9"/>
    </row>
    <row r="53" spans="1:7" s="96" customFormat="1" ht="15" customHeight="1" x14ac:dyDescent="0.3">
      <c r="A53" s="5" t="s">
        <v>3</v>
      </c>
      <c r="B53" s="6" t="s">
        <v>28</v>
      </c>
      <c r="C53" s="218" t="s">
        <v>132</v>
      </c>
      <c r="D53" s="7" t="s">
        <v>124</v>
      </c>
      <c r="E53" s="10" t="s">
        <v>431</v>
      </c>
      <c r="F53" s="218" t="s">
        <v>118</v>
      </c>
      <c r="G53" s="9"/>
    </row>
    <row r="54" spans="1:7" ht="15" customHeight="1" x14ac:dyDescent="0.3">
      <c r="A54" s="5" t="s">
        <v>3</v>
      </c>
      <c r="B54" s="6" t="s">
        <v>31</v>
      </c>
      <c r="C54" s="6" t="s">
        <v>132</v>
      </c>
      <c r="D54" s="7" t="s">
        <v>124</v>
      </c>
      <c r="E54" s="5" t="s">
        <v>92</v>
      </c>
      <c r="F54" s="6" t="s">
        <v>109</v>
      </c>
      <c r="G54" s="9"/>
    </row>
    <row r="55" spans="1:7" ht="15" customHeight="1" x14ac:dyDescent="0.3">
      <c r="A55" s="5" t="s">
        <v>3</v>
      </c>
      <c r="B55" s="6" t="s">
        <v>31</v>
      </c>
      <c r="C55" s="6" t="s">
        <v>132</v>
      </c>
      <c r="D55" s="7" t="s">
        <v>11</v>
      </c>
      <c r="E55" s="5" t="s">
        <v>156</v>
      </c>
      <c r="F55" s="6" t="s">
        <v>120</v>
      </c>
      <c r="G55" s="9"/>
    </row>
    <row r="56" spans="1:7" s="96" customFormat="1" ht="15" customHeight="1" x14ac:dyDescent="0.3">
      <c r="A56" s="5" t="s">
        <v>427</v>
      </c>
      <c r="B56" s="6" t="s">
        <v>30</v>
      </c>
      <c r="C56" s="218" t="s">
        <v>132</v>
      </c>
      <c r="D56" s="7" t="s">
        <v>124</v>
      </c>
      <c r="E56" s="5" t="s">
        <v>426</v>
      </c>
      <c r="F56" s="218" t="s">
        <v>300</v>
      </c>
      <c r="G56" s="9"/>
    </row>
    <row r="57" spans="1:7" ht="15" customHeight="1" x14ac:dyDescent="0.3">
      <c r="A57" s="5" t="s">
        <v>2</v>
      </c>
      <c r="B57" s="6" t="s">
        <v>30</v>
      </c>
      <c r="C57" s="6" t="s">
        <v>103</v>
      </c>
      <c r="D57" s="7" t="s">
        <v>11</v>
      </c>
      <c r="E57" s="5" t="s">
        <v>74</v>
      </c>
      <c r="F57" s="6" t="s">
        <v>114</v>
      </c>
      <c r="G57" s="9"/>
    </row>
    <row r="58" spans="1:7" ht="15" customHeight="1" x14ac:dyDescent="0.3">
      <c r="A58" s="5" t="s">
        <v>2</v>
      </c>
      <c r="B58" s="6" t="s">
        <v>31</v>
      </c>
      <c r="C58" s="6" t="s">
        <v>132</v>
      </c>
      <c r="D58" s="7" t="s">
        <v>124</v>
      </c>
      <c r="E58" s="5" t="s">
        <v>97</v>
      </c>
      <c r="F58" s="6" t="s">
        <v>109</v>
      </c>
      <c r="G58" s="9"/>
    </row>
    <row r="59" spans="1:7" ht="15" customHeight="1" x14ac:dyDescent="0.3">
      <c r="A59" s="5" t="s">
        <v>2</v>
      </c>
      <c r="B59" s="6" t="s">
        <v>31</v>
      </c>
      <c r="C59" s="6" t="s">
        <v>132</v>
      </c>
      <c r="D59" s="7" t="s">
        <v>124</v>
      </c>
      <c r="E59" s="5" t="s">
        <v>75</v>
      </c>
      <c r="F59" s="6" t="s">
        <v>109</v>
      </c>
      <c r="G59" s="9"/>
    </row>
    <row r="60" spans="1:7" ht="15" customHeight="1" x14ac:dyDescent="0.3">
      <c r="A60" s="5" t="s">
        <v>2</v>
      </c>
      <c r="B60" s="6" t="s">
        <v>31</v>
      </c>
      <c r="C60" s="6" t="s">
        <v>132</v>
      </c>
      <c r="D60" s="7" t="s">
        <v>11</v>
      </c>
      <c r="E60" s="5" t="s">
        <v>76</v>
      </c>
      <c r="F60" s="6" t="s">
        <v>111</v>
      </c>
      <c r="G60" s="9"/>
    </row>
    <row r="61" spans="1:7" ht="15" customHeight="1" x14ac:dyDescent="0.3">
      <c r="A61" s="5" t="s">
        <v>2</v>
      </c>
      <c r="B61" s="6" t="s">
        <v>30</v>
      </c>
      <c r="C61" s="6" t="s">
        <v>102</v>
      </c>
      <c r="D61" s="7" t="s">
        <v>124</v>
      </c>
      <c r="E61" s="5" t="s">
        <v>77</v>
      </c>
      <c r="F61" s="6" t="s">
        <v>115</v>
      </c>
      <c r="G61" s="9"/>
    </row>
    <row r="62" spans="1:7" ht="15" customHeight="1" x14ac:dyDescent="0.3">
      <c r="A62" s="5" t="s">
        <v>2</v>
      </c>
      <c r="B62" s="6" t="s">
        <v>31</v>
      </c>
      <c r="C62" s="6" t="s">
        <v>132</v>
      </c>
      <c r="D62" s="7" t="s">
        <v>11</v>
      </c>
      <c r="E62" s="5" t="s">
        <v>78</v>
      </c>
      <c r="F62" s="6" t="s">
        <v>111</v>
      </c>
      <c r="G62" s="9"/>
    </row>
    <row r="63" spans="1:7" ht="15" customHeight="1" x14ac:dyDescent="0.3">
      <c r="A63" s="5" t="s">
        <v>2</v>
      </c>
      <c r="B63" s="6" t="s">
        <v>30</v>
      </c>
      <c r="C63" s="6" t="s">
        <v>102</v>
      </c>
      <c r="D63" s="7" t="s">
        <v>11</v>
      </c>
      <c r="E63" s="5" t="s">
        <v>157</v>
      </c>
      <c r="F63" s="6" t="s">
        <v>111</v>
      </c>
      <c r="G63" s="9"/>
    </row>
    <row r="64" spans="1:7" ht="15" customHeight="1" x14ac:dyDescent="0.3">
      <c r="A64" s="5" t="s">
        <v>2</v>
      </c>
      <c r="B64" s="6" t="s">
        <v>30</v>
      </c>
      <c r="C64" s="6" t="s">
        <v>104</v>
      </c>
      <c r="D64" s="7" t="s">
        <v>11</v>
      </c>
      <c r="E64" s="5" t="s">
        <v>79</v>
      </c>
      <c r="F64" s="6" t="s">
        <v>111</v>
      </c>
      <c r="G64" s="9"/>
    </row>
    <row r="65" spans="1:7" s="96" customFormat="1" ht="15" customHeight="1" x14ac:dyDescent="0.3">
      <c r="A65" s="5" t="s">
        <v>2</v>
      </c>
      <c r="B65" s="6" t="s">
        <v>31</v>
      </c>
      <c r="C65" s="218" t="s">
        <v>132</v>
      </c>
      <c r="D65" s="7" t="s">
        <v>124</v>
      </c>
      <c r="E65" s="5" t="s">
        <v>430</v>
      </c>
      <c r="F65" s="6" t="s">
        <v>111</v>
      </c>
      <c r="G65" s="9"/>
    </row>
    <row r="66" spans="1:7" ht="15" customHeight="1" x14ac:dyDescent="0.3">
      <c r="A66" s="5" t="s">
        <v>2</v>
      </c>
      <c r="B66" s="6" t="s">
        <v>28</v>
      </c>
      <c r="C66" s="6" t="s">
        <v>132</v>
      </c>
      <c r="D66" s="7" t="s">
        <v>124</v>
      </c>
      <c r="E66" s="5" t="s">
        <v>158</v>
      </c>
      <c r="F66" s="6" t="s">
        <v>107</v>
      </c>
      <c r="G66" s="9"/>
    </row>
    <row r="67" spans="1:7" ht="15" customHeight="1" x14ac:dyDescent="0.3">
      <c r="A67" s="5" t="s">
        <v>2</v>
      </c>
      <c r="B67" s="6" t="s">
        <v>28</v>
      </c>
      <c r="C67" s="6" t="s">
        <v>132</v>
      </c>
      <c r="D67" s="7" t="s">
        <v>11</v>
      </c>
      <c r="E67" s="5" t="s">
        <v>159</v>
      </c>
      <c r="F67" s="6" t="s">
        <v>107</v>
      </c>
      <c r="G67" s="9"/>
    </row>
    <row r="68" spans="1:7" ht="15" customHeight="1" x14ac:dyDescent="0.3">
      <c r="A68" s="5" t="s">
        <v>2</v>
      </c>
      <c r="B68" s="6" t="s">
        <v>28</v>
      </c>
      <c r="C68" s="6" t="s">
        <v>132</v>
      </c>
      <c r="D68" s="7" t="s">
        <v>124</v>
      </c>
      <c r="E68" s="5" t="s">
        <v>80</v>
      </c>
      <c r="F68" s="6" t="s">
        <v>118</v>
      </c>
      <c r="G68" s="9"/>
    </row>
    <row r="69" spans="1:7" ht="15" customHeight="1" x14ac:dyDescent="0.3">
      <c r="A69" s="5" t="s">
        <v>2</v>
      </c>
      <c r="B69" s="6" t="s">
        <v>31</v>
      </c>
      <c r="C69" s="6" t="s">
        <v>132</v>
      </c>
      <c r="D69" s="7" t="s">
        <v>11</v>
      </c>
      <c r="E69" s="5" t="s">
        <v>81</v>
      </c>
      <c r="F69" s="6" t="s">
        <v>111</v>
      </c>
      <c r="G69" s="9"/>
    </row>
    <row r="70" spans="1:7" ht="15" customHeight="1" x14ac:dyDescent="0.3">
      <c r="A70" s="5" t="s">
        <v>2</v>
      </c>
      <c r="B70" s="6" t="s">
        <v>28</v>
      </c>
      <c r="C70" s="6" t="s">
        <v>132</v>
      </c>
      <c r="D70" s="7" t="s">
        <v>11</v>
      </c>
      <c r="E70" s="5" t="s">
        <v>160</v>
      </c>
      <c r="F70" s="6" t="s">
        <v>121</v>
      </c>
      <c r="G70" s="9"/>
    </row>
    <row r="71" spans="1:7" ht="15" customHeight="1" x14ac:dyDescent="0.3">
      <c r="A71" s="5" t="s">
        <v>2</v>
      </c>
      <c r="B71" s="6" t="s">
        <v>30</v>
      </c>
      <c r="C71" s="6" t="s">
        <v>105</v>
      </c>
      <c r="D71" s="7" t="s">
        <v>11</v>
      </c>
      <c r="E71" s="5" t="s">
        <v>82</v>
      </c>
      <c r="F71" s="6" t="s">
        <v>111</v>
      </c>
      <c r="G71" s="9"/>
    </row>
    <row r="72" spans="1:7" ht="15" customHeight="1" x14ac:dyDescent="0.3">
      <c r="A72" s="5" t="s">
        <v>2</v>
      </c>
      <c r="B72" s="6" t="s">
        <v>31</v>
      </c>
      <c r="C72" s="6" t="s">
        <v>132</v>
      </c>
      <c r="D72" s="7" t="s">
        <v>11</v>
      </c>
      <c r="E72" s="5" t="s">
        <v>83</v>
      </c>
      <c r="F72" s="6" t="s">
        <v>120</v>
      </c>
      <c r="G72" s="9"/>
    </row>
    <row r="73" spans="1:7" ht="15" customHeight="1" x14ac:dyDescent="0.3">
      <c r="A73" s="5" t="s">
        <v>7</v>
      </c>
      <c r="B73" s="6" t="s">
        <v>31</v>
      </c>
      <c r="C73" s="6" t="s">
        <v>132</v>
      </c>
      <c r="D73" s="7" t="s">
        <v>11</v>
      </c>
      <c r="E73" s="5" t="s">
        <v>84</v>
      </c>
      <c r="F73" s="6" t="s">
        <v>112</v>
      </c>
      <c r="G73" s="9"/>
    </row>
    <row r="74" spans="1:7" ht="15" customHeight="1" x14ac:dyDescent="0.3">
      <c r="A74" s="5" t="s">
        <v>7</v>
      </c>
      <c r="B74" s="6" t="s">
        <v>31</v>
      </c>
      <c r="C74" s="6" t="s">
        <v>132</v>
      </c>
      <c r="D74" s="7" t="s">
        <v>11</v>
      </c>
      <c r="E74" s="5" t="s">
        <v>85</v>
      </c>
      <c r="F74" s="6" t="s">
        <v>122</v>
      </c>
      <c r="G74" s="9"/>
    </row>
    <row r="75" spans="1:7" ht="15" customHeight="1" x14ac:dyDescent="0.3">
      <c r="A75" s="5" t="s">
        <v>100</v>
      </c>
      <c r="B75" s="6" t="s">
        <v>106</v>
      </c>
      <c r="C75" s="6" t="s">
        <v>132</v>
      </c>
      <c r="D75" s="7" t="s">
        <v>106</v>
      </c>
      <c r="E75" s="5" t="s">
        <v>98</v>
      </c>
      <c r="F75" s="6" t="s">
        <v>109</v>
      </c>
      <c r="G75" s="9"/>
    </row>
    <row r="76" spans="1:7" ht="15" customHeight="1" x14ac:dyDescent="0.3">
      <c r="A76" s="5" t="s">
        <v>100</v>
      </c>
      <c r="B76" s="6" t="s">
        <v>106</v>
      </c>
      <c r="C76" s="6" t="s">
        <v>132</v>
      </c>
      <c r="D76" s="7" t="s">
        <v>106</v>
      </c>
      <c r="E76" s="5" t="s">
        <v>161</v>
      </c>
      <c r="F76" s="6" t="s">
        <v>162</v>
      </c>
      <c r="G76" s="9"/>
    </row>
    <row r="77" spans="1:7" ht="15" customHeight="1" x14ac:dyDescent="0.3">
      <c r="A77" s="5" t="s">
        <v>100</v>
      </c>
      <c r="B77" s="6" t="s">
        <v>106</v>
      </c>
      <c r="C77" s="6" t="s">
        <v>132</v>
      </c>
      <c r="D77" s="7" t="s">
        <v>106</v>
      </c>
      <c r="E77" s="5" t="s">
        <v>163</v>
      </c>
      <c r="F77" s="6" t="s">
        <v>116</v>
      </c>
      <c r="G77" s="9"/>
    </row>
    <row r="78" spans="1:7" ht="15" customHeight="1" x14ac:dyDescent="0.3">
      <c r="A78" s="5" t="s">
        <v>100</v>
      </c>
      <c r="B78" s="6" t="s">
        <v>106</v>
      </c>
      <c r="C78" s="6" t="s">
        <v>132</v>
      </c>
      <c r="D78" s="7" t="s">
        <v>106</v>
      </c>
      <c r="E78" s="5" t="s">
        <v>99</v>
      </c>
      <c r="F78" s="6" t="s">
        <v>112</v>
      </c>
      <c r="G78" s="9"/>
    </row>
    <row r="79" spans="1:7" ht="15" customHeight="1" x14ac:dyDescent="0.3">
      <c r="A79" s="5" t="s">
        <v>6</v>
      </c>
      <c r="B79" s="6" t="s">
        <v>29</v>
      </c>
      <c r="C79" s="6" t="s">
        <v>132</v>
      </c>
      <c r="D79" s="7" t="s">
        <v>124</v>
      </c>
      <c r="E79" s="5" t="s">
        <v>86</v>
      </c>
      <c r="F79" s="6" t="s">
        <v>110</v>
      </c>
      <c r="G79" s="9" t="s">
        <v>6</v>
      </c>
    </row>
    <row r="80" spans="1:7" s="96" customFormat="1" ht="15" customHeight="1" x14ac:dyDescent="0.3">
      <c r="A80" s="230" t="s">
        <v>464</v>
      </c>
      <c r="B80" s="6" t="s">
        <v>30</v>
      </c>
      <c r="C80" s="218" t="s">
        <v>132</v>
      </c>
      <c r="D80" s="229" t="s">
        <v>124</v>
      </c>
      <c r="E80" s="10" t="s">
        <v>465</v>
      </c>
      <c r="F80" s="218" t="s">
        <v>466</v>
      </c>
      <c r="G80" s="9"/>
    </row>
    <row r="81" spans="1:7" s="96" customFormat="1" ht="15" customHeight="1" x14ac:dyDescent="0.3">
      <c r="A81" s="230" t="s">
        <v>464</v>
      </c>
      <c r="B81" s="6" t="s">
        <v>30</v>
      </c>
      <c r="C81" s="218" t="s">
        <v>132</v>
      </c>
      <c r="D81" s="229" t="s">
        <v>124</v>
      </c>
      <c r="E81" s="233" t="s">
        <v>474</v>
      </c>
      <c r="F81" s="218" t="s">
        <v>471</v>
      </c>
      <c r="G81" s="9" t="s">
        <v>472</v>
      </c>
    </row>
    <row r="82" spans="1:7" ht="15" customHeight="1" x14ac:dyDescent="0.3">
      <c r="A82" s="5" t="s">
        <v>6</v>
      </c>
      <c r="B82" s="6" t="s">
        <v>29</v>
      </c>
      <c r="C82" s="6" t="s">
        <v>132</v>
      </c>
      <c r="D82" s="7" t="s">
        <v>11</v>
      </c>
      <c r="E82" s="5" t="s">
        <v>164</v>
      </c>
      <c r="F82" s="6" t="s">
        <v>109</v>
      </c>
      <c r="G82" s="9" t="s">
        <v>6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3"/>
  <dimension ref="A1:AG86"/>
  <sheetViews>
    <sheetView topLeftCell="Q1" workbookViewId="0">
      <selection activeCell="V15" sqref="V15"/>
    </sheetView>
  </sheetViews>
  <sheetFormatPr defaultColWidth="9.109375" defaultRowHeight="10.199999999999999" x14ac:dyDescent="0.2"/>
  <cols>
    <col min="1" max="1" width="14.6640625" style="12" customWidth="1"/>
    <col min="2" max="2" width="16.33203125" style="12" customWidth="1"/>
    <col min="3" max="3" width="12.6640625" style="12" customWidth="1"/>
    <col min="4" max="4" width="16.5546875" style="12" customWidth="1"/>
    <col min="5" max="5" width="12.109375" style="12" customWidth="1"/>
    <col min="6" max="6" width="15.33203125" style="12" customWidth="1"/>
    <col min="7" max="7" width="9.5546875" style="12" bestFit="1" customWidth="1"/>
    <col min="8" max="8" width="9.109375" style="12"/>
    <col min="9" max="9" width="13.5546875" style="12" bestFit="1" customWidth="1"/>
    <col min="10" max="10" width="9.109375" style="12"/>
    <col min="11" max="11" width="40" style="12" bestFit="1" customWidth="1"/>
    <col min="12" max="13" width="11.88671875" style="12" customWidth="1"/>
    <col min="14" max="14" width="9.109375" style="12"/>
    <col min="15" max="15" width="22.44140625" style="12" bestFit="1" customWidth="1"/>
    <col min="16" max="16" width="9.109375" style="12"/>
    <col min="17" max="17" width="35.109375" style="12" bestFit="1" customWidth="1"/>
    <col min="18" max="18" width="9.109375" style="12"/>
    <col min="19" max="19" width="51.33203125" style="12" bestFit="1" customWidth="1"/>
    <col min="20" max="20" width="19.5546875" style="12" customWidth="1"/>
    <col min="21" max="21" width="23.44140625" style="12" customWidth="1"/>
    <col min="22" max="22" width="11.6640625" style="16" customWidth="1"/>
    <col min="23" max="23" width="9.109375" style="12"/>
    <col min="24" max="24" width="6.44140625" style="12" customWidth="1"/>
    <col min="25" max="25" width="27.6640625" style="12" bestFit="1" customWidth="1"/>
    <col min="26" max="27" width="9.109375" style="12"/>
    <col min="28" max="28" width="16.88671875" style="12" customWidth="1"/>
    <col min="29" max="29" width="7.109375" style="12" customWidth="1"/>
    <col min="30" max="30" width="14.5546875" style="12" customWidth="1"/>
    <col min="31" max="32" width="9.109375" style="12"/>
    <col min="33" max="33" width="12.88671875" style="12" customWidth="1"/>
    <col min="34" max="16384" width="9.109375" style="12"/>
  </cols>
  <sheetData>
    <row r="1" spans="1:33" x14ac:dyDescent="0.2">
      <c r="A1" s="51" t="s">
        <v>16</v>
      </c>
      <c r="B1" s="51"/>
    </row>
    <row r="2" spans="1:33" x14ac:dyDescent="0.2">
      <c r="A2" s="51" t="s">
        <v>166</v>
      </c>
      <c r="B2" s="51"/>
      <c r="G2" s="51" t="s">
        <v>39</v>
      </c>
      <c r="I2" s="51" t="s">
        <v>25</v>
      </c>
      <c r="K2" s="51" t="s">
        <v>35</v>
      </c>
      <c r="M2" s="51" t="s">
        <v>0</v>
      </c>
      <c r="O2" s="51" t="s">
        <v>13</v>
      </c>
      <c r="Q2" s="51" t="s">
        <v>175</v>
      </c>
      <c r="S2" s="51" t="s">
        <v>306</v>
      </c>
      <c r="T2" s="51"/>
      <c r="V2" s="111"/>
      <c r="X2" s="51" t="s">
        <v>346</v>
      </c>
      <c r="AB2" s="51" t="s">
        <v>347</v>
      </c>
    </row>
    <row r="3" spans="1:33" s="52" customFormat="1" ht="30.6" x14ac:dyDescent="0.2">
      <c r="A3" s="58" t="s">
        <v>25</v>
      </c>
      <c r="B3" s="59" t="s">
        <v>17</v>
      </c>
      <c r="C3" s="59" t="s">
        <v>20</v>
      </c>
      <c r="D3" s="59" t="s">
        <v>38</v>
      </c>
      <c r="E3" s="60" t="s">
        <v>21</v>
      </c>
      <c r="G3" s="66" t="s">
        <v>41</v>
      </c>
      <c r="I3" s="61" t="s">
        <v>165</v>
      </c>
      <c r="K3" s="67" t="s">
        <v>434</v>
      </c>
      <c r="M3" s="61" t="s">
        <v>55</v>
      </c>
      <c r="O3" s="61" t="s">
        <v>124</v>
      </c>
      <c r="Q3" s="61" t="s">
        <v>466</v>
      </c>
      <c r="S3" s="54" t="s">
        <v>296</v>
      </c>
      <c r="T3" s="216" t="s">
        <v>424</v>
      </c>
      <c r="U3" s="54" t="s">
        <v>295</v>
      </c>
      <c r="V3" s="112" t="s">
        <v>308</v>
      </c>
      <c r="X3" s="54" t="s">
        <v>266</v>
      </c>
      <c r="Y3" s="54" t="s">
        <v>229</v>
      </c>
      <c r="AB3" s="54" t="s">
        <v>196</v>
      </c>
      <c r="AC3" s="54" t="s">
        <v>336</v>
      </c>
      <c r="AD3" s="54" t="s">
        <v>335</v>
      </c>
      <c r="AG3" s="54" t="s">
        <v>338</v>
      </c>
    </row>
    <row r="4" spans="1:33" x14ac:dyDescent="0.2">
      <c r="A4" s="62" t="s">
        <v>165</v>
      </c>
      <c r="B4" s="63" t="s">
        <v>36</v>
      </c>
      <c r="C4" s="64">
        <v>6000</v>
      </c>
      <c r="D4" s="64">
        <f>10000*2</f>
        <v>20000</v>
      </c>
      <c r="E4" s="65">
        <v>700</v>
      </c>
      <c r="G4" s="66" t="s">
        <v>42</v>
      </c>
      <c r="I4" s="67" t="s">
        <v>26</v>
      </c>
      <c r="K4" s="61" t="s">
        <v>28</v>
      </c>
      <c r="M4" s="67" t="s">
        <v>126</v>
      </c>
      <c r="O4" s="67" t="s">
        <v>11</v>
      </c>
      <c r="Q4" s="61" t="s">
        <v>473</v>
      </c>
      <c r="S4" s="114" t="s">
        <v>447</v>
      </c>
      <c r="T4" s="217" t="s">
        <v>448</v>
      </c>
      <c r="U4" s="68" t="s">
        <v>304</v>
      </c>
      <c r="V4" s="113">
        <v>156000</v>
      </c>
      <c r="X4" s="68">
        <v>1</v>
      </c>
      <c r="Y4" s="68" t="s">
        <v>41</v>
      </c>
      <c r="AB4" s="68" t="s">
        <v>312</v>
      </c>
      <c r="AC4" s="68" t="s">
        <v>239</v>
      </c>
      <c r="AD4" s="68">
        <v>17</v>
      </c>
      <c r="AG4" s="68"/>
    </row>
    <row r="5" spans="1:33" x14ac:dyDescent="0.2">
      <c r="A5" s="62" t="s">
        <v>165</v>
      </c>
      <c r="B5" s="63" t="s">
        <v>37</v>
      </c>
      <c r="C5" s="64">
        <v>5000</v>
      </c>
      <c r="D5" s="64">
        <f>10000*2</f>
        <v>20000</v>
      </c>
      <c r="E5" s="65">
        <v>700</v>
      </c>
      <c r="G5" s="66" t="s">
        <v>43</v>
      </c>
      <c r="I5" s="67" t="s">
        <v>8</v>
      </c>
      <c r="K5" s="67" t="s">
        <v>29</v>
      </c>
      <c r="M5" s="67" t="s">
        <v>10</v>
      </c>
      <c r="O5" s="67" t="s">
        <v>139</v>
      </c>
      <c r="Q5" s="61"/>
      <c r="S5" s="114" t="s">
        <v>449</v>
      </c>
      <c r="T5" s="217" t="s">
        <v>450</v>
      </c>
      <c r="U5" s="68" t="s">
        <v>304</v>
      </c>
      <c r="V5" s="113">
        <v>156000</v>
      </c>
      <c r="X5" s="68">
        <v>2</v>
      </c>
      <c r="Y5" s="68" t="s">
        <v>42</v>
      </c>
      <c r="AB5" s="68" t="s">
        <v>313</v>
      </c>
      <c r="AC5" s="68" t="s">
        <v>240</v>
      </c>
      <c r="AD5" s="68">
        <v>20</v>
      </c>
      <c r="AG5" s="68" t="s">
        <v>383</v>
      </c>
    </row>
    <row r="6" spans="1:33" x14ac:dyDescent="0.2">
      <c r="A6" s="62" t="s">
        <v>165</v>
      </c>
      <c r="B6" s="63" t="s">
        <v>27</v>
      </c>
      <c r="C6" s="64">
        <v>5000</v>
      </c>
      <c r="D6" s="64">
        <f>10000*2</f>
        <v>20000</v>
      </c>
      <c r="E6" s="65">
        <v>700</v>
      </c>
      <c r="G6" s="66" t="s">
        <v>44</v>
      </c>
      <c r="I6" s="67" t="s">
        <v>9</v>
      </c>
      <c r="K6" s="67" t="s">
        <v>128</v>
      </c>
      <c r="M6" s="67" t="s">
        <v>34</v>
      </c>
      <c r="Q6" s="61"/>
      <c r="S6" s="114" t="s">
        <v>451</v>
      </c>
      <c r="T6" s="217" t="s">
        <v>425</v>
      </c>
      <c r="U6" s="68" t="s">
        <v>297</v>
      </c>
      <c r="V6" s="113">
        <v>60944.444444444445</v>
      </c>
      <c r="X6" s="68">
        <v>3</v>
      </c>
      <c r="Y6" s="68" t="s">
        <v>43</v>
      </c>
      <c r="AB6" s="68" t="s">
        <v>314</v>
      </c>
      <c r="AC6" s="68" t="s">
        <v>241</v>
      </c>
      <c r="AD6" s="68">
        <v>20</v>
      </c>
    </row>
    <row r="7" spans="1:33" x14ac:dyDescent="0.2">
      <c r="A7" s="62" t="s">
        <v>26</v>
      </c>
      <c r="B7" s="63" t="s">
        <v>36</v>
      </c>
      <c r="C7" s="64">
        <v>6000</v>
      </c>
      <c r="D7" s="64">
        <f>8000*2</f>
        <v>16000</v>
      </c>
      <c r="E7" s="65">
        <v>700</v>
      </c>
      <c r="G7" s="66" t="s">
        <v>45</v>
      </c>
      <c r="I7" s="67" t="s">
        <v>6</v>
      </c>
      <c r="K7" s="67" t="s">
        <v>30</v>
      </c>
      <c r="M7" s="67" t="s">
        <v>4</v>
      </c>
      <c r="Q7" s="61"/>
      <c r="S7" s="114" t="s">
        <v>451</v>
      </c>
      <c r="T7" s="217" t="s">
        <v>425</v>
      </c>
      <c r="U7" s="68" t="s">
        <v>297</v>
      </c>
      <c r="V7" s="113">
        <v>60944.444444444445</v>
      </c>
      <c r="X7" s="68">
        <v>4</v>
      </c>
      <c r="Y7" s="68" t="s">
        <v>44</v>
      </c>
      <c r="AB7" s="68" t="s">
        <v>315</v>
      </c>
      <c r="AC7" s="68" t="s">
        <v>242</v>
      </c>
      <c r="AD7" s="68">
        <v>22</v>
      </c>
    </row>
    <row r="8" spans="1:33" x14ac:dyDescent="0.2">
      <c r="A8" s="62" t="s">
        <v>26</v>
      </c>
      <c r="B8" s="63" t="s">
        <v>37</v>
      </c>
      <c r="C8" s="64">
        <v>5000</v>
      </c>
      <c r="D8" s="64">
        <f>6000*2</f>
        <v>12000</v>
      </c>
      <c r="E8" s="65">
        <v>700</v>
      </c>
      <c r="G8" s="66" t="s">
        <v>46</v>
      </c>
      <c r="I8" s="67" t="s">
        <v>51</v>
      </c>
      <c r="K8" s="67" t="s">
        <v>129</v>
      </c>
      <c r="M8" s="67" t="s">
        <v>9</v>
      </c>
      <c r="Q8" s="61"/>
      <c r="S8" s="114" t="s">
        <v>452</v>
      </c>
      <c r="T8" s="217" t="s">
        <v>450</v>
      </c>
      <c r="U8" s="68" t="s">
        <v>302</v>
      </c>
      <c r="V8" s="113">
        <v>58661.75</v>
      </c>
      <c r="X8" s="68">
        <v>5</v>
      </c>
      <c r="Y8" s="68" t="s">
        <v>45</v>
      </c>
      <c r="AB8" s="68" t="s">
        <v>316</v>
      </c>
      <c r="AC8" s="68" t="s">
        <v>243</v>
      </c>
      <c r="AD8" s="68">
        <v>18</v>
      </c>
    </row>
    <row r="9" spans="1:33" x14ac:dyDescent="0.2">
      <c r="A9" s="62" t="s">
        <v>26</v>
      </c>
      <c r="B9" s="63" t="s">
        <v>27</v>
      </c>
      <c r="C9" s="64">
        <v>5000</v>
      </c>
      <c r="D9" s="64">
        <f>5500*2</f>
        <v>11000</v>
      </c>
      <c r="E9" s="65">
        <v>700</v>
      </c>
      <c r="G9" s="66" t="s">
        <v>47</v>
      </c>
      <c r="K9" s="67" t="s">
        <v>101</v>
      </c>
      <c r="M9" s="67" t="s">
        <v>5</v>
      </c>
      <c r="S9" s="114" t="s">
        <v>453</v>
      </c>
      <c r="T9" s="217" t="s">
        <v>450</v>
      </c>
      <c r="U9" s="68" t="s">
        <v>302</v>
      </c>
      <c r="V9" s="113">
        <v>58661.75</v>
      </c>
      <c r="X9" s="68">
        <v>6</v>
      </c>
      <c r="Y9" s="68" t="s">
        <v>46</v>
      </c>
      <c r="AB9" s="68" t="s">
        <v>317</v>
      </c>
      <c r="AC9" s="68" t="s">
        <v>244</v>
      </c>
      <c r="AD9" s="68">
        <v>19</v>
      </c>
    </row>
    <row r="10" spans="1:33" x14ac:dyDescent="0.2">
      <c r="A10" s="62" t="s">
        <v>8</v>
      </c>
      <c r="B10" s="63" t="s">
        <v>36</v>
      </c>
      <c r="C10" s="64">
        <v>6000</v>
      </c>
      <c r="D10" s="64">
        <f>12000*2</f>
        <v>24000</v>
      </c>
      <c r="E10" s="65">
        <v>700</v>
      </c>
      <c r="G10" s="66" t="s">
        <v>48</v>
      </c>
      <c r="K10" s="67" t="s">
        <v>31</v>
      </c>
      <c r="M10" s="67" t="s">
        <v>127</v>
      </c>
      <c r="S10" s="114" t="s">
        <v>454</v>
      </c>
      <c r="T10" s="217" t="s">
        <v>448</v>
      </c>
      <c r="U10" s="68" t="s">
        <v>302</v>
      </c>
      <c r="V10" s="113">
        <v>58661.75</v>
      </c>
      <c r="X10" s="68">
        <v>7</v>
      </c>
      <c r="Y10" s="68" t="s">
        <v>47</v>
      </c>
      <c r="AB10" s="68" t="s">
        <v>318</v>
      </c>
      <c r="AC10" s="68" t="s">
        <v>245</v>
      </c>
      <c r="AD10" s="68">
        <v>23</v>
      </c>
    </row>
    <row r="11" spans="1:33" x14ac:dyDescent="0.2">
      <c r="A11" s="62" t="s">
        <v>8</v>
      </c>
      <c r="B11" s="63" t="s">
        <v>37</v>
      </c>
      <c r="C11" s="64">
        <v>5000</v>
      </c>
      <c r="D11" s="64">
        <f>12000*2</f>
        <v>24000</v>
      </c>
      <c r="E11" s="65">
        <v>700</v>
      </c>
      <c r="G11" s="66" t="s">
        <v>49</v>
      </c>
      <c r="K11" s="67" t="s">
        <v>32</v>
      </c>
      <c r="M11" s="67" t="s">
        <v>3</v>
      </c>
      <c r="S11" s="114" t="s">
        <v>455</v>
      </c>
      <c r="T11" s="217" t="s">
        <v>448</v>
      </c>
      <c r="U11" s="68" t="s">
        <v>302</v>
      </c>
      <c r="V11" s="113">
        <v>58661.75</v>
      </c>
      <c r="X11" s="68">
        <v>8</v>
      </c>
      <c r="Y11" s="68" t="s">
        <v>48</v>
      </c>
      <c r="AB11" s="68" t="s">
        <v>319</v>
      </c>
      <c r="AC11" s="68" t="s">
        <v>246</v>
      </c>
      <c r="AD11" s="68">
        <v>22</v>
      </c>
    </row>
    <row r="12" spans="1:33" x14ac:dyDescent="0.2">
      <c r="A12" s="62" t="s">
        <v>8</v>
      </c>
      <c r="B12" s="63" t="s">
        <v>27</v>
      </c>
      <c r="C12" s="64">
        <v>5000</v>
      </c>
      <c r="D12" s="64">
        <f>12000*2</f>
        <v>24000</v>
      </c>
      <c r="E12" s="65">
        <v>700</v>
      </c>
      <c r="G12" s="66" t="s">
        <v>52</v>
      </c>
      <c r="K12" s="67" t="s">
        <v>33</v>
      </c>
      <c r="M12" s="61" t="s">
        <v>467</v>
      </c>
      <c r="S12" s="114" t="s">
        <v>456</v>
      </c>
      <c r="T12" s="217" t="s">
        <v>448</v>
      </c>
      <c r="U12" s="68" t="s">
        <v>302</v>
      </c>
      <c r="V12" s="113">
        <v>58661.75</v>
      </c>
      <c r="X12" s="68">
        <v>9</v>
      </c>
      <c r="Y12" s="68" t="s">
        <v>49</v>
      </c>
      <c r="AB12" s="68" t="s">
        <v>320</v>
      </c>
      <c r="AC12" s="68" t="s">
        <v>247</v>
      </c>
      <c r="AD12" s="68">
        <v>21</v>
      </c>
    </row>
    <row r="13" spans="1:33" x14ac:dyDescent="0.2">
      <c r="A13" s="62" t="s">
        <v>9</v>
      </c>
      <c r="B13" s="63" t="s">
        <v>36</v>
      </c>
      <c r="C13" s="64">
        <v>6000</v>
      </c>
      <c r="D13" s="64">
        <f>8000*2</f>
        <v>16000</v>
      </c>
      <c r="E13" s="65">
        <v>700</v>
      </c>
      <c r="G13" s="66" t="s">
        <v>53</v>
      </c>
      <c r="M13" s="67" t="s">
        <v>467</v>
      </c>
      <c r="S13" s="114" t="s">
        <v>457</v>
      </c>
      <c r="T13" s="217" t="s">
        <v>450</v>
      </c>
      <c r="U13" s="68" t="s">
        <v>302</v>
      </c>
      <c r="V13" s="113">
        <v>58661.75</v>
      </c>
      <c r="X13" s="68">
        <v>10</v>
      </c>
      <c r="Y13" s="68" t="s">
        <v>52</v>
      </c>
      <c r="AB13" s="68" t="s">
        <v>321</v>
      </c>
      <c r="AC13" s="68" t="s">
        <v>248</v>
      </c>
      <c r="AD13" s="68">
        <v>23</v>
      </c>
    </row>
    <row r="14" spans="1:33" x14ac:dyDescent="0.2">
      <c r="A14" s="62" t="s">
        <v>9</v>
      </c>
      <c r="B14" s="63" t="s">
        <v>37</v>
      </c>
      <c r="C14" s="64">
        <v>5000</v>
      </c>
      <c r="D14" s="64">
        <f>5000*2</f>
        <v>10000</v>
      </c>
      <c r="E14" s="65">
        <v>700</v>
      </c>
      <c r="G14" s="66" t="s">
        <v>54</v>
      </c>
      <c r="M14" s="67" t="s">
        <v>6</v>
      </c>
      <c r="S14" s="114" t="s">
        <v>473</v>
      </c>
      <c r="T14" s="217" t="s">
        <v>450</v>
      </c>
      <c r="U14" s="68" t="s">
        <v>299</v>
      </c>
      <c r="V14" s="113">
        <v>125620.74639</v>
      </c>
      <c r="X14" s="68">
        <v>11</v>
      </c>
      <c r="Y14" s="68" t="s">
        <v>53</v>
      </c>
      <c r="AB14" s="68" t="s">
        <v>322</v>
      </c>
      <c r="AC14" s="68" t="s">
        <v>249</v>
      </c>
      <c r="AD14" s="68">
        <v>20</v>
      </c>
    </row>
    <row r="15" spans="1:33" x14ac:dyDescent="0.2">
      <c r="A15" s="62" t="s">
        <v>9</v>
      </c>
      <c r="B15" s="63" t="s">
        <v>27</v>
      </c>
      <c r="C15" s="64">
        <v>5000</v>
      </c>
      <c r="D15" s="64">
        <f>4500*2</f>
        <v>9000</v>
      </c>
      <c r="E15" s="65">
        <v>700</v>
      </c>
      <c r="M15" s="67" t="s">
        <v>467</v>
      </c>
      <c r="S15" s="114" t="s">
        <v>476</v>
      </c>
      <c r="T15" s="217" t="s">
        <v>458</v>
      </c>
      <c r="U15" s="68" t="s">
        <v>475</v>
      </c>
      <c r="V15" s="113">
        <v>100350.02649</v>
      </c>
      <c r="X15" s="68">
        <v>12</v>
      </c>
      <c r="Y15" s="68" t="s">
        <v>54</v>
      </c>
      <c r="AB15" s="68" t="s">
        <v>323</v>
      </c>
      <c r="AC15" s="68" t="s">
        <v>250</v>
      </c>
      <c r="AD15" s="68">
        <v>22</v>
      </c>
    </row>
    <row r="16" spans="1:33" x14ac:dyDescent="0.2">
      <c r="A16" s="62" t="s">
        <v>50</v>
      </c>
      <c r="B16" s="63" t="s">
        <v>36</v>
      </c>
      <c r="C16" s="64">
        <v>6000</v>
      </c>
      <c r="D16" s="64">
        <f>15000*2</f>
        <v>30000</v>
      </c>
      <c r="E16" s="65">
        <v>700</v>
      </c>
      <c r="G16" s="51" t="s">
        <v>189</v>
      </c>
      <c r="K16" s="69" t="s">
        <v>182</v>
      </c>
      <c r="L16" s="69" t="s">
        <v>176</v>
      </c>
      <c r="M16" s="67" t="s">
        <v>467</v>
      </c>
      <c r="S16" s="114" t="s">
        <v>459</v>
      </c>
      <c r="T16" s="217" t="s">
        <v>448</v>
      </c>
      <c r="U16" s="68" t="s">
        <v>303</v>
      </c>
      <c r="V16" s="113">
        <v>84937.5</v>
      </c>
      <c r="X16" s="68">
        <v>13</v>
      </c>
      <c r="Y16" s="68" t="s">
        <v>267</v>
      </c>
      <c r="AB16" s="68" t="s">
        <v>324</v>
      </c>
      <c r="AC16" s="68" t="s">
        <v>239</v>
      </c>
      <c r="AD16" s="68">
        <v>17</v>
      </c>
    </row>
    <row r="17" spans="1:30" x14ac:dyDescent="0.2">
      <c r="A17" s="62" t="s">
        <v>50</v>
      </c>
      <c r="B17" s="63" t="s">
        <v>37</v>
      </c>
      <c r="C17" s="64">
        <v>5000</v>
      </c>
      <c r="D17" s="64">
        <f>10000*2</f>
        <v>20000</v>
      </c>
      <c r="E17" s="65">
        <v>700</v>
      </c>
      <c r="G17" s="70" t="s">
        <v>190</v>
      </c>
      <c r="K17" s="71" t="s">
        <v>183</v>
      </c>
      <c r="L17" s="72" t="s">
        <v>192</v>
      </c>
      <c r="S17" s="114" t="s">
        <v>477</v>
      </c>
      <c r="T17" s="217" t="s">
        <v>448</v>
      </c>
      <c r="U17" s="68" t="s">
        <v>301</v>
      </c>
      <c r="V17" s="113">
        <v>150648.56482900001</v>
      </c>
      <c r="X17" s="68">
        <v>14</v>
      </c>
      <c r="Y17" s="68" t="s">
        <v>268</v>
      </c>
      <c r="AB17" s="68" t="s">
        <v>325</v>
      </c>
      <c r="AC17" s="68" t="s">
        <v>240</v>
      </c>
      <c r="AD17" s="68">
        <v>19</v>
      </c>
    </row>
    <row r="18" spans="1:30" x14ac:dyDescent="0.2">
      <c r="A18" s="62" t="s">
        <v>50</v>
      </c>
      <c r="B18" s="63" t="s">
        <v>27</v>
      </c>
      <c r="C18" s="64">
        <v>5000</v>
      </c>
      <c r="D18" s="64">
        <f>10000*2</f>
        <v>20000</v>
      </c>
      <c r="E18" s="65">
        <v>700</v>
      </c>
      <c r="G18" s="70" t="s">
        <v>191</v>
      </c>
      <c r="K18" s="71" t="s">
        <v>185</v>
      </c>
      <c r="L18" s="72" t="s">
        <v>178</v>
      </c>
      <c r="S18" s="114" t="s">
        <v>460</v>
      </c>
      <c r="T18" s="217" t="s">
        <v>448</v>
      </c>
      <c r="U18" s="68" t="s">
        <v>305</v>
      </c>
      <c r="V18" s="113">
        <v>108090.90909090909</v>
      </c>
      <c r="X18" s="68">
        <v>15</v>
      </c>
      <c r="Y18" s="68" t="s">
        <v>269</v>
      </c>
      <c r="AB18" s="68" t="s">
        <v>326</v>
      </c>
      <c r="AC18" s="68" t="s">
        <v>241</v>
      </c>
      <c r="AD18" s="68">
        <v>21</v>
      </c>
    </row>
    <row r="19" spans="1:30" x14ac:dyDescent="0.2">
      <c r="A19" s="62" t="s">
        <v>6</v>
      </c>
      <c r="B19" s="63" t="s">
        <v>36</v>
      </c>
      <c r="C19" s="64">
        <v>6000</v>
      </c>
      <c r="D19" s="64">
        <f>15000*2</f>
        <v>30000</v>
      </c>
      <c r="E19" s="65">
        <v>700</v>
      </c>
      <c r="K19" s="71" t="s">
        <v>187</v>
      </c>
      <c r="L19" s="72" t="s">
        <v>180</v>
      </c>
      <c r="S19" s="114" t="s">
        <v>461</v>
      </c>
      <c r="T19" s="217" t="s">
        <v>425</v>
      </c>
      <c r="U19" s="68" t="s">
        <v>298</v>
      </c>
      <c r="V19" s="113">
        <v>49002</v>
      </c>
      <c r="AB19" s="68" t="s">
        <v>327</v>
      </c>
      <c r="AC19" s="68" t="s">
        <v>242</v>
      </c>
      <c r="AD19" s="68">
        <v>22</v>
      </c>
    </row>
    <row r="20" spans="1:30" x14ac:dyDescent="0.2">
      <c r="A20" s="62" t="s">
        <v>6</v>
      </c>
      <c r="B20" s="63" t="s">
        <v>37</v>
      </c>
      <c r="C20" s="64">
        <v>5000</v>
      </c>
      <c r="D20" s="64">
        <f>10000*2</f>
        <v>20000</v>
      </c>
      <c r="E20" s="65">
        <v>700</v>
      </c>
      <c r="K20" s="71" t="s">
        <v>184</v>
      </c>
      <c r="L20" s="72" t="s">
        <v>177</v>
      </c>
      <c r="S20" s="114" t="s">
        <v>462</v>
      </c>
      <c r="T20" s="217" t="s">
        <v>425</v>
      </c>
      <c r="U20" s="68" t="s">
        <v>298</v>
      </c>
      <c r="V20" s="113">
        <v>49002</v>
      </c>
      <c r="AB20" s="68" t="s">
        <v>328</v>
      </c>
      <c r="AC20" s="68" t="s">
        <v>243</v>
      </c>
      <c r="AD20" s="68">
        <v>17</v>
      </c>
    </row>
    <row r="21" spans="1:30" x14ac:dyDescent="0.2">
      <c r="A21" s="62" t="s">
        <v>6</v>
      </c>
      <c r="B21" s="63" t="s">
        <v>27</v>
      </c>
      <c r="C21" s="64">
        <v>5000</v>
      </c>
      <c r="D21" s="64">
        <f>10000*2</f>
        <v>20000</v>
      </c>
      <c r="E21" s="65">
        <v>700</v>
      </c>
      <c r="K21" s="71" t="s">
        <v>186</v>
      </c>
      <c r="L21" s="72" t="s">
        <v>179</v>
      </c>
      <c r="S21" s="114" t="s">
        <v>478</v>
      </c>
      <c r="T21" s="217" t="s">
        <v>425</v>
      </c>
      <c r="U21" s="231" t="s">
        <v>468</v>
      </c>
      <c r="V21" s="232">
        <v>200000.248578</v>
      </c>
      <c r="AB21" s="68" t="s">
        <v>329</v>
      </c>
      <c r="AC21" s="68" t="s">
        <v>244</v>
      </c>
      <c r="AD21" s="68">
        <v>21</v>
      </c>
    </row>
    <row r="22" spans="1:30" x14ac:dyDescent="0.2">
      <c r="A22" s="62" t="s">
        <v>51</v>
      </c>
      <c r="B22" s="63" t="s">
        <v>36</v>
      </c>
      <c r="C22" s="64">
        <v>6000</v>
      </c>
      <c r="D22" s="64">
        <f>15000*2</f>
        <v>30000</v>
      </c>
      <c r="E22" s="65">
        <v>700</v>
      </c>
      <c r="K22" s="73" t="s">
        <v>188</v>
      </c>
      <c r="L22" s="74" t="s">
        <v>181</v>
      </c>
      <c r="S22" s="114" t="s">
        <v>463</v>
      </c>
      <c r="T22" s="217" t="s">
        <v>425</v>
      </c>
      <c r="U22" s="68" t="s">
        <v>298</v>
      </c>
      <c r="V22" s="113">
        <v>49002</v>
      </c>
      <c r="AB22" s="68" t="s">
        <v>330</v>
      </c>
      <c r="AC22" s="68" t="s">
        <v>245</v>
      </c>
      <c r="AD22" s="68">
        <v>23</v>
      </c>
    </row>
    <row r="23" spans="1:30" x14ac:dyDescent="0.2">
      <c r="A23" s="62" t="s">
        <v>51</v>
      </c>
      <c r="B23" s="63" t="s">
        <v>37</v>
      </c>
      <c r="C23" s="64">
        <v>5000</v>
      </c>
      <c r="D23" s="64">
        <f>10000*2</f>
        <v>20000</v>
      </c>
      <c r="E23" s="65">
        <v>700</v>
      </c>
      <c r="AB23" s="68" t="s">
        <v>331</v>
      </c>
      <c r="AC23" s="68" t="s">
        <v>246</v>
      </c>
      <c r="AD23" s="68">
        <v>21</v>
      </c>
    </row>
    <row r="24" spans="1:30" x14ac:dyDescent="0.2">
      <c r="A24" s="75" t="s">
        <v>51</v>
      </c>
      <c r="B24" s="76" t="s">
        <v>27</v>
      </c>
      <c r="C24" s="77">
        <v>5000</v>
      </c>
      <c r="D24" s="77">
        <f>10000*2</f>
        <v>20000</v>
      </c>
      <c r="E24" s="78">
        <v>700</v>
      </c>
      <c r="AB24" s="68" t="s">
        <v>332</v>
      </c>
      <c r="AC24" s="68" t="s">
        <v>247</v>
      </c>
      <c r="AD24" s="68">
        <v>22</v>
      </c>
    </row>
    <row r="25" spans="1:30" x14ac:dyDescent="0.2">
      <c r="AB25" s="68" t="s">
        <v>333</v>
      </c>
      <c r="AC25" s="68" t="s">
        <v>248</v>
      </c>
      <c r="AD25" s="68">
        <v>22</v>
      </c>
    </row>
    <row r="26" spans="1:30" x14ac:dyDescent="0.2">
      <c r="AB26" s="68" t="s">
        <v>334</v>
      </c>
      <c r="AC26" s="68" t="s">
        <v>249</v>
      </c>
      <c r="AD26" s="68">
        <v>20</v>
      </c>
    </row>
    <row r="27" spans="1:30" x14ac:dyDescent="0.2">
      <c r="AB27" s="68" t="s">
        <v>435</v>
      </c>
      <c r="AC27" s="68" t="s">
        <v>239</v>
      </c>
      <c r="AD27" s="68">
        <v>17</v>
      </c>
    </row>
    <row r="28" spans="1:30" x14ac:dyDescent="0.2">
      <c r="AB28" s="68" t="s">
        <v>436</v>
      </c>
      <c r="AC28" s="68" t="s">
        <v>240</v>
      </c>
      <c r="AD28" s="68">
        <v>19</v>
      </c>
    </row>
    <row r="29" spans="1:30" x14ac:dyDescent="0.2">
      <c r="AB29" s="68" t="s">
        <v>437</v>
      </c>
      <c r="AC29" s="68" t="s">
        <v>241</v>
      </c>
      <c r="AD29" s="68">
        <v>22</v>
      </c>
    </row>
    <row r="30" spans="1:30" x14ac:dyDescent="0.2">
      <c r="AB30" s="68" t="s">
        <v>438</v>
      </c>
      <c r="AC30" s="68" t="s">
        <v>242</v>
      </c>
      <c r="AD30" s="68">
        <v>20</v>
      </c>
    </row>
    <row r="31" spans="1:30" x14ac:dyDescent="0.2">
      <c r="AB31" s="68" t="s">
        <v>439</v>
      </c>
      <c r="AC31" s="68" t="s">
        <v>243</v>
      </c>
      <c r="AD31" s="68">
        <v>21</v>
      </c>
    </row>
    <row r="32" spans="1:30" x14ac:dyDescent="0.2">
      <c r="AB32" s="68" t="s">
        <v>440</v>
      </c>
      <c r="AC32" s="68" t="s">
        <v>244</v>
      </c>
      <c r="AD32" s="68">
        <v>21</v>
      </c>
    </row>
    <row r="33" spans="28:30" x14ac:dyDescent="0.2">
      <c r="AB33" s="68" t="s">
        <v>441</v>
      </c>
      <c r="AC33" s="68" t="s">
        <v>245</v>
      </c>
      <c r="AD33" s="68">
        <v>21</v>
      </c>
    </row>
    <row r="34" spans="28:30" x14ac:dyDescent="0.2">
      <c r="AB34" s="68" t="s">
        <v>442</v>
      </c>
      <c r="AC34" s="68" t="s">
        <v>246</v>
      </c>
      <c r="AD34" s="68">
        <v>23</v>
      </c>
    </row>
    <row r="35" spans="28:30" x14ac:dyDescent="0.2">
      <c r="AB35" s="68" t="s">
        <v>443</v>
      </c>
      <c r="AC35" s="68" t="s">
        <v>247</v>
      </c>
      <c r="AD35" s="68">
        <v>21</v>
      </c>
    </row>
    <row r="36" spans="28:30" x14ac:dyDescent="0.2">
      <c r="AB36" s="68" t="s">
        <v>444</v>
      </c>
      <c r="AC36" s="68" t="s">
        <v>248</v>
      </c>
      <c r="AD36" s="68">
        <v>22</v>
      </c>
    </row>
    <row r="37" spans="28:30" x14ac:dyDescent="0.2">
      <c r="AB37" s="68" t="s">
        <v>445</v>
      </c>
      <c r="AC37" s="68" t="s">
        <v>249</v>
      </c>
      <c r="AD37" s="68">
        <v>21</v>
      </c>
    </row>
    <row r="38" spans="28:30" x14ac:dyDescent="0.2">
      <c r="AB38" s="68" t="s">
        <v>446</v>
      </c>
      <c r="AC38" s="68" t="s">
        <v>250</v>
      </c>
      <c r="AD38" s="68">
        <v>21</v>
      </c>
    </row>
    <row r="39" spans="28:30" x14ac:dyDescent="0.2">
      <c r="AB39" s="68" t="s">
        <v>480</v>
      </c>
      <c r="AC39" s="68" t="s">
        <v>239</v>
      </c>
      <c r="AD39" s="68">
        <v>13</v>
      </c>
    </row>
    <row r="40" spans="28:30" x14ac:dyDescent="0.2">
      <c r="AB40" s="68" t="s">
        <v>481</v>
      </c>
      <c r="AC40" s="68" t="s">
        <v>240</v>
      </c>
      <c r="AD40" s="68">
        <v>19</v>
      </c>
    </row>
    <row r="41" spans="28:30" x14ac:dyDescent="0.2">
      <c r="AB41" s="68" t="s">
        <v>483</v>
      </c>
      <c r="AC41" s="68" t="s">
        <v>242</v>
      </c>
      <c r="AD41" s="68">
        <v>22</v>
      </c>
    </row>
    <row r="42" spans="28:30" x14ac:dyDescent="0.2">
      <c r="AB42" s="68" t="s">
        <v>482</v>
      </c>
      <c r="AC42" s="68" t="s">
        <v>241</v>
      </c>
      <c r="AD42" s="68">
        <v>22</v>
      </c>
    </row>
    <row r="43" spans="28:30" x14ac:dyDescent="0.2">
      <c r="AB43" s="68" t="s">
        <v>484</v>
      </c>
      <c r="AC43" s="68" t="s">
        <v>243</v>
      </c>
      <c r="AD43" s="68">
        <v>19</v>
      </c>
    </row>
    <row r="44" spans="28:30" x14ac:dyDescent="0.2">
      <c r="AB44" s="68" t="s">
        <v>485</v>
      </c>
      <c r="AC44" s="68" t="s">
        <v>244</v>
      </c>
      <c r="AD44" s="68">
        <v>21</v>
      </c>
    </row>
    <row r="45" spans="28:30" x14ac:dyDescent="0.2">
      <c r="AB45" s="68" t="s">
        <v>486</v>
      </c>
      <c r="AC45" s="68" t="s">
        <v>245</v>
      </c>
      <c r="AD45" s="68">
        <v>22</v>
      </c>
    </row>
    <row r="46" spans="28:30" x14ac:dyDescent="0.2">
      <c r="AB46" s="68" t="s">
        <v>487</v>
      </c>
      <c r="AC46" s="68" t="s">
        <v>246</v>
      </c>
      <c r="AD46" s="68">
        <v>22</v>
      </c>
    </row>
    <row r="47" spans="28:30" x14ac:dyDescent="0.2">
      <c r="AB47" s="68" t="s">
        <v>488</v>
      </c>
      <c r="AC47" s="68" t="s">
        <v>247</v>
      </c>
      <c r="AD47" s="68">
        <v>22</v>
      </c>
    </row>
    <row r="48" spans="28:30" x14ac:dyDescent="0.2">
      <c r="AB48" s="68" t="s">
        <v>489</v>
      </c>
      <c r="AC48" s="68" t="s">
        <v>248</v>
      </c>
      <c r="AD48" s="68">
        <v>21</v>
      </c>
    </row>
    <row r="49" spans="28:30" x14ac:dyDescent="0.2">
      <c r="AB49" s="68" t="s">
        <v>490</v>
      </c>
      <c r="AC49" s="68" t="s">
        <v>249</v>
      </c>
      <c r="AD49" s="68">
        <v>21</v>
      </c>
    </row>
    <row r="50" spans="28:30" x14ac:dyDescent="0.2">
      <c r="AB50" s="68" t="s">
        <v>491</v>
      </c>
      <c r="AC50" s="68" t="s">
        <v>250</v>
      </c>
      <c r="AD50" s="68">
        <v>23</v>
      </c>
    </row>
    <row r="51" spans="28:30" x14ac:dyDescent="0.2">
      <c r="AB51" s="68" t="s">
        <v>492</v>
      </c>
      <c r="AC51" s="68" t="s">
        <v>239</v>
      </c>
      <c r="AD51" s="68">
        <v>17</v>
      </c>
    </row>
    <row r="52" spans="28:30" x14ac:dyDescent="0.2">
      <c r="AB52" s="68" t="s">
        <v>493</v>
      </c>
      <c r="AC52" s="68" t="s">
        <v>240</v>
      </c>
      <c r="AD52" s="68">
        <v>19</v>
      </c>
    </row>
    <row r="53" spans="28:30" x14ac:dyDescent="0.2">
      <c r="AB53" s="68" t="s">
        <v>494</v>
      </c>
      <c r="AC53" s="68" t="s">
        <v>241</v>
      </c>
      <c r="AD53" s="68">
        <v>22</v>
      </c>
    </row>
    <row r="54" spans="28:30" x14ac:dyDescent="0.2">
      <c r="AB54" s="68" t="s">
        <v>495</v>
      </c>
      <c r="AC54" s="68" t="s">
        <v>242</v>
      </c>
      <c r="AD54" s="68">
        <v>20</v>
      </c>
    </row>
    <row r="55" spans="28:30" x14ac:dyDescent="0.2">
      <c r="AB55" s="68" t="s">
        <v>496</v>
      </c>
      <c r="AC55" s="68" t="s">
        <v>243</v>
      </c>
      <c r="AD55" s="68">
        <v>21</v>
      </c>
    </row>
    <row r="56" spans="28:30" x14ac:dyDescent="0.2">
      <c r="AB56" s="68" t="s">
        <v>497</v>
      </c>
      <c r="AC56" s="68" t="s">
        <v>244</v>
      </c>
      <c r="AD56" s="68">
        <v>21</v>
      </c>
    </row>
    <row r="57" spans="28:30" x14ac:dyDescent="0.2">
      <c r="AB57" s="68" t="s">
        <v>499</v>
      </c>
      <c r="AC57" s="68" t="s">
        <v>245</v>
      </c>
      <c r="AD57" s="68">
        <v>21</v>
      </c>
    </row>
    <row r="58" spans="28:30" x14ac:dyDescent="0.2">
      <c r="AB58" s="68" t="s">
        <v>498</v>
      </c>
      <c r="AC58" s="68" t="s">
        <v>246</v>
      </c>
      <c r="AD58" s="68">
        <v>23</v>
      </c>
    </row>
    <row r="59" spans="28:30" x14ac:dyDescent="0.2">
      <c r="AB59" s="68" t="s">
        <v>500</v>
      </c>
      <c r="AC59" s="68" t="s">
        <v>247</v>
      </c>
      <c r="AD59" s="68">
        <v>21</v>
      </c>
    </row>
    <row r="60" spans="28:30" x14ac:dyDescent="0.2">
      <c r="AB60" s="68" t="s">
        <v>501</v>
      </c>
      <c r="AC60" s="68" t="s">
        <v>248</v>
      </c>
      <c r="AD60" s="68">
        <v>22</v>
      </c>
    </row>
    <row r="61" spans="28:30" x14ac:dyDescent="0.2">
      <c r="AB61" s="68" t="s">
        <v>502</v>
      </c>
      <c r="AC61" s="68" t="s">
        <v>249</v>
      </c>
      <c r="AD61" s="68">
        <v>21</v>
      </c>
    </row>
    <row r="62" spans="28:30" x14ac:dyDescent="0.2">
      <c r="AB62" s="68" t="s">
        <v>503</v>
      </c>
      <c r="AC62" s="68" t="s">
        <v>250</v>
      </c>
      <c r="AD62" s="68">
        <v>21</v>
      </c>
    </row>
    <row r="63" spans="28:30" x14ac:dyDescent="0.2">
      <c r="AB63" s="68" t="s">
        <v>504</v>
      </c>
      <c r="AC63" s="68" t="s">
        <v>239</v>
      </c>
      <c r="AD63" s="68">
        <v>17</v>
      </c>
    </row>
    <row r="64" spans="28:30" x14ac:dyDescent="0.2">
      <c r="AB64" s="68" t="s">
        <v>505</v>
      </c>
      <c r="AC64" s="68" t="s">
        <v>240</v>
      </c>
      <c r="AD64" s="68">
        <v>19</v>
      </c>
    </row>
    <row r="65" spans="28:30" x14ac:dyDescent="0.2">
      <c r="AB65" s="68" t="s">
        <v>506</v>
      </c>
      <c r="AC65" s="68" t="s">
        <v>241</v>
      </c>
      <c r="AD65" s="68">
        <v>22</v>
      </c>
    </row>
    <row r="66" spans="28:30" x14ac:dyDescent="0.2">
      <c r="AB66" s="68" t="s">
        <v>507</v>
      </c>
      <c r="AC66" s="68" t="s">
        <v>242</v>
      </c>
      <c r="AD66" s="68">
        <v>20</v>
      </c>
    </row>
    <row r="67" spans="28:30" x14ac:dyDescent="0.2">
      <c r="AB67" s="68" t="s">
        <v>508</v>
      </c>
      <c r="AC67" s="68" t="s">
        <v>243</v>
      </c>
      <c r="AD67" s="68">
        <v>21</v>
      </c>
    </row>
    <row r="68" spans="28:30" x14ac:dyDescent="0.2">
      <c r="AB68" s="68" t="s">
        <v>509</v>
      </c>
      <c r="AC68" s="68" t="s">
        <v>244</v>
      </c>
      <c r="AD68" s="68">
        <v>21</v>
      </c>
    </row>
    <row r="69" spans="28:30" x14ac:dyDescent="0.2">
      <c r="AB69" s="68" t="s">
        <v>510</v>
      </c>
      <c r="AC69" s="68" t="s">
        <v>245</v>
      </c>
      <c r="AD69" s="68">
        <v>21</v>
      </c>
    </row>
    <row r="70" spans="28:30" x14ac:dyDescent="0.2">
      <c r="AB70" s="68" t="s">
        <v>511</v>
      </c>
      <c r="AC70" s="68" t="s">
        <v>246</v>
      </c>
      <c r="AD70" s="68">
        <v>23</v>
      </c>
    </row>
    <row r="71" spans="28:30" x14ac:dyDescent="0.2">
      <c r="AB71" s="68" t="s">
        <v>512</v>
      </c>
      <c r="AC71" s="68" t="s">
        <v>247</v>
      </c>
      <c r="AD71" s="68">
        <v>21</v>
      </c>
    </row>
    <row r="72" spans="28:30" x14ac:dyDescent="0.2">
      <c r="AB72" s="68" t="s">
        <v>513</v>
      </c>
      <c r="AC72" s="68" t="s">
        <v>248</v>
      </c>
      <c r="AD72" s="68">
        <v>22</v>
      </c>
    </row>
    <row r="73" spans="28:30" x14ac:dyDescent="0.2">
      <c r="AB73" s="68" t="s">
        <v>514</v>
      </c>
      <c r="AC73" s="68" t="s">
        <v>249</v>
      </c>
      <c r="AD73" s="68">
        <v>21</v>
      </c>
    </row>
    <row r="74" spans="28:30" x14ac:dyDescent="0.2">
      <c r="AB74" s="68" t="s">
        <v>515</v>
      </c>
      <c r="AC74" s="68" t="s">
        <v>250</v>
      </c>
      <c r="AD74" s="68">
        <v>21</v>
      </c>
    </row>
    <row r="75" spans="28:30" x14ac:dyDescent="0.2">
      <c r="AB75" s="68" t="s">
        <v>516</v>
      </c>
      <c r="AC75" s="68" t="s">
        <v>239</v>
      </c>
      <c r="AD75" s="68">
        <v>17</v>
      </c>
    </row>
    <row r="76" spans="28:30" x14ac:dyDescent="0.2">
      <c r="AB76" s="68" t="s">
        <v>517</v>
      </c>
      <c r="AC76" s="68" t="s">
        <v>240</v>
      </c>
      <c r="AD76" s="68">
        <v>19</v>
      </c>
    </row>
    <row r="77" spans="28:30" x14ac:dyDescent="0.2">
      <c r="AB77" s="68" t="s">
        <v>518</v>
      </c>
      <c r="AC77" s="68" t="s">
        <v>241</v>
      </c>
      <c r="AD77" s="68">
        <v>22</v>
      </c>
    </row>
    <row r="78" spans="28:30" x14ac:dyDescent="0.2">
      <c r="AB78" s="68" t="s">
        <v>519</v>
      </c>
      <c r="AC78" s="68" t="s">
        <v>242</v>
      </c>
      <c r="AD78" s="68">
        <v>20</v>
      </c>
    </row>
    <row r="79" spans="28:30" x14ac:dyDescent="0.2">
      <c r="AB79" s="68" t="s">
        <v>520</v>
      </c>
      <c r="AC79" s="68" t="s">
        <v>243</v>
      </c>
      <c r="AD79" s="68">
        <v>21</v>
      </c>
    </row>
    <row r="80" spans="28:30" x14ac:dyDescent="0.2">
      <c r="AB80" s="68" t="s">
        <v>521</v>
      </c>
      <c r="AC80" s="68" t="s">
        <v>244</v>
      </c>
      <c r="AD80" s="68">
        <v>21</v>
      </c>
    </row>
    <row r="81" spans="28:30" x14ac:dyDescent="0.2">
      <c r="AB81" s="68" t="s">
        <v>522</v>
      </c>
      <c r="AC81" s="68" t="s">
        <v>245</v>
      </c>
      <c r="AD81" s="68">
        <v>21</v>
      </c>
    </row>
    <row r="82" spans="28:30" x14ac:dyDescent="0.2">
      <c r="AB82" s="68" t="s">
        <v>523</v>
      </c>
      <c r="AC82" s="68" t="s">
        <v>246</v>
      </c>
      <c r="AD82" s="68">
        <v>23</v>
      </c>
    </row>
    <row r="83" spans="28:30" x14ac:dyDescent="0.2">
      <c r="AB83" s="68" t="s">
        <v>524</v>
      </c>
      <c r="AC83" s="68" t="s">
        <v>247</v>
      </c>
      <c r="AD83" s="68">
        <v>21</v>
      </c>
    </row>
    <row r="84" spans="28:30" x14ac:dyDescent="0.2">
      <c r="AB84" s="68" t="s">
        <v>525</v>
      </c>
      <c r="AC84" s="68" t="s">
        <v>248</v>
      </c>
      <c r="AD84" s="68">
        <v>22</v>
      </c>
    </row>
    <row r="85" spans="28:30" x14ac:dyDescent="0.2">
      <c r="AB85" s="68" t="s">
        <v>526</v>
      </c>
      <c r="AC85" s="68" t="s">
        <v>249</v>
      </c>
      <c r="AD85" s="68">
        <v>21</v>
      </c>
    </row>
    <row r="86" spans="28:30" x14ac:dyDescent="0.2">
      <c r="AB86" s="68" t="s">
        <v>527</v>
      </c>
      <c r="AC86" s="68" t="s">
        <v>250</v>
      </c>
      <c r="AD86" s="68">
        <v>21</v>
      </c>
    </row>
  </sheetData>
  <autoFilter ref="S3:V22" xr:uid="{00000000-0009-0000-0000-00000E000000}"/>
  <sortState xmlns:xlrd2="http://schemas.microsoft.com/office/spreadsheetml/2017/richdata2" ref="S4:V134">
    <sortCondition ref="S4"/>
  </sortState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8</vt:i4>
      </vt:variant>
    </vt:vector>
  </HeadingPairs>
  <TitlesOfParts>
    <vt:vector size="23" baseType="lpstr">
      <vt:lpstr>Содержание</vt:lpstr>
      <vt:lpstr>Карточка проекта</vt:lpstr>
      <vt:lpstr>Проверка</vt:lpstr>
      <vt:lpstr>Оценка трудоемкости</vt:lpstr>
      <vt:lpstr>Командировки</vt:lpstr>
      <vt:lpstr>Договоры ГПХ</vt:lpstr>
      <vt:lpstr>БДР</vt:lpstr>
      <vt:lpstr>БДР_Выручка</vt:lpstr>
      <vt:lpstr>БДР_Себестоимость и Расходы</vt:lpstr>
      <vt:lpstr>ДДС</vt:lpstr>
      <vt:lpstr>ДДС_Поступление</vt:lpstr>
      <vt:lpstr>ДДС_Расходование</vt:lpstr>
      <vt:lpstr>Справочник статей</vt:lpstr>
      <vt:lpstr>Справочник проектов</vt:lpstr>
      <vt:lpstr>Справочники</vt:lpstr>
      <vt:lpstr>БДР!Область_печати</vt:lpstr>
      <vt:lpstr>БДР_Выручка!Область_печати</vt:lpstr>
      <vt:lpstr>'БДР_Себестоимость и Расходы'!Область_печати</vt:lpstr>
      <vt:lpstr>ДДС!Область_печати</vt:lpstr>
      <vt:lpstr>ДДС_Поступление!Область_печати</vt:lpstr>
      <vt:lpstr>ДДС_Расходование!Область_печати</vt:lpstr>
      <vt:lpstr>'Карточка проекта'!Область_печати</vt:lpstr>
      <vt:lpstr>Командировки!Область_печати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Цыбульская Валерия Михайловна</dc:creator>
  <cp:lastModifiedBy>Логинова Анастасия</cp:lastModifiedBy>
  <cp:lastPrinted>2016-09-14T14:49:08Z</cp:lastPrinted>
  <dcterms:created xsi:type="dcterms:W3CDTF">2015-01-22T07:39:40Z</dcterms:created>
  <dcterms:modified xsi:type="dcterms:W3CDTF">2023-10-26T18:20:33Z</dcterms:modified>
</cp:coreProperties>
</file>